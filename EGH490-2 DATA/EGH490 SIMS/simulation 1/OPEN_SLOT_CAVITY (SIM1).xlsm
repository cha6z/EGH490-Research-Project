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061bcffd0d95ffa/Desktop/UNIVERSITY/S1 2026/EGH490-2/EGH490-2 DATA/SIM1/"/>
    </mc:Choice>
  </mc:AlternateContent>
  <xr:revisionPtr revIDLastSave="450" documentId="8_{E0CAA948-1F5F-490C-B55F-3A0BAF7908B2}" xr6:coauthVersionLast="47" xr6:coauthVersionMax="47" xr10:uidLastSave="{4E7E67BA-36F9-491E-BC42-94DC69E6998D}"/>
  <bookViews>
    <workbookView xWindow="8020" yWindow="680" windowWidth="14140" windowHeight="11170" activeTab="1" xr2:uid="{00000000-000D-0000-FFFF-FFFF00000000}"/>
  </bookViews>
  <sheets>
    <sheet name="Sheet1" sheetId="3" r:id="rId1"/>
    <sheet name="FD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5" l="1"/>
  <c r="T188" i="5"/>
  <c r="S188" i="5"/>
  <c r="T187" i="5"/>
  <c r="S187" i="5"/>
  <c r="T186" i="5"/>
  <c r="S186" i="5"/>
  <c r="T185" i="5"/>
  <c r="S185" i="5"/>
  <c r="T184" i="5"/>
  <c r="S184" i="5"/>
  <c r="T183" i="5"/>
  <c r="S183" i="5"/>
  <c r="T182" i="5"/>
  <c r="S182" i="5"/>
  <c r="T181" i="5"/>
  <c r="S181" i="5"/>
  <c r="T180" i="5"/>
  <c r="S180" i="5"/>
  <c r="T179" i="5"/>
  <c r="S179" i="5"/>
  <c r="T178" i="5"/>
  <c r="S178" i="5"/>
  <c r="T177" i="5"/>
  <c r="S177" i="5"/>
  <c r="T176" i="5"/>
  <c r="S176" i="5"/>
  <c r="T175" i="5"/>
  <c r="S175" i="5"/>
  <c r="T174" i="5"/>
  <c r="S174" i="5"/>
  <c r="T173" i="5"/>
  <c r="S173" i="5"/>
  <c r="T172" i="5"/>
  <c r="S172" i="5"/>
  <c r="T171" i="5"/>
  <c r="S171" i="5"/>
  <c r="T170" i="5"/>
  <c r="S170" i="5"/>
  <c r="T169" i="5"/>
  <c r="S169" i="5"/>
  <c r="T168" i="5"/>
  <c r="S168" i="5"/>
  <c r="T167" i="5"/>
  <c r="S167" i="5"/>
  <c r="T166" i="5"/>
  <c r="S166" i="5"/>
  <c r="T165" i="5"/>
  <c r="S165" i="5"/>
  <c r="T164" i="5"/>
  <c r="S164" i="5"/>
  <c r="T163" i="5"/>
  <c r="S163" i="5"/>
  <c r="T162" i="5"/>
  <c r="S162" i="5"/>
  <c r="T161" i="5"/>
  <c r="S161" i="5"/>
  <c r="T160" i="5"/>
  <c r="S160" i="5"/>
  <c r="T159" i="5"/>
  <c r="S159" i="5"/>
  <c r="T158" i="5"/>
  <c r="S158" i="5"/>
  <c r="T157" i="5"/>
  <c r="S157" i="5"/>
  <c r="T156" i="5"/>
  <c r="S156" i="5"/>
  <c r="T155" i="5"/>
  <c r="S155" i="5"/>
  <c r="T154" i="5"/>
  <c r="S154" i="5"/>
  <c r="T153" i="5"/>
  <c r="S153" i="5"/>
  <c r="T152" i="5"/>
  <c r="S152" i="5"/>
  <c r="T151" i="5"/>
  <c r="S151" i="5"/>
  <c r="T150" i="5"/>
  <c r="S150" i="5"/>
  <c r="T149" i="5"/>
  <c r="S149" i="5"/>
  <c r="T148" i="5"/>
  <c r="S148" i="5"/>
  <c r="T147" i="5"/>
  <c r="S147" i="5"/>
  <c r="T146" i="5"/>
  <c r="S146" i="5"/>
  <c r="T145" i="5"/>
  <c r="S145" i="5"/>
  <c r="T144" i="5"/>
  <c r="S144" i="5"/>
  <c r="T143" i="5"/>
  <c r="S143" i="5"/>
  <c r="T142" i="5"/>
  <c r="S142" i="5"/>
  <c r="T141" i="5"/>
  <c r="S141" i="5"/>
  <c r="T140" i="5"/>
  <c r="S140" i="5"/>
  <c r="T139" i="5"/>
  <c r="S139" i="5"/>
  <c r="T138" i="5"/>
  <c r="S138" i="5"/>
  <c r="T137" i="5"/>
  <c r="S137" i="5"/>
  <c r="T136" i="5"/>
  <c r="S136" i="5"/>
  <c r="T135" i="5"/>
  <c r="S135" i="5"/>
  <c r="T134" i="5"/>
  <c r="S134" i="5"/>
  <c r="T133" i="5"/>
  <c r="S133" i="5"/>
  <c r="T132" i="5"/>
  <c r="S132" i="5"/>
  <c r="T131" i="5"/>
  <c r="S131" i="5"/>
  <c r="T130" i="5"/>
  <c r="S130" i="5"/>
  <c r="T129" i="5"/>
  <c r="S129" i="5"/>
  <c r="T128" i="5"/>
  <c r="S128" i="5"/>
  <c r="T127" i="5"/>
  <c r="S127" i="5"/>
  <c r="T126" i="5"/>
  <c r="S126" i="5"/>
  <c r="T125" i="5"/>
  <c r="S125" i="5"/>
  <c r="T124" i="5"/>
  <c r="S124" i="5"/>
  <c r="T123" i="5"/>
  <c r="S123" i="5"/>
  <c r="T122" i="5"/>
  <c r="S122" i="5"/>
  <c r="T121" i="5"/>
  <c r="S121" i="5"/>
  <c r="T120" i="5"/>
  <c r="S120" i="5"/>
  <c r="T119" i="5"/>
  <c r="S119" i="5"/>
  <c r="T118" i="5"/>
  <c r="S118" i="5"/>
  <c r="T117" i="5"/>
  <c r="S117" i="5"/>
  <c r="T116" i="5"/>
  <c r="S116" i="5"/>
  <c r="T115" i="5"/>
  <c r="S115" i="5"/>
  <c r="T114" i="5"/>
  <c r="S114" i="5"/>
  <c r="T113" i="5"/>
  <c r="S113" i="5"/>
  <c r="T112" i="5"/>
  <c r="S112" i="5"/>
  <c r="T111" i="5"/>
  <c r="S111" i="5"/>
  <c r="T110" i="5"/>
  <c r="S110" i="5"/>
  <c r="T109" i="5"/>
  <c r="S109" i="5"/>
  <c r="T108" i="5"/>
  <c r="S108" i="5"/>
  <c r="T107" i="5"/>
  <c r="S107" i="5"/>
  <c r="T106" i="5"/>
  <c r="S106" i="5"/>
  <c r="T105" i="5"/>
  <c r="S105" i="5"/>
  <c r="T104" i="5"/>
  <c r="S104" i="5"/>
  <c r="T103" i="5"/>
  <c r="S103" i="5"/>
  <c r="T102" i="5"/>
  <c r="S102" i="5"/>
  <c r="T101" i="5"/>
  <c r="S101" i="5"/>
  <c r="T100" i="5"/>
  <c r="S100" i="5"/>
  <c r="T99" i="5"/>
  <c r="S99" i="5"/>
  <c r="T98" i="5"/>
  <c r="S98" i="5"/>
  <c r="T97" i="5"/>
  <c r="S97" i="5"/>
  <c r="T96" i="5"/>
  <c r="S96" i="5"/>
  <c r="T95" i="5"/>
  <c r="S95" i="5"/>
  <c r="T94" i="5"/>
  <c r="S94" i="5"/>
  <c r="T93" i="5"/>
  <c r="S93" i="5"/>
  <c r="T92" i="5"/>
  <c r="S92" i="5"/>
  <c r="T91" i="5"/>
  <c r="S91" i="5"/>
  <c r="T90" i="5"/>
  <c r="S90" i="5"/>
  <c r="T89" i="5"/>
  <c r="S89" i="5"/>
  <c r="T88" i="5"/>
  <c r="S88" i="5"/>
  <c r="T87" i="5"/>
  <c r="S87" i="5"/>
  <c r="T86" i="5"/>
  <c r="S86" i="5"/>
  <c r="T85" i="5"/>
  <c r="S85" i="5"/>
  <c r="T84" i="5"/>
  <c r="S84" i="5"/>
  <c r="T83" i="5"/>
  <c r="S83" i="5"/>
  <c r="T82" i="5"/>
  <c r="S82" i="5"/>
  <c r="T81" i="5"/>
  <c r="S81" i="5"/>
  <c r="T80" i="5"/>
  <c r="S80" i="5"/>
  <c r="T79" i="5"/>
  <c r="S79" i="5"/>
  <c r="T78" i="5"/>
  <c r="S78" i="5"/>
  <c r="T77" i="5"/>
  <c r="S77" i="5"/>
  <c r="T76" i="5"/>
  <c r="S76" i="5"/>
  <c r="T75" i="5"/>
  <c r="S75" i="5"/>
  <c r="T74" i="5"/>
  <c r="S74" i="5"/>
  <c r="T73" i="5"/>
  <c r="S73" i="5"/>
  <c r="T72" i="5"/>
  <c r="S72" i="5"/>
  <c r="T71" i="5"/>
  <c r="S71" i="5"/>
  <c r="T70" i="5"/>
  <c r="S70" i="5"/>
  <c r="T69" i="5"/>
  <c r="S69" i="5"/>
  <c r="T68" i="5"/>
  <c r="S68" i="5"/>
  <c r="T67" i="5"/>
  <c r="S67" i="5"/>
  <c r="T66" i="5"/>
  <c r="S66" i="5"/>
  <c r="T65" i="5"/>
  <c r="S65" i="5"/>
  <c r="T64" i="5"/>
  <c r="S64" i="5"/>
  <c r="T63" i="5"/>
  <c r="S63" i="5"/>
  <c r="T62" i="5"/>
  <c r="S62" i="5"/>
  <c r="T61" i="5"/>
  <c r="S61" i="5"/>
  <c r="T60" i="5"/>
  <c r="S60" i="5"/>
  <c r="T59" i="5"/>
  <c r="S59" i="5"/>
  <c r="T58" i="5"/>
  <c r="S58" i="5"/>
  <c r="T57" i="5"/>
  <c r="S57" i="5"/>
  <c r="T56" i="5"/>
  <c r="S56" i="5"/>
  <c r="T55" i="5"/>
  <c r="S55" i="5"/>
  <c r="T54" i="5"/>
  <c r="S54" i="5"/>
  <c r="T53" i="5"/>
  <c r="S53" i="5"/>
  <c r="T52" i="5"/>
  <c r="S52" i="5"/>
  <c r="T51" i="5"/>
  <c r="S51" i="5"/>
  <c r="T50" i="5"/>
  <c r="S50" i="5"/>
  <c r="T49" i="5"/>
  <c r="S49" i="5"/>
  <c r="T48" i="5"/>
  <c r="S48" i="5"/>
  <c r="T47" i="5"/>
  <c r="S47" i="5"/>
  <c r="T46" i="5"/>
  <c r="S46" i="5"/>
  <c r="T45" i="5"/>
  <c r="S45" i="5"/>
  <c r="T44" i="5"/>
  <c r="S44" i="5"/>
  <c r="T43" i="5"/>
  <c r="S43" i="5"/>
  <c r="T42" i="5"/>
  <c r="S42" i="5"/>
  <c r="T41" i="5"/>
  <c r="S41" i="5"/>
  <c r="T40" i="5"/>
  <c r="S40" i="5"/>
  <c r="T39" i="5"/>
  <c r="S39" i="5"/>
  <c r="T38" i="5"/>
  <c r="S38" i="5"/>
  <c r="T37" i="5"/>
  <c r="S37" i="5"/>
  <c r="T36" i="5"/>
  <c r="S36" i="5"/>
  <c r="T35" i="5"/>
  <c r="S35" i="5"/>
  <c r="T34" i="5"/>
  <c r="S34" i="5"/>
  <c r="T33" i="5"/>
  <c r="S33" i="5"/>
  <c r="T32" i="5"/>
  <c r="S32" i="5"/>
  <c r="T31" i="5"/>
  <c r="S31" i="5"/>
  <c r="T30" i="5"/>
  <c r="S30" i="5"/>
  <c r="T29" i="5"/>
  <c r="S29" i="5"/>
  <c r="T28" i="5"/>
  <c r="S28" i="5"/>
  <c r="T27" i="5"/>
  <c r="S27" i="5"/>
  <c r="T26" i="5"/>
  <c r="S26" i="5"/>
  <c r="T25" i="5"/>
  <c r="S25" i="5"/>
  <c r="T24" i="5"/>
  <c r="S24" i="5"/>
  <c r="T23" i="5"/>
  <c r="S23" i="5"/>
  <c r="T22" i="5"/>
  <c r="S22" i="5"/>
  <c r="T21" i="5"/>
  <c r="S21" i="5"/>
  <c r="T20" i="5"/>
  <c r="S20" i="5"/>
  <c r="T19" i="5"/>
  <c r="S19" i="5"/>
  <c r="T18" i="5"/>
  <c r="S18" i="5"/>
  <c r="T17" i="5"/>
  <c r="S17" i="5"/>
  <c r="T16" i="5"/>
  <c r="S16" i="5"/>
  <c r="T15" i="5"/>
  <c r="S15" i="5"/>
  <c r="T14" i="5"/>
  <c r="S14" i="5"/>
  <c r="T13" i="5"/>
  <c r="S13" i="5"/>
  <c r="T12" i="5"/>
  <c r="S12" i="5"/>
  <c r="T11" i="5"/>
  <c r="S11" i="5"/>
  <c r="T10" i="5"/>
  <c r="S10" i="5"/>
  <c r="T9" i="5"/>
  <c r="S9" i="5"/>
  <c r="T8" i="5"/>
  <c r="S8" i="5"/>
  <c r="T7" i="5"/>
  <c r="S7" i="5"/>
  <c r="T6" i="5"/>
  <c r="S6" i="5"/>
  <c r="T5" i="5"/>
  <c r="S5" i="5"/>
  <c r="T4" i="5"/>
  <c r="S4" i="5"/>
  <c r="T3" i="5"/>
  <c r="S3" i="5"/>
  <c r="T2" i="5"/>
  <c r="N2" i="5" l="1"/>
  <c r="N188" i="5"/>
  <c r="M188" i="5"/>
  <c r="J188" i="5"/>
  <c r="I188" i="5"/>
  <c r="H188" i="5"/>
  <c r="G188" i="5"/>
  <c r="N187" i="5"/>
  <c r="M187" i="5"/>
  <c r="J187" i="5"/>
  <c r="I187" i="5"/>
  <c r="H187" i="5"/>
  <c r="G187" i="5"/>
  <c r="N186" i="5"/>
  <c r="M186" i="5"/>
  <c r="J186" i="5"/>
  <c r="I186" i="5"/>
  <c r="H186" i="5"/>
  <c r="G186" i="5"/>
  <c r="N185" i="5"/>
  <c r="M185" i="5"/>
  <c r="J185" i="5"/>
  <c r="I185" i="5"/>
  <c r="H185" i="5"/>
  <c r="G185" i="5"/>
  <c r="N184" i="5"/>
  <c r="M184" i="5"/>
  <c r="J184" i="5"/>
  <c r="I184" i="5"/>
  <c r="H184" i="5"/>
  <c r="G184" i="5"/>
  <c r="N183" i="5"/>
  <c r="M183" i="5"/>
  <c r="J183" i="5"/>
  <c r="I183" i="5"/>
  <c r="H183" i="5"/>
  <c r="G183" i="5"/>
  <c r="N182" i="5"/>
  <c r="M182" i="5"/>
  <c r="J182" i="5"/>
  <c r="I182" i="5"/>
  <c r="H182" i="5"/>
  <c r="G182" i="5"/>
  <c r="N181" i="5"/>
  <c r="M181" i="5"/>
  <c r="J181" i="5"/>
  <c r="I181" i="5"/>
  <c r="H181" i="5"/>
  <c r="G181" i="5"/>
  <c r="N180" i="5"/>
  <c r="M180" i="5"/>
  <c r="J180" i="5"/>
  <c r="I180" i="5"/>
  <c r="H180" i="5"/>
  <c r="G180" i="5"/>
  <c r="N179" i="5"/>
  <c r="M179" i="5"/>
  <c r="J179" i="5"/>
  <c r="I179" i="5"/>
  <c r="H179" i="5"/>
  <c r="G179" i="5"/>
  <c r="N178" i="5"/>
  <c r="M178" i="5"/>
  <c r="J178" i="5"/>
  <c r="I178" i="5"/>
  <c r="H178" i="5"/>
  <c r="G178" i="5"/>
  <c r="N177" i="5"/>
  <c r="M177" i="5"/>
  <c r="J177" i="5"/>
  <c r="I177" i="5"/>
  <c r="H177" i="5"/>
  <c r="G177" i="5"/>
  <c r="N176" i="5"/>
  <c r="M176" i="5"/>
  <c r="J176" i="5"/>
  <c r="I176" i="5"/>
  <c r="H176" i="5"/>
  <c r="G176" i="5"/>
  <c r="N175" i="5"/>
  <c r="M175" i="5"/>
  <c r="J175" i="5"/>
  <c r="I175" i="5"/>
  <c r="H175" i="5"/>
  <c r="G175" i="5"/>
  <c r="N174" i="5"/>
  <c r="M174" i="5"/>
  <c r="J174" i="5"/>
  <c r="I174" i="5"/>
  <c r="H174" i="5"/>
  <c r="G174" i="5"/>
  <c r="N173" i="5"/>
  <c r="M173" i="5"/>
  <c r="J173" i="5"/>
  <c r="I173" i="5"/>
  <c r="H173" i="5"/>
  <c r="G173" i="5"/>
  <c r="N172" i="5"/>
  <c r="M172" i="5"/>
  <c r="J172" i="5"/>
  <c r="I172" i="5"/>
  <c r="H172" i="5"/>
  <c r="G172" i="5"/>
  <c r="N171" i="5"/>
  <c r="M171" i="5"/>
  <c r="J171" i="5"/>
  <c r="I171" i="5"/>
  <c r="H171" i="5"/>
  <c r="G171" i="5"/>
  <c r="N170" i="5"/>
  <c r="M170" i="5"/>
  <c r="J170" i="5"/>
  <c r="I170" i="5"/>
  <c r="H170" i="5"/>
  <c r="G170" i="5"/>
  <c r="N169" i="5"/>
  <c r="M169" i="5"/>
  <c r="J169" i="5"/>
  <c r="I169" i="5"/>
  <c r="H169" i="5"/>
  <c r="G169" i="5"/>
  <c r="N168" i="5"/>
  <c r="M168" i="5"/>
  <c r="J168" i="5"/>
  <c r="I168" i="5"/>
  <c r="H168" i="5"/>
  <c r="G168" i="5"/>
  <c r="N167" i="5"/>
  <c r="M167" i="5"/>
  <c r="J167" i="5"/>
  <c r="I167" i="5"/>
  <c r="H167" i="5"/>
  <c r="G167" i="5"/>
  <c r="N166" i="5"/>
  <c r="M166" i="5"/>
  <c r="J166" i="5"/>
  <c r="I166" i="5"/>
  <c r="H166" i="5"/>
  <c r="G166" i="5"/>
  <c r="N165" i="5"/>
  <c r="M165" i="5"/>
  <c r="J165" i="5"/>
  <c r="I165" i="5"/>
  <c r="H165" i="5"/>
  <c r="G165" i="5"/>
  <c r="N164" i="5"/>
  <c r="M164" i="5"/>
  <c r="J164" i="5"/>
  <c r="I164" i="5"/>
  <c r="H164" i="5"/>
  <c r="G164" i="5"/>
  <c r="N163" i="5"/>
  <c r="M163" i="5"/>
  <c r="J163" i="5"/>
  <c r="I163" i="5"/>
  <c r="H163" i="5"/>
  <c r="G163" i="5"/>
  <c r="N162" i="5"/>
  <c r="M162" i="5"/>
  <c r="J162" i="5"/>
  <c r="I162" i="5"/>
  <c r="H162" i="5"/>
  <c r="G162" i="5"/>
  <c r="N161" i="5"/>
  <c r="M161" i="5"/>
  <c r="J161" i="5"/>
  <c r="I161" i="5"/>
  <c r="H161" i="5"/>
  <c r="G161" i="5"/>
  <c r="N160" i="5"/>
  <c r="M160" i="5"/>
  <c r="J160" i="5"/>
  <c r="I160" i="5"/>
  <c r="H160" i="5"/>
  <c r="G160" i="5"/>
  <c r="N159" i="5"/>
  <c r="M159" i="5"/>
  <c r="J159" i="5"/>
  <c r="I159" i="5"/>
  <c r="H159" i="5"/>
  <c r="G159" i="5"/>
  <c r="N158" i="5"/>
  <c r="M158" i="5"/>
  <c r="J158" i="5"/>
  <c r="I158" i="5"/>
  <c r="H158" i="5"/>
  <c r="G158" i="5"/>
  <c r="N157" i="5"/>
  <c r="M157" i="5"/>
  <c r="J157" i="5"/>
  <c r="I157" i="5"/>
  <c r="H157" i="5"/>
  <c r="G157" i="5"/>
  <c r="N156" i="5"/>
  <c r="M156" i="5"/>
  <c r="J156" i="5"/>
  <c r="I156" i="5"/>
  <c r="H156" i="5"/>
  <c r="G156" i="5"/>
  <c r="N155" i="5"/>
  <c r="M155" i="5"/>
  <c r="J155" i="5"/>
  <c r="I155" i="5"/>
  <c r="H155" i="5"/>
  <c r="G155" i="5"/>
  <c r="N154" i="5"/>
  <c r="M154" i="5"/>
  <c r="J154" i="5"/>
  <c r="I154" i="5"/>
  <c r="H154" i="5"/>
  <c r="G154" i="5"/>
  <c r="N153" i="5"/>
  <c r="M153" i="5"/>
  <c r="J153" i="5"/>
  <c r="I153" i="5"/>
  <c r="H153" i="5"/>
  <c r="G153" i="5"/>
  <c r="N152" i="5"/>
  <c r="M152" i="5"/>
  <c r="J152" i="5"/>
  <c r="I152" i="5"/>
  <c r="H152" i="5"/>
  <c r="G152" i="5"/>
  <c r="N151" i="5"/>
  <c r="M151" i="5"/>
  <c r="J151" i="5"/>
  <c r="I151" i="5"/>
  <c r="H151" i="5"/>
  <c r="G151" i="5"/>
  <c r="N150" i="5"/>
  <c r="M150" i="5"/>
  <c r="J150" i="5"/>
  <c r="I150" i="5"/>
  <c r="H150" i="5"/>
  <c r="G150" i="5"/>
  <c r="N149" i="5"/>
  <c r="M149" i="5"/>
  <c r="J149" i="5"/>
  <c r="I149" i="5"/>
  <c r="H149" i="5"/>
  <c r="G149" i="5"/>
  <c r="N148" i="5"/>
  <c r="M148" i="5"/>
  <c r="J148" i="5"/>
  <c r="I148" i="5"/>
  <c r="H148" i="5"/>
  <c r="G148" i="5"/>
  <c r="N147" i="5"/>
  <c r="M147" i="5"/>
  <c r="J147" i="5"/>
  <c r="I147" i="5"/>
  <c r="H147" i="5"/>
  <c r="G147" i="5"/>
  <c r="N146" i="5"/>
  <c r="M146" i="5"/>
  <c r="J146" i="5"/>
  <c r="I146" i="5"/>
  <c r="H146" i="5"/>
  <c r="G146" i="5"/>
  <c r="N145" i="5"/>
  <c r="M145" i="5"/>
  <c r="J145" i="5"/>
  <c r="I145" i="5"/>
  <c r="H145" i="5"/>
  <c r="G145" i="5"/>
  <c r="N144" i="5"/>
  <c r="M144" i="5"/>
  <c r="J144" i="5"/>
  <c r="I144" i="5"/>
  <c r="H144" i="5"/>
  <c r="G144" i="5"/>
  <c r="N143" i="5"/>
  <c r="M143" i="5"/>
  <c r="J143" i="5"/>
  <c r="I143" i="5"/>
  <c r="H143" i="5"/>
  <c r="G143" i="5"/>
  <c r="N142" i="5"/>
  <c r="M142" i="5"/>
  <c r="J142" i="5"/>
  <c r="I142" i="5"/>
  <c r="H142" i="5"/>
  <c r="G142" i="5"/>
  <c r="N141" i="5"/>
  <c r="M141" i="5"/>
  <c r="J141" i="5"/>
  <c r="I141" i="5"/>
  <c r="H141" i="5"/>
  <c r="G141" i="5"/>
  <c r="N140" i="5"/>
  <c r="M140" i="5"/>
  <c r="J140" i="5"/>
  <c r="I140" i="5"/>
  <c r="H140" i="5"/>
  <c r="G140" i="5"/>
  <c r="N139" i="5"/>
  <c r="M139" i="5"/>
  <c r="J139" i="5"/>
  <c r="I139" i="5"/>
  <c r="H139" i="5"/>
  <c r="G139" i="5"/>
  <c r="N138" i="5"/>
  <c r="M138" i="5"/>
  <c r="J138" i="5"/>
  <c r="I138" i="5"/>
  <c r="H138" i="5"/>
  <c r="G138" i="5"/>
  <c r="N137" i="5"/>
  <c r="M137" i="5"/>
  <c r="J137" i="5"/>
  <c r="I137" i="5"/>
  <c r="H137" i="5"/>
  <c r="G137" i="5"/>
  <c r="N136" i="5"/>
  <c r="M136" i="5"/>
  <c r="J136" i="5"/>
  <c r="I136" i="5"/>
  <c r="H136" i="5"/>
  <c r="G136" i="5"/>
  <c r="N135" i="5"/>
  <c r="M135" i="5"/>
  <c r="J135" i="5"/>
  <c r="I135" i="5"/>
  <c r="H135" i="5"/>
  <c r="G135" i="5"/>
  <c r="N134" i="5"/>
  <c r="M134" i="5"/>
  <c r="J134" i="5"/>
  <c r="I134" i="5"/>
  <c r="H134" i="5"/>
  <c r="G134" i="5"/>
  <c r="N133" i="5"/>
  <c r="M133" i="5"/>
  <c r="J133" i="5"/>
  <c r="I133" i="5"/>
  <c r="H133" i="5"/>
  <c r="G133" i="5"/>
  <c r="N132" i="5"/>
  <c r="M132" i="5"/>
  <c r="J132" i="5"/>
  <c r="I132" i="5"/>
  <c r="H132" i="5"/>
  <c r="G132" i="5"/>
  <c r="N131" i="5"/>
  <c r="M131" i="5"/>
  <c r="J131" i="5"/>
  <c r="I131" i="5"/>
  <c r="H131" i="5"/>
  <c r="G131" i="5"/>
  <c r="N130" i="5"/>
  <c r="M130" i="5"/>
  <c r="J130" i="5"/>
  <c r="I130" i="5"/>
  <c r="H130" i="5"/>
  <c r="G130" i="5"/>
  <c r="N129" i="5"/>
  <c r="M129" i="5"/>
  <c r="J129" i="5"/>
  <c r="I129" i="5"/>
  <c r="H129" i="5"/>
  <c r="G129" i="5"/>
  <c r="N128" i="5"/>
  <c r="M128" i="5"/>
  <c r="J128" i="5"/>
  <c r="I128" i="5"/>
  <c r="H128" i="5"/>
  <c r="G128" i="5"/>
  <c r="N127" i="5"/>
  <c r="M127" i="5"/>
  <c r="J127" i="5"/>
  <c r="I127" i="5"/>
  <c r="H127" i="5"/>
  <c r="G127" i="5"/>
  <c r="N126" i="5"/>
  <c r="M126" i="5"/>
  <c r="J126" i="5"/>
  <c r="I126" i="5"/>
  <c r="H126" i="5"/>
  <c r="G126" i="5"/>
  <c r="N125" i="5"/>
  <c r="M125" i="5"/>
  <c r="J125" i="5"/>
  <c r="I125" i="5"/>
  <c r="H125" i="5"/>
  <c r="G125" i="5"/>
  <c r="N124" i="5"/>
  <c r="M124" i="5"/>
  <c r="J124" i="5"/>
  <c r="I124" i="5"/>
  <c r="H124" i="5"/>
  <c r="G124" i="5"/>
  <c r="N123" i="5"/>
  <c r="M123" i="5"/>
  <c r="J123" i="5"/>
  <c r="I123" i="5"/>
  <c r="H123" i="5"/>
  <c r="G123" i="5"/>
  <c r="N122" i="5"/>
  <c r="M122" i="5"/>
  <c r="J122" i="5"/>
  <c r="I122" i="5"/>
  <c r="H122" i="5"/>
  <c r="G122" i="5"/>
  <c r="N121" i="5"/>
  <c r="M121" i="5"/>
  <c r="J121" i="5"/>
  <c r="I121" i="5"/>
  <c r="H121" i="5"/>
  <c r="G121" i="5"/>
  <c r="N120" i="5"/>
  <c r="M120" i="5"/>
  <c r="J120" i="5"/>
  <c r="I120" i="5"/>
  <c r="H120" i="5"/>
  <c r="G120" i="5"/>
  <c r="N119" i="5"/>
  <c r="M119" i="5"/>
  <c r="J119" i="5"/>
  <c r="I119" i="5"/>
  <c r="H119" i="5"/>
  <c r="G119" i="5"/>
  <c r="N118" i="5"/>
  <c r="M118" i="5"/>
  <c r="J118" i="5"/>
  <c r="I118" i="5"/>
  <c r="H118" i="5"/>
  <c r="G118" i="5"/>
  <c r="N117" i="5"/>
  <c r="M117" i="5"/>
  <c r="J117" i="5"/>
  <c r="I117" i="5"/>
  <c r="H117" i="5"/>
  <c r="G117" i="5"/>
  <c r="N116" i="5"/>
  <c r="M116" i="5"/>
  <c r="J116" i="5"/>
  <c r="I116" i="5"/>
  <c r="H116" i="5"/>
  <c r="G116" i="5"/>
  <c r="N115" i="5"/>
  <c r="M115" i="5"/>
  <c r="J115" i="5"/>
  <c r="I115" i="5"/>
  <c r="H115" i="5"/>
  <c r="G115" i="5"/>
  <c r="N114" i="5"/>
  <c r="M114" i="5"/>
  <c r="J114" i="5"/>
  <c r="I114" i="5"/>
  <c r="H114" i="5"/>
  <c r="G114" i="5"/>
  <c r="N113" i="5"/>
  <c r="M113" i="5"/>
  <c r="J113" i="5"/>
  <c r="I113" i="5"/>
  <c r="H113" i="5"/>
  <c r="G113" i="5"/>
  <c r="N112" i="5"/>
  <c r="M112" i="5"/>
  <c r="J112" i="5"/>
  <c r="I112" i="5"/>
  <c r="H112" i="5"/>
  <c r="G112" i="5"/>
  <c r="N111" i="5"/>
  <c r="M111" i="5"/>
  <c r="J111" i="5"/>
  <c r="I111" i="5"/>
  <c r="H111" i="5"/>
  <c r="G111" i="5"/>
  <c r="N110" i="5"/>
  <c r="M110" i="5"/>
  <c r="J110" i="5"/>
  <c r="I110" i="5"/>
  <c r="H110" i="5"/>
  <c r="G110" i="5"/>
  <c r="N109" i="5"/>
  <c r="M109" i="5"/>
  <c r="J109" i="5"/>
  <c r="I109" i="5"/>
  <c r="H109" i="5"/>
  <c r="G109" i="5"/>
  <c r="N108" i="5"/>
  <c r="M108" i="5"/>
  <c r="J108" i="5"/>
  <c r="I108" i="5"/>
  <c r="H108" i="5"/>
  <c r="G108" i="5"/>
  <c r="N107" i="5"/>
  <c r="M107" i="5"/>
  <c r="J107" i="5"/>
  <c r="I107" i="5"/>
  <c r="H107" i="5"/>
  <c r="G107" i="5"/>
  <c r="N106" i="5"/>
  <c r="M106" i="5"/>
  <c r="J106" i="5"/>
  <c r="I106" i="5"/>
  <c r="H106" i="5"/>
  <c r="G106" i="5"/>
  <c r="N105" i="5"/>
  <c r="M105" i="5"/>
  <c r="J105" i="5"/>
  <c r="I105" i="5"/>
  <c r="H105" i="5"/>
  <c r="G105" i="5"/>
  <c r="N104" i="5"/>
  <c r="M104" i="5"/>
  <c r="J104" i="5"/>
  <c r="I104" i="5"/>
  <c r="H104" i="5"/>
  <c r="G104" i="5"/>
  <c r="N103" i="5"/>
  <c r="M103" i="5"/>
  <c r="J103" i="5"/>
  <c r="I103" i="5"/>
  <c r="H103" i="5"/>
  <c r="G103" i="5"/>
  <c r="N102" i="5"/>
  <c r="M102" i="5"/>
  <c r="J102" i="5"/>
  <c r="I102" i="5"/>
  <c r="H102" i="5"/>
  <c r="G102" i="5"/>
  <c r="N101" i="5"/>
  <c r="M101" i="5"/>
  <c r="J101" i="5"/>
  <c r="I101" i="5"/>
  <c r="H101" i="5"/>
  <c r="G101" i="5"/>
  <c r="N100" i="5"/>
  <c r="M100" i="5"/>
  <c r="J100" i="5"/>
  <c r="I100" i="5"/>
  <c r="H100" i="5"/>
  <c r="G100" i="5"/>
  <c r="N99" i="5"/>
  <c r="M99" i="5"/>
  <c r="J99" i="5"/>
  <c r="I99" i="5"/>
  <c r="H99" i="5"/>
  <c r="G99" i="5"/>
  <c r="N98" i="5"/>
  <c r="M98" i="5"/>
  <c r="J98" i="5"/>
  <c r="I98" i="5"/>
  <c r="H98" i="5"/>
  <c r="G98" i="5"/>
  <c r="N97" i="5"/>
  <c r="M97" i="5"/>
  <c r="J97" i="5"/>
  <c r="I97" i="5"/>
  <c r="H97" i="5"/>
  <c r="G97" i="5"/>
  <c r="N96" i="5"/>
  <c r="M96" i="5"/>
  <c r="J96" i="5"/>
  <c r="I96" i="5"/>
  <c r="H96" i="5"/>
  <c r="G96" i="5"/>
  <c r="N95" i="5"/>
  <c r="M95" i="5"/>
  <c r="J95" i="5"/>
  <c r="I95" i="5"/>
  <c r="H95" i="5"/>
  <c r="G95" i="5"/>
  <c r="N94" i="5"/>
  <c r="M94" i="5"/>
  <c r="J94" i="5"/>
  <c r="I94" i="5"/>
  <c r="H94" i="5"/>
  <c r="G94" i="5"/>
  <c r="N93" i="5"/>
  <c r="M93" i="5"/>
  <c r="J93" i="5"/>
  <c r="I93" i="5"/>
  <c r="H93" i="5"/>
  <c r="G93" i="5"/>
  <c r="N92" i="5"/>
  <c r="M92" i="5"/>
  <c r="J92" i="5"/>
  <c r="I92" i="5"/>
  <c r="H92" i="5"/>
  <c r="G92" i="5"/>
  <c r="N91" i="5"/>
  <c r="M91" i="5"/>
  <c r="J91" i="5"/>
  <c r="I91" i="5"/>
  <c r="H91" i="5"/>
  <c r="G91" i="5"/>
  <c r="N90" i="5"/>
  <c r="M90" i="5"/>
  <c r="J90" i="5"/>
  <c r="I90" i="5"/>
  <c r="H90" i="5"/>
  <c r="G90" i="5"/>
  <c r="N89" i="5"/>
  <c r="M89" i="5"/>
  <c r="J89" i="5"/>
  <c r="I89" i="5"/>
  <c r="H89" i="5"/>
  <c r="G89" i="5"/>
  <c r="N88" i="5"/>
  <c r="M88" i="5"/>
  <c r="J88" i="5"/>
  <c r="I88" i="5"/>
  <c r="H88" i="5"/>
  <c r="G88" i="5"/>
  <c r="N87" i="5"/>
  <c r="M87" i="5"/>
  <c r="J87" i="5"/>
  <c r="I87" i="5"/>
  <c r="H87" i="5"/>
  <c r="G87" i="5"/>
  <c r="N86" i="5"/>
  <c r="M86" i="5"/>
  <c r="J86" i="5"/>
  <c r="I86" i="5"/>
  <c r="H86" i="5"/>
  <c r="G86" i="5"/>
  <c r="N85" i="5"/>
  <c r="M85" i="5"/>
  <c r="J85" i="5"/>
  <c r="I85" i="5"/>
  <c r="H85" i="5"/>
  <c r="G85" i="5"/>
  <c r="N84" i="5"/>
  <c r="M84" i="5"/>
  <c r="J84" i="5"/>
  <c r="I84" i="5"/>
  <c r="H84" i="5"/>
  <c r="G84" i="5"/>
  <c r="N83" i="5"/>
  <c r="M83" i="5"/>
  <c r="J83" i="5"/>
  <c r="I83" i="5"/>
  <c r="H83" i="5"/>
  <c r="G83" i="5"/>
  <c r="N82" i="5"/>
  <c r="M82" i="5"/>
  <c r="J82" i="5"/>
  <c r="I82" i="5"/>
  <c r="H82" i="5"/>
  <c r="G82" i="5"/>
  <c r="N81" i="5"/>
  <c r="M81" i="5"/>
  <c r="J81" i="5"/>
  <c r="I81" i="5"/>
  <c r="H81" i="5"/>
  <c r="G81" i="5"/>
  <c r="N80" i="5"/>
  <c r="M80" i="5"/>
  <c r="J80" i="5"/>
  <c r="I80" i="5"/>
  <c r="H80" i="5"/>
  <c r="G80" i="5"/>
  <c r="N79" i="5"/>
  <c r="M79" i="5"/>
  <c r="J79" i="5"/>
  <c r="I79" i="5"/>
  <c r="H79" i="5"/>
  <c r="G79" i="5"/>
  <c r="N78" i="5"/>
  <c r="M78" i="5"/>
  <c r="J78" i="5"/>
  <c r="I78" i="5"/>
  <c r="H78" i="5"/>
  <c r="G78" i="5"/>
  <c r="N77" i="5"/>
  <c r="M77" i="5"/>
  <c r="J77" i="5"/>
  <c r="I77" i="5"/>
  <c r="H77" i="5"/>
  <c r="G77" i="5"/>
  <c r="N76" i="5"/>
  <c r="M76" i="5"/>
  <c r="J76" i="5"/>
  <c r="I76" i="5"/>
  <c r="H76" i="5"/>
  <c r="G76" i="5"/>
  <c r="N75" i="5"/>
  <c r="M75" i="5"/>
  <c r="J75" i="5"/>
  <c r="I75" i="5"/>
  <c r="H75" i="5"/>
  <c r="G75" i="5"/>
  <c r="N74" i="5"/>
  <c r="M74" i="5"/>
  <c r="J74" i="5"/>
  <c r="I74" i="5"/>
  <c r="H74" i="5"/>
  <c r="G74" i="5"/>
  <c r="N73" i="5"/>
  <c r="M73" i="5"/>
  <c r="J73" i="5"/>
  <c r="I73" i="5"/>
  <c r="H73" i="5"/>
  <c r="G73" i="5"/>
  <c r="N72" i="5"/>
  <c r="M72" i="5"/>
  <c r="J72" i="5"/>
  <c r="I72" i="5"/>
  <c r="H72" i="5"/>
  <c r="G72" i="5"/>
  <c r="N71" i="5"/>
  <c r="M71" i="5"/>
  <c r="J71" i="5"/>
  <c r="I71" i="5"/>
  <c r="H71" i="5"/>
  <c r="G71" i="5"/>
  <c r="N70" i="5"/>
  <c r="M70" i="5"/>
  <c r="J70" i="5"/>
  <c r="I70" i="5"/>
  <c r="H70" i="5"/>
  <c r="G70" i="5"/>
  <c r="N69" i="5"/>
  <c r="M69" i="5"/>
  <c r="J69" i="5"/>
  <c r="I69" i="5"/>
  <c r="H69" i="5"/>
  <c r="G69" i="5"/>
  <c r="N68" i="5"/>
  <c r="M68" i="5"/>
  <c r="J68" i="5"/>
  <c r="I68" i="5"/>
  <c r="H68" i="5"/>
  <c r="G68" i="5"/>
  <c r="N67" i="5"/>
  <c r="M67" i="5"/>
  <c r="J67" i="5"/>
  <c r="I67" i="5"/>
  <c r="H67" i="5"/>
  <c r="G67" i="5"/>
  <c r="N66" i="5"/>
  <c r="M66" i="5"/>
  <c r="J66" i="5"/>
  <c r="I66" i="5"/>
  <c r="H66" i="5"/>
  <c r="G66" i="5"/>
  <c r="N65" i="5"/>
  <c r="M65" i="5"/>
  <c r="J65" i="5"/>
  <c r="I65" i="5"/>
  <c r="H65" i="5"/>
  <c r="G65" i="5"/>
  <c r="N64" i="5"/>
  <c r="M64" i="5"/>
  <c r="J64" i="5"/>
  <c r="I64" i="5"/>
  <c r="H64" i="5"/>
  <c r="G64" i="5"/>
  <c r="N63" i="5"/>
  <c r="M63" i="5"/>
  <c r="J63" i="5"/>
  <c r="I63" i="5"/>
  <c r="H63" i="5"/>
  <c r="G63" i="5"/>
  <c r="N62" i="5"/>
  <c r="M62" i="5"/>
  <c r="J62" i="5"/>
  <c r="I62" i="5"/>
  <c r="H62" i="5"/>
  <c r="G62" i="5"/>
  <c r="N61" i="5"/>
  <c r="M61" i="5"/>
  <c r="J61" i="5"/>
  <c r="I61" i="5"/>
  <c r="H61" i="5"/>
  <c r="G61" i="5"/>
  <c r="N60" i="5"/>
  <c r="M60" i="5"/>
  <c r="J60" i="5"/>
  <c r="I60" i="5"/>
  <c r="H60" i="5"/>
  <c r="G60" i="5"/>
  <c r="N59" i="5"/>
  <c r="M59" i="5"/>
  <c r="J59" i="5"/>
  <c r="I59" i="5"/>
  <c r="H59" i="5"/>
  <c r="G59" i="5"/>
  <c r="N58" i="5"/>
  <c r="M58" i="5"/>
  <c r="J58" i="5"/>
  <c r="I58" i="5"/>
  <c r="H58" i="5"/>
  <c r="G58" i="5"/>
  <c r="N57" i="5"/>
  <c r="M57" i="5"/>
  <c r="J57" i="5"/>
  <c r="I57" i="5"/>
  <c r="H57" i="5"/>
  <c r="G57" i="5"/>
  <c r="N56" i="5"/>
  <c r="M56" i="5"/>
  <c r="J56" i="5"/>
  <c r="I56" i="5"/>
  <c r="H56" i="5"/>
  <c r="G56" i="5"/>
  <c r="N55" i="5"/>
  <c r="M55" i="5"/>
  <c r="J55" i="5"/>
  <c r="I55" i="5"/>
  <c r="H55" i="5"/>
  <c r="G55" i="5"/>
  <c r="N54" i="5"/>
  <c r="M54" i="5"/>
  <c r="J54" i="5"/>
  <c r="I54" i="5"/>
  <c r="H54" i="5"/>
  <c r="G54" i="5"/>
  <c r="N53" i="5"/>
  <c r="M53" i="5"/>
  <c r="J53" i="5"/>
  <c r="I53" i="5"/>
  <c r="H53" i="5"/>
  <c r="G53" i="5"/>
  <c r="N52" i="5"/>
  <c r="M52" i="5"/>
  <c r="J52" i="5"/>
  <c r="I52" i="5"/>
  <c r="H52" i="5"/>
  <c r="G52" i="5"/>
  <c r="N51" i="5"/>
  <c r="M51" i="5"/>
  <c r="J51" i="5"/>
  <c r="I51" i="5"/>
  <c r="H51" i="5"/>
  <c r="G51" i="5"/>
  <c r="N50" i="5"/>
  <c r="M50" i="5"/>
  <c r="J50" i="5"/>
  <c r="I50" i="5"/>
  <c r="H50" i="5"/>
  <c r="G50" i="5"/>
  <c r="N49" i="5"/>
  <c r="M49" i="5"/>
  <c r="J49" i="5"/>
  <c r="I49" i="5"/>
  <c r="H49" i="5"/>
  <c r="G49" i="5"/>
  <c r="N48" i="5"/>
  <c r="M48" i="5"/>
  <c r="J48" i="5"/>
  <c r="I48" i="5"/>
  <c r="H48" i="5"/>
  <c r="G48" i="5"/>
  <c r="N47" i="5"/>
  <c r="M47" i="5"/>
  <c r="J47" i="5"/>
  <c r="I47" i="5"/>
  <c r="H47" i="5"/>
  <c r="G47" i="5"/>
  <c r="N46" i="5"/>
  <c r="M46" i="5"/>
  <c r="J46" i="5"/>
  <c r="I46" i="5"/>
  <c r="H46" i="5"/>
  <c r="G46" i="5"/>
  <c r="N45" i="5"/>
  <c r="M45" i="5"/>
  <c r="J45" i="5"/>
  <c r="I45" i="5"/>
  <c r="H45" i="5"/>
  <c r="G45" i="5"/>
  <c r="N44" i="5"/>
  <c r="M44" i="5"/>
  <c r="J44" i="5"/>
  <c r="I44" i="5"/>
  <c r="H44" i="5"/>
  <c r="G44" i="5"/>
  <c r="N43" i="5"/>
  <c r="M43" i="5"/>
  <c r="J43" i="5"/>
  <c r="I43" i="5"/>
  <c r="H43" i="5"/>
  <c r="G43" i="5"/>
  <c r="N42" i="5"/>
  <c r="M42" i="5"/>
  <c r="J42" i="5"/>
  <c r="I42" i="5"/>
  <c r="H42" i="5"/>
  <c r="G42" i="5"/>
  <c r="N41" i="5"/>
  <c r="M41" i="5"/>
  <c r="J41" i="5"/>
  <c r="I41" i="5"/>
  <c r="H41" i="5"/>
  <c r="G41" i="5"/>
  <c r="N40" i="5"/>
  <c r="M40" i="5"/>
  <c r="J40" i="5"/>
  <c r="I40" i="5"/>
  <c r="H40" i="5"/>
  <c r="G40" i="5"/>
  <c r="N39" i="5"/>
  <c r="M39" i="5"/>
  <c r="J39" i="5"/>
  <c r="I39" i="5"/>
  <c r="H39" i="5"/>
  <c r="G39" i="5"/>
  <c r="N38" i="5"/>
  <c r="M38" i="5"/>
  <c r="J38" i="5"/>
  <c r="I38" i="5"/>
  <c r="H38" i="5"/>
  <c r="G38" i="5"/>
  <c r="N37" i="5"/>
  <c r="M37" i="5"/>
  <c r="J37" i="5"/>
  <c r="I37" i="5"/>
  <c r="H37" i="5"/>
  <c r="G37" i="5"/>
  <c r="N36" i="5"/>
  <c r="M36" i="5"/>
  <c r="J36" i="5"/>
  <c r="I36" i="5"/>
  <c r="H36" i="5"/>
  <c r="G36" i="5"/>
  <c r="N35" i="5"/>
  <c r="M35" i="5"/>
  <c r="J35" i="5"/>
  <c r="I35" i="5"/>
  <c r="H35" i="5"/>
  <c r="G35" i="5"/>
  <c r="N34" i="5"/>
  <c r="M34" i="5"/>
  <c r="J34" i="5"/>
  <c r="I34" i="5"/>
  <c r="H34" i="5"/>
  <c r="G34" i="5"/>
  <c r="N33" i="5"/>
  <c r="M33" i="5"/>
  <c r="J33" i="5"/>
  <c r="I33" i="5"/>
  <c r="H33" i="5"/>
  <c r="G33" i="5"/>
  <c r="N32" i="5"/>
  <c r="M32" i="5"/>
  <c r="J32" i="5"/>
  <c r="I32" i="5"/>
  <c r="H32" i="5"/>
  <c r="G32" i="5"/>
  <c r="N31" i="5"/>
  <c r="M31" i="5"/>
  <c r="J31" i="5"/>
  <c r="I31" i="5"/>
  <c r="H31" i="5"/>
  <c r="G31" i="5"/>
  <c r="N30" i="5"/>
  <c r="M30" i="5"/>
  <c r="J30" i="5"/>
  <c r="I30" i="5"/>
  <c r="H30" i="5"/>
  <c r="G30" i="5"/>
  <c r="N29" i="5"/>
  <c r="M29" i="5"/>
  <c r="J29" i="5"/>
  <c r="I29" i="5"/>
  <c r="H29" i="5"/>
  <c r="G29" i="5"/>
  <c r="N28" i="5"/>
  <c r="M28" i="5"/>
  <c r="J28" i="5"/>
  <c r="I28" i="5"/>
  <c r="H28" i="5"/>
  <c r="G28" i="5"/>
  <c r="N27" i="5"/>
  <c r="M27" i="5"/>
  <c r="J27" i="5"/>
  <c r="I27" i="5"/>
  <c r="H27" i="5"/>
  <c r="G27" i="5"/>
  <c r="N26" i="5"/>
  <c r="M26" i="5"/>
  <c r="J26" i="5"/>
  <c r="I26" i="5"/>
  <c r="H26" i="5"/>
  <c r="G26" i="5"/>
  <c r="N25" i="5"/>
  <c r="M25" i="5"/>
  <c r="J25" i="5"/>
  <c r="I25" i="5"/>
  <c r="H25" i="5"/>
  <c r="G25" i="5"/>
  <c r="N24" i="5"/>
  <c r="M24" i="5"/>
  <c r="J24" i="5"/>
  <c r="I24" i="5"/>
  <c r="H24" i="5"/>
  <c r="G24" i="5"/>
  <c r="N23" i="5"/>
  <c r="M23" i="5"/>
  <c r="J23" i="5"/>
  <c r="I23" i="5"/>
  <c r="H23" i="5"/>
  <c r="G23" i="5"/>
  <c r="N22" i="5"/>
  <c r="M22" i="5"/>
  <c r="J22" i="5"/>
  <c r="I22" i="5"/>
  <c r="H22" i="5"/>
  <c r="G22" i="5"/>
  <c r="N21" i="5"/>
  <c r="M21" i="5"/>
  <c r="J21" i="5"/>
  <c r="I21" i="5"/>
  <c r="H21" i="5"/>
  <c r="G21" i="5"/>
  <c r="N20" i="5"/>
  <c r="M20" i="5"/>
  <c r="J20" i="5"/>
  <c r="I20" i="5"/>
  <c r="H20" i="5"/>
  <c r="G20" i="5"/>
  <c r="N19" i="5"/>
  <c r="M19" i="5"/>
  <c r="J19" i="5"/>
  <c r="I19" i="5"/>
  <c r="H19" i="5"/>
  <c r="G19" i="5"/>
  <c r="N18" i="5"/>
  <c r="M18" i="5"/>
  <c r="J18" i="5"/>
  <c r="I18" i="5"/>
  <c r="H18" i="5"/>
  <c r="G18" i="5"/>
  <c r="N17" i="5"/>
  <c r="M17" i="5"/>
  <c r="J17" i="5"/>
  <c r="I17" i="5"/>
  <c r="H17" i="5"/>
  <c r="G17" i="5"/>
  <c r="N16" i="5"/>
  <c r="M16" i="5"/>
  <c r="J16" i="5"/>
  <c r="I16" i="5"/>
  <c r="H16" i="5"/>
  <c r="G16" i="5"/>
  <c r="N15" i="5"/>
  <c r="M15" i="5"/>
  <c r="J15" i="5"/>
  <c r="I15" i="5"/>
  <c r="H15" i="5"/>
  <c r="G15" i="5"/>
  <c r="N14" i="5"/>
  <c r="M14" i="5"/>
  <c r="J14" i="5"/>
  <c r="I14" i="5"/>
  <c r="H14" i="5"/>
  <c r="G14" i="5"/>
  <c r="N13" i="5"/>
  <c r="M13" i="5"/>
  <c r="J13" i="5"/>
  <c r="I13" i="5"/>
  <c r="H13" i="5"/>
  <c r="G13" i="5"/>
  <c r="N12" i="5"/>
  <c r="M12" i="5"/>
  <c r="J12" i="5"/>
  <c r="I12" i="5"/>
  <c r="H12" i="5"/>
  <c r="G12" i="5"/>
  <c r="N11" i="5"/>
  <c r="M11" i="5"/>
  <c r="J11" i="5"/>
  <c r="I11" i="5"/>
  <c r="H11" i="5"/>
  <c r="G11" i="5"/>
  <c r="N10" i="5"/>
  <c r="M10" i="5"/>
  <c r="J10" i="5"/>
  <c r="I10" i="5"/>
  <c r="H10" i="5"/>
  <c r="G10" i="5"/>
  <c r="N9" i="5"/>
  <c r="M9" i="5"/>
  <c r="J9" i="5"/>
  <c r="I9" i="5"/>
  <c r="H9" i="5"/>
  <c r="G9" i="5"/>
  <c r="N8" i="5"/>
  <c r="M8" i="5"/>
  <c r="J8" i="5"/>
  <c r="I8" i="5"/>
  <c r="H8" i="5"/>
  <c r="G8" i="5"/>
  <c r="N7" i="5"/>
  <c r="M7" i="5"/>
  <c r="J7" i="5"/>
  <c r="I7" i="5"/>
  <c r="H7" i="5"/>
  <c r="G7" i="5"/>
  <c r="N6" i="5"/>
  <c r="M6" i="5"/>
  <c r="J6" i="5"/>
  <c r="I6" i="5"/>
  <c r="H6" i="5"/>
  <c r="G6" i="5"/>
  <c r="N5" i="5"/>
  <c r="M5" i="5"/>
  <c r="J5" i="5"/>
  <c r="I5" i="5"/>
  <c r="H5" i="5"/>
  <c r="G5" i="5"/>
  <c r="N4" i="5"/>
  <c r="M4" i="5"/>
  <c r="J4" i="5"/>
  <c r="I4" i="5"/>
  <c r="H4" i="5"/>
  <c r="G4" i="5"/>
  <c r="N3" i="5"/>
  <c r="M3" i="5"/>
  <c r="J3" i="5"/>
  <c r="I3" i="5"/>
  <c r="H3" i="5"/>
  <c r="G3" i="5"/>
  <c r="G2" i="5"/>
  <c r="H2" i="5"/>
  <c r="I2" i="5"/>
  <c r="J2" i="5"/>
  <c r="K2" i="5" l="1"/>
  <c r="L148" i="5"/>
  <c r="L82" i="5"/>
  <c r="L112" i="5"/>
  <c r="L118" i="5"/>
  <c r="L85" i="5"/>
  <c r="K185" i="5"/>
  <c r="L58" i="5"/>
  <c r="K68" i="5"/>
  <c r="K18" i="5"/>
  <c r="K36" i="5"/>
  <c r="L136" i="5"/>
  <c r="L158" i="5"/>
  <c r="K160" i="5"/>
  <c r="K42" i="5"/>
  <c r="L13" i="5"/>
  <c r="L15" i="5"/>
  <c r="L25" i="5"/>
  <c r="L27" i="5"/>
  <c r="L31" i="5"/>
  <c r="L35" i="5"/>
  <c r="L43" i="5"/>
  <c r="L145" i="5"/>
  <c r="L167" i="5"/>
  <c r="K169" i="5"/>
  <c r="L171" i="5"/>
  <c r="L173" i="5"/>
  <c r="K175" i="5"/>
  <c r="L181" i="5"/>
  <c r="L151" i="5"/>
  <c r="K153" i="5"/>
  <c r="L10" i="5"/>
  <c r="L12" i="5"/>
  <c r="L14" i="5"/>
  <c r="L65" i="5"/>
  <c r="L67" i="5"/>
  <c r="L8" i="5"/>
  <c r="K6" i="5"/>
  <c r="L16" i="5"/>
  <c r="L18" i="5"/>
  <c r="K53" i="5"/>
  <c r="K59" i="5"/>
  <c r="L142" i="5"/>
  <c r="L188" i="5"/>
  <c r="K32" i="5"/>
  <c r="L36" i="5"/>
  <c r="K93" i="5"/>
  <c r="L166" i="5"/>
  <c r="L184" i="5"/>
  <c r="L178" i="5"/>
  <c r="L123" i="5"/>
  <c r="L131" i="5"/>
  <c r="L135" i="5"/>
  <c r="K24" i="5"/>
  <c r="L48" i="5"/>
  <c r="K50" i="5"/>
  <c r="L56" i="5"/>
  <c r="L109" i="5"/>
  <c r="K113" i="5"/>
  <c r="L115" i="5"/>
  <c r="L121" i="5"/>
  <c r="L137" i="5"/>
  <c r="L129" i="5"/>
  <c r="K133" i="5"/>
  <c r="K44" i="5"/>
  <c r="L155" i="5"/>
  <c r="K157" i="5"/>
  <c r="K9" i="5"/>
  <c r="L88" i="5"/>
  <c r="L98" i="5"/>
  <c r="K100" i="5"/>
  <c r="L110" i="5"/>
  <c r="K112" i="5"/>
  <c r="K149" i="5"/>
  <c r="K165" i="5"/>
  <c r="K56" i="5"/>
  <c r="K161" i="5"/>
  <c r="L163" i="5"/>
  <c r="L187" i="5"/>
  <c r="L134" i="5"/>
  <c r="K136" i="5"/>
  <c r="L157" i="5"/>
  <c r="K3" i="5"/>
  <c r="K15" i="5"/>
  <c r="K21" i="5"/>
  <c r="L49" i="5"/>
  <c r="L76" i="5"/>
  <c r="L124" i="5"/>
  <c r="K126" i="5"/>
  <c r="K132" i="5"/>
  <c r="K47" i="5"/>
  <c r="K122" i="5"/>
  <c r="L152" i="5"/>
  <c r="K154" i="5"/>
  <c r="K86" i="5"/>
  <c r="K90" i="5"/>
  <c r="K96" i="5"/>
  <c r="K129" i="5"/>
  <c r="K167" i="5"/>
  <c r="K171" i="5"/>
  <c r="K33" i="5"/>
  <c r="K92" i="5"/>
  <c r="L94" i="5"/>
  <c r="K125" i="5"/>
  <c r="L127" i="5"/>
  <c r="K131" i="5"/>
  <c r="K135" i="5"/>
  <c r="K152" i="5"/>
  <c r="K156" i="5"/>
  <c r="K188" i="5"/>
  <c r="K150" i="5"/>
  <c r="K27" i="5"/>
  <c r="K39" i="5"/>
  <c r="K54" i="5"/>
  <c r="K65" i="5"/>
  <c r="L81" i="5"/>
  <c r="K98" i="5"/>
  <c r="K102" i="5"/>
  <c r="K108" i="5"/>
  <c r="L114" i="5"/>
  <c r="K141" i="5"/>
  <c r="L143" i="5"/>
  <c r="K145" i="5"/>
  <c r="L169" i="5"/>
  <c r="K173" i="5"/>
  <c r="L179" i="5"/>
  <c r="K181" i="5"/>
  <c r="K123" i="5"/>
  <c r="L5" i="5"/>
  <c r="L22" i="5"/>
  <c r="L37" i="5"/>
  <c r="K104" i="5"/>
  <c r="L106" i="5"/>
  <c r="K110" i="5"/>
  <c r="K114" i="5"/>
  <c r="L133" i="5"/>
  <c r="K137" i="5"/>
  <c r="L139" i="5"/>
  <c r="L147" i="5"/>
  <c r="L154" i="5"/>
  <c r="K158" i="5"/>
  <c r="K162" i="5"/>
  <c r="L164" i="5"/>
  <c r="K166" i="5"/>
  <c r="K146" i="5"/>
  <c r="K182" i="5"/>
  <c r="L20" i="5"/>
  <c r="K12" i="5"/>
  <c r="L24" i="5"/>
  <c r="L3" i="5"/>
  <c r="L7" i="5"/>
  <c r="L9" i="5"/>
  <c r="L26" i="5"/>
  <c r="L47" i="5"/>
  <c r="L73" i="5"/>
  <c r="L79" i="5"/>
  <c r="L100" i="5"/>
  <c r="K116" i="5"/>
  <c r="K120" i="5"/>
  <c r="K143" i="5"/>
  <c r="K147" i="5"/>
  <c r="L149" i="5"/>
  <c r="K151" i="5"/>
  <c r="L175" i="5"/>
  <c r="K179" i="5"/>
  <c r="L185" i="5"/>
  <c r="K187" i="5"/>
  <c r="L11" i="5"/>
  <c r="L28" i="5"/>
  <c r="L30" i="5"/>
  <c r="K45" i="5"/>
  <c r="L66" i="5"/>
  <c r="L93" i="5"/>
  <c r="L95" i="5"/>
  <c r="K97" i="5"/>
  <c r="L128" i="5"/>
  <c r="L153" i="5"/>
  <c r="L160" i="5"/>
  <c r="K164" i="5"/>
  <c r="K168" i="5"/>
  <c r="L170" i="5"/>
  <c r="K172" i="5"/>
  <c r="L17" i="5"/>
  <c r="K40" i="5"/>
  <c r="K62" i="5"/>
  <c r="L74" i="5"/>
  <c r="K76" i="5"/>
  <c r="K89" i="5"/>
  <c r="L91" i="5"/>
  <c r="K95" i="5"/>
  <c r="L107" i="5"/>
  <c r="L111" i="5"/>
  <c r="K128" i="5"/>
  <c r="L130" i="5"/>
  <c r="L140" i="5"/>
  <c r="K142" i="5"/>
  <c r="L159" i="5"/>
  <c r="K170" i="5"/>
  <c r="L176" i="5"/>
  <c r="K178" i="5"/>
  <c r="L21" i="5"/>
  <c r="L57" i="5"/>
  <c r="L78" i="5"/>
  <c r="K105" i="5"/>
  <c r="K111" i="5"/>
  <c r="L117" i="5"/>
  <c r="K134" i="5"/>
  <c r="K138" i="5"/>
  <c r="K155" i="5"/>
  <c r="K159" i="5"/>
  <c r="L161" i="5"/>
  <c r="K163" i="5"/>
  <c r="K63" i="5"/>
  <c r="K119" i="5"/>
  <c r="L19" i="5"/>
  <c r="L4" i="5"/>
  <c r="L6" i="5"/>
  <c r="L23" i="5"/>
  <c r="K74" i="5"/>
  <c r="L97" i="5"/>
  <c r="K101" i="5"/>
  <c r="L103" i="5"/>
  <c r="K107" i="5"/>
  <c r="K117" i="5"/>
  <c r="K140" i="5"/>
  <c r="K144" i="5"/>
  <c r="L146" i="5"/>
  <c r="K148" i="5"/>
  <c r="L165" i="5"/>
  <c r="L172" i="5"/>
  <c r="K176" i="5"/>
  <c r="L182" i="5"/>
  <c r="K184" i="5"/>
  <c r="L29" i="5"/>
  <c r="K34" i="5"/>
  <c r="K46" i="5"/>
  <c r="K55" i="5"/>
  <c r="K64" i="5"/>
  <c r="L75" i="5"/>
  <c r="L92" i="5"/>
  <c r="K94" i="5"/>
  <c r="K130" i="5"/>
  <c r="L41" i="5"/>
  <c r="K71" i="5"/>
  <c r="K75" i="5"/>
  <c r="L77" i="5"/>
  <c r="K79" i="5"/>
  <c r="L96" i="5"/>
  <c r="L113" i="5"/>
  <c r="K115" i="5"/>
  <c r="L132" i="5"/>
  <c r="L168" i="5"/>
  <c r="L183" i="5"/>
  <c r="K183" i="5"/>
  <c r="K43" i="5"/>
  <c r="K48" i="5"/>
  <c r="L50" i="5"/>
  <c r="K57" i="5"/>
  <c r="L59" i="5"/>
  <c r="K66" i="5"/>
  <c r="L68" i="5"/>
  <c r="K77" i="5"/>
  <c r="K81" i="5"/>
  <c r="L83" i="5"/>
  <c r="K85" i="5"/>
  <c r="L102" i="5"/>
  <c r="L119" i="5"/>
  <c r="K121" i="5"/>
  <c r="L138" i="5"/>
  <c r="K8" i="5"/>
  <c r="K11" i="5"/>
  <c r="K14" i="5"/>
  <c r="K17" i="5"/>
  <c r="K20" i="5"/>
  <c r="K23" i="5"/>
  <c r="K26" i="5"/>
  <c r="K29" i="5"/>
  <c r="L34" i="5"/>
  <c r="L38" i="5"/>
  <c r="L46" i="5"/>
  <c r="K52" i="5"/>
  <c r="L55" i="5"/>
  <c r="K61" i="5"/>
  <c r="L64" i="5"/>
  <c r="K70" i="5"/>
  <c r="L87" i="5"/>
  <c r="L104" i="5"/>
  <c r="K106" i="5"/>
  <c r="L174" i="5"/>
  <c r="K174" i="5"/>
  <c r="K5" i="5"/>
  <c r="L33" i="5"/>
  <c r="K41" i="5"/>
  <c r="L45" i="5"/>
  <c r="L72" i="5"/>
  <c r="K83" i="5"/>
  <c r="K87" i="5"/>
  <c r="L89" i="5"/>
  <c r="K91" i="5"/>
  <c r="L108" i="5"/>
  <c r="L125" i="5"/>
  <c r="K127" i="5"/>
  <c r="L144" i="5"/>
  <c r="K31" i="5"/>
  <c r="L54" i="5"/>
  <c r="L63" i="5"/>
  <c r="K72" i="5"/>
  <c r="L180" i="5"/>
  <c r="K180" i="5"/>
  <c r="L150" i="5"/>
  <c r="K7" i="5"/>
  <c r="K10" i="5"/>
  <c r="K13" i="5"/>
  <c r="K16" i="5"/>
  <c r="K19" i="5"/>
  <c r="K22" i="5"/>
  <c r="K25" i="5"/>
  <c r="K28" i="5"/>
  <c r="K38" i="5"/>
  <c r="L42" i="5"/>
  <c r="K49" i="5"/>
  <c r="L52" i="5"/>
  <c r="K58" i="5"/>
  <c r="L61" i="5"/>
  <c r="K67" i="5"/>
  <c r="L70" i="5"/>
  <c r="K78" i="5"/>
  <c r="L80" i="5"/>
  <c r="K82" i="5"/>
  <c r="L99" i="5"/>
  <c r="L116" i="5"/>
  <c r="K118" i="5"/>
  <c r="L186" i="5"/>
  <c r="K186" i="5"/>
  <c r="K4" i="5"/>
  <c r="K37" i="5"/>
  <c r="L84" i="5"/>
  <c r="K99" i="5"/>
  <c r="L101" i="5"/>
  <c r="K103" i="5"/>
  <c r="L120" i="5"/>
  <c r="K139" i="5"/>
  <c r="L156" i="5"/>
  <c r="L32" i="5"/>
  <c r="L40" i="5"/>
  <c r="L44" i="5"/>
  <c r="L51" i="5"/>
  <c r="L60" i="5"/>
  <c r="L69" i="5"/>
  <c r="K80" i="5"/>
  <c r="K84" i="5"/>
  <c r="L86" i="5"/>
  <c r="K88" i="5"/>
  <c r="L105" i="5"/>
  <c r="L122" i="5"/>
  <c r="K124" i="5"/>
  <c r="L141" i="5"/>
  <c r="K30" i="5"/>
  <c r="K35" i="5"/>
  <c r="L39" i="5"/>
  <c r="K51" i="5"/>
  <c r="L53" i="5"/>
  <c r="K60" i="5"/>
  <c r="L62" i="5"/>
  <c r="K69" i="5"/>
  <c r="L71" i="5"/>
  <c r="K73" i="5"/>
  <c r="L90" i="5"/>
  <c r="K109" i="5"/>
  <c r="L126" i="5"/>
  <c r="L162" i="5"/>
  <c r="L177" i="5"/>
  <c r="K177" i="5"/>
  <c r="M2" i="5" l="1"/>
  <c r="L2" i="5" l="1"/>
</calcChain>
</file>

<file path=xl/sharedStrings.xml><?xml version="1.0" encoding="utf-8"?>
<sst xmlns="http://schemas.openxmlformats.org/spreadsheetml/2006/main" count="33" uniqueCount="33">
  <si>
    <t>Offset</t>
  </si>
  <si>
    <t>S11 Re</t>
  </si>
  <si>
    <t>S11 Im</t>
  </si>
  <si>
    <t>S21 Re</t>
  </si>
  <si>
    <t>S21 Im</t>
  </si>
  <si>
    <t>Z11 Re</t>
  </si>
  <si>
    <t>Z11 Im</t>
  </si>
  <si>
    <t>Z12 Re</t>
  </si>
  <si>
    <t>Z12 Im</t>
  </si>
  <si>
    <t>L=Lcav</t>
  </si>
  <si>
    <t>Re[Vcav]</t>
  </si>
  <si>
    <t>Im[Vcav]</t>
  </si>
  <si>
    <t>Re[Vrad]</t>
  </si>
  <si>
    <t>Im[Vrad]</t>
  </si>
  <si>
    <t>|rho|</t>
  </si>
  <si>
    <t>arg(rho)</t>
  </si>
  <si>
    <t>#</t>
  </si>
  <si>
    <t>#"Run ID"</t>
  </si>
  <si>
    <t>S1,1 [Re]</t>
  </si>
  <si>
    <t>S1,1 [Im]</t>
  </si>
  <si>
    <t>#----------------------------------------------------------------</t>
  </si>
  <si>
    <t>CavFace_Int_e-field (f=9) (1)</t>
  </si>
  <si>
    <t>CavFace_Int_e-field (f=9) (1)_1</t>
  </si>
  <si>
    <t>RadFace_Int_e-field (f=9) (1)</t>
  </si>
  <si>
    <t>RadFace_Int_e-field (f=9) (1)_1</t>
  </si>
  <si>
    <t>S2,1 [Re]</t>
  </si>
  <si>
    <t>S2,1 [Im]</t>
  </si>
  <si>
    <t>Rself</t>
  </si>
  <si>
    <t>Xself</t>
  </si>
  <si>
    <t>Gself</t>
  </si>
  <si>
    <t>Bself</t>
  </si>
  <si>
    <t>Column1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</si>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</sst>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10">
    <xf numFmtId="0" fontId="0" fillId="0" borderId="0" xfId="0"/>
    <xf numFmtId="0" fontId="1" fillId="5" borderId="0" xfId="4" applyFont="1" applyAlignment="1">
      <alignment horizontal="center"/>
    </xf>
    <xf numFmtId="0" fontId="1" fillId="2" borderId="0" xfId="1" applyFont="1" applyAlignment="1">
      <alignment horizontal="center"/>
    </xf>
    <xf numFmtId="0" fontId="1" fillId="3" borderId="0" xfId="2" applyFont="1" applyAlignment="1">
      <alignment horizontal="center"/>
    </xf>
    <xf numFmtId="11" fontId="0" fillId="0" borderId="0" xfId="0" applyNumberFormat="1"/>
    <xf numFmtId="164" fontId="0" fillId="0" borderId="0" xfId="0" applyNumberFormat="1"/>
    <xf numFmtId="0" fontId="1" fillId="6" borderId="0" xfId="3" applyFont="1" applyFill="1" applyAlignment="1">
      <alignment horizontal="center"/>
    </xf>
    <xf numFmtId="0" fontId="0" fillId="6" borderId="0" xfId="0" applyFill="1"/>
    <xf numFmtId="0" fontId="0" fillId="7" borderId="0" xfId="0" applyFill="1"/>
    <xf numFmtId="0" fontId="3" fillId="0" borderId="0" xfId="0" applyFont="1"/>
  </cellXfs>
  <cellStyles count="5">
    <cellStyle name="60% - Accent1" xfId="1" builtinId="32"/>
    <cellStyle name="60% - Accent3" xfId="2" builtinId="40"/>
    <cellStyle name="60% - Accent4" xfId="3" builtinId="44"/>
    <cellStyle name="Accent6" xfId="4" builtinId="49"/>
    <cellStyle name="Normal" xfId="0" builtinId="0"/>
  </cellStyles>
  <dxfs count="9"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FD!$A$2:$A$10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FD!$M$2:$M$10</c:f>
              <c:numCache>
                <c:formatCode>General</c:formatCode>
                <c:ptCount val="9"/>
                <c:pt idx="0">
                  <c:v>9.7450304872599303E-3</c:v>
                </c:pt>
                <c:pt idx="1">
                  <c:v>1.2378175480793299E-2</c:v>
                </c:pt>
                <c:pt idx="2">
                  <c:v>1.51685166788474E-2</c:v>
                </c:pt>
                <c:pt idx="3">
                  <c:v>1.8146057850338099E-2</c:v>
                </c:pt>
                <c:pt idx="4">
                  <c:v>2.13147554958187E-2</c:v>
                </c:pt>
                <c:pt idx="5">
                  <c:v>2.48305546769273E-2</c:v>
                </c:pt>
                <c:pt idx="6">
                  <c:v>2.8316130685018901E-2</c:v>
                </c:pt>
                <c:pt idx="7">
                  <c:v>3.1945876170572499E-2</c:v>
                </c:pt>
                <c:pt idx="8">
                  <c:v>3.5711735867661701E-2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CD-4A1C-8C06-81C534F25837}"/>
            </c:ext>
          </c:extLst>
        </c:ser>
        <c:ser>
          <c:idx val="2"/>
          <c:order val="1"/>
          <c:tx>
            <c:v>Bself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FD!$A$2:$A$10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FD!$N$2:$N$10</c:f>
              <c:numCache>
                <c:formatCode>General</c:formatCode>
                <c:ptCount val="9"/>
                <c:pt idx="0">
                  <c:v>6.6102839468603798E-3</c:v>
                </c:pt>
                <c:pt idx="1">
                  <c:v>1.04507366178168E-2</c:v>
                </c:pt>
                <c:pt idx="2">
                  <c:v>1.4705548595103901E-2</c:v>
                </c:pt>
                <c:pt idx="3">
                  <c:v>1.9345559836101402E-2</c:v>
                </c:pt>
                <c:pt idx="4">
                  <c:v>2.4371076273065801E-2</c:v>
                </c:pt>
                <c:pt idx="5">
                  <c:v>2.9843597742385899E-2</c:v>
                </c:pt>
                <c:pt idx="6">
                  <c:v>3.5616216959237203E-2</c:v>
                </c:pt>
                <c:pt idx="7">
                  <c:v>4.1744159217800003E-2</c:v>
                </c:pt>
                <c:pt idx="8">
                  <c:v>4.8199665586461597E-2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CD-4A1C-8C06-81C534F25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560639"/>
        <c:axId val="304561119"/>
      </c:scatterChart>
      <c:valAx>
        <c:axId val="304560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61119"/>
        <c:crosses val="autoZero"/>
        <c:crossBetween val="midCat"/>
      </c:valAx>
      <c:valAx>
        <c:axId val="30456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G, B (self)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606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15.2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FD!$A$11:$A$19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FD!$M$11:$M$19</c:f>
              <c:numCache>
                <c:formatCode>General</c:formatCode>
                <c:ptCount val="9"/>
                <c:pt idx="0">
                  <c:v>1.33872741428856E-2</c:v>
                </c:pt>
                <c:pt idx="1">
                  <c:v>1.6448019820706601E-2</c:v>
                </c:pt>
                <c:pt idx="2">
                  <c:v>2.0081008298406401E-2</c:v>
                </c:pt>
                <c:pt idx="3">
                  <c:v>2.4204149640494301E-2</c:v>
                </c:pt>
                <c:pt idx="4">
                  <c:v>2.83509439412554E-2</c:v>
                </c:pt>
                <c:pt idx="5">
                  <c:v>3.2741277108320699E-2</c:v>
                </c:pt>
                <c:pt idx="6">
                  <c:v>3.7331068110673001E-2</c:v>
                </c:pt>
                <c:pt idx="7">
                  <c:v>4.2111489748367599E-2</c:v>
                </c:pt>
                <c:pt idx="8">
                  <c:v>4.7042673906922197E-2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25-4535-A694-4B9BAC1C1319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FD!$A$11:$A$19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FD!$N$11:$N$19</c:f>
              <c:numCache>
                <c:formatCode>General</c:formatCode>
                <c:ptCount val="9"/>
                <c:pt idx="0">
                  <c:v>7.6698914898999703E-3</c:v>
                </c:pt>
                <c:pt idx="1">
                  <c:v>1.16052692957519E-2</c:v>
                </c:pt>
                <c:pt idx="2">
                  <c:v>1.6121817004982102E-2</c:v>
                </c:pt>
                <c:pt idx="3">
                  <c:v>2.1152698345745801E-2</c:v>
                </c:pt>
                <c:pt idx="4">
                  <c:v>2.6546895800778202E-2</c:v>
                </c:pt>
                <c:pt idx="5">
                  <c:v>3.23576317933921E-2</c:v>
                </c:pt>
                <c:pt idx="6">
                  <c:v>3.8575598462337997E-2</c:v>
                </c:pt>
                <c:pt idx="7">
                  <c:v>4.5170824967592803E-2</c:v>
                </c:pt>
                <c:pt idx="8">
                  <c:v>5.21405907501927E-2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25-4535-A694-4B9BAC1C1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562079"/>
        <c:axId val="304578879"/>
      </c:scatterChart>
      <c:valAx>
        <c:axId val="304562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78879"/>
        <c:crosses val="autoZero"/>
        <c:crossBetween val="midCat"/>
      </c:valAx>
      <c:valAx>
        <c:axId val="30457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G, B (self)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62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15.4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FD!$A$20:$A$28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FD!$M$20:$M$28</c:f>
              <c:numCache>
                <c:formatCode>General</c:formatCode>
                <c:ptCount val="9"/>
                <c:pt idx="0">
                  <c:v>1.7568206557221799E-2</c:v>
                </c:pt>
                <c:pt idx="1">
                  <c:v>2.1880968900259801E-2</c:v>
                </c:pt>
                <c:pt idx="2">
                  <c:v>2.6662234221141699E-2</c:v>
                </c:pt>
                <c:pt idx="3">
                  <c:v>3.18026459986104E-2</c:v>
                </c:pt>
                <c:pt idx="4">
                  <c:v>3.7284559461850497E-2</c:v>
                </c:pt>
                <c:pt idx="5">
                  <c:v>4.3091698590923801E-2</c:v>
                </c:pt>
                <c:pt idx="6">
                  <c:v>4.9145691498004997E-2</c:v>
                </c:pt>
                <c:pt idx="7">
                  <c:v>5.5427760163763801E-2</c:v>
                </c:pt>
                <c:pt idx="8">
                  <c:v>6.1917239045459399E-2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F9-44DB-AC23-9B356999AC06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FD!$A$20:$A$28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FD!$N$20:$N$28</c:f>
              <c:numCache>
                <c:formatCode>General</c:formatCode>
                <c:ptCount val="9"/>
                <c:pt idx="0">
                  <c:v>7.7022560962443001E-3</c:v>
                </c:pt>
                <c:pt idx="1">
                  <c:v>1.1851336260201699E-2</c:v>
                </c:pt>
                <c:pt idx="2">
                  <c:v>1.6486879664053201E-2</c:v>
                </c:pt>
                <c:pt idx="3">
                  <c:v>2.1587249709803798E-2</c:v>
                </c:pt>
                <c:pt idx="4">
                  <c:v>2.7157688085355298E-2</c:v>
                </c:pt>
                <c:pt idx="5">
                  <c:v>3.3169116306584999E-2</c:v>
                </c:pt>
                <c:pt idx="6">
                  <c:v>3.9633445415890103E-2</c:v>
                </c:pt>
                <c:pt idx="7">
                  <c:v>4.6515169434529699E-2</c:v>
                </c:pt>
                <c:pt idx="8">
                  <c:v>5.3826846647660603E-2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F9-44DB-AC23-9B356999A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583199"/>
        <c:axId val="304586079"/>
      </c:scatterChart>
      <c:valAx>
        <c:axId val="304583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86079"/>
        <c:crosses val="autoZero"/>
        <c:crossBetween val="midCat"/>
      </c:valAx>
      <c:valAx>
        <c:axId val="304586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G, B (self)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83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15.6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FD!$A$29:$A$37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FD!$M$29:$M$37</c:f>
              <c:numCache>
                <c:formatCode>General</c:formatCode>
                <c:ptCount val="9"/>
                <c:pt idx="0">
                  <c:v>2.2522461798177299E-2</c:v>
                </c:pt>
                <c:pt idx="1">
                  <c:v>2.80959615053471E-2</c:v>
                </c:pt>
                <c:pt idx="2">
                  <c:v>3.4299344880702E-2</c:v>
                </c:pt>
                <c:pt idx="3">
                  <c:v>4.0983219155910799E-2</c:v>
                </c:pt>
                <c:pt idx="4">
                  <c:v>4.8118922058470598E-2</c:v>
                </c:pt>
                <c:pt idx="5">
                  <c:v>5.5667494074317203E-2</c:v>
                </c:pt>
                <c:pt idx="6">
                  <c:v>6.3557784246305093E-2</c:v>
                </c:pt>
                <c:pt idx="7">
                  <c:v>7.17411455806439E-2</c:v>
                </c:pt>
                <c:pt idx="8">
                  <c:v>8.0207304254872505E-2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65-4865-8AB7-5CE905C2B4B8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FD!$A$29:$A$37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FD!$N$29:$N$37</c:f>
              <c:numCache>
                <c:formatCode>General</c:formatCode>
                <c:ptCount val="9"/>
                <c:pt idx="0">
                  <c:v>6.2603880429613797E-3</c:v>
                </c:pt>
                <c:pt idx="1">
                  <c:v>1.0193579763516701E-2</c:v>
                </c:pt>
                <c:pt idx="2">
                  <c:v>1.4556674791687501E-2</c:v>
                </c:pt>
                <c:pt idx="3">
                  <c:v>1.93867822115384E-2</c:v>
                </c:pt>
                <c:pt idx="4">
                  <c:v>2.4707322815793398E-2</c:v>
                </c:pt>
                <c:pt idx="5">
                  <c:v>3.0493831983000302E-2</c:v>
                </c:pt>
                <c:pt idx="6">
                  <c:v>3.67896687030808E-2</c:v>
                </c:pt>
                <c:pt idx="7">
                  <c:v>4.3561239638463499E-2</c:v>
                </c:pt>
                <c:pt idx="8">
                  <c:v>5.0828339596861997E-2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5-4865-8AB7-5CE905C2B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584159"/>
        <c:axId val="304584639"/>
      </c:scatterChart>
      <c:valAx>
        <c:axId val="3045841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84639"/>
        <c:crosses val="autoZero"/>
        <c:crossBetween val="midCat"/>
      </c:valAx>
      <c:valAx>
        <c:axId val="304584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G, B (self)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841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15.8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FD!$A$38:$A$46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FD!$M$38:$M$46</c:f>
              <c:numCache>
                <c:formatCode>General</c:formatCode>
                <c:ptCount val="9"/>
                <c:pt idx="0">
                  <c:v>2.74029006745545E-2</c:v>
                </c:pt>
                <c:pt idx="1">
                  <c:v>3.4329774000787898E-2</c:v>
                </c:pt>
                <c:pt idx="2">
                  <c:v>4.20286913678206E-2</c:v>
                </c:pt>
                <c:pt idx="3">
                  <c:v>5.03514193003562E-2</c:v>
                </c:pt>
                <c:pt idx="4">
                  <c:v>5.9269853395704397E-2</c:v>
                </c:pt>
                <c:pt idx="5">
                  <c:v>6.87295190358167E-2</c:v>
                </c:pt>
                <c:pt idx="6">
                  <c:v>7.8676208468953596E-2</c:v>
                </c:pt>
                <c:pt idx="7">
                  <c:v>8.9037038116111106E-2</c:v>
                </c:pt>
                <c:pt idx="8">
                  <c:v>9.9483681800654103E-2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01-42C8-9B8A-B9EDF58786C1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FD!$A$38:$A$46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FD!$N$38:$N$46</c:f>
              <c:numCache>
                <c:formatCode>General</c:formatCode>
                <c:ptCount val="9"/>
                <c:pt idx="0">
                  <c:v>2.5937155258385098E-3</c:v>
                </c:pt>
                <c:pt idx="1">
                  <c:v>5.7304843087976698E-3</c:v>
                </c:pt>
                <c:pt idx="2">
                  <c:v>9.1816856983911906E-3</c:v>
                </c:pt>
                <c:pt idx="3">
                  <c:v>1.3072458592508799E-2</c:v>
                </c:pt>
                <c:pt idx="4">
                  <c:v>1.74536616212107E-2</c:v>
                </c:pt>
                <c:pt idx="5">
                  <c:v>2.23132616388678E-2</c:v>
                </c:pt>
                <c:pt idx="6">
                  <c:v>2.77269821805642E-2</c:v>
                </c:pt>
                <c:pt idx="7">
                  <c:v>3.3672058406093899E-2</c:v>
                </c:pt>
                <c:pt idx="8">
                  <c:v>4.0021809884912302E-2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01-42C8-9B8A-B9EDF5878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606719"/>
        <c:axId val="304590399"/>
      </c:scatterChart>
      <c:valAx>
        <c:axId val="304606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90399"/>
        <c:crosses val="autoZero"/>
        <c:crossBetween val="midCat"/>
      </c:valAx>
      <c:valAx>
        <c:axId val="30459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G, B (self)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606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FD!$A$47:$A$55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FD!$M$47:$M$55</c:f>
              <c:numCache>
                <c:formatCode>General</c:formatCode>
                <c:ptCount val="9"/>
                <c:pt idx="0">
                  <c:v>3.0688895086246299E-2</c:v>
                </c:pt>
                <c:pt idx="1">
                  <c:v>3.8672957590693301E-2</c:v>
                </c:pt>
                <c:pt idx="2">
                  <c:v>4.7519372526020898E-2</c:v>
                </c:pt>
                <c:pt idx="3">
                  <c:v>5.7139692721143699E-2</c:v>
                </c:pt>
                <c:pt idx="4">
                  <c:v>6.7524305955161096E-2</c:v>
                </c:pt>
                <c:pt idx="5">
                  <c:v>7.8618359333090304E-2</c:v>
                </c:pt>
                <c:pt idx="6">
                  <c:v>9.0408969391534602E-2</c:v>
                </c:pt>
                <c:pt idx="7">
                  <c:v>0.10279991640259099</c:v>
                </c:pt>
                <c:pt idx="8">
                  <c:v>0.115407265643535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3-40E5-BF00-104B1C5674A5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FD!$A$47:$A$55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FD!$N$47:$N$55</c:f>
              <c:numCache>
                <c:formatCode>General</c:formatCode>
                <c:ptCount val="9"/>
                <c:pt idx="0">
                  <c:v>-3.3267920825976499E-3</c:v>
                </c:pt>
                <c:pt idx="1">
                  <c:v>-1.66279562699862E-3</c:v>
                </c:pt>
                <c:pt idx="2">
                  <c:v>1.6311688068528299E-4</c:v>
                </c:pt>
                <c:pt idx="3">
                  <c:v>2.3481323355645299E-3</c:v>
                </c:pt>
                <c:pt idx="4">
                  <c:v>4.97317258881103E-3</c:v>
                </c:pt>
                <c:pt idx="5">
                  <c:v>8.0273873150211398E-3</c:v>
                </c:pt>
                <c:pt idx="6">
                  <c:v>1.16188940382732E-2</c:v>
                </c:pt>
                <c:pt idx="7">
                  <c:v>1.57426500892071E-2</c:v>
                </c:pt>
                <c:pt idx="8">
                  <c:v>2.0363638890427201E-2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03-40E5-BF00-104B1C567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502559"/>
        <c:axId val="304496799"/>
      </c:scatterChart>
      <c:valAx>
        <c:axId val="304502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496799"/>
        <c:crosses val="autoZero"/>
        <c:crossBetween val="midCat"/>
      </c:valAx>
      <c:valAx>
        <c:axId val="30449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G, B (self)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02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16.2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FD!$A$56:$A$64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FD!$M$56:$M$64</c:f>
              <c:numCache>
                <c:formatCode>General</c:formatCode>
                <c:ptCount val="9"/>
                <c:pt idx="0">
                  <c:v>3.11041741008777E-2</c:v>
                </c:pt>
                <c:pt idx="1">
                  <c:v>3.9432134427966101E-2</c:v>
                </c:pt>
                <c:pt idx="2">
                  <c:v>4.8662872827068701E-2</c:v>
                </c:pt>
                <c:pt idx="3">
                  <c:v>5.8795654852811401E-2</c:v>
                </c:pt>
                <c:pt idx="4">
                  <c:v>6.9541426170921294E-2</c:v>
                </c:pt>
                <c:pt idx="5">
                  <c:v>8.1530237867556601E-2</c:v>
                </c:pt>
                <c:pt idx="6">
                  <c:v>9.4393624577425797E-2</c:v>
                </c:pt>
                <c:pt idx="7">
                  <c:v>0.107637137123862</c:v>
                </c:pt>
                <c:pt idx="8">
                  <c:v>0.122043844190759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94-452A-8912-F140A2437B41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FD!$A$56:$A$64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FD!$N$56:$N$64</c:f>
              <c:numCache>
                <c:formatCode>General</c:formatCode>
                <c:ptCount val="9"/>
                <c:pt idx="0">
                  <c:v>-1.0197880264609599E-2</c:v>
                </c:pt>
                <c:pt idx="1">
                  <c:v>-1.03857907362815E-2</c:v>
                </c:pt>
                <c:pt idx="2">
                  <c:v>-1.0606918647440899E-2</c:v>
                </c:pt>
                <c:pt idx="3">
                  <c:v>-1.0677212698739899E-2</c:v>
                </c:pt>
                <c:pt idx="4">
                  <c:v>-1.0392878591393401E-2</c:v>
                </c:pt>
                <c:pt idx="5">
                  <c:v>-9.6618903454666599E-3</c:v>
                </c:pt>
                <c:pt idx="6">
                  <c:v>-8.6471923679280593E-3</c:v>
                </c:pt>
                <c:pt idx="7">
                  <c:v>-7.20347560026054E-3</c:v>
                </c:pt>
                <c:pt idx="8">
                  <c:v>-5.3228225486019803E-3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94-452A-8912-F140A2437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513599"/>
        <c:axId val="304502559"/>
      </c:scatterChart>
      <c:valAx>
        <c:axId val="304513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02559"/>
        <c:crosses val="autoZero"/>
        <c:crossBetween val="midCat"/>
      </c:valAx>
      <c:valAx>
        <c:axId val="30450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G, B (self)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13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16.4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FD!$A$65:$A$73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FD!$M$65:$M$73</c:f>
              <c:numCache>
                <c:formatCode>General</c:formatCode>
                <c:ptCount val="9"/>
                <c:pt idx="0">
                  <c:v>2.8769813052815701E-2</c:v>
                </c:pt>
                <c:pt idx="1">
                  <c:v>3.6680701490872901E-2</c:v>
                </c:pt>
                <c:pt idx="2">
                  <c:v>4.5449398723574397E-2</c:v>
                </c:pt>
                <c:pt idx="3">
                  <c:v>5.51284736014317E-2</c:v>
                </c:pt>
                <c:pt idx="4">
                  <c:v>6.5497745486314193E-2</c:v>
                </c:pt>
                <c:pt idx="5">
                  <c:v>7.7022386271287893E-2</c:v>
                </c:pt>
                <c:pt idx="6">
                  <c:v>8.9546216224715994E-2</c:v>
                </c:pt>
                <c:pt idx="7">
                  <c:v>0.103097777671715</c:v>
                </c:pt>
                <c:pt idx="8">
                  <c:v>0.11760939449543099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2-4196-87DE-8BE3D9230479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FD!$A$65:$A$73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FD!$N$65:$N$73</c:f>
              <c:numCache>
                <c:formatCode>General</c:formatCode>
                <c:ptCount val="9"/>
                <c:pt idx="0">
                  <c:v>-1.60709612213734E-2</c:v>
                </c:pt>
                <c:pt idx="1">
                  <c:v>-1.7966474619274499E-2</c:v>
                </c:pt>
                <c:pt idx="2">
                  <c:v>-2.00384893036459E-2</c:v>
                </c:pt>
                <c:pt idx="3">
                  <c:v>-2.2133726205684399E-2</c:v>
                </c:pt>
                <c:pt idx="4">
                  <c:v>-2.4153425284442E-2</c:v>
                </c:pt>
                <c:pt idx="5">
                  <c:v>-2.5913553841482501E-2</c:v>
                </c:pt>
                <c:pt idx="6">
                  <c:v>-2.7526579345008802E-2</c:v>
                </c:pt>
                <c:pt idx="7">
                  <c:v>-2.9051792407694801E-2</c:v>
                </c:pt>
                <c:pt idx="8">
                  <c:v>-3.0309391432972E-2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72-4196-87DE-8BE3D9230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520799"/>
        <c:axId val="304521279"/>
      </c:scatterChart>
      <c:valAx>
        <c:axId val="304520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21279"/>
        <c:crosses val="autoZero"/>
        <c:crossBetween val="midCat"/>
      </c:valAx>
      <c:valAx>
        <c:axId val="304521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G, B (self)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20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16.6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FD!$A$74:$A$82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FD!$M$74:$M$82</c:f>
              <c:numCache>
                <c:formatCode>General</c:formatCode>
                <c:ptCount val="9"/>
                <c:pt idx="0">
                  <c:v>2.5041829399120499E-2</c:v>
                </c:pt>
                <c:pt idx="1">
                  <c:v>3.2070164617444698E-2</c:v>
                </c:pt>
                <c:pt idx="2">
                  <c:v>3.9856865832859398E-2</c:v>
                </c:pt>
                <c:pt idx="3">
                  <c:v>4.8502047664911799E-2</c:v>
                </c:pt>
                <c:pt idx="4">
                  <c:v>5.8058776845842201E-2</c:v>
                </c:pt>
                <c:pt idx="5">
                  <c:v>6.8535651140419804E-2</c:v>
                </c:pt>
                <c:pt idx="6">
                  <c:v>7.9695994309704393E-2</c:v>
                </c:pt>
                <c:pt idx="7">
                  <c:v>9.2139929350160105E-2</c:v>
                </c:pt>
                <c:pt idx="8">
                  <c:v>0.105585400832037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29-4CC4-99BD-67027551E7D3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FD!$A$74:$A$82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FD!$N$74:$N$82</c:f>
              <c:numCache>
                <c:formatCode>General</c:formatCode>
                <c:ptCount val="9"/>
                <c:pt idx="0">
                  <c:v>-1.99768957812551E-2</c:v>
                </c:pt>
                <c:pt idx="1">
                  <c:v>-2.3097920129224202E-2</c:v>
                </c:pt>
                <c:pt idx="2">
                  <c:v>-2.6487128373342599E-2</c:v>
                </c:pt>
                <c:pt idx="3">
                  <c:v>-3.0066752162484101E-2</c:v>
                </c:pt>
                <c:pt idx="4">
                  <c:v>-3.3804528325334801E-2</c:v>
                </c:pt>
                <c:pt idx="5">
                  <c:v>-3.7645715713410202E-2</c:v>
                </c:pt>
                <c:pt idx="6">
                  <c:v>-4.14082594729102E-2</c:v>
                </c:pt>
                <c:pt idx="7">
                  <c:v>-4.5296689013433603E-2</c:v>
                </c:pt>
                <c:pt idx="8">
                  <c:v>-4.9170791739034297E-2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29-4CC4-99BD-67027551E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546239"/>
        <c:axId val="304546719"/>
      </c:scatterChart>
      <c:valAx>
        <c:axId val="304546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46719"/>
        <c:crosses val="autoZero"/>
        <c:crossBetween val="midCat"/>
      </c:valAx>
      <c:valAx>
        <c:axId val="30454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G, B (self)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46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16.8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FD!$A$83:$A$91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FD!$M$83:$M$91</c:f>
              <c:numCache>
                <c:formatCode>General</c:formatCode>
                <c:ptCount val="9"/>
                <c:pt idx="0">
                  <c:v>2.1122571221466602E-2</c:v>
                </c:pt>
                <c:pt idx="1">
                  <c:v>2.7178814219767401E-2</c:v>
                </c:pt>
                <c:pt idx="2">
                  <c:v>3.38564671213087E-2</c:v>
                </c:pt>
                <c:pt idx="3">
                  <c:v>4.12875949507936E-2</c:v>
                </c:pt>
                <c:pt idx="4">
                  <c:v>4.9532273283616299E-2</c:v>
                </c:pt>
                <c:pt idx="5">
                  <c:v>5.8602684133159597E-2</c:v>
                </c:pt>
                <c:pt idx="6">
                  <c:v>6.8298305028745301E-2</c:v>
                </c:pt>
                <c:pt idx="7">
                  <c:v>7.9171917129976593E-2</c:v>
                </c:pt>
                <c:pt idx="8">
                  <c:v>9.0993493033695402E-2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F-49FC-B36A-926273DA842A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FD!$A$83:$A$91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FD!$N$83:$N$91</c:f>
              <c:numCache>
                <c:formatCode>General</c:formatCode>
                <c:ptCount val="9"/>
                <c:pt idx="0">
                  <c:v>-2.2078905339532998E-2</c:v>
                </c:pt>
                <c:pt idx="1">
                  <c:v>-2.5903062522485601E-2</c:v>
                </c:pt>
                <c:pt idx="2">
                  <c:v>-3.00621456869553E-2</c:v>
                </c:pt>
                <c:pt idx="3">
                  <c:v>-3.4537907371731E-2</c:v>
                </c:pt>
                <c:pt idx="4">
                  <c:v>-3.9323372175980198E-2</c:v>
                </c:pt>
                <c:pt idx="5">
                  <c:v>-4.4378987635594003E-2</c:v>
                </c:pt>
                <c:pt idx="6">
                  <c:v>-4.9532183993844799E-2</c:v>
                </c:pt>
                <c:pt idx="7">
                  <c:v>-5.5006580605668001E-2</c:v>
                </c:pt>
                <c:pt idx="8">
                  <c:v>-6.0660012624973801E-2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3F-49FC-B36A-926273DA8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1189887"/>
        <c:axId val="1981180287"/>
      </c:scatterChart>
      <c:valAx>
        <c:axId val="198118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180287"/>
        <c:crosses val="autoZero"/>
        <c:crossBetween val="midCat"/>
      </c:valAx>
      <c:valAx>
        <c:axId val="1981180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G, B (self)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189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FD!$A$92:$A$100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FD!$M$92:$M$100</c:f>
              <c:numCache>
                <c:formatCode>General</c:formatCode>
                <c:ptCount val="9"/>
                <c:pt idx="0">
                  <c:v>1.7727711738350901E-2</c:v>
                </c:pt>
                <c:pt idx="1">
                  <c:v>2.2851985364549202E-2</c:v>
                </c:pt>
                <c:pt idx="2">
                  <c:v>2.8498653355557901E-2</c:v>
                </c:pt>
                <c:pt idx="3">
                  <c:v>3.4791714870481001E-2</c:v>
                </c:pt>
                <c:pt idx="4">
                  <c:v>4.1786140373650402E-2</c:v>
                </c:pt>
                <c:pt idx="5">
                  <c:v>4.9494235049713703E-2</c:v>
                </c:pt>
                <c:pt idx="6">
                  <c:v>5.7747381857884202E-2</c:v>
                </c:pt>
                <c:pt idx="7">
                  <c:v>6.7025853477276201E-2</c:v>
                </c:pt>
                <c:pt idx="8">
                  <c:v>7.7145750331937907E-2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0-425A-AD6A-CC9D75CB1F27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FD!$A$92:$A$100</c:f>
              <c:numCache>
                <c:formatCode>General</c:formatCode>
                <c:ptCount val="9"/>
                <c:pt idx="0">
                  <c:v>1</c:v>
                </c:pt>
                <c:pt idx="1">
                  <c:v>1.125</c:v>
                </c:pt>
                <c:pt idx="2">
                  <c:v>1.25</c:v>
                </c:pt>
                <c:pt idx="3">
                  <c:v>1.375</c:v>
                </c:pt>
                <c:pt idx="4">
                  <c:v>1.5</c:v>
                </c:pt>
                <c:pt idx="5">
                  <c:v>1.625</c:v>
                </c:pt>
                <c:pt idx="6">
                  <c:v>1.75</c:v>
                </c:pt>
                <c:pt idx="7">
                  <c:v>1.875</c:v>
                </c:pt>
                <c:pt idx="8">
                  <c:v>2</c:v>
                </c:pt>
              </c:numCache>
            </c:numRef>
          </c:xVal>
          <c:yVal>
            <c:numRef>
              <c:f>FD!$N$92:$N$100</c:f>
              <c:numCache>
                <c:formatCode>General</c:formatCode>
                <c:ptCount val="9"/>
                <c:pt idx="0">
                  <c:v>-2.2929802603510099E-2</c:v>
                </c:pt>
                <c:pt idx="1">
                  <c:v>-2.70790133024949E-2</c:v>
                </c:pt>
                <c:pt idx="2">
                  <c:v>-3.1598593368177802E-2</c:v>
                </c:pt>
                <c:pt idx="3">
                  <c:v>-3.6506463305134303E-2</c:v>
                </c:pt>
                <c:pt idx="4">
                  <c:v>-4.1810526101884599E-2</c:v>
                </c:pt>
                <c:pt idx="5">
                  <c:v>-4.7485405864110999E-2</c:v>
                </c:pt>
                <c:pt idx="6">
                  <c:v>-5.33747402893959E-2</c:v>
                </c:pt>
                <c:pt idx="7">
                  <c:v>-5.9717444544603399E-2</c:v>
                </c:pt>
                <c:pt idx="8">
                  <c:v>-6.6373927188509999E-2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F0-425A-AD6A-CC9D75CB1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1186047"/>
        <c:axId val="1981182207"/>
      </c:scatterChart>
      <c:valAx>
        <c:axId val="1981186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Offset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182207"/>
        <c:crosses val="autoZero"/>
        <c:crossBetween val="midCat"/>
      </c:valAx>
      <c:valAx>
        <c:axId val="1981182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G, B (self)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1860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50799</xdr:colOff>
      <xdr:row>0</xdr:row>
      <xdr:rowOff>165100</xdr:rowOff>
    </xdr:from>
    <xdr:to>
      <xdr:col>29</xdr:col>
      <xdr:colOff>355599</xdr:colOff>
      <xdr:row>19</xdr:row>
      <xdr:rowOff>177800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A7F0F7-EC58-214B-A6F4-7E2A4A581F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457199</xdr:colOff>
      <xdr:row>0</xdr:row>
      <xdr:rowOff>165100</xdr:rowOff>
    </xdr:from>
    <xdr:to>
      <xdr:col>37</xdr:col>
      <xdr:colOff>152399</xdr:colOff>
      <xdr:row>19</xdr:row>
      <xdr:rowOff>177800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060446C-C935-23B5-986E-E1F60911A8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50799</xdr:colOff>
      <xdr:row>20</xdr:row>
      <xdr:rowOff>120650</xdr:rowOff>
    </xdr:from>
    <xdr:to>
      <xdr:col>29</xdr:col>
      <xdr:colOff>355599</xdr:colOff>
      <xdr:row>39</xdr:row>
      <xdr:rowOff>177800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3F959FB3-2AA0-A90C-2D1D-0582B4FA6C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457199</xdr:colOff>
      <xdr:row>20</xdr:row>
      <xdr:rowOff>120650</xdr:rowOff>
    </xdr:from>
    <xdr:to>
      <xdr:col>37</xdr:col>
      <xdr:colOff>152399</xdr:colOff>
      <xdr:row>39</xdr:row>
      <xdr:rowOff>177800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546196A0-CAC5-6357-2B7E-8F5D826B8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50799</xdr:colOff>
      <xdr:row>40</xdr:row>
      <xdr:rowOff>120650</xdr:rowOff>
    </xdr:from>
    <xdr:to>
      <xdr:col>29</xdr:col>
      <xdr:colOff>355599</xdr:colOff>
      <xdr:row>59</xdr:row>
      <xdr:rowOff>177800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EC0A96C-15EE-7859-78D7-25475269D2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457199</xdr:colOff>
      <xdr:row>40</xdr:row>
      <xdr:rowOff>120650</xdr:rowOff>
    </xdr:from>
    <xdr:to>
      <xdr:col>37</xdr:col>
      <xdr:colOff>152399</xdr:colOff>
      <xdr:row>59</xdr:row>
      <xdr:rowOff>177800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2A6C56E-368B-6B26-1F4E-C4F5DE47B8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50799</xdr:colOff>
      <xdr:row>60</xdr:row>
      <xdr:rowOff>120650</xdr:rowOff>
    </xdr:from>
    <xdr:to>
      <xdr:col>29</xdr:col>
      <xdr:colOff>355599</xdr:colOff>
      <xdr:row>79</xdr:row>
      <xdr:rowOff>177800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53C8F6D4-2D3A-D4CB-F51D-285B3A5E1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457199</xdr:colOff>
      <xdr:row>60</xdr:row>
      <xdr:rowOff>120650</xdr:rowOff>
    </xdr:from>
    <xdr:to>
      <xdr:col>37</xdr:col>
      <xdr:colOff>152399</xdr:colOff>
      <xdr:row>79</xdr:row>
      <xdr:rowOff>177800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16ADC525-1C52-D30D-76C1-DAC7C1035F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50799</xdr:colOff>
      <xdr:row>80</xdr:row>
      <xdr:rowOff>120650</xdr:rowOff>
    </xdr:from>
    <xdr:to>
      <xdr:col>29</xdr:col>
      <xdr:colOff>355599</xdr:colOff>
      <xdr:row>99</xdr:row>
      <xdr:rowOff>177800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1A73964A-D7B6-44E6-568D-81616F657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457199</xdr:colOff>
      <xdr:row>80</xdr:row>
      <xdr:rowOff>120650</xdr:rowOff>
    </xdr:from>
    <xdr:to>
      <xdr:col>37</xdr:col>
      <xdr:colOff>152399</xdr:colOff>
      <xdr:row>99</xdr:row>
      <xdr:rowOff>177800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C0CA0B2A-E430-597A-6346-879386695A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50799</xdr:colOff>
      <xdr:row>100</xdr:row>
      <xdr:rowOff>120650</xdr:rowOff>
    </xdr:from>
    <xdr:to>
      <xdr:col>29</xdr:col>
      <xdr:colOff>355599</xdr:colOff>
      <xdr:row>119</xdr:row>
      <xdr:rowOff>177800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834B6592-070A-0943-2B73-0CBD0AC25C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97D747-4EFE-429B-A0D7-419E02E40AA2}" name="Table1" displayName="Table1" ref="A1:V484" totalsRowShown="0">
  <autoFilter ref="A1:V484" xr:uid="{5E97D747-4EFE-429B-A0D7-419E02E40AA2}"/>
  <tableColumns count="22">
    <tableColumn id="1" xr3:uid="{2513BE9D-84CE-491D-9700-1D3C7CF44BB2}" name="Offset"/>
    <tableColumn id="2" xr3:uid="{EC79AD33-D5DD-4F26-8309-4295E723B99B}" name="L=Lcav" dataDxfId="8"/>
    <tableColumn id="3" xr3:uid="{70889754-2CBD-45AB-A4FF-3DC3736E317E}" name="S11 Re"/>
    <tableColumn id="4" xr3:uid="{D19AC076-C630-4536-BC54-5D8BC2E026A5}" name="S11 Im"/>
    <tableColumn id="5" xr3:uid="{CBA55ED6-2C80-4532-AAE9-D40EA22E464E}" name="S21 Re"/>
    <tableColumn id="6" xr3:uid="{B3556530-43B7-4526-9EBD-1AEC51D1A915}" name="S21 Im"/>
    <tableColumn id="7" xr3:uid="{5A86BF7D-CCD8-46DD-8EC5-6F733D590E6D}" name="Z11 Re">
      <calculatedColumnFormula>IMREAL(IMDIV(IMSUM(IMPRODUCT(COMPLEX(1 + C2,D2),COMPLEX(1 - C2, - D2)),IMPRODUCT(COMPLEX(E2,F2),COMPLEX(E2,F2))),IMSUB(IMPRODUCT(COMPLEX(1 - C2, - D2),COMPLEX(1 - C2, - D2)),IMPRODUCT(COMPLEX(E2,F2),COMPLEX(E2,F2)))))</calculatedColumnFormula>
    </tableColumn>
    <tableColumn id="8" xr3:uid="{8B17F374-2141-46EF-A8DB-CDDC9202F717}" name="Z11 Im">
      <calculatedColumnFormula>IMAGINARY(IMDIV(IMSUM(IMPRODUCT(COMPLEX(1 + C2,D2),COMPLEX(1 - C2, - D2)),IMPRODUCT(COMPLEX(E2,F2),COMPLEX(E2,F2))),IMSUB(IMPRODUCT(COMPLEX(1 - C2, - D2),COMPLEX(1 - C2, - D2)),IMPRODUCT(COMPLEX(E2,F2),COMPLEX(E2,F2)))))</calculatedColumnFormula>
    </tableColumn>
    <tableColumn id="9" xr3:uid="{57EA0F02-E62E-4C16-B8CB-D7A47E7286F8}" name="Z12 Re">
      <calculatedColumnFormula>IMREAL(IMDIV(IMPRODUCT(COMPLEX(2,0),COMPLEX(E2,F2)),IMSUB(IMPRODUCT(COMPLEX(1 - C2, - D2),COMPLEX(1 - C2, - D2)),IMPRODUCT(COMPLEX(E2,F2),COMPLEX(E2,F2)))))</calculatedColumnFormula>
    </tableColumn>
    <tableColumn id="10" xr3:uid="{CB6902E8-4453-4E4E-B850-D7E90E4E8105}" name="Z12 Im">
      <calculatedColumnFormula>IMAGINARY(IMDIV(IMPRODUCT(COMPLEX(2,0),COMPLEX(E2,F2)),IMSUB(IMPRODUCT(COMPLEX(1 - C2, - D2),COMPLEX(1 - C2, - D2)),IMPRODUCT(COMPLEX(E2,F2),COMPLEX(E2,F2)))))</calculatedColumnFormula>
    </tableColumn>
    <tableColumn id="11" xr3:uid="{24C1BE14-2950-4619-B2EA-BB78C2CE76A7}" name="Rself" dataDxfId="7">
      <calculatedColumnFormula>IMREAL(IMSUB(COMPLEX(G2,H2),COMPLEX(I2,J2)))</calculatedColumnFormula>
    </tableColumn>
    <tableColumn id="12" xr3:uid="{686F1441-507A-49DD-AFE0-56BADB6F9068}" name="Xself" dataDxfId="6">
      <calculatedColumnFormula>IMAGINARY(IMSUB(COMPLEX(G2,H2),COMPLEX(I2,J2)))</calculatedColumnFormula>
    </tableColumn>
    <tableColumn id="13" xr3:uid="{77E17CA3-A747-4717-9C3A-D1A0CFB25085}" name="Gself" dataDxfId="5">
      <calculatedColumnFormula>IMREAL(IMDIV(IMSUB(IMPRODUCT(COMPLEX(1 - C2, - D2),COMPLEX(1 - C2, - D2)),IMPRODUCT(COMPLEX(E2,F2),COMPLEX(E2,F2))),IMPRODUCT(COMPLEX(2,0),COMPLEX(E2,F2))))</calculatedColumnFormula>
    </tableColumn>
    <tableColumn id="14" xr3:uid="{9374055B-1525-4D0A-9005-FE959CAFC7F4}" name="Bself" dataDxfId="4">
      <calculatedColumnFormula>IMAGINARY(IMDIV(IMSUB(IMPRODUCT(COMPLEX(1 - C2, - D2),COMPLEX(1 - C2, - D2)),IMPRODUCT(COMPLEX(E2,F2),COMPLEX(E2,F2))),IMPRODUCT(COMPLEX(2,0),COMPLEX(E2,F2))))</calculatedColumnFormula>
    </tableColumn>
    <tableColumn id="15" xr3:uid="{AAA615D7-8102-47CC-8330-7B7A5524380C}" name="Re[Vcav]"/>
    <tableColumn id="16" xr3:uid="{45531EEE-CB7B-4265-90DE-395C7FC277DF}" name="Im[Vcav]"/>
    <tableColumn id="17" xr3:uid="{7921AC3A-1DA2-42EF-A201-66E22041E5DB}" name="Re[Vrad]"/>
    <tableColumn id="18" xr3:uid="{ED01122A-BB3F-4B7C-B0B1-2591A1B2DADD}" name="Im[Vrad]"/>
    <tableColumn id="19" xr3:uid="{DEDA3FE3-CA31-44CA-B855-4F0E8FA609F4}" name="|rho|" dataDxfId="3">
      <calculatedColumnFormula>IMABS(COMPLEX(Q2,R2))/IMABS(COMPLEX(O2,P2))</calculatedColumnFormula>
    </tableColumn>
    <tableColumn id="20" xr3:uid="{8726D354-B8FF-4D2F-A2A9-D21714AE0420}" name="arg(rho)" dataDxfId="2">
      <calculatedColumnFormula>IMARGUMENT(IMDIV(COMPLEX(Q2,R2),COMPLEX(O2/B2,P2/B2)))/PI()*180</calculatedColumnFormula>
    </tableColumn>
    <tableColumn id="21" xr3:uid="{A6804CBD-F45A-4DD6-9569-7C118617F827}" name="Column1" dataDxfId="1"/>
    <tableColumn id="22" xr3:uid="{0F81E51C-E2FC-4AD5-9344-9497C0A26A05}" name="Column2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EAD3810-65A4-4376-8437-9266C366DC1E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2fed9994-243f-4d65-9f35-3287be66d1f8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108"/>
  <sheetViews>
    <sheetView topLeftCell="A68" workbookViewId="0">
      <selection activeCell="G4" sqref="G4:J108"/>
    </sheetView>
  </sheetViews>
  <sheetFormatPr defaultRowHeight="14.5" x14ac:dyDescent="0.35"/>
  <sheetData>
    <row r="1" spans="1:10" x14ac:dyDescent="0.35">
      <c r="A1" t="s">
        <v>16</v>
      </c>
    </row>
    <row r="2" spans="1:10" x14ac:dyDescent="0.35">
      <c r="A2" t="s">
        <v>17</v>
      </c>
      <c r="B2" t="s">
        <v>18</v>
      </c>
      <c r="C2" t="s">
        <v>19</v>
      </c>
      <c r="D2" t="s">
        <v>25</v>
      </c>
      <c r="E2" t="s">
        <v>26</v>
      </c>
      <c r="G2" t="s">
        <v>21</v>
      </c>
      <c r="H2" t="s">
        <v>22</v>
      </c>
      <c r="I2" t="s">
        <v>23</v>
      </c>
      <c r="J2" t="s">
        <v>24</v>
      </c>
    </row>
    <row r="3" spans="1:10" x14ac:dyDescent="0.35">
      <c r="A3" t="s">
        <v>20</v>
      </c>
    </row>
    <row r="4" spans="1:10" x14ac:dyDescent="0.35">
      <c r="A4">
        <v>1</v>
      </c>
      <c r="B4">
        <v>-5.6924130983101999E-2</v>
      </c>
      <c r="C4">
        <v>-8.2814913458955003E-2</v>
      </c>
      <c r="D4">
        <v>0.94308876467057001</v>
      </c>
      <c r="E4">
        <v>-8.8360452673973994E-2</v>
      </c>
      <c r="G4">
        <v>7.9960876303146994E-2</v>
      </c>
      <c r="H4">
        <v>-5.3736285790637002E-2</v>
      </c>
      <c r="I4">
        <v>5.0187521164192998E-2</v>
      </c>
      <c r="J4">
        <v>-9.9909931608003003E-2</v>
      </c>
    </row>
    <row r="5" spans="1:10" x14ac:dyDescent="0.35">
      <c r="A5">
        <v>2</v>
      </c>
      <c r="B5">
        <v>-6.3500373881422004E-2</v>
      </c>
      <c r="C5">
        <v>-8.5397762986324996E-2</v>
      </c>
      <c r="D5">
        <v>0.93651705671727004</v>
      </c>
      <c r="E5">
        <v>-9.1048988729192995E-2</v>
      </c>
      <c r="G5">
        <v>8.2366638996601002E-2</v>
      </c>
      <c r="H5">
        <v>-5.9894686139174001E-2</v>
      </c>
      <c r="I5">
        <v>4.9054336111473001E-2</v>
      </c>
      <c r="J5">
        <v>-0.10738833198272001</v>
      </c>
    </row>
    <row r="6" spans="1:10" x14ac:dyDescent="0.35">
      <c r="A6">
        <v>3</v>
      </c>
      <c r="B6">
        <v>-7.0844790551311002E-2</v>
      </c>
      <c r="C6">
        <v>-8.7648714662728E-2</v>
      </c>
      <c r="D6">
        <v>0.92917327341994005</v>
      </c>
      <c r="E6">
        <v>-9.3405800206664003E-2</v>
      </c>
      <c r="G6">
        <v>8.4528546575373995E-2</v>
      </c>
      <c r="H6">
        <v>-6.6823246946560999E-2</v>
      </c>
      <c r="I6">
        <v>4.7200908293251999E-2</v>
      </c>
      <c r="J6">
        <v>-0.11539035860047001</v>
      </c>
    </row>
    <row r="7" spans="1:10" x14ac:dyDescent="0.35">
      <c r="A7">
        <v>4</v>
      </c>
      <c r="B7">
        <v>-7.8982790332580002E-2</v>
      </c>
      <c r="C7">
        <v>-8.9420626155248997E-2</v>
      </c>
      <c r="D7">
        <v>0.92103536022355004</v>
      </c>
      <c r="E7">
        <v>-9.5286044622759997E-2</v>
      </c>
      <c r="G7">
        <v>8.6250306423886994E-2</v>
      </c>
      <c r="H7">
        <v>-7.450955043568E-2</v>
      </c>
      <c r="I7">
        <v>4.4477760064744E-2</v>
      </c>
      <c r="J7">
        <v>-0.12386164517004999</v>
      </c>
    </row>
    <row r="8" spans="1:10" x14ac:dyDescent="0.35">
      <c r="A8">
        <v>5</v>
      </c>
      <c r="B8">
        <v>-8.7934532670223997E-2</v>
      </c>
      <c r="C8">
        <v>-9.0540773977270006E-2</v>
      </c>
      <c r="D8">
        <v>0.91208326472518997</v>
      </c>
      <c r="E8">
        <v>-9.6517212486250004E-2</v>
      </c>
      <c r="G8">
        <v>8.7361860028564997E-2</v>
      </c>
      <c r="H8">
        <v>-8.2968494494612993E-2</v>
      </c>
      <c r="I8">
        <v>4.0715175226299999E-2</v>
      </c>
      <c r="J8">
        <v>-0.13272637190761</v>
      </c>
    </row>
    <row r="9" spans="1:10" x14ac:dyDescent="0.35">
      <c r="A9">
        <v>6</v>
      </c>
      <c r="B9">
        <v>-9.7686499784507996E-2</v>
      </c>
      <c r="C9">
        <v>-9.0806758367780002E-2</v>
      </c>
      <c r="D9">
        <v>0.90233056665264999</v>
      </c>
      <c r="E9">
        <v>-9.6897036574672996E-2</v>
      </c>
      <c r="G9">
        <v>8.7671997576475993E-2</v>
      </c>
      <c r="H9">
        <v>-9.2188503735499999E-2</v>
      </c>
      <c r="I9">
        <v>3.5734584704022999E-2</v>
      </c>
      <c r="J9">
        <v>-0.14186175561320999</v>
      </c>
    </row>
    <row r="10" spans="1:10" x14ac:dyDescent="0.35">
      <c r="A10">
        <v>7</v>
      </c>
      <c r="B10">
        <v>-0.10817666574427</v>
      </c>
      <c r="C10">
        <v>-8.9990867400721999E-2</v>
      </c>
      <c r="D10">
        <v>0.89183937822686998</v>
      </c>
      <c r="E10">
        <v>-9.6197840462899004E-2</v>
      </c>
      <c r="G10">
        <v>8.6964008161965006E-2</v>
      </c>
      <c r="H10">
        <v>-0.10211085796008</v>
      </c>
      <c r="I10">
        <v>2.9360667125828001E-2</v>
      </c>
      <c r="J10">
        <v>-0.15108669473794001</v>
      </c>
    </row>
    <row r="11" spans="1:10" x14ac:dyDescent="0.35">
      <c r="A11">
        <v>8</v>
      </c>
      <c r="B11">
        <v>-0.11927887789445001</v>
      </c>
      <c r="C11">
        <v>-8.7850687750386E-2</v>
      </c>
      <c r="D11">
        <v>0.8807295280595</v>
      </c>
      <c r="E11">
        <v>-9.4171293464043002E-2</v>
      </c>
      <c r="G11">
        <v>8.5009935328464001E-2</v>
      </c>
      <c r="H11">
        <v>-0.11261963365516001</v>
      </c>
      <c r="I11">
        <v>2.1439976117861002E-2</v>
      </c>
      <c r="J11">
        <v>-0.16015368090796001</v>
      </c>
    </row>
    <row r="12" spans="1:10" x14ac:dyDescent="0.35">
      <c r="A12">
        <v>9</v>
      </c>
      <c r="B12">
        <v>-0.13078762350632001</v>
      </c>
      <c r="C12">
        <v>-8.4148293388929998E-2</v>
      </c>
      <c r="D12">
        <v>0.86921834673578002</v>
      </c>
      <c r="E12">
        <v>-9.0590258181088998E-2</v>
      </c>
      <c r="G12">
        <v>8.1582480132964999E-2</v>
      </c>
      <c r="H12">
        <v>-0.12352001825113</v>
      </c>
      <c r="I12">
        <v>1.186529028883E-2</v>
      </c>
      <c r="J12">
        <v>-0.16874358414328</v>
      </c>
    </row>
    <row r="13" spans="1:10" x14ac:dyDescent="0.35">
      <c r="A13">
        <v>10</v>
      </c>
      <c r="B13">
        <v>-0.14241039483696</v>
      </c>
      <c r="C13">
        <v>-7.8677876997154006E-2</v>
      </c>
      <c r="D13">
        <v>0.85759257104380004</v>
      </c>
      <c r="E13">
        <v>-8.5243468522291005E-2</v>
      </c>
      <c r="G13">
        <v>7.6486278382558004E-2</v>
      </c>
      <c r="H13">
        <v>-0.13453745722963001</v>
      </c>
      <c r="I13">
        <v>6.0739346943008E-4</v>
      </c>
      <c r="J13">
        <v>-0.17647617189293999</v>
      </c>
    </row>
    <row r="14" spans="1:10" x14ac:dyDescent="0.35">
      <c r="A14">
        <v>11</v>
      </c>
      <c r="B14">
        <v>-0.15376951324143001</v>
      </c>
      <c r="C14">
        <v>-7.1301289516986999E-2</v>
      </c>
      <c r="D14">
        <v>0.84622919981989997</v>
      </c>
      <c r="E14">
        <v>-7.7994190725525006E-2</v>
      </c>
      <c r="G14">
        <v>6.9588297904073004E-2</v>
      </c>
      <c r="H14">
        <v>-0.14531509683644001</v>
      </c>
      <c r="I14">
        <v>-1.2255164302901999E-2</v>
      </c>
      <c r="J14">
        <v>-0.18292950180053999</v>
      </c>
    </row>
    <row r="15" spans="1:10" x14ac:dyDescent="0.35">
      <c r="A15">
        <v>12</v>
      </c>
      <c r="B15">
        <v>-0.16442002389134999</v>
      </c>
      <c r="C15">
        <v>-6.1986040487881998E-2</v>
      </c>
      <c r="D15">
        <v>0.83557379773239004</v>
      </c>
      <c r="E15">
        <v>-6.8809387837934999E-2</v>
      </c>
      <c r="G15">
        <v>6.0856111871822001E-2</v>
      </c>
      <c r="H15">
        <v>-0.15543287349963</v>
      </c>
      <c r="I15">
        <v>-2.6508970605312002E-2</v>
      </c>
      <c r="J15">
        <v>-0.18767725149003001</v>
      </c>
    </row>
    <row r="16" spans="1:10" x14ac:dyDescent="0.35">
      <c r="A16">
        <v>13</v>
      </c>
      <c r="B16">
        <v>-0.17388858284818001</v>
      </c>
      <c r="C16">
        <v>-5.0836521487864002E-2</v>
      </c>
      <c r="D16">
        <v>0.82610038697095001</v>
      </c>
      <c r="E16">
        <v>-5.7791209505087003E-2</v>
      </c>
      <c r="G16">
        <v>5.0386311621343001E-2</v>
      </c>
      <c r="H16">
        <v>-0.16444409324395001</v>
      </c>
      <c r="I16">
        <v>-4.1800985097595E-2</v>
      </c>
      <c r="J16">
        <v>-0.19034188848118999</v>
      </c>
    </row>
    <row r="17" spans="1:10" x14ac:dyDescent="0.35">
      <c r="A17">
        <v>14</v>
      </c>
      <c r="B17">
        <v>-0.18172584115252999</v>
      </c>
      <c r="C17">
        <v>-3.8108950120469998E-2</v>
      </c>
      <c r="D17">
        <v>0.81825888648429002</v>
      </c>
      <c r="E17">
        <v>-4.5199058655667E-2</v>
      </c>
      <c r="G17">
        <v>3.8418061609900002E-2</v>
      </c>
      <c r="H17">
        <v>-0.1719202915487</v>
      </c>
      <c r="I17">
        <v>-5.7650714006796999E-2</v>
      </c>
      <c r="J17">
        <v>-0.19064995860091</v>
      </c>
    </row>
    <row r="18" spans="1:10" x14ac:dyDescent="0.35">
      <c r="A18">
        <v>15</v>
      </c>
      <c r="B18">
        <v>-0.18756721619757</v>
      </c>
      <c r="C18">
        <v>-2.4200666060164001E-2</v>
      </c>
      <c r="D18">
        <v>0.81241235074853002</v>
      </c>
      <c r="E18">
        <v>-3.1427039781265001E-2</v>
      </c>
      <c r="G18">
        <v>2.5325471535636E-2</v>
      </c>
      <c r="H18">
        <v>-0.17751758173078999</v>
      </c>
      <c r="I18">
        <v>-7.3495543436479002E-2</v>
      </c>
      <c r="J18">
        <v>-0.18848399366623</v>
      </c>
    </row>
    <row r="19" spans="1:10" x14ac:dyDescent="0.35">
      <c r="A19">
        <v>16</v>
      </c>
      <c r="B19">
        <v>-0.19118415775858999</v>
      </c>
      <c r="C19">
        <v>-9.6108876549946005E-3</v>
      </c>
      <c r="D19">
        <v>0.80879145016717002</v>
      </c>
      <c r="E19">
        <v>-1.6974359414857001E-2</v>
      </c>
      <c r="G19">
        <v>1.1579073151277E-2</v>
      </c>
      <c r="H19">
        <v>-0.18101659528698</v>
      </c>
      <c r="I19">
        <v>-8.8752500241754004E-2</v>
      </c>
      <c r="J19">
        <v>-0.18390542217253</v>
      </c>
    </row>
    <row r="20" spans="1:10" x14ac:dyDescent="0.35">
      <c r="A20">
        <v>17</v>
      </c>
      <c r="B20">
        <v>-0.19251455667674</v>
      </c>
      <c r="C20">
        <v>5.1176899517701999E-3</v>
      </c>
      <c r="D20">
        <v>0.80745458924593005</v>
      </c>
      <c r="E20">
        <v>-2.3925848841056998E-3</v>
      </c>
      <c r="G20">
        <v>-2.3088323548792998E-3</v>
      </c>
      <c r="H20">
        <v>-0.18235397216491001</v>
      </c>
      <c r="I20">
        <v>-0.10288936815231001</v>
      </c>
      <c r="J20">
        <v>-0.17715330073591001</v>
      </c>
    </row>
    <row r="21" spans="1:10" x14ac:dyDescent="0.35">
      <c r="A21">
        <v>18</v>
      </c>
      <c r="B21">
        <v>-0.19166270081461001</v>
      </c>
      <c r="C21">
        <v>1.9465720418053001E-2</v>
      </c>
      <c r="D21">
        <v>0.80830161033813996</v>
      </c>
      <c r="E21">
        <v>1.1811496888221E-2</v>
      </c>
      <c r="G21">
        <v>-1.5846556984548999E-2</v>
      </c>
      <c r="H21">
        <v>-0.18162815158918</v>
      </c>
      <c r="I21">
        <v>-0.11548584993159</v>
      </c>
      <c r="J21">
        <v>-0.16860611203268999</v>
      </c>
    </row>
    <row r="22" spans="1:10" x14ac:dyDescent="0.35">
      <c r="A22">
        <v>19</v>
      </c>
      <c r="B22">
        <v>-0.18887111896805001</v>
      </c>
      <c r="C22">
        <v>3.2993351688105001E-2</v>
      </c>
      <c r="D22">
        <v>0.81108912237649999</v>
      </c>
      <c r="E22">
        <v>2.5191894928164999E-2</v>
      </c>
      <c r="G22">
        <v>-2.8617221533099001E-2</v>
      </c>
      <c r="H22">
        <v>-0.17906470996408</v>
      </c>
      <c r="I22">
        <v>-0.12627061061346001</v>
      </c>
      <c r="J22">
        <v>-0.15872583177381</v>
      </c>
    </row>
    <row r="23" spans="1:10" x14ac:dyDescent="0.35">
      <c r="A23">
        <v>20</v>
      </c>
      <c r="B23">
        <v>-0.18447431537905001</v>
      </c>
      <c r="C23">
        <v>4.5375437614197003E-2</v>
      </c>
      <c r="D23">
        <v>0.81548469338859997</v>
      </c>
      <c r="E23">
        <v>3.7424943764882E-2</v>
      </c>
      <c r="G23">
        <v>-4.0311773904246E-2</v>
      </c>
      <c r="H23">
        <v>-0.17497858983900999</v>
      </c>
      <c r="I23">
        <v>-0.13512718923643999</v>
      </c>
      <c r="J23">
        <v>-0.14799657846063999</v>
      </c>
    </row>
    <row r="24" spans="1:10" x14ac:dyDescent="0.35">
      <c r="A24">
        <v>21</v>
      </c>
      <c r="B24">
        <v>-0.17884839877774</v>
      </c>
      <c r="C24">
        <v>5.6412510072410001E-2</v>
      </c>
      <c r="D24">
        <v>0.82110431744824997</v>
      </c>
      <c r="E24">
        <v>4.8307733907433002E-2</v>
      </c>
      <c r="G24">
        <v>-5.0739876317841999E-2</v>
      </c>
      <c r="H24">
        <v>-0.16972347965633999</v>
      </c>
      <c r="I24">
        <v>-0.14207741903928001</v>
      </c>
      <c r="J24">
        <v>-0.13687243394602999</v>
      </c>
    </row>
    <row r="25" spans="1:10" x14ac:dyDescent="0.35">
      <c r="A25">
        <v>22</v>
      </c>
      <c r="B25">
        <v>-6.0615509700407001E-2</v>
      </c>
      <c r="C25">
        <v>-8.8655421688765002E-2</v>
      </c>
      <c r="D25">
        <v>0.93937466906283995</v>
      </c>
      <c r="E25">
        <v>-9.4499301434954996E-2</v>
      </c>
      <c r="G25">
        <v>8.2025240480054995E-2</v>
      </c>
      <c r="H25">
        <v>-5.5054734748343E-2</v>
      </c>
      <c r="I25">
        <v>5.1450936922014003E-2</v>
      </c>
      <c r="J25">
        <v>-0.10218383331271</v>
      </c>
    </row>
    <row r="26" spans="1:10" x14ac:dyDescent="0.35">
      <c r="A26">
        <v>23</v>
      </c>
      <c r="B26">
        <v>-6.7542269009459005E-2</v>
      </c>
      <c r="C26">
        <v>-9.1389024607669997E-2</v>
      </c>
      <c r="D26">
        <v>0.93245615532919002</v>
      </c>
      <c r="E26">
        <v>-9.7347655565340002E-2</v>
      </c>
      <c r="G26">
        <v>8.4461195732519007E-2</v>
      </c>
      <c r="H26">
        <v>-6.1277884263156002E-2</v>
      </c>
      <c r="I26">
        <v>5.0326154370243001E-2</v>
      </c>
      <c r="J26">
        <v>-0.10974719763368</v>
      </c>
    </row>
    <row r="27" spans="1:10" x14ac:dyDescent="0.35">
      <c r="A27">
        <v>24</v>
      </c>
      <c r="B27">
        <v>-7.5247633456189997E-2</v>
      </c>
      <c r="C27">
        <v>-9.3771436311587006E-2</v>
      </c>
      <c r="D27">
        <v>0.92475203447524001</v>
      </c>
      <c r="E27">
        <v>-9.9848687663871005E-2</v>
      </c>
      <c r="G27">
        <v>8.6671817744335994E-2</v>
      </c>
      <c r="H27">
        <v>-6.8273231335929996E-2</v>
      </c>
      <c r="I27">
        <v>4.8485558683936003E-2</v>
      </c>
      <c r="J27">
        <v>-0.11781902442162</v>
      </c>
    </row>
    <row r="28" spans="1:10" x14ac:dyDescent="0.35">
      <c r="A28">
        <v>25</v>
      </c>
      <c r="B28">
        <v>-8.3770993060725996E-2</v>
      </c>
      <c r="C28">
        <v>-9.5661575085115996E-2</v>
      </c>
      <c r="D28">
        <v>0.91622899577385997</v>
      </c>
      <c r="E28">
        <v>-0.1018598293686</v>
      </c>
      <c r="G28">
        <v>8.8443744258630996E-2</v>
      </c>
      <c r="H28">
        <v>-7.6017350582956E-2</v>
      </c>
      <c r="I28">
        <v>4.5785906354544E-2</v>
      </c>
      <c r="J28">
        <v>-0.12635674532197</v>
      </c>
    </row>
    <row r="29" spans="1:10" x14ac:dyDescent="0.35">
      <c r="A29">
        <v>26</v>
      </c>
      <c r="B29">
        <v>-9.3134093137013998E-2</v>
      </c>
      <c r="C29">
        <v>-9.6885662956659999E-2</v>
      </c>
      <c r="D29">
        <v>0.90686580606200995</v>
      </c>
      <c r="E29">
        <v>-0.10320775440052</v>
      </c>
      <c r="G29">
        <v>8.9616975368488005E-2</v>
      </c>
      <c r="H29">
        <v>-8.4529504823348006E-2</v>
      </c>
      <c r="I29">
        <v>4.2062577464513001E-2</v>
      </c>
      <c r="J29">
        <v>-0.13528811621046999</v>
      </c>
    </row>
    <row r="30" spans="1:10" x14ac:dyDescent="0.35">
      <c r="A30">
        <v>27</v>
      </c>
      <c r="B30">
        <v>-0.1033248489369</v>
      </c>
      <c r="C30">
        <v>-9.7239837587187003E-2</v>
      </c>
      <c r="D30">
        <v>0.89667466421344</v>
      </c>
      <c r="E30">
        <v>-0.10368886026703</v>
      </c>
      <c r="G30">
        <v>9.0005162908669001E-2</v>
      </c>
      <c r="H30">
        <v>-9.3798996741004004E-2</v>
      </c>
      <c r="I30">
        <v>3.7142149907248997E-2</v>
      </c>
      <c r="J30">
        <v>-0.14449573297661</v>
      </c>
    </row>
    <row r="31" spans="1:10" x14ac:dyDescent="0.35">
      <c r="A31">
        <v>28</v>
      </c>
      <c r="B31">
        <v>-0.11428324686445</v>
      </c>
      <c r="C31">
        <v>-9.6494710468828002E-2</v>
      </c>
      <c r="D31">
        <v>0.88571550316919001</v>
      </c>
      <c r="E31">
        <v>-0.10307381548378999</v>
      </c>
      <c r="G31">
        <v>8.9399556611578002E-2</v>
      </c>
      <c r="H31">
        <v>-0.10377264943469</v>
      </c>
      <c r="I31">
        <v>3.0853779707111E-2</v>
      </c>
      <c r="J31">
        <v>-0.15380672306672</v>
      </c>
    </row>
    <row r="32" spans="1:10" x14ac:dyDescent="0.35">
      <c r="A32">
        <v>29</v>
      </c>
      <c r="B32">
        <v>-0.12588595802583999</v>
      </c>
      <c r="C32">
        <v>-9.4405467645443997E-2</v>
      </c>
      <c r="D32">
        <v>0.87411487081343997</v>
      </c>
      <c r="E32">
        <v>-0.10112292253691001</v>
      </c>
      <c r="G32">
        <v>8.7576194176102004E-2</v>
      </c>
      <c r="H32">
        <v>-0.11433878426089999</v>
      </c>
      <c r="I32">
        <v>2.3045851213876999E-2</v>
      </c>
      <c r="J32">
        <v>-0.16298336914016001</v>
      </c>
    </row>
    <row r="33" spans="1:10" x14ac:dyDescent="0.35">
      <c r="A33">
        <v>30</v>
      </c>
      <c r="B33">
        <v>-0.13793252230097</v>
      </c>
      <c r="C33">
        <v>-9.0730559558556995E-2</v>
      </c>
      <c r="D33">
        <v>0.86206474343626005</v>
      </c>
      <c r="E33">
        <v>-9.7582945234342994E-2</v>
      </c>
      <c r="G33">
        <v>8.4315669690955997E-2</v>
      </c>
      <c r="H33">
        <v>-0.1253178553007</v>
      </c>
      <c r="I33">
        <v>1.3610742116783E-2</v>
      </c>
      <c r="J33">
        <v>-0.17172551488023999</v>
      </c>
    </row>
    <row r="34" spans="1:10" x14ac:dyDescent="0.35">
      <c r="A34">
        <v>31</v>
      </c>
      <c r="B34">
        <v>-0.15013580793240999</v>
      </c>
      <c r="C34">
        <v>-8.5257861258685994E-2</v>
      </c>
      <c r="D34">
        <v>0.84985950283020995</v>
      </c>
      <c r="E34">
        <v>-9.2249969921859007E-2</v>
      </c>
      <c r="G34">
        <v>7.9421995434020995E-2</v>
      </c>
      <c r="H34">
        <v>-0.13644789694732001</v>
      </c>
      <c r="I34">
        <v>2.5112431442328E-3</v>
      </c>
      <c r="J34">
        <v>-0.17966675971494001</v>
      </c>
    </row>
    <row r="35" spans="1:10" x14ac:dyDescent="0.35">
      <c r="A35">
        <v>32</v>
      </c>
      <c r="B35">
        <v>-0.16212378470238001</v>
      </c>
      <c r="C35">
        <v>-7.7838288783819001E-2</v>
      </c>
      <c r="D35">
        <v>0.83786951667799003</v>
      </c>
      <c r="E35">
        <v>-8.4972323586971002E-2</v>
      </c>
      <c r="G35">
        <v>7.2759040195642999E-2</v>
      </c>
      <c r="H35">
        <v>-0.14739342775113001</v>
      </c>
      <c r="I35">
        <v>-1.0189816011247001E-2</v>
      </c>
      <c r="J35">
        <v>-0.18640201686328001</v>
      </c>
    </row>
    <row r="36" spans="1:10" x14ac:dyDescent="0.35">
      <c r="A36">
        <v>33</v>
      </c>
      <c r="B36">
        <v>-0.17345476108701999</v>
      </c>
      <c r="C36">
        <v>-6.8423269561655994E-2</v>
      </c>
      <c r="D36">
        <v>0.82653539715253999</v>
      </c>
      <c r="E36">
        <v>-7.5702987200321994E-2</v>
      </c>
      <c r="G36">
        <v>6.4279426270240997E-2</v>
      </c>
      <c r="H36">
        <v>-0.15775141858444999</v>
      </c>
      <c r="I36">
        <v>-2.4304011734538E-2</v>
      </c>
      <c r="J36">
        <v>-0.19151664187282999</v>
      </c>
    </row>
    <row r="37" spans="1:10" x14ac:dyDescent="0.35">
      <c r="A37">
        <v>34</v>
      </c>
      <c r="B37">
        <v>-0.18365302373223999</v>
      </c>
      <c r="C37">
        <v>-5.7096425153215002E-2</v>
      </c>
      <c r="D37">
        <v>0.81632986357590998</v>
      </c>
      <c r="E37">
        <v>-6.4523204890100994E-2</v>
      </c>
      <c r="G37">
        <v>5.4057545083531999E-2</v>
      </c>
      <c r="H37">
        <v>-0.16709074715767</v>
      </c>
      <c r="I37">
        <v>-3.9508659344627002E-2</v>
      </c>
      <c r="J37">
        <v>-0.19463531712615001</v>
      </c>
    </row>
    <row r="38" spans="1:10" x14ac:dyDescent="0.35">
      <c r="A38">
        <v>35</v>
      </c>
      <c r="B38">
        <v>-0.19225802960562</v>
      </c>
      <c r="C38">
        <v>-4.4090465709538999E-2</v>
      </c>
      <c r="D38">
        <v>0.80771990241891001</v>
      </c>
      <c r="E38">
        <v>-5.1669453035710002E-2</v>
      </c>
      <c r="G38">
        <v>4.2301720431180002E-2</v>
      </c>
      <c r="H38">
        <v>-0.17498963503459</v>
      </c>
      <c r="I38">
        <v>-5.5358946951129001E-2</v>
      </c>
      <c r="J38">
        <v>-0.19547295665516001</v>
      </c>
    </row>
    <row r="39" spans="1:10" x14ac:dyDescent="0.35">
      <c r="A39">
        <v>36</v>
      </c>
      <c r="B39">
        <v>-0.19888279867554001</v>
      </c>
      <c r="C39">
        <v>-2.9781436727616999E-2</v>
      </c>
      <c r="D39">
        <v>0.80108771287297997</v>
      </c>
      <c r="E39">
        <v>-3.7518354785841E-2</v>
      </c>
      <c r="G39">
        <v>2.9352602341065001E-2</v>
      </c>
      <c r="H39">
        <v>-0.18109529783354</v>
      </c>
      <c r="I39">
        <v>-7.1320233464269994E-2</v>
      </c>
      <c r="J39">
        <v>-0.19388532777403</v>
      </c>
    </row>
    <row r="40" spans="1:10" x14ac:dyDescent="0.35">
      <c r="A40">
        <v>37</v>
      </c>
      <c r="B40">
        <v>-0.20326709368088</v>
      </c>
      <c r="C40">
        <v>-1.4655475654170001E-2</v>
      </c>
      <c r="D40">
        <v>0.79669680005239996</v>
      </c>
      <c r="E40">
        <v>-2.2549639774428001E-2</v>
      </c>
      <c r="G40">
        <v>1.5650121892426001E-2</v>
      </c>
      <c r="H40">
        <v>-0.18516798390354</v>
      </c>
      <c r="I40">
        <v>-8.6829404560819001E-2</v>
      </c>
      <c r="J40">
        <v>-0.18989748261223999</v>
      </c>
    </row>
    <row r="41" spans="1:10" x14ac:dyDescent="0.35">
      <c r="A41">
        <v>38</v>
      </c>
      <c r="B41">
        <v>-0.20531054133422999</v>
      </c>
      <c r="C41">
        <v>7.4666396374165999E-4</v>
      </c>
      <c r="D41">
        <v>0.79464869290704998</v>
      </c>
      <c r="E41">
        <v>-7.3080592398723004E-3</v>
      </c>
      <c r="G41">
        <v>1.6858723725671999E-3</v>
      </c>
      <c r="H41">
        <v>-0.18711489687642999</v>
      </c>
      <c r="I41">
        <v>-0.10135709432659</v>
      </c>
      <c r="J41">
        <v>-0.18370258670417999</v>
      </c>
    </row>
    <row r="42" spans="1:10" x14ac:dyDescent="0.35">
      <c r="A42">
        <v>39</v>
      </c>
      <c r="B42">
        <v>-0.20507960479135001</v>
      </c>
      <c r="C42">
        <v>1.5891739376735999E-2</v>
      </c>
      <c r="D42">
        <v>0.79487319189991001</v>
      </c>
      <c r="E42">
        <v>7.6742129238553001E-3</v>
      </c>
      <c r="G42">
        <v>-1.2055235377885E-2</v>
      </c>
      <c r="H42">
        <v>-0.18699095338137001</v>
      </c>
      <c r="I42">
        <v>-0.11446749619011</v>
      </c>
      <c r="J42">
        <v>-0.17563878593957999</v>
      </c>
    </row>
    <row r="43" spans="1:10" x14ac:dyDescent="0.35">
      <c r="A43">
        <v>40</v>
      </c>
      <c r="B43">
        <v>-0.20278584669640001</v>
      </c>
      <c r="C43">
        <v>3.0313489343681999E-2</v>
      </c>
      <c r="D43">
        <v>0.79716037334365997</v>
      </c>
      <c r="E43">
        <v>2.1927119659208998E-2</v>
      </c>
      <c r="G43">
        <v>-2.5147909530691001E-2</v>
      </c>
      <c r="H43">
        <v>-0.18498627127004999</v>
      </c>
      <c r="I43">
        <v>-0.12586045518469</v>
      </c>
      <c r="J43">
        <v>-0.16613543993492999</v>
      </c>
    </row>
    <row r="44" spans="1:10" x14ac:dyDescent="0.35">
      <c r="A44">
        <v>41</v>
      </c>
      <c r="B44">
        <v>-0.19874408169527</v>
      </c>
      <c r="C44">
        <v>4.3651270701283003E-2</v>
      </c>
      <c r="D44">
        <v>0.80119583630656999</v>
      </c>
      <c r="E44">
        <v>3.5096524827821003E-2</v>
      </c>
      <c r="G44">
        <v>-3.7262346753310999E-2</v>
      </c>
      <c r="H44">
        <v>-0.18138718792469999</v>
      </c>
      <c r="I44">
        <v>-0.13538238373691</v>
      </c>
      <c r="J44">
        <v>-0.15565868107379999</v>
      </c>
    </row>
    <row r="45" spans="1:10" x14ac:dyDescent="0.35">
      <c r="A45">
        <v>42</v>
      </c>
      <c r="B45">
        <v>-0.19332391119112999</v>
      </c>
      <c r="C45">
        <v>5.5667852404196999E-2</v>
      </c>
      <c r="D45">
        <v>0.80660979586215997</v>
      </c>
      <c r="E45">
        <v>4.6944570904283001E-2</v>
      </c>
      <c r="G45">
        <v>-4.8181076449379003E-2</v>
      </c>
      <c r="H45">
        <v>-0.1765281560592</v>
      </c>
      <c r="I45">
        <v>-0.14301757695579001</v>
      </c>
      <c r="J45">
        <v>-0.14465821019384001</v>
      </c>
    </row>
    <row r="46" spans="1:10" x14ac:dyDescent="0.35">
      <c r="A46">
        <v>43</v>
      </c>
      <c r="B46">
        <v>-6.4281460217256003E-2</v>
      </c>
      <c r="C46">
        <v>-9.4398538496842002E-2</v>
      </c>
      <c r="D46">
        <v>0.9357176763717</v>
      </c>
      <c r="E46">
        <v>-0.10053654885648</v>
      </c>
      <c r="G46">
        <v>8.3688642172791997E-2</v>
      </c>
      <c r="H46">
        <v>-5.6103272809955002E-2</v>
      </c>
      <c r="I46">
        <v>5.2627001997105002E-2</v>
      </c>
      <c r="J46">
        <v>-0.10429226373637999</v>
      </c>
    </row>
    <row r="47" spans="1:10" x14ac:dyDescent="0.35">
      <c r="A47">
        <v>44</v>
      </c>
      <c r="B47">
        <v>-7.1551673476246996E-2</v>
      </c>
      <c r="C47">
        <v>-9.7279543659475998E-2</v>
      </c>
      <c r="D47">
        <v>0.92844670934811002</v>
      </c>
      <c r="E47">
        <v>-0.10354437989161</v>
      </c>
      <c r="G47">
        <v>8.6204218924236006E-2</v>
      </c>
      <c r="H47">
        <v>-6.2419857752652998E-2</v>
      </c>
      <c r="I47">
        <v>5.1506366217434998E-2</v>
      </c>
      <c r="J47">
        <v>-0.11194433655621</v>
      </c>
    </row>
    <row r="48" spans="1:10" x14ac:dyDescent="0.35">
      <c r="A48">
        <v>45</v>
      </c>
      <c r="B48">
        <v>-7.9640519225446002E-2</v>
      </c>
      <c r="C48">
        <v>-9.9795564711026005E-2</v>
      </c>
      <c r="D48">
        <v>0.92035868472669002</v>
      </c>
      <c r="E48">
        <v>-0.10618923679761</v>
      </c>
      <c r="G48">
        <v>8.8447440501312993E-2</v>
      </c>
      <c r="H48">
        <v>-6.9478869204740001E-2</v>
      </c>
      <c r="I48">
        <v>4.9666514929420001E-2</v>
      </c>
      <c r="J48">
        <v>-0.12011204631193</v>
      </c>
    </row>
    <row r="49" spans="1:10" x14ac:dyDescent="0.35">
      <c r="A49">
        <v>46</v>
      </c>
      <c r="B49">
        <v>-8.8573852625228003E-2</v>
      </c>
      <c r="C49">
        <v>-0.10180099764180001</v>
      </c>
      <c r="D49">
        <v>0.91142593474410005</v>
      </c>
      <c r="E49">
        <v>-0.10832633516494</v>
      </c>
      <c r="G49">
        <v>9.0259132580183005E-2</v>
      </c>
      <c r="H49">
        <v>-7.7285709257528007E-2</v>
      </c>
      <c r="I49">
        <v>4.6971126439894997E-2</v>
      </c>
      <c r="J49">
        <v>-0.12874160128312001</v>
      </c>
    </row>
    <row r="50" spans="1:10" x14ac:dyDescent="0.35">
      <c r="A50">
        <v>47</v>
      </c>
      <c r="B50">
        <v>-9.8374709746482006E-2</v>
      </c>
      <c r="C50">
        <v>-0.10311951955338</v>
      </c>
      <c r="D50">
        <v>0.90162534043346998</v>
      </c>
      <c r="E50">
        <v>-0.10977972577095001</v>
      </c>
      <c r="G50">
        <v>9.1476664562381002E-2</v>
      </c>
      <c r="H50">
        <v>-8.5855425828337995E-2</v>
      </c>
      <c r="I50">
        <v>4.3259066604797003E-2</v>
      </c>
      <c r="J50">
        <v>-0.13776376041821001</v>
      </c>
    </row>
    <row r="51" spans="1:10" x14ac:dyDescent="0.35">
      <c r="A51">
        <v>48</v>
      </c>
      <c r="B51">
        <v>-0.10903159781644001</v>
      </c>
      <c r="C51">
        <v>-0.1035441569017</v>
      </c>
      <c r="D51">
        <v>0.89096841900642998</v>
      </c>
      <c r="E51">
        <v>-0.11034261527571</v>
      </c>
      <c r="G51">
        <v>9.1920493690091004E-2</v>
      </c>
      <c r="H51">
        <v>-9.5180731980964994E-2</v>
      </c>
      <c r="I51">
        <v>3.8360326534337998E-2</v>
      </c>
      <c r="J51">
        <v>-0.14706461809512</v>
      </c>
    </row>
    <row r="52" spans="1:10" x14ac:dyDescent="0.35">
      <c r="A52">
        <v>49</v>
      </c>
      <c r="B52">
        <v>-0.12048479626402001</v>
      </c>
      <c r="C52">
        <v>-0.10284213976871</v>
      </c>
      <c r="D52">
        <v>0.87951505406503006</v>
      </c>
      <c r="E52">
        <v>-0.10978228783178</v>
      </c>
      <c r="G52">
        <v>9.1384165746591001E-2</v>
      </c>
      <c r="H52">
        <v>-0.10520833697354</v>
      </c>
      <c r="I52">
        <v>3.2107293066296998E-2</v>
      </c>
      <c r="J52">
        <v>-0.15647631778498</v>
      </c>
    </row>
    <row r="53" spans="1:10" x14ac:dyDescent="0.35">
      <c r="A53">
        <v>50</v>
      </c>
      <c r="B53">
        <v>-0.13261163577141</v>
      </c>
      <c r="C53">
        <v>-0.10076527111888001</v>
      </c>
      <c r="D53">
        <v>0.86738283344872003</v>
      </c>
      <c r="E53">
        <v>-0.10784899560779999</v>
      </c>
      <c r="G53">
        <v>8.9649656986192996E-2</v>
      </c>
      <c r="H53">
        <v>-0.11583184468271</v>
      </c>
      <c r="I53">
        <v>2.4351568720165001E-2</v>
      </c>
      <c r="J53">
        <v>-0.16577075871086999</v>
      </c>
    </row>
    <row r="54" spans="1:10" x14ac:dyDescent="0.35">
      <c r="A54">
        <v>51</v>
      </c>
      <c r="B54">
        <v>-0.14521152574474999</v>
      </c>
      <c r="C54">
        <v>-9.7067191863330002E-2</v>
      </c>
      <c r="D54">
        <v>0.85478130529999996</v>
      </c>
      <c r="E54">
        <v>-0.10429897022692</v>
      </c>
      <c r="G54">
        <v>8.6502497708873999E-2</v>
      </c>
      <c r="H54">
        <v>-0.12687956606492001</v>
      </c>
      <c r="I54">
        <v>1.4983739984654E-2</v>
      </c>
      <c r="J54">
        <v>-0.17465226232643999</v>
      </c>
    </row>
    <row r="55" spans="1:10" x14ac:dyDescent="0.35">
      <c r="A55">
        <v>52</v>
      </c>
      <c r="B55">
        <v>-0.1579986312777</v>
      </c>
      <c r="C55">
        <v>-9.1530049151458001E-2</v>
      </c>
      <c r="D55">
        <v>0.84199261201122</v>
      </c>
      <c r="E55">
        <v>-9.8912649742157993E-2</v>
      </c>
      <c r="G55">
        <v>8.1747915127490994E-2</v>
      </c>
      <c r="H55">
        <v>-0.13809916993325</v>
      </c>
      <c r="I55">
        <v>3.9626521572319997E-3</v>
      </c>
      <c r="J55">
        <v>-0.18276992066046999</v>
      </c>
    </row>
    <row r="56" spans="1:10" x14ac:dyDescent="0.35">
      <c r="A56">
        <v>53</v>
      </c>
      <c r="B56">
        <v>-0.17060038719126</v>
      </c>
      <c r="C56">
        <v>-8.3997401178714001E-2</v>
      </c>
      <c r="D56">
        <v>0.82938794132587002</v>
      </c>
      <c r="E56">
        <v>-9.1535712862405E-2</v>
      </c>
      <c r="G56">
        <v>7.5249694754304999E-2</v>
      </c>
      <c r="H56">
        <v>-0.1491695760799</v>
      </c>
      <c r="I56">
        <v>-8.6563559263242006E-3</v>
      </c>
      <c r="J56">
        <v>-0.18972803572902999</v>
      </c>
    </row>
    <row r="57" spans="1:10" x14ac:dyDescent="0.35">
      <c r="A57">
        <v>54</v>
      </c>
      <c r="B57">
        <v>-0.18257450660811</v>
      </c>
      <c r="C57">
        <v>-7.4410362489626E-2</v>
      </c>
      <c r="D57">
        <v>0.81741013839136001</v>
      </c>
      <c r="E57">
        <v>-8.2107738528622007E-2</v>
      </c>
      <c r="G57">
        <v>6.6952194598544998E-2</v>
      </c>
      <c r="H57">
        <v>-0.15970132074103999</v>
      </c>
      <c r="I57">
        <v>-2.2701403762858001E-2</v>
      </c>
      <c r="J57">
        <v>-0.19512182499788</v>
      </c>
    </row>
    <row r="58" spans="1:10" x14ac:dyDescent="0.35">
      <c r="A58">
        <v>55</v>
      </c>
      <c r="B58">
        <v>-0.19344027897320001</v>
      </c>
      <c r="C58">
        <v>-6.2839851123084003E-2</v>
      </c>
      <c r="D58">
        <v>0.80654116549960997</v>
      </c>
      <c r="E58">
        <v>-7.0700922376222997E-2</v>
      </c>
      <c r="G58">
        <v>5.6915160943808003E-2</v>
      </c>
      <c r="H58">
        <v>-0.16927291640509001</v>
      </c>
      <c r="I58">
        <v>-3.7870006566133999E-2</v>
      </c>
      <c r="J58">
        <v>-0.19857863328577</v>
      </c>
    </row>
    <row r="59" spans="1:10" x14ac:dyDescent="0.35">
      <c r="A59">
        <v>56</v>
      </c>
      <c r="B59">
        <v>-0.20272754512756</v>
      </c>
      <c r="C59">
        <v>-4.9504987793658001E-2</v>
      </c>
      <c r="D59">
        <v>0.79724939250516003</v>
      </c>
      <c r="E59">
        <v>-5.7533314988767001E-2</v>
      </c>
      <c r="G59">
        <v>4.532893346545E-2</v>
      </c>
      <c r="H59">
        <v>-0.17747619700003001</v>
      </c>
      <c r="I59">
        <v>-5.3740516822611002E-2</v>
      </c>
      <c r="J59">
        <v>-0.19981021218232001</v>
      </c>
    </row>
    <row r="60" spans="1:10" x14ac:dyDescent="0.35">
      <c r="A60">
        <v>57</v>
      </c>
      <c r="B60">
        <v>-0.21003279603835001</v>
      </c>
      <c r="C60">
        <v>-3.4769169201615997E-2</v>
      </c>
      <c r="D60">
        <v>0.78993892112830999</v>
      </c>
      <c r="E60">
        <v>-4.2964939107929999E-2</v>
      </c>
      <c r="G60">
        <v>3.2507337572418998E-2</v>
      </c>
      <c r="H60">
        <v>-0.18395075272665001</v>
      </c>
      <c r="I60">
        <v>-6.9802077635286994E-2</v>
      </c>
      <c r="J60">
        <v>-0.19865675008851</v>
      </c>
    </row>
    <row r="61" spans="1:10" x14ac:dyDescent="0.35">
      <c r="A61">
        <v>58</v>
      </c>
      <c r="B61">
        <v>-0.21507234818205001</v>
      </c>
      <c r="C61">
        <v>-1.911100647853E-2</v>
      </c>
      <c r="D61">
        <v>0.78489132100016001</v>
      </c>
      <c r="E61">
        <v>-2.7481806964802E-2</v>
      </c>
      <c r="G61">
        <v>1.8868925237232E-2</v>
      </c>
      <c r="H61">
        <v>-0.18845216268286</v>
      </c>
      <c r="I61">
        <v>-8.5504839352454995E-2</v>
      </c>
      <c r="J61">
        <v>-0.19511783880561001</v>
      </c>
    </row>
    <row r="62" spans="1:10" x14ac:dyDescent="0.35">
      <c r="A62">
        <v>59</v>
      </c>
      <c r="B62">
        <v>-0.21771915373275999</v>
      </c>
      <c r="C62">
        <v>-3.0721945212387001E-3</v>
      </c>
      <c r="D62">
        <v>0.78223914004785</v>
      </c>
      <c r="E62">
        <v>-1.1617972834486E-2</v>
      </c>
      <c r="G62">
        <v>4.8859612954588998E-3</v>
      </c>
      <c r="H62">
        <v>-0.19085704689176999</v>
      </c>
      <c r="I62">
        <v>-0.10032641065186</v>
      </c>
      <c r="J62">
        <v>-0.18935793565923001</v>
      </c>
    </row>
    <row r="63" spans="1:10" x14ac:dyDescent="0.35">
      <c r="A63">
        <v>60</v>
      </c>
      <c r="B63">
        <v>-0.21801262036023</v>
      </c>
      <c r="C63">
        <v>1.2803708370147E-2</v>
      </c>
      <c r="D63">
        <v>0.78194004890019997</v>
      </c>
      <c r="E63">
        <v>4.0802650359638998E-3</v>
      </c>
      <c r="G63">
        <v>-8.9650467743953993E-3</v>
      </c>
      <c r="H63">
        <v>-0.19120341948683001</v>
      </c>
      <c r="I63">
        <v>-0.11382483566124001</v>
      </c>
      <c r="J63">
        <v>-0.18168359253013999</v>
      </c>
    </row>
    <row r="64" spans="1:10" x14ac:dyDescent="0.35">
      <c r="A64">
        <v>61</v>
      </c>
      <c r="B64">
        <v>-0.21614170340722</v>
      </c>
      <c r="C64">
        <v>2.8030593716589999E-2</v>
      </c>
      <c r="D64">
        <v>0.78380654176817999</v>
      </c>
      <c r="E64">
        <v>1.9128152765937E-2</v>
      </c>
      <c r="G64">
        <v>-2.2257759825804E-2</v>
      </c>
      <c r="H64">
        <v>-0.18965326705168001</v>
      </c>
      <c r="I64">
        <v>-0.12568259158039</v>
      </c>
      <c r="J64">
        <v>-0.17249920061022</v>
      </c>
    </row>
    <row r="65" spans="1:10" x14ac:dyDescent="0.35">
      <c r="A65">
        <v>62</v>
      </c>
      <c r="B65">
        <v>-0.21240663848749</v>
      </c>
      <c r="C65">
        <v>4.2221105177282003E-2</v>
      </c>
      <c r="D65">
        <v>0.78753472764816002</v>
      </c>
      <c r="E65">
        <v>3.3136573079857998E-2</v>
      </c>
      <c r="G65">
        <v>-3.4652360295661003E-2</v>
      </c>
      <c r="H65">
        <v>-0.18646827419673001</v>
      </c>
      <c r="I65">
        <v>-0.13572123725608001</v>
      </c>
      <c r="J65">
        <v>-0.16225441418118</v>
      </c>
    </row>
    <row r="66" spans="1:10" x14ac:dyDescent="0.35">
      <c r="A66">
        <v>63</v>
      </c>
      <c r="B66">
        <v>-0.20717116603857</v>
      </c>
      <c r="C66">
        <v>5.5109058635900002E-2</v>
      </c>
      <c r="D66">
        <v>0.79276421728449997</v>
      </c>
      <c r="E66">
        <v>4.5835123351387001E-2</v>
      </c>
      <c r="G66">
        <v>-4.5913585776666002E-2</v>
      </c>
      <c r="H66">
        <v>-0.18196324205808001</v>
      </c>
      <c r="I66">
        <v>-0.14389710129550001</v>
      </c>
      <c r="J66">
        <v>-0.15139149085833001</v>
      </c>
    </row>
    <row r="67" spans="1:10" x14ac:dyDescent="0.35">
      <c r="A67">
        <v>64</v>
      </c>
      <c r="B67">
        <v>-6.7834974986562005E-2</v>
      </c>
      <c r="C67">
        <v>-0.10004896312228</v>
      </c>
      <c r="D67">
        <v>0.93217055340649002</v>
      </c>
      <c r="E67">
        <v>-0.10648648692469</v>
      </c>
      <c r="G67">
        <v>8.5413001293078994E-2</v>
      </c>
      <c r="H67">
        <v>-5.7164184187014001E-2</v>
      </c>
      <c r="I67">
        <v>5.3729160061688E-2</v>
      </c>
      <c r="J67">
        <v>-0.1061831918675</v>
      </c>
    </row>
    <row r="68" spans="1:10" x14ac:dyDescent="0.35">
      <c r="A68">
        <v>65</v>
      </c>
      <c r="B68">
        <v>-7.5400509468081994E-2</v>
      </c>
      <c r="C68">
        <v>-0.10306207369291</v>
      </c>
      <c r="D68">
        <v>0.92460191759059995</v>
      </c>
      <c r="E68">
        <v>-0.10963399523726999</v>
      </c>
      <c r="G68">
        <v>8.795811953563E-2</v>
      </c>
      <c r="H68">
        <v>-6.3513600061370995E-2</v>
      </c>
      <c r="I68">
        <v>5.2627311322241001E-2</v>
      </c>
      <c r="J68">
        <v>-0.11387963748351999</v>
      </c>
    </row>
    <row r="69" spans="1:10" x14ac:dyDescent="0.35">
      <c r="A69">
        <v>66</v>
      </c>
      <c r="B69">
        <v>-8.3825622230274996E-2</v>
      </c>
      <c r="C69">
        <v>-0.10570913974689999</v>
      </c>
      <c r="D69">
        <v>0.91617662932015997</v>
      </c>
      <c r="E69">
        <v>-0.11241929664153</v>
      </c>
      <c r="G69">
        <v>9.0255032550962996E-2</v>
      </c>
      <c r="H69">
        <v>-7.0626553113683002E-2</v>
      </c>
      <c r="I69">
        <v>5.0807462390264999E-2</v>
      </c>
      <c r="J69">
        <v>-0.12210186185784</v>
      </c>
    </row>
    <row r="70" spans="1:10" x14ac:dyDescent="0.35">
      <c r="A70">
        <v>67</v>
      </c>
      <c r="B70">
        <v>-9.3130985135827002E-2</v>
      </c>
      <c r="C70">
        <v>-0.10783702924598999</v>
      </c>
      <c r="D70">
        <v>0.90687051508857996</v>
      </c>
      <c r="E70">
        <v>-0.11468902846485</v>
      </c>
      <c r="G70">
        <v>9.2122139131619998E-2</v>
      </c>
      <c r="H70">
        <v>-7.8488905589370994E-2</v>
      </c>
      <c r="I70">
        <v>4.8138576755978997E-2</v>
      </c>
      <c r="J70">
        <v>-0.13079582976793</v>
      </c>
    </row>
    <row r="71" spans="1:10" x14ac:dyDescent="0.35">
      <c r="A71">
        <v>68</v>
      </c>
      <c r="B71">
        <v>-0.10333577798753001</v>
      </c>
      <c r="C71">
        <v>-0.10926383253292</v>
      </c>
      <c r="D71">
        <v>0.89666480883727995</v>
      </c>
      <c r="E71">
        <v>-0.11626130624912</v>
      </c>
      <c r="G71">
        <v>9.3402862572008E-2</v>
      </c>
      <c r="H71">
        <v>-8.7115649976348006E-2</v>
      </c>
      <c r="I71">
        <v>4.4462313011448998E-2</v>
      </c>
      <c r="J71">
        <v>-0.13988860628985</v>
      </c>
    </row>
    <row r="72" spans="1:10" x14ac:dyDescent="0.35">
      <c r="A72">
        <v>69</v>
      </c>
      <c r="B72">
        <v>-0.11442677658194</v>
      </c>
      <c r="C72">
        <v>-0.10977893589498</v>
      </c>
      <c r="D72">
        <v>0.88557120492758001</v>
      </c>
      <c r="E72">
        <v>-0.11692650422252</v>
      </c>
      <c r="G72">
        <v>9.3918267465790004E-2</v>
      </c>
      <c r="H72">
        <v>-9.6496166744621997E-2</v>
      </c>
      <c r="I72">
        <v>3.9613107329789003E-2</v>
      </c>
      <c r="J72">
        <v>-0.14926718328930999</v>
      </c>
    </row>
    <row r="73" spans="1:10" x14ac:dyDescent="0.35">
      <c r="A73">
        <v>70</v>
      </c>
      <c r="B73">
        <v>-0.12634550341028</v>
      </c>
      <c r="C73">
        <v>-0.10914604424665</v>
      </c>
      <c r="D73">
        <v>0.87365127125288999</v>
      </c>
      <c r="E73">
        <v>-0.11644672618109</v>
      </c>
      <c r="G73">
        <v>9.3468754888605995E-2</v>
      </c>
      <c r="H73">
        <v>-0.10658219221125</v>
      </c>
      <c r="I73">
        <v>3.3424129830906001E-2</v>
      </c>
      <c r="J73">
        <v>-0.15876889963567001</v>
      </c>
    </row>
    <row r="74" spans="1:10" x14ac:dyDescent="0.35">
      <c r="A74">
        <v>71</v>
      </c>
      <c r="B74">
        <v>-0.13896956494250001</v>
      </c>
      <c r="C74">
        <v>-0.10711317967634</v>
      </c>
      <c r="D74">
        <v>0.86102705360276</v>
      </c>
      <c r="E74">
        <v>-0.11456678193559</v>
      </c>
      <c r="G74">
        <v>9.1841155700076005E-2</v>
      </c>
      <c r="H74">
        <v>-0.11727229550276</v>
      </c>
      <c r="I74">
        <v>2.5748678348088999E-2</v>
      </c>
      <c r="J74">
        <v>-0.16817129799326</v>
      </c>
    </row>
    <row r="75" spans="1:10" x14ac:dyDescent="0.35">
      <c r="A75">
        <v>72</v>
      </c>
      <c r="B75">
        <v>-0.15210011190589001</v>
      </c>
      <c r="C75">
        <v>-0.10343046603257</v>
      </c>
      <c r="D75">
        <v>0.84789191916204998</v>
      </c>
      <c r="E75">
        <v>-0.11104207646104999</v>
      </c>
      <c r="G75">
        <v>8.8823205493811994E-2</v>
      </c>
      <c r="H75">
        <v>-0.12839994082848999</v>
      </c>
      <c r="I75">
        <v>1.6479331335051001E-2</v>
      </c>
      <c r="J75">
        <v>-0.17719101707462001</v>
      </c>
    </row>
    <row r="76" spans="1:10" x14ac:dyDescent="0.35">
      <c r="A76">
        <v>73</v>
      </c>
      <c r="B76">
        <v>-0.16545282107181</v>
      </c>
      <c r="C76">
        <v>-9.7873214378982998E-2</v>
      </c>
      <c r="D76">
        <v>0.83453646855818997</v>
      </c>
      <c r="E76">
        <v>-0.10564772554548001</v>
      </c>
      <c r="G76">
        <v>8.4223039035779004E-2</v>
      </c>
      <c r="H76">
        <v>-0.13972556916776999</v>
      </c>
      <c r="I76">
        <v>5.5688164509967997E-3</v>
      </c>
      <c r="J76">
        <v>-0.18548516488465999</v>
      </c>
    </row>
    <row r="77" spans="1:10" x14ac:dyDescent="0.35">
      <c r="A77">
        <v>74</v>
      </c>
      <c r="B77">
        <v>-0.17865697121735999</v>
      </c>
      <c r="C77">
        <v>-9.0276834409564993E-2</v>
      </c>
      <c r="D77">
        <v>0.82132706521940002</v>
      </c>
      <c r="E77">
        <v>-9.8219693139978997E-2</v>
      </c>
      <c r="G77">
        <v>7.7899802233880003E-2</v>
      </c>
      <c r="H77">
        <v>-0.15093724743140999</v>
      </c>
      <c r="I77">
        <v>-6.9369214186265002E-3</v>
      </c>
      <c r="J77">
        <v>-0.19267082204739999</v>
      </c>
    </row>
    <row r="78" spans="1:10" x14ac:dyDescent="0.35">
      <c r="A78">
        <v>75</v>
      </c>
      <c r="B78">
        <v>-0.19127068493117</v>
      </c>
      <c r="C78">
        <v>-8.0570959796293001E-2</v>
      </c>
      <c r="D78">
        <v>0.80870973192140005</v>
      </c>
      <c r="E78">
        <v>-8.868449453775E-2</v>
      </c>
      <c r="G78">
        <v>6.9791342468788001E-2</v>
      </c>
      <c r="H78">
        <v>-0.16166117187479001</v>
      </c>
      <c r="I78">
        <v>-2.0882927045857001E-2</v>
      </c>
      <c r="J78">
        <v>-0.19835193282981001</v>
      </c>
    </row>
    <row r="79" spans="1:10" x14ac:dyDescent="0.35">
      <c r="A79">
        <v>76</v>
      </c>
      <c r="B79">
        <v>-0.20280942469482999</v>
      </c>
      <c r="C79">
        <v>-6.8812442840880006E-2</v>
      </c>
      <c r="D79">
        <v>0.79716690411878</v>
      </c>
      <c r="E79">
        <v>-7.7100137413197004E-2</v>
      </c>
      <c r="G79">
        <v>5.9943287777694997E-2</v>
      </c>
      <c r="H79">
        <v>-0.17148793629167</v>
      </c>
      <c r="I79">
        <v>-3.5987203436314001E-2</v>
      </c>
      <c r="J79">
        <v>-0.20215914351052</v>
      </c>
    </row>
    <row r="80" spans="1:10" x14ac:dyDescent="0.35">
      <c r="A80">
        <v>77</v>
      </c>
      <c r="B80">
        <v>-0.21279332425639999</v>
      </c>
      <c r="C80">
        <v>-5.5205041365314997E-2</v>
      </c>
      <c r="D80">
        <v>0.78717589114898001</v>
      </c>
      <c r="E80">
        <v>-6.3672982939933995E-2</v>
      </c>
      <c r="G80">
        <v>4.8525183125097002E-2</v>
      </c>
      <c r="H80">
        <v>-0.18001098498264001</v>
      </c>
      <c r="I80">
        <v>-5.1850177558019003E-2</v>
      </c>
      <c r="J80">
        <v>-0.20379842187045999</v>
      </c>
    </row>
    <row r="81" spans="1:10" x14ac:dyDescent="0.35">
      <c r="A81">
        <v>78</v>
      </c>
      <c r="B81">
        <v>-0.22080279773354</v>
      </c>
      <c r="C81">
        <v>-4.0097396109163998E-2</v>
      </c>
      <c r="D81">
        <v>0.77916068974490005</v>
      </c>
      <c r="E81">
        <v>-4.8747017038220999E-2</v>
      </c>
      <c r="G81">
        <v>3.5829594093247999E-2</v>
      </c>
      <c r="H81">
        <v>-0.18687403208893999</v>
      </c>
      <c r="I81">
        <v>-6.7983260304507007E-2</v>
      </c>
      <c r="J81">
        <v>-0.20309429622961001</v>
      </c>
    </row>
    <row r="82" spans="1:10" x14ac:dyDescent="0.35">
      <c r="A82">
        <v>79</v>
      </c>
      <c r="B82">
        <v>-0.22653109969335999</v>
      </c>
      <c r="C82">
        <v>-2.3958119113163999E-2</v>
      </c>
      <c r="D82">
        <v>0.77343174787628999</v>
      </c>
      <c r="E82">
        <v>-3.2790297440136999E-2</v>
      </c>
      <c r="G82">
        <v>2.2250649495124002E-2</v>
      </c>
      <c r="H82">
        <v>-0.19181370444825999</v>
      </c>
      <c r="I82">
        <v>-8.3854193153825002E-2</v>
      </c>
      <c r="J82">
        <v>-0.20002184976498999</v>
      </c>
    </row>
    <row r="83" spans="1:10" x14ac:dyDescent="0.35">
      <c r="A83">
        <v>80</v>
      </c>
      <c r="B83">
        <v>-0.22982338237319</v>
      </c>
      <c r="C83">
        <v>-7.3286902216917003E-3</v>
      </c>
      <c r="D83">
        <v>0.77013479966526999</v>
      </c>
      <c r="E83">
        <v>-1.6348932839812001E-2</v>
      </c>
      <c r="G83">
        <v>8.2452739867800006E-3</v>
      </c>
      <c r="H83">
        <v>-0.19469600277516</v>
      </c>
      <c r="I83">
        <v>-9.8943768341458002E-2</v>
      </c>
      <c r="J83">
        <v>-0.19471814856024</v>
      </c>
    </row>
    <row r="84" spans="1:10" x14ac:dyDescent="0.35">
      <c r="A84">
        <v>81</v>
      </c>
      <c r="B84">
        <v>-0.23069085667483999</v>
      </c>
      <c r="C84">
        <v>9.2390988693296008E-3</v>
      </c>
      <c r="D84">
        <v>0.76926174560754002</v>
      </c>
      <c r="E84" s="4">
        <v>2.7546007860757001E-5</v>
      </c>
      <c r="G84">
        <v>-5.7198336619429004E-3</v>
      </c>
      <c r="H84">
        <v>-0.19552803746215999</v>
      </c>
      <c r="I84">
        <v>-0.11280565526727999</v>
      </c>
      <c r="J84">
        <v>-0.18745933273761001</v>
      </c>
    </row>
    <row r="85" spans="1:10" x14ac:dyDescent="0.35">
      <c r="A85">
        <v>82</v>
      </c>
      <c r="B85">
        <v>-0.22929769976305001</v>
      </c>
      <c r="C85">
        <v>2.5240693473923999E-2</v>
      </c>
      <c r="D85">
        <v>0.77064773021095001</v>
      </c>
      <c r="E85">
        <v>1.5838501580961999E-2</v>
      </c>
      <c r="G85">
        <v>-1.9217151955551001E-2</v>
      </c>
      <c r="H85">
        <v>-0.19444593212483999</v>
      </c>
      <c r="I85">
        <v>-0.12510659813749</v>
      </c>
      <c r="J85">
        <v>-0.17862386742451999</v>
      </c>
    </row>
    <row r="86" spans="1:10" x14ac:dyDescent="0.35">
      <c r="A86">
        <v>83</v>
      </c>
      <c r="B86">
        <v>-0.22592663431699</v>
      </c>
      <c r="C86">
        <v>4.0263474491286998E-2</v>
      </c>
      <c r="D86">
        <v>0.77401346904040003</v>
      </c>
      <c r="E86">
        <v>3.0663472046298001E-2</v>
      </c>
      <c r="G86">
        <v>-3.1896309162845998E-2</v>
      </c>
      <c r="H86">
        <v>-0.19168670179882999</v>
      </c>
      <c r="I86">
        <v>-0.13564474821365999</v>
      </c>
      <c r="J86">
        <v>-0.16864282130269001</v>
      </c>
    </row>
    <row r="87" spans="1:10" x14ac:dyDescent="0.35">
      <c r="A87">
        <v>84</v>
      </c>
      <c r="B87">
        <v>-0.22093438729699</v>
      </c>
      <c r="C87">
        <v>5.4012962240813998E-2</v>
      </c>
      <c r="D87">
        <v>0.77900222284426002</v>
      </c>
      <c r="E87">
        <v>4.4214080265974003E-2</v>
      </c>
      <c r="G87">
        <v>-4.3505317534244997E-2</v>
      </c>
      <c r="H87">
        <v>-0.18754584482041001</v>
      </c>
      <c r="I87">
        <v>-0.14435285107061999</v>
      </c>
      <c r="J87">
        <v>-0.15795126259058001</v>
      </c>
    </row>
    <row r="88" spans="1:10" x14ac:dyDescent="0.35">
      <c r="A88">
        <v>85</v>
      </c>
      <c r="B88">
        <v>-7.0970118311390995E-2</v>
      </c>
      <c r="C88">
        <v>-0.10540567492473001</v>
      </c>
      <c r="D88">
        <v>0.92901074234804004</v>
      </c>
      <c r="E88">
        <v>-0.11210970695212</v>
      </c>
      <c r="G88">
        <v>8.6562662262278003E-2</v>
      </c>
      <c r="H88">
        <v>-5.7669196776208999E-2</v>
      </c>
      <c r="I88">
        <v>5.4715299304876001E-2</v>
      </c>
      <c r="J88">
        <v>-0.10755719939074999</v>
      </c>
    </row>
    <row r="89" spans="1:10" x14ac:dyDescent="0.35">
      <c r="A89">
        <v>86</v>
      </c>
      <c r="B89">
        <v>-7.8896985427149999E-2</v>
      </c>
      <c r="C89">
        <v>-0.10859727384426</v>
      </c>
      <c r="D89">
        <v>0.92108393540987998</v>
      </c>
      <c r="E89">
        <v>-0.11544902245329999</v>
      </c>
      <c r="G89">
        <v>8.9156480277593E-2</v>
      </c>
      <c r="H89">
        <v>-6.4078003409914E-2</v>
      </c>
      <c r="I89">
        <v>5.3635225526836999E-2</v>
      </c>
      <c r="J89">
        <v>-0.1153587289029</v>
      </c>
    </row>
    <row r="90" spans="1:10" x14ac:dyDescent="0.35">
      <c r="A90">
        <v>87</v>
      </c>
      <c r="B90">
        <v>-8.7689859922145993E-2</v>
      </c>
      <c r="C90">
        <v>-0.11139778538181</v>
      </c>
      <c r="D90">
        <v>0.91229040860572996</v>
      </c>
      <c r="E90">
        <v>-0.11839820473415</v>
      </c>
      <c r="G90">
        <v>9.1504517806488994E-2</v>
      </c>
      <c r="H90">
        <v>-7.1238935933300995E-2</v>
      </c>
      <c r="I90">
        <v>5.1835090843352999E-2</v>
      </c>
      <c r="J90">
        <v>-0.1236720775131</v>
      </c>
    </row>
    <row r="91" spans="1:10" x14ac:dyDescent="0.35">
      <c r="A91">
        <v>88</v>
      </c>
      <c r="B91">
        <v>-9.7394161701781001E-2</v>
      </c>
      <c r="C91">
        <v>-0.11366251619577999</v>
      </c>
      <c r="D91">
        <v>0.90258552632892997</v>
      </c>
      <c r="E91">
        <v>-0.12081493917217</v>
      </c>
      <c r="G91">
        <v>9.3424025361072999E-2</v>
      </c>
      <c r="H91">
        <v>-7.9147315523539E-2</v>
      </c>
      <c r="I91">
        <v>4.9187246665395E-2</v>
      </c>
      <c r="J91">
        <v>-0.13245882731419001</v>
      </c>
    </row>
    <row r="92" spans="1:10" x14ac:dyDescent="0.35">
      <c r="A92">
        <v>89</v>
      </c>
      <c r="B92">
        <v>-0.10803355818649001</v>
      </c>
      <c r="C92">
        <v>-0.1152061894967</v>
      </c>
      <c r="D92">
        <v>0.89194708616338003</v>
      </c>
      <c r="E92">
        <v>-0.12251587785368</v>
      </c>
      <c r="G92">
        <v>9.4763086980373001E-2</v>
      </c>
      <c r="H92">
        <v>-8.7823229893380997E-2</v>
      </c>
      <c r="I92">
        <v>4.5533959782535001E-2</v>
      </c>
      <c r="J92">
        <v>-0.14165042455867</v>
      </c>
    </row>
    <row r="93" spans="1:10" x14ac:dyDescent="0.35">
      <c r="A93">
        <v>90</v>
      </c>
      <c r="B93">
        <v>-0.11959861801788001</v>
      </c>
      <c r="C93">
        <v>-0.11581222149023</v>
      </c>
      <c r="D93">
        <v>0.88038128577885999</v>
      </c>
      <c r="E93">
        <v>-0.12328150308788</v>
      </c>
      <c r="G93">
        <v>9.5343940206312996E-2</v>
      </c>
      <c r="H93">
        <v>-9.7259217128202999E-2</v>
      </c>
      <c r="I93">
        <v>4.0707113106013999E-2</v>
      </c>
      <c r="J93">
        <v>-0.15113820719907001</v>
      </c>
    </row>
    <row r="94" spans="1:10" x14ac:dyDescent="0.35">
      <c r="A94">
        <v>91</v>
      </c>
      <c r="B94">
        <v>-0.13202952027272999</v>
      </c>
      <c r="C94">
        <v>-0.11523767479843</v>
      </c>
      <c r="D94">
        <v>0.86794953345963999</v>
      </c>
      <c r="E94">
        <v>-0.12287037222202001</v>
      </c>
      <c r="G94">
        <v>9.4968903940548993E-2</v>
      </c>
      <c r="H94">
        <v>-0.10740884851220001</v>
      </c>
      <c r="I94">
        <v>3.4542566631625998E-2</v>
      </c>
      <c r="J94">
        <v>-0.16076060079407001</v>
      </c>
    </row>
    <row r="95" spans="1:10" x14ac:dyDescent="0.35">
      <c r="A95">
        <v>92</v>
      </c>
      <c r="B95">
        <v>-0.14520335260459</v>
      </c>
      <c r="C95">
        <v>-0.11322278838709</v>
      </c>
      <c r="D95">
        <v>0.85477474827305999</v>
      </c>
      <c r="E95">
        <v>-0.12102269029309</v>
      </c>
      <c r="G95">
        <v>9.3424606899959003E-2</v>
      </c>
      <c r="H95">
        <v>-0.11817258901461</v>
      </c>
      <c r="I95">
        <v>2.6892075554700998E-2</v>
      </c>
      <c r="J95">
        <v>-0.17029857371922</v>
      </c>
    </row>
    <row r="96" spans="1:10" x14ac:dyDescent="0.35">
      <c r="A96">
        <v>93</v>
      </c>
      <c r="B96">
        <v>-0.15891918140257</v>
      </c>
      <c r="C96">
        <v>-0.10950835117718</v>
      </c>
      <c r="D96">
        <v>0.84105788058150999</v>
      </c>
      <c r="E96">
        <v>-0.11747923898404999</v>
      </c>
      <c r="G96">
        <v>9.0498996871269999E-2</v>
      </c>
      <c r="H96">
        <v>-0.12938868614884</v>
      </c>
      <c r="I96">
        <v>1.7644377802344E-2</v>
      </c>
      <c r="J96">
        <v>-0.17947161522336999</v>
      </c>
    </row>
    <row r="97" spans="1:10" x14ac:dyDescent="0.35">
      <c r="A97">
        <v>94</v>
      </c>
      <c r="B97">
        <v>-0.17288824144393999</v>
      </c>
      <c r="C97">
        <v>-0.10386103168654</v>
      </c>
      <c r="D97">
        <v>0.82708751770315003</v>
      </c>
      <c r="E97">
        <v>-0.1120049749615</v>
      </c>
      <c r="G97">
        <v>8.6000203919312998E-2</v>
      </c>
      <c r="H97">
        <v>-0.14082331041568999</v>
      </c>
      <c r="I97">
        <v>6.7499446802008999E-3</v>
      </c>
      <c r="J97">
        <v>-0.18794201960852</v>
      </c>
    </row>
    <row r="98" spans="1:10" x14ac:dyDescent="0.35">
      <c r="A98">
        <v>95</v>
      </c>
      <c r="B98">
        <v>-0.18673420580639999</v>
      </c>
      <c r="C98">
        <v>-9.6106846729480999E-2</v>
      </c>
      <c r="D98">
        <v>0.81323831940637004</v>
      </c>
      <c r="E98">
        <v>-0.10442633907185001</v>
      </c>
      <c r="G98">
        <v>7.9783336512783007E-2</v>
      </c>
      <c r="H98">
        <v>-0.15216935330716999</v>
      </c>
      <c r="I98">
        <v>-5.7533749258125997E-3</v>
      </c>
      <c r="J98">
        <v>-0.19533070336853001</v>
      </c>
    </row>
    <row r="99" spans="1:10" x14ac:dyDescent="0.35">
      <c r="A99">
        <v>96</v>
      </c>
      <c r="B99">
        <v>-0.20000400839332</v>
      </c>
      <c r="C99">
        <v>-8.6165756052363998E-2</v>
      </c>
      <c r="D99">
        <v>0.79996680986321</v>
      </c>
      <c r="E99">
        <v>-9.4667397520416002E-2</v>
      </c>
      <c r="G99">
        <v>7.1780975553648999E-2</v>
      </c>
      <c r="H99">
        <v>-0.16305833177098999</v>
      </c>
      <c r="I99">
        <v>-1.9716239161163999E-2</v>
      </c>
      <c r="J99">
        <v>-0.20124002675241001</v>
      </c>
    </row>
    <row r="100" spans="1:10" x14ac:dyDescent="0.35">
      <c r="A100">
        <v>97</v>
      </c>
      <c r="B100">
        <v>-0.21220102617252001</v>
      </c>
      <c r="C100">
        <v>-7.4086793107391996E-2</v>
      </c>
      <c r="D100">
        <v>0.78776613796938</v>
      </c>
      <c r="E100">
        <v>-8.2777092830030999E-2</v>
      </c>
      <c r="G100">
        <v>6.2030407149689E-2</v>
      </c>
      <c r="H100">
        <v>-0.17308525424016999</v>
      </c>
      <c r="I100">
        <v>-3.4867252392969998E-2</v>
      </c>
      <c r="J100">
        <v>-0.20530042748112001</v>
      </c>
    </row>
    <row r="101" spans="1:10" x14ac:dyDescent="0.35">
      <c r="A101">
        <v>98</v>
      </c>
      <c r="B101">
        <v>-0.22282960353035999</v>
      </c>
      <c r="C101">
        <v>-6.0067780792297999E-2</v>
      </c>
      <c r="D101">
        <v>0.77713496285330996</v>
      </c>
      <c r="E101">
        <v>-6.8948629568099995E-2</v>
      </c>
      <c r="G101">
        <v>5.0689825643875003E-2</v>
      </c>
      <c r="H101">
        <v>-0.18184466819865999</v>
      </c>
      <c r="I101">
        <v>-5.0818607172904998E-2</v>
      </c>
      <c r="J101">
        <v>-0.20721187396679999</v>
      </c>
    </row>
    <row r="102" spans="1:10" x14ac:dyDescent="0.35">
      <c r="A102">
        <v>99</v>
      </c>
      <c r="B102">
        <v>-0.23145088741433001</v>
      </c>
      <c r="C102">
        <v>-4.4456686082511E-2</v>
      </c>
      <c r="D102">
        <v>0.76851041835685996</v>
      </c>
      <c r="E102">
        <v>-5.3531439459353E-2</v>
      </c>
      <c r="G102">
        <v>3.8040307851969997E-2</v>
      </c>
      <c r="H102">
        <v>-0.18897568941878001</v>
      </c>
      <c r="I102">
        <v>-6.7089021161196E-2</v>
      </c>
      <c r="J102">
        <v>-0.20678972435623999</v>
      </c>
    </row>
    <row r="103" spans="1:10" x14ac:dyDescent="0.35">
      <c r="A103">
        <v>100</v>
      </c>
      <c r="B103">
        <v>-0.23773796055193</v>
      </c>
      <c r="C103">
        <v>-2.7726542125460999E-2</v>
      </c>
      <c r="D103">
        <v>0.76221985390146996</v>
      </c>
      <c r="E103">
        <v>-3.6998459341889001E-2</v>
      </c>
      <c r="G103">
        <v>2.4466062161070001E-2</v>
      </c>
      <c r="H103">
        <v>-0.19421027972169999</v>
      </c>
      <c r="I103">
        <v>-8.3150892223921996E-2</v>
      </c>
      <c r="J103">
        <v>-0.20399640530777</v>
      </c>
    </row>
    <row r="104" spans="1:10" x14ac:dyDescent="0.35">
      <c r="A104">
        <v>101</v>
      </c>
      <c r="B104">
        <v>-0.24151645709871999</v>
      </c>
      <c r="C104">
        <v>-1.0426278122598E-2</v>
      </c>
      <c r="D104">
        <v>0.75843791714774</v>
      </c>
      <c r="E104">
        <v>-1.9899729743858001E-2</v>
      </c>
      <c r="G104">
        <v>1.0413674080357E-2</v>
      </c>
      <c r="H104">
        <v>-0.19740126282317</v>
      </c>
      <c r="I104">
        <v>-9.8487839004404998E-2</v>
      </c>
      <c r="J104">
        <v>-0.19895064289820999</v>
      </c>
    </row>
    <row r="105" spans="1:10" x14ac:dyDescent="0.35">
      <c r="A105">
        <v>102</v>
      </c>
      <c r="B105">
        <v>-0.24278001308870001</v>
      </c>
      <c r="C105">
        <v>6.8829035153985998E-3</v>
      </c>
      <c r="D105">
        <v>0.75717123697336997</v>
      </c>
      <c r="E105">
        <v>-2.7935114372236E-3</v>
      </c>
      <c r="G105">
        <v>-3.6587705678014998E-3</v>
      </c>
      <c r="H105">
        <v>-0.19853143923460001</v>
      </c>
      <c r="I105">
        <v>-0.11265377202121001</v>
      </c>
      <c r="J105">
        <v>-0.19191109682436999</v>
      </c>
    </row>
    <row r="106" spans="1:10" x14ac:dyDescent="0.35">
      <c r="A106">
        <v>103</v>
      </c>
      <c r="B106">
        <v>-0.24166813945876001</v>
      </c>
      <c r="C106">
        <v>2.3722915920214999E-2</v>
      </c>
      <c r="D106">
        <v>0.75827765935836</v>
      </c>
      <c r="E106">
        <v>1.3839301060022E-2</v>
      </c>
      <c r="G106">
        <v>-1.7359172773356E-2</v>
      </c>
      <c r="H106">
        <v>-0.19770864771718999</v>
      </c>
      <c r="I106">
        <v>-0.12533455745951999</v>
      </c>
      <c r="J106">
        <v>-0.18321071761120999</v>
      </c>
    </row>
    <row r="107" spans="1:10" x14ac:dyDescent="0.35">
      <c r="A107">
        <v>104</v>
      </c>
      <c r="B107">
        <v>-0.23847420899635</v>
      </c>
      <c r="C107">
        <v>3.9541594516268E-2</v>
      </c>
      <c r="D107">
        <v>0.76146859019473001</v>
      </c>
      <c r="E107">
        <v>2.9445801107196998E-2</v>
      </c>
      <c r="G107">
        <v>-3.0235552412462001E-2</v>
      </c>
      <c r="H107">
        <v>-0.19519471145490999</v>
      </c>
      <c r="I107">
        <v>-0.13622717557481001</v>
      </c>
      <c r="J107">
        <v>-0.17333794386307</v>
      </c>
    </row>
    <row r="108" spans="1:10" x14ac:dyDescent="0.35">
      <c r="A108">
        <v>105</v>
      </c>
      <c r="B108">
        <v>-0.23356115709815001</v>
      </c>
      <c r="C108">
        <v>5.4067654750977003E-2</v>
      </c>
      <c r="D108">
        <v>0.76637885351777002</v>
      </c>
      <c r="E108">
        <v>4.3755847276250003E-2</v>
      </c>
      <c r="G108">
        <v>-4.2064715142185002E-2</v>
      </c>
      <c r="H108">
        <v>-0.19127173860961999</v>
      </c>
      <c r="I108">
        <v>-0.14529003042404001</v>
      </c>
      <c r="J108">
        <v>-0.16271035405559001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0A462-76AA-4B0D-9C47-01D39BDAF6CD}">
  <dimension ref="A1:V564"/>
  <sheetViews>
    <sheetView tabSelected="1" zoomScale="58" zoomScaleNormal="70" workbookViewId="0">
      <selection activeCell="AQ28" sqref="AQ28"/>
    </sheetView>
  </sheetViews>
  <sheetFormatPr defaultRowHeight="14.5" x14ac:dyDescent="0.35"/>
  <cols>
    <col min="2" max="2" width="9.1796875" style="5"/>
    <col min="3" max="14" width="9.1796875" customWidth="1"/>
    <col min="15" max="16" width="10.81640625" customWidth="1"/>
    <col min="17" max="18" width="11.1796875" customWidth="1"/>
    <col min="20" max="20" width="10.453125" customWidth="1"/>
    <col min="21" max="22" width="9.81640625" hidden="1" customWidth="1"/>
  </cols>
  <sheetData>
    <row r="1" spans="1:22" x14ac:dyDescent="0.35">
      <c r="A1" s="1" t="s">
        <v>0</v>
      </c>
      <c r="B1" s="1" t="s">
        <v>9</v>
      </c>
      <c r="C1" s="2" t="s">
        <v>1</v>
      </c>
      <c r="D1" s="2" t="s">
        <v>2</v>
      </c>
      <c r="E1" s="2" t="s">
        <v>3</v>
      </c>
      <c r="F1" s="2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6" t="s">
        <v>27</v>
      </c>
      <c r="L1" s="6" t="s">
        <v>28</v>
      </c>
      <c r="M1" s="6" t="s">
        <v>29</v>
      </c>
      <c r="N1" s="6" t="s">
        <v>30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s="8" t="s">
        <v>31</v>
      </c>
      <c r="V1" s="8" t="s">
        <v>32</v>
      </c>
    </row>
    <row r="2" spans="1:22" x14ac:dyDescent="0.35">
      <c r="A2">
        <v>1</v>
      </c>
      <c r="B2" s="9">
        <v>15</v>
      </c>
      <c r="C2">
        <v>-4.9211628E-3</v>
      </c>
      <c r="D2">
        <v>-2.4579090999999999E-3</v>
      </c>
      <c r="E2">
        <v>0.99520180000000003</v>
      </c>
      <c r="F2">
        <v>-4.0883372999999997E-3</v>
      </c>
      <c r="G2">
        <f t="shared" ref="G2" si="0">IMREAL(IMDIV(IMSUM(IMPRODUCT(COMPLEX(1 + C2,D2),COMPLEX(1 - C2, - D2)),IMPRODUCT(COMPLEX(E2,F2),COMPLEX(E2,F2))),IMSUB(IMPRODUCT(COMPLEX(1 - C2, - D2),COMPLEX(1 - C2, - D2)),IMPRODUCT(COMPLEX(E2,F2),COMPLEX(E2,F2)))))</f>
        <v>70.279232261084005</v>
      </c>
      <c r="H2">
        <f t="shared" ref="H2" si="1">IMAGINARY(IMDIV(IMSUM(IMPRODUCT(COMPLEX(1 + C2,D2),COMPLEX(1 - C2, - D2)),IMPRODUCT(COMPLEX(E2,F2),COMPLEX(E2,F2))),IMSUB(IMPRODUCT(COMPLEX(1 - C2, - D2),COMPLEX(1 - C2, - D2)),IMPRODUCT(COMPLEX(E2,F2),COMPLEX(E2,F2)))))</f>
        <v>-47.671287318492098</v>
      </c>
      <c r="I2">
        <f t="shared" ref="I2" si="2">IMREAL(IMDIV(IMPRODUCT(COMPLEX(2,0),COMPLEX(E2,F2)),IMSUB(IMPRODUCT(COMPLEX(1 - C2, - D2),COMPLEX(1 - C2, - D2)),IMPRODUCT(COMPLEX(E2,F2),COMPLEX(E2,F2)))))</f>
        <v>70.279294403155305</v>
      </c>
      <c r="J2">
        <f t="shared" ref="J2" si="3">IMAGINARY(IMDIV(IMPRODUCT(COMPLEX(2,0),COMPLEX(E2,F2)),IMSUB(IMPRODUCT(COMPLEX(1 - C2, - D2),COMPLEX(1 - C2, - D2)),IMPRODUCT(COMPLEX(E2,F2),COMPLEX(E2,F2)))))</f>
        <v>-47.6721024318188</v>
      </c>
      <c r="K2" s="7">
        <f>IMREAL(IMSUB(COMPLEX(G2,H2),COMPLEX(I2,J2)))</f>
        <v>-6.2142071300286302E-5</v>
      </c>
      <c r="L2" s="7">
        <f>IMAGINARY(IMSUB(COMPLEX(G2,H2),COMPLEX(I2,J2)))</f>
        <v>8.1511332670203295E-4</v>
      </c>
      <c r="M2" s="7">
        <f t="shared" ref="M2" si="4">IMREAL(IMDIV(IMSUB(IMPRODUCT(COMPLEX(1 - C2, - D2),COMPLEX(1 - C2, - D2)),IMPRODUCT(COMPLEX(E2,F2),COMPLEX(E2,F2))),IMPRODUCT(COMPLEX(2,0),COMPLEX(E2,F2))))</f>
        <v>9.7450304872599303E-3</v>
      </c>
      <c r="N2" s="7">
        <f t="shared" ref="N2" si="5">IMAGINARY(IMDIV(IMSUB(IMPRODUCT(COMPLEX(1 - C2, - D2),COMPLEX(1 - C2, - D2)),IMPRODUCT(COMPLEX(E2,F2),COMPLEX(E2,F2))),IMPRODUCT(COMPLEX(2,0),COMPLEX(E2,F2))))</f>
        <v>6.6102839468603798E-3</v>
      </c>
      <c r="O2">
        <v>0.89158198</v>
      </c>
      <c r="P2">
        <v>-0.60867313999999995</v>
      </c>
      <c r="Q2">
        <v>1.4899408000000001</v>
      </c>
      <c r="R2">
        <v>-2.7713839</v>
      </c>
      <c r="S2">
        <f>IMABS(COMPLEX(Q2,R2))/IMABS(COMPLEX(O2,P2))</f>
        <v>2.9146782769835271</v>
      </c>
      <c r="T2">
        <f t="shared" ref="T2" si="6">IMARGUMENT(IMDIV(COMPLEX(Q2,R2),COMPLEX(O2/B2,P2/B2)))/PI()*180</f>
        <v>-27.415886043246992</v>
      </c>
      <c r="U2" s="8"/>
      <c r="V2" s="8"/>
    </row>
    <row r="3" spans="1:22" x14ac:dyDescent="0.35">
      <c r="A3">
        <v>1.125</v>
      </c>
      <c r="B3" s="9">
        <v>15</v>
      </c>
      <c r="C3">
        <v>-6.2017404999999996E-3</v>
      </c>
      <c r="D3">
        <v>-4.3232823999999996E-3</v>
      </c>
      <c r="E3">
        <v>0.99384598999999996</v>
      </c>
      <c r="F3">
        <v>-5.9989897000000004E-3</v>
      </c>
      <c r="G3">
        <f t="shared" ref="G3:G66" si="7">IMREAL(IMDIV(IMSUM(IMPRODUCT(COMPLEX(1 + C3,D3),COMPLEX(1 - C3, - D3)),IMPRODUCT(COMPLEX(E3,F3),COMPLEX(E3,F3))),IMSUB(IMPRODUCT(COMPLEX(1 - C3, - D3),COMPLEX(1 - C3, - D3)),IMPRODUCT(COMPLEX(E3,F3),COMPLEX(E3,F3)))))</f>
        <v>47.166227250050603</v>
      </c>
      <c r="H3">
        <f t="shared" ref="H3:H66" si="8">IMAGINARY(IMDIV(IMSUM(IMPRODUCT(COMPLEX(1 + C3,D3),COMPLEX(1 - C3, - D3)),IMPRODUCT(COMPLEX(E3,F3),COMPLEX(E3,F3))),IMSUB(IMPRODUCT(COMPLEX(1 - C3, - D3),COMPLEX(1 - C3, - D3)),IMPRODUCT(COMPLEX(E3,F3),COMPLEX(E3,F3)))))</f>
        <v>-39.8210305834926</v>
      </c>
      <c r="I3">
        <f t="shared" ref="I3:I66" si="9">IMREAL(IMDIV(IMPRODUCT(COMPLEX(2,0),COMPLEX(E3,F3)),IMSUB(IMPRODUCT(COMPLEX(1 - C3, - D3),COMPLEX(1 - C3, - D3)),IMPRODUCT(COMPLEX(E3,F3),COMPLEX(E3,F3)))))</f>
        <v>47.1662518166791</v>
      </c>
      <c r="J3">
        <f t="shared" ref="J3:J66" si="10">IMAGINARY(IMDIV(IMPRODUCT(COMPLEX(2,0),COMPLEX(E3,F3)),IMSUB(IMPRODUCT(COMPLEX(1 - C3, - D3),COMPLEX(1 - C3, - D3)),IMPRODUCT(COMPLEX(E3,F3),COMPLEX(E3,F3)))))</f>
        <v>-39.821868396564703</v>
      </c>
      <c r="K3" s="7">
        <f t="shared" ref="K3:K66" si="11">IMREAL(IMSUB(COMPLEX(G3,H3),COMPLEX(I3,J3)))</f>
        <v>-2.4566628496813798E-5</v>
      </c>
      <c r="L3" s="7">
        <f t="shared" ref="L3:L66" si="12">IMAGINARY(IMSUB(COMPLEX(G3,H3),COMPLEX(I3,J3)))</f>
        <v>8.3781307210273304E-4</v>
      </c>
      <c r="M3" s="7">
        <f t="shared" ref="M3:M66" si="13">IMREAL(IMDIV(IMSUB(IMPRODUCT(COMPLEX(1 - C3, - D3),COMPLEX(1 - C3, - D3)),IMPRODUCT(COMPLEX(E3,F3),COMPLEX(E3,F3))),IMPRODUCT(COMPLEX(2,0),COMPLEX(E3,F3))))</f>
        <v>1.2378175480793299E-2</v>
      </c>
      <c r="N3" s="7">
        <f t="shared" ref="N3:N66" si="14">IMAGINARY(IMDIV(IMSUB(IMPRODUCT(COMPLEX(1 - C3, - D3),COMPLEX(1 - C3, - D3)),IMPRODUCT(COMPLEX(E3,F3),COMPLEX(E3,F3))),IMPRODUCT(COMPLEX(2,0),COMPLEX(E3,F3))))</f>
        <v>1.04507366178168E-2</v>
      </c>
      <c r="O3">
        <v>1.0020720000000001</v>
      </c>
      <c r="P3">
        <v>-0.68655688000000004</v>
      </c>
      <c r="Q3">
        <v>1.6602374</v>
      </c>
      <c r="R3">
        <v>-3.0997461999999998</v>
      </c>
      <c r="S3">
        <f t="shared" ref="S3:S66" si="15">IMABS(COMPLEX(Q3,R3))/IMABS(COMPLEX(O3,P3))</f>
        <v>2.894829087810264</v>
      </c>
      <c r="T3">
        <f t="shared" ref="T3:T66" si="16">IMARGUMENT(IMDIV(COMPLEX(Q3,R3),COMPLEX(O3/B3,P3/B3)))/PI()*180</f>
        <v>-27.409810085666237</v>
      </c>
      <c r="U3" s="8"/>
      <c r="V3" s="8"/>
    </row>
    <row r="4" spans="1:22" ht="18" customHeight="1" x14ac:dyDescent="0.35">
      <c r="A4">
        <v>1.25</v>
      </c>
      <c r="B4" s="9">
        <v>15</v>
      </c>
      <c r="C4">
        <v>-7.5950886999999996E-3</v>
      </c>
      <c r="D4">
        <v>-6.3756682999999998E-3</v>
      </c>
      <c r="E4">
        <v>0.99243486000000003</v>
      </c>
      <c r="F4">
        <v>-8.1085545999999998E-3</v>
      </c>
      <c r="G4">
        <f t="shared" si="7"/>
        <v>33.984428131026</v>
      </c>
      <c r="H4">
        <f t="shared" si="8"/>
        <v>-32.946316302809102</v>
      </c>
      <c r="I4">
        <f t="shared" si="9"/>
        <v>33.984443855841199</v>
      </c>
      <c r="J4">
        <f t="shared" si="10"/>
        <v>-32.947182719360399</v>
      </c>
      <c r="K4" s="7">
        <f t="shared" si="11"/>
        <v>-1.5724815199291701E-5</v>
      </c>
      <c r="L4" s="7">
        <f t="shared" si="12"/>
        <v>8.6641655129682195E-4</v>
      </c>
      <c r="M4" s="7">
        <f t="shared" si="13"/>
        <v>1.51685166788474E-2</v>
      </c>
      <c r="N4" s="7">
        <f t="shared" si="14"/>
        <v>1.4705548595103901E-2</v>
      </c>
      <c r="O4">
        <v>1.1075926</v>
      </c>
      <c r="P4">
        <v>-0.75814671</v>
      </c>
      <c r="Q4">
        <v>1.836538</v>
      </c>
      <c r="R4">
        <v>-3.4236423999999999</v>
      </c>
      <c r="S4">
        <f t="shared" si="15"/>
        <v>2.8945572405050006</v>
      </c>
      <c r="T4">
        <f t="shared" si="16"/>
        <v>-27.398015481481099</v>
      </c>
      <c r="U4" s="8"/>
      <c r="V4" s="8"/>
    </row>
    <row r="5" spans="1:22" x14ac:dyDescent="0.35">
      <c r="A5">
        <v>1.375</v>
      </c>
      <c r="B5" s="9">
        <v>15</v>
      </c>
      <c r="C5">
        <v>-9.0929645E-3</v>
      </c>
      <c r="D5">
        <v>-8.6006986999999993E-3</v>
      </c>
      <c r="E5">
        <v>0.99092765000000005</v>
      </c>
      <c r="F5">
        <v>-1.0396808E-2</v>
      </c>
      <c r="G5">
        <f t="shared" si="7"/>
        <v>25.792855215255202</v>
      </c>
      <c r="H5">
        <f t="shared" si="8"/>
        <v>-27.496944362379701</v>
      </c>
      <c r="I5">
        <f t="shared" si="9"/>
        <v>25.792866328875601</v>
      </c>
      <c r="J5">
        <f t="shared" si="10"/>
        <v>-27.497842397792802</v>
      </c>
      <c r="K5" s="7">
        <f t="shared" si="11"/>
        <v>-1.11136203990725E-5</v>
      </c>
      <c r="L5" s="7">
        <f t="shared" si="12"/>
        <v>8.9803541310118395E-4</v>
      </c>
      <c r="M5" s="7">
        <f t="shared" si="13"/>
        <v>1.8146057850338099E-2</v>
      </c>
      <c r="N5" s="7">
        <f t="shared" si="14"/>
        <v>1.9345559836101402E-2</v>
      </c>
      <c r="O5">
        <v>1.2107797</v>
      </c>
      <c r="P5">
        <v>-0.82702151999999995</v>
      </c>
      <c r="Q5">
        <v>2.0107313000000002</v>
      </c>
      <c r="R5">
        <v>-3.7368470999999999</v>
      </c>
      <c r="S5">
        <f t="shared" si="15"/>
        <v>2.8940571020424826</v>
      </c>
      <c r="T5">
        <f t="shared" si="16"/>
        <v>-27.381112078690794</v>
      </c>
      <c r="U5" s="8"/>
      <c r="V5" s="8"/>
    </row>
    <row r="6" spans="1:22" x14ac:dyDescent="0.35">
      <c r="A6">
        <v>1.5</v>
      </c>
      <c r="B6" s="9">
        <v>15</v>
      </c>
      <c r="C6">
        <v>-1.0697996E-2</v>
      </c>
      <c r="D6">
        <v>-1.0990397000000001E-2</v>
      </c>
      <c r="E6">
        <v>0.98931988999999998</v>
      </c>
      <c r="F6">
        <v>-1.2865992999999999E-2</v>
      </c>
      <c r="G6">
        <f t="shared" si="7"/>
        <v>20.333294476943301</v>
      </c>
      <c r="H6">
        <f t="shared" si="8"/>
        <v>-23.247957101784401</v>
      </c>
      <c r="I6">
        <f t="shared" si="9"/>
        <v>20.333304299304</v>
      </c>
      <c r="J6">
        <f t="shared" si="10"/>
        <v>-23.248894882186399</v>
      </c>
      <c r="K6" s="7">
        <f t="shared" si="11"/>
        <v>-9.8223606990188694E-6</v>
      </c>
      <c r="L6" s="7">
        <f t="shared" si="12"/>
        <v>9.3778040199765699E-4</v>
      </c>
      <c r="M6" s="7">
        <f t="shared" si="13"/>
        <v>2.13147554958187E-2</v>
      </c>
      <c r="N6" s="7">
        <f t="shared" si="14"/>
        <v>2.4371076273065801E-2</v>
      </c>
      <c r="O6">
        <v>1.3110269000000001</v>
      </c>
      <c r="P6">
        <v>-0.89359887000000005</v>
      </c>
      <c r="Q6">
        <v>2.1816930999999999</v>
      </c>
      <c r="R6">
        <v>-4.0418786999999998</v>
      </c>
      <c r="S6">
        <f t="shared" si="15"/>
        <v>2.8949263261973983</v>
      </c>
      <c r="T6">
        <f t="shared" si="16"/>
        <v>-27.362637239955657</v>
      </c>
      <c r="U6" s="8"/>
      <c r="V6" s="8"/>
    </row>
    <row r="7" spans="1:22" x14ac:dyDescent="0.35">
      <c r="A7">
        <v>1.625</v>
      </c>
      <c r="B7" s="9">
        <v>15</v>
      </c>
      <c r="C7">
        <v>-1.2396946000000001E-2</v>
      </c>
      <c r="D7">
        <v>-1.3541925999999999E-2</v>
      </c>
      <c r="E7">
        <v>0.98744109999999996</v>
      </c>
      <c r="F7">
        <v>-1.5567945999999999E-2</v>
      </c>
      <c r="G7">
        <f t="shared" si="7"/>
        <v>16.474740162047699</v>
      </c>
      <c r="H7">
        <f t="shared" si="8"/>
        <v>-19.799717760899799</v>
      </c>
      <c r="I7">
        <f t="shared" si="9"/>
        <v>16.4746602049274</v>
      </c>
      <c r="J7">
        <f t="shared" si="10"/>
        <v>-19.800730933940901</v>
      </c>
      <c r="K7" s="7">
        <f t="shared" si="11"/>
        <v>7.9957120298956906E-5</v>
      </c>
      <c r="L7" s="7">
        <f t="shared" si="12"/>
        <v>1.0131730411018201E-3</v>
      </c>
      <c r="M7" s="7">
        <f t="shared" si="13"/>
        <v>2.48305546769273E-2</v>
      </c>
      <c r="N7" s="7">
        <f t="shared" si="14"/>
        <v>2.9843597742385899E-2</v>
      </c>
      <c r="O7">
        <v>1.4088354999999999</v>
      </c>
      <c r="P7">
        <v>-0.95804376999999996</v>
      </c>
      <c r="Q7">
        <v>2.3480956000000002</v>
      </c>
      <c r="R7">
        <v>-4.3362296999999996</v>
      </c>
      <c r="S7">
        <f t="shared" si="15"/>
        <v>2.8943531664182212</v>
      </c>
      <c r="T7">
        <f t="shared" si="16"/>
        <v>-27.347483902402377</v>
      </c>
      <c r="U7" s="8"/>
      <c r="V7" s="8"/>
    </row>
    <row r="8" spans="1:22" x14ac:dyDescent="0.35">
      <c r="A8">
        <v>1.75</v>
      </c>
      <c r="B8" s="9">
        <v>15</v>
      </c>
      <c r="C8">
        <v>-1.419338E-2</v>
      </c>
      <c r="D8">
        <v>-1.6241015000000001E-2</v>
      </c>
      <c r="E8">
        <v>0.98566361000000002</v>
      </c>
      <c r="F8">
        <v>-1.8377171000000001E-2</v>
      </c>
      <c r="G8">
        <f t="shared" si="7"/>
        <v>13.677258315403099</v>
      </c>
      <c r="H8">
        <f t="shared" si="8"/>
        <v>-17.2021894721262</v>
      </c>
      <c r="I8">
        <f t="shared" si="9"/>
        <v>13.6771879463238</v>
      </c>
      <c r="J8">
        <f t="shared" si="10"/>
        <v>-17.2032577016695</v>
      </c>
      <c r="K8" s="7">
        <f t="shared" si="11"/>
        <v>7.0369079299581499E-5</v>
      </c>
      <c r="L8" s="7">
        <f t="shared" si="12"/>
        <v>1.06822954329999E-3</v>
      </c>
      <c r="M8" s="7">
        <f t="shared" si="13"/>
        <v>2.8316130685018901E-2</v>
      </c>
      <c r="N8" s="7">
        <f t="shared" si="14"/>
        <v>3.5616216959237203E-2</v>
      </c>
      <c r="O8">
        <v>1.5044641999999999</v>
      </c>
      <c r="P8">
        <v>-1.0205379999999999</v>
      </c>
      <c r="Q8">
        <v>2.5128623999999999</v>
      </c>
      <c r="R8">
        <v>-4.6240180999999998</v>
      </c>
      <c r="S8">
        <f t="shared" si="15"/>
        <v>2.8948685476900535</v>
      </c>
      <c r="T8">
        <f t="shared" si="16"/>
        <v>-27.328099719792419</v>
      </c>
      <c r="U8" s="8"/>
      <c r="V8" s="8"/>
    </row>
    <row r="9" spans="1:22" x14ac:dyDescent="0.35">
      <c r="A9">
        <v>1.875</v>
      </c>
      <c r="B9" s="9">
        <v>15</v>
      </c>
      <c r="C9">
        <v>-1.6072665E-2</v>
      </c>
      <c r="D9">
        <v>-1.9084385999999998E-2</v>
      </c>
      <c r="E9">
        <v>0.98379706</v>
      </c>
      <c r="F9">
        <v>-2.1340693000000001E-2</v>
      </c>
      <c r="G9">
        <f t="shared" si="7"/>
        <v>11.561612939892999</v>
      </c>
      <c r="H9">
        <f t="shared" si="8"/>
        <v>-15.106522611904699</v>
      </c>
      <c r="I9">
        <f t="shared" si="9"/>
        <v>11.561549071127301</v>
      </c>
      <c r="J9">
        <f t="shared" si="10"/>
        <v>-15.1076509109532</v>
      </c>
      <c r="K9" s="7">
        <f t="shared" si="11"/>
        <v>6.3868765698416001E-5</v>
      </c>
      <c r="L9" s="7">
        <f t="shared" si="12"/>
        <v>1.12829904850109E-3</v>
      </c>
      <c r="M9" s="7">
        <f t="shared" si="13"/>
        <v>3.1945876170572499E-2</v>
      </c>
      <c r="N9" s="7">
        <f t="shared" si="14"/>
        <v>4.1744159217800003E-2</v>
      </c>
      <c r="O9">
        <v>1.597788</v>
      </c>
      <c r="P9">
        <v>-1.0808472</v>
      </c>
      <c r="Q9">
        <v>2.6745415000000001</v>
      </c>
      <c r="R9">
        <v>-4.9023645</v>
      </c>
      <c r="S9">
        <f t="shared" si="15"/>
        <v>2.894964666031715</v>
      </c>
      <c r="T9">
        <f t="shared" si="16"/>
        <v>-27.307851814372558</v>
      </c>
      <c r="U9" s="8"/>
      <c r="V9" s="8"/>
    </row>
    <row r="10" spans="1:22" x14ac:dyDescent="0.35">
      <c r="A10">
        <v>2</v>
      </c>
      <c r="B10" s="9">
        <v>15</v>
      </c>
      <c r="C10">
        <v>-1.8031143999999999E-2</v>
      </c>
      <c r="D10">
        <v>-2.2054727E-2</v>
      </c>
      <c r="E10">
        <v>0.98184293</v>
      </c>
      <c r="F10">
        <v>-2.4443013E-2</v>
      </c>
      <c r="G10">
        <f t="shared" si="7"/>
        <v>9.9240243529059207</v>
      </c>
      <c r="H10">
        <f t="shared" si="8"/>
        <v>-13.393049287300901</v>
      </c>
      <c r="I10">
        <f t="shared" si="9"/>
        <v>9.9239628121861507</v>
      </c>
      <c r="J10">
        <f t="shared" si="10"/>
        <v>-13.394243578985501</v>
      </c>
      <c r="K10" s="7">
        <f t="shared" si="11"/>
        <v>6.15407197699369E-5</v>
      </c>
      <c r="L10" s="7">
        <f t="shared" si="12"/>
        <v>1.19429168459995E-3</v>
      </c>
      <c r="M10" s="7">
        <f t="shared" si="13"/>
        <v>3.5711735867661701E-2</v>
      </c>
      <c r="N10" s="7">
        <f t="shared" si="14"/>
        <v>4.8199665586461597E-2</v>
      </c>
      <c r="O10">
        <v>1.6882101</v>
      </c>
      <c r="P10">
        <v>-1.1391313000000001</v>
      </c>
      <c r="Q10">
        <v>2.8321206999999999</v>
      </c>
      <c r="R10">
        <v>-5.1724046000000001</v>
      </c>
      <c r="S10">
        <f t="shared" si="15"/>
        <v>2.895538031469123</v>
      </c>
      <c r="T10">
        <f t="shared" si="16"/>
        <v>-27.287564427421643</v>
      </c>
      <c r="U10" s="8"/>
      <c r="V10" s="8"/>
    </row>
    <row r="11" spans="1:22" x14ac:dyDescent="0.35">
      <c r="A11">
        <v>1</v>
      </c>
      <c r="B11" s="9">
        <v>15.2</v>
      </c>
      <c r="C11">
        <v>-6.5758598000000001E-3</v>
      </c>
      <c r="D11">
        <v>-2.9488136E-3</v>
      </c>
      <c r="E11">
        <v>0.99324869000000005</v>
      </c>
      <c r="F11">
        <v>-4.6192519000000003E-3</v>
      </c>
      <c r="G11">
        <f t="shared" si="7"/>
        <v>56.238187116650202</v>
      </c>
      <c r="H11">
        <f t="shared" si="8"/>
        <v>-32.219325409982297</v>
      </c>
      <c r="I11">
        <f t="shared" si="9"/>
        <v>56.238100081627898</v>
      </c>
      <c r="J11">
        <f t="shared" si="10"/>
        <v>-32.220160775108099</v>
      </c>
      <c r="K11" s="7">
        <f t="shared" si="11"/>
        <v>8.7035022303893998E-5</v>
      </c>
      <c r="L11" s="7">
        <f t="shared" si="12"/>
        <v>8.3536512580195698E-4</v>
      </c>
      <c r="M11" s="7">
        <f t="shared" si="13"/>
        <v>1.33872741428856E-2</v>
      </c>
      <c r="N11" s="7">
        <f t="shared" si="14"/>
        <v>7.6698914898999703E-3</v>
      </c>
      <c r="O11">
        <v>0.93693793999999997</v>
      </c>
      <c r="P11">
        <v>-0.81262405999999998</v>
      </c>
      <c r="Q11">
        <v>1.3308797999999999</v>
      </c>
      <c r="R11">
        <v>-3.3614028</v>
      </c>
      <c r="S11">
        <f t="shared" si="15"/>
        <v>2.9149719601830721</v>
      </c>
      <c r="T11">
        <f t="shared" si="16"/>
        <v>-27.464187560991416</v>
      </c>
      <c r="U11" s="8"/>
      <c r="V11" s="8"/>
    </row>
    <row r="12" spans="1:22" x14ac:dyDescent="0.35">
      <c r="A12">
        <v>1.125</v>
      </c>
      <c r="B12" s="9">
        <v>15.2</v>
      </c>
      <c r="C12">
        <v>-8.2089646999999998E-3</v>
      </c>
      <c r="D12">
        <v>-4.8827437E-3</v>
      </c>
      <c r="E12">
        <v>0.99182925</v>
      </c>
      <c r="F12">
        <v>-6.5335397000000003E-3</v>
      </c>
      <c r="G12">
        <f t="shared" si="7"/>
        <v>40.590362671476797</v>
      </c>
      <c r="H12">
        <f t="shared" si="8"/>
        <v>-28.638629376820301</v>
      </c>
      <c r="I12">
        <f t="shared" si="9"/>
        <v>40.590382459704102</v>
      </c>
      <c r="J12">
        <f t="shared" si="10"/>
        <v>-28.639454742716701</v>
      </c>
      <c r="K12" s="7">
        <f t="shared" si="11"/>
        <v>-1.9788227305639301E-5</v>
      </c>
      <c r="L12" s="7">
        <f t="shared" si="12"/>
        <v>8.2536589640014302E-4</v>
      </c>
      <c r="M12" s="7">
        <f t="shared" si="13"/>
        <v>1.6448019820706601E-2</v>
      </c>
      <c r="N12" s="7">
        <f t="shared" si="14"/>
        <v>1.16052692957519E-2</v>
      </c>
      <c r="O12">
        <v>1.0457213999999999</v>
      </c>
      <c r="P12">
        <v>-0.89914134999999995</v>
      </c>
      <c r="Q12">
        <v>1.5073409</v>
      </c>
      <c r="R12">
        <v>-3.7461063999999999</v>
      </c>
      <c r="S12">
        <f t="shared" si="15"/>
        <v>2.9279365332712692</v>
      </c>
      <c r="T12">
        <f t="shared" si="16"/>
        <v>-27.391469843600262</v>
      </c>
      <c r="U12" s="8"/>
      <c r="V12" s="8"/>
    </row>
    <row r="13" spans="1:22" x14ac:dyDescent="0.35">
      <c r="A13">
        <v>1.25</v>
      </c>
      <c r="B13" s="9">
        <v>15.2</v>
      </c>
      <c r="C13">
        <v>-1.0021673E-2</v>
      </c>
      <c r="D13">
        <v>-7.0431028000000001E-3</v>
      </c>
      <c r="E13">
        <v>0.9900139</v>
      </c>
      <c r="F13">
        <v>-8.7587180000000004E-3</v>
      </c>
      <c r="G13">
        <f t="shared" si="7"/>
        <v>30.2807764566538</v>
      </c>
      <c r="H13">
        <f t="shared" si="8"/>
        <v>-24.309745961984799</v>
      </c>
      <c r="I13">
        <f t="shared" si="9"/>
        <v>30.280794978631501</v>
      </c>
      <c r="J13">
        <f t="shared" si="10"/>
        <v>-24.310603738439699</v>
      </c>
      <c r="K13" s="7">
        <f t="shared" si="11"/>
        <v>-1.8521977700913801E-5</v>
      </c>
      <c r="L13" s="7">
        <f t="shared" si="12"/>
        <v>8.57776454900261E-4</v>
      </c>
      <c r="M13" s="7">
        <f t="shared" si="13"/>
        <v>2.0081008298406401E-2</v>
      </c>
      <c r="N13" s="7">
        <f t="shared" si="14"/>
        <v>1.6121817004982102E-2</v>
      </c>
      <c r="O13">
        <v>1.1590957</v>
      </c>
      <c r="P13">
        <v>-0.99121877999999997</v>
      </c>
      <c r="Q13">
        <v>1.6736217</v>
      </c>
      <c r="R13">
        <v>-4.1299932999999998</v>
      </c>
      <c r="S13">
        <f t="shared" si="15"/>
        <v>2.9218617923198185</v>
      </c>
      <c r="T13">
        <f t="shared" si="16"/>
        <v>-27.404516610261258</v>
      </c>
      <c r="U13" s="8"/>
      <c r="V13" s="8"/>
    </row>
    <row r="14" spans="1:22" x14ac:dyDescent="0.35">
      <c r="A14">
        <v>1.375</v>
      </c>
      <c r="B14" s="9">
        <v>15.2</v>
      </c>
      <c r="C14">
        <v>-1.1976753999999999E-2</v>
      </c>
      <c r="D14">
        <v>-9.3926524999999993E-3</v>
      </c>
      <c r="E14">
        <v>0.9878458</v>
      </c>
      <c r="F14">
        <v>-1.1254838E-2</v>
      </c>
      <c r="G14">
        <f t="shared" si="7"/>
        <v>23.424724007997799</v>
      </c>
      <c r="H14">
        <f t="shared" si="8"/>
        <v>-20.470527958637501</v>
      </c>
      <c r="I14">
        <f t="shared" si="9"/>
        <v>23.424636144289099</v>
      </c>
      <c r="J14">
        <f t="shared" si="10"/>
        <v>-20.471459215820801</v>
      </c>
      <c r="K14" s="7">
        <f t="shared" si="11"/>
        <v>8.7863708699842405E-5</v>
      </c>
      <c r="L14" s="7">
        <f t="shared" si="12"/>
        <v>9.3125718330000495E-4</v>
      </c>
      <c r="M14" s="7">
        <f t="shared" si="13"/>
        <v>2.4204149640494301E-2</v>
      </c>
      <c r="N14" s="7">
        <f t="shared" si="14"/>
        <v>2.1152698345745801E-2</v>
      </c>
      <c r="O14">
        <v>1.2677537000000001</v>
      </c>
      <c r="P14">
        <v>-1.0796152999999999</v>
      </c>
      <c r="Q14">
        <v>1.834719</v>
      </c>
      <c r="R14">
        <v>-4.5015578999999999</v>
      </c>
      <c r="S14">
        <f t="shared" si="15"/>
        <v>2.9192886667059588</v>
      </c>
      <c r="T14">
        <f t="shared" si="16"/>
        <v>-27.407839659069445</v>
      </c>
      <c r="U14" s="8"/>
      <c r="V14" s="8"/>
    </row>
    <row r="15" spans="1:22" x14ac:dyDescent="0.35">
      <c r="A15">
        <v>1.5</v>
      </c>
      <c r="B15" s="9">
        <v>15.2</v>
      </c>
      <c r="C15">
        <v>-1.4067213E-2</v>
      </c>
      <c r="D15">
        <v>-1.1924921E-2</v>
      </c>
      <c r="E15">
        <v>0.98577409000000005</v>
      </c>
      <c r="F15">
        <v>-1.3880508E-2</v>
      </c>
      <c r="G15">
        <f t="shared" si="7"/>
        <v>18.794036954994102</v>
      </c>
      <c r="H15">
        <f t="shared" si="8"/>
        <v>-17.597069599353802</v>
      </c>
      <c r="I15">
        <f t="shared" si="9"/>
        <v>18.793958556504201</v>
      </c>
      <c r="J15">
        <f t="shared" si="10"/>
        <v>-17.598047547109999</v>
      </c>
      <c r="K15" s="7">
        <f t="shared" si="11"/>
        <v>7.8398489900877193E-5</v>
      </c>
      <c r="L15" s="7">
        <f t="shared" si="12"/>
        <v>9.779477561977501E-4</v>
      </c>
      <c r="M15" s="7">
        <f t="shared" si="13"/>
        <v>2.83509439412554E-2</v>
      </c>
      <c r="N15" s="7">
        <f t="shared" si="14"/>
        <v>2.6546895800778202E-2</v>
      </c>
      <c r="O15">
        <v>1.3748914000000001</v>
      </c>
      <c r="P15">
        <v>-1.1653753</v>
      </c>
      <c r="Q15">
        <v>1.9968712</v>
      </c>
      <c r="R15">
        <v>-4.8634287</v>
      </c>
      <c r="S15">
        <f t="shared" si="15"/>
        <v>2.9169967000752073</v>
      </c>
      <c r="T15">
        <f t="shared" si="16"/>
        <v>-27.392446187034349</v>
      </c>
      <c r="U15" s="8"/>
      <c r="V15" s="8"/>
    </row>
    <row r="16" spans="1:22" x14ac:dyDescent="0.35">
      <c r="A16">
        <v>1.625</v>
      </c>
      <c r="B16" s="9">
        <v>15.2</v>
      </c>
      <c r="C16">
        <v>-1.6283281E-2</v>
      </c>
      <c r="D16">
        <v>-1.4624458E-2</v>
      </c>
      <c r="E16">
        <v>0.98356982000000004</v>
      </c>
      <c r="F16">
        <v>-1.6691147E-2</v>
      </c>
      <c r="G16">
        <f t="shared" si="7"/>
        <v>15.4513042258005</v>
      </c>
      <c r="H16">
        <f t="shared" si="8"/>
        <v>-15.269148817614401</v>
      </c>
      <c r="I16">
        <f t="shared" si="9"/>
        <v>15.4512318389403</v>
      </c>
      <c r="J16">
        <f t="shared" si="10"/>
        <v>-15.2701823128246</v>
      </c>
      <c r="K16" s="7">
        <f t="shared" si="11"/>
        <v>7.2386860200168699E-5</v>
      </c>
      <c r="L16" s="7">
        <f t="shared" si="12"/>
        <v>1.0334952101995799E-3</v>
      </c>
      <c r="M16" s="7">
        <f t="shared" si="13"/>
        <v>3.2741277108320699E-2</v>
      </c>
      <c r="N16" s="7">
        <f t="shared" si="14"/>
        <v>3.23576317933921E-2</v>
      </c>
      <c r="O16">
        <v>1.4785166000000001</v>
      </c>
      <c r="P16">
        <v>-1.2478362999999999</v>
      </c>
      <c r="Q16">
        <v>2.1561412999999998</v>
      </c>
      <c r="R16">
        <v>-5.2150058000000001</v>
      </c>
      <c r="S16">
        <f t="shared" si="15"/>
        <v>2.9167962493734603</v>
      </c>
      <c r="T16">
        <f t="shared" si="16"/>
        <v>-27.373730671236981</v>
      </c>
      <c r="U16" s="8"/>
      <c r="V16" s="8"/>
    </row>
    <row r="17" spans="1:22" x14ac:dyDescent="0.35">
      <c r="A17">
        <v>1.75</v>
      </c>
      <c r="B17" s="9">
        <v>15.2</v>
      </c>
      <c r="C17">
        <v>-1.8606069999999999E-2</v>
      </c>
      <c r="D17">
        <v>-1.7487243999999999E-2</v>
      </c>
      <c r="E17">
        <v>0.98125388999999996</v>
      </c>
      <c r="F17">
        <v>-1.9674199E-2</v>
      </c>
      <c r="G17">
        <f t="shared" si="7"/>
        <v>12.954663925801899</v>
      </c>
      <c r="H17">
        <f t="shared" si="8"/>
        <v>-13.385377318034299</v>
      </c>
      <c r="I17">
        <f t="shared" si="9"/>
        <v>12.9545950968415</v>
      </c>
      <c r="J17">
        <f t="shared" si="10"/>
        <v>-13.3864709473731</v>
      </c>
      <c r="K17" s="7">
        <f t="shared" si="11"/>
        <v>6.8828960399613893E-5</v>
      </c>
      <c r="L17" s="7">
        <f t="shared" si="12"/>
        <v>1.0936293388006399E-3</v>
      </c>
      <c r="M17" s="7">
        <f t="shared" si="13"/>
        <v>3.7331068110673001E-2</v>
      </c>
      <c r="N17" s="7">
        <f t="shared" si="14"/>
        <v>3.8575598462337997E-2</v>
      </c>
      <c r="O17">
        <v>1.5795359</v>
      </c>
      <c r="P17">
        <v>-1.3267</v>
      </c>
      <c r="Q17">
        <v>2.3139074000000002</v>
      </c>
      <c r="R17">
        <v>-5.5536607</v>
      </c>
      <c r="S17">
        <f t="shared" si="15"/>
        <v>2.9166545755136633</v>
      </c>
      <c r="T17">
        <f t="shared" si="16"/>
        <v>-27.353254948209322</v>
      </c>
      <c r="U17" s="8"/>
      <c r="V17" s="8"/>
    </row>
    <row r="18" spans="1:22" x14ac:dyDescent="0.35">
      <c r="A18">
        <v>1.875</v>
      </c>
      <c r="B18" s="9">
        <v>15.2</v>
      </c>
      <c r="C18">
        <v>-2.1031546000000002E-2</v>
      </c>
      <c r="D18">
        <v>-2.0495409999999999E-2</v>
      </c>
      <c r="E18">
        <v>0.97882842999999997</v>
      </c>
      <c r="F18">
        <v>-2.2810380000000002E-2</v>
      </c>
      <c r="G18">
        <f t="shared" si="7"/>
        <v>11.0419952532884</v>
      </c>
      <c r="H18">
        <f t="shared" si="8"/>
        <v>-11.8429479814413</v>
      </c>
      <c r="I18">
        <f t="shared" si="9"/>
        <v>11.041926576437501</v>
      </c>
      <c r="J18">
        <f t="shared" si="10"/>
        <v>-11.844105626982801</v>
      </c>
      <c r="K18" s="7">
        <f t="shared" si="11"/>
        <v>6.8676850899507299E-5</v>
      </c>
      <c r="L18" s="7">
        <f t="shared" si="12"/>
        <v>1.1576455415003299E-3</v>
      </c>
      <c r="M18" s="7">
        <f t="shared" si="13"/>
        <v>4.2111489748367599E-2</v>
      </c>
      <c r="N18" s="7">
        <f t="shared" si="14"/>
        <v>4.5170824967592803E-2</v>
      </c>
      <c r="O18">
        <v>1.6773636999999999</v>
      </c>
      <c r="P18">
        <v>-1.4023950999999999</v>
      </c>
      <c r="Q18">
        <v>2.4685641</v>
      </c>
      <c r="R18">
        <v>-5.8812499000000003</v>
      </c>
      <c r="S18">
        <f t="shared" si="15"/>
        <v>2.9172939776402549</v>
      </c>
      <c r="T18">
        <f t="shared" si="16"/>
        <v>-27.332504600320679</v>
      </c>
      <c r="U18" s="8"/>
      <c r="V18" s="8"/>
    </row>
    <row r="19" spans="1:22" x14ac:dyDescent="0.35">
      <c r="A19">
        <v>2</v>
      </c>
      <c r="B19" s="9">
        <v>15.2</v>
      </c>
      <c r="C19">
        <v>-2.3543439999999999E-2</v>
      </c>
      <c r="D19">
        <v>-2.3646169000000002E-2</v>
      </c>
      <c r="E19">
        <v>0.97631204000000005</v>
      </c>
      <c r="F19">
        <v>-2.6093206000000001E-2</v>
      </c>
      <c r="G19">
        <f t="shared" si="7"/>
        <v>9.5389942928622293</v>
      </c>
      <c r="H19">
        <f t="shared" si="8"/>
        <v>-10.571413157371699</v>
      </c>
      <c r="I19">
        <f t="shared" si="9"/>
        <v>9.5389235249602198</v>
      </c>
      <c r="J19">
        <f t="shared" si="10"/>
        <v>-10.5726368508817</v>
      </c>
      <c r="K19" s="7">
        <f t="shared" si="11"/>
        <v>7.0767902009549703E-5</v>
      </c>
      <c r="L19" s="7">
        <f t="shared" si="12"/>
        <v>1.22369351000096E-3</v>
      </c>
      <c r="M19" s="7">
        <f t="shared" si="13"/>
        <v>4.7042673906922197E-2</v>
      </c>
      <c r="N19" s="7">
        <f t="shared" si="14"/>
        <v>5.21405907501927E-2</v>
      </c>
      <c r="O19">
        <v>1.7730774</v>
      </c>
      <c r="P19">
        <v>-1.4750833000000001</v>
      </c>
      <c r="Q19">
        <v>2.6212051000000001</v>
      </c>
      <c r="R19">
        <v>-6.1959907000000003</v>
      </c>
      <c r="S19">
        <f t="shared" si="15"/>
        <v>2.9168872081812318</v>
      </c>
      <c r="T19">
        <f t="shared" si="16"/>
        <v>-27.311056524720684</v>
      </c>
      <c r="U19" s="8"/>
      <c r="V19" s="8"/>
    </row>
    <row r="20" spans="1:22" x14ac:dyDescent="0.35">
      <c r="A20">
        <v>1</v>
      </c>
      <c r="B20" s="9">
        <v>15.4</v>
      </c>
      <c r="C20">
        <v>-8.6408565999999999E-3</v>
      </c>
      <c r="D20">
        <v>-3.0014896000000002E-3</v>
      </c>
      <c r="E20">
        <v>0.99119663999999996</v>
      </c>
      <c r="F20">
        <v>-4.5669962999999999E-3</v>
      </c>
      <c r="G20">
        <f t="shared" si="7"/>
        <v>47.744101694667002</v>
      </c>
      <c r="H20">
        <f t="shared" si="8"/>
        <v>-20.931158919879898</v>
      </c>
      <c r="I20">
        <f t="shared" si="9"/>
        <v>47.744021049216499</v>
      </c>
      <c r="J20">
        <f t="shared" si="10"/>
        <v>-20.931941799965799</v>
      </c>
      <c r="K20" s="7">
        <f t="shared" si="11"/>
        <v>8.0645450502458998E-5</v>
      </c>
      <c r="L20" s="7">
        <f t="shared" si="12"/>
        <v>7.8288008590021697E-4</v>
      </c>
      <c r="M20" s="7">
        <f t="shared" si="13"/>
        <v>1.7568206557221799E-2</v>
      </c>
      <c r="N20" s="7">
        <f t="shared" si="14"/>
        <v>7.7022560962443001E-3</v>
      </c>
      <c r="O20">
        <v>0.93172829999999995</v>
      </c>
      <c r="P20">
        <v>-1.0593125999999999</v>
      </c>
      <c r="Q20">
        <v>0.98842587000000004</v>
      </c>
      <c r="R20">
        <v>-4.0176930000000004</v>
      </c>
      <c r="S20">
        <f t="shared" si="15"/>
        <v>2.932798365258265</v>
      </c>
      <c r="T20">
        <f t="shared" si="16"/>
        <v>-27.51221893063029</v>
      </c>
      <c r="U20" s="8"/>
      <c r="V20" s="8"/>
    </row>
    <row r="21" spans="1:22" x14ac:dyDescent="0.35">
      <c r="A21">
        <v>1.125</v>
      </c>
      <c r="B21" s="9">
        <v>15.4</v>
      </c>
      <c r="C21">
        <v>-1.0773687000000001E-2</v>
      </c>
      <c r="D21">
        <v>-4.9627823000000003E-3</v>
      </c>
      <c r="E21">
        <v>0.98906134999999995</v>
      </c>
      <c r="F21">
        <v>-6.6328699000000003E-3</v>
      </c>
      <c r="G21">
        <f t="shared" si="7"/>
        <v>35.335796441927798</v>
      </c>
      <c r="H21">
        <f t="shared" si="8"/>
        <v>-19.137962476172799</v>
      </c>
      <c r="I21">
        <f t="shared" si="9"/>
        <v>35.335714651094399</v>
      </c>
      <c r="J21">
        <f t="shared" si="10"/>
        <v>-19.138797657158801</v>
      </c>
      <c r="K21" s="7">
        <f t="shared" si="11"/>
        <v>8.17908333985429E-5</v>
      </c>
      <c r="L21" s="7">
        <f t="shared" si="12"/>
        <v>8.3518098600166002E-4</v>
      </c>
      <c r="M21" s="7">
        <f t="shared" si="13"/>
        <v>2.1880968900259801E-2</v>
      </c>
      <c r="N21" s="7">
        <f t="shared" si="14"/>
        <v>1.1851336260201699E-2</v>
      </c>
      <c r="O21">
        <v>1.0399628000000001</v>
      </c>
      <c r="P21">
        <v>-1.1698185999999999</v>
      </c>
      <c r="Q21">
        <v>1.132333</v>
      </c>
      <c r="R21">
        <v>-4.4757366000000003</v>
      </c>
      <c r="S21">
        <f t="shared" si="15"/>
        <v>2.9495355531386611</v>
      </c>
      <c r="T21">
        <f t="shared" si="16"/>
        <v>-27.439369016134378</v>
      </c>
      <c r="U21" s="8"/>
      <c r="V21" s="8"/>
    </row>
    <row r="22" spans="1:22" x14ac:dyDescent="0.35">
      <c r="A22">
        <v>1.25</v>
      </c>
      <c r="B22" s="9">
        <v>15.4</v>
      </c>
      <c r="C22">
        <v>-1.3142166E-2</v>
      </c>
      <c r="D22">
        <v>-7.1462352E-3</v>
      </c>
      <c r="E22">
        <v>0.98669973</v>
      </c>
      <c r="F22">
        <v>-8.9084135999999998E-3</v>
      </c>
      <c r="G22">
        <f t="shared" si="7"/>
        <v>27.131912052968399</v>
      </c>
      <c r="H22">
        <f t="shared" si="8"/>
        <v>-16.7763803752635</v>
      </c>
      <c r="I22">
        <f t="shared" si="9"/>
        <v>27.1318337712204</v>
      </c>
      <c r="J22">
        <f t="shared" si="10"/>
        <v>-16.7772616030995</v>
      </c>
      <c r="K22" s="7">
        <f t="shared" si="11"/>
        <v>7.8281747999397994E-5</v>
      </c>
      <c r="L22" s="7">
        <f t="shared" si="12"/>
        <v>8.8122783600041998E-4</v>
      </c>
      <c r="M22" s="7">
        <f t="shared" si="13"/>
        <v>2.6662234221141699E-2</v>
      </c>
      <c r="N22" s="7">
        <f t="shared" si="14"/>
        <v>1.6486879664053201E-2</v>
      </c>
      <c r="O22">
        <v>1.1547476000000001</v>
      </c>
      <c r="P22">
        <v>-1.2888548</v>
      </c>
      <c r="Q22">
        <v>1.2677535</v>
      </c>
      <c r="R22">
        <v>-4.9322527999999997</v>
      </c>
      <c r="S22">
        <f t="shared" si="15"/>
        <v>2.9428546501445214</v>
      </c>
      <c r="T22">
        <f t="shared" si="16"/>
        <v>-27.443816680655086</v>
      </c>
      <c r="U22" s="8"/>
      <c r="V22" s="8"/>
    </row>
    <row r="23" spans="1:22" x14ac:dyDescent="0.35">
      <c r="A23">
        <v>1.375</v>
      </c>
      <c r="B23" s="9">
        <v>15.4</v>
      </c>
      <c r="C23">
        <v>-1.5688810000000001E-2</v>
      </c>
      <c r="D23">
        <v>-9.5250826E-3</v>
      </c>
      <c r="E23">
        <v>0.98416115000000004</v>
      </c>
      <c r="F23">
        <v>-1.1389000999999999E-2</v>
      </c>
      <c r="G23">
        <f t="shared" si="7"/>
        <v>21.525907531799302</v>
      </c>
      <c r="H23">
        <f t="shared" si="8"/>
        <v>-14.6105420632584</v>
      </c>
      <c r="I23">
        <f t="shared" si="9"/>
        <v>21.5258333749135</v>
      </c>
      <c r="J23">
        <f t="shared" si="10"/>
        <v>-14.6114741614956</v>
      </c>
      <c r="K23" s="7">
        <f t="shared" si="11"/>
        <v>7.4156885801812705E-5</v>
      </c>
      <c r="L23" s="7">
        <f t="shared" si="12"/>
        <v>9.3209823720030705E-4</v>
      </c>
      <c r="M23" s="7">
        <f t="shared" si="13"/>
        <v>3.18026459986104E-2</v>
      </c>
      <c r="N23" s="7">
        <f t="shared" si="14"/>
        <v>2.1587249709803798E-2</v>
      </c>
      <c r="O23">
        <v>1.2652331000000001</v>
      </c>
      <c r="P23">
        <v>-1.4017972000000001</v>
      </c>
      <c r="Q23">
        <v>1.4030454999999999</v>
      </c>
      <c r="R23">
        <v>-5.3743930999999998</v>
      </c>
      <c r="S23">
        <f t="shared" si="15"/>
        <v>2.9414712251895603</v>
      </c>
      <c r="T23">
        <f t="shared" si="16"/>
        <v>-27.437601477471723</v>
      </c>
      <c r="U23" s="8"/>
      <c r="V23" s="8"/>
    </row>
    <row r="24" spans="1:22" x14ac:dyDescent="0.35">
      <c r="A24">
        <v>1.5</v>
      </c>
      <c r="B24" s="9">
        <v>15.4</v>
      </c>
      <c r="C24">
        <v>-1.840195E-2</v>
      </c>
      <c r="D24">
        <v>-1.2096911E-2</v>
      </c>
      <c r="E24">
        <v>0.98144998000000006</v>
      </c>
      <c r="F24">
        <v>-1.4070785000000001E-2</v>
      </c>
      <c r="G24">
        <f t="shared" si="7"/>
        <v>17.523660994188099</v>
      </c>
      <c r="H24">
        <f t="shared" si="8"/>
        <v>-12.7630134036127</v>
      </c>
      <c r="I24">
        <f t="shared" si="9"/>
        <v>17.523587927966599</v>
      </c>
      <c r="J24">
        <f t="shared" si="10"/>
        <v>-12.7640004858031</v>
      </c>
      <c r="K24" s="7">
        <f t="shared" si="11"/>
        <v>7.3066221499828998E-5</v>
      </c>
      <c r="L24" s="7">
        <f t="shared" si="12"/>
        <v>9.870821904005571E-4</v>
      </c>
      <c r="M24" s="7">
        <f t="shared" si="13"/>
        <v>3.7284559461850497E-2</v>
      </c>
      <c r="N24" s="7">
        <f t="shared" si="14"/>
        <v>2.7157688085355298E-2</v>
      </c>
      <c r="O24">
        <v>1.3740348</v>
      </c>
      <c r="P24">
        <v>-1.5110748000000001</v>
      </c>
      <c r="Q24">
        <v>1.5394255999999999</v>
      </c>
      <c r="R24">
        <v>-5.8022745999999996</v>
      </c>
      <c r="S24">
        <f t="shared" si="15"/>
        <v>2.9392257234189367</v>
      </c>
      <c r="T24">
        <f t="shared" si="16"/>
        <v>-27.421503581733912</v>
      </c>
      <c r="U24" s="8"/>
      <c r="V24" s="8"/>
    </row>
    <row r="25" spans="1:22" x14ac:dyDescent="0.35">
      <c r="A25">
        <v>1.625</v>
      </c>
      <c r="B25" s="9">
        <v>15.4</v>
      </c>
      <c r="C25">
        <v>-2.1274003E-2</v>
      </c>
      <c r="D25" s="4">
        <v>-1.4842525000000001E-2</v>
      </c>
      <c r="E25">
        <v>0.9785739</v>
      </c>
      <c r="F25">
        <v>-1.6933277E-2</v>
      </c>
      <c r="G25">
        <f t="shared" si="7"/>
        <v>14.5724332227704</v>
      </c>
      <c r="H25">
        <f t="shared" si="8"/>
        <v>-11.2157842000146</v>
      </c>
      <c r="I25">
        <f t="shared" si="9"/>
        <v>14.5723582615458</v>
      </c>
      <c r="J25">
        <f t="shared" si="10"/>
        <v>-11.216829733888501</v>
      </c>
      <c r="K25" s="7">
        <f t="shared" si="11"/>
        <v>7.4961224600045298E-5</v>
      </c>
      <c r="L25" s="7">
        <f t="shared" si="12"/>
        <v>1.04553387390105E-3</v>
      </c>
      <c r="M25" s="7">
        <f t="shared" si="13"/>
        <v>4.3091698590923801E-2</v>
      </c>
      <c r="N25" s="7">
        <f t="shared" si="14"/>
        <v>3.3169116306584999E-2</v>
      </c>
      <c r="O25">
        <v>1.4794851</v>
      </c>
      <c r="P25">
        <v>-1.6159056999999999</v>
      </c>
      <c r="Q25">
        <v>1.6745744</v>
      </c>
      <c r="R25">
        <v>-6.2174446000000003</v>
      </c>
      <c r="S25">
        <f t="shared" si="15"/>
        <v>2.9389829650292216</v>
      </c>
      <c r="T25">
        <f t="shared" si="16"/>
        <v>-27.402436056444937</v>
      </c>
      <c r="U25" s="8"/>
      <c r="V25" s="8"/>
    </row>
    <row r="26" spans="1:22" x14ac:dyDescent="0.35">
      <c r="A26">
        <v>1.75</v>
      </c>
      <c r="B26" s="9">
        <v>15.4</v>
      </c>
      <c r="C26">
        <v>-2.4270078E-2</v>
      </c>
      <c r="D26" s="4">
        <v>-1.7764063E-2</v>
      </c>
      <c r="E26">
        <v>0.97557110999999996</v>
      </c>
      <c r="F26">
        <v>-1.9976296000000001E-2</v>
      </c>
      <c r="G26">
        <f t="shared" si="7"/>
        <v>12.3293174646239</v>
      </c>
      <c r="H26">
        <f t="shared" si="8"/>
        <v>-9.9417842652746007</v>
      </c>
      <c r="I26">
        <f t="shared" si="9"/>
        <v>12.3292392761019</v>
      </c>
      <c r="J26">
        <f t="shared" si="10"/>
        <v>-9.9428905561063701</v>
      </c>
      <c r="K26" s="7">
        <f t="shared" si="11"/>
        <v>7.8188522000033304E-5</v>
      </c>
      <c r="L26" s="7">
        <f t="shared" si="12"/>
        <v>1.1062908317693899E-3</v>
      </c>
      <c r="M26" s="7">
        <f t="shared" si="13"/>
        <v>4.9145691498004997E-2</v>
      </c>
      <c r="N26" s="7">
        <f t="shared" si="14"/>
        <v>3.9633445415890103E-2</v>
      </c>
      <c r="O26">
        <v>1.5828696</v>
      </c>
      <c r="P26">
        <v>-1.7152326</v>
      </c>
      <c r="Q26">
        <v>1.8122374999999999</v>
      </c>
      <c r="R26">
        <v>-6.6154444999999997</v>
      </c>
      <c r="S26">
        <f t="shared" si="15"/>
        <v>2.9388230390506269</v>
      </c>
      <c r="T26">
        <f t="shared" si="16"/>
        <v>-27.381983543323667</v>
      </c>
      <c r="U26" s="8"/>
      <c r="V26" s="8"/>
    </row>
    <row r="27" spans="1:22" x14ac:dyDescent="0.35">
      <c r="A27">
        <v>1.875</v>
      </c>
      <c r="B27" s="9">
        <v>15.4</v>
      </c>
      <c r="C27">
        <v>-2.7382666999999999E-2</v>
      </c>
      <c r="D27" s="4">
        <v>-2.0839852999999998E-2</v>
      </c>
      <c r="E27">
        <v>0.97245068000000001</v>
      </c>
      <c r="F27">
        <v>-2.3177064000000001E-2</v>
      </c>
      <c r="G27">
        <f t="shared" si="7"/>
        <v>10.586186693811101</v>
      </c>
      <c r="H27">
        <f t="shared" si="8"/>
        <v>-8.8827271686620808</v>
      </c>
      <c r="I27">
        <f t="shared" si="9"/>
        <v>10.586104726345599</v>
      </c>
      <c r="J27">
        <f t="shared" si="10"/>
        <v>-8.8838959673416191</v>
      </c>
      <c r="K27" s="7">
        <f t="shared" si="11"/>
        <v>8.1967465501264796E-5</v>
      </c>
      <c r="L27" s="7">
        <f t="shared" si="12"/>
        <v>1.1687986795383401E-3</v>
      </c>
      <c r="M27" s="7">
        <f t="shared" si="13"/>
        <v>5.5427760163763801E-2</v>
      </c>
      <c r="N27" s="7">
        <f t="shared" si="14"/>
        <v>4.6515169434529699E-2</v>
      </c>
      <c r="O27">
        <v>1.6832703</v>
      </c>
      <c r="P27">
        <v>-1.8096177</v>
      </c>
      <c r="Q27">
        <v>1.9495895999999999</v>
      </c>
      <c r="R27">
        <v>-6.9981942999999998</v>
      </c>
      <c r="S27">
        <f t="shared" si="15"/>
        <v>2.9394296982853803</v>
      </c>
      <c r="T27">
        <f t="shared" si="16"/>
        <v>-27.361335264704824</v>
      </c>
      <c r="U27" s="8"/>
      <c r="V27" s="8"/>
    </row>
    <row r="28" spans="1:22" x14ac:dyDescent="0.35">
      <c r="A28">
        <v>2</v>
      </c>
      <c r="B28" s="9">
        <v>15.4</v>
      </c>
      <c r="C28">
        <v>-3.0603239000000001E-2</v>
      </c>
      <c r="D28">
        <v>-2.4069416999999999E-2</v>
      </c>
      <c r="E28">
        <v>0.96922039000000004</v>
      </c>
      <c r="F28">
        <v>-2.6537735999999999E-2</v>
      </c>
      <c r="G28">
        <f t="shared" si="7"/>
        <v>9.1988029316113007</v>
      </c>
      <c r="H28">
        <f t="shared" si="8"/>
        <v>-7.9955351385849598</v>
      </c>
      <c r="I28">
        <f t="shared" si="9"/>
        <v>9.1987162618842895</v>
      </c>
      <c r="J28">
        <f t="shared" si="10"/>
        <v>-7.9967695139032102</v>
      </c>
      <c r="K28" s="7">
        <f t="shared" si="11"/>
        <v>8.6669727011212699E-5</v>
      </c>
      <c r="L28" s="7">
        <f t="shared" si="12"/>
        <v>1.2343753182504399E-3</v>
      </c>
      <c r="M28" s="7">
        <f t="shared" si="13"/>
        <v>6.1917239045459399E-2</v>
      </c>
      <c r="N28" s="7">
        <f t="shared" si="14"/>
        <v>5.3826846647660603E-2</v>
      </c>
      <c r="O28">
        <v>1.7819008999999999</v>
      </c>
      <c r="P28">
        <v>-1.9001999999999999</v>
      </c>
      <c r="Q28">
        <v>2.0870666</v>
      </c>
      <c r="R28">
        <v>-7.3660462000000004</v>
      </c>
      <c r="S28">
        <f t="shared" si="15"/>
        <v>2.9389876187560975</v>
      </c>
      <c r="T28">
        <f t="shared" si="16"/>
        <v>-27.340486199838157</v>
      </c>
      <c r="U28" s="8"/>
      <c r="V28" s="8"/>
    </row>
    <row r="29" spans="1:22" x14ac:dyDescent="0.35">
      <c r="A29">
        <v>1</v>
      </c>
      <c r="B29" s="9">
        <v>15.6</v>
      </c>
      <c r="C29">
        <v>-1.1074841E-2</v>
      </c>
      <c r="D29">
        <v>-2.3069528E-3</v>
      </c>
      <c r="E29">
        <v>0.98878414999999997</v>
      </c>
      <c r="F29">
        <v>-3.8145409999999999E-3</v>
      </c>
      <c r="G29">
        <f t="shared" si="7"/>
        <v>41.215748394522699</v>
      </c>
      <c r="H29">
        <f t="shared" si="8"/>
        <v>-11.455637629700201</v>
      </c>
      <c r="I29">
        <f t="shared" si="9"/>
        <v>41.215678453376903</v>
      </c>
      <c r="J29">
        <f t="shared" si="10"/>
        <v>-11.4563915296748</v>
      </c>
      <c r="K29" s="7">
        <f t="shared" si="11"/>
        <v>6.9941145795837697E-5</v>
      </c>
      <c r="L29" s="7">
        <f t="shared" si="12"/>
        <v>7.5389997459929204E-4</v>
      </c>
      <c r="M29" s="7">
        <f t="shared" si="13"/>
        <v>2.2522461798177299E-2</v>
      </c>
      <c r="N29" s="7">
        <f t="shared" si="14"/>
        <v>6.2603880429613797E-3</v>
      </c>
      <c r="O29">
        <v>0.83374625999999996</v>
      </c>
      <c r="P29">
        <v>-1.3474997</v>
      </c>
      <c r="Q29">
        <v>0.34322673999999997</v>
      </c>
      <c r="R29">
        <v>-4.6641810000000001</v>
      </c>
      <c r="S29">
        <f t="shared" si="15"/>
        <v>2.9514431126470946</v>
      </c>
      <c r="T29">
        <f t="shared" si="16"/>
        <v>-27.53787728732522</v>
      </c>
      <c r="U29" s="8"/>
      <c r="V29" s="8"/>
    </row>
    <row r="30" spans="1:22" x14ac:dyDescent="0.35">
      <c r="A30">
        <v>1.125</v>
      </c>
      <c r="B30" s="9">
        <v>15.6</v>
      </c>
      <c r="C30">
        <v>-1.3808376000000001E-2</v>
      </c>
      <c r="D30">
        <v>-4.1288282000000003E-3</v>
      </c>
      <c r="E30">
        <v>0.98605160999999997</v>
      </c>
      <c r="F30">
        <v>-5.7837293999999997E-3</v>
      </c>
      <c r="G30">
        <f t="shared" si="7"/>
        <v>31.452223482767899</v>
      </c>
      <c r="H30">
        <f t="shared" si="8"/>
        <v>-11.410422483662201</v>
      </c>
      <c r="I30">
        <f t="shared" si="9"/>
        <v>31.452154155684401</v>
      </c>
      <c r="J30">
        <f t="shared" si="10"/>
        <v>-11.4112500495623</v>
      </c>
      <c r="K30" s="7">
        <f t="shared" si="11"/>
        <v>6.9327083497938702E-5</v>
      </c>
      <c r="L30" s="7">
        <f t="shared" si="12"/>
        <v>8.2756590009935805E-4</v>
      </c>
      <c r="M30" s="7">
        <f t="shared" si="13"/>
        <v>2.80959615053471E-2</v>
      </c>
      <c r="N30" s="7">
        <f t="shared" si="14"/>
        <v>1.0193579763516701E-2</v>
      </c>
      <c r="O30">
        <v>0.93628586999999996</v>
      </c>
      <c r="P30">
        <v>-1.4866953999999999</v>
      </c>
      <c r="Q30">
        <v>0.43122705</v>
      </c>
      <c r="R30">
        <v>-5.2004960999999996</v>
      </c>
      <c r="S30">
        <f t="shared" si="15"/>
        <v>2.9701052145783033</v>
      </c>
      <c r="T30">
        <f t="shared" si="16"/>
        <v>-27.461617970346545</v>
      </c>
      <c r="U30" s="8"/>
      <c r="V30" s="8"/>
    </row>
    <row r="31" spans="1:22" x14ac:dyDescent="0.35">
      <c r="A31">
        <v>1.25</v>
      </c>
      <c r="B31" s="9">
        <v>15.6</v>
      </c>
      <c r="C31">
        <v>-1.683811E-2</v>
      </c>
      <c r="D31">
        <v>-6.1518744999999996E-3</v>
      </c>
      <c r="E31">
        <v>0.98301601000000005</v>
      </c>
      <c r="F31">
        <v>-7.9168999999999993E-3</v>
      </c>
      <c r="G31">
        <f t="shared" si="7"/>
        <v>24.705331265093001</v>
      </c>
      <c r="H31">
        <f t="shared" si="8"/>
        <v>-10.484052963521799</v>
      </c>
      <c r="I31">
        <f t="shared" si="9"/>
        <v>24.705259098770899</v>
      </c>
      <c r="J31">
        <f t="shared" si="10"/>
        <v>-10.4849356043394</v>
      </c>
      <c r="K31" s="7">
        <f t="shared" si="11"/>
        <v>7.2166322102162894E-5</v>
      </c>
      <c r="L31" s="7">
        <f t="shared" si="12"/>
        <v>8.82640817600588E-4</v>
      </c>
      <c r="M31" s="7">
        <f t="shared" si="13"/>
        <v>3.4299344880702E-2</v>
      </c>
      <c r="N31" s="7">
        <f t="shared" si="14"/>
        <v>1.4556674791687501E-2</v>
      </c>
      <c r="O31">
        <v>1.0438972</v>
      </c>
      <c r="P31">
        <v>-1.6372614999999999</v>
      </c>
      <c r="Q31">
        <v>0.50675318000000003</v>
      </c>
      <c r="R31">
        <v>-5.7326474999999997</v>
      </c>
      <c r="S31">
        <f t="shared" si="15"/>
        <v>2.9638405095180049</v>
      </c>
      <c r="T31">
        <f t="shared" si="16"/>
        <v>-27.469381056530963</v>
      </c>
      <c r="U31" s="8"/>
      <c r="V31" s="8"/>
    </row>
    <row r="32" spans="1:22" x14ac:dyDescent="0.35">
      <c r="A32">
        <v>1.375</v>
      </c>
      <c r="B32" s="9">
        <v>15.6</v>
      </c>
      <c r="C32">
        <v>-2.0090927000000001E-2</v>
      </c>
      <c r="D32">
        <v>-8.3708770000000005E-3</v>
      </c>
      <c r="E32">
        <v>0.97975319000000005</v>
      </c>
      <c r="F32">
        <v>-1.0242807E-2</v>
      </c>
      <c r="G32">
        <f t="shared" si="7"/>
        <v>19.9386739444436</v>
      </c>
      <c r="H32">
        <f t="shared" si="8"/>
        <v>-9.4308567832809</v>
      </c>
      <c r="I32">
        <f t="shared" si="9"/>
        <v>19.938596873102799</v>
      </c>
      <c r="J32">
        <f t="shared" si="10"/>
        <v>-9.4317928933787893</v>
      </c>
      <c r="K32" s="7">
        <f t="shared" si="11"/>
        <v>7.7071340800927105E-5</v>
      </c>
      <c r="L32" s="7">
        <f t="shared" si="12"/>
        <v>9.3611009788929799E-4</v>
      </c>
      <c r="M32" s="7">
        <f t="shared" si="13"/>
        <v>4.0983219155910799E-2</v>
      </c>
      <c r="N32" s="7">
        <f t="shared" si="14"/>
        <v>1.93867822115384E-2</v>
      </c>
      <c r="O32">
        <v>1.1484414999999999</v>
      </c>
      <c r="P32">
        <v>-1.7798381999999999</v>
      </c>
      <c r="Q32">
        <v>0.58696780999999998</v>
      </c>
      <c r="R32">
        <v>-6.2477694000000001</v>
      </c>
      <c r="S32">
        <f t="shared" si="15"/>
        <v>2.9625633479960234</v>
      </c>
      <c r="T32">
        <f t="shared" si="16"/>
        <v>-27.465058906077104</v>
      </c>
      <c r="U32" s="8"/>
      <c r="V32" s="8"/>
    </row>
    <row r="33" spans="1:22" x14ac:dyDescent="0.35">
      <c r="A33">
        <v>1.5</v>
      </c>
      <c r="B33" s="9">
        <v>15.6</v>
      </c>
      <c r="C33">
        <v>-2.3551890999999998E-2</v>
      </c>
      <c r="D33">
        <v>-1.0788136E-2</v>
      </c>
      <c r="E33">
        <v>0.97627828000000005</v>
      </c>
      <c r="F33">
        <v>-1.2767514000000001E-2</v>
      </c>
      <c r="G33">
        <f t="shared" si="7"/>
        <v>16.446035788392798</v>
      </c>
      <c r="H33">
        <f t="shared" si="8"/>
        <v>-8.4434104733002702</v>
      </c>
      <c r="I33">
        <f t="shared" si="9"/>
        <v>16.445951846414602</v>
      </c>
      <c r="J33">
        <f t="shared" si="10"/>
        <v>-8.4444003294298504</v>
      </c>
      <c r="K33" s="7">
        <f t="shared" si="11"/>
        <v>8.3941978196833106E-5</v>
      </c>
      <c r="L33" s="7">
        <f t="shared" si="12"/>
        <v>9.8985612958024704E-4</v>
      </c>
      <c r="M33" s="7">
        <f t="shared" si="13"/>
        <v>4.8118922058470598E-2</v>
      </c>
      <c r="N33" s="7">
        <f t="shared" si="14"/>
        <v>2.4707322815793398E-2</v>
      </c>
      <c r="O33">
        <v>1.2524497000000001</v>
      </c>
      <c r="P33">
        <v>-1.9174283999999999</v>
      </c>
      <c r="Q33">
        <v>0.67366698000000003</v>
      </c>
      <c r="R33">
        <v>-6.7461342999999996</v>
      </c>
      <c r="S33">
        <f t="shared" si="15"/>
        <v>2.9602622800898559</v>
      </c>
      <c r="T33">
        <f t="shared" si="16"/>
        <v>-27.449630835524644</v>
      </c>
      <c r="U33" s="8"/>
      <c r="V33" s="8"/>
    </row>
    <row r="34" spans="1:22" x14ac:dyDescent="0.35">
      <c r="A34">
        <v>1.625</v>
      </c>
      <c r="B34" s="9">
        <v>15.6</v>
      </c>
      <c r="C34">
        <v>-2.7203141E-2</v>
      </c>
      <c r="D34">
        <v>-1.3384083999999999E-2</v>
      </c>
      <c r="E34">
        <v>0.97261348999999997</v>
      </c>
      <c r="F34">
        <v>-1.5472949E-2</v>
      </c>
      <c r="G34">
        <f t="shared" si="7"/>
        <v>13.817672066276799</v>
      </c>
      <c r="H34">
        <f t="shared" si="8"/>
        <v>-7.5680226504973298</v>
      </c>
      <c r="I34">
        <f t="shared" si="9"/>
        <v>13.8175814645081</v>
      </c>
      <c r="J34">
        <f t="shared" si="10"/>
        <v>-7.5690672734004796</v>
      </c>
      <c r="K34" s="7">
        <f t="shared" si="11"/>
        <v>9.0601768699016802E-5</v>
      </c>
      <c r="L34" s="7">
        <f t="shared" si="12"/>
        <v>1.0446229031497701E-3</v>
      </c>
      <c r="M34" s="7">
        <f t="shared" si="13"/>
        <v>5.5667494074317203E-2</v>
      </c>
      <c r="N34" s="7">
        <f t="shared" si="14"/>
        <v>3.0493831983000302E-2</v>
      </c>
      <c r="O34">
        <v>1.3540931</v>
      </c>
      <c r="P34">
        <v>-2.0484947999999998</v>
      </c>
      <c r="Q34">
        <v>0.76407789000000004</v>
      </c>
      <c r="R34">
        <v>-7.2282709000000001</v>
      </c>
      <c r="S34">
        <f t="shared" si="15"/>
        <v>2.9600042452271831</v>
      </c>
      <c r="T34">
        <f t="shared" si="16"/>
        <v>-27.4312949092267</v>
      </c>
      <c r="U34" s="8"/>
      <c r="V34" s="8"/>
    </row>
    <row r="35" spans="1:22" x14ac:dyDescent="0.35">
      <c r="A35">
        <v>1.75</v>
      </c>
      <c r="B35" s="9">
        <v>15.6</v>
      </c>
      <c r="C35">
        <v>-3.1011127999999999E-2</v>
      </c>
      <c r="D35">
        <v>-1.6170335000000001E-2</v>
      </c>
      <c r="E35">
        <v>0.96879276999999997</v>
      </c>
      <c r="F35">
        <v>-1.8375318000000002E-2</v>
      </c>
      <c r="G35">
        <f t="shared" si="7"/>
        <v>11.785177450886801</v>
      </c>
      <c r="H35">
        <f t="shared" si="8"/>
        <v>-6.8205512621901301</v>
      </c>
      <c r="I35">
        <f t="shared" si="9"/>
        <v>11.785080606115599</v>
      </c>
      <c r="J35">
        <f t="shared" si="10"/>
        <v>-6.8216539685821402</v>
      </c>
      <c r="K35" s="7">
        <f t="shared" si="11"/>
        <v>9.6844771201531898E-5</v>
      </c>
      <c r="L35" s="7">
        <f t="shared" si="12"/>
        <v>1.10270639201016E-3</v>
      </c>
      <c r="M35" s="7">
        <f t="shared" si="13"/>
        <v>6.3557784246305093E-2</v>
      </c>
      <c r="N35" s="7">
        <f t="shared" si="14"/>
        <v>3.67896687030808E-2</v>
      </c>
      <c r="O35">
        <v>1.4551145000000001</v>
      </c>
      <c r="P35">
        <v>-2.1726942999999999</v>
      </c>
      <c r="Q35">
        <v>0.86271423999999997</v>
      </c>
      <c r="R35">
        <v>-7.6914283000000001</v>
      </c>
      <c r="S35">
        <f t="shared" si="15"/>
        <v>2.9597748459794238</v>
      </c>
      <c r="T35">
        <f t="shared" si="16"/>
        <v>-27.411463148859962</v>
      </c>
      <c r="U35" s="8"/>
      <c r="V35" s="8"/>
    </row>
    <row r="36" spans="1:22" x14ac:dyDescent="0.35">
      <c r="A36">
        <v>1.875</v>
      </c>
      <c r="B36" s="9">
        <v>15.6</v>
      </c>
      <c r="C36">
        <v>-3.4954640000000002E-2</v>
      </c>
      <c r="D36">
        <v>-1.9124888999999999E-2</v>
      </c>
      <c r="E36">
        <v>0.96484141000000001</v>
      </c>
      <c r="F36">
        <v>-2.1451543E-2</v>
      </c>
      <c r="G36">
        <f t="shared" si="7"/>
        <v>10.184277391660901</v>
      </c>
      <c r="H36">
        <f t="shared" si="8"/>
        <v>-6.18267084321569</v>
      </c>
      <c r="I36">
        <f t="shared" si="9"/>
        <v>10.184176760002901</v>
      </c>
      <c r="J36">
        <f t="shared" si="10"/>
        <v>-6.1838344059375201</v>
      </c>
      <c r="K36" s="7">
        <f t="shared" si="11"/>
        <v>1.00631658000339E-4</v>
      </c>
      <c r="L36" s="7">
        <f t="shared" si="12"/>
        <v>1.1635627218300501E-3</v>
      </c>
      <c r="M36" s="7">
        <f t="shared" si="13"/>
        <v>7.17411455806439E-2</v>
      </c>
      <c r="N36" s="7">
        <f t="shared" si="14"/>
        <v>4.3561239638463499E-2</v>
      </c>
      <c r="O36">
        <v>1.5540830999999999</v>
      </c>
      <c r="P36">
        <v>-2.2896046000000001</v>
      </c>
      <c r="Q36">
        <v>0.96659463000000001</v>
      </c>
      <c r="R36">
        <v>-8.1358992000000008</v>
      </c>
      <c r="S36">
        <f t="shared" si="15"/>
        <v>2.9607836378322818</v>
      </c>
      <c r="T36">
        <f t="shared" si="16"/>
        <v>-27.391608259140153</v>
      </c>
      <c r="U36" s="8"/>
      <c r="V36" s="8"/>
    </row>
    <row r="37" spans="1:22" x14ac:dyDescent="0.35">
      <c r="A37">
        <v>2</v>
      </c>
      <c r="B37" s="9">
        <v>15.6</v>
      </c>
      <c r="C37">
        <v>-3.9026144999999998E-2</v>
      </c>
      <c r="D37">
        <v>-2.2247580999999999E-2</v>
      </c>
      <c r="E37">
        <v>0.96075977000000001</v>
      </c>
      <c r="F37">
        <v>-2.4705878000000001E-2</v>
      </c>
      <c r="G37">
        <f t="shared" si="7"/>
        <v>8.89549096300955</v>
      </c>
      <c r="H37">
        <f t="shared" si="8"/>
        <v>-5.6358840075901497</v>
      </c>
      <c r="I37">
        <f t="shared" si="9"/>
        <v>8.8953854203392595</v>
      </c>
      <c r="J37">
        <f t="shared" si="10"/>
        <v>-5.6371134174168702</v>
      </c>
      <c r="K37" s="7">
        <f t="shared" si="11"/>
        <v>1.05542670290504E-4</v>
      </c>
      <c r="L37" s="7">
        <f t="shared" si="12"/>
        <v>1.2294098267204799E-3</v>
      </c>
      <c r="M37" s="7">
        <f t="shared" si="13"/>
        <v>8.0207304254872505E-2</v>
      </c>
      <c r="N37" s="7">
        <f t="shared" si="14"/>
        <v>5.0828339596861997E-2</v>
      </c>
      <c r="O37">
        <v>1.6526447</v>
      </c>
      <c r="P37">
        <v>-2.4020622</v>
      </c>
      <c r="Q37">
        <v>1.0752242000000001</v>
      </c>
      <c r="R37">
        <v>-8.5625943000000007</v>
      </c>
      <c r="S37">
        <f t="shared" si="15"/>
        <v>2.9598124895207687</v>
      </c>
      <c r="T37">
        <f t="shared" si="16"/>
        <v>-27.371094119310168</v>
      </c>
      <c r="U37" s="8"/>
      <c r="V37" s="8"/>
    </row>
    <row r="38" spans="1:22" x14ac:dyDescent="0.35">
      <c r="A38">
        <v>1</v>
      </c>
      <c r="B38" s="9">
        <v>15.8</v>
      </c>
      <c r="C38">
        <v>-1.3450561999999999E-2</v>
      </c>
      <c r="D38">
        <v>-5.1352867E-4</v>
      </c>
      <c r="E38">
        <v>0.98641478999999999</v>
      </c>
      <c r="F38">
        <v>-2.0102662000000002E-3</v>
      </c>
      <c r="G38">
        <f t="shared" si="7"/>
        <v>36.168526573863701</v>
      </c>
      <c r="H38">
        <f t="shared" si="8"/>
        <v>-3.42263713728906</v>
      </c>
      <c r="I38">
        <f t="shared" si="9"/>
        <v>36.168459805499502</v>
      </c>
      <c r="J38">
        <f t="shared" si="10"/>
        <v>-3.4233856064113501</v>
      </c>
      <c r="K38" s="7">
        <f t="shared" si="11"/>
        <v>6.6768364199276702E-5</v>
      </c>
      <c r="L38" s="7">
        <f t="shared" si="12"/>
        <v>7.48469122290096E-4</v>
      </c>
      <c r="M38" s="7">
        <f t="shared" si="13"/>
        <v>2.74029006745545E-2</v>
      </c>
      <c r="N38" s="7">
        <f t="shared" si="14"/>
        <v>2.5937155258385098E-3</v>
      </c>
      <c r="O38">
        <v>0.60373326999999999</v>
      </c>
      <c r="P38">
        <v>-1.6223981000000001</v>
      </c>
      <c r="Q38">
        <v>-0.63969953999999996</v>
      </c>
      <c r="R38">
        <v>-5.1051734</v>
      </c>
      <c r="S38">
        <f t="shared" si="15"/>
        <v>2.972172737205804</v>
      </c>
      <c r="T38">
        <f t="shared" si="16"/>
        <v>-27.553617305253024</v>
      </c>
      <c r="U38" s="8"/>
      <c r="V38" s="8"/>
    </row>
    <row r="39" spans="1:22" x14ac:dyDescent="0.35">
      <c r="A39">
        <v>1.125</v>
      </c>
      <c r="B39" s="9">
        <v>15.8</v>
      </c>
      <c r="C39">
        <v>-1.6809477E-2</v>
      </c>
      <c r="D39">
        <v>-1.9440029999999999E-3</v>
      </c>
      <c r="E39">
        <v>0.98304331</v>
      </c>
      <c r="F39">
        <v>-3.5941914000000002E-3</v>
      </c>
      <c r="G39">
        <f t="shared" si="7"/>
        <v>28.339657074700501</v>
      </c>
      <c r="H39">
        <f t="shared" si="8"/>
        <v>-4.7297489578938299</v>
      </c>
      <c r="I39">
        <f t="shared" si="9"/>
        <v>28.3395841437125</v>
      </c>
      <c r="J39">
        <f t="shared" si="10"/>
        <v>-4.7305741730099502</v>
      </c>
      <c r="K39" s="7">
        <f t="shared" si="11"/>
        <v>7.2930988000763404E-5</v>
      </c>
      <c r="L39" s="7">
        <f t="shared" si="12"/>
        <v>8.2521511612032605E-4</v>
      </c>
      <c r="M39" s="7">
        <f t="shared" si="13"/>
        <v>3.4329774000787898E-2</v>
      </c>
      <c r="N39" s="7">
        <f t="shared" si="14"/>
        <v>5.7304843087976698E-3</v>
      </c>
      <c r="O39">
        <v>0.68982394000000002</v>
      </c>
      <c r="P39">
        <v>-1.7950153</v>
      </c>
      <c r="Q39">
        <v>-0.64671173999999998</v>
      </c>
      <c r="R39">
        <v>-5.7117801999999998</v>
      </c>
      <c r="S39">
        <f t="shared" si="15"/>
        <v>2.9892195025490538</v>
      </c>
      <c r="T39">
        <f t="shared" si="16"/>
        <v>-27.481513961967128</v>
      </c>
      <c r="U39" s="8"/>
      <c r="V39" s="8"/>
    </row>
    <row r="40" spans="1:22" x14ac:dyDescent="0.35">
      <c r="A40">
        <v>1.25</v>
      </c>
      <c r="B40" s="9">
        <v>15.8</v>
      </c>
      <c r="C40">
        <v>-2.0517094999999999E-2</v>
      </c>
      <c r="D40">
        <v>-3.5281077999999998E-3</v>
      </c>
      <c r="E40">
        <v>0.97931358000000002</v>
      </c>
      <c r="F40">
        <v>-5.2785979000000002E-3</v>
      </c>
      <c r="G40">
        <f t="shared" si="7"/>
        <v>22.709527762593201</v>
      </c>
      <c r="H40">
        <f t="shared" si="8"/>
        <v>-4.96028254770824</v>
      </c>
      <c r="I40">
        <f t="shared" si="9"/>
        <v>22.709443859172801</v>
      </c>
      <c r="J40">
        <f t="shared" si="10"/>
        <v>-4.9611579403072001</v>
      </c>
      <c r="K40" s="7">
        <f t="shared" si="11"/>
        <v>8.39034203998779E-5</v>
      </c>
      <c r="L40" s="7">
        <f t="shared" si="12"/>
        <v>8.7539259896019005E-4</v>
      </c>
      <c r="M40" s="7">
        <f t="shared" si="13"/>
        <v>4.20286913678206E-2</v>
      </c>
      <c r="N40" s="7">
        <f t="shared" si="14"/>
        <v>9.1816856983911906E-3</v>
      </c>
      <c r="O40">
        <v>0.77740198999999999</v>
      </c>
      <c r="P40">
        <v>-1.9781167</v>
      </c>
      <c r="Q40">
        <v>-0.66725962999999999</v>
      </c>
      <c r="R40">
        <v>-6.3071409999999997</v>
      </c>
      <c r="S40">
        <f t="shared" si="15"/>
        <v>2.9840768386409313</v>
      </c>
      <c r="T40">
        <f t="shared" si="16"/>
        <v>-27.493983647012847</v>
      </c>
      <c r="U40" s="8"/>
      <c r="V40" s="8"/>
    </row>
    <row r="41" spans="1:22" x14ac:dyDescent="0.35">
      <c r="A41">
        <v>1.375</v>
      </c>
      <c r="B41" s="9">
        <v>15.8</v>
      </c>
      <c r="C41">
        <v>-2.4501762999999999E-2</v>
      </c>
      <c r="D41">
        <v>-5.2965473000000001E-3</v>
      </c>
      <c r="E41">
        <v>0.97530709000000004</v>
      </c>
      <c r="F41">
        <v>-7.1401342999999999E-3</v>
      </c>
      <c r="G41">
        <f t="shared" si="7"/>
        <v>18.606355925230101</v>
      </c>
      <c r="H41">
        <f t="shared" si="8"/>
        <v>-4.8297180086541998</v>
      </c>
      <c r="I41">
        <f t="shared" si="9"/>
        <v>18.606261192541201</v>
      </c>
      <c r="J41">
        <f t="shared" si="10"/>
        <v>-4.8306399775939797</v>
      </c>
      <c r="K41" s="7">
        <f t="shared" si="11"/>
        <v>9.4732688900478506E-5</v>
      </c>
      <c r="L41" s="7">
        <f t="shared" si="12"/>
        <v>9.21968939779916E-4</v>
      </c>
      <c r="M41" s="7">
        <f t="shared" si="13"/>
        <v>5.03514193003562E-2</v>
      </c>
      <c r="N41" s="7">
        <f t="shared" si="14"/>
        <v>1.3072458592508799E-2</v>
      </c>
      <c r="O41">
        <v>0.86480486000000001</v>
      </c>
      <c r="P41">
        <v>-2.1528299999999998</v>
      </c>
      <c r="Q41">
        <v>-0.67573729999999999</v>
      </c>
      <c r="R41">
        <v>-6.8853588999999999</v>
      </c>
      <c r="S41">
        <f t="shared" si="15"/>
        <v>2.982039904194524</v>
      </c>
      <c r="T41">
        <f t="shared" si="16"/>
        <v>-27.490753441184044</v>
      </c>
      <c r="U41" s="8"/>
      <c r="V41" s="8"/>
    </row>
    <row r="42" spans="1:22" x14ac:dyDescent="0.35">
      <c r="A42">
        <v>1.5</v>
      </c>
      <c r="B42" s="9">
        <v>15.8</v>
      </c>
      <c r="C42">
        <v>-2.8747061000000001E-2</v>
      </c>
      <c r="D42">
        <v>-7.2598321000000004E-3</v>
      </c>
      <c r="E42">
        <v>0.97104281999999997</v>
      </c>
      <c r="F42">
        <v>-9.2008204000000003E-3</v>
      </c>
      <c r="G42">
        <f t="shared" si="7"/>
        <v>15.525747068736001</v>
      </c>
      <c r="H42">
        <f t="shared" si="8"/>
        <v>-4.5709879429585296</v>
      </c>
      <c r="I42">
        <f t="shared" si="9"/>
        <v>15.525642940352199</v>
      </c>
      <c r="J42">
        <f t="shared" si="10"/>
        <v>-4.5719586401454801</v>
      </c>
      <c r="K42" s="7">
        <f t="shared" si="11"/>
        <v>1.04128383801694E-4</v>
      </c>
      <c r="L42" s="7">
        <f t="shared" si="12"/>
        <v>9.7069718695053098E-4</v>
      </c>
      <c r="M42" s="7">
        <f t="shared" si="13"/>
        <v>5.9269853395704397E-2</v>
      </c>
      <c r="N42" s="7">
        <f t="shared" si="14"/>
        <v>1.74536616212107E-2</v>
      </c>
      <c r="O42">
        <v>0.95349200999999995</v>
      </c>
      <c r="P42">
        <v>-2.3205608</v>
      </c>
      <c r="Q42">
        <v>-0.66990733999999996</v>
      </c>
      <c r="R42">
        <v>-7.4473272000000001</v>
      </c>
      <c r="S42">
        <f t="shared" si="15"/>
        <v>2.9804503038740493</v>
      </c>
      <c r="T42">
        <f t="shared" si="16"/>
        <v>-27.477279801875479</v>
      </c>
      <c r="U42" s="8"/>
      <c r="V42" s="8"/>
    </row>
    <row r="43" spans="1:22" x14ac:dyDescent="0.35">
      <c r="A43">
        <v>1.625</v>
      </c>
      <c r="B43" s="9">
        <v>15.8</v>
      </c>
      <c r="C43">
        <v>-3.3225374000000002E-2</v>
      </c>
      <c r="D43">
        <v>-9.4029939999999996E-3</v>
      </c>
      <c r="E43">
        <v>0.96655314000000003</v>
      </c>
      <c r="F43">
        <v>-1.1447638E-2</v>
      </c>
      <c r="G43">
        <f t="shared" si="7"/>
        <v>13.162578072418301</v>
      </c>
      <c r="H43">
        <f t="shared" si="8"/>
        <v>-4.2722155678845697</v>
      </c>
      <c r="I43">
        <f t="shared" si="9"/>
        <v>13.1624683626415</v>
      </c>
      <c r="J43">
        <f t="shared" si="10"/>
        <v>-4.2732381152832604</v>
      </c>
      <c r="K43" s="7">
        <f t="shared" si="11"/>
        <v>1.09709776801026E-4</v>
      </c>
      <c r="L43" s="7">
        <f t="shared" si="12"/>
        <v>1.02254739869068E-3</v>
      </c>
      <c r="M43" s="7">
        <f t="shared" si="13"/>
        <v>6.87295190358167E-2</v>
      </c>
      <c r="N43" s="7">
        <f t="shared" si="14"/>
        <v>2.23132616388678E-2</v>
      </c>
      <c r="O43">
        <v>1.0422986999999999</v>
      </c>
      <c r="P43">
        <v>-2.4806393999999998</v>
      </c>
      <c r="Q43">
        <v>-0.65274522000000001</v>
      </c>
      <c r="R43">
        <v>-7.9923615000000003</v>
      </c>
      <c r="S43">
        <f t="shared" si="15"/>
        <v>2.9802361886347741</v>
      </c>
      <c r="T43">
        <f t="shared" si="16"/>
        <v>-27.459899233060604</v>
      </c>
      <c r="U43" s="8"/>
      <c r="V43" s="8"/>
    </row>
    <row r="44" spans="1:22" x14ac:dyDescent="0.35">
      <c r="A44">
        <v>1.75</v>
      </c>
      <c r="B44" s="9">
        <v>15.8</v>
      </c>
      <c r="C44">
        <v>-3.7904796999999997E-2</v>
      </c>
      <c r="D44">
        <v>-1.1749879E-2</v>
      </c>
      <c r="E44">
        <v>0.96186229000000001</v>
      </c>
      <c r="F44">
        <v>-1.3910377E-2</v>
      </c>
      <c r="G44">
        <f t="shared" si="7"/>
        <v>11.3062291404612</v>
      </c>
      <c r="H44">
        <f t="shared" si="8"/>
        <v>-3.9834076071314599</v>
      </c>
      <c r="I44">
        <f t="shared" si="9"/>
        <v>11.306113837741799</v>
      </c>
      <c r="J44">
        <f t="shared" si="10"/>
        <v>-3.9844881065182798</v>
      </c>
      <c r="K44" s="7">
        <f t="shared" si="11"/>
        <v>1.15302719400745E-4</v>
      </c>
      <c r="L44" s="7">
        <f t="shared" si="12"/>
        <v>1.0804993868198699E-3</v>
      </c>
      <c r="M44" s="7">
        <f t="shared" si="13"/>
        <v>7.8676208468953596E-2</v>
      </c>
      <c r="N44" s="7">
        <f t="shared" si="14"/>
        <v>2.77269821805642E-2</v>
      </c>
      <c r="O44">
        <v>1.1330921</v>
      </c>
      <c r="P44">
        <v>-2.6329232</v>
      </c>
      <c r="Q44">
        <v>-0.61902877999999995</v>
      </c>
      <c r="R44">
        <v>-8.5191659000000008</v>
      </c>
      <c r="S44">
        <f t="shared" si="15"/>
        <v>2.9799264641020975</v>
      </c>
      <c r="T44">
        <f t="shared" si="16"/>
        <v>-27.440859914518168</v>
      </c>
      <c r="U44" s="8"/>
      <c r="V44" s="8"/>
    </row>
    <row r="45" spans="1:22" x14ac:dyDescent="0.35">
      <c r="A45">
        <v>1.875</v>
      </c>
      <c r="B45" s="9">
        <v>15.8</v>
      </c>
      <c r="C45">
        <v>-4.2753396999999999E-2</v>
      </c>
      <c r="D45">
        <v>-1.4282949E-2</v>
      </c>
      <c r="E45">
        <v>0.95701122999999999</v>
      </c>
      <c r="F45">
        <v>-1.6568016000000001E-2</v>
      </c>
      <c r="G45">
        <f t="shared" si="7"/>
        <v>9.8260838685725194</v>
      </c>
      <c r="H45">
        <f t="shared" si="8"/>
        <v>-3.7148450360349101</v>
      </c>
      <c r="I45">
        <f t="shared" si="9"/>
        <v>9.8259674740628693</v>
      </c>
      <c r="J45">
        <f t="shared" si="10"/>
        <v>-3.7159878370117898</v>
      </c>
      <c r="K45" s="7">
        <f t="shared" si="11"/>
        <v>1.16394509650064E-4</v>
      </c>
      <c r="L45" s="7">
        <f t="shared" si="12"/>
        <v>1.14280097687969E-3</v>
      </c>
      <c r="M45" s="7">
        <f t="shared" si="13"/>
        <v>8.9037038116111106E-2</v>
      </c>
      <c r="N45" s="7">
        <f t="shared" si="14"/>
        <v>3.3672058406093899E-2</v>
      </c>
      <c r="O45">
        <v>1.2244421000000001</v>
      </c>
      <c r="P45">
        <v>-2.7767708999999998</v>
      </c>
      <c r="Q45">
        <v>-0.57204577000000001</v>
      </c>
      <c r="R45">
        <v>-9.0268847999999995</v>
      </c>
      <c r="S45">
        <f t="shared" si="15"/>
        <v>2.9804723936048507</v>
      </c>
      <c r="T45">
        <f t="shared" si="16"/>
        <v>-27.421573687688333</v>
      </c>
      <c r="U45" s="8"/>
      <c r="V45" s="8"/>
    </row>
    <row r="46" spans="1:22" x14ac:dyDescent="0.35">
      <c r="A46">
        <v>2</v>
      </c>
      <c r="B46" s="9">
        <v>15.8</v>
      </c>
      <c r="C46">
        <v>-4.7762720000000002E-2</v>
      </c>
      <c r="D46">
        <v>-1.6998811999999999E-2</v>
      </c>
      <c r="E46">
        <v>0.95229686000000002</v>
      </c>
      <c r="F46">
        <v>-1.9302432000000001E-2</v>
      </c>
      <c r="G46">
        <f t="shared" si="7"/>
        <v>8.6516655711870705</v>
      </c>
      <c r="H46">
        <f t="shared" si="8"/>
        <v>-3.4793845020299199</v>
      </c>
      <c r="I46">
        <f t="shared" si="9"/>
        <v>8.6516966868456002</v>
      </c>
      <c r="J46">
        <f t="shared" si="10"/>
        <v>-3.4805362418802601</v>
      </c>
      <c r="K46" s="7">
        <f t="shared" si="11"/>
        <v>-3.1115658529756702E-5</v>
      </c>
      <c r="L46" s="7">
        <f t="shared" si="12"/>
        <v>1.15173985034023E-3</v>
      </c>
      <c r="M46" s="7">
        <f t="shared" si="13"/>
        <v>9.9483681800654103E-2</v>
      </c>
      <c r="N46" s="7">
        <f t="shared" si="14"/>
        <v>4.0021809884912302E-2</v>
      </c>
      <c r="O46">
        <v>1.3163501</v>
      </c>
      <c r="P46">
        <v>-2.9141468000000001</v>
      </c>
      <c r="Q46">
        <v>-0.51445613999999995</v>
      </c>
      <c r="R46">
        <v>-9.5154004000000008</v>
      </c>
      <c r="S46">
        <f t="shared" si="15"/>
        <v>2.9800846863693815</v>
      </c>
      <c r="T46">
        <f t="shared" si="16"/>
        <v>-27.403903279111205</v>
      </c>
      <c r="U46" s="8"/>
      <c r="V46" s="8"/>
    </row>
    <row r="47" spans="1:22" x14ac:dyDescent="0.35">
      <c r="A47">
        <v>1</v>
      </c>
      <c r="B47" s="9">
        <v>16</v>
      </c>
      <c r="C47">
        <v>-1.5032165E-2</v>
      </c>
      <c r="D47">
        <v>2.3506490999999998E-3</v>
      </c>
      <c r="E47">
        <v>0.98480188000000002</v>
      </c>
      <c r="F47">
        <v>8.7666641E-4</v>
      </c>
      <c r="G47">
        <f t="shared" si="7"/>
        <v>32.206687132930398</v>
      </c>
      <c r="H47">
        <f t="shared" si="8"/>
        <v>3.4920546466954301</v>
      </c>
      <c r="I47">
        <f t="shared" si="9"/>
        <v>32.2066046918358</v>
      </c>
      <c r="J47">
        <f t="shared" si="10"/>
        <v>3.49131753342825</v>
      </c>
      <c r="K47" s="7">
        <f t="shared" si="11"/>
        <v>8.2441094598095801E-5</v>
      </c>
      <c r="L47" s="7">
        <f t="shared" si="12"/>
        <v>7.3711326718006699E-4</v>
      </c>
      <c r="M47" s="7">
        <f t="shared" si="13"/>
        <v>3.0688895086246299E-2</v>
      </c>
      <c r="N47" s="7">
        <f t="shared" si="14"/>
        <v>-3.3267920825976499E-3</v>
      </c>
      <c r="O47">
        <v>0.24908552</v>
      </c>
      <c r="P47">
        <v>-1.7971174000000001</v>
      </c>
      <c r="Q47">
        <v>-1.8281225000000001</v>
      </c>
      <c r="R47">
        <v>-5.1125499000000003</v>
      </c>
      <c r="S47">
        <f t="shared" si="15"/>
        <v>2.9926557085016374</v>
      </c>
      <c r="T47">
        <f t="shared" si="16"/>
        <v>-27.566885769073437</v>
      </c>
      <c r="U47" s="8"/>
      <c r="V47" s="8"/>
    </row>
    <row r="48" spans="1:22" x14ac:dyDescent="0.35">
      <c r="A48">
        <v>1.125</v>
      </c>
      <c r="B48" s="9">
        <v>16</v>
      </c>
      <c r="C48">
        <v>-1.8874762999999999E-2</v>
      </c>
      <c r="D48">
        <v>1.5964849999999999E-3</v>
      </c>
      <c r="E48">
        <v>0.98093423000000002</v>
      </c>
      <c r="F48">
        <v>4.3888196000000002E-6</v>
      </c>
      <c r="G48">
        <f t="shared" si="7"/>
        <v>25.810242027453</v>
      </c>
      <c r="H48">
        <f t="shared" si="8"/>
        <v>1.11053805765826</v>
      </c>
      <c r="I48">
        <f t="shared" si="9"/>
        <v>25.8101471487049</v>
      </c>
      <c r="J48">
        <f t="shared" si="10"/>
        <v>1.1097418580001599</v>
      </c>
      <c r="K48" s="7">
        <f t="shared" si="11"/>
        <v>9.4878748100768503E-5</v>
      </c>
      <c r="L48" s="7">
        <f t="shared" si="12"/>
        <v>7.9619965810007198E-4</v>
      </c>
      <c r="M48" s="7">
        <f t="shared" si="13"/>
        <v>3.8672957590693301E-2</v>
      </c>
      <c r="N48" s="7">
        <f t="shared" si="14"/>
        <v>-1.66279562699862E-3</v>
      </c>
      <c r="O48">
        <v>0.30339557</v>
      </c>
      <c r="P48">
        <v>-1.9989163000000001</v>
      </c>
      <c r="Q48">
        <v>-1.966653</v>
      </c>
      <c r="R48">
        <v>-5.7543907000000001</v>
      </c>
      <c r="S48">
        <f t="shared" si="15"/>
        <v>3.0077896447337311</v>
      </c>
      <c r="T48">
        <f t="shared" si="16"/>
        <v>-27.499148461207547</v>
      </c>
      <c r="U48" s="8"/>
      <c r="V48" s="8"/>
    </row>
    <row r="49" spans="1:22" x14ac:dyDescent="0.35">
      <c r="A49">
        <v>1.25</v>
      </c>
      <c r="B49" s="9">
        <v>16</v>
      </c>
      <c r="C49">
        <v>-2.3099181999999999E-2</v>
      </c>
      <c r="D49">
        <v>7.5473903999999999E-4</v>
      </c>
      <c r="E49">
        <v>0.97668275000000004</v>
      </c>
      <c r="F49">
        <v>-9.0947510999999997E-4</v>
      </c>
      <c r="G49">
        <f t="shared" si="7"/>
        <v>21.043909312049902</v>
      </c>
      <c r="H49">
        <f t="shared" si="8"/>
        <v>-7.1403496869224301E-2</v>
      </c>
      <c r="I49">
        <f t="shared" si="9"/>
        <v>21.043800958788399</v>
      </c>
      <c r="J49">
        <f t="shared" si="10"/>
        <v>-7.2235784853427701E-2</v>
      </c>
      <c r="K49" s="7">
        <f t="shared" si="11"/>
        <v>1.08353261502714E-4</v>
      </c>
      <c r="L49" s="7">
        <f t="shared" si="12"/>
        <v>8.3228798420340001E-4</v>
      </c>
      <c r="M49" s="7">
        <f t="shared" si="13"/>
        <v>4.7519372526020898E-2</v>
      </c>
      <c r="N49" s="7">
        <f t="shared" si="14"/>
        <v>1.6311688068528299E-4</v>
      </c>
      <c r="O49">
        <v>0.35662057000000003</v>
      </c>
      <c r="P49">
        <v>-2.2085824999999999</v>
      </c>
      <c r="Q49">
        <v>-2.1145296999999998</v>
      </c>
      <c r="R49">
        <v>-6.3770458000000003</v>
      </c>
      <c r="S49">
        <f t="shared" si="15"/>
        <v>3.0030891421032289</v>
      </c>
      <c r="T49">
        <f t="shared" si="16"/>
        <v>-27.517121690788759</v>
      </c>
      <c r="U49" s="8"/>
      <c r="V49" s="8"/>
    </row>
    <row r="50" spans="1:22" x14ac:dyDescent="0.35">
      <c r="A50">
        <v>1.375</v>
      </c>
      <c r="B50" s="9">
        <v>16</v>
      </c>
      <c r="C50">
        <v>-2.7659755000000001E-2</v>
      </c>
      <c r="D50">
        <v>-2.3847281999999999E-4</v>
      </c>
      <c r="E50">
        <v>0.97210472999999997</v>
      </c>
      <c r="F50">
        <v>-1.9796674000000002E-3</v>
      </c>
      <c r="G50">
        <f t="shared" si="7"/>
        <v>17.471580966166801</v>
      </c>
      <c r="H50">
        <f t="shared" si="8"/>
        <v>-0.71711187380445096</v>
      </c>
      <c r="I50">
        <f t="shared" si="9"/>
        <v>17.471463953005301</v>
      </c>
      <c r="J50">
        <f t="shared" si="10"/>
        <v>-0.71798267550922501</v>
      </c>
      <c r="K50" s="7">
        <f t="shared" si="11"/>
        <v>1.1701316149981301E-4</v>
      </c>
      <c r="L50" s="7">
        <f t="shared" si="12"/>
        <v>8.7080170477404895E-4</v>
      </c>
      <c r="M50" s="7">
        <f t="shared" si="13"/>
        <v>5.7139692721143699E-2</v>
      </c>
      <c r="N50" s="7">
        <f t="shared" si="14"/>
        <v>2.3481323355645299E-3</v>
      </c>
      <c r="O50">
        <v>0.41269090000000003</v>
      </c>
      <c r="P50">
        <v>-2.4099523999999999</v>
      </c>
      <c r="Q50">
        <v>-2.2431730999999999</v>
      </c>
      <c r="R50">
        <v>-6.9870248000000004</v>
      </c>
      <c r="S50">
        <f t="shared" si="15"/>
        <v>3.0013011712093807</v>
      </c>
      <c r="T50">
        <f t="shared" si="16"/>
        <v>-27.516472324608198</v>
      </c>
      <c r="U50" s="8"/>
      <c r="V50" s="8"/>
    </row>
    <row r="51" spans="1:22" x14ac:dyDescent="0.35">
      <c r="A51">
        <v>1.5</v>
      </c>
      <c r="B51" s="9">
        <v>16</v>
      </c>
      <c r="C51">
        <v>-3.2544135000000002E-2</v>
      </c>
      <c r="D51">
        <v>-1.4035950000000001E-3</v>
      </c>
      <c r="E51">
        <v>0.96721391999999995</v>
      </c>
      <c r="F51">
        <v>-3.2480175999999999E-3</v>
      </c>
      <c r="G51">
        <f t="shared" si="7"/>
        <v>14.7297039784555</v>
      </c>
      <c r="H51">
        <f t="shared" si="8"/>
        <v>-1.0839130425522101</v>
      </c>
      <c r="I51">
        <f t="shared" si="9"/>
        <v>14.7295838421011</v>
      </c>
      <c r="J51">
        <f t="shared" si="10"/>
        <v>-1.0848354762324199</v>
      </c>
      <c r="K51" s="7">
        <f t="shared" si="11"/>
        <v>1.20136354400557E-4</v>
      </c>
      <c r="L51" s="7">
        <f t="shared" si="12"/>
        <v>9.2243368020983297E-4</v>
      </c>
      <c r="M51" s="7">
        <f t="shared" si="13"/>
        <v>6.7524305955161096E-2</v>
      </c>
      <c r="N51" s="7">
        <f t="shared" si="14"/>
        <v>4.97317258881103E-3</v>
      </c>
      <c r="O51">
        <v>0.47298817999999998</v>
      </c>
      <c r="P51">
        <v>-2.6046385000000001</v>
      </c>
      <c r="Q51">
        <v>-2.3501202000000001</v>
      </c>
      <c r="R51">
        <v>-7.5863892999999996</v>
      </c>
      <c r="S51">
        <f t="shared" si="15"/>
        <v>3.0001339361171144</v>
      </c>
      <c r="T51">
        <f t="shared" si="16"/>
        <v>-27.504437624885099</v>
      </c>
      <c r="U51" s="8"/>
      <c r="V51" s="8"/>
    </row>
    <row r="52" spans="1:22" x14ac:dyDescent="0.35">
      <c r="A52">
        <v>1.625</v>
      </c>
      <c r="B52" s="9">
        <v>16</v>
      </c>
      <c r="C52">
        <v>-3.7718411E-2</v>
      </c>
      <c r="D52">
        <v>-2.7343846000000001E-3</v>
      </c>
      <c r="E52">
        <v>0.96204467000000005</v>
      </c>
      <c r="F52">
        <v>-4.6942994999999996E-3</v>
      </c>
      <c r="G52">
        <f t="shared" si="7"/>
        <v>12.588550972455</v>
      </c>
      <c r="H52">
        <f t="shared" si="8"/>
        <v>-1.28437137453562</v>
      </c>
      <c r="I52">
        <f t="shared" si="9"/>
        <v>12.588433459577701</v>
      </c>
      <c r="J52">
        <f t="shared" si="10"/>
        <v>-1.2853515632559001</v>
      </c>
      <c r="K52" s="7">
        <f t="shared" si="11"/>
        <v>1.1751287729922E-4</v>
      </c>
      <c r="L52" s="7">
        <f t="shared" si="12"/>
        <v>9.8018872028005099E-4</v>
      </c>
      <c r="M52" s="7">
        <f t="shared" si="13"/>
        <v>7.8618359333090304E-2</v>
      </c>
      <c r="N52" s="7">
        <f t="shared" si="14"/>
        <v>8.0273873150211398E-3</v>
      </c>
      <c r="O52">
        <v>0.53660503999999998</v>
      </c>
      <c r="P52">
        <v>-2.7919448999999998</v>
      </c>
      <c r="Q52">
        <v>-2.4378787000000002</v>
      </c>
      <c r="R52">
        <v>-8.1732297999999997</v>
      </c>
      <c r="S52">
        <f t="shared" si="15"/>
        <v>2.9999757981390851</v>
      </c>
      <c r="T52">
        <f t="shared" si="16"/>
        <v>-27.488024664846392</v>
      </c>
      <c r="U52" s="8"/>
      <c r="V52" s="8"/>
    </row>
    <row r="53" spans="1:22" x14ac:dyDescent="0.35">
      <c r="A53">
        <v>1.75</v>
      </c>
      <c r="B53" s="9">
        <v>16</v>
      </c>
      <c r="C53">
        <v>-4.3157162999999998E-2</v>
      </c>
      <c r="D53">
        <v>-4.2703530000000002E-3</v>
      </c>
      <c r="E53">
        <v>0.95659870000000002</v>
      </c>
      <c r="F53">
        <v>-6.3609558999999996E-3</v>
      </c>
      <c r="G53">
        <f t="shared" si="7"/>
        <v>10.881256915022</v>
      </c>
      <c r="H53">
        <f t="shared" si="8"/>
        <v>-1.3973418630394401</v>
      </c>
      <c r="I53">
        <f t="shared" si="9"/>
        <v>10.8811359246736</v>
      </c>
      <c r="J53">
        <f t="shared" si="10"/>
        <v>-1.3983874185902301</v>
      </c>
      <c r="K53" s="7">
        <f t="shared" si="11"/>
        <v>1.2099034839963001E-4</v>
      </c>
      <c r="L53" s="7">
        <f t="shared" si="12"/>
        <v>1.0455555507900001E-3</v>
      </c>
      <c r="M53" s="7">
        <f t="shared" si="13"/>
        <v>9.0408969391534602E-2</v>
      </c>
      <c r="N53" s="7">
        <f t="shared" si="14"/>
        <v>1.16188940382732E-2</v>
      </c>
      <c r="O53">
        <v>0.60571883999999998</v>
      </c>
      <c r="P53">
        <v>-2.9720344000000001</v>
      </c>
      <c r="Q53">
        <v>-2.5002849999999999</v>
      </c>
      <c r="R53">
        <v>-8.7480077000000005</v>
      </c>
      <c r="S53">
        <f t="shared" si="15"/>
        <v>2.9996396424513341</v>
      </c>
      <c r="T53">
        <f t="shared" si="16"/>
        <v>-27.470034402251319</v>
      </c>
      <c r="U53" s="8"/>
      <c r="V53" s="8"/>
    </row>
    <row r="54" spans="1:22" x14ac:dyDescent="0.35">
      <c r="A54">
        <v>1.875</v>
      </c>
      <c r="B54" s="9">
        <v>16</v>
      </c>
      <c r="C54">
        <v>-4.8820172000000002E-2</v>
      </c>
      <c r="D54">
        <v>-6.0037933999999996E-3</v>
      </c>
      <c r="E54">
        <v>0.95093824999999998</v>
      </c>
      <c r="F54">
        <v>-8.2310661E-3</v>
      </c>
      <c r="G54">
        <f t="shared" si="7"/>
        <v>9.5048538937088605</v>
      </c>
      <c r="H54">
        <f t="shared" si="8"/>
        <v>-1.4544291741583999</v>
      </c>
      <c r="I54">
        <f t="shared" si="9"/>
        <v>9.5047343307510097</v>
      </c>
      <c r="J54">
        <f t="shared" si="10"/>
        <v>-1.4555430782054199</v>
      </c>
      <c r="K54" s="7">
        <f t="shared" si="11"/>
        <v>1.1956295785076101E-4</v>
      </c>
      <c r="L54" s="7">
        <f t="shared" si="12"/>
        <v>1.1139040470200499E-3</v>
      </c>
      <c r="M54" s="7">
        <f t="shared" si="13"/>
        <v>0.10279991640259099</v>
      </c>
      <c r="N54" s="7">
        <f t="shared" si="14"/>
        <v>1.57426500892071E-2</v>
      </c>
      <c r="O54">
        <v>0.67883651</v>
      </c>
      <c r="P54">
        <v>-3.1436932999999998</v>
      </c>
      <c r="Q54">
        <v>-2.5405194</v>
      </c>
      <c r="R54">
        <v>-9.3081753999999997</v>
      </c>
      <c r="S54">
        <f t="shared" si="15"/>
        <v>3.0000600839497555</v>
      </c>
      <c r="T54">
        <f t="shared" si="16"/>
        <v>-27.451282217986591</v>
      </c>
      <c r="U54" s="8"/>
      <c r="V54" s="8"/>
    </row>
    <row r="55" spans="1:22" x14ac:dyDescent="0.35">
      <c r="A55">
        <v>2</v>
      </c>
      <c r="B55" s="9">
        <v>16</v>
      </c>
      <c r="C55">
        <v>-5.4693324000000001E-2</v>
      </c>
      <c r="D55">
        <v>-7.9347678000000008E-3</v>
      </c>
      <c r="E55">
        <v>0.94540436000000005</v>
      </c>
      <c r="F55">
        <v>-1.0259245E-2</v>
      </c>
      <c r="G55">
        <f t="shared" si="7"/>
        <v>8.4032804739371603</v>
      </c>
      <c r="H55">
        <f t="shared" si="8"/>
        <v>-1.4816075285374499</v>
      </c>
      <c r="I55">
        <f t="shared" si="9"/>
        <v>8.4033306641505696</v>
      </c>
      <c r="J55">
        <f t="shared" si="10"/>
        <v>-1.4827696520440099</v>
      </c>
      <c r="K55" s="7">
        <f t="shared" si="11"/>
        <v>-5.0190213409351299E-5</v>
      </c>
      <c r="L55" s="7">
        <f t="shared" si="12"/>
        <v>1.1621235065599801E-3</v>
      </c>
      <c r="M55" s="7">
        <f t="shared" si="13"/>
        <v>0.115407265643535</v>
      </c>
      <c r="N55" s="7">
        <f t="shared" si="14"/>
        <v>2.0363638890427201E-2</v>
      </c>
      <c r="O55">
        <v>0.75519367000000004</v>
      </c>
      <c r="P55">
        <v>-3.3081746999999999</v>
      </c>
      <c r="Q55">
        <v>-2.5614498999999999</v>
      </c>
      <c r="R55">
        <v>-9.8510468000000007</v>
      </c>
      <c r="S55">
        <f t="shared" si="15"/>
        <v>2.999639742290471</v>
      </c>
      <c r="T55">
        <f t="shared" si="16"/>
        <v>-27.434374876169333</v>
      </c>
      <c r="U55" s="8"/>
      <c r="V55" s="8"/>
    </row>
    <row r="56" spans="1:22" x14ac:dyDescent="0.35">
      <c r="A56">
        <v>1</v>
      </c>
      <c r="B56" s="9">
        <v>16.2</v>
      </c>
      <c r="C56">
        <v>-1.5233217E-2</v>
      </c>
      <c r="D56">
        <v>5.6379116E-3</v>
      </c>
      <c r="E56">
        <v>0.98455598</v>
      </c>
      <c r="F56">
        <v>4.2500326999999997E-3</v>
      </c>
      <c r="G56">
        <f t="shared" si="7"/>
        <v>29.029642261566899</v>
      </c>
      <c r="H56">
        <f t="shared" si="8"/>
        <v>9.5183795534562403</v>
      </c>
      <c r="I56">
        <f t="shared" si="9"/>
        <v>29.0295373306603</v>
      </c>
      <c r="J56">
        <f t="shared" si="10"/>
        <v>9.5176854680328997</v>
      </c>
      <c r="K56" s="7">
        <f t="shared" si="11"/>
        <v>1.04930906598355E-4</v>
      </c>
      <c r="L56" s="7">
        <f t="shared" si="12"/>
        <v>6.9408542334059597E-4</v>
      </c>
      <c r="M56" s="7">
        <f t="shared" si="13"/>
        <v>3.11041741008777E-2</v>
      </c>
      <c r="N56" s="7">
        <f t="shared" si="14"/>
        <v>-1.0197880264609599E-2</v>
      </c>
      <c r="O56">
        <v>-0.15014325000000001</v>
      </c>
      <c r="P56">
        <v>-1.8053440000000001</v>
      </c>
      <c r="Q56">
        <v>-2.9178256999999999</v>
      </c>
      <c r="R56">
        <v>-4.6102482</v>
      </c>
      <c r="S56">
        <f t="shared" si="15"/>
        <v>3.0117492411890767</v>
      </c>
      <c r="T56">
        <f t="shared" si="16"/>
        <v>-27.575595731666006</v>
      </c>
      <c r="U56" s="8"/>
      <c r="V56" s="8"/>
    </row>
    <row r="57" spans="1:22" x14ac:dyDescent="0.35">
      <c r="A57">
        <v>1.125</v>
      </c>
      <c r="B57" s="9">
        <v>16.2</v>
      </c>
      <c r="C57">
        <v>-1.9247100999999999E-2</v>
      </c>
      <c r="D57">
        <v>5.7249548000000003E-3</v>
      </c>
      <c r="E57">
        <v>0.98052687999999999</v>
      </c>
      <c r="F57">
        <v>4.2633119000000004E-3</v>
      </c>
      <c r="G57">
        <f t="shared" si="7"/>
        <v>23.715011107002201</v>
      </c>
      <c r="H57">
        <f t="shared" si="8"/>
        <v>6.2468543057922998</v>
      </c>
      <c r="I57">
        <f t="shared" si="9"/>
        <v>23.714898619010299</v>
      </c>
      <c r="J57">
        <f t="shared" si="10"/>
        <v>6.2461233195252603</v>
      </c>
      <c r="K57" s="7">
        <f t="shared" si="11"/>
        <v>1.12487991902555E-4</v>
      </c>
      <c r="L57" s="7">
        <f t="shared" si="12"/>
        <v>7.3098626703949098E-4</v>
      </c>
      <c r="M57" s="7">
        <f t="shared" si="13"/>
        <v>3.9432134427966101E-2</v>
      </c>
      <c r="N57" s="7">
        <f t="shared" si="14"/>
        <v>-1.03857907362815E-2</v>
      </c>
      <c r="O57">
        <v>-0.13853405999999999</v>
      </c>
      <c r="P57">
        <v>-2.0204827000000001</v>
      </c>
      <c r="Q57">
        <v>-3.1976976000000001</v>
      </c>
      <c r="R57">
        <v>-5.2304724</v>
      </c>
      <c r="S57">
        <f t="shared" si="15"/>
        <v>3.0270722239310057</v>
      </c>
      <c r="T57">
        <f t="shared" si="16"/>
        <v>-27.517578494266807</v>
      </c>
      <c r="U57" s="8"/>
      <c r="V57" s="8"/>
    </row>
    <row r="58" spans="1:22" x14ac:dyDescent="0.35">
      <c r="A58">
        <v>1.25</v>
      </c>
      <c r="B58" s="9">
        <v>16.2</v>
      </c>
      <c r="C58">
        <v>-2.3649340000000001E-2</v>
      </c>
      <c r="D58">
        <v>5.7995141999999996E-3</v>
      </c>
      <c r="E58">
        <v>0.97609053999999995</v>
      </c>
      <c r="F58">
        <v>4.3099579000000004E-3</v>
      </c>
      <c r="G58">
        <f t="shared" si="7"/>
        <v>19.617652544834598</v>
      </c>
      <c r="H58">
        <f t="shared" si="8"/>
        <v>4.2767249677320303</v>
      </c>
      <c r="I58">
        <f t="shared" si="9"/>
        <v>19.617523022827498</v>
      </c>
      <c r="J58">
        <f t="shared" si="10"/>
        <v>4.27597999622588</v>
      </c>
      <c r="K58" s="7">
        <f t="shared" si="11"/>
        <v>1.29522007100036E-4</v>
      </c>
      <c r="L58" s="7">
        <f t="shared" si="12"/>
        <v>7.4497150615027196E-4</v>
      </c>
      <c r="M58" s="7">
        <f t="shared" si="13"/>
        <v>4.8662872827068701E-2</v>
      </c>
      <c r="N58" s="7">
        <f t="shared" si="14"/>
        <v>-1.0606918647440899E-2</v>
      </c>
      <c r="O58">
        <v>-0.1289942</v>
      </c>
      <c r="P58">
        <v>-2.2417557000000001</v>
      </c>
      <c r="Q58">
        <v>-3.4786280000000001</v>
      </c>
      <c r="R58">
        <v>-5.8274543999999997</v>
      </c>
      <c r="S58">
        <f t="shared" si="15"/>
        <v>3.0224300271349338</v>
      </c>
      <c r="T58">
        <f t="shared" si="16"/>
        <v>-27.541316343225201</v>
      </c>
      <c r="U58" s="8"/>
      <c r="V58" s="8"/>
    </row>
    <row r="59" spans="1:22" x14ac:dyDescent="0.35">
      <c r="A59">
        <v>1.375</v>
      </c>
      <c r="B59" s="9">
        <v>16.2</v>
      </c>
      <c r="C59">
        <v>-2.8436955E-2</v>
      </c>
      <c r="D59">
        <v>5.7843379000000004E-3</v>
      </c>
      <c r="E59">
        <v>0.97126880999999998</v>
      </c>
      <c r="F59">
        <v>4.2925632000000002E-3</v>
      </c>
      <c r="G59">
        <f t="shared" si="7"/>
        <v>16.465219703432201</v>
      </c>
      <c r="H59">
        <f t="shared" si="8"/>
        <v>2.9907814798460501</v>
      </c>
      <c r="I59">
        <f t="shared" si="9"/>
        <v>16.465073120878699</v>
      </c>
      <c r="J59">
        <f t="shared" si="10"/>
        <v>2.99003537339666</v>
      </c>
      <c r="K59" s="7">
        <f t="shared" si="11"/>
        <v>1.4658255350141801E-4</v>
      </c>
      <c r="L59" s="7">
        <f t="shared" si="12"/>
        <v>7.4610644939010495E-4</v>
      </c>
      <c r="M59" s="7">
        <f t="shared" si="13"/>
        <v>5.8795654852811401E-2</v>
      </c>
      <c r="N59" s="7">
        <f t="shared" si="14"/>
        <v>-1.0677212698739899E-2</v>
      </c>
      <c r="O59">
        <v>-0.11406276999999999</v>
      </c>
      <c r="P59">
        <v>-2.4562656999999999</v>
      </c>
      <c r="Q59">
        <v>-3.7365754999999998</v>
      </c>
      <c r="R59">
        <v>-6.4202044999999996</v>
      </c>
      <c r="S59">
        <f t="shared" si="15"/>
        <v>3.0210072447642373</v>
      </c>
      <c r="T59">
        <f t="shared" si="16"/>
        <v>-27.540753932036452</v>
      </c>
      <c r="U59" s="8"/>
      <c r="V59" s="8"/>
    </row>
    <row r="60" spans="1:22" x14ac:dyDescent="0.35">
      <c r="A60">
        <v>1.5</v>
      </c>
      <c r="B60" s="9">
        <v>16.2</v>
      </c>
      <c r="C60">
        <v>-3.3606235999999998E-2</v>
      </c>
      <c r="D60">
        <v>5.6564526000000004E-3</v>
      </c>
      <c r="E60">
        <v>0.96635338999999998</v>
      </c>
      <c r="F60">
        <v>4.0512305999999996E-3</v>
      </c>
      <c r="G60">
        <f t="shared" si="7"/>
        <v>14.0657797417926</v>
      </c>
      <c r="H60">
        <f t="shared" si="8"/>
        <v>2.1029127963457199</v>
      </c>
      <c r="I60">
        <f t="shared" si="9"/>
        <v>14.065760198608</v>
      </c>
      <c r="J60">
        <f t="shared" si="10"/>
        <v>2.1021101534571902</v>
      </c>
      <c r="K60" s="7">
        <f t="shared" si="11"/>
        <v>1.95431845995131E-5</v>
      </c>
      <c r="L60" s="7">
        <f t="shared" si="12"/>
        <v>8.02642888529714E-4</v>
      </c>
      <c r="M60" s="7">
        <f t="shared" si="13"/>
        <v>6.9541426170921294E-2</v>
      </c>
      <c r="N60" s="7">
        <f t="shared" si="14"/>
        <v>-1.0392878591393401E-2</v>
      </c>
      <c r="O60">
        <v>-9.3349777999999994E-2</v>
      </c>
      <c r="P60">
        <v>-2.6654393999999999</v>
      </c>
      <c r="Q60">
        <v>-3.9695591000000001</v>
      </c>
      <c r="R60">
        <v>-7.0069127</v>
      </c>
      <c r="S60">
        <f t="shared" si="15"/>
        <v>3.0194938054990859</v>
      </c>
      <c r="T60">
        <f t="shared" si="16"/>
        <v>-27.526629775674053</v>
      </c>
      <c r="U60" s="8"/>
      <c r="V60" s="8"/>
    </row>
    <row r="61" spans="1:22" x14ac:dyDescent="0.35">
      <c r="A61">
        <v>1.625</v>
      </c>
      <c r="B61" s="9">
        <v>16.2</v>
      </c>
      <c r="C61">
        <v>-3.9129551999999998E-2</v>
      </c>
      <c r="D61">
        <v>5.3929725E-3</v>
      </c>
      <c r="E61">
        <v>0.96075215000000003</v>
      </c>
      <c r="F61">
        <v>3.5294511999999999E-3</v>
      </c>
      <c r="G61">
        <f t="shared" si="7"/>
        <v>12.095578362415999</v>
      </c>
      <c r="H61">
        <f t="shared" si="8"/>
        <v>1.4343336572420999</v>
      </c>
      <c r="I61">
        <f t="shared" si="9"/>
        <v>12.0955200782485</v>
      </c>
      <c r="J61">
        <f t="shared" si="10"/>
        <v>1.4334017871660301</v>
      </c>
      <c r="K61" s="7">
        <f t="shared" si="11"/>
        <v>5.8284167499422799E-5</v>
      </c>
      <c r="L61" s="7">
        <f t="shared" si="12"/>
        <v>9.3187007606987404E-4</v>
      </c>
      <c r="M61" s="7">
        <f t="shared" si="13"/>
        <v>8.1530237867556601E-2</v>
      </c>
      <c r="N61" s="7">
        <f t="shared" si="14"/>
        <v>-9.6618903454666599E-3</v>
      </c>
      <c r="O61">
        <v>-6.7860514999999996E-2</v>
      </c>
      <c r="P61">
        <v>-2.8706472999999999</v>
      </c>
      <c r="Q61">
        <v>-4.1871353999999998</v>
      </c>
      <c r="R61">
        <v>-7.5958417999999996</v>
      </c>
      <c r="S61">
        <f t="shared" si="15"/>
        <v>3.0205863186655288</v>
      </c>
      <c r="T61">
        <f t="shared" si="16"/>
        <v>-27.511143937263078</v>
      </c>
      <c r="U61" s="8"/>
      <c r="V61" s="8"/>
    </row>
    <row r="62" spans="1:22" x14ac:dyDescent="0.35">
      <c r="A62">
        <v>1.75</v>
      </c>
      <c r="B62" s="9">
        <v>16.2</v>
      </c>
      <c r="C62">
        <v>-4.4989352000000003E-2</v>
      </c>
      <c r="D62">
        <v>4.9648970000000002E-3</v>
      </c>
      <c r="E62">
        <v>0.95481857000000003</v>
      </c>
      <c r="F62">
        <v>2.9243229999999999E-3</v>
      </c>
      <c r="G62">
        <f t="shared" si="7"/>
        <v>10.5058664998996</v>
      </c>
      <c r="H62">
        <f t="shared" si="8"/>
        <v>0.96343110532527099</v>
      </c>
      <c r="I62">
        <f t="shared" si="9"/>
        <v>10.5057714929596</v>
      </c>
      <c r="J62">
        <f t="shared" si="10"/>
        <v>0.96241062338485905</v>
      </c>
      <c r="K62" s="7">
        <f t="shared" si="11"/>
        <v>9.5006940000530395E-5</v>
      </c>
      <c r="L62" s="7">
        <f t="shared" si="12"/>
        <v>1.0204819404119299E-3</v>
      </c>
      <c r="M62" s="7">
        <f t="shared" si="13"/>
        <v>9.4393624577425797E-2</v>
      </c>
      <c r="N62" s="7">
        <f t="shared" si="14"/>
        <v>-8.6471923679280593E-3</v>
      </c>
      <c r="O62">
        <v>-3.2620508999999999E-2</v>
      </c>
      <c r="P62">
        <v>-3.0715792999999998</v>
      </c>
      <c r="Q62">
        <v>-4.3694417999999997</v>
      </c>
      <c r="R62">
        <v>-8.1807514999999995</v>
      </c>
      <c r="S62">
        <f t="shared" si="15"/>
        <v>3.0192926424627538</v>
      </c>
      <c r="T62">
        <f t="shared" si="16"/>
        <v>-27.498768630867094</v>
      </c>
      <c r="U62" s="8"/>
      <c r="V62" s="8"/>
    </row>
    <row r="63" spans="1:22" x14ac:dyDescent="0.35">
      <c r="A63">
        <v>1.875</v>
      </c>
      <c r="B63" s="9">
        <v>16.2</v>
      </c>
      <c r="C63">
        <v>-5.1143807999999999E-2</v>
      </c>
      <c r="D63">
        <v>4.3586414E-3</v>
      </c>
      <c r="E63">
        <v>0.94898194000000002</v>
      </c>
      <c r="F63">
        <v>2.1336064999999999E-3</v>
      </c>
      <c r="G63">
        <f t="shared" si="7"/>
        <v>9.2489851971033694</v>
      </c>
      <c r="H63">
        <f t="shared" si="8"/>
        <v>0.62009298800869905</v>
      </c>
      <c r="I63">
        <f t="shared" si="9"/>
        <v>9.2490493046105993</v>
      </c>
      <c r="J63">
        <f t="shared" si="10"/>
        <v>0.61898061181896002</v>
      </c>
      <c r="K63" s="7">
        <f t="shared" si="11"/>
        <v>-6.4107507229849094E-5</v>
      </c>
      <c r="L63" s="7">
        <f t="shared" si="12"/>
        <v>1.11237618973903E-3</v>
      </c>
      <c r="M63" s="7">
        <f t="shared" si="13"/>
        <v>0.107637137123862</v>
      </c>
      <c r="N63" s="7">
        <f t="shared" si="14"/>
        <v>-7.20347560026054E-3</v>
      </c>
      <c r="O63">
        <v>9.3995459000000003E-3</v>
      </c>
      <c r="P63">
        <v>-3.2637410999999998</v>
      </c>
      <c r="Q63">
        <v>-4.5235570999999997</v>
      </c>
      <c r="R63">
        <v>-8.7569382000000004</v>
      </c>
      <c r="S63">
        <f t="shared" si="15"/>
        <v>3.0199249966537858</v>
      </c>
      <c r="T63">
        <f t="shared" si="16"/>
        <v>-27.484455691275087</v>
      </c>
      <c r="U63" s="8"/>
      <c r="V63" s="8"/>
    </row>
    <row r="64" spans="1:22" x14ac:dyDescent="0.35">
      <c r="A64">
        <v>2</v>
      </c>
      <c r="B64" s="9">
        <v>16.2</v>
      </c>
      <c r="C64">
        <v>-5.7582868000000002E-2</v>
      </c>
      <c r="D64">
        <v>3.5573639999999999E-3</v>
      </c>
      <c r="E64">
        <v>0.94254640999999995</v>
      </c>
      <c r="F64">
        <v>1.1786695E-3</v>
      </c>
      <c r="G64">
        <f t="shared" si="7"/>
        <v>8.1781541256936396</v>
      </c>
      <c r="H64">
        <f t="shared" si="8"/>
        <v>0.35787424253455702</v>
      </c>
      <c r="I64">
        <f t="shared" si="9"/>
        <v>8.1782201747863201</v>
      </c>
      <c r="J64">
        <f t="shared" si="10"/>
        <v>0.35668505070803402</v>
      </c>
      <c r="K64" s="7">
        <f t="shared" si="11"/>
        <v>-6.6049092680486906E-5</v>
      </c>
      <c r="L64" s="7">
        <f t="shared" si="12"/>
        <v>1.189191826523E-3</v>
      </c>
      <c r="M64" s="7">
        <f t="shared" si="13"/>
        <v>0.122043844190759</v>
      </c>
      <c r="N64" s="7">
        <f t="shared" si="14"/>
        <v>-5.3228225486019803E-3</v>
      </c>
      <c r="O64">
        <v>5.8003431000000001E-2</v>
      </c>
      <c r="P64">
        <v>-3.4529150999999998</v>
      </c>
      <c r="Q64">
        <v>-4.6523947000000003</v>
      </c>
      <c r="R64">
        <v>-9.3302289999999992</v>
      </c>
      <c r="S64">
        <f t="shared" si="15"/>
        <v>3.0190027504224917</v>
      </c>
      <c r="T64">
        <f t="shared" si="16"/>
        <v>-27.464915141889545</v>
      </c>
      <c r="U64" s="8"/>
      <c r="V64" s="8"/>
    </row>
    <row r="65" spans="1:22" x14ac:dyDescent="0.35">
      <c r="A65">
        <v>1</v>
      </c>
      <c r="B65" s="9">
        <v>16.399999999999999</v>
      </c>
      <c r="C65">
        <v>-1.4154063999999999E-2</v>
      </c>
      <c r="D65">
        <v>8.4505340000000009E-3</v>
      </c>
      <c r="E65">
        <v>0.98566883000000005</v>
      </c>
      <c r="F65">
        <v>7.1670201000000001E-3</v>
      </c>
      <c r="G65">
        <f t="shared" si="7"/>
        <v>26.492166905533001</v>
      </c>
      <c r="H65">
        <f t="shared" si="8"/>
        <v>14.799249340979101</v>
      </c>
      <c r="I65">
        <f t="shared" si="9"/>
        <v>26.492078756651999</v>
      </c>
      <c r="J65">
        <f t="shared" si="10"/>
        <v>14.798607470619499</v>
      </c>
      <c r="K65" s="7">
        <f t="shared" si="11"/>
        <v>8.8148881001615096E-5</v>
      </c>
      <c r="L65" s="7">
        <f t="shared" si="12"/>
        <v>6.41870359601171E-4</v>
      </c>
      <c r="M65" s="7">
        <f t="shared" si="13"/>
        <v>2.8769813052815701E-2</v>
      </c>
      <c r="N65" s="7">
        <f t="shared" si="14"/>
        <v>-1.60709612213734E-2</v>
      </c>
      <c r="O65">
        <v>-0.48714002000000001</v>
      </c>
      <c r="P65">
        <v>-1.6617807</v>
      </c>
      <c r="Q65">
        <v>-3.6416434999999998</v>
      </c>
      <c r="R65">
        <v>-3.7819248999999999</v>
      </c>
      <c r="S65">
        <f t="shared" si="15"/>
        <v>3.0317962277645951</v>
      </c>
      <c r="T65">
        <f t="shared" si="16"/>
        <v>-27.579274116432629</v>
      </c>
      <c r="U65" s="8"/>
      <c r="V65" s="8"/>
    </row>
    <row r="66" spans="1:22" x14ac:dyDescent="0.35">
      <c r="A66">
        <v>1.125</v>
      </c>
      <c r="B66" s="9">
        <v>16.399999999999999</v>
      </c>
      <c r="C66">
        <v>-1.7992682999999999E-2</v>
      </c>
      <c r="D66">
        <v>9.3347978000000009E-3</v>
      </c>
      <c r="E66">
        <v>0.98182024999999995</v>
      </c>
      <c r="F66">
        <v>7.9892833999999999E-3</v>
      </c>
      <c r="G66">
        <f t="shared" si="7"/>
        <v>21.9873876401697</v>
      </c>
      <c r="H66">
        <f t="shared" si="8"/>
        <v>10.7702098173027</v>
      </c>
      <c r="I66">
        <f t="shared" si="9"/>
        <v>21.987294550649398</v>
      </c>
      <c r="J66">
        <f t="shared" si="10"/>
        <v>10.769536934539</v>
      </c>
      <c r="K66" s="7">
        <f t="shared" si="11"/>
        <v>9.3089520301958801E-5</v>
      </c>
      <c r="L66" s="7">
        <f t="shared" si="12"/>
        <v>6.72882763700144E-4</v>
      </c>
      <c r="M66" s="7">
        <f t="shared" si="13"/>
        <v>3.6680701490872901E-2</v>
      </c>
      <c r="N66" s="7">
        <f t="shared" si="14"/>
        <v>-1.7966474619274499E-2</v>
      </c>
      <c r="O66">
        <v>-0.51954809000000002</v>
      </c>
      <c r="P66">
        <v>-1.8727035000000001</v>
      </c>
      <c r="Q66">
        <v>-4.0389480999999998</v>
      </c>
      <c r="R66">
        <v>-4.3251439999999999</v>
      </c>
      <c r="S66">
        <f t="shared" si="15"/>
        <v>3.0450004511486042</v>
      </c>
      <c r="T66">
        <f t="shared" si="16"/>
        <v>-27.534539885888044</v>
      </c>
      <c r="U66" s="8"/>
      <c r="V66" s="8"/>
    </row>
    <row r="67" spans="1:22" x14ac:dyDescent="0.35">
      <c r="A67">
        <v>1.25</v>
      </c>
      <c r="B67" s="9">
        <v>16.399999999999999</v>
      </c>
      <c r="C67">
        <v>-2.2202355999999999E-2</v>
      </c>
      <c r="D67">
        <v>1.0271374999999999E-2</v>
      </c>
      <c r="E67">
        <v>0.97757585000000002</v>
      </c>
      <c r="F67">
        <v>8.8851369999999995E-3</v>
      </c>
      <c r="G67">
        <f t="shared" ref="G67:G130" si="17">IMREAL(IMDIV(IMSUM(IMPRODUCT(COMPLEX(1 + C67,D67),COMPLEX(1 - C67, - D67)),IMPRODUCT(COMPLEX(E67,F67),COMPLEX(E67,F67))),IMSUB(IMPRODUCT(COMPLEX(1 - C67, - D67),COMPLEX(1 - C67, - D67)),IMPRODUCT(COMPLEX(E67,F67),COMPLEX(E67,F67)))))</f>
        <v>18.421642222312801</v>
      </c>
      <c r="H67">
        <f t="shared" ref="H67:H130" si="18">IMAGINARY(IMDIV(IMSUM(IMPRODUCT(COMPLEX(1 + C67,D67),COMPLEX(1 - C67, - D67)),IMPRODUCT(COMPLEX(E67,F67),COMPLEX(E67,F67))),IMSUB(IMPRODUCT(COMPLEX(1 - C67, - D67),COMPLEX(1 - C67, - D67)),IMPRODUCT(COMPLEX(E67,F67),COMPLEX(E67,F67)))))</f>
        <v>8.1226856016867792</v>
      </c>
      <c r="I67">
        <f t="shared" ref="I67:I130" si="19">IMREAL(IMDIV(IMPRODUCT(COMPLEX(2,0),COMPLEX(E67,F67)),IMSUB(IMPRODUCT(COMPLEX(1 - C67, - D67),COMPLEX(1 - C67, - D67)),IMPRODUCT(COMPLEX(E67,F67),COMPLEX(E67,F67)))))</f>
        <v>18.421531793586901</v>
      </c>
      <c r="J67">
        <f t="shared" ref="J67:J130" si="20">IMAGINARY(IMDIV(IMPRODUCT(COMPLEX(2,0),COMPLEX(E67,F67)),IMSUB(IMPRODUCT(COMPLEX(1 - C67, - D67),COMPLEX(1 - C67, - D67)),IMPRODUCT(COMPLEX(E67,F67),COMPLEX(E67,F67)))))</f>
        <v>8.1219923292647191</v>
      </c>
      <c r="K67" s="7">
        <f t="shared" ref="K67:K130" si="21">IMREAL(IMSUB(COMPLEX(G67,H67),COMPLEX(I67,J67)))</f>
        <v>1.1042872590039101E-4</v>
      </c>
      <c r="L67" s="7">
        <f t="shared" ref="L67:L130" si="22">IMAGINARY(IMSUB(COMPLEX(G67,H67),COMPLEX(I67,J67)))</f>
        <v>6.93272422060076E-4</v>
      </c>
      <c r="M67" s="7">
        <f t="shared" ref="M67:M130" si="23">IMREAL(IMDIV(IMSUB(IMPRODUCT(COMPLEX(1 - C67, - D67),COMPLEX(1 - C67, - D67)),IMPRODUCT(COMPLEX(E67,F67),COMPLEX(E67,F67))),IMPRODUCT(COMPLEX(2,0),COMPLEX(E67,F67))))</f>
        <v>4.5449398723574397E-2</v>
      </c>
      <c r="N67" s="7">
        <f t="shared" ref="N67:N130" si="24">IMAGINARY(IMDIV(IMSUB(IMPRODUCT(COMPLEX(1 - C67, - D67),COMPLEX(1 - C67, - D67)),IMPRODUCT(COMPLEX(E67,F67),COMPLEX(E67,F67))),IMPRODUCT(COMPLEX(2,0),COMPLEX(E67,F67))))</f>
        <v>-2.00384893036459E-2</v>
      </c>
      <c r="O67">
        <v>-0.55325937000000003</v>
      </c>
      <c r="P67">
        <v>-2.0866213999999998</v>
      </c>
      <c r="Q67">
        <v>-4.4285113000000003</v>
      </c>
      <c r="R67">
        <v>-4.8469258000000002</v>
      </c>
      <c r="S67">
        <f t="shared" ref="S67:S130" si="25">IMABS(COMPLEX(Q67,R67))/IMABS(COMPLEX(O67,P67))</f>
        <v>3.0413324987214905</v>
      </c>
      <c r="T67">
        <f t="shared" ref="T67:T130" si="26">IMARGUMENT(IMDIV(COMPLEX(Q67,R67),COMPLEX(O67/B67,P67/B67)))/PI()*180</f>
        <v>-27.567096882759177</v>
      </c>
      <c r="U67" s="8"/>
      <c r="V67" s="8"/>
    </row>
    <row r="68" spans="1:22" x14ac:dyDescent="0.35">
      <c r="A68">
        <v>1.375</v>
      </c>
      <c r="B68" s="9">
        <v>16.399999999999999</v>
      </c>
      <c r="C68">
        <v>-2.6817901000000002E-2</v>
      </c>
      <c r="D68">
        <v>1.1198072E-2</v>
      </c>
      <c r="E68">
        <v>0.97294345999999998</v>
      </c>
      <c r="F68">
        <v>9.7624329999999992E-3</v>
      </c>
      <c r="G68">
        <f t="shared" si="17"/>
        <v>15.6214522562117</v>
      </c>
      <c r="H68">
        <f t="shared" si="18"/>
        <v>6.27258250429459</v>
      </c>
      <c r="I68">
        <f t="shared" si="19"/>
        <v>15.621333437922001</v>
      </c>
      <c r="J68">
        <f t="shared" si="20"/>
        <v>6.2718645138342497</v>
      </c>
      <c r="K68" s="7">
        <f t="shared" si="21"/>
        <v>1.18818289699618E-4</v>
      </c>
      <c r="L68" s="7">
        <f t="shared" si="22"/>
        <v>7.1799046034026802E-4</v>
      </c>
      <c r="M68" s="7">
        <f t="shared" si="23"/>
        <v>5.51284736014317E-2</v>
      </c>
      <c r="N68" s="7">
        <f t="shared" si="24"/>
        <v>-2.2133726205684399E-2</v>
      </c>
      <c r="O68">
        <v>-0.58078110000000005</v>
      </c>
      <c r="P68">
        <v>-2.2977083</v>
      </c>
      <c r="Q68">
        <v>-4.7974205999999997</v>
      </c>
      <c r="R68">
        <v>-5.3735676999999997</v>
      </c>
      <c r="S68">
        <f t="shared" si="25"/>
        <v>3.0394884342031947</v>
      </c>
      <c r="T68">
        <f t="shared" si="26"/>
        <v>-27.572610535929883</v>
      </c>
      <c r="U68" s="8"/>
      <c r="V68" s="8"/>
    </row>
    <row r="69" spans="1:22" x14ac:dyDescent="0.35">
      <c r="A69">
        <v>1.5</v>
      </c>
      <c r="B69" s="9">
        <v>16.399999999999999</v>
      </c>
      <c r="C69">
        <v>-3.1846645999999999E-2</v>
      </c>
      <c r="D69">
        <v>1.2090649E-2</v>
      </c>
      <c r="E69">
        <v>0.96816217999999998</v>
      </c>
      <c r="F69">
        <v>1.0553507E-2</v>
      </c>
      <c r="G69">
        <f t="shared" si="17"/>
        <v>13.439999247421699</v>
      </c>
      <c r="H69">
        <f t="shared" si="18"/>
        <v>4.9570023408358903</v>
      </c>
      <c r="I69">
        <f t="shared" si="19"/>
        <v>13.4400042510955</v>
      </c>
      <c r="J69">
        <f t="shared" si="20"/>
        <v>4.9562337770732601</v>
      </c>
      <c r="K69" s="7">
        <f t="shared" si="21"/>
        <v>-5.0036738006298299E-6</v>
      </c>
      <c r="L69" s="7">
        <f t="shared" si="22"/>
        <v>7.6856376263023695E-4</v>
      </c>
      <c r="M69" s="7">
        <f t="shared" si="23"/>
        <v>6.5497745486314193E-2</v>
      </c>
      <c r="N69" s="7">
        <f t="shared" si="24"/>
        <v>-2.4153425284442E-2</v>
      </c>
      <c r="O69">
        <v>-0.60231071999999997</v>
      </c>
      <c r="P69">
        <v>-2.5069355999999998</v>
      </c>
      <c r="Q69">
        <v>-5.1480081999999996</v>
      </c>
      <c r="R69">
        <v>-5.9074282</v>
      </c>
      <c r="S69">
        <f t="shared" si="25"/>
        <v>3.0391616338015006</v>
      </c>
      <c r="T69">
        <f t="shared" si="26"/>
        <v>-27.560715023217849</v>
      </c>
      <c r="U69" s="8"/>
      <c r="V69" s="8"/>
    </row>
    <row r="70" spans="1:22" x14ac:dyDescent="0.35">
      <c r="A70">
        <v>1.625</v>
      </c>
      <c r="B70" s="9">
        <v>16.399999999999999</v>
      </c>
      <c r="C70">
        <v>-3.7270233E-2</v>
      </c>
      <c r="D70">
        <v>1.2922716000000001E-2</v>
      </c>
      <c r="E70">
        <v>0.96280588</v>
      </c>
      <c r="F70">
        <v>1.1103154E-2</v>
      </c>
      <c r="G70">
        <f t="shared" si="17"/>
        <v>11.663021348375599</v>
      </c>
      <c r="H70">
        <f t="shared" si="18"/>
        <v>3.9248512283298198</v>
      </c>
      <c r="I70">
        <f t="shared" si="19"/>
        <v>11.6630602310337</v>
      </c>
      <c r="J70">
        <f t="shared" si="20"/>
        <v>3.9239415173249399</v>
      </c>
      <c r="K70" s="7">
        <f t="shared" si="21"/>
        <v>-3.8882658101258003E-5</v>
      </c>
      <c r="L70" s="7">
        <f t="shared" si="22"/>
        <v>9.0971100487990996E-4</v>
      </c>
      <c r="M70" s="7">
        <f t="shared" si="23"/>
        <v>7.7022386271287893E-2</v>
      </c>
      <c r="N70" s="7">
        <f t="shared" si="24"/>
        <v>-2.5913553841482501E-2</v>
      </c>
      <c r="O70">
        <v>-0.61659991999999997</v>
      </c>
      <c r="P70">
        <v>-2.7123594999999998</v>
      </c>
      <c r="Q70">
        <v>-5.4752782</v>
      </c>
      <c r="R70">
        <v>-6.4434725999999998</v>
      </c>
      <c r="S70">
        <f t="shared" si="25"/>
        <v>3.0398708351321155</v>
      </c>
      <c r="T70">
        <f t="shared" si="26"/>
        <v>-27.548525331006267</v>
      </c>
      <c r="U70" s="8"/>
      <c r="V70" s="8"/>
    </row>
    <row r="71" spans="1:22" x14ac:dyDescent="0.35">
      <c r="A71">
        <v>1.75</v>
      </c>
      <c r="B71" s="9">
        <v>16.399999999999999</v>
      </c>
      <c r="C71">
        <v>-4.3087652999999997E-2</v>
      </c>
      <c r="D71">
        <v>1.3654552E-2</v>
      </c>
      <c r="E71">
        <v>0.95704876999999999</v>
      </c>
      <c r="F71">
        <v>1.1562624000000001E-2</v>
      </c>
      <c r="G71">
        <f t="shared" si="17"/>
        <v>10.2031888879263</v>
      </c>
      <c r="H71">
        <f t="shared" si="18"/>
        <v>3.1375356457325698</v>
      </c>
      <c r="I71">
        <f t="shared" si="19"/>
        <v>10.2032581885894</v>
      </c>
      <c r="J71">
        <f t="shared" si="20"/>
        <v>3.1364898255555298</v>
      </c>
      <c r="K71" s="7">
        <f t="shared" si="21"/>
        <v>-6.9300663099625099E-5</v>
      </c>
      <c r="L71" s="7">
        <f t="shared" si="22"/>
        <v>1.0458201770400201E-3</v>
      </c>
      <c r="M71" s="7">
        <f t="shared" si="23"/>
        <v>8.9546216224715994E-2</v>
      </c>
      <c r="N71" s="7">
        <f t="shared" si="24"/>
        <v>-2.7526579345008802E-2</v>
      </c>
      <c r="O71">
        <v>-0.62292755</v>
      </c>
      <c r="P71">
        <v>-2.9164137999999999</v>
      </c>
      <c r="Q71">
        <v>-5.7748439999999999</v>
      </c>
      <c r="R71">
        <v>-6.9832369999999999</v>
      </c>
      <c r="S71">
        <f t="shared" si="25"/>
        <v>3.038597429801015</v>
      </c>
      <c r="T71">
        <f t="shared" si="26"/>
        <v>-27.532478912438457</v>
      </c>
      <c r="U71" s="8"/>
      <c r="V71" s="8"/>
    </row>
    <row r="72" spans="1:22" x14ac:dyDescent="0.35">
      <c r="A72">
        <v>1.875</v>
      </c>
      <c r="B72" s="9">
        <v>16.399999999999999</v>
      </c>
      <c r="C72">
        <v>-4.9267404000000001E-2</v>
      </c>
      <c r="D72">
        <v>1.4263557E-2</v>
      </c>
      <c r="E72">
        <v>0.95086342000000001</v>
      </c>
      <c r="F72">
        <v>1.2009931E-2</v>
      </c>
      <c r="G72">
        <f t="shared" si="17"/>
        <v>8.9859312538918594</v>
      </c>
      <c r="H72">
        <f t="shared" si="18"/>
        <v>2.5332796587834001</v>
      </c>
      <c r="I72">
        <f t="shared" si="19"/>
        <v>8.98599793107023</v>
      </c>
      <c r="J72">
        <f t="shared" si="20"/>
        <v>2.53215299461348</v>
      </c>
      <c r="K72" s="7">
        <f t="shared" si="21"/>
        <v>-6.6677178370611005E-5</v>
      </c>
      <c r="L72" s="7">
        <f t="shared" si="22"/>
        <v>1.1266641699201299E-3</v>
      </c>
      <c r="M72" s="7">
        <f t="shared" si="23"/>
        <v>0.103097777671715</v>
      </c>
      <c r="N72" s="7">
        <f t="shared" si="24"/>
        <v>-2.9051792407694801E-2</v>
      </c>
      <c r="O72">
        <v>-0.61936802000000002</v>
      </c>
      <c r="P72">
        <v>-3.1176903999999999</v>
      </c>
      <c r="Q72">
        <v>-6.0463050000000003</v>
      </c>
      <c r="R72">
        <v>-7.5334747999999996</v>
      </c>
      <c r="S72">
        <f t="shared" si="25"/>
        <v>3.0389827840071648</v>
      </c>
      <c r="T72">
        <f t="shared" si="26"/>
        <v>-27.514016431863677</v>
      </c>
      <c r="U72" s="8"/>
      <c r="V72" s="8"/>
    </row>
    <row r="73" spans="1:22" x14ac:dyDescent="0.35">
      <c r="A73">
        <v>2</v>
      </c>
      <c r="B73" s="9">
        <v>16.399999999999999</v>
      </c>
      <c r="C73">
        <v>-5.5798049000000002E-2</v>
      </c>
      <c r="D73">
        <v>1.4730168E-2</v>
      </c>
      <c r="E73">
        <v>0.94433688999999998</v>
      </c>
      <c r="F73">
        <v>1.2307772999999999E-2</v>
      </c>
      <c r="G73">
        <f t="shared" si="17"/>
        <v>7.9731093939218898</v>
      </c>
      <c r="H73">
        <f t="shared" si="18"/>
        <v>2.0559974196601898</v>
      </c>
      <c r="I73">
        <f t="shared" si="19"/>
        <v>7.9731783255704203</v>
      </c>
      <c r="J73">
        <f t="shared" si="20"/>
        <v>2.0547863873577801</v>
      </c>
      <c r="K73" s="7">
        <f t="shared" si="21"/>
        <v>-6.8931648530501404E-5</v>
      </c>
      <c r="L73" s="7">
        <f t="shared" si="22"/>
        <v>1.21103230240971E-3</v>
      </c>
      <c r="M73" s="7">
        <f t="shared" si="23"/>
        <v>0.11760939449543099</v>
      </c>
      <c r="N73" s="7">
        <f t="shared" si="24"/>
        <v>-3.0309391432972E-2</v>
      </c>
      <c r="O73">
        <v>-0.60823298999999997</v>
      </c>
      <c r="P73">
        <v>-3.3175688000000001</v>
      </c>
      <c r="Q73">
        <v>-6.2921946000000002</v>
      </c>
      <c r="R73">
        <v>-8.0875324000000006</v>
      </c>
      <c r="S73">
        <f t="shared" si="25"/>
        <v>3.0380549609415084</v>
      </c>
      <c r="T73">
        <f t="shared" si="26"/>
        <v>-27.494273586472001</v>
      </c>
      <c r="U73" s="8"/>
      <c r="V73" s="8"/>
    </row>
    <row r="74" spans="1:22" x14ac:dyDescent="0.35">
      <c r="A74">
        <v>1</v>
      </c>
      <c r="B74" s="9">
        <v>16.600000000000001</v>
      </c>
      <c r="C74">
        <v>-1.2422345E-2</v>
      </c>
      <c r="D74">
        <v>1.0336061000000001E-2</v>
      </c>
      <c r="E74">
        <v>0.98749827000000001</v>
      </c>
      <c r="F74">
        <v>9.1479743999999998E-3</v>
      </c>
      <c r="G74">
        <f t="shared" si="17"/>
        <v>24.4032469320268</v>
      </c>
      <c r="H74">
        <f t="shared" si="18"/>
        <v>19.4680350268338</v>
      </c>
      <c r="I74">
        <f t="shared" si="19"/>
        <v>24.403207590880601</v>
      </c>
      <c r="J74">
        <f t="shared" si="20"/>
        <v>19.467440936582499</v>
      </c>
      <c r="K74" s="7">
        <f t="shared" si="21"/>
        <v>3.9341146198523802E-5</v>
      </c>
      <c r="L74" s="7">
        <f t="shared" si="22"/>
        <v>5.9409025130108305E-4</v>
      </c>
      <c r="M74" s="7">
        <f t="shared" si="23"/>
        <v>2.5041829399120499E-2</v>
      </c>
      <c r="N74" s="7">
        <f t="shared" si="24"/>
        <v>-1.99768957812551E-2</v>
      </c>
      <c r="O74">
        <v>-0.70987718</v>
      </c>
      <c r="P74">
        <v>-1.4450848000000001</v>
      </c>
      <c r="Q74">
        <v>-3.9594027999999999</v>
      </c>
      <c r="R74">
        <v>-2.9031015999999998</v>
      </c>
      <c r="S74">
        <f t="shared" si="25"/>
        <v>3.0494288139810677</v>
      </c>
      <c r="T74">
        <f t="shared" si="26"/>
        <v>-27.588578871305575</v>
      </c>
      <c r="U74" s="8"/>
      <c r="V74" s="8"/>
    </row>
    <row r="75" spans="1:22" x14ac:dyDescent="0.35">
      <c r="A75">
        <v>1.125</v>
      </c>
      <c r="B75" s="9">
        <v>16.600000000000001</v>
      </c>
      <c r="C75">
        <v>-1.5851705000000001E-2</v>
      </c>
      <c r="D75">
        <v>1.1811979E-2</v>
      </c>
      <c r="E75">
        <v>0.98403384000000005</v>
      </c>
      <c r="F75">
        <v>1.0559860000000001E-2</v>
      </c>
      <c r="G75">
        <f t="shared" si="17"/>
        <v>20.5314090662994</v>
      </c>
      <c r="H75">
        <f t="shared" si="18"/>
        <v>14.7879382496315</v>
      </c>
      <c r="I75">
        <f t="shared" si="19"/>
        <v>20.531352227541898</v>
      </c>
      <c r="J75">
        <f t="shared" si="20"/>
        <v>14.787312118715199</v>
      </c>
      <c r="K75" s="7">
        <f t="shared" si="21"/>
        <v>5.6838757501509503E-5</v>
      </c>
      <c r="L75" s="7">
        <f t="shared" si="22"/>
        <v>6.2613091630048202E-4</v>
      </c>
      <c r="M75" s="7">
        <f t="shared" si="23"/>
        <v>3.2070164617444698E-2</v>
      </c>
      <c r="N75" s="7">
        <f t="shared" si="24"/>
        <v>-2.3097920129224202E-2</v>
      </c>
      <c r="O75">
        <v>-0.77723907999999997</v>
      </c>
      <c r="P75">
        <v>-1.6357079000000001</v>
      </c>
      <c r="Q75">
        <v>-4.4270484999999997</v>
      </c>
      <c r="R75">
        <v>-3.3396229000000002</v>
      </c>
      <c r="S75">
        <f t="shared" si="25"/>
        <v>3.06212137856236</v>
      </c>
      <c r="T75">
        <f t="shared" si="26"/>
        <v>-27.554615335517287</v>
      </c>
      <c r="U75" s="8"/>
      <c r="V75" s="8"/>
    </row>
    <row r="76" spans="1:22" x14ac:dyDescent="0.35">
      <c r="A76">
        <v>1.25</v>
      </c>
      <c r="B76" s="9">
        <v>16.600000000000001</v>
      </c>
      <c r="C76">
        <v>-1.9626679000000001E-2</v>
      </c>
      <c r="D76">
        <v>1.3388982000000001E-2</v>
      </c>
      <c r="E76">
        <v>0.98021871000000005</v>
      </c>
      <c r="F76">
        <v>1.2069121E-2</v>
      </c>
      <c r="G76">
        <f t="shared" si="17"/>
        <v>17.4037751007134</v>
      </c>
      <c r="H76">
        <f t="shared" si="18"/>
        <v>11.5663960584038</v>
      </c>
      <c r="I76">
        <f t="shared" si="19"/>
        <v>17.403698224845801</v>
      </c>
      <c r="J76">
        <f t="shared" si="20"/>
        <v>11.565736026146901</v>
      </c>
      <c r="K76" s="7">
        <f t="shared" si="21"/>
        <v>7.6875867598857894E-5</v>
      </c>
      <c r="L76" s="7">
        <f t="shared" si="22"/>
        <v>6.6003225689925703E-4</v>
      </c>
      <c r="M76" s="7">
        <f t="shared" si="23"/>
        <v>3.9856865832859398E-2</v>
      </c>
      <c r="N76" s="7">
        <f t="shared" si="24"/>
        <v>-2.6487128373342599E-2</v>
      </c>
      <c r="O76">
        <v>-0.84455837</v>
      </c>
      <c r="P76">
        <v>-1.8285855</v>
      </c>
      <c r="Q76">
        <v>-4.8817240000000002</v>
      </c>
      <c r="R76">
        <v>-3.7616539000000002</v>
      </c>
      <c r="S76">
        <f t="shared" si="25"/>
        <v>3.0597224380155508</v>
      </c>
      <c r="T76">
        <f t="shared" si="26"/>
        <v>-27.593115942178525</v>
      </c>
      <c r="U76" s="8"/>
      <c r="V76" s="8"/>
    </row>
    <row r="77" spans="1:22" x14ac:dyDescent="0.35">
      <c r="A77">
        <v>1.375</v>
      </c>
      <c r="B77" s="9">
        <v>16.600000000000001</v>
      </c>
      <c r="C77">
        <v>-2.3797044E-2</v>
      </c>
      <c r="D77">
        <v>1.5032416E-2</v>
      </c>
      <c r="E77">
        <v>0.97602383999999998</v>
      </c>
      <c r="F77">
        <v>1.3621641E-2</v>
      </c>
      <c r="G77">
        <f t="shared" si="17"/>
        <v>14.8941993218964</v>
      </c>
      <c r="H77">
        <f t="shared" si="18"/>
        <v>9.2336666612343201</v>
      </c>
      <c r="I77">
        <f t="shared" si="19"/>
        <v>14.894110253579999</v>
      </c>
      <c r="J77">
        <f t="shared" si="20"/>
        <v>9.2329611477222695</v>
      </c>
      <c r="K77" s="7">
        <f t="shared" si="21"/>
        <v>8.9068316400542398E-5</v>
      </c>
      <c r="L77" s="7">
        <f t="shared" si="22"/>
        <v>7.0551351205061497E-4</v>
      </c>
      <c r="M77" s="7">
        <f t="shared" si="23"/>
        <v>4.8502047664911799E-2</v>
      </c>
      <c r="N77" s="7">
        <f t="shared" si="24"/>
        <v>-3.0066752162484101E-2</v>
      </c>
      <c r="O77">
        <v>-0.90643700000000005</v>
      </c>
      <c r="P77">
        <v>-2.0210251000000001</v>
      </c>
      <c r="Q77">
        <v>-5.3205042999999996</v>
      </c>
      <c r="R77">
        <v>-4.1931149000000003</v>
      </c>
      <c r="S77">
        <f t="shared" si="25"/>
        <v>3.0583529898843063</v>
      </c>
      <c r="T77">
        <f t="shared" si="26"/>
        <v>-27.601781054250072</v>
      </c>
      <c r="U77" s="8"/>
      <c r="V77" s="8"/>
    </row>
    <row r="78" spans="1:22" x14ac:dyDescent="0.35">
      <c r="A78">
        <v>1.5</v>
      </c>
      <c r="B78" s="9">
        <v>16.600000000000001</v>
      </c>
      <c r="C78">
        <v>-2.8377792999999998E-2</v>
      </c>
      <c r="D78">
        <v>1.6724003000000001E-2</v>
      </c>
      <c r="E78">
        <v>0.97143415</v>
      </c>
      <c r="F78">
        <v>1.5192216999999999E-2</v>
      </c>
      <c r="G78">
        <f t="shared" si="17"/>
        <v>12.863260827617999</v>
      </c>
      <c r="H78">
        <f t="shared" si="18"/>
        <v>7.4903021510990797</v>
      </c>
      <c r="I78">
        <f t="shared" si="19"/>
        <v>12.863167377033101</v>
      </c>
      <c r="J78">
        <f t="shared" si="20"/>
        <v>7.4895361144966603</v>
      </c>
      <c r="K78" s="7">
        <f t="shared" si="21"/>
        <v>9.34505848988465E-5</v>
      </c>
      <c r="L78" s="7">
        <f t="shared" si="22"/>
        <v>7.66036602419362E-4</v>
      </c>
      <c r="M78" s="7">
        <f t="shared" si="23"/>
        <v>5.8058776845842201E-2</v>
      </c>
      <c r="N78" s="7">
        <f t="shared" si="24"/>
        <v>-3.3804528325334801E-2</v>
      </c>
      <c r="O78">
        <v>-0.96239205999999999</v>
      </c>
      <c r="P78">
        <v>-2.2140810000000002</v>
      </c>
      <c r="Q78">
        <v>-5.7439650999999996</v>
      </c>
      <c r="R78">
        <v>-4.6369357999999998</v>
      </c>
      <c r="S78">
        <f t="shared" si="25"/>
        <v>3.0577547141743371</v>
      </c>
      <c r="T78">
        <f t="shared" si="26"/>
        <v>-27.59398800074187</v>
      </c>
      <c r="U78" s="8"/>
      <c r="V78" s="8"/>
    </row>
    <row r="79" spans="1:22" x14ac:dyDescent="0.35">
      <c r="A79">
        <v>1.625</v>
      </c>
      <c r="B79" s="9">
        <v>16.600000000000001</v>
      </c>
      <c r="C79">
        <v>-3.3359290999999999E-2</v>
      </c>
      <c r="D79">
        <v>1.8436613000000001E-2</v>
      </c>
      <c r="E79">
        <v>0.96645627000000001</v>
      </c>
      <c r="F79">
        <v>1.6745341E-2</v>
      </c>
      <c r="G79">
        <f t="shared" si="17"/>
        <v>11.209102268934499</v>
      </c>
      <c r="H79">
        <f t="shared" si="18"/>
        <v>6.15780534945368</v>
      </c>
      <c r="I79">
        <f t="shared" si="19"/>
        <v>11.209010756226901</v>
      </c>
      <c r="J79">
        <f t="shared" si="20"/>
        <v>6.1569595580687704</v>
      </c>
      <c r="K79" s="7">
        <f t="shared" si="21"/>
        <v>9.1512707598440102E-5</v>
      </c>
      <c r="L79" s="7">
        <f t="shared" si="22"/>
        <v>8.4579138490958904E-4</v>
      </c>
      <c r="M79" s="7">
        <f t="shared" si="23"/>
        <v>6.8535651140419804E-2</v>
      </c>
      <c r="N79" s="7">
        <f t="shared" si="24"/>
        <v>-3.7645715713410202E-2</v>
      </c>
      <c r="O79">
        <v>-1.0115453000000001</v>
      </c>
      <c r="P79">
        <v>-2.4068851000000002</v>
      </c>
      <c r="Q79">
        <v>-6.1497820000000001</v>
      </c>
      <c r="R79">
        <v>-5.0920315</v>
      </c>
      <c r="S79">
        <f t="shared" si="25"/>
        <v>3.0581610962245067</v>
      </c>
      <c r="T79">
        <f t="shared" si="26"/>
        <v>-27.57954757121491</v>
      </c>
      <c r="U79" s="8"/>
      <c r="V79" s="8"/>
    </row>
    <row r="80" spans="1:22" x14ac:dyDescent="0.35">
      <c r="A80">
        <v>1.75</v>
      </c>
      <c r="B80" s="9">
        <v>16.600000000000001</v>
      </c>
      <c r="C80">
        <v>-3.8753326999999997E-2</v>
      </c>
      <c r="D80">
        <v>2.0133013000000002E-2</v>
      </c>
      <c r="E80">
        <v>0.96135199000000005</v>
      </c>
      <c r="F80">
        <v>1.8149670999999999E-2</v>
      </c>
      <c r="G80">
        <f t="shared" si="17"/>
        <v>9.8803147113832797</v>
      </c>
      <c r="H80">
        <f t="shared" si="18"/>
        <v>5.1346103865088404</v>
      </c>
      <c r="I80">
        <f t="shared" si="19"/>
        <v>9.8803683503655808</v>
      </c>
      <c r="J80">
        <f t="shared" si="20"/>
        <v>5.1336188209154301</v>
      </c>
      <c r="K80" s="7">
        <f t="shared" si="21"/>
        <v>-5.36389823011518E-5</v>
      </c>
      <c r="L80" s="7">
        <f t="shared" si="22"/>
        <v>9.9156559341029293E-4</v>
      </c>
      <c r="M80" s="7">
        <f t="shared" si="23"/>
        <v>7.9695994309704393E-2</v>
      </c>
      <c r="N80" s="7">
        <f t="shared" si="24"/>
        <v>-4.14082594729102E-2</v>
      </c>
      <c r="O80">
        <v>-1.0542756</v>
      </c>
      <c r="P80">
        <v>-2.6010257999999999</v>
      </c>
      <c r="Q80">
        <v>-6.5365764999999998</v>
      </c>
      <c r="R80">
        <v>-5.5585323999999998</v>
      </c>
      <c r="S80">
        <f t="shared" si="25"/>
        <v>3.05727316746031</v>
      </c>
      <c r="T80">
        <f t="shared" si="26"/>
        <v>-27.55881383696266</v>
      </c>
      <c r="U80" s="8"/>
      <c r="V80" s="8"/>
    </row>
    <row r="81" spans="1:22" x14ac:dyDescent="0.35">
      <c r="A81">
        <v>1.875</v>
      </c>
      <c r="B81" s="9">
        <v>16.600000000000001</v>
      </c>
      <c r="C81">
        <v>-4.4542318999999997E-2</v>
      </c>
      <c r="D81">
        <v>2.1788054000000001E-2</v>
      </c>
      <c r="E81">
        <v>0.95556838</v>
      </c>
      <c r="F81">
        <v>1.9590890999999999E-2</v>
      </c>
      <c r="G81">
        <f t="shared" si="17"/>
        <v>8.7405813530808292</v>
      </c>
      <c r="H81">
        <f t="shared" si="18"/>
        <v>4.2980624329144002</v>
      </c>
      <c r="I81">
        <f t="shared" si="19"/>
        <v>8.7406379061969108</v>
      </c>
      <c r="J81">
        <f t="shared" si="20"/>
        <v>4.2969639743417396</v>
      </c>
      <c r="K81" s="7">
        <f t="shared" si="21"/>
        <v>-5.6553116081659E-5</v>
      </c>
      <c r="L81" s="7">
        <f t="shared" si="22"/>
        <v>1.0984585726605499E-3</v>
      </c>
      <c r="M81" s="7">
        <f t="shared" si="23"/>
        <v>9.2139929350160105E-2</v>
      </c>
      <c r="N81" s="7">
        <f t="shared" si="24"/>
        <v>-4.5296689013433603E-2</v>
      </c>
      <c r="O81">
        <v>-1.0879705</v>
      </c>
      <c r="P81">
        <v>-2.7954634999999999</v>
      </c>
      <c r="Q81">
        <v>-6.9012064999999998</v>
      </c>
      <c r="R81">
        <v>-6.0401962999999999</v>
      </c>
      <c r="S81">
        <f t="shared" si="25"/>
        <v>3.0573508969552607</v>
      </c>
      <c r="T81">
        <f t="shared" si="26"/>
        <v>-27.540799036667956</v>
      </c>
      <c r="U81" s="8"/>
      <c r="V81" s="8"/>
    </row>
    <row r="82" spans="1:22" x14ac:dyDescent="0.35">
      <c r="A82">
        <v>2</v>
      </c>
      <c r="B82" s="9">
        <v>16.600000000000001</v>
      </c>
      <c r="C82">
        <v>-5.0720594000000001E-2</v>
      </c>
      <c r="D82">
        <v>2.3377920999999999E-2</v>
      </c>
      <c r="E82">
        <v>0.94939954999999998</v>
      </c>
      <c r="F82">
        <v>2.0966236999999999E-2</v>
      </c>
      <c r="G82">
        <f t="shared" si="17"/>
        <v>7.7830035864619402</v>
      </c>
      <c r="H82">
        <f t="shared" si="18"/>
        <v>3.6257548331709102</v>
      </c>
      <c r="I82">
        <f t="shared" si="19"/>
        <v>7.7830651086443199</v>
      </c>
      <c r="J82">
        <f t="shared" si="20"/>
        <v>3.6245491377854799</v>
      </c>
      <c r="K82" s="7">
        <f t="shared" si="21"/>
        <v>-6.1522182379647502E-5</v>
      </c>
      <c r="L82" s="7">
        <f t="shared" si="22"/>
        <v>1.2056953854302499E-3</v>
      </c>
      <c r="M82" s="7">
        <f t="shared" si="23"/>
        <v>0.105585400832037</v>
      </c>
      <c r="N82" s="7">
        <f t="shared" si="24"/>
        <v>-4.9170791739034297E-2</v>
      </c>
      <c r="O82">
        <v>-1.1141703000000001</v>
      </c>
      <c r="P82">
        <v>-2.9904120999999999</v>
      </c>
      <c r="Q82">
        <v>-7.2443786000000001</v>
      </c>
      <c r="R82">
        <v>-6.5329502000000002</v>
      </c>
      <c r="S82">
        <f t="shared" si="25"/>
        <v>3.0568234042586973</v>
      </c>
      <c r="T82">
        <f t="shared" si="26"/>
        <v>-27.521561501129241</v>
      </c>
      <c r="U82" s="8"/>
      <c r="V82" s="8"/>
    </row>
    <row r="83" spans="1:22" x14ac:dyDescent="0.35">
      <c r="A83">
        <v>1</v>
      </c>
      <c r="B83" s="9">
        <v>16.8</v>
      </c>
      <c r="C83">
        <v>-1.0570319999999999E-2</v>
      </c>
      <c r="D83">
        <v>1.1354978E-2</v>
      </c>
      <c r="E83">
        <v>0.9894326</v>
      </c>
      <c r="F83">
        <v>1.0262265E-2</v>
      </c>
      <c r="G83">
        <f t="shared" si="17"/>
        <v>22.623864911983102</v>
      </c>
      <c r="H83">
        <f t="shared" si="18"/>
        <v>23.648718984606301</v>
      </c>
      <c r="I83">
        <f t="shared" si="19"/>
        <v>22.623866670485</v>
      </c>
      <c r="J83">
        <f t="shared" si="20"/>
        <v>23.6481726298647</v>
      </c>
      <c r="K83" s="7">
        <f t="shared" si="21"/>
        <v>-1.7585018987631399E-6</v>
      </c>
      <c r="L83" s="7">
        <f t="shared" si="22"/>
        <v>5.4635474160136298E-4</v>
      </c>
      <c r="M83" s="7">
        <f t="shared" si="23"/>
        <v>2.1122571221466602E-2</v>
      </c>
      <c r="N83" s="7">
        <f t="shared" si="24"/>
        <v>-2.2078905339532998E-2</v>
      </c>
      <c r="O83">
        <v>-0.82950376999999997</v>
      </c>
      <c r="P83">
        <v>-1.2180107</v>
      </c>
      <c r="Q83">
        <v>-3.9855958999999999</v>
      </c>
      <c r="R83">
        <v>-2.1327715999999999</v>
      </c>
      <c r="S83">
        <f t="shared" si="25"/>
        <v>3.0674735052404789</v>
      </c>
      <c r="T83">
        <f t="shared" si="26"/>
        <v>-27.591779006470006</v>
      </c>
      <c r="U83" s="8"/>
      <c r="V83" s="8"/>
    </row>
    <row r="84" spans="1:22" x14ac:dyDescent="0.35">
      <c r="A84">
        <v>1.125</v>
      </c>
      <c r="B84" s="9">
        <v>16.8</v>
      </c>
      <c r="C84">
        <v>-1.3542099E-2</v>
      </c>
      <c r="D84">
        <v>1.3189121999999999E-2</v>
      </c>
      <c r="E84">
        <v>0.98640596000000003</v>
      </c>
      <c r="F84">
        <v>1.2019917E-2</v>
      </c>
      <c r="G84">
        <f t="shared" si="17"/>
        <v>19.280476204483499</v>
      </c>
      <c r="H84">
        <f t="shared" si="18"/>
        <v>18.3760263524584</v>
      </c>
      <c r="I84">
        <f t="shared" si="19"/>
        <v>19.2804505750956</v>
      </c>
      <c r="J84">
        <f t="shared" si="20"/>
        <v>18.3754417197922</v>
      </c>
      <c r="K84" s="7">
        <f t="shared" si="21"/>
        <v>2.5629387899073201E-5</v>
      </c>
      <c r="L84" s="7">
        <f t="shared" si="22"/>
        <v>5.8463266620023503E-4</v>
      </c>
      <c r="M84" s="7">
        <f t="shared" si="23"/>
        <v>2.7178814219767401E-2</v>
      </c>
      <c r="N84" s="7">
        <f t="shared" si="24"/>
        <v>-2.5903062522485601E-2</v>
      </c>
      <c r="O84">
        <v>-0.91801847999999997</v>
      </c>
      <c r="P84">
        <v>-1.3849374999999999</v>
      </c>
      <c r="Q84">
        <v>-4.4801006000000001</v>
      </c>
      <c r="R84">
        <v>-2.4721674999999999</v>
      </c>
      <c r="S84">
        <f t="shared" si="25"/>
        <v>3.0795746864291842</v>
      </c>
      <c r="T84">
        <f t="shared" si="26"/>
        <v>-27.570844156443943</v>
      </c>
      <c r="U84" s="8"/>
      <c r="V84" s="8"/>
    </row>
    <row r="85" spans="1:22" x14ac:dyDescent="0.35">
      <c r="A85">
        <v>1.25</v>
      </c>
      <c r="B85" s="9">
        <v>16.8</v>
      </c>
      <c r="C85">
        <v>-1.6812726E-2</v>
      </c>
      <c r="D85">
        <v>1.5158728999999999E-2</v>
      </c>
      <c r="E85">
        <v>0.98309089000000005</v>
      </c>
      <c r="F85">
        <v>1.3904587E-2</v>
      </c>
      <c r="G85">
        <f t="shared" si="17"/>
        <v>16.515454258203</v>
      </c>
      <c r="H85">
        <f t="shared" si="18"/>
        <v>14.6651387358887</v>
      </c>
      <c r="I85">
        <f t="shared" si="19"/>
        <v>16.515406457155201</v>
      </c>
      <c r="J85">
        <f t="shared" si="20"/>
        <v>14.664511604691301</v>
      </c>
      <c r="K85" s="7">
        <f t="shared" si="21"/>
        <v>4.7801047799111998E-5</v>
      </c>
      <c r="L85" s="7">
        <f t="shared" si="22"/>
        <v>6.27131197399322E-4</v>
      </c>
      <c r="M85" s="7">
        <f t="shared" si="23"/>
        <v>3.38564671213087E-2</v>
      </c>
      <c r="N85" s="7">
        <f t="shared" si="24"/>
        <v>-3.00621456869553E-2</v>
      </c>
      <c r="O85">
        <v>-1.0064308</v>
      </c>
      <c r="P85">
        <v>-1.5530406999999999</v>
      </c>
      <c r="Q85">
        <v>-4.9594278000000003</v>
      </c>
      <c r="R85">
        <v>-2.7989440999999999</v>
      </c>
      <c r="S85">
        <f t="shared" si="25"/>
        <v>3.0771843539792139</v>
      </c>
      <c r="T85">
        <f t="shared" si="26"/>
        <v>-27.616184982421412</v>
      </c>
      <c r="U85" s="8"/>
      <c r="V85" s="8"/>
    </row>
    <row r="86" spans="1:22" x14ac:dyDescent="0.35">
      <c r="A86">
        <v>1.375</v>
      </c>
      <c r="B86" s="9">
        <v>16.8</v>
      </c>
      <c r="C86">
        <v>-2.0442457000000001E-2</v>
      </c>
      <c r="D86">
        <v>1.7253452999999998E-2</v>
      </c>
      <c r="E86">
        <v>0.97943009000000003</v>
      </c>
      <c r="F86">
        <v>1.5892063000000001E-2</v>
      </c>
      <c r="G86">
        <f t="shared" si="17"/>
        <v>14.249288891367801</v>
      </c>
      <c r="H86">
        <f t="shared" si="18"/>
        <v>11.9204459146679</v>
      </c>
      <c r="I86">
        <f t="shared" si="19"/>
        <v>14.2492256242405</v>
      </c>
      <c r="J86">
        <f t="shared" si="20"/>
        <v>11.919765133218499</v>
      </c>
      <c r="K86" s="7">
        <f t="shared" si="21"/>
        <v>6.3267127300647999E-5</v>
      </c>
      <c r="L86" s="7">
        <f t="shared" si="22"/>
        <v>6.8078144940031404E-4</v>
      </c>
      <c r="M86" s="7">
        <f t="shared" si="23"/>
        <v>4.12875949507936E-2</v>
      </c>
      <c r="N86" s="7">
        <f t="shared" si="24"/>
        <v>-3.4537907371731E-2</v>
      </c>
      <c r="O86">
        <v>-1.0904004</v>
      </c>
      <c r="P86">
        <v>-1.7213004999999999</v>
      </c>
      <c r="Q86">
        <v>-5.4276270000000002</v>
      </c>
      <c r="R86">
        <v>-3.1359658000000001</v>
      </c>
      <c r="S86">
        <f t="shared" si="25"/>
        <v>3.07637411890581</v>
      </c>
      <c r="T86">
        <f t="shared" si="26"/>
        <v>-27.628378605490227</v>
      </c>
      <c r="U86" s="8"/>
      <c r="V86" s="8"/>
    </row>
    <row r="87" spans="1:22" x14ac:dyDescent="0.35">
      <c r="A87">
        <v>1.5</v>
      </c>
      <c r="B87" s="9">
        <v>16.8</v>
      </c>
      <c r="C87">
        <v>-2.4451726999999999E-2</v>
      </c>
      <c r="D87">
        <v>1.9461995999999999E-2</v>
      </c>
      <c r="E87">
        <v>0.97539975000000001</v>
      </c>
      <c r="F87">
        <v>1.7970100999999999E-2</v>
      </c>
      <c r="G87">
        <f t="shared" si="17"/>
        <v>12.3838426556756</v>
      </c>
      <c r="H87">
        <f t="shared" si="18"/>
        <v>9.8321453232908205</v>
      </c>
      <c r="I87">
        <f t="shared" si="19"/>
        <v>12.383768945221799</v>
      </c>
      <c r="J87">
        <f t="shared" si="20"/>
        <v>9.8313992654033306</v>
      </c>
      <c r="K87" s="7">
        <f t="shared" si="21"/>
        <v>7.3710453801112394E-5</v>
      </c>
      <c r="L87" s="7">
        <f t="shared" si="22"/>
        <v>7.4605788748982604E-4</v>
      </c>
      <c r="M87" s="7">
        <f t="shared" si="23"/>
        <v>4.9532273283616299E-2</v>
      </c>
      <c r="N87" s="7">
        <f t="shared" si="24"/>
        <v>-3.9323372175980198E-2</v>
      </c>
      <c r="O87">
        <v>-1.1700276000000001</v>
      </c>
      <c r="P87">
        <v>-1.8916801999999999</v>
      </c>
      <c r="Q87">
        <v>-5.8858930999999997</v>
      </c>
      <c r="R87">
        <v>-3.4865520000000001</v>
      </c>
      <c r="S87">
        <f t="shared" si="25"/>
        <v>3.0756193877290969</v>
      </c>
      <c r="T87">
        <f t="shared" si="26"/>
        <v>-27.622005155726143</v>
      </c>
      <c r="U87" s="8"/>
      <c r="V87" s="8"/>
    </row>
    <row r="88" spans="1:22" x14ac:dyDescent="0.35">
      <c r="A88">
        <v>1.625</v>
      </c>
      <c r="B88" s="9">
        <v>16.8</v>
      </c>
      <c r="C88">
        <v>-2.8839535999999999E-2</v>
      </c>
      <c r="D88">
        <v>2.1761072999999999E-2</v>
      </c>
      <c r="E88">
        <v>0.97100456999999996</v>
      </c>
      <c r="F88">
        <v>2.0108199E-2</v>
      </c>
      <c r="G88">
        <f t="shared" si="17"/>
        <v>10.8448566656773</v>
      </c>
      <c r="H88">
        <f t="shared" si="18"/>
        <v>8.2134253196635605</v>
      </c>
      <c r="I88">
        <f t="shared" si="19"/>
        <v>10.844779395758399</v>
      </c>
      <c r="J88">
        <f t="shared" si="20"/>
        <v>8.2125987543765504</v>
      </c>
      <c r="K88" s="7">
        <f t="shared" si="21"/>
        <v>7.7269918900668699E-5</v>
      </c>
      <c r="L88" s="7">
        <f t="shared" si="22"/>
        <v>8.2656528701008402E-4</v>
      </c>
      <c r="M88" s="7">
        <f t="shared" si="23"/>
        <v>5.8602684133159597E-2</v>
      </c>
      <c r="N88" s="7">
        <f t="shared" si="24"/>
        <v>-4.4378987635594003E-2</v>
      </c>
      <c r="O88">
        <v>-1.2442997</v>
      </c>
      <c r="P88">
        <v>-2.0637086999999998</v>
      </c>
      <c r="Q88">
        <v>-6.332446</v>
      </c>
      <c r="R88">
        <v>-3.8508642000000002</v>
      </c>
      <c r="S88">
        <f t="shared" si="25"/>
        <v>3.0755195008626051</v>
      </c>
      <c r="T88">
        <f t="shared" si="26"/>
        <v>-27.607928090103051</v>
      </c>
      <c r="U88" s="8"/>
      <c r="V88" s="8"/>
    </row>
    <row r="89" spans="1:22" x14ac:dyDescent="0.35">
      <c r="A89">
        <v>1.75</v>
      </c>
      <c r="B89" s="9">
        <v>16.8</v>
      </c>
      <c r="C89">
        <v>-3.3625069E-2</v>
      </c>
      <c r="D89">
        <v>2.4120523000000001E-2</v>
      </c>
      <c r="E89">
        <v>0.96647651999999995</v>
      </c>
      <c r="F89">
        <v>2.2169186E-2</v>
      </c>
      <c r="G89">
        <f t="shared" si="17"/>
        <v>9.5949730643018505</v>
      </c>
      <c r="H89">
        <f t="shared" si="18"/>
        <v>6.9596041027362396</v>
      </c>
      <c r="I89">
        <f t="shared" si="19"/>
        <v>9.5950248080049505</v>
      </c>
      <c r="J89">
        <f t="shared" si="20"/>
        <v>6.9586285342744398</v>
      </c>
      <c r="K89" s="7">
        <f t="shared" si="21"/>
        <v>-5.1743703100015603E-5</v>
      </c>
      <c r="L89" s="7">
        <f t="shared" si="22"/>
        <v>9.7556846179980305E-4</v>
      </c>
      <c r="M89" s="7">
        <f t="shared" si="23"/>
        <v>6.8298305028745301E-2</v>
      </c>
      <c r="N89" s="7">
        <f t="shared" si="24"/>
        <v>-4.9532183993844799E-2</v>
      </c>
      <c r="O89">
        <v>-1.3131676000000001</v>
      </c>
      <c r="P89">
        <v>-2.2380621999999999</v>
      </c>
      <c r="Q89">
        <v>-6.7658744000000004</v>
      </c>
      <c r="R89">
        <v>-4.2299952999999997</v>
      </c>
      <c r="S89">
        <f t="shared" si="25"/>
        <v>3.0750497082136583</v>
      </c>
      <c r="T89">
        <f t="shared" si="26"/>
        <v>-27.584569611479342</v>
      </c>
      <c r="U89" s="8"/>
      <c r="V89" s="8"/>
    </row>
    <row r="90" spans="1:22" x14ac:dyDescent="0.35">
      <c r="A90">
        <v>1.875</v>
      </c>
      <c r="B90" s="9">
        <v>16.8</v>
      </c>
      <c r="C90">
        <v>-3.8801782999999999E-2</v>
      </c>
      <c r="D90">
        <v>2.6516743999999998E-2</v>
      </c>
      <c r="E90">
        <v>0.96130320999999996</v>
      </c>
      <c r="F90">
        <v>2.4346916999999999E-2</v>
      </c>
      <c r="G90">
        <f t="shared" si="17"/>
        <v>8.5186282242421605</v>
      </c>
      <c r="H90">
        <f t="shared" si="18"/>
        <v>5.9196425305198304</v>
      </c>
      <c r="I90">
        <f t="shared" si="19"/>
        <v>8.5186818948369893</v>
      </c>
      <c r="J90">
        <f t="shared" si="20"/>
        <v>5.9185577321959002</v>
      </c>
      <c r="K90" s="7">
        <f t="shared" si="21"/>
        <v>-5.3670594828858498E-5</v>
      </c>
      <c r="L90" s="7">
        <f t="shared" si="22"/>
        <v>1.0847983239301599E-3</v>
      </c>
      <c r="M90" s="7">
        <f t="shared" si="23"/>
        <v>7.9171917129976593E-2</v>
      </c>
      <c r="N90" s="7">
        <f t="shared" si="24"/>
        <v>-5.5006580605668001E-2</v>
      </c>
      <c r="O90">
        <v>-1.3750770999999999</v>
      </c>
      <c r="P90">
        <v>-2.4152133999999998</v>
      </c>
      <c r="Q90">
        <v>-7.1853987000000004</v>
      </c>
      <c r="R90">
        <v>-4.6269188999999997</v>
      </c>
      <c r="S90">
        <f t="shared" si="25"/>
        <v>3.0750464811243754</v>
      </c>
      <c r="T90">
        <f t="shared" si="26"/>
        <v>-27.566577007082802</v>
      </c>
      <c r="U90" s="8"/>
      <c r="V90" s="8"/>
    </row>
    <row r="91" spans="1:22" x14ac:dyDescent="0.35">
      <c r="A91">
        <v>2</v>
      </c>
      <c r="B91" s="9">
        <v>16.8</v>
      </c>
      <c r="C91">
        <v>-4.4372796999999999E-2</v>
      </c>
      <c r="D91">
        <v>2.8925208000000001E-2</v>
      </c>
      <c r="E91">
        <v>0.95573624000000001</v>
      </c>
      <c r="F91">
        <v>2.6526687E-2</v>
      </c>
      <c r="G91">
        <f t="shared" si="17"/>
        <v>7.6084436783535798</v>
      </c>
      <c r="H91">
        <f t="shared" si="18"/>
        <v>5.0733385562278901</v>
      </c>
      <c r="I91">
        <f t="shared" si="19"/>
        <v>7.6084996318699503</v>
      </c>
      <c r="J91">
        <f t="shared" si="20"/>
        <v>5.0721394282054</v>
      </c>
      <c r="K91" s="7">
        <f t="shared" si="21"/>
        <v>-5.5953516370443899E-5</v>
      </c>
      <c r="L91" s="7">
        <f t="shared" si="22"/>
        <v>1.1991280224901101E-3</v>
      </c>
      <c r="M91" s="7">
        <f t="shared" si="23"/>
        <v>9.0993493033695402E-2</v>
      </c>
      <c r="N91" s="7">
        <f t="shared" si="24"/>
        <v>-6.0660012624973801E-2</v>
      </c>
      <c r="O91">
        <v>-1.4306563000000001</v>
      </c>
      <c r="P91">
        <v>-2.5948114000000002</v>
      </c>
      <c r="Q91">
        <v>-7.5896094999999999</v>
      </c>
      <c r="R91">
        <v>-5.0391719999999998</v>
      </c>
      <c r="S91">
        <f t="shared" si="25"/>
        <v>3.0745685816378301</v>
      </c>
      <c r="T91">
        <f t="shared" si="26"/>
        <v>-27.547297479381712</v>
      </c>
      <c r="U91" s="8"/>
      <c r="V91" s="8"/>
    </row>
    <row r="92" spans="1:22" x14ac:dyDescent="0.35">
      <c r="A92">
        <v>1</v>
      </c>
      <c r="B92" s="9">
        <v>17</v>
      </c>
      <c r="C92">
        <v>-8.9421388000000008E-3</v>
      </c>
      <c r="D92">
        <v>1.1764217E-2</v>
      </c>
      <c r="E92">
        <v>0.99111439999999995</v>
      </c>
      <c r="F92">
        <v>1.0761489000000001E-2</v>
      </c>
      <c r="G92">
        <f t="shared" si="17"/>
        <v>21.103194092713998</v>
      </c>
      <c r="H92">
        <f t="shared" si="18"/>
        <v>27.296338268582399</v>
      </c>
      <c r="I92">
        <f t="shared" si="19"/>
        <v>21.103222612659401</v>
      </c>
      <c r="J92">
        <f t="shared" si="20"/>
        <v>27.295836933053799</v>
      </c>
      <c r="K92" s="7">
        <f t="shared" si="21"/>
        <v>-2.8519945402649699E-5</v>
      </c>
      <c r="L92" s="7">
        <f t="shared" si="22"/>
        <v>5.0133552860032204E-4</v>
      </c>
      <c r="M92" s="7">
        <f t="shared" si="23"/>
        <v>1.7727711738350901E-2</v>
      </c>
      <c r="N92" s="7">
        <f t="shared" si="24"/>
        <v>-2.2929802603510099E-2</v>
      </c>
      <c r="O92">
        <v>-0.87685455999999995</v>
      </c>
      <c r="P92">
        <v>-1.0214023000000001</v>
      </c>
      <c r="Q92">
        <v>-3.854641</v>
      </c>
      <c r="R92">
        <v>-1.5373496</v>
      </c>
      <c r="S92">
        <f t="shared" si="25"/>
        <v>3.082780189577047</v>
      </c>
      <c r="T92">
        <f t="shared" si="26"/>
        <v>-27.61089701754101</v>
      </c>
      <c r="U92" s="8"/>
      <c r="V92" s="8"/>
    </row>
    <row r="93" spans="1:22" x14ac:dyDescent="0.35">
      <c r="A93">
        <v>1.125</v>
      </c>
      <c r="B93" s="9">
        <v>17</v>
      </c>
      <c r="C93">
        <v>-1.1469953E-2</v>
      </c>
      <c r="D93">
        <v>1.3781243E-2</v>
      </c>
      <c r="E93">
        <v>0.98852216999999998</v>
      </c>
      <c r="F93">
        <v>1.2684615E-2</v>
      </c>
      <c r="G93">
        <f t="shared" si="17"/>
        <v>18.201705438774599</v>
      </c>
      <c r="H93">
        <f t="shared" si="18"/>
        <v>21.5690955289156</v>
      </c>
      <c r="I93">
        <f t="shared" si="19"/>
        <v>18.201701800910801</v>
      </c>
      <c r="J93">
        <f t="shared" si="20"/>
        <v>21.568547210761398</v>
      </c>
      <c r="K93" s="7">
        <f t="shared" si="21"/>
        <v>3.6378637986444999E-6</v>
      </c>
      <c r="L93" s="7">
        <f t="shared" si="22"/>
        <v>5.4831815420186602E-4</v>
      </c>
      <c r="M93" s="7">
        <f t="shared" si="23"/>
        <v>2.2851985364549202E-2</v>
      </c>
      <c r="N93" s="7">
        <f t="shared" si="24"/>
        <v>-2.70790133024949E-2</v>
      </c>
      <c r="O93">
        <v>-0.97681819000000003</v>
      </c>
      <c r="P93">
        <v>-1.1630634</v>
      </c>
      <c r="Q93">
        <v>-4.3473410000000001</v>
      </c>
      <c r="R93">
        <v>-1.7904239</v>
      </c>
      <c r="S93">
        <f t="shared" si="25"/>
        <v>3.0955064238358809</v>
      </c>
      <c r="T93">
        <f t="shared" si="26"/>
        <v>-27.590227381841064</v>
      </c>
      <c r="U93" s="8"/>
      <c r="V93" s="8"/>
    </row>
    <row r="94" spans="1:22" x14ac:dyDescent="0.35">
      <c r="A94">
        <v>1.25</v>
      </c>
      <c r="B94" s="9">
        <v>17</v>
      </c>
      <c r="C94">
        <v>-1.4261721E-2</v>
      </c>
      <c r="D94">
        <v>1.5952668999999999E-2</v>
      </c>
      <c r="E94">
        <v>0.98568560000000005</v>
      </c>
      <c r="F94">
        <v>1.4756783000000001E-2</v>
      </c>
      <c r="G94">
        <f t="shared" si="17"/>
        <v>15.739535190859399</v>
      </c>
      <c r="H94">
        <f t="shared" si="18"/>
        <v>17.4521717409656</v>
      </c>
      <c r="I94">
        <f t="shared" si="19"/>
        <v>15.739509208229601</v>
      </c>
      <c r="J94">
        <f t="shared" si="20"/>
        <v>17.4515737666791</v>
      </c>
      <c r="K94" s="7">
        <f t="shared" si="21"/>
        <v>2.5982629798804199E-5</v>
      </c>
      <c r="L94" s="7">
        <f t="shared" si="22"/>
        <v>5.9797428649943597E-4</v>
      </c>
      <c r="M94" s="7">
        <f t="shared" si="23"/>
        <v>2.8498653355557901E-2</v>
      </c>
      <c r="N94" s="7">
        <f t="shared" si="24"/>
        <v>-3.1598593368177802E-2</v>
      </c>
      <c r="O94">
        <v>-1.0758892</v>
      </c>
      <c r="P94">
        <v>-1.3060792000000001</v>
      </c>
      <c r="Q94">
        <v>-4.8247910000000003</v>
      </c>
      <c r="R94">
        <v>-2.0360166999999998</v>
      </c>
      <c r="S94">
        <f t="shared" si="25"/>
        <v>3.0947505760329221</v>
      </c>
      <c r="T94">
        <f t="shared" si="26"/>
        <v>-27.640550853017395</v>
      </c>
      <c r="U94" s="8"/>
      <c r="V94" s="8"/>
    </row>
    <row r="95" spans="1:22" x14ac:dyDescent="0.35">
      <c r="A95">
        <v>1.375</v>
      </c>
      <c r="B95" s="9">
        <v>17</v>
      </c>
      <c r="C95">
        <v>-1.7371411E-2</v>
      </c>
      <c r="D95">
        <v>1.8287072000000001E-2</v>
      </c>
      <c r="E95">
        <v>0.98254282999999998</v>
      </c>
      <c r="F95">
        <v>1.6970248E-2</v>
      </c>
      <c r="G95">
        <f t="shared" si="17"/>
        <v>13.6804121214814</v>
      </c>
      <c r="H95">
        <f t="shared" si="18"/>
        <v>14.355280404841301</v>
      </c>
      <c r="I95">
        <f t="shared" si="19"/>
        <v>13.6803696737046</v>
      </c>
      <c r="J95">
        <f t="shared" si="20"/>
        <v>14.3546219366584</v>
      </c>
      <c r="K95" s="7">
        <f t="shared" si="21"/>
        <v>4.2447776799292603E-5</v>
      </c>
      <c r="L95" s="7">
        <f t="shared" si="22"/>
        <v>6.5846818290005204E-4</v>
      </c>
      <c r="M95" s="7">
        <f t="shared" si="23"/>
        <v>3.4791714870481001E-2</v>
      </c>
      <c r="N95" s="7">
        <f t="shared" si="24"/>
        <v>-3.6506463305134303E-2</v>
      </c>
      <c r="O95">
        <v>-1.1719310000000001</v>
      </c>
      <c r="P95">
        <v>-1.4502805999999999</v>
      </c>
      <c r="Q95">
        <v>-5.2948339000000004</v>
      </c>
      <c r="R95">
        <v>-2.2917857000000001</v>
      </c>
      <c r="S95">
        <f t="shared" si="25"/>
        <v>3.0942474258138311</v>
      </c>
      <c r="T95">
        <f t="shared" si="26"/>
        <v>-27.654680560501134</v>
      </c>
      <c r="U95" s="8"/>
      <c r="V95" s="8"/>
    </row>
    <row r="96" spans="1:22" x14ac:dyDescent="0.35">
      <c r="A96">
        <v>1.5</v>
      </c>
      <c r="B96" s="9">
        <v>17</v>
      </c>
      <c r="C96">
        <v>-2.0819944E-2</v>
      </c>
      <c r="D96">
        <v>2.0779368999999999E-2</v>
      </c>
      <c r="E96">
        <v>0.97906906000000005</v>
      </c>
      <c r="F96">
        <v>1.9320466000000001E-2</v>
      </c>
      <c r="G96">
        <f t="shared" si="17"/>
        <v>11.958763971708001</v>
      </c>
      <c r="H96">
        <f t="shared" si="18"/>
        <v>11.9664174476491</v>
      </c>
      <c r="I96">
        <f t="shared" si="19"/>
        <v>11.958709002815599</v>
      </c>
      <c r="J96">
        <f t="shared" si="20"/>
        <v>11.9656879155644</v>
      </c>
      <c r="K96" s="7">
        <f t="shared" si="21"/>
        <v>5.4968892401419098E-5</v>
      </c>
      <c r="L96" s="7">
        <f t="shared" si="22"/>
        <v>7.2953208469961296E-4</v>
      </c>
      <c r="M96" s="7">
        <f t="shared" si="23"/>
        <v>4.1786140373650402E-2</v>
      </c>
      <c r="N96" s="7">
        <f t="shared" si="24"/>
        <v>-4.1810526101884599E-2</v>
      </c>
      <c r="O96">
        <v>-1.2649507</v>
      </c>
      <c r="P96">
        <v>-1.5971297</v>
      </c>
      <c r="Q96">
        <v>-5.7592363000000004</v>
      </c>
      <c r="R96">
        <v>-2.5606735</v>
      </c>
      <c r="S96">
        <f t="shared" si="25"/>
        <v>3.0936005771352346</v>
      </c>
      <c r="T96">
        <f t="shared" si="26"/>
        <v>-27.649344192941093</v>
      </c>
      <c r="U96" s="8"/>
      <c r="V96" s="8"/>
    </row>
    <row r="97" spans="1:22" x14ac:dyDescent="0.35">
      <c r="A97">
        <v>1.625</v>
      </c>
      <c r="B97" s="9">
        <v>17</v>
      </c>
      <c r="C97">
        <v>-2.4609683E-2</v>
      </c>
      <c r="D97">
        <v>2.3411528000000001E-2</v>
      </c>
      <c r="E97">
        <v>0.97526539000000001</v>
      </c>
      <c r="F97">
        <v>2.1783835000000001E-2</v>
      </c>
      <c r="G97">
        <f t="shared" si="17"/>
        <v>10.520580860499599</v>
      </c>
      <c r="H97">
        <f t="shared" si="18"/>
        <v>10.094335279024101</v>
      </c>
      <c r="I97">
        <f t="shared" si="19"/>
        <v>10.520519055567499</v>
      </c>
      <c r="J97">
        <f t="shared" si="20"/>
        <v>10.0935213313823</v>
      </c>
      <c r="K97" s="7">
        <f t="shared" si="21"/>
        <v>6.18049321001735E-5</v>
      </c>
      <c r="L97" s="7">
        <f t="shared" si="22"/>
        <v>8.1394764180053902E-4</v>
      </c>
      <c r="M97" s="7">
        <f t="shared" si="23"/>
        <v>4.9494235049713703E-2</v>
      </c>
      <c r="N97" s="7">
        <f t="shared" si="24"/>
        <v>-4.7485405864110999E-2</v>
      </c>
      <c r="O97">
        <v>-1.3540394</v>
      </c>
      <c r="P97">
        <v>-1.7463207999999999</v>
      </c>
      <c r="Q97">
        <v>-6.2166760999999999</v>
      </c>
      <c r="R97">
        <v>-2.8430059000000001</v>
      </c>
      <c r="S97">
        <f t="shared" si="25"/>
        <v>3.0935042348058355</v>
      </c>
      <c r="T97">
        <f t="shared" si="26"/>
        <v>-27.635651153284961</v>
      </c>
      <c r="U97" s="8"/>
      <c r="V97" s="8"/>
    </row>
    <row r="98" spans="1:22" x14ac:dyDescent="0.35">
      <c r="A98">
        <v>1.75</v>
      </c>
      <c r="B98" s="9">
        <v>17</v>
      </c>
      <c r="C98">
        <v>-2.8765639999999999E-2</v>
      </c>
      <c r="D98">
        <v>2.6160266000000001E-2</v>
      </c>
      <c r="E98">
        <v>0.97133466000000002</v>
      </c>
      <c r="F98">
        <v>2.4227371000000001E-2</v>
      </c>
      <c r="G98">
        <f t="shared" si="17"/>
        <v>9.3387106352014602</v>
      </c>
      <c r="H98">
        <f t="shared" si="18"/>
        <v>8.6325954419283608</v>
      </c>
      <c r="I98">
        <f t="shared" si="19"/>
        <v>9.33876171656593</v>
      </c>
      <c r="J98">
        <f t="shared" si="20"/>
        <v>8.6316290922582297</v>
      </c>
      <c r="K98" s="7">
        <f t="shared" si="21"/>
        <v>-5.1081364469851598E-5</v>
      </c>
      <c r="L98" s="7">
        <f t="shared" si="22"/>
        <v>9.6634967013109496E-4</v>
      </c>
      <c r="M98" s="7">
        <f t="shared" si="23"/>
        <v>5.7747381857884202E-2</v>
      </c>
      <c r="N98" s="7">
        <f t="shared" si="24"/>
        <v>-5.33747402893959E-2</v>
      </c>
      <c r="O98">
        <v>-1.4392151</v>
      </c>
      <c r="P98">
        <v>-1.8986590999999999</v>
      </c>
      <c r="Q98">
        <v>-6.6658439999999999</v>
      </c>
      <c r="R98">
        <v>-3.1406610000000001</v>
      </c>
      <c r="S98">
        <f t="shared" si="25"/>
        <v>3.0928453542072112</v>
      </c>
      <c r="T98">
        <f t="shared" si="26"/>
        <v>-27.60945794665512</v>
      </c>
      <c r="U98" s="8"/>
      <c r="V98" s="8"/>
    </row>
    <row r="99" spans="1:22" x14ac:dyDescent="0.35">
      <c r="A99">
        <v>1.875</v>
      </c>
      <c r="B99" s="9">
        <v>17</v>
      </c>
      <c r="C99">
        <v>-3.3282369999999999E-2</v>
      </c>
      <c r="D99">
        <v>2.9007977000000001E-2</v>
      </c>
      <c r="E99">
        <v>0.96682003000000005</v>
      </c>
      <c r="F99">
        <v>2.6853703E-2</v>
      </c>
      <c r="G99">
        <f t="shared" si="17"/>
        <v>8.3172156064652896</v>
      </c>
      <c r="H99">
        <f t="shared" si="18"/>
        <v>7.4114412748988396</v>
      </c>
      <c r="I99">
        <f t="shared" si="19"/>
        <v>8.3172679638885398</v>
      </c>
      <c r="J99">
        <f t="shared" si="20"/>
        <v>7.4103642494386497</v>
      </c>
      <c r="K99" s="7">
        <f t="shared" si="21"/>
        <v>-5.2357423250271E-5</v>
      </c>
      <c r="L99" s="7">
        <f t="shared" si="22"/>
        <v>1.0770254601899501E-3</v>
      </c>
      <c r="M99" s="7">
        <f t="shared" si="23"/>
        <v>6.7025853477276201E-2</v>
      </c>
      <c r="N99" s="7">
        <f t="shared" si="24"/>
        <v>-5.9717444544603399E-2</v>
      </c>
      <c r="O99">
        <v>-1.5192193000000001</v>
      </c>
      <c r="P99">
        <v>-2.0544408000000001</v>
      </c>
      <c r="Q99">
        <v>-7.1076009999999998</v>
      </c>
      <c r="R99">
        <v>-3.4553503000000001</v>
      </c>
      <c r="S99">
        <f t="shared" si="25"/>
        <v>3.0929786327335758</v>
      </c>
      <c r="T99">
        <f t="shared" si="26"/>
        <v>-27.591150691708247</v>
      </c>
      <c r="U99" s="8"/>
      <c r="V99" s="8"/>
    </row>
    <row r="100" spans="1:22" x14ac:dyDescent="0.35">
      <c r="A100">
        <v>2</v>
      </c>
      <c r="B100" s="9">
        <v>17</v>
      </c>
      <c r="C100">
        <v>-3.8172251999999997E-2</v>
      </c>
      <c r="D100">
        <v>3.1932608000000001E-2</v>
      </c>
      <c r="E100">
        <v>0.96193295000000001</v>
      </c>
      <c r="F100">
        <v>2.9541285E-2</v>
      </c>
      <c r="G100">
        <f t="shared" si="17"/>
        <v>7.4486290853369601</v>
      </c>
      <c r="H100">
        <f t="shared" si="18"/>
        <v>6.4098226905582401</v>
      </c>
      <c r="I100">
        <f t="shared" si="19"/>
        <v>7.4486831129490501</v>
      </c>
      <c r="J100">
        <f t="shared" si="20"/>
        <v>6.40862715654327</v>
      </c>
      <c r="K100" s="7">
        <f t="shared" si="21"/>
        <v>-5.4027612089946297E-5</v>
      </c>
      <c r="L100" s="7">
        <f t="shared" si="22"/>
        <v>1.1955340149700799E-3</v>
      </c>
      <c r="M100" s="7">
        <f t="shared" si="23"/>
        <v>7.7145750331937907E-2</v>
      </c>
      <c r="N100" s="7">
        <f t="shared" si="24"/>
        <v>-6.6373927188509999E-2</v>
      </c>
      <c r="O100">
        <v>-1.5946515999999999</v>
      </c>
      <c r="P100">
        <v>-2.2139443000000001</v>
      </c>
      <c r="Q100">
        <v>-7.5398822000000001</v>
      </c>
      <c r="R100">
        <v>-3.7862144999999998</v>
      </c>
      <c r="S100">
        <f t="shared" si="25"/>
        <v>3.0922763434288445</v>
      </c>
      <c r="T100">
        <f t="shared" si="26"/>
        <v>-27.571792902825315</v>
      </c>
      <c r="U100" s="8"/>
      <c r="V100" s="8"/>
    </row>
    <row r="101" spans="1:22" x14ac:dyDescent="0.35">
      <c r="B101" s="9"/>
      <c r="G101">
        <f t="shared" si="17"/>
        <v>1</v>
      </c>
      <c r="H101">
        <f t="shared" si="18"/>
        <v>0</v>
      </c>
      <c r="I101">
        <f t="shared" si="19"/>
        <v>0</v>
      </c>
      <c r="J101">
        <f t="shared" si="20"/>
        <v>0</v>
      </c>
      <c r="K101" s="7">
        <f t="shared" si="21"/>
        <v>1</v>
      </c>
      <c r="L101" s="7">
        <f t="shared" si="22"/>
        <v>0</v>
      </c>
      <c r="M101" s="7" t="e">
        <f t="shared" si="23"/>
        <v>#NUM!</v>
      </c>
      <c r="N101" s="7" t="e">
        <f t="shared" si="24"/>
        <v>#NUM!</v>
      </c>
      <c r="S101" t="e">
        <f t="shared" si="25"/>
        <v>#DIV/0!</v>
      </c>
      <c r="T101" t="e">
        <f t="shared" si="26"/>
        <v>#DIV/0!</v>
      </c>
      <c r="U101" s="8"/>
      <c r="V101" s="8"/>
    </row>
    <row r="102" spans="1:22" x14ac:dyDescent="0.35">
      <c r="B102" s="9"/>
      <c r="G102">
        <f t="shared" si="17"/>
        <v>1</v>
      </c>
      <c r="H102">
        <f t="shared" si="18"/>
        <v>0</v>
      </c>
      <c r="I102">
        <f t="shared" si="19"/>
        <v>0</v>
      </c>
      <c r="J102">
        <f t="shared" si="20"/>
        <v>0</v>
      </c>
      <c r="K102" s="7">
        <f t="shared" si="21"/>
        <v>1</v>
      </c>
      <c r="L102" s="7">
        <f t="shared" si="22"/>
        <v>0</v>
      </c>
      <c r="M102" s="7" t="e">
        <f t="shared" si="23"/>
        <v>#NUM!</v>
      </c>
      <c r="N102" s="7" t="e">
        <f t="shared" si="24"/>
        <v>#NUM!</v>
      </c>
      <c r="S102" t="e">
        <f t="shared" si="25"/>
        <v>#DIV/0!</v>
      </c>
      <c r="T102" t="e">
        <f t="shared" si="26"/>
        <v>#DIV/0!</v>
      </c>
      <c r="U102" s="8"/>
      <c r="V102" s="8"/>
    </row>
    <row r="103" spans="1:22" x14ac:dyDescent="0.35">
      <c r="B103" s="9"/>
      <c r="G103">
        <f t="shared" si="17"/>
        <v>1</v>
      </c>
      <c r="H103">
        <f t="shared" si="18"/>
        <v>0</v>
      </c>
      <c r="I103">
        <f t="shared" si="19"/>
        <v>0</v>
      </c>
      <c r="J103">
        <f t="shared" si="20"/>
        <v>0</v>
      </c>
      <c r="K103" s="7">
        <f t="shared" si="21"/>
        <v>1</v>
      </c>
      <c r="L103" s="7">
        <f t="shared" si="22"/>
        <v>0</v>
      </c>
      <c r="M103" s="7" t="e">
        <f t="shared" si="23"/>
        <v>#NUM!</v>
      </c>
      <c r="N103" s="7" t="e">
        <f t="shared" si="24"/>
        <v>#NUM!</v>
      </c>
      <c r="S103" t="e">
        <f t="shared" si="25"/>
        <v>#DIV/0!</v>
      </c>
      <c r="T103" t="e">
        <f t="shared" si="26"/>
        <v>#DIV/0!</v>
      </c>
      <c r="U103" s="8"/>
      <c r="V103" s="8"/>
    </row>
    <row r="104" spans="1:22" x14ac:dyDescent="0.35">
      <c r="B104" s="9"/>
      <c r="G104">
        <f t="shared" si="17"/>
        <v>1</v>
      </c>
      <c r="H104">
        <f t="shared" si="18"/>
        <v>0</v>
      </c>
      <c r="I104">
        <f t="shared" si="19"/>
        <v>0</v>
      </c>
      <c r="J104">
        <f t="shared" si="20"/>
        <v>0</v>
      </c>
      <c r="K104" s="7">
        <f t="shared" si="21"/>
        <v>1</v>
      </c>
      <c r="L104" s="7">
        <f t="shared" si="22"/>
        <v>0</v>
      </c>
      <c r="M104" s="7" t="e">
        <f t="shared" si="23"/>
        <v>#NUM!</v>
      </c>
      <c r="N104" s="7" t="e">
        <f t="shared" si="24"/>
        <v>#NUM!</v>
      </c>
      <c r="S104" t="e">
        <f t="shared" si="25"/>
        <v>#DIV/0!</v>
      </c>
      <c r="T104" t="e">
        <f t="shared" si="26"/>
        <v>#DIV/0!</v>
      </c>
      <c r="U104" s="8"/>
      <c r="V104" s="8"/>
    </row>
    <row r="105" spans="1:22" x14ac:dyDescent="0.35">
      <c r="B105" s="9"/>
      <c r="G105">
        <f t="shared" si="17"/>
        <v>1</v>
      </c>
      <c r="H105">
        <f t="shared" si="18"/>
        <v>0</v>
      </c>
      <c r="I105">
        <f t="shared" si="19"/>
        <v>0</v>
      </c>
      <c r="J105">
        <f t="shared" si="20"/>
        <v>0</v>
      </c>
      <c r="K105" s="7">
        <f t="shared" si="21"/>
        <v>1</v>
      </c>
      <c r="L105" s="7">
        <f t="shared" si="22"/>
        <v>0</v>
      </c>
      <c r="M105" s="7" t="e">
        <f t="shared" si="23"/>
        <v>#NUM!</v>
      </c>
      <c r="N105" s="7" t="e">
        <f t="shared" si="24"/>
        <v>#NUM!</v>
      </c>
      <c r="S105" t="e">
        <f t="shared" si="25"/>
        <v>#DIV/0!</v>
      </c>
      <c r="T105" t="e">
        <f t="shared" si="26"/>
        <v>#DIV/0!</v>
      </c>
      <c r="U105" s="8"/>
      <c r="V105" s="8"/>
    </row>
    <row r="106" spans="1:22" x14ac:dyDescent="0.35">
      <c r="B106" s="9"/>
      <c r="G106">
        <f t="shared" si="17"/>
        <v>1</v>
      </c>
      <c r="H106">
        <f t="shared" si="18"/>
        <v>0</v>
      </c>
      <c r="I106">
        <f t="shared" si="19"/>
        <v>0</v>
      </c>
      <c r="J106">
        <f t="shared" si="20"/>
        <v>0</v>
      </c>
      <c r="K106" s="7">
        <f t="shared" si="21"/>
        <v>1</v>
      </c>
      <c r="L106" s="7">
        <f t="shared" si="22"/>
        <v>0</v>
      </c>
      <c r="M106" s="7" t="e">
        <f t="shared" si="23"/>
        <v>#NUM!</v>
      </c>
      <c r="N106" s="7" t="e">
        <f t="shared" si="24"/>
        <v>#NUM!</v>
      </c>
      <c r="S106" t="e">
        <f t="shared" si="25"/>
        <v>#DIV/0!</v>
      </c>
      <c r="T106" t="e">
        <f t="shared" si="26"/>
        <v>#DIV/0!</v>
      </c>
      <c r="U106" s="8"/>
      <c r="V106" s="8"/>
    </row>
    <row r="107" spans="1:22" x14ac:dyDescent="0.35">
      <c r="B107" s="9"/>
      <c r="G107">
        <f t="shared" si="17"/>
        <v>1</v>
      </c>
      <c r="H107">
        <f t="shared" si="18"/>
        <v>0</v>
      </c>
      <c r="I107">
        <f t="shared" si="19"/>
        <v>0</v>
      </c>
      <c r="J107">
        <f t="shared" si="20"/>
        <v>0</v>
      </c>
      <c r="K107" s="7">
        <f t="shared" si="21"/>
        <v>1</v>
      </c>
      <c r="L107" s="7">
        <f t="shared" si="22"/>
        <v>0</v>
      </c>
      <c r="M107" s="7" t="e">
        <f t="shared" si="23"/>
        <v>#NUM!</v>
      </c>
      <c r="N107" s="7" t="e">
        <f t="shared" si="24"/>
        <v>#NUM!</v>
      </c>
      <c r="S107" t="e">
        <f t="shared" si="25"/>
        <v>#DIV/0!</v>
      </c>
      <c r="T107" t="e">
        <f t="shared" si="26"/>
        <v>#DIV/0!</v>
      </c>
      <c r="U107" s="8"/>
      <c r="V107" s="8"/>
    </row>
    <row r="108" spans="1:22" x14ac:dyDescent="0.35">
      <c r="B108" s="9"/>
      <c r="G108">
        <f t="shared" si="17"/>
        <v>1</v>
      </c>
      <c r="H108">
        <f t="shared" si="18"/>
        <v>0</v>
      </c>
      <c r="I108">
        <f t="shared" si="19"/>
        <v>0</v>
      </c>
      <c r="J108">
        <f t="shared" si="20"/>
        <v>0</v>
      </c>
      <c r="K108" s="7">
        <f t="shared" si="21"/>
        <v>1</v>
      </c>
      <c r="L108" s="7">
        <f t="shared" si="22"/>
        <v>0</v>
      </c>
      <c r="M108" s="7" t="e">
        <f t="shared" si="23"/>
        <v>#NUM!</v>
      </c>
      <c r="N108" s="7" t="e">
        <f t="shared" si="24"/>
        <v>#NUM!</v>
      </c>
      <c r="S108" t="e">
        <f t="shared" si="25"/>
        <v>#DIV/0!</v>
      </c>
      <c r="T108" t="e">
        <f t="shared" si="26"/>
        <v>#DIV/0!</v>
      </c>
      <c r="U108" s="8"/>
      <c r="V108" s="8"/>
    </row>
    <row r="109" spans="1:22" x14ac:dyDescent="0.35">
      <c r="B109" s="9"/>
      <c r="G109">
        <f t="shared" si="17"/>
        <v>1</v>
      </c>
      <c r="H109">
        <f t="shared" si="18"/>
        <v>0</v>
      </c>
      <c r="I109">
        <f t="shared" si="19"/>
        <v>0</v>
      </c>
      <c r="J109">
        <f t="shared" si="20"/>
        <v>0</v>
      </c>
      <c r="K109" s="7">
        <f t="shared" si="21"/>
        <v>1</v>
      </c>
      <c r="L109" s="7">
        <f t="shared" si="22"/>
        <v>0</v>
      </c>
      <c r="M109" s="7" t="e">
        <f t="shared" si="23"/>
        <v>#NUM!</v>
      </c>
      <c r="N109" s="7" t="e">
        <f t="shared" si="24"/>
        <v>#NUM!</v>
      </c>
      <c r="S109" t="e">
        <f t="shared" si="25"/>
        <v>#DIV/0!</v>
      </c>
      <c r="T109" t="e">
        <f t="shared" si="26"/>
        <v>#DIV/0!</v>
      </c>
      <c r="U109" s="8"/>
      <c r="V109" s="8"/>
    </row>
    <row r="110" spans="1:22" x14ac:dyDescent="0.35">
      <c r="B110" s="9"/>
      <c r="G110">
        <f t="shared" si="17"/>
        <v>1</v>
      </c>
      <c r="H110">
        <f t="shared" si="18"/>
        <v>0</v>
      </c>
      <c r="I110">
        <f t="shared" si="19"/>
        <v>0</v>
      </c>
      <c r="J110">
        <f t="shared" si="20"/>
        <v>0</v>
      </c>
      <c r="K110" s="7">
        <f t="shared" si="21"/>
        <v>1</v>
      </c>
      <c r="L110" s="7">
        <f t="shared" si="22"/>
        <v>0</v>
      </c>
      <c r="M110" s="7" t="e">
        <f t="shared" si="23"/>
        <v>#NUM!</v>
      </c>
      <c r="N110" s="7" t="e">
        <f t="shared" si="24"/>
        <v>#NUM!</v>
      </c>
      <c r="S110" t="e">
        <f t="shared" si="25"/>
        <v>#DIV/0!</v>
      </c>
      <c r="T110" t="e">
        <f t="shared" si="26"/>
        <v>#DIV/0!</v>
      </c>
      <c r="U110" s="8"/>
      <c r="V110" s="8"/>
    </row>
    <row r="111" spans="1:22" x14ac:dyDescent="0.35">
      <c r="B111" s="9"/>
      <c r="G111">
        <f t="shared" si="17"/>
        <v>1</v>
      </c>
      <c r="H111">
        <f t="shared" si="18"/>
        <v>0</v>
      </c>
      <c r="I111">
        <f t="shared" si="19"/>
        <v>0</v>
      </c>
      <c r="J111">
        <f t="shared" si="20"/>
        <v>0</v>
      </c>
      <c r="K111" s="7">
        <f t="shared" si="21"/>
        <v>1</v>
      </c>
      <c r="L111" s="7">
        <f t="shared" si="22"/>
        <v>0</v>
      </c>
      <c r="M111" s="7" t="e">
        <f t="shared" si="23"/>
        <v>#NUM!</v>
      </c>
      <c r="N111" s="7" t="e">
        <f t="shared" si="24"/>
        <v>#NUM!</v>
      </c>
      <c r="S111" t="e">
        <f t="shared" si="25"/>
        <v>#DIV/0!</v>
      </c>
      <c r="T111" t="e">
        <f t="shared" si="26"/>
        <v>#DIV/0!</v>
      </c>
      <c r="U111" s="8"/>
      <c r="V111" s="8"/>
    </row>
    <row r="112" spans="1:22" x14ac:dyDescent="0.35">
      <c r="B112" s="9"/>
      <c r="G112">
        <f t="shared" si="17"/>
        <v>1</v>
      </c>
      <c r="H112">
        <f t="shared" si="18"/>
        <v>0</v>
      </c>
      <c r="I112">
        <f t="shared" si="19"/>
        <v>0</v>
      </c>
      <c r="J112">
        <f t="shared" si="20"/>
        <v>0</v>
      </c>
      <c r="K112" s="7">
        <f t="shared" si="21"/>
        <v>1</v>
      </c>
      <c r="L112" s="7">
        <f t="shared" si="22"/>
        <v>0</v>
      </c>
      <c r="M112" s="7" t="e">
        <f t="shared" si="23"/>
        <v>#NUM!</v>
      </c>
      <c r="N112" s="7" t="e">
        <f t="shared" si="24"/>
        <v>#NUM!</v>
      </c>
      <c r="S112" t="e">
        <f t="shared" si="25"/>
        <v>#DIV/0!</v>
      </c>
      <c r="T112" t="e">
        <f t="shared" si="26"/>
        <v>#DIV/0!</v>
      </c>
      <c r="U112" s="8"/>
      <c r="V112" s="8"/>
    </row>
    <row r="113" spans="2:22" x14ac:dyDescent="0.35">
      <c r="B113" s="9"/>
      <c r="G113">
        <f t="shared" si="17"/>
        <v>1</v>
      </c>
      <c r="H113">
        <f t="shared" si="18"/>
        <v>0</v>
      </c>
      <c r="I113">
        <f t="shared" si="19"/>
        <v>0</v>
      </c>
      <c r="J113">
        <f t="shared" si="20"/>
        <v>0</v>
      </c>
      <c r="K113" s="7">
        <f t="shared" si="21"/>
        <v>1</v>
      </c>
      <c r="L113" s="7">
        <f t="shared" si="22"/>
        <v>0</v>
      </c>
      <c r="M113" s="7" t="e">
        <f t="shared" si="23"/>
        <v>#NUM!</v>
      </c>
      <c r="N113" s="7" t="e">
        <f t="shared" si="24"/>
        <v>#NUM!</v>
      </c>
      <c r="S113" t="e">
        <f t="shared" si="25"/>
        <v>#DIV/0!</v>
      </c>
      <c r="T113" t="e">
        <f t="shared" si="26"/>
        <v>#DIV/0!</v>
      </c>
      <c r="U113" s="8"/>
      <c r="V113" s="8"/>
    </row>
    <row r="114" spans="2:22" x14ac:dyDescent="0.35">
      <c r="B114" s="9"/>
      <c r="G114">
        <f t="shared" si="17"/>
        <v>1</v>
      </c>
      <c r="H114">
        <f t="shared" si="18"/>
        <v>0</v>
      </c>
      <c r="I114">
        <f t="shared" si="19"/>
        <v>0</v>
      </c>
      <c r="J114">
        <f t="shared" si="20"/>
        <v>0</v>
      </c>
      <c r="K114" s="7">
        <f t="shared" si="21"/>
        <v>1</v>
      </c>
      <c r="L114" s="7">
        <f t="shared" si="22"/>
        <v>0</v>
      </c>
      <c r="M114" s="7" t="e">
        <f t="shared" si="23"/>
        <v>#NUM!</v>
      </c>
      <c r="N114" s="7" t="e">
        <f t="shared" si="24"/>
        <v>#NUM!</v>
      </c>
      <c r="S114" t="e">
        <f t="shared" si="25"/>
        <v>#DIV/0!</v>
      </c>
      <c r="T114" t="e">
        <f t="shared" si="26"/>
        <v>#DIV/0!</v>
      </c>
      <c r="U114" s="8"/>
      <c r="V114" s="8"/>
    </row>
    <row r="115" spans="2:22" x14ac:dyDescent="0.35">
      <c r="B115" s="9"/>
      <c r="G115">
        <f t="shared" si="17"/>
        <v>1</v>
      </c>
      <c r="H115">
        <f t="shared" si="18"/>
        <v>0</v>
      </c>
      <c r="I115">
        <f t="shared" si="19"/>
        <v>0</v>
      </c>
      <c r="J115">
        <f t="shared" si="20"/>
        <v>0</v>
      </c>
      <c r="K115" s="7">
        <f t="shared" si="21"/>
        <v>1</v>
      </c>
      <c r="L115" s="7">
        <f t="shared" si="22"/>
        <v>0</v>
      </c>
      <c r="M115" s="7" t="e">
        <f t="shared" si="23"/>
        <v>#NUM!</v>
      </c>
      <c r="N115" s="7" t="e">
        <f t="shared" si="24"/>
        <v>#NUM!</v>
      </c>
      <c r="S115" t="e">
        <f t="shared" si="25"/>
        <v>#DIV/0!</v>
      </c>
      <c r="T115" t="e">
        <f t="shared" si="26"/>
        <v>#DIV/0!</v>
      </c>
      <c r="U115" s="8"/>
      <c r="V115" s="8"/>
    </row>
    <row r="116" spans="2:22" x14ac:dyDescent="0.35">
      <c r="B116" s="9"/>
      <c r="G116">
        <f t="shared" si="17"/>
        <v>1</v>
      </c>
      <c r="H116">
        <f t="shared" si="18"/>
        <v>0</v>
      </c>
      <c r="I116">
        <f t="shared" si="19"/>
        <v>0</v>
      </c>
      <c r="J116">
        <f t="shared" si="20"/>
        <v>0</v>
      </c>
      <c r="K116" s="7">
        <f t="shared" si="21"/>
        <v>1</v>
      </c>
      <c r="L116" s="7">
        <f t="shared" si="22"/>
        <v>0</v>
      </c>
      <c r="M116" s="7" t="e">
        <f t="shared" si="23"/>
        <v>#NUM!</v>
      </c>
      <c r="N116" s="7" t="e">
        <f t="shared" si="24"/>
        <v>#NUM!</v>
      </c>
      <c r="S116" t="e">
        <f t="shared" si="25"/>
        <v>#DIV/0!</v>
      </c>
      <c r="T116" t="e">
        <f t="shared" si="26"/>
        <v>#DIV/0!</v>
      </c>
      <c r="U116" s="8"/>
      <c r="V116" s="8"/>
    </row>
    <row r="117" spans="2:22" x14ac:dyDescent="0.35">
      <c r="B117" s="9"/>
      <c r="G117">
        <f t="shared" si="17"/>
        <v>1</v>
      </c>
      <c r="H117">
        <f t="shared" si="18"/>
        <v>0</v>
      </c>
      <c r="I117">
        <f t="shared" si="19"/>
        <v>0</v>
      </c>
      <c r="J117">
        <f t="shared" si="20"/>
        <v>0</v>
      </c>
      <c r="K117" s="7">
        <f t="shared" si="21"/>
        <v>1</v>
      </c>
      <c r="L117" s="7">
        <f t="shared" si="22"/>
        <v>0</v>
      </c>
      <c r="M117" s="7" t="e">
        <f t="shared" si="23"/>
        <v>#NUM!</v>
      </c>
      <c r="N117" s="7" t="e">
        <f t="shared" si="24"/>
        <v>#NUM!</v>
      </c>
      <c r="S117" t="e">
        <f t="shared" si="25"/>
        <v>#DIV/0!</v>
      </c>
      <c r="T117" t="e">
        <f t="shared" si="26"/>
        <v>#DIV/0!</v>
      </c>
      <c r="U117" s="8"/>
      <c r="V117" s="8"/>
    </row>
    <row r="118" spans="2:22" x14ac:dyDescent="0.35">
      <c r="B118" s="9"/>
      <c r="G118">
        <f t="shared" si="17"/>
        <v>1</v>
      </c>
      <c r="H118">
        <f t="shared" si="18"/>
        <v>0</v>
      </c>
      <c r="I118">
        <f t="shared" si="19"/>
        <v>0</v>
      </c>
      <c r="J118">
        <f t="shared" si="20"/>
        <v>0</v>
      </c>
      <c r="K118" s="7">
        <f t="shared" si="21"/>
        <v>1</v>
      </c>
      <c r="L118" s="7">
        <f t="shared" si="22"/>
        <v>0</v>
      </c>
      <c r="M118" s="7" t="e">
        <f t="shared" si="23"/>
        <v>#NUM!</v>
      </c>
      <c r="N118" s="7" t="e">
        <f t="shared" si="24"/>
        <v>#NUM!</v>
      </c>
      <c r="S118" t="e">
        <f t="shared" si="25"/>
        <v>#DIV/0!</v>
      </c>
      <c r="T118" t="e">
        <f t="shared" si="26"/>
        <v>#DIV/0!</v>
      </c>
      <c r="U118" s="8"/>
      <c r="V118" s="8"/>
    </row>
    <row r="119" spans="2:22" x14ac:dyDescent="0.35">
      <c r="B119" s="9"/>
      <c r="G119">
        <f t="shared" si="17"/>
        <v>1</v>
      </c>
      <c r="H119">
        <f t="shared" si="18"/>
        <v>0</v>
      </c>
      <c r="I119">
        <f t="shared" si="19"/>
        <v>0</v>
      </c>
      <c r="J119">
        <f t="shared" si="20"/>
        <v>0</v>
      </c>
      <c r="K119" s="7">
        <f t="shared" si="21"/>
        <v>1</v>
      </c>
      <c r="L119" s="7">
        <f t="shared" si="22"/>
        <v>0</v>
      </c>
      <c r="M119" s="7" t="e">
        <f t="shared" si="23"/>
        <v>#NUM!</v>
      </c>
      <c r="N119" s="7" t="e">
        <f t="shared" si="24"/>
        <v>#NUM!</v>
      </c>
      <c r="S119" t="e">
        <f t="shared" si="25"/>
        <v>#DIV/0!</v>
      </c>
      <c r="T119" t="e">
        <f t="shared" si="26"/>
        <v>#DIV/0!</v>
      </c>
      <c r="U119" s="8"/>
      <c r="V119" s="8"/>
    </row>
    <row r="120" spans="2:22" x14ac:dyDescent="0.35">
      <c r="B120" s="9"/>
      <c r="G120">
        <f t="shared" si="17"/>
        <v>1</v>
      </c>
      <c r="H120">
        <f t="shared" si="18"/>
        <v>0</v>
      </c>
      <c r="I120">
        <f t="shared" si="19"/>
        <v>0</v>
      </c>
      <c r="J120">
        <f t="shared" si="20"/>
        <v>0</v>
      </c>
      <c r="K120" s="7">
        <f t="shared" si="21"/>
        <v>1</v>
      </c>
      <c r="L120" s="7">
        <f t="shared" si="22"/>
        <v>0</v>
      </c>
      <c r="M120" s="7" t="e">
        <f t="shared" si="23"/>
        <v>#NUM!</v>
      </c>
      <c r="N120" s="7" t="e">
        <f t="shared" si="24"/>
        <v>#NUM!</v>
      </c>
      <c r="S120" t="e">
        <f t="shared" si="25"/>
        <v>#DIV/0!</v>
      </c>
      <c r="T120" t="e">
        <f t="shared" si="26"/>
        <v>#DIV/0!</v>
      </c>
      <c r="U120" s="8"/>
      <c r="V120" s="8"/>
    </row>
    <row r="121" spans="2:22" x14ac:dyDescent="0.35">
      <c r="B121" s="9"/>
      <c r="G121">
        <f t="shared" si="17"/>
        <v>1</v>
      </c>
      <c r="H121">
        <f t="shared" si="18"/>
        <v>0</v>
      </c>
      <c r="I121">
        <f t="shared" si="19"/>
        <v>0</v>
      </c>
      <c r="J121">
        <f t="shared" si="20"/>
        <v>0</v>
      </c>
      <c r="K121" s="7">
        <f t="shared" si="21"/>
        <v>1</v>
      </c>
      <c r="L121" s="7">
        <f t="shared" si="22"/>
        <v>0</v>
      </c>
      <c r="M121" s="7" t="e">
        <f t="shared" si="23"/>
        <v>#NUM!</v>
      </c>
      <c r="N121" s="7" t="e">
        <f t="shared" si="24"/>
        <v>#NUM!</v>
      </c>
      <c r="S121" t="e">
        <f t="shared" si="25"/>
        <v>#DIV/0!</v>
      </c>
      <c r="T121" t="e">
        <f t="shared" si="26"/>
        <v>#DIV/0!</v>
      </c>
      <c r="U121" s="8"/>
      <c r="V121" s="8"/>
    </row>
    <row r="122" spans="2:22" x14ac:dyDescent="0.35">
      <c r="B122" s="9"/>
      <c r="G122">
        <f t="shared" si="17"/>
        <v>1</v>
      </c>
      <c r="H122">
        <f t="shared" si="18"/>
        <v>0</v>
      </c>
      <c r="I122">
        <f t="shared" si="19"/>
        <v>0</v>
      </c>
      <c r="J122">
        <f t="shared" si="20"/>
        <v>0</v>
      </c>
      <c r="K122" s="7">
        <f t="shared" si="21"/>
        <v>1</v>
      </c>
      <c r="L122" s="7">
        <f t="shared" si="22"/>
        <v>0</v>
      </c>
      <c r="M122" s="7" t="e">
        <f t="shared" si="23"/>
        <v>#NUM!</v>
      </c>
      <c r="N122" s="7" t="e">
        <f t="shared" si="24"/>
        <v>#NUM!</v>
      </c>
      <c r="S122" t="e">
        <f t="shared" si="25"/>
        <v>#DIV/0!</v>
      </c>
      <c r="T122" t="e">
        <f t="shared" si="26"/>
        <v>#DIV/0!</v>
      </c>
      <c r="U122" s="8"/>
      <c r="V122" s="8"/>
    </row>
    <row r="123" spans="2:22" x14ac:dyDescent="0.35">
      <c r="B123" s="9"/>
      <c r="G123">
        <f t="shared" si="17"/>
        <v>1</v>
      </c>
      <c r="H123">
        <f t="shared" si="18"/>
        <v>0</v>
      </c>
      <c r="I123">
        <f t="shared" si="19"/>
        <v>0</v>
      </c>
      <c r="J123">
        <f t="shared" si="20"/>
        <v>0</v>
      </c>
      <c r="K123" s="7">
        <f t="shared" si="21"/>
        <v>1</v>
      </c>
      <c r="L123" s="7">
        <f t="shared" si="22"/>
        <v>0</v>
      </c>
      <c r="M123" s="7" t="e">
        <f t="shared" si="23"/>
        <v>#NUM!</v>
      </c>
      <c r="N123" s="7" t="e">
        <f t="shared" si="24"/>
        <v>#NUM!</v>
      </c>
      <c r="S123" t="e">
        <f t="shared" si="25"/>
        <v>#DIV/0!</v>
      </c>
      <c r="T123" t="e">
        <f t="shared" si="26"/>
        <v>#DIV/0!</v>
      </c>
      <c r="U123" s="8"/>
      <c r="V123" s="8"/>
    </row>
    <row r="124" spans="2:22" x14ac:dyDescent="0.35">
      <c r="B124" s="9"/>
      <c r="G124">
        <f t="shared" si="17"/>
        <v>1</v>
      </c>
      <c r="H124">
        <f t="shared" si="18"/>
        <v>0</v>
      </c>
      <c r="I124">
        <f t="shared" si="19"/>
        <v>0</v>
      </c>
      <c r="J124">
        <f t="shared" si="20"/>
        <v>0</v>
      </c>
      <c r="K124" s="7">
        <f t="shared" si="21"/>
        <v>1</v>
      </c>
      <c r="L124" s="7">
        <f t="shared" si="22"/>
        <v>0</v>
      </c>
      <c r="M124" s="7" t="e">
        <f t="shared" si="23"/>
        <v>#NUM!</v>
      </c>
      <c r="N124" s="7" t="e">
        <f t="shared" si="24"/>
        <v>#NUM!</v>
      </c>
      <c r="S124" t="e">
        <f t="shared" si="25"/>
        <v>#DIV/0!</v>
      </c>
      <c r="T124" t="e">
        <f t="shared" si="26"/>
        <v>#DIV/0!</v>
      </c>
      <c r="U124" s="8"/>
      <c r="V124" s="8"/>
    </row>
    <row r="125" spans="2:22" x14ac:dyDescent="0.35">
      <c r="B125" s="9"/>
      <c r="G125">
        <f t="shared" si="17"/>
        <v>1</v>
      </c>
      <c r="H125">
        <f t="shared" si="18"/>
        <v>0</v>
      </c>
      <c r="I125">
        <f t="shared" si="19"/>
        <v>0</v>
      </c>
      <c r="J125">
        <f t="shared" si="20"/>
        <v>0</v>
      </c>
      <c r="K125" s="7">
        <f t="shared" si="21"/>
        <v>1</v>
      </c>
      <c r="L125" s="7">
        <f t="shared" si="22"/>
        <v>0</v>
      </c>
      <c r="M125" s="7" t="e">
        <f t="shared" si="23"/>
        <v>#NUM!</v>
      </c>
      <c r="N125" s="7" t="e">
        <f t="shared" si="24"/>
        <v>#NUM!</v>
      </c>
      <c r="S125" t="e">
        <f t="shared" si="25"/>
        <v>#DIV/0!</v>
      </c>
      <c r="T125" t="e">
        <f t="shared" si="26"/>
        <v>#DIV/0!</v>
      </c>
      <c r="U125" s="8"/>
      <c r="V125" s="8"/>
    </row>
    <row r="126" spans="2:22" x14ac:dyDescent="0.35">
      <c r="B126" s="9"/>
      <c r="G126">
        <f t="shared" si="17"/>
        <v>1</v>
      </c>
      <c r="H126">
        <f t="shared" si="18"/>
        <v>0</v>
      </c>
      <c r="I126">
        <f t="shared" si="19"/>
        <v>0</v>
      </c>
      <c r="J126">
        <f t="shared" si="20"/>
        <v>0</v>
      </c>
      <c r="K126" s="7">
        <f t="shared" si="21"/>
        <v>1</v>
      </c>
      <c r="L126" s="7">
        <f t="shared" si="22"/>
        <v>0</v>
      </c>
      <c r="M126" s="7" t="e">
        <f t="shared" si="23"/>
        <v>#NUM!</v>
      </c>
      <c r="N126" s="7" t="e">
        <f t="shared" si="24"/>
        <v>#NUM!</v>
      </c>
      <c r="S126" t="e">
        <f t="shared" si="25"/>
        <v>#DIV/0!</v>
      </c>
      <c r="T126" t="e">
        <f t="shared" si="26"/>
        <v>#DIV/0!</v>
      </c>
      <c r="U126" s="8"/>
      <c r="V126" s="8"/>
    </row>
    <row r="127" spans="2:22" x14ac:dyDescent="0.35">
      <c r="B127" s="9"/>
      <c r="G127">
        <f t="shared" si="17"/>
        <v>1</v>
      </c>
      <c r="H127">
        <f t="shared" si="18"/>
        <v>0</v>
      </c>
      <c r="I127">
        <f t="shared" si="19"/>
        <v>0</v>
      </c>
      <c r="J127">
        <f t="shared" si="20"/>
        <v>0</v>
      </c>
      <c r="K127" s="7">
        <f t="shared" si="21"/>
        <v>1</v>
      </c>
      <c r="L127" s="7">
        <f t="shared" si="22"/>
        <v>0</v>
      </c>
      <c r="M127" s="7" t="e">
        <f t="shared" si="23"/>
        <v>#NUM!</v>
      </c>
      <c r="N127" s="7" t="e">
        <f t="shared" si="24"/>
        <v>#NUM!</v>
      </c>
      <c r="S127" t="e">
        <f t="shared" si="25"/>
        <v>#DIV/0!</v>
      </c>
      <c r="T127" t="e">
        <f t="shared" si="26"/>
        <v>#DIV/0!</v>
      </c>
      <c r="U127" s="8"/>
      <c r="V127" s="8"/>
    </row>
    <row r="128" spans="2:22" x14ac:dyDescent="0.35">
      <c r="B128" s="9"/>
      <c r="G128">
        <f t="shared" si="17"/>
        <v>1</v>
      </c>
      <c r="H128">
        <f t="shared" si="18"/>
        <v>0</v>
      </c>
      <c r="I128">
        <f t="shared" si="19"/>
        <v>0</v>
      </c>
      <c r="J128">
        <f t="shared" si="20"/>
        <v>0</v>
      </c>
      <c r="K128" s="7">
        <f t="shared" si="21"/>
        <v>1</v>
      </c>
      <c r="L128" s="7">
        <f t="shared" si="22"/>
        <v>0</v>
      </c>
      <c r="M128" s="7" t="e">
        <f t="shared" si="23"/>
        <v>#NUM!</v>
      </c>
      <c r="N128" s="7" t="e">
        <f t="shared" si="24"/>
        <v>#NUM!</v>
      </c>
      <c r="S128" t="e">
        <f t="shared" si="25"/>
        <v>#DIV/0!</v>
      </c>
      <c r="T128" t="e">
        <f t="shared" si="26"/>
        <v>#DIV/0!</v>
      </c>
      <c r="U128" s="8"/>
      <c r="V128" s="8"/>
    </row>
    <row r="129" spans="2:22" x14ac:dyDescent="0.35">
      <c r="B129" s="9"/>
      <c r="G129">
        <f t="shared" si="17"/>
        <v>1</v>
      </c>
      <c r="H129">
        <f t="shared" si="18"/>
        <v>0</v>
      </c>
      <c r="I129">
        <f t="shared" si="19"/>
        <v>0</v>
      </c>
      <c r="J129">
        <f t="shared" si="20"/>
        <v>0</v>
      </c>
      <c r="K129" s="7">
        <f t="shared" si="21"/>
        <v>1</v>
      </c>
      <c r="L129" s="7">
        <f t="shared" si="22"/>
        <v>0</v>
      </c>
      <c r="M129" s="7" t="e">
        <f t="shared" si="23"/>
        <v>#NUM!</v>
      </c>
      <c r="N129" s="7" t="e">
        <f t="shared" si="24"/>
        <v>#NUM!</v>
      </c>
      <c r="S129" t="e">
        <f t="shared" si="25"/>
        <v>#DIV/0!</v>
      </c>
      <c r="T129" t="e">
        <f t="shared" si="26"/>
        <v>#DIV/0!</v>
      </c>
      <c r="U129" s="8"/>
      <c r="V129" s="8"/>
    </row>
    <row r="130" spans="2:22" x14ac:dyDescent="0.35">
      <c r="B130" s="9"/>
      <c r="G130">
        <f t="shared" si="17"/>
        <v>1</v>
      </c>
      <c r="H130">
        <f t="shared" si="18"/>
        <v>0</v>
      </c>
      <c r="I130">
        <f t="shared" si="19"/>
        <v>0</v>
      </c>
      <c r="J130">
        <f t="shared" si="20"/>
        <v>0</v>
      </c>
      <c r="K130" s="7">
        <f t="shared" si="21"/>
        <v>1</v>
      </c>
      <c r="L130" s="7">
        <f t="shared" si="22"/>
        <v>0</v>
      </c>
      <c r="M130" s="7" t="e">
        <f t="shared" si="23"/>
        <v>#NUM!</v>
      </c>
      <c r="N130" s="7" t="e">
        <f t="shared" si="24"/>
        <v>#NUM!</v>
      </c>
      <c r="S130" t="e">
        <f t="shared" si="25"/>
        <v>#DIV/0!</v>
      </c>
      <c r="T130" t="e">
        <f t="shared" si="26"/>
        <v>#DIV/0!</v>
      </c>
      <c r="U130" s="8"/>
      <c r="V130" s="8"/>
    </row>
    <row r="131" spans="2:22" x14ac:dyDescent="0.35">
      <c r="B131" s="9"/>
      <c r="G131">
        <f t="shared" ref="G131:G188" si="27">IMREAL(IMDIV(IMSUM(IMPRODUCT(COMPLEX(1 + C131,D131),COMPLEX(1 - C131, - D131)),IMPRODUCT(COMPLEX(E131,F131),COMPLEX(E131,F131))),IMSUB(IMPRODUCT(COMPLEX(1 - C131, - D131),COMPLEX(1 - C131, - D131)),IMPRODUCT(COMPLEX(E131,F131),COMPLEX(E131,F131)))))</f>
        <v>1</v>
      </c>
      <c r="H131">
        <f t="shared" ref="H131:H188" si="28">IMAGINARY(IMDIV(IMSUM(IMPRODUCT(COMPLEX(1 + C131,D131),COMPLEX(1 - C131, - D131)),IMPRODUCT(COMPLEX(E131,F131),COMPLEX(E131,F131))),IMSUB(IMPRODUCT(COMPLEX(1 - C131, - D131),COMPLEX(1 - C131, - D131)),IMPRODUCT(COMPLEX(E131,F131),COMPLEX(E131,F131)))))</f>
        <v>0</v>
      </c>
      <c r="I131">
        <f t="shared" ref="I131:I188" si="29">IMREAL(IMDIV(IMPRODUCT(COMPLEX(2,0),COMPLEX(E131,F131)),IMSUB(IMPRODUCT(COMPLEX(1 - C131, - D131),COMPLEX(1 - C131, - D131)),IMPRODUCT(COMPLEX(E131,F131),COMPLEX(E131,F131)))))</f>
        <v>0</v>
      </c>
      <c r="J131">
        <f t="shared" ref="J131:J188" si="30">IMAGINARY(IMDIV(IMPRODUCT(COMPLEX(2,0),COMPLEX(E131,F131)),IMSUB(IMPRODUCT(COMPLEX(1 - C131, - D131),COMPLEX(1 - C131, - D131)),IMPRODUCT(COMPLEX(E131,F131),COMPLEX(E131,F131)))))</f>
        <v>0</v>
      </c>
      <c r="K131" s="7">
        <f t="shared" ref="K131:K188" si="31">IMREAL(IMSUB(COMPLEX(G131,H131),COMPLEX(I131,J131)))</f>
        <v>1</v>
      </c>
      <c r="L131" s="7">
        <f t="shared" ref="L131:L188" si="32">IMAGINARY(IMSUB(COMPLEX(G131,H131),COMPLEX(I131,J131)))</f>
        <v>0</v>
      </c>
      <c r="M131" s="7" t="e">
        <f t="shared" ref="M131:M188" si="33">IMREAL(IMDIV(IMSUB(IMPRODUCT(COMPLEX(1 - C131, - D131),COMPLEX(1 - C131, - D131)),IMPRODUCT(COMPLEX(E131,F131),COMPLEX(E131,F131))),IMPRODUCT(COMPLEX(2,0),COMPLEX(E131,F131))))</f>
        <v>#NUM!</v>
      </c>
      <c r="N131" s="7" t="e">
        <f t="shared" ref="N131:N188" si="34">IMAGINARY(IMDIV(IMSUB(IMPRODUCT(COMPLEX(1 - C131, - D131),COMPLEX(1 - C131, - D131)),IMPRODUCT(COMPLEX(E131,F131),COMPLEX(E131,F131))),IMPRODUCT(COMPLEX(2,0),COMPLEX(E131,F131))))</f>
        <v>#NUM!</v>
      </c>
      <c r="S131" t="e">
        <f t="shared" ref="S131:S188" si="35">IMABS(COMPLEX(Q131,R131))/IMABS(COMPLEX(O131,P131))</f>
        <v>#DIV/0!</v>
      </c>
      <c r="T131" t="e">
        <f t="shared" ref="T131:T188" si="36">IMARGUMENT(IMDIV(COMPLEX(Q131,R131),COMPLEX(O131/B131,P131/B131)))/PI()*180</f>
        <v>#DIV/0!</v>
      </c>
      <c r="U131" s="8"/>
      <c r="V131" s="8"/>
    </row>
    <row r="132" spans="2:22" x14ac:dyDescent="0.35">
      <c r="B132" s="9"/>
      <c r="G132">
        <f t="shared" si="27"/>
        <v>1</v>
      </c>
      <c r="H132">
        <f t="shared" si="28"/>
        <v>0</v>
      </c>
      <c r="I132">
        <f t="shared" si="29"/>
        <v>0</v>
      </c>
      <c r="J132">
        <f t="shared" si="30"/>
        <v>0</v>
      </c>
      <c r="K132" s="7">
        <f t="shared" si="31"/>
        <v>1</v>
      </c>
      <c r="L132" s="7">
        <f t="shared" si="32"/>
        <v>0</v>
      </c>
      <c r="M132" s="7" t="e">
        <f t="shared" si="33"/>
        <v>#NUM!</v>
      </c>
      <c r="N132" s="7" t="e">
        <f t="shared" si="34"/>
        <v>#NUM!</v>
      </c>
      <c r="S132" t="e">
        <f t="shared" si="35"/>
        <v>#DIV/0!</v>
      </c>
      <c r="T132" t="e">
        <f t="shared" si="36"/>
        <v>#DIV/0!</v>
      </c>
      <c r="U132" s="8"/>
      <c r="V132" s="8"/>
    </row>
    <row r="133" spans="2:22" x14ac:dyDescent="0.35">
      <c r="B133" s="9"/>
      <c r="G133">
        <f t="shared" si="27"/>
        <v>1</v>
      </c>
      <c r="H133">
        <f t="shared" si="28"/>
        <v>0</v>
      </c>
      <c r="I133">
        <f t="shared" si="29"/>
        <v>0</v>
      </c>
      <c r="J133">
        <f t="shared" si="30"/>
        <v>0</v>
      </c>
      <c r="K133" s="7">
        <f t="shared" si="31"/>
        <v>1</v>
      </c>
      <c r="L133" s="7">
        <f t="shared" si="32"/>
        <v>0</v>
      </c>
      <c r="M133" s="7" t="e">
        <f t="shared" si="33"/>
        <v>#NUM!</v>
      </c>
      <c r="N133" s="7" t="e">
        <f t="shared" si="34"/>
        <v>#NUM!</v>
      </c>
      <c r="S133" t="e">
        <f t="shared" si="35"/>
        <v>#DIV/0!</v>
      </c>
      <c r="T133" t="e">
        <f t="shared" si="36"/>
        <v>#DIV/0!</v>
      </c>
      <c r="U133" s="8"/>
      <c r="V133" s="8"/>
    </row>
    <row r="134" spans="2:22" x14ac:dyDescent="0.35">
      <c r="B134" s="9"/>
      <c r="G134">
        <f t="shared" si="27"/>
        <v>1</v>
      </c>
      <c r="H134">
        <f t="shared" si="28"/>
        <v>0</v>
      </c>
      <c r="I134">
        <f t="shared" si="29"/>
        <v>0</v>
      </c>
      <c r="J134">
        <f t="shared" si="30"/>
        <v>0</v>
      </c>
      <c r="K134" s="7">
        <f t="shared" si="31"/>
        <v>1</v>
      </c>
      <c r="L134" s="7">
        <f t="shared" si="32"/>
        <v>0</v>
      </c>
      <c r="M134" s="7" t="e">
        <f t="shared" si="33"/>
        <v>#NUM!</v>
      </c>
      <c r="N134" s="7" t="e">
        <f t="shared" si="34"/>
        <v>#NUM!</v>
      </c>
      <c r="S134" t="e">
        <f t="shared" si="35"/>
        <v>#DIV/0!</v>
      </c>
      <c r="T134" t="e">
        <f t="shared" si="36"/>
        <v>#DIV/0!</v>
      </c>
      <c r="U134" s="8"/>
      <c r="V134" s="8"/>
    </row>
    <row r="135" spans="2:22" x14ac:dyDescent="0.35">
      <c r="B135" s="9"/>
      <c r="G135">
        <f t="shared" si="27"/>
        <v>1</v>
      </c>
      <c r="H135">
        <f t="shared" si="28"/>
        <v>0</v>
      </c>
      <c r="I135">
        <f t="shared" si="29"/>
        <v>0</v>
      </c>
      <c r="J135">
        <f t="shared" si="30"/>
        <v>0</v>
      </c>
      <c r="K135" s="7">
        <f t="shared" si="31"/>
        <v>1</v>
      </c>
      <c r="L135" s="7">
        <f t="shared" si="32"/>
        <v>0</v>
      </c>
      <c r="M135" s="7" t="e">
        <f t="shared" si="33"/>
        <v>#NUM!</v>
      </c>
      <c r="N135" s="7" t="e">
        <f t="shared" si="34"/>
        <v>#NUM!</v>
      </c>
      <c r="S135" t="e">
        <f t="shared" si="35"/>
        <v>#DIV/0!</v>
      </c>
      <c r="T135" t="e">
        <f t="shared" si="36"/>
        <v>#DIV/0!</v>
      </c>
      <c r="U135" s="8"/>
      <c r="V135" s="8"/>
    </row>
    <row r="136" spans="2:22" x14ac:dyDescent="0.35">
      <c r="B136" s="9"/>
      <c r="G136">
        <f t="shared" si="27"/>
        <v>1</v>
      </c>
      <c r="H136">
        <f t="shared" si="28"/>
        <v>0</v>
      </c>
      <c r="I136">
        <f t="shared" si="29"/>
        <v>0</v>
      </c>
      <c r="J136">
        <f t="shared" si="30"/>
        <v>0</v>
      </c>
      <c r="K136" s="7">
        <f t="shared" si="31"/>
        <v>1</v>
      </c>
      <c r="L136" s="7">
        <f t="shared" si="32"/>
        <v>0</v>
      </c>
      <c r="M136" s="7" t="e">
        <f t="shared" si="33"/>
        <v>#NUM!</v>
      </c>
      <c r="N136" s="7" t="e">
        <f t="shared" si="34"/>
        <v>#NUM!</v>
      </c>
      <c r="S136" t="e">
        <f t="shared" si="35"/>
        <v>#DIV/0!</v>
      </c>
      <c r="T136" t="e">
        <f t="shared" si="36"/>
        <v>#DIV/0!</v>
      </c>
      <c r="U136" s="8"/>
      <c r="V136" s="8"/>
    </row>
    <row r="137" spans="2:22" x14ac:dyDescent="0.35">
      <c r="B137" s="9"/>
      <c r="G137">
        <f t="shared" si="27"/>
        <v>1</v>
      </c>
      <c r="H137">
        <f t="shared" si="28"/>
        <v>0</v>
      </c>
      <c r="I137">
        <f t="shared" si="29"/>
        <v>0</v>
      </c>
      <c r="J137">
        <f t="shared" si="30"/>
        <v>0</v>
      </c>
      <c r="K137" s="7">
        <f t="shared" si="31"/>
        <v>1</v>
      </c>
      <c r="L137" s="7">
        <f t="shared" si="32"/>
        <v>0</v>
      </c>
      <c r="M137" s="7" t="e">
        <f t="shared" si="33"/>
        <v>#NUM!</v>
      </c>
      <c r="N137" s="7" t="e">
        <f t="shared" si="34"/>
        <v>#NUM!</v>
      </c>
      <c r="S137" t="e">
        <f t="shared" si="35"/>
        <v>#DIV/0!</v>
      </c>
      <c r="T137" t="e">
        <f t="shared" si="36"/>
        <v>#DIV/0!</v>
      </c>
      <c r="U137" s="8"/>
      <c r="V137" s="8"/>
    </row>
    <row r="138" spans="2:22" x14ac:dyDescent="0.35">
      <c r="B138" s="9"/>
      <c r="G138">
        <f t="shared" si="27"/>
        <v>1</v>
      </c>
      <c r="H138">
        <f t="shared" si="28"/>
        <v>0</v>
      </c>
      <c r="I138">
        <f t="shared" si="29"/>
        <v>0</v>
      </c>
      <c r="J138">
        <f t="shared" si="30"/>
        <v>0</v>
      </c>
      <c r="K138" s="7">
        <f t="shared" si="31"/>
        <v>1</v>
      </c>
      <c r="L138" s="7">
        <f t="shared" si="32"/>
        <v>0</v>
      </c>
      <c r="M138" s="7" t="e">
        <f t="shared" si="33"/>
        <v>#NUM!</v>
      </c>
      <c r="N138" s="7" t="e">
        <f t="shared" si="34"/>
        <v>#NUM!</v>
      </c>
      <c r="S138" t="e">
        <f t="shared" si="35"/>
        <v>#DIV/0!</v>
      </c>
      <c r="T138" t="e">
        <f t="shared" si="36"/>
        <v>#DIV/0!</v>
      </c>
      <c r="U138" s="8"/>
      <c r="V138" s="8"/>
    </row>
    <row r="139" spans="2:22" x14ac:dyDescent="0.35">
      <c r="B139" s="9"/>
      <c r="G139">
        <f t="shared" si="27"/>
        <v>1</v>
      </c>
      <c r="H139">
        <f t="shared" si="28"/>
        <v>0</v>
      </c>
      <c r="I139">
        <f t="shared" si="29"/>
        <v>0</v>
      </c>
      <c r="J139">
        <f t="shared" si="30"/>
        <v>0</v>
      </c>
      <c r="K139" s="7">
        <f t="shared" si="31"/>
        <v>1</v>
      </c>
      <c r="L139" s="7">
        <f t="shared" si="32"/>
        <v>0</v>
      </c>
      <c r="M139" s="7" t="e">
        <f t="shared" si="33"/>
        <v>#NUM!</v>
      </c>
      <c r="N139" s="7" t="e">
        <f t="shared" si="34"/>
        <v>#NUM!</v>
      </c>
      <c r="S139" t="e">
        <f t="shared" si="35"/>
        <v>#DIV/0!</v>
      </c>
      <c r="T139" t="e">
        <f t="shared" si="36"/>
        <v>#DIV/0!</v>
      </c>
      <c r="U139" s="8"/>
      <c r="V139" s="8"/>
    </row>
    <row r="140" spans="2:22" x14ac:dyDescent="0.35">
      <c r="B140" s="9"/>
      <c r="G140">
        <f t="shared" si="27"/>
        <v>1</v>
      </c>
      <c r="H140">
        <f t="shared" si="28"/>
        <v>0</v>
      </c>
      <c r="I140">
        <f t="shared" si="29"/>
        <v>0</v>
      </c>
      <c r="J140">
        <f t="shared" si="30"/>
        <v>0</v>
      </c>
      <c r="K140" s="7">
        <f t="shared" si="31"/>
        <v>1</v>
      </c>
      <c r="L140" s="7">
        <f t="shared" si="32"/>
        <v>0</v>
      </c>
      <c r="M140" s="7" t="e">
        <f t="shared" si="33"/>
        <v>#NUM!</v>
      </c>
      <c r="N140" s="7" t="e">
        <f t="shared" si="34"/>
        <v>#NUM!</v>
      </c>
      <c r="S140" t="e">
        <f t="shared" si="35"/>
        <v>#DIV/0!</v>
      </c>
      <c r="T140" t="e">
        <f t="shared" si="36"/>
        <v>#DIV/0!</v>
      </c>
      <c r="U140" s="8"/>
      <c r="V140" s="8"/>
    </row>
    <row r="141" spans="2:22" x14ac:dyDescent="0.35">
      <c r="B141" s="9"/>
      <c r="G141">
        <f t="shared" si="27"/>
        <v>1</v>
      </c>
      <c r="H141">
        <f t="shared" si="28"/>
        <v>0</v>
      </c>
      <c r="I141">
        <f t="shared" si="29"/>
        <v>0</v>
      </c>
      <c r="J141">
        <f t="shared" si="30"/>
        <v>0</v>
      </c>
      <c r="K141" s="7">
        <f t="shared" si="31"/>
        <v>1</v>
      </c>
      <c r="L141" s="7">
        <f t="shared" si="32"/>
        <v>0</v>
      </c>
      <c r="M141" s="7" t="e">
        <f t="shared" si="33"/>
        <v>#NUM!</v>
      </c>
      <c r="N141" s="7" t="e">
        <f t="shared" si="34"/>
        <v>#NUM!</v>
      </c>
      <c r="S141" t="e">
        <f t="shared" si="35"/>
        <v>#DIV/0!</v>
      </c>
      <c r="T141" t="e">
        <f t="shared" si="36"/>
        <v>#DIV/0!</v>
      </c>
      <c r="U141" s="8"/>
      <c r="V141" s="8"/>
    </row>
    <row r="142" spans="2:22" x14ac:dyDescent="0.35">
      <c r="B142" s="9"/>
      <c r="G142">
        <f t="shared" si="27"/>
        <v>1</v>
      </c>
      <c r="H142">
        <f t="shared" si="28"/>
        <v>0</v>
      </c>
      <c r="I142">
        <f t="shared" si="29"/>
        <v>0</v>
      </c>
      <c r="J142">
        <f t="shared" si="30"/>
        <v>0</v>
      </c>
      <c r="K142" s="7">
        <f t="shared" si="31"/>
        <v>1</v>
      </c>
      <c r="L142" s="7">
        <f t="shared" si="32"/>
        <v>0</v>
      </c>
      <c r="M142" s="7" t="e">
        <f t="shared" si="33"/>
        <v>#NUM!</v>
      </c>
      <c r="N142" s="7" t="e">
        <f t="shared" si="34"/>
        <v>#NUM!</v>
      </c>
      <c r="S142" t="e">
        <f t="shared" si="35"/>
        <v>#DIV/0!</v>
      </c>
      <c r="T142" t="e">
        <f t="shared" si="36"/>
        <v>#DIV/0!</v>
      </c>
      <c r="U142" s="8"/>
      <c r="V142" s="8"/>
    </row>
    <row r="143" spans="2:22" x14ac:dyDescent="0.35">
      <c r="B143" s="9"/>
      <c r="G143">
        <f t="shared" si="27"/>
        <v>1</v>
      </c>
      <c r="H143">
        <f t="shared" si="28"/>
        <v>0</v>
      </c>
      <c r="I143">
        <f t="shared" si="29"/>
        <v>0</v>
      </c>
      <c r="J143">
        <f t="shared" si="30"/>
        <v>0</v>
      </c>
      <c r="K143" s="7">
        <f t="shared" si="31"/>
        <v>1</v>
      </c>
      <c r="L143" s="7">
        <f t="shared" si="32"/>
        <v>0</v>
      </c>
      <c r="M143" s="7" t="e">
        <f t="shared" si="33"/>
        <v>#NUM!</v>
      </c>
      <c r="N143" s="7" t="e">
        <f t="shared" si="34"/>
        <v>#NUM!</v>
      </c>
      <c r="S143" t="e">
        <f t="shared" si="35"/>
        <v>#DIV/0!</v>
      </c>
      <c r="T143" t="e">
        <f t="shared" si="36"/>
        <v>#DIV/0!</v>
      </c>
      <c r="U143" s="8"/>
      <c r="V143" s="8"/>
    </row>
    <row r="144" spans="2:22" x14ac:dyDescent="0.35">
      <c r="B144" s="9"/>
      <c r="G144">
        <f t="shared" si="27"/>
        <v>1</v>
      </c>
      <c r="H144">
        <f t="shared" si="28"/>
        <v>0</v>
      </c>
      <c r="I144">
        <f t="shared" si="29"/>
        <v>0</v>
      </c>
      <c r="J144">
        <f t="shared" si="30"/>
        <v>0</v>
      </c>
      <c r="K144" s="7">
        <f t="shared" si="31"/>
        <v>1</v>
      </c>
      <c r="L144" s="7">
        <f t="shared" si="32"/>
        <v>0</v>
      </c>
      <c r="M144" s="7" t="e">
        <f t="shared" si="33"/>
        <v>#NUM!</v>
      </c>
      <c r="N144" s="7" t="e">
        <f t="shared" si="34"/>
        <v>#NUM!</v>
      </c>
      <c r="S144" t="e">
        <f t="shared" si="35"/>
        <v>#DIV/0!</v>
      </c>
      <c r="T144" t="e">
        <f t="shared" si="36"/>
        <v>#DIV/0!</v>
      </c>
      <c r="U144" s="8"/>
      <c r="V144" s="8"/>
    </row>
    <row r="145" spans="2:22" x14ac:dyDescent="0.35">
      <c r="B145" s="9"/>
      <c r="G145">
        <f t="shared" si="27"/>
        <v>1</v>
      </c>
      <c r="H145">
        <f t="shared" si="28"/>
        <v>0</v>
      </c>
      <c r="I145">
        <f t="shared" si="29"/>
        <v>0</v>
      </c>
      <c r="J145">
        <f t="shared" si="30"/>
        <v>0</v>
      </c>
      <c r="K145" s="7">
        <f t="shared" si="31"/>
        <v>1</v>
      </c>
      <c r="L145" s="7">
        <f t="shared" si="32"/>
        <v>0</v>
      </c>
      <c r="M145" s="7" t="e">
        <f t="shared" si="33"/>
        <v>#NUM!</v>
      </c>
      <c r="N145" s="7" t="e">
        <f t="shared" si="34"/>
        <v>#NUM!</v>
      </c>
      <c r="S145" t="e">
        <f t="shared" si="35"/>
        <v>#DIV/0!</v>
      </c>
      <c r="T145" t="e">
        <f t="shared" si="36"/>
        <v>#DIV/0!</v>
      </c>
      <c r="U145" s="8"/>
      <c r="V145" s="8"/>
    </row>
    <row r="146" spans="2:22" x14ac:dyDescent="0.35">
      <c r="B146" s="9"/>
      <c r="G146">
        <f t="shared" si="27"/>
        <v>1</v>
      </c>
      <c r="H146">
        <f t="shared" si="28"/>
        <v>0</v>
      </c>
      <c r="I146">
        <f t="shared" si="29"/>
        <v>0</v>
      </c>
      <c r="J146">
        <f t="shared" si="30"/>
        <v>0</v>
      </c>
      <c r="K146" s="7">
        <f t="shared" si="31"/>
        <v>1</v>
      </c>
      <c r="L146" s="7">
        <f t="shared" si="32"/>
        <v>0</v>
      </c>
      <c r="M146" s="7" t="e">
        <f t="shared" si="33"/>
        <v>#NUM!</v>
      </c>
      <c r="N146" s="7" t="e">
        <f t="shared" si="34"/>
        <v>#NUM!</v>
      </c>
      <c r="S146" t="e">
        <f t="shared" si="35"/>
        <v>#DIV/0!</v>
      </c>
      <c r="T146" t="e">
        <f t="shared" si="36"/>
        <v>#DIV/0!</v>
      </c>
      <c r="U146" s="8"/>
      <c r="V146" s="8"/>
    </row>
    <row r="147" spans="2:22" x14ac:dyDescent="0.35">
      <c r="B147" s="9"/>
      <c r="G147">
        <f t="shared" si="27"/>
        <v>1</v>
      </c>
      <c r="H147">
        <f t="shared" si="28"/>
        <v>0</v>
      </c>
      <c r="I147">
        <f t="shared" si="29"/>
        <v>0</v>
      </c>
      <c r="J147">
        <f t="shared" si="30"/>
        <v>0</v>
      </c>
      <c r="K147" s="7">
        <f t="shared" si="31"/>
        <v>1</v>
      </c>
      <c r="L147" s="7">
        <f t="shared" si="32"/>
        <v>0</v>
      </c>
      <c r="M147" s="7" t="e">
        <f t="shared" si="33"/>
        <v>#NUM!</v>
      </c>
      <c r="N147" s="7" t="e">
        <f t="shared" si="34"/>
        <v>#NUM!</v>
      </c>
      <c r="S147" t="e">
        <f t="shared" si="35"/>
        <v>#DIV/0!</v>
      </c>
      <c r="T147" t="e">
        <f t="shared" si="36"/>
        <v>#DIV/0!</v>
      </c>
      <c r="U147" s="8"/>
      <c r="V147" s="8"/>
    </row>
    <row r="148" spans="2:22" x14ac:dyDescent="0.35">
      <c r="B148" s="9"/>
      <c r="G148">
        <f t="shared" si="27"/>
        <v>1</v>
      </c>
      <c r="H148">
        <f t="shared" si="28"/>
        <v>0</v>
      </c>
      <c r="I148">
        <f t="shared" si="29"/>
        <v>0</v>
      </c>
      <c r="J148">
        <f t="shared" si="30"/>
        <v>0</v>
      </c>
      <c r="K148" s="7">
        <f t="shared" si="31"/>
        <v>1</v>
      </c>
      <c r="L148" s="7">
        <f t="shared" si="32"/>
        <v>0</v>
      </c>
      <c r="M148" s="7" t="e">
        <f t="shared" si="33"/>
        <v>#NUM!</v>
      </c>
      <c r="N148" s="7" t="e">
        <f t="shared" si="34"/>
        <v>#NUM!</v>
      </c>
      <c r="S148" t="e">
        <f t="shared" si="35"/>
        <v>#DIV/0!</v>
      </c>
      <c r="T148" t="e">
        <f t="shared" si="36"/>
        <v>#DIV/0!</v>
      </c>
      <c r="U148" s="8"/>
      <c r="V148" s="8"/>
    </row>
    <row r="149" spans="2:22" x14ac:dyDescent="0.35">
      <c r="B149" s="9"/>
      <c r="G149">
        <f t="shared" si="27"/>
        <v>1</v>
      </c>
      <c r="H149">
        <f t="shared" si="28"/>
        <v>0</v>
      </c>
      <c r="I149">
        <f t="shared" si="29"/>
        <v>0</v>
      </c>
      <c r="J149">
        <f t="shared" si="30"/>
        <v>0</v>
      </c>
      <c r="K149" s="7">
        <f t="shared" si="31"/>
        <v>1</v>
      </c>
      <c r="L149" s="7">
        <f t="shared" si="32"/>
        <v>0</v>
      </c>
      <c r="M149" s="7" t="e">
        <f t="shared" si="33"/>
        <v>#NUM!</v>
      </c>
      <c r="N149" s="7" t="e">
        <f t="shared" si="34"/>
        <v>#NUM!</v>
      </c>
      <c r="S149" t="e">
        <f t="shared" si="35"/>
        <v>#DIV/0!</v>
      </c>
      <c r="T149" t="e">
        <f t="shared" si="36"/>
        <v>#DIV/0!</v>
      </c>
      <c r="U149" s="8"/>
      <c r="V149" s="8"/>
    </row>
    <row r="150" spans="2:22" x14ac:dyDescent="0.35">
      <c r="B150" s="9"/>
      <c r="G150">
        <f t="shared" si="27"/>
        <v>1</v>
      </c>
      <c r="H150">
        <f t="shared" si="28"/>
        <v>0</v>
      </c>
      <c r="I150">
        <f t="shared" si="29"/>
        <v>0</v>
      </c>
      <c r="J150">
        <f t="shared" si="30"/>
        <v>0</v>
      </c>
      <c r="K150" s="7">
        <f t="shared" si="31"/>
        <v>1</v>
      </c>
      <c r="L150" s="7">
        <f t="shared" si="32"/>
        <v>0</v>
      </c>
      <c r="M150" s="7" t="e">
        <f t="shared" si="33"/>
        <v>#NUM!</v>
      </c>
      <c r="N150" s="7" t="e">
        <f t="shared" si="34"/>
        <v>#NUM!</v>
      </c>
      <c r="S150" t="e">
        <f t="shared" si="35"/>
        <v>#DIV/0!</v>
      </c>
      <c r="T150" t="e">
        <f t="shared" si="36"/>
        <v>#DIV/0!</v>
      </c>
      <c r="U150" s="8"/>
      <c r="V150" s="8"/>
    </row>
    <row r="151" spans="2:22" x14ac:dyDescent="0.35">
      <c r="B151" s="9"/>
      <c r="G151">
        <f t="shared" si="27"/>
        <v>1</v>
      </c>
      <c r="H151">
        <f t="shared" si="28"/>
        <v>0</v>
      </c>
      <c r="I151">
        <f t="shared" si="29"/>
        <v>0</v>
      </c>
      <c r="J151">
        <f t="shared" si="30"/>
        <v>0</v>
      </c>
      <c r="K151" s="7">
        <f t="shared" si="31"/>
        <v>1</v>
      </c>
      <c r="L151" s="7">
        <f t="shared" si="32"/>
        <v>0</v>
      </c>
      <c r="M151" s="7" t="e">
        <f t="shared" si="33"/>
        <v>#NUM!</v>
      </c>
      <c r="N151" s="7" t="e">
        <f t="shared" si="34"/>
        <v>#NUM!</v>
      </c>
      <c r="S151" t="e">
        <f t="shared" si="35"/>
        <v>#DIV/0!</v>
      </c>
      <c r="T151" t="e">
        <f t="shared" si="36"/>
        <v>#DIV/0!</v>
      </c>
      <c r="U151" s="8"/>
      <c r="V151" s="8"/>
    </row>
    <row r="152" spans="2:22" x14ac:dyDescent="0.35">
      <c r="B152" s="9"/>
      <c r="G152">
        <f t="shared" si="27"/>
        <v>1</v>
      </c>
      <c r="H152">
        <f t="shared" si="28"/>
        <v>0</v>
      </c>
      <c r="I152">
        <f t="shared" si="29"/>
        <v>0</v>
      </c>
      <c r="J152">
        <f t="shared" si="30"/>
        <v>0</v>
      </c>
      <c r="K152" s="7">
        <f t="shared" si="31"/>
        <v>1</v>
      </c>
      <c r="L152" s="7">
        <f t="shared" si="32"/>
        <v>0</v>
      </c>
      <c r="M152" s="7" t="e">
        <f t="shared" si="33"/>
        <v>#NUM!</v>
      </c>
      <c r="N152" s="7" t="e">
        <f t="shared" si="34"/>
        <v>#NUM!</v>
      </c>
      <c r="S152" t="e">
        <f t="shared" si="35"/>
        <v>#DIV/0!</v>
      </c>
      <c r="T152" t="e">
        <f t="shared" si="36"/>
        <v>#DIV/0!</v>
      </c>
      <c r="U152" s="8"/>
      <c r="V152" s="8"/>
    </row>
    <row r="153" spans="2:22" x14ac:dyDescent="0.35">
      <c r="B153" s="9"/>
      <c r="G153">
        <f t="shared" si="27"/>
        <v>1</v>
      </c>
      <c r="H153">
        <f t="shared" si="28"/>
        <v>0</v>
      </c>
      <c r="I153">
        <f t="shared" si="29"/>
        <v>0</v>
      </c>
      <c r="J153">
        <f t="shared" si="30"/>
        <v>0</v>
      </c>
      <c r="K153" s="7">
        <f t="shared" si="31"/>
        <v>1</v>
      </c>
      <c r="L153" s="7">
        <f t="shared" si="32"/>
        <v>0</v>
      </c>
      <c r="M153" s="7" t="e">
        <f t="shared" si="33"/>
        <v>#NUM!</v>
      </c>
      <c r="N153" s="7" t="e">
        <f t="shared" si="34"/>
        <v>#NUM!</v>
      </c>
      <c r="S153" t="e">
        <f t="shared" si="35"/>
        <v>#DIV/0!</v>
      </c>
      <c r="T153" t="e">
        <f t="shared" si="36"/>
        <v>#DIV/0!</v>
      </c>
      <c r="U153" s="8"/>
      <c r="V153" s="8"/>
    </row>
    <row r="154" spans="2:22" x14ac:dyDescent="0.35">
      <c r="B154" s="9"/>
      <c r="G154">
        <f t="shared" si="27"/>
        <v>1</v>
      </c>
      <c r="H154">
        <f t="shared" si="28"/>
        <v>0</v>
      </c>
      <c r="I154">
        <f t="shared" si="29"/>
        <v>0</v>
      </c>
      <c r="J154">
        <f t="shared" si="30"/>
        <v>0</v>
      </c>
      <c r="K154" s="7">
        <f t="shared" si="31"/>
        <v>1</v>
      </c>
      <c r="L154" s="7">
        <f t="shared" si="32"/>
        <v>0</v>
      </c>
      <c r="M154" s="7" t="e">
        <f t="shared" si="33"/>
        <v>#NUM!</v>
      </c>
      <c r="N154" s="7" t="e">
        <f t="shared" si="34"/>
        <v>#NUM!</v>
      </c>
      <c r="S154" t="e">
        <f t="shared" si="35"/>
        <v>#DIV/0!</v>
      </c>
      <c r="T154" t="e">
        <f t="shared" si="36"/>
        <v>#DIV/0!</v>
      </c>
      <c r="U154" s="8"/>
      <c r="V154" s="8"/>
    </row>
    <row r="155" spans="2:22" x14ac:dyDescent="0.35">
      <c r="B155" s="9"/>
      <c r="G155">
        <f t="shared" si="27"/>
        <v>1</v>
      </c>
      <c r="H155">
        <f t="shared" si="28"/>
        <v>0</v>
      </c>
      <c r="I155">
        <f t="shared" si="29"/>
        <v>0</v>
      </c>
      <c r="J155">
        <f t="shared" si="30"/>
        <v>0</v>
      </c>
      <c r="K155" s="7">
        <f t="shared" si="31"/>
        <v>1</v>
      </c>
      <c r="L155" s="7">
        <f t="shared" si="32"/>
        <v>0</v>
      </c>
      <c r="M155" s="7" t="e">
        <f t="shared" si="33"/>
        <v>#NUM!</v>
      </c>
      <c r="N155" s="7" t="e">
        <f t="shared" si="34"/>
        <v>#NUM!</v>
      </c>
      <c r="S155" t="e">
        <f t="shared" si="35"/>
        <v>#DIV/0!</v>
      </c>
      <c r="T155" t="e">
        <f t="shared" si="36"/>
        <v>#DIV/0!</v>
      </c>
      <c r="U155" s="8"/>
      <c r="V155" s="8"/>
    </row>
    <row r="156" spans="2:22" x14ac:dyDescent="0.35">
      <c r="B156" s="9"/>
      <c r="G156">
        <f t="shared" si="27"/>
        <v>1</v>
      </c>
      <c r="H156">
        <f t="shared" si="28"/>
        <v>0</v>
      </c>
      <c r="I156">
        <f t="shared" si="29"/>
        <v>0</v>
      </c>
      <c r="J156">
        <f t="shared" si="30"/>
        <v>0</v>
      </c>
      <c r="K156" s="7">
        <f t="shared" si="31"/>
        <v>1</v>
      </c>
      <c r="L156" s="7">
        <f t="shared" si="32"/>
        <v>0</v>
      </c>
      <c r="M156" s="7" t="e">
        <f t="shared" si="33"/>
        <v>#NUM!</v>
      </c>
      <c r="N156" s="7" t="e">
        <f t="shared" si="34"/>
        <v>#NUM!</v>
      </c>
      <c r="S156" t="e">
        <f t="shared" si="35"/>
        <v>#DIV/0!</v>
      </c>
      <c r="T156" t="e">
        <f t="shared" si="36"/>
        <v>#DIV/0!</v>
      </c>
      <c r="U156" s="8"/>
      <c r="V156" s="8"/>
    </row>
    <row r="157" spans="2:22" x14ac:dyDescent="0.35">
      <c r="B157" s="9"/>
      <c r="G157">
        <f t="shared" si="27"/>
        <v>1</v>
      </c>
      <c r="H157">
        <f t="shared" si="28"/>
        <v>0</v>
      </c>
      <c r="I157">
        <f t="shared" si="29"/>
        <v>0</v>
      </c>
      <c r="J157">
        <f t="shared" si="30"/>
        <v>0</v>
      </c>
      <c r="K157" s="7">
        <f t="shared" si="31"/>
        <v>1</v>
      </c>
      <c r="L157" s="7">
        <f t="shared" si="32"/>
        <v>0</v>
      </c>
      <c r="M157" s="7" t="e">
        <f t="shared" si="33"/>
        <v>#NUM!</v>
      </c>
      <c r="N157" s="7" t="e">
        <f t="shared" si="34"/>
        <v>#NUM!</v>
      </c>
      <c r="S157" t="e">
        <f t="shared" si="35"/>
        <v>#DIV/0!</v>
      </c>
      <c r="T157" t="e">
        <f t="shared" si="36"/>
        <v>#DIV/0!</v>
      </c>
      <c r="U157" s="8"/>
      <c r="V157" s="8"/>
    </row>
    <row r="158" spans="2:22" x14ac:dyDescent="0.35">
      <c r="B158" s="9"/>
      <c r="G158">
        <f t="shared" si="27"/>
        <v>1</v>
      </c>
      <c r="H158">
        <f t="shared" si="28"/>
        <v>0</v>
      </c>
      <c r="I158">
        <f t="shared" si="29"/>
        <v>0</v>
      </c>
      <c r="J158">
        <f t="shared" si="30"/>
        <v>0</v>
      </c>
      <c r="K158" s="7">
        <f t="shared" si="31"/>
        <v>1</v>
      </c>
      <c r="L158" s="7">
        <f t="shared" si="32"/>
        <v>0</v>
      </c>
      <c r="M158" s="7" t="e">
        <f t="shared" si="33"/>
        <v>#NUM!</v>
      </c>
      <c r="N158" s="7" t="e">
        <f t="shared" si="34"/>
        <v>#NUM!</v>
      </c>
      <c r="S158" t="e">
        <f t="shared" si="35"/>
        <v>#DIV/0!</v>
      </c>
      <c r="T158" t="e">
        <f t="shared" si="36"/>
        <v>#DIV/0!</v>
      </c>
      <c r="U158" s="8"/>
      <c r="V158" s="8"/>
    </row>
    <row r="159" spans="2:22" x14ac:dyDescent="0.35">
      <c r="B159" s="9"/>
      <c r="G159">
        <f t="shared" si="27"/>
        <v>1</v>
      </c>
      <c r="H159">
        <f t="shared" si="28"/>
        <v>0</v>
      </c>
      <c r="I159">
        <f t="shared" si="29"/>
        <v>0</v>
      </c>
      <c r="J159">
        <f t="shared" si="30"/>
        <v>0</v>
      </c>
      <c r="K159" s="7">
        <f t="shared" si="31"/>
        <v>1</v>
      </c>
      <c r="L159" s="7">
        <f t="shared" si="32"/>
        <v>0</v>
      </c>
      <c r="M159" s="7" t="e">
        <f t="shared" si="33"/>
        <v>#NUM!</v>
      </c>
      <c r="N159" s="7" t="e">
        <f t="shared" si="34"/>
        <v>#NUM!</v>
      </c>
      <c r="S159" t="e">
        <f t="shared" si="35"/>
        <v>#DIV/0!</v>
      </c>
      <c r="T159" t="e">
        <f t="shared" si="36"/>
        <v>#DIV/0!</v>
      </c>
      <c r="U159" s="8"/>
      <c r="V159" s="8"/>
    </row>
    <row r="160" spans="2:22" x14ac:dyDescent="0.35">
      <c r="B160" s="9"/>
      <c r="G160">
        <f t="shared" si="27"/>
        <v>1</v>
      </c>
      <c r="H160">
        <f t="shared" si="28"/>
        <v>0</v>
      </c>
      <c r="I160">
        <f t="shared" si="29"/>
        <v>0</v>
      </c>
      <c r="J160">
        <f t="shared" si="30"/>
        <v>0</v>
      </c>
      <c r="K160" s="7">
        <f t="shared" si="31"/>
        <v>1</v>
      </c>
      <c r="L160" s="7">
        <f t="shared" si="32"/>
        <v>0</v>
      </c>
      <c r="M160" s="7" t="e">
        <f t="shared" si="33"/>
        <v>#NUM!</v>
      </c>
      <c r="N160" s="7" t="e">
        <f t="shared" si="34"/>
        <v>#NUM!</v>
      </c>
      <c r="S160" t="e">
        <f t="shared" si="35"/>
        <v>#DIV/0!</v>
      </c>
      <c r="T160" t="e">
        <f t="shared" si="36"/>
        <v>#DIV/0!</v>
      </c>
      <c r="U160" s="8"/>
      <c r="V160" s="8"/>
    </row>
    <row r="161" spans="2:22" x14ac:dyDescent="0.35">
      <c r="B161" s="9"/>
      <c r="G161">
        <f t="shared" si="27"/>
        <v>1</v>
      </c>
      <c r="H161">
        <f t="shared" si="28"/>
        <v>0</v>
      </c>
      <c r="I161">
        <f t="shared" si="29"/>
        <v>0</v>
      </c>
      <c r="J161">
        <f t="shared" si="30"/>
        <v>0</v>
      </c>
      <c r="K161" s="7">
        <f t="shared" si="31"/>
        <v>1</v>
      </c>
      <c r="L161" s="7">
        <f t="shared" si="32"/>
        <v>0</v>
      </c>
      <c r="M161" s="7" t="e">
        <f t="shared" si="33"/>
        <v>#NUM!</v>
      </c>
      <c r="N161" s="7" t="e">
        <f t="shared" si="34"/>
        <v>#NUM!</v>
      </c>
      <c r="S161" t="e">
        <f t="shared" si="35"/>
        <v>#DIV/0!</v>
      </c>
      <c r="T161" t="e">
        <f t="shared" si="36"/>
        <v>#DIV/0!</v>
      </c>
      <c r="U161" s="8"/>
      <c r="V161" s="8"/>
    </row>
    <row r="162" spans="2:22" x14ac:dyDescent="0.35">
      <c r="B162" s="9"/>
      <c r="G162">
        <f t="shared" si="27"/>
        <v>1</v>
      </c>
      <c r="H162">
        <f t="shared" si="28"/>
        <v>0</v>
      </c>
      <c r="I162">
        <f t="shared" si="29"/>
        <v>0</v>
      </c>
      <c r="J162">
        <f t="shared" si="30"/>
        <v>0</v>
      </c>
      <c r="K162" s="7">
        <f t="shared" si="31"/>
        <v>1</v>
      </c>
      <c r="L162" s="7">
        <f t="shared" si="32"/>
        <v>0</v>
      </c>
      <c r="M162" s="7" t="e">
        <f t="shared" si="33"/>
        <v>#NUM!</v>
      </c>
      <c r="N162" s="7" t="e">
        <f t="shared" si="34"/>
        <v>#NUM!</v>
      </c>
      <c r="S162" t="e">
        <f t="shared" si="35"/>
        <v>#DIV/0!</v>
      </c>
      <c r="T162" t="e">
        <f t="shared" si="36"/>
        <v>#DIV/0!</v>
      </c>
      <c r="U162" s="8"/>
      <c r="V162" s="8"/>
    </row>
    <row r="163" spans="2:22" x14ac:dyDescent="0.35">
      <c r="B163" s="9"/>
      <c r="G163">
        <f t="shared" si="27"/>
        <v>1</v>
      </c>
      <c r="H163">
        <f t="shared" si="28"/>
        <v>0</v>
      </c>
      <c r="I163">
        <f t="shared" si="29"/>
        <v>0</v>
      </c>
      <c r="J163">
        <f t="shared" si="30"/>
        <v>0</v>
      </c>
      <c r="K163" s="7">
        <f t="shared" si="31"/>
        <v>1</v>
      </c>
      <c r="L163" s="7">
        <f t="shared" si="32"/>
        <v>0</v>
      </c>
      <c r="M163" s="7" t="e">
        <f t="shared" si="33"/>
        <v>#NUM!</v>
      </c>
      <c r="N163" s="7" t="e">
        <f t="shared" si="34"/>
        <v>#NUM!</v>
      </c>
      <c r="S163" t="e">
        <f t="shared" si="35"/>
        <v>#DIV/0!</v>
      </c>
      <c r="T163" t="e">
        <f t="shared" si="36"/>
        <v>#DIV/0!</v>
      </c>
      <c r="U163" s="8"/>
      <c r="V163" s="8"/>
    </row>
    <row r="164" spans="2:22" x14ac:dyDescent="0.35">
      <c r="B164" s="9"/>
      <c r="G164">
        <f t="shared" si="27"/>
        <v>1</v>
      </c>
      <c r="H164">
        <f t="shared" si="28"/>
        <v>0</v>
      </c>
      <c r="I164">
        <f t="shared" si="29"/>
        <v>0</v>
      </c>
      <c r="J164">
        <f t="shared" si="30"/>
        <v>0</v>
      </c>
      <c r="K164" s="7">
        <f t="shared" si="31"/>
        <v>1</v>
      </c>
      <c r="L164" s="7">
        <f t="shared" si="32"/>
        <v>0</v>
      </c>
      <c r="M164" s="7" t="e">
        <f t="shared" si="33"/>
        <v>#NUM!</v>
      </c>
      <c r="N164" s="7" t="e">
        <f t="shared" si="34"/>
        <v>#NUM!</v>
      </c>
      <c r="S164" t="e">
        <f t="shared" si="35"/>
        <v>#DIV/0!</v>
      </c>
      <c r="T164" t="e">
        <f t="shared" si="36"/>
        <v>#DIV/0!</v>
      </c>
      <c r="U164" s="8"/>
      <c r="V164" s="8"/>
    </row>
    <row r="165" spans="2:22" x14ac:dyDescent="0.35">
      <c r="B165" s="9"/>
      <c r="G165">
        <f t="shared" si="27"/>
        <v>1</v>
      </c>
      <c r="H165">
        <f t="shared" si="28"/>
        <v>0</v>
      </c>
      <c r="I165">
        <f t="shared" si="29"/>
        <v>0</v>
      </c>
      <c r="J165">
        <f t="shared" si="30"/>
        <v>0</v>
      </c>
      <c r="K165" s="7">
        <f t="shared" si="31"/>
        <v>1</v>
      </c>
      <c r="L165" s="7">
        <f t="shared" si="32"/>
        <v>0</v>
      </c>
      <c r="M165" s="7" t="e">
        <f t="shared" si="33"/>
        <v>#NUM!</v>
      </c>
      <c r="N165" s="7" t="e">
        <f t="shared" si="34"/>
        <v>#NUM!</v>
      </c>
      <c r="S165" t="e">
        <f t="shared" si="35"/>
        <v>#DIV/0!</v>
      </c>
      <c r="T165" t="e">
        <f t="shared" si="36"/>
        <v>#DIV/0!</v>
      </c>
      <c r="U165" s="8"/>
      <c r="V165" s="8"/>
    </row>
    <row r="166" spans="2:22" x14ac:dyDescent="0.35">
      <c r="B166" s="9"/>
      <c r="G166">
        <f t="shared" si="27"/>
        <v>1</v>
      </c>
      <c r="H166">
        <f t="shared" si="28"/>
        <v>0</v>
      </c>
      <c r="I166">
        <f t="shared" si="29"/>
        <v>0</v>
      </c>
      <c r="J166">
        <f t="shared" si="30"/>
        <v>0</v>
      </c>
      <c r="K166" s="7">
        <f t="shared" si="31"/>
        <v>1</v>
      </c>
      <c r="L166" s="7">
        <f t="shared" si="32"/>
        <v>0</v>
      </c>
      <c r="M166" s="7" t="e">
        <f t="shared" si="33"/>
        <v>#NUM!</v>
      </c>
      <c r="N166" s="7" t="e">
        <f t="shared" si="34"/>
        <v>#NUM!</v>
      </c>
      <c r="S166" t="e">
        <f t="shared" si="35"/>
        <v>#DIV/0!</v>
      </c>
      <c r="T166" t="e">
        <f t="shared" si="36"/>
        <v>#DIV/0!</v>
      </c>
      <c r="U166" s="8"/>
      <c r="V166" s="8"/>
    </row>
    <row r="167" spans="2:22" x14ac:dyDescent="0.35">
      <c r="B167" s="9"/>
      <c r="G167">
        <f t="shared" si="27"/>
        <v>1</v>
      </c>
      <c r="H167">
        <f t="shared" si="28"/>
        <v>0</v>
      </c>
      <c r="I167">
        <f t="shared" si="29"/>
        <v>0</v>
      </c>
      <c r="J167">
        <f t="shared" si="30"/>
        <v>0</v>
      </c>
      <c r="K167" s="7">
        <f t="shared" si="31"/>
        <v>1</v>
      </c>
      <c r="L167" s="7">
        <f t="shared" si="32"/>
        <v>0</v>
      </c>
      <c r="M167" s="7" t="e">
        <f t="shared" si="33"/>
        <v>#NUM!</v>
      </c>
      <c r="N167" s="7" t="e">
        <f t="shared" si="34"/>
        <v>#NUM!</v>
      </c>
      <c r="S167" t="e">
        <f t="shared" si="35"/>
        <v>#DIV/0!</v>
      </c>
      <c r="T167" t="e">
        <f t="shared" si="36"/>
        <v>#DIV/0!</v>
      </c>
      <c r="U167" s="8"/>
      <c r="V167" s="8"/>
    </row>
    <row r="168" spans="2:22" x14ac:dyDescent="0.35">
      <c r="B168" s="9"/>
      <c r="G168">
        <f t="shared" si="27"/>
        <v>1</v>
      </c>
      <c r="H168">
        <f t="shared" si="28"/>
        <v>0</v>
      </c>
      <c r="I168">
        <f t="shared" si="29"/>
        <v>0</v>
      </c>
      <c r="J168">
        <f t="shared" si="30"/>
        <v>0</v>
      </c>
      <c r="K168" s="7">
        <f t="shared" si="31"/>
        <v>1</v>
      </c>
      <c r="L168" s="7">
        <f t="shared" si="32"/>
        <v>0</v>
      </c>
      <c r="M168" s="7" t="e">
        <f t="shared" si="33"/>
        <v>#NUM!</v>
      </c>
      <c r="N168" s="7" t="e">
        <f t="shared" si="34"/>
        <v>#NUM!</v>
      </c>
      <c r="S168" t="e">
        <f t="shared" si="35"/>
        <v>#DIV/0!</v>
      </c>
      <c r="T168" t="e">
        <f t="shared" si="36"/>
        <v>#DIV/0!</v>
      </c>
      <c r="U168" s="8"/>
      <c r="V168" s="8"/>
    </row>
    <row r="169" spans="2:22" x14ac:dyDescent="0.35">
      <c r="B169" s="9"/>
      <c r="G169">
        <f t="shared" si="27"/>
        <v>1</v>
      </c>
      <c r="H169">
        <f t="shared" si="28"/>
        <v>0</v>
      </c>
      <c r="I169">
        <f t="shared" si="29"/>
        <v>0</v>
      </c>
      <c r="J169">
        <f t="shared" si="30"/>
        <v>0</v>
      </c>
      <c r="K169" s="7">
        <f t="shared" si="31"/>
        <v>1</v>
      </c>
      <c r="L169" s="7">
        <f t="shared" si="32"/>
        <v>0</v>
      </c>
      <c r="M169" s="7" t="e">
        <f t="shared" si="33"/>
        <v>#NUM!</v>
      </c>
      <c r="N169" s="7" t="e">
        <f t="shared" si="34"/>
        <v>#NUM!</v>
      </c>
      <c r="S169" t="e">
        <f t="shared" si="35"/>
        <v>#DIV/0!</v>
      </c>
      <c r="T169" t="e">
        <f t="shared" si="36"/>
        <v>#DIV/0!</v>
      </c>
      <c r="U169" s="8"/>
      <c r="V169" s="8"/>
    </row>
    <row r="170" spans="2:22" x14ac:dyDescent="0.35">
      <c r="B170" s="9"/>
      <c r="G170">
        <f t="shared" si="27"/>
        <v>1</v>
      </c>
      <c r="H170">
        <f t="shared" si="28"/>
        <v>0</v>
      </c>
      <c r="I170">
        <f t="shared" si="29"/>
        <v>0</v>
      </c>
      <c r="J170">
        <f t="shared" si="30"/>
        <v>0</v>
      </c>
      <c r="K170" s="7">
        <f t="shared" si="31"/>
        <v>1</v>
      </c>
      <c r="L170" s="7">
        <f t="shared" si="32"/>
        <v>0</v>
      </c>
      <c r="M170" s="7" t="e">
        <f t="shared" si="33"/>
        <v>#NUM!</v>
      </c>
      <c r="N170" s="7" t="e">
        <f t="shared" si="34"/>
        <v>#NUM!</v>
      </c>
      <c r="S170" t="e">
        <f t="shared" si="35"/>
        <v>#DIV/0!</v>
      </c>
      <c r="T170" t="e">
        <f t="shared" si="36"/>
        <v>#DIV/0!</v>
      </c>
      <c r="U170" s="8"/>
      <c r="V170" s="8"/>
    </row>
    <row r="171" spans="2:22" x14ac:dyDescent="0.35">
      <c r="B171" s="9"/>
      <c r="G171">
        <f t="shared" si="27"/>
        <v>1</v>
      </c>
      <c r="H171">
        <f t="shared" si="28"/>
        <v>0</v>
      </c>
      <c r="I171">
        <f t="shared" si="29"/>
        <v>0</v>
      </c>
      <c r="J171">
        <f t="shared" si="30"/>
        <v>0</v>
      </c>
      <c r="K171" s="7">
        <f t="shared" si="31"/>
        <v>1</v>
      </c>
      <c r="L171" s="7">
        <f t="shared" si="32"/>
        <v>0</v>
      </c>
      <c r="M171" s="7" t="e">
        <f t="shared" si="33"/>
        <v>#NUM!</v>
      </c>
      <c r="N171" s="7" t="e">
        <f t="shared" si="34"/>
        <v>#NUM!</v>
      </c>
      <c r="S171" t="e">
        <f t="shared" si="35"/>
        <v>#DIV/0!</v>
      </c>
      <c r="T171" t="e">
        <f t="shared" si="36"/>
        <v>#DIV/0!</v>
      </c>
      <c r="U171" s="8"/>
      <c r="V171" s="8"/>
    </row>
    <row r="172" spans="2:22" x14ac:dyDescent="0.35">
      <c r="B172" s="9"/>
      <c r="G172">
        <f t="shared" si="27"/>
        <v>1</v>
      </c>
      <c r="H172">
        <f t="shared" si="28"/>
        <v>0</v>
      </c>
      <c r="I172">
        <f t="shared" si="29"/>
        <v>0</v>
      </c>
      <c r="J172">
        <f t="shared" si="30"/>
        <v>0</v>
      </c>
      <c r="K172" s="7">
        <f t="shared" si="31"/>
        <v>1</v>
      </c>
      <c r="L172" s="7">
        <f t="shared" si="32"/>
        <v>0</v>
      </c>
      <c r="M172" s="7" t="e">
        <f t="shared" si="33"/>
        <v>#NUM!</v>
      </c>
      <c r="N172" s="7" t="e">
        <f t="shared" si="34"/>
        <v>#NUM!</v>
      </c>
      <c r="S172" t="e">
        <f t="shared" si="35"/>
        <v>#DIV/0!</v>
      </c>
      <c r="T172" t="e">
        <f t="shared" si="36"/>
        <v>#DIV/0!</v>
      </c>
      <c r="U172" s="8"/>
      <c r="V172" s="8"/>
    </row>
    <row r="173" spans="2:22" x14ac:dyDescent="0.35">
      <c r="B173" s="9"/>
      <c r="G173">
        <f t="shared" si="27"/>
        <v>1</v>
      </c>
      <c r="H173">
        <f t="shared" si="28"/>
        <v>0</v>
      </c>
      <c r="I173">
        <f t="shared" si="29"/>
        <v>0</v>
      </c>
      <c r="J173">
        <f t="shared" si="30"/>
        <v>0</v>
      </c>
      <c r="K173" s="7">
        <f t="shared" si="31"/>
        <v>1</v>
      </c>
      <c r="L173" s="7">
        <f t="shared" si="32"/>
        <v>0</v>
      </c>
      <c r="M173" s="7" t="e">
        <f t="shared" si="33"/>
        <v>#NUM!</v>
      </c>
      <c r="N173" s="7" t="e">
        <f t="shared" si="34"/>
        <v>#NUM!</v>
      </c>
      <c r="S173" t="e">
        <f t="shared" si="35"/>
        <v>#DIV/0!</v>
      </c>
      <c r="T173" t="e">
        <f t="shared" si="36"/>
        <v>#DIV/0!</v>
      </c>
      <c r="U173" s="8"/>
      <c r="V173" s="8"/>
    </row>
    <row r="174" spans="2:22" x14ac:dyDescent="0.35">
      <c r="B174" s="9"/>
      <c r="G174">
        <f t="shared" si="27"/>
        <v>1</v>
      </c>
      <c r="H174">
        <f t="shared" si="28"/>
        <v>0</v>
      </c>
      <c r="I174">
        <f t="shared" si="29"/>
        <v>0</v>
      </c>
      <c r="J174">
        <f t="shared" si="30"/>
        <v>0</v>
      </c>
      <c r="K174" s="7">
        <f t="shared" si="31"/>
        <v>1</v>
      </c>
      <c r="L174" s="7">
        <f t="shared" si="32"/>
        <v>0</v>
      </c>
      <c r="M174" s="7" t="e">
        <f t="shared" si="33"/>
        <v>#NUM!</v>
      </c>
      <c r="N174" s="7" t="e">
        <f t="shared" si="34"/>
        <v>#NUM!</v>
      </c>
      <c r="S174" t="e">
        <f t="shared" si="35"/>
        <v>#DIV/0!</v>
      </c>
      <c r="T174" t="e">
        <f t="shared" si="36"/>
        <v>#DIV/0!</v>
      </c>
      <c r="U174" s="8"/>
      <c r="V174" s="8"/>
    </row>
    <row r="175" spans="2:22" x14ac:dyDescent="0.35">
      <c r="B175" s="9"/>
      <c r="G175">
        <f t="shared" si="27"/>
        <v>1</v>
      </c>
      <c r="H175">
        <f t="shared" si="28"/>
        <v>0</v>
      </c>
      <c r="I175">
        <f t="shared" si="29"/>
        <v>0</v>
      </c>
      <c r="J175">
        <f t="shared" si="30"/>
        <v>0</v>
      </c>
      <c r="K175" s="7">
        <f t="shared" si="31"/>
        <v>1</v>
      </c>
      <c r="L175" s="7">
        <f t="shared" si="32"/>
        <v>0</v>
      </c>
      <c r="M175" s="7" t="e">
        <f t="shared" si="33"/>
        <v>#NUM!</v>
      </c>
      <c r="N175" s="7" t="e">
        <f t="shared" si="34"/>
        <v>#NUM!</v>
      </c>
      <c r="S175" t="e">
        <f t="shared" si="35"/>
        <v>#DIV/0!</v>
      </c>
      <c r="T175" t="e">
        <f t="shared" si="36"/>
        <v>#DIV/0!</v>
      </c>
      <c r="U175" s="8"/>
      <c r="V175" s="8"/>
    </row>
    <row r="176" spans="2:22" x14ac:dyDescent="0.35">
      <c r="B176" s="9"/>
      <c r="G176">
        <f t="shared" si="27"/>
        <v>1</v>
      </c>
      <c r="H176">
        <f t="shared" si="28"/>
        <v>0</v>
      </c>
      <c r="I176">
        <f t="shared" si="29"/>
        <v>0</v>
      </c>
      <c r="J176">
        <f t="shared" si="30"/>
        <v>0</v>
      </c>
      <c r="K176" s="7">
        <f t="shared" si="31"/>
        <v>1</v>
      </c>
      <c r="L176" s="7">
        <f t="shared" si="32"/>
        <v>0</v>
      </c>
      <c r="M176" s="7" t="e">
        <f t="shared" si="33"/>
        <v>#NUM!</v>
      </c>
      <c r="N176" s="7" t="e">
        <f t="shared" si="34"/>
        <v>#NUM!</v>
      </c>
      <c r="S176" t="e">
        <f t="shared" si="35"/>
        <v>#DIV/0!</v>
      </c>
      <c r="T176" t="e">
        <f t="shared" si="36"/>
        <v>#DIV/0!</v>
      </c>
      <c r="U176" s="8"/>
      <c r="V176" s="8"/>
    </row>
    <row r="177" spans="2:22" x14ac:dyDescent="0.35">
      <c r="B177" s="9"/>
      <c r="G177">
        <f t="shared" si="27"/>
        <v>1</v>
      </c>
      <c r="H177">
        <f t="shared" si="28"/>
        <v>0</v>
      </c>
      <c r="I177">
        <f t="shared" si="29"/>
        <v>0</v>
      </c>
      <c r="J177">
        <f t="shared" si="30"/>
        <v>0</v>
      </c>
      <c r="K177" s="7">
        <f t="shared" si="31"/>
        <v>1</v>
      </c>
      <c r="L177" s="7">
        <f t="shared" si="32"/>
        <v>0</v>
      </c>
      <c r="M177" s="7" t="e">
        <f t="shared" si="33"/>
        <v>#NUM!</v>
      </c>
      <c r="N177" s="7" t="e">
        <f t="shared" si="34"/>
        <v>#NUM!</v>
      </c>
      <c r="S177" t="e">
        <f t="shared" si="35"/>
        <v>#DIV/0!</v>
      </c>
      <c r="T177" t="e">
        <f t="shared" si="36"/>
        <v>#DIV/0!</v>
      </c>
      <c r="U177" s="8"/>
      <c r="V177" s="8"/>
    </row>
    <row r="178" spans="2:22" x14ac:dyDescent="0.35">
      <c r="B178" s="9"/>
      <c r="G178">
        <f t="shared" si="27"/>
        <v>1</v>
      </c>
      <c r="H178">
        <f t="shared" si="28"/>
        <v>0</v>
      </c>
      <c r="I178">
        <f t="shared" si="29"/>
        <v>0</v>
      </c>
      <c r="J178">
        <f t="shared" si="30"/>
        <v>0</v>
      </c>
      <c r="K178" s="7">
        <f t="shared" si="31"/>
        <v>1</v>
      </c>
      <c r="L178" s="7">
        <f t="shared" si="32"/>
        <v>0</v>
      </c>
      <c r="M178" s="7" t="e">
        <f t="shared" si="33"/>
        <v>#NUM!</v>
      </c>
      <c r="N178" s="7" t="e">
        <f t="shared" si="34"/>
        <v>#NUM!</v>
      </c>
      <c r="S178" t="e">
        <f t="shared" si="35"/>
        <v>#DIV/0!</v>
      </c>
      <c r="T178" t="e">
        <f t="shared" si="36"/>
        <v>#DIV/0!</v>
      </c>
      <c r="U178" s="8"/>
      <c r="V178" s="8"/>
    </row>
    <row r="179" spans="2:22" x14ac:dyDescent="0.35">
      <c r="B179" s="9"/>
      <c r="G179">
        <f t="shared" si="27"/>
        <v>1</v>
      </c>
      <c r="H179">
        <f t="shared" si="28"/>
        <v>0</v>
      </c>
      <c r="I179">
        <f t="shared" si="29"/>
        <v>0</v>
      </c>
      <c r="J179">
        <f t="shared" si="30"/>
        <v>0</v>
      </c>
      <c r="K179" s="7">
        <f t="shared" si="31"/>
        <v>1</v>
      </c>
      <c r="L179" s="7">
        <f t="shared" si="32"/>
        <v>0</v>
      </c>
      <c r="M179" s="7" t="e">
        <f t="shared" si="33"/>
        <v>#NUM!</v>
      </c>
      <c r="N179" s="7" t="e">
        <f t="shared" si="34"/>
        <v>#NUM!</v>
      </c>
      <c r="S179" t="e">
        <f t="shared" si="35"/>
        <v>#DIV/0!</v>
      </c>
      <c r="T179" t="e">
        <f t="shared" si="36"/>
        <v>#DIV/0!</v>
      </c>
      <c r="U179" s="8"/>
      <c r="V179" s="8"/>
    </row>
    <row r="180" spans="2:22" x14ac:dyDescent="0.35">
      <c r="B180" s="9"/>
      <c r="G180">
        <f t="shared" si="27"/>
        <v>1</v>
      </c>
      <c r="H180">
        <f t="shared" si="28"/>
        <v>0</v>
      </c>
      <c r="I180">
        <f t="shared" si="29"/>
        <v>0</v>
      </c>
      <c r="J180">
        <f t="shared" si="30"/>
        <v>0</v>
      </c>
      <c r="K180" s="7">
        <f t="shared" si="31"/>
        <v>1</v>
      </c>
      <c r="L180" s="7">
        <f t="shared" si="32"/>
        <v>0</v>
      </c>
      <c r="M180" s="7" t="e">
        <f t="shared" si="33"/>
        <v>#NUM!</v>
      </c>
      <c r="N180" s="7" t="e">
        <f t="shared" si="34"/>
        <v>#NUM!</v>
      </c>
      <c r="S180" t="e">
        <f t="shared" si="35"/>
        <v>#DIV/0!</v>
      </c>
      <c r="T180" t="e">
        <f t="shared" si="36"/>
        <v>#DIV/0!</v>
      </c>
      <c r="U180" s="8"/>
      <c r="V180" s="8"/>
    </row>
    <row r="181" spans="2:22" x14ac:dyDescent="0.35">
      <c r="B181" s="9"/>
      <c r="G181">
        <f t="shared" si="27"/>
        <v>1</v>
      </c>
      <c r="H181">
        <f t="shared" si="28"/>
        <v>0</v>
      </c>
      <c r="I181">
        <f t="shared" si="29"/>
        <v>0</v>
      </c>
      <c r="J181">
        <f t="shared" si="30"/>
        <v>0</v>
      </c>
      <c r="K181" s="7">
        <f t="shared" si="31"/>
        <v>1</v>
      </c>
      <c r="L181" s="7">
        <f t="shared" si="32"/>
        <v>0</v>
      </c>
      <c r="M181" s="7" t="e">
        <f t="shared" si="33"/>
        <v>#NUM!</v>
      </c>
      <c r="N181" s="7" t="e">
        <f t="shared" si="34"/>
        <v>#NUM!</v>
      </c>
      <c r="S181" t="e">
        <f t="shared" si="35"/>
        <v>#DIV/0!</v>
      </c>
      <c r="T181" t="e">
        <f t="shared" si="36"/>
        <v>#DIV/0!</v>
      </c>
      <c r="U181" s="8"/>
      <c r="V181" s="8"/>
    </row>
    <row r="182" spans="2:22" x14ac:dyDescent="0.35">
      <c r="B182" s="9"/>
      <c r="G182">
        <f t="shared" si="27"/>
        <v>1</v>
      </c>
      <c r="H182">
        <f t="shared" si="28"/>
        <v>0</v>
      </c>
      <c r="I182">
        <f t="shared" si="29"/>
        <v>0</v>
      </c>
      <c r="J182">
        <f t="shared" si="30"/>
        <v>0</v>
      </c>
      <c r="K182" s="7">
        <f t="shared" si="31"/>
        <v>1</v>
      </c>
      <c r="L182" s="7">
        <f t="shared" si="32"/>
        <v>0</v>
      </c>
      <c r="M182" s="7" t="e">
        <f t="shared" si="33"/>
        <v>#NUM!</v>
      </c>
      <c r="N182" s="7" t="e">
        <f t="shared" si="34"/>
        <v>#NUM!</v>
      </c>
      <c r="S182" t="e">
        <f t="shared" si="35"/>
        <v>#DIV/0!</v>
      </c>
      <c r="T182" t="e">
        <f t="shared" si="36"/>
        <v>#DIV/0!</v>
      </c>
      <c r="U182" s="8"/>
      <c r="V182" s="8"/>
    </row>
    <row r="183" spans="2:22" x14ac:dyDescent="0.35">
      <c r="B183" s="9"/>
      <c r="G183">
        <f t="shared" si="27"/>
        <v>1</v>
      </c>
      <c r="H183">
        <f t="shared" si="28"/>
        <v>0</v>
      </c>
      <c r="I183">
        <f t="shared" si="29"/>
        <v>0</v>
      </c>
      <c r="J183">
        <f t="shared" si="30"/>
        <v>0</v>
      </c>
      <c r="K183" s="7">
        <f t="shared" si="31"/>
        <v>1</v>
      </c>
      <c r="L183" s="7">
        <f t="shared" si="32"/>
        <v>0</v>
      </c>
      <c r="M183" s="7" t="e">
        <f t="shared" si="33"/>
        <v>#NUM!</v>
      </c>
      <c r="N183" s="7" t="e">
        <f t="shared" si="34"/>
        <v>#NUM!</v>
      </c>
      <c r="S183" t="e">
        <f t="shared" si="35"/>
        <v>#DIV/0!</v>
      </c>
      <c r="T183" t="e">
        <f t="shared" si="36"/>
        <v>#DIV/0!</v>
      </c>
      <c r="U183" s="8"/>
      <c r="V183" s="8"/>
    </row>
    <row r="184" spans="2:22" x14ac:dyDescent="0.35">
      <c r="B184" s="9"/>
      <c r="G184">
        <f t="shared" si="27"/>
        <v>1</v>
      </c>
      <c r="H184">
        <f t="shared" si="28"/>
        <v>0</v>
      </c>
      <c r="I184">
        <f t="shared" si="29"/>
        <v>0</v>
      </c>
      <c r="J184">
        <f t="shared" si="30"/>
        <v>0</v>
      </c>
      <c r="K184" s="7">
        <f t="shared" si="31"/>
        <v>1</v>
      </c>
      <c r="L184" s="7">
        <f t="shared" si="32"/>
        <v>0</v>
      </c>
      <c r="M184" s="7" t="e">
        <f t="shared" si="33"/>
        <v>#NUM!</v>
      </c>
      <c r="N184" s="7" t="e">
        <f t="shared" si="34"/>
        <v>#NUM!</v>
      </c>
      <c r="S184" t="e">
        <f t="shared" si="35"/>
        <v>#DIV/0!</v>
      </c>
      <c r="T184" t="e">
        <f t="shared" si="36"/>
        <v>#DIV/0!</v>
      </c>
      <c r="U184" s="8"/>
      <c r="V184" s="8"/>
    </row>
    <row r="185" spans="2:22" x14ac:dyDescent="0.35">
      <c r="B185" s="9"/>
      <c r="G185">
        <f t="shared" si="27"/>
        <v>1</v>
      </c>
      <c r="H185">
        <f t="shared" si="28"/>
        <v>0</v>
      </c>
      <c r="I185">
        <f t="shared" si="29"/>
        <v>0</v>
      </c>
      <c r="J185">
        <f t="shared" si="30"/>
        <v>0</v>
      </c>
      <c r="K185" s="7">
        <f t="shared" si="31"/>
        <v>1</v>
      </c>
      <c r="L185" s="7">
        <f t="shared" si="32"/>
        <v>0</v>
      </c>
      <c r="M185" s="7" t="e">
        <f t="shared" si="33"/>
        <v>#NUM!</v>
      </c>
      <c r="N185" s="7" t="e">
        <f t="shared" si="34"/>
        <v>#NUM!</v>
      </c>
      <c r="S185" t="e">
        <f t="shared" si="35"/>
        <v>#DIV/0!</v>
      </c>
      <c r="T185" t="e">
        <f t="shared" si="36"/>
        <v>#DIV/0!</v>
      </c>
      <c r="U185" s="8"/>
      <c r="V185" s="8"/>
    </row>
    <row r="186" spans="2:22" x14ac:dyDescent="0.35">
      <c r="B186" s="9"/>
      <c r="G186">
        <f t="shared" si="27"/>
        <v>1</v>
      </c>
      <c r="H186">
        <f t="shared" si="28"/>
        <v>0</v>
      </c>
      <c r="I186">
        <f t="shared" si="29"/>
        <v>0</v>
      </c>
      <c r="J186">
        <f t="shared" si="30"/>
        <v>0</v>
      </c>
      <c r="K186" s="7">
        <f t="shared" si="31"/>
        <v>1</v>
      </c>
      <c r="L186" s="7">
        <f t="shared" si="32"/>
        <v>0</v>
      </c>
      <c r="M186" s="7" t="e">
        <f t="shared" si="33"/>
        <v>#NUM!</v>
      </c>
      <c r="N186" s="7" t="e">
        <f t="shared" si="34"/>
        <v>#NUM!</v>
      </c>
      <c r="S186" t="e">
        <f t="shared" si="35"/>
        <v>#DIV/0!</v>
      </c>
      <c r="T186" t="e">
        <f t="shared" si="36"/>
        <v>#DIV/0!</v>
      </c>
      <c r="U186" s="8"/>
      <c r="V186" s="8"/>
    </row>
    <row r="187" spans="2:22" x14ac:dyDescent="0.35">
      <c r="B187" s="9"/>
      <c r="G187">
        <f t="shared" si="27"/>
        <v>1</v>
      </c>
      <c r="H187">
        <f t="shared" si="28"/>
        <v>0</v>
      </c>
      <c r="I187">
        <f t="shared" si="29"/>
        <v>0</v>
      </c>
      <c r="J187">
        <f t="shared" si="30"/>
        <v>0</v>
      </c>
      <c r="K187" s="7">
        <f t="shared" si="31"/>
        <v>1</v>
      </c>
      <c r="L187" s="7">
        <f t="shared" si="32"/>
        <v>0</v>
      </c>
      <c r="M187" s="7" t="e">
        <f t="shared" si="33"/>
        <v>#NUM!</v>
      </c>
      <c r="N187" s="7" t="e">
        <f t="shared" si="34"/>
        <v>#NUM!</v>
      </c>
      <c r="S187" t="e">
        <f t="shared" si="35"/>
        <v>#DIV/0!</v>
      </c>
      <c r="T187" t="e">
        <f t="shared" si="36"/>
        <v>#DIV/0!</v>
      </c>
      <c r="U187" s="8"/>
      <c r="V187" s="8"/>
    </row>
    <row r="188" spans="2:22" x14ac:dyDescent="0.35">
      <c r="B188" s="9"/>
      <c r="G188">
        <f t="shared" si="27"/>
        <v>1</v>
      </c>
      <c r="H188">
        <f t="shared" si="28"/>
        <v>0</v>
      </c>
      <c r="I188">
        <f t="shared" si="29"/>
        <v>0</v>
      </c>
      <c r="J188">
        <f t="shared" si="30"/>
        <v>0</v>
      </c>
      <c r="K188" s="7">
        <f t="shared" si="31"/>
        <v>1</v>
      </c>
      <c r="L188" s="7">
        <f t="shared" si="32"/>
        <v>0</v>
      </c>
      <c r="M188" s="7" t="e">
        <f t="shared" si="33"/>
        <v>#NUM!</v>
      </c>
      <c r="N188" s="7" t="e">
        <f t="shared" si="34"/>
        <v>#NUM!</v>
      </c>
      <c r="S188" t="e">
        <f t="shared" si="35"/>
        <v>#DIV/0!</v>
      </c>
      <c r="T188" t="e">
        <f t="shared" si="36"/>
        <v>#DIV/0!</v>
      </c>
      <c r="U188" s="8"/>
      <c r="V188" s="8"/>
    </row>
    <row r="189" spans="2:22" x14ac:dyDescent="0.35">
      <c r="B189"/>
    </row>
    <row r="190" spans="2:22" x14ac:dyDescent="0.35">
      <c r="B190"/>
    </row>
    <row r="191" spans="2:22" x14ac:dyDescent="0.35">
      <c r="B191"/>
    </row>
    <row r="192" spans="2:2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2" x14ac:dyDescent="0.35">
      <c r="B481"/>
    </row>
    <row r="482" spans="2:22" x14ac:dyDescent="0.35">
      <c r="B482"/>
    </row>
    <row r="483" spans="2:22" x14ac:dyDescent="0.35">
      <c r="B483"/>
    </row>
    <row r="484" spans="2:22" x14ac:dyDescent="0.35">
      <c r="B484"/>
    </row>
    <row r="485" spans="2:22" x14ac:dyDescent="0.35">
      <c r="B485"/>
    </row>
    <row r="486" spans="2:22" x14ac:dyDescent="0.35">
      <c r="B486"/>
      <c r="K486" s="7"/>
      <c r="L486" s="7"/>
      <c r="M486" s="7"/>
      <c r="N486" s="7"/>
      <c r="U486" s="8"/>
      <c r="V486" s="8"/>
    </row>
    <row r="487" spans="2:22" x14ac:dyDescent="0.35">
      <c r="B487"/>
      <c r="K487" s="7"/>
      <c r="L487" s="7"/>
      <c r="M487" s="7"/>
      <c r="N487" s="7"/>
      <c r="U487" s="8"/>
      <c r="V487" s="8"/>
    </row>
    <row r="488" spans="2:22" x14ac:dyDescent="0.35">
      <c r="B488"/>
      <c r="K488" s="7"/>
      <c r="L488" s="7"/>
      <c r="M488" s="7"/>
      <c r="N488" s="7"/>
      <c r="U488" s="8"/>
      <c r="V488" s="8"/>
    </row>
    <row r="489" spans="2:22" x14ac:dyDescent="0.35">
      <c r="B489"/>
      <c r="K489" s="7"/>
      <c r="L489" s="7"/>
      <c r="M489" s="7"/>
      <c r="N489" s="7"/>
      <c r="U489" s="8"/>
      <c r="V489" s="8"/>
    </row>
    <row r="490" spans="2:22" x14ac:dyDescent="0.35">
      <c r="B490"/>
      <c r="K490" s="7"/>
      <c r="L490" s="7"/>
      <c r="M490" s="7"/>
      <c r="N490" s="7"/>
      <c r="U490" s="8"/>
      <c r="V490" s="8"/>
    </row>
    <row r="491" spans="2:22" x14ac:dyDescent="0.35">
      <c r="B491"/>
      <c r="K491" s="7"/>
      <c r="L491" s="7"/>
      <c r="M491" s="7"/>
      <c r="N491" s="7"/>
      <c r="U491" s="8"/>
      <c r="V491" s="8"/>
    </row>
    <row r="492" spans="2:22" x14ac:dyDescent="0.35">
      <c r="B492"/>
      <c r="K492" s="7"/>
      <c r="L492" s="7"/>
      <c r="M492" s="7"/>
      <c r="N492" s="7"/>
      <c r="U492" s="8"/>
      <c r="V492" s="8"/>
    </row>
    <row r="493" spans="2:22" x14ac:dyDescent="0.35">
      <c r="B493"/>
      <c r="K493" s="7"/>
      <c r="L493" s="7"/>
      <c r="M493" s="7"/>
      <c r="N493" s="7"/>
      <c r="U493" s="8"/>
      <c r="V493" s="8"/>
    </row>
    <row r="494" spans="2:22" x14ac:dyDescent="0.35">
      <c r="B494"/>
      <c r="K494" s="7"/>
      <c r="L494" s="7"/>
      <c r="M494" s="7"/>
      <c r="N494" s="7"/>
      <c r="U494" s="8"/>
      <c r="V494" s="8"/>
    </row>
    <row r="495" spans="2:22" x14ac:dyDescent="0.35">
      <c r="B495"/>
      <c r="K495" s="7"/>
      <c r="L495" s="7"/>
      <c r="M495" s="7"/>
      <c r="N495" s="7"/>
      <c r="U495" s="8"/>
      <c r="V495" s="8"/>
    </row>
    <row r="496" spans="2:22" x14ac:dyDescent="0.35">
      <c r="B496"/>
      <c r="K496" s="7"/>
      <c r="L496" s="7"/>
      <c r="M496" s="7"/>
      <c r="N496" s="7"/>
      <c r="U496" s="8"/>
      <c r="V496" s="8"/>
    </row>
    <row r="497" spans="2:22" x14ac:dyDescent="0.35">
      <c r="B497"/>
      <c r="K497" s="7"/>
      <c r="L497" s="7"/>
      <c r="M497" s="7"/>
      <c r="N497" s="7"/>
      <c r="U497" s="8"/>
      <c r="V497" s="8"/>
    </row>
    <row r="498" spans="2:22" x14ac:dyDescent="0.35">
      <c r="B498"/>
      <c r="K498" s="7"/>
      <c r="L498" s="7"/>
      <c r="M498" s="7"/>
      <c r="N498" s="7"/>
      <c r="U498" s="8"/>
      <c r="V498" s="8"/>
    </row>
    <row r="499" spans="2:22" x14ac:dyDescent="0.35">
      <c r="B499"/>
      <c r="K499" s="7"/>
      <c r="L499" s="7"/>
      <c r="M499" s="7"/>
      <c r="N499" s="7"/>
      <c r="U499" s="8"/>
      <c r="V499" s="8"/>
    </row>
    <row r="500" spans="2:22" x14ac:dyDescent="0.35">
      <c r="B500"/>
      <c r="K500" s="7"/>
      <c r="L500" s="7"/>
      <c r="M500" s="7"/>
      <c r="N500" s="7"/>
      <c r="U500" s="8"/>
      <c r="V500" s="8"/>
    </row>
    <row r="501" spans="2:22" x14ac:dyDescent="0.35">
      <c r="B501"/>
      <c r="K501" s="7"/>
      <c r="L501" s="7"/>
      <c r="M501" s="7"/>
      <c r="N501" s="7"/>
      <c r="U501" s="8"/>
      <c r="V501" s="8"/>
    </row>
    <row r="502" spans="2:22" x14ac:dyDescent="0.35">
      <c r="B502"/>
      <c r="K502" s="7"/>
      <c r="L502" s="7"/>
      <c r="M502" s="7"/>
      <c r="N502" s="7"/>
      <c r="U502" s="8"/>
      <c r="V502" s="8"/>
    </row>
    <row r="503" spans="2:22" x14ac:dyDescent="0.35">
      <c r="B503"/>
      <c r="K503" s="7"/>
      <c r="L503" s="7"/>
      <c r="M503" s="7"/>
      <c r="N503" s="7"/>
      <c r="U503" s="8"/>
      <c r="V503" s="8"/>
    </row>
    <row r="504" spans="2:22" x14ac:dyDescent="0.35">
      <c r="B504"/>
      <c r="K504" s="7"/>
      <c r="L504" s="7"/>
      <c r="M504" s="7"/>
      <c r="N504" s="7"/>
      <c r="U504" s="8"/>
      <c r="V504" s="8"/>
    </row>
    <row r="505" spans="2:22" x14ac:dyDescent="0.35">
      <c r="B505"/>
      <c r="K505" s="7"/>
      <c r="L505" s="7"/>
      <c r="M505" s="7"/>
      <c r="N505" s="7"/>
      <c r="U505" s="8"/>
      <c r="V505" s="8"/>
    </row>
    <row r="506" spans="2:22" x14ac:dyDescent="0.35">
      <c r="B506"/>
      <c r="K506" s="7"/>
      <c r="L506" s="7"/>
      <c r="M506" s="7"/>
      <c r="N506" s="7"/>
      <c r="U506" s="8"/>
      <c r="V506" s="8"/>
    </row>
    <row r="507" spans="2:22" x14ac:dyDescent="0.35">
      <c r="B507"/>
      <c r="K507" s="7"/>
      <c r="L507" s="7"/>
      <c r="M507" s="7"/>
      <c r="N507" s="7"/>
      <c r="U507" s="8"/>
      <c r="V507" s="8"/>
    </row>
    <row r="508" spans="2:22" x14ac:dyDescent="0.35">
      <c r="B508"/>
      <c r="K508" s="7"/>
      <c r="L508" s="7"/>
      <c r="M508" s="7"/>
      <c r="N508" s="7"/>
      <c r="U508" s="8"/>
      <c r="V508" s="8"/>
    </row>
    <row r="509" spans="2:22" x14ac:dyDescent="0.35">
      <c r="B509"/>
      <c r="K509" s="7"/>
      <c r="L509" s="7"/>
      <c r="M509" s="7"/>
      <c r="N509" s="7"/>
      <c r="U509" s="8"/>
      <c r="V509" s="8"/>
    </row>
    <row r="510" spans="2:22" x14ac:dyDescent="0.35">
      <c r="B510"/>
      <c r="K510" s="7"/>
      <c r="L510" s="7"/>
      <c r="M510" s="7"/>
      <c r="N510" s="7"/>
      <c r="U510" s="8"/>
      <c r="V510" s="8"/>
    </row>
    <row r="511" spans="2:22" x14ac:dyDescent="0.35">
      <c r="B511"/>
      <c r="K511" s="7"/>
      <c r="L511" s="7"/>
      <c r="M511" s="7"/>
      <c r="N511" s="7"/>
      <c r="U511" s="8"/>
      <c r="V511" s="8"/>
    </row>
    <row r="512" spans="2:22" x14ac:dyDescent="0.35">
      <c r="B512"/>
      <c r="K512" s="7"/>
      <c r="L512" s="7"/>
      <c r="M512" s="7"/>
      <c r="N512" s="7"/>
      <c r="U512" s="8"/>
      <c r="V512" s="8"/>
    </row>
    <row r="513" spans="2:22" x14ac:dyDescent="0.35">
      <c r="B513"/>
      <c r="K513" s="7"/>
      <c r="L513" s="7"/>
      <c r="M513" s="7"/>
      <c r="N513" s="7"/>
      <c r="U513" s="8"/>
      <c r="V513" s="8"/>
    </row>
    <row r="514" spans="2:22" x14ac:dyDescent="0.35">
      <c r="B514"/>
      <c r="K514" s="7"/>
      <c r="L514" s="7"/>
      <c r="M514" s="7"/>
      <c r="N514" s="7"/>
      <c r="U514" s="8"/>
      <c r="V514" s="8"/>
    </row>
    <row r="515" spans="2:22" x14ac:dyDescent="0.35">
      <c r="B515"/>
      <c r="K515" s="7"/>
      <c r="L515" s="7"/>
      <c r="M515" s="7"/>
      <c r="N515" s="7"/>
      <c r="U515" s="8"/>
      <c r="V515" s="8"/>
    </row>
    <row r="516" spans="2:22" x14ac:dyDescent="0.35">
      <c r="B516"/>
      <c r="K516" s="7"/>
      <c r="L516" s="7"/>
      <c r="M516" s="7"/>
      <c r="N516" s="7"/>
      <c r="U516" s="8"/>
      <c r="V516" s="8"/>
    </row>
    <row r="517" spans="2:22" x14ac:dyDescent="0.35">
      <c r="B517"/>
      <c r="K517" s="7"/>
      <c r="L517" s="7"/>
      <c r="M517" s="7"/>
      <c r="N517" s="7"/>
      <c r="U517" s="8"/>
      <c r="V517" s="8"/>
    </row>
    <row r="518" spans="2:22" x14ac:dyDescent="0.35">
      <c r="B518"/>
      <c r="K518" s="7"/>
      <c r="L518" s="7"/>
      <c r="M518" s="7"/>
      <c r="N518" s="7"/>
      <c r="U518" s="8"/>
      <c r="V518" s="8"/>
    </row>
    <row r="519" spans="2:22" x14ac:dyDescent="0.35">
      <c r="B519"/>
      <c r="K519" s="7"/>
      <c r="L519" s="7"/>
      <c r="M519" s="7"/>
      <c r="N519" s="7"/>
      <c r="U519" s="8"/>
      <c r="V519" s="8"/>
    </row>
    <row r="520" spans="2:22" x14ac:dyDescent="0.35">
      <c r="B520"/>
      <c r="K520" s="7"/>
      <c r="L520" s="7"/>
      <c r="M520" s="7"/>
      <c r="N520" s="7"/>
      <c r="U520" s="8"/>
      <c r="V520" s="8"/>
    </row>
    <row r="521" spans="2:22" x14ac:dyDescent="0.35">
      <c r="B521"/>
      <c r="K521" s="7"/>
      <c r="L521" s="7"/>
      <c r="M521" s="7"/>
      <c r="N521" s="7"/>
      <c r="U521" s="8"/>
      <c r="V521" s="8"/>
    </row>
    <row r="522" spans="2:22" x14ac:dyDescent="0.35">
      <c r="B522"/>
      <c r="K522" s="7"/>
      <c r="L522" s="7"/>
      <c r="M522" s="7"/>
      <c r="N522" s="7"/>
      <c r="U522" s="8"/>
      <c r="V522" s="8"/>
    </row>
    <row r="523" spans="2:22" x14ac:dyDescent="0.35">
      <c r="B523"/>
      <c r="K523" s="7"/>
      <c r="L523" s="7"/>
      <c r="M523" s="7"/>
      <c r="N523" s="7"/>
      <c r="U523" s="8"/>
      <c r="V523" s="8"/>
    </row>
    <row r="524" spans="2:22" x14ac:dyDescent="0.35">
      <c r="B524"/>
      <c r="K524" s="7"/>
      <c r="L524" s="7"/>
      <c r="M524" s="7"/>
      <c r="N524" s="7"/>
      <c r="U524" s="8"/>
      <c r="V524" s="8"/>
    </row>
    <row r="525" spans="2:22" x14ac:dyDescent="0.35">
      <c r="B525"/>
      <c r="K525" s="7"/>
      <c r="L525" s="7"/>
      <c r="M525" s="7"/>
      <c r="N525" s="7"/>
      <c r="U525" s="8"/>
      <c r="V525" s="8"/>
    </row>
    <row r="526" spans="2:22" x14ac:dyDescent="0.35">
      <c r="B526"/>
      <c r="K526" s="7"/>
      <c r="L526" s="7"/>
      <c r="M526" s="7"/>
      <c r="N526" s="7"/>
      <c r="U526" s="8"/>
      <c r="V526" s="8"/>
    </row>
    <row r="527" spans="2:22" x14ac:dyDescent="0.35">
      <c r="B527"/>
      <c r="K527" s="7"/>
      <c r="L527" s="7"/>
      <c r="M527" s="7"/>
      <c r="N527" s="7"/>
      <c r="U527" s="8"/>
      <c r="V527" s="8"/>
    </row>
    <row r="528" spans="2:22" x14ac:dyDescent="0.35">
      <c r="B528"/>
      <c r="K528" s="7"/>
      <c r="L528" s="7"/>
      <c r="M528" s="7"/>
      <c r="N528" s="7"/>
      <c r="U528" s="8"/>
      <c r="V528" s="8"/>
    </row>
    <row r="529" spans="2:22" x14ac:dyDescent="0.35">
      <c r="B529"/>
      <c r="K529" s="7"/>
      <c r="L529" s="7"/>
      <c r="M529" s="7"/>
      <c r="N529" s="7"/>
      <c r="U529" s="8"/>
      <c r="V529" s="8"/>
    </row>
    <row r="530" spans="2:22" x14ac:dyDescent="0.35">
      <c r="B530"/>
      <c r="K530" s="7"/>
      <c r="L530" s="7"/>
      <c r="M530" s="7"/>
      <c r="N530" s="7"/>
      <c r="U530" s="8"/>
      <c r="V530" s="8"/>
    </row>
    <row r="531" spans="2:22" x14ac:dyDescent="0.35">
      <c r="B531"/>
      <c r="K531" s="7"/>
      <c r="L531" s="7"/>
      <c r="M531" s="7"/>
      <c r="N531" s="7"/>
      <c r="U531" s="8"/>
      <c r="V531" s="8"/>
    </row>
    <row r="532" spans="2:22" x14ac:dyDescent="0.35">
      <c r="B532"/>
      <c r="K532" s="7"/>
      <c r="L532" s="7"/>
      <c r="M532" s="7"/>
      <c r="N532" s="7"/>
      <c r="U532" s="8"/>
      <c r="V532" s="8"/>
    </row>
    <row r="533" spans="2:22" x14ac:dyDescent="0.35">
      <c r="B533"/>
      <c r="K533" s="7"/>
      <c r="L533" s="7"/>
      <c r="M533" s="7"/>
      <c r="N533" s="7"/>
      <c r="U533" s="8"/>
      <c r="V533" s="8"/>
    </row>
    <row r="534" spans="2:22" x14ac:dyDescent="0.35">
      <c r="B534"/>
      <c r="K534" s="7"/>
      <c r="L534" s="7"/>
      <c r="M534" s="7"/>
      <c r="N534" s="7"/>
      <c r="U534" s="8"/>
      <c r="V534" s="8"/>
    </row>
    <row r="535" spans="2:22" x14ac:dyDescent="0.35">
      <c r="B535"/>
      <c r="K535" s="7"/>
      <c r="L535" s="7"/>
      <c r="M535" s="7"/>
      <c r="N535" s="7"/>
      <c r="U535" s="8"/>
      <c r="V535" s="8"/>
    </row>
    <row r="536" spans="2:22" x14ac:dyDescent="0.35">
      <c r="B536"/>
      <c r="K536" s="7"/>
      <c r="L536" s="7"/>
      <c r="M536" s="7"/>
      <c r="N536" s="7"/>
      <c r="U536" s="8"/>
      <c r="V536" s="8"/>
    </row>
    <row r="537" spans="2:22" x14ac:dyDescent="0.35">
      <c r="B537"/>
      <c r="K537" s="7"/>
      <c r="L537" s="7"/>
      <c r="M537" s="7"/>
      <c r="N537" s="7"/>
      <c r="U537" s="8"/>
      <c r="V537" s="8"/>
    </row>
    <row r="538" spans="2:22" x14ac:dyDescent="0.35">
      <c r="B538"/>
      <c r="K538" s="7"/>
      <c r="L538" s="7"/>
      <c r="M538" s="7"/>
      <c r="N538" s="7"/>
      <c r="U538" s="8"/>
      <c r="V538" s="8"/>
    </row>
    <row r="539" spans="2:22" x14ac:dyDescent="0.35">
      <c r="B539"/>
      <c r="K539" s="7"/>
      <c r="L539" s="7"/>
      <c r="M539" s="7"/>
      <c r="N539" s="7"/>
      <c r="U539" s="8"/>
      <c r="V539" s="8"/>
    </row>
    <row r="540" spans="2:22" x14ac:dyDescent="0.35">
      <c r="B540"/>
      <c r="K540" s="7"/>
      <c r="L540" s="7"/>
      <c r="M540" s="7"/>
      <c r="N540" s="7"/>
      <c r="U540" s="8"/>
      <c r="V540" s="8"/>
    </row>
    <row r="541" spans="2:22" x14ac:dyDescent="0.35">
      <c r="B541"/>
      <c r="K541" s="7"/>
      <c r="L541" s="7"/>
      <c r="M541" s="7"/>
      <c r="N541" s="7"/>
      <c r="U541" s="8"/>
      <c r="V541" s="8"/>
    </row>
    <row r="542" spans="2:22" x14ac:dyDescent="0.35">
      <c r="B542"/>
      <c r="K542" s="7"/>
      <c r="L542" s="7"/>
      <c r="M542" s="7"/>
      <c r="N542" s="7"/>
      <c r="U542" s="8"/>
      <c r="V542" s="8"/>
    </row>
    <row r="543" spans="2:22" x14ac:dyDescent="0.35">
      <c r="B543"/>
      <c r="K543" s="7"/>
      <c r="L543" s="7"/>
      <c r="M543" s="7"/>
      <c r="N543" s="7"/>
      <c r="U543" s="8"/>
      <c r="V543" s="8"/>
    </row>
    <row r="544" spans="2:22" x14ac:dyDescent="0.35">
      <c r="B544"/>
      <c r="K544" s="7"/>
      <c r="L544" s="7"/>
      <c r="M544" s="7"/>
      <c r="N544" s="7"/>
      <c r="U544" s="8"/>
      <c r="V544" s="8"/>
    </row>
    <row r="545" spans="2:22" x14ac:dyDescent="0.35">
      <c r="B545"/>
      <c r="K545" s="7"/>
      <c r="L545" s="7"/>
      <c r="M545" s="7"/>
      <c r="N545" s="7"/>
      <c r="U545" s="8"/>
      <c r="V545" s="8"/>
    </row>
    <row r="546" spans="2:22" x14ac:dyDescent="0.35">
      <c r="B546"/>
      <c r="K546" s="7"/>
      <c r="L546" s="7"/>
      <c r="M546" s="7"/>
      <c r="N546" s="7"/>
      <c r="U546" s="8"/>
      <c r="V546" s="8"/>
    </row>
    <row r="547" spans="2:22" x14ac:dyDescent="0.35">
      <c r="B547"/>
      <c r="K547" s="7"/>
      <c r="L547" s="7"/>
      <c r="M547" s="7"/>
      <c r="N547" s="7"/>
      <c r="U547" s="8"/>
      <c r="V547" s="8"/>
    </row>
    <row r="548" spans="2:22" x14ac:dyDescent="0.35">
      <c r="B548"/>
      <c r="K548" s="7"/>
      <c r="L548" s="7"/>
      <c r="M548" s="7"/>
      <c r="N548" s="7"/>
      <c r="U548" s="8"/>
      <c r="V548" s="8"/>
    </row>
    <row r="549" spans="2:22" x14ac:dyDescent="0.35">
      <c r="B549"/>
      <c r="K549" s="7"/>
      <c r="L549" s="7"/>
      <c r="M549" s="7"/>
      <c r="N549" s="7"/>
      <c r="U549" s="8"/>
      <c r="V549" s="8"/>
    </row>
    <row r="550" spans="2:22" x14ac:dyDescent="0.35">
      <c r="B550"/>
      <c r="K550" s="7"/>
      <c r="L550" s="7"/>
      <c r="M550" s="7"/>
      <c r="N550" s="7"/>
      <c r="U550" s="8"/>
      <c r="V550" s="8"/>
    </row>
    <row r="551" spans="2:22" x14ac:dyDescent="0.35">
      <c r="B551"/>
      <c r="K551" s="7"/>
      <c r="L551" s="7"/>
      <c r="M551" s="7"/>
      <c r="N551" s="7"/>
      <c r="U551" s="8"/>
      <c r="V551" s="8"/>
    </row>
    <row r="552" spans="2:22" x14ac:dyDescent="0.35">
      <c r="B552"/>
      <c r="K552" s="7"/>
      <c r="L552" s="7"/>
      <c r="M552" s="7"/>
      <c r="N552" s="7"/>
      <c r="U552" s="8"/>
      <c r="V552" s="8"/>
    </row>
    <row r="553" spans="2:22" x14ac:dyDescent="0.35">
      <c r="B553"/>
      <c r="K553" s="7"/>
      <c r="L553" s="7"/>
      <c r="M553" s="7"/>
      <c r="N553" s="7"/>
      <c r="U553" s="8"/>
      <c r="V553" s="8"/>
    </row>
    <row r="554" spans="2:22" x14ac:dyDescent="0.35">
      <c r="B554"/>
      <c r="K554" s="7"/>
      <c r="L554" s="7"/>
      <c r="M554" s="7"/>
      <c r="N554" s="7"/>
      <c r="U554" s="8"/>
      <c r="V554" s="8"/>
    </row>
    <row r="555" spans="2:22" x14ac:dyDescent="0.35">
      <c r="B555"/>
      <c r="K555" s="7"/>
      <c r="L555" s="7"/>
      <c r="M555" s="7"/>
      <c r="N555" s="7"/>
      <c r="U555" s="8"/>
      <c r="V555" s="8"/>
    </row>
    <row r="556" spans="2:22" x14ac:dyDescent="0.35">
      <c r="B556"/>
      <c r="K556" s="7"/>
      <c r="L556" s="7"/>
      <c r="M556" s="7"/>
      <c r="N556" s="7"/>
      <c r="U556" s="8"/>
      <c r="V556" s="8"/>
    </row>
    <row r="557" spans="2:22" x14ac:dyDescent="0.35">
      <c r="B557"/>
      <c r="K557" s="7"/>
      <c r="L557" s="7"/>
      <c r="M557" s="7"/>
      <c r="N557" s="7"/>
      <c r="U557" s="8"/>
      <c r="V557" s="8"/>
    </row>
    <row r="558" spans="2:22" x14ac:dyDescent="0.35">
      <c r="B558"/>
      <c r="K558" s="7"/>
      <c r="L558" s="7"/>
      <c r="M558" s="7"/>
      <c r="N558" s="7"/>
      <c r="U558" s="8"/>
      <c r="V558" s="8"/>
    </row>
    <row r="559" spans="2:22" x14ac:dyDescent="0.35">
      <c r="B559"/>
      <c r="K559" s="7"/>
      <c r="L559" s="7"/>
      <c r="M559" s="7"/>
      <c r="N559" s="7"/>
      <c r="U559" s="8"/>
      <c r="V559" s="8"/>
    </row>
    <row r="560" spans="2:22" x14ac:dyDescent="0.35">
      <c r="B560"/>
      <c r="K560" s="7"/>
      <c r="L560" s="7"/>
      <c r="M560" s="7"/>
      <c r="N560" s="7"/>
      <c r="U560" s="8"/>
      <c r="V560" s="8"/>
    </row>
    <row r="561" spans="2:22" x14ac:dyDescent="0.35">
      <c r="B561"/>
      <c r="K561" s="7"/>
      <c r="L561" s="7"/>
      <c r="M561" s="7"/>
      <c r="N561" s="7"/>
      <c r="U561" s="8"/>
      <c r="V561" s="8"/>
    </row>
    <row r="562" spans="2:22" x14ac:dyDescent="0.35">
      <c r="B562"/>
      <c r="K562" s="7"/>
      <c r="L562" s="7"/>
      <c r="M562" s="7"/>
      <c r="N562" s="7"/>
      <c r="U562" s="8"/>
      <c r="V562" s="8"/>
    </row>
    <row r="563" spans="2:22" x14ac:dyDescent="0.35">
      <c r="B563"/>
      <c r="K563" s="7"/>
      <c r="L563" s="7"/>
      <c r="M563" s="7"/>
      <c r="N563" s="7"/>
      <c r="U563" s="8"/>
      <c r="V563" s="8"/>
    </row>
    <row r="564" spans="2:22" x14ac:dyDescent="0.35">
      <c r="B564"/>
      <c r="K564" s="7"/>
      <c r="L564" s="7"/>
      <c r="M564" s="7"/>
      <c r="N564" s="7"/>
      <c r="U564" s="8"/>
      <c r="V564" s="8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44375E58E94B4797547602088A153E" ma:contentTypeVersion="18" ma:contentTypeDescription="Create a new document." ma:contentTypeScope="" ma:versionID="c4513e3ccaf786399b0dae0051b71e96">
  <xsd:schema xmlns:xsd="http://www.w3.org/2001/XMLSchema" xmlns:xs="http://www.w3.org/2001/XMLSchema" xmlns:p="http://schemas.microsoft.com/office/2006/metadata/properties" xmlns:ns3="a21de7b9-cad9-43f2-8459-9b1b4f9894e2" xmlns:ns4="d0ad2d52-4869-465d-a93a-001fa21a593d" targetNamespace="http://schemas.microsoft.com/office/2006/metadata/properties" ma:root="true" ma:fieldsID="0b4e40db0f3acf50de997b99c03e42e5" ns3:_="" ns4:_="">
    <xsd:import namespace="a21de7b9-cad9-43f2-8459-9b1b4f9894e2"/>
    <xsd:import namespace="d0ad2d52-4869-465d-a93a-001fa21a593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1de7b9-cad9-43f2-8459-9b1b4f9894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ad2d52-4869-465d-a93a-001fa21a593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1de7b9-cad9-43f2-8459-9b1b4f9894e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179D4DF-2B34-48F7-9837-BA0CF51C5D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1de7b9-cad9-43f2-8459-9b1b4f9894e2"/>
    <ds:schemaRef ds:uri="d0ad2d52-4869-465d-a93a-001fa21a59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4515681-37A0-4B7B-8138-2FB025CAB275}">
  <ds:schemaRefs>
    <ds:schemaRef ds:uri="http://purl.org/dc/elements/1.1/"/>
    <ds:schemaRef ds:uri="http://schemas.microsoft.com/office/2006/documentManagement/types"/>
    <ds:schemaRef ds:uri="http://www.w3.org/XML/1998/namespace"/>
    <ds:schemaRef ds:uri="d0ad2d52-4869-465d-a93a-001fa21a593d"/>
    <ds:schemaRef ds:uri="http://schemas.microsoft.com/office/2006/metadata/properties"/>
    <ds:schemaRef ds:uri="http://purl.org/dc/terms/"/>
    <ds:schemaRef ds:uri="http://purl.org/dc/dcmitype/"/>
    <ds:schemaRef ds:uri="a21de7b9-cad9-43f2-8459-9b1b4f9894e2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A7CFA7FF-11B7-4E5B-B7D8-896866F8F3D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millar</dc:creator>
  <cp:lastModifiedBy>Chabod Masere</cp:lastModifiedBy>
  <dcterms:created xsi:type="dcterms:W3CDTF">2016-10-11T01:12:02Z</dcterms:created>
  <dcterms:modified xsi:type="dcterms:W3CDTF">2026-04-20T05:14:13Z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0x0101005144375E58E94B4797547602088A153E</vt:lpwstr>
  </property>
</Properties>
</file>