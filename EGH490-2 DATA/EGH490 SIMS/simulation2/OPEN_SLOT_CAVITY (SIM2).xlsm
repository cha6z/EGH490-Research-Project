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mase\OneDrive\Desktop\simulation2\"/>
    </mc:Choice>
  </mc:AlternateContent>
  <xr:revisionPtr revIDLastSave="0" documentId="13_ncr:1_{87DCA334-5911-4AF9-8D25-7FE68D4D6254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Sheet1" sheetId="3" r:id="rId1"/>
    <sheet name="FD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5" l="1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  <c r="T6" i="5"/>
  <c r="S6" i="5"/>
  <c r="T5" i="5"/>
  <c r="S5" i="5"/>
  <c r="T4" i="5"/>
  <c r="S4" i="5"/>
  <c r="T3" i="5"/>
  <c r="S3" i="5"/>
  <c r="N2" i="5" l="1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K2" i="5" l="1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M2" i="5" l="1"/>
  <c r="L2" i="5" l="1"/>
</calcChain>
</file>

<file path=xl/sharedStrings.xml><?xml version="1.0" encoding="utf-8"?>
<sst xmlns="http://schemas.openxmlformats.org/spreadsheetml/2006/main" count="38" uniqueCount="38">
  <si>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</si>
  <si>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</si>
  <si>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</si>
  <si>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</si>
  <si>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</si>
  <si>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</si>
  <si>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</si>
  <si>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</si>
  <si>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</si>
  <si>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</si>
  <si>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</si>
  <si>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</si>
  <si>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</si>
  <si>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</si>
  <si>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</si>
  <si>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</si>
  <si>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#</t>
  </si>
  <si>
    <t>#"Run ID"</t>
  </si>
  <si>
    <t>S1,1 [Re]</t>
  </si>
  <si>
    <t>S1,1 [Im]</t>
  </si>
  <si>
    <t>#----------------------------------------------------------------</t>
  </si>
  <si>
    <t>CavFace_Int_e-field (f=9) (1)</t>
  </si>
  <si>
    <t>CavFace_Int_e-field (f=9) (1)_1</t>
  </si>
  <si>
    <t>RadFace_Int_e-field (f=9) (1)</t>
  </si>
  <si>
    <t>RadFace_Int_e-field (f=9) (1)_1</t>
  </si>
  <si>
    <t>S2,1 [Re]</t>
  </si>
  <si>
    <t>S2,1 [Im]</t>
  </si>
  <si>
    <t>Rself</t>
  </si>
  <si>
    <t>Xself</t>
  </si>
  <si>
    <t>Gself</t>
  </si>
  <si>
    <t>Bself</t>
  </si>
  <si>
    <t>Column1</t>
  </si>
  <si>
    <t>Column2</t>
  </si>
  <si>
    <t>Cavity Length, Lcav (mm)</t>
  </si>
  <si>
    <t>Cavity Position, Xcav (mm)</t>
  </si>
  <si>
    <t>Simulation Errors — Missing Data Points</t>
  </si>
  <si>
    <t>The following (Lcav, Xcav) parameter combinations failed to produce simulation results and are excluded from the dataset.</t>
  </si>
  <si>
    <t>Total: 10 failed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</si>
</sst>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11"/>
      <color rgb="FF59595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305496"/>
      <name val="Calibri"/>
      <family val="2"/>
      <scheme val="minor"/>
    </font>
    <font>
      <b/>
      <i/>
      <sz val="11"/>
      <color rgb="FFC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/>
      <diagonal/>
    </border>
    <border>
      <left style="thin">
        <color rgb="FFBFBFBF"/>
      </left>
      <right style="medium">
        <color rgb="FFC00000"/>
      </right>
      <top style="thin">
        <color rgb="FFBFBFBF"/>
      </top>
      <bottom style="thin">
        <color rgb="FFBFBFBF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28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165" fontId="5" fillId="0" borderId="2" xfId="0" applyNumberFormat="1" applyFont="1" applyBorder="1" applyAlignment="1">
      <alignment horizontal="left"/>
    </xf>
    <xf numFmtId="165" fontId="6" fillId="11" borderId="3" xfId="0" applyNumberFormat="1" applyFont="1" applyFill="1" applyBorder="1" applyAlignment="1">
      <alignment horizontal="center"/>
    </xf>
    <xf numFmtId="165" fontId="0" fillId="8" borderId="3" xfId="0" applyNumberFormat="1" applyFont="1" applyFill="1" applyBorder="1" applyAlignment="1">
      <alignment horizontal="center"/>
    </xf>
    <xf numFmtId="165" fontId="0" fillId="12" borderId="3" xfId="0" applyNumberFormat="1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165" fontId="0" fillId="12" borderId="3" xfId="0" applyNumberFormat="1" applyFont="1" applyFill="1" applyBorder="1" applyAlignment="1">
      <alignment horizontal="center"/>
    </xf>
    <xf numFmtId="0" fontId="8" fillId="8" borderId="4" xfId="0" applyFont="1" applyFill="1" applyBorder="1" applyAlignment="1">
      <alignment horizontal="left"/>
    </xf>
    <xf numFmtId="0" fontId="4" fillId="10" borderId="5" xfId="0" applyFont="1" applyFill="1" applyBorder="1" applyAlignment="1">
      <alignment horizontal="center"/>
    </xf>
    <xf numFmtId="165" fontId="5" fillId="0" borderId="6" xfId="0" applyNumberFormat="1" applyFont="1" applyBorder="1" applyAlignment="1">
      <alignment horizontal="left"/>
    </xf>
    <xf numFmtId="2" fontId="6" fillId="11" borderId="7" xfId="0" applyNumberFormat="1" applyFont="1" applyFill="1" applyBorder="1" applyAlignment="1">
      <alignment horizontal="center"/>
    </xf>
    <xf numFmtId="2" fontId="0" fillId="8" borderId="7" xfId="0" applyNumberFormat="1" applyFill="1" applyBorder="1" applyAlignment="1">
      <alignment horizontal="center"/>
    </xf>
    <xf numFmtId="2" fontId="0" fillId="12" borderId="7" xfId="0" applyNumberFormat="1" applyFill="1" applyBorder="1" applyAlignment="1">
      <alignment horizontal="center"/>
    </xf>
    <xf numFmtId="0" fontId="7" fillId="8" borderId="8" xfId="0" applyFont="1" applyFill="1" applyBorder="1" applyAlignment="1">
      <alignment horizontal="left"/>
    </xf>
    <xf numFmtId="0" fontId="4" fillId="13" borderId="1" xfId="0" applyFont="1" applyFill="1" applyBorder="1" applyAlignment="1">
      <alignment horizontal="center" wrapText="1"/>
    </xf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none"/>
      </fill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FD!$A$2:$A$17</c:f>
              <c:numCache>
                <c:formatCode>General</c:formatCode>
                <c:ptCount val="1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</c:numCache>
            </c:numRef>
          </c:xVal>
          <c:yVal>
            <c:numRef>
              <c:f>FD!$M$2:$M$17</c:f>
              <c:numCache>
                <c:formatCode>General</c:formatCode>
                <c:ptCount val="16"/>
                <c:pt idx="0">
                  <c:v>9.7450304872599303E-3</c:v>
                </c:pt>
                <c:pt idx="1">
                  <c:v>1.5140357838694499E-2</c:v>
                </c:pt>
                <c:pt idx="2">
                  <c:v>2.13304279820936E-2</c:v>
                </c:pt>
                <c:pt idx="3">
                  <c:v>2.8373083730775801E-2</c:v>
                </c:pt>
                <c:pt idx="4">
                  <c:v>3.5654849872641503E-2</c:v>
                </c:pt>
                <c:pt idx="5">
                  <c:v>4.3540183282543499E-2</c:v>
                </c:pt>
                <c:pt idx="6">
                  <c:v>5.17007428695326E-2</c:v>
                </c:pt>
                <c:pt idx="7">
                  <c:v>6.0013731461603603E-2</c:v>
                </c:pt>
                <c:pt idx="8">
                  <c:v>6.8376256953217099E-2</c:v>
                </c:pt>
                <c:pt idx="9">
                  <c:v>7.6701543379997295E-2</c:v>
                </c:pt>
                <c:pt idx="10">
                  <c:v>8.4947881958012103E-2</c:v>
                </c:pt>
                <c:pt idx="11">
                  <c:v>9.3047084514742501E-2</c:v>
                </c:pt>
                <c:pt idx="12">
                  <c:v>0.100919084000158</c:v>
                </c:pt>
                <c:pt idx="13">
                  <c:v>0.10841916688367099</c:v>
                </c:pt>
                <c:pt idx="14">
                  <c:v>0.11536229096526</c:v>
                </c:pt>
                <c:pt idx="15">
                  <c:v>0.12238215051956899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A-4C53-A615-D0BC9059C24F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FD!$A$2:$A$17</c:f>
              <c:numCache>
                <c:formatCode>General</c:formatCode>
                <c:ptCount val="1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</c:numCache>
            </c:numRef>
          </c:xVal>
          <c:yVal>
            <c:numRef>
              <c:f>FD!$N$2:$N$17</c:f>
              <c:numCache>
                <c:formatCode>General</c:formatCode>
                <c:ptCount val="16"/>
                <c:pt idx="0">
                  <c:v>6.6102839468603798E-3</c:v>
                </c:pt>
                <c:pt idx="1">
                  <c:v>1.46612877638931E-2</c:v>
                </c:pt>
                <c:pt idx="2">
                  <c:v>2.43567625674809E-2</c:v>
                </c:pt>
                <c:pt idx="3">
                  <c:v>3.5646393987887298E-2</c:v>
                </c:pt>
                <c:pt idx="4">
                  <c:v>4.8161621362889297E-2</c:v>
                </c:pt>
                <c:pt idx="5">
                  <c:v>6.1993110618611902E-2</c:v>
                </c:pt>
                <c:pt idx="6">
                  <c:v>7.6922511320676304E-2</c:v>
                </c:pt>
                <c:pt idx="7">
                  <c:v>9.2818050820552306E-2</c:v>
                </c:pt>
                <c:pt idx="8">
                  <c:v>0.109542539759745</c:v>
                </c:pt>
                <c:pt idx="9">
                  <c:v>0.12696100712392899</c:v>
                </c:pt>
                <c:pt idx="10">
                  <c:v>0.14502697026028799</c:v>
                </c:pt>
                <c:pt idx="11">
                  <c:v>0.16356609688302201</c:v>
                </c:pt>
                <c:pt idx="12">
                  <c:v>0.18230913846789501</c:v>
                </c:pt>
                <c:pt idx="13">
                  <c:v>0.20115508992167</c:v>
                </c:pt>
                <c:pt idx="14">
                  <c:v>0.21981344225791899</c:v>
                </c:pt>
                <c:pt idx="15">
                  <c:v>0.23851751685886899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1A-4C53-A615-D0BC9059C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1536"/>
        <c:axId val="217902496"/>
      </c:scatterChart>
      <c:valAx>
        <c:axId val="21790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02496"/>
        <c:crosses val="autoZero"/>
        <c:crossBetween val="midCat"/>
      </c:valAx>
      <c:valAx>
        <c:axId val="2179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0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FD!$A$18:$A$34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FD!$M$18:$M$34</c:f>
              <c:numCache>
                <c:formatCode>General</c:formatCode>
                <c:ptCount val="17"/>
                <c:pt idx="0">
                  <c:v>1.2662675224940301E-2</c:v>
                </c:pt>
                <c:pt idx="1">
                  <c:v>1.9742074215270501E-2</c:v>
                </c:pt>
                <c:pt idx="2">
                  <c:v>2.8221638450312399E-2</c:v>
                </c:pt>
                <c:pt idx="3">
                  <c:v>3.7157477022469299E-2</c:v>
                </c:pt>
                <c:pt idx="4">
                  <c:v>4.68470205218251E-2</c:v>
                </c:pt>
                <c:pt idx="5">
                  <c:v>5.6992521052778203E-2</c:v>
                </c:pt>
                <c:pt idx="6">
                  <c:v>6.7556747386214394E-2</c:v>
                </c:pt>
                <c:pt idx="7">
                  <c:v>7.82947468863293E-2</c:v>
                </c:pt>
                <c:pt idx="8">
                  <c:v>8.88702678344752E-2</c:v>
                </c:pt>
                <c:pt idx="9">
                  <c:v>9.9497439501612703E-2</c:v>
                </c:pt>
                <c:pt idx="10">
                  <c:v>0.109921685079007</c:v>
                </c:pt>
                <c:pt idx="11">
                  <c:v>0.120216001844261</c:v>
                </c:pt>
                <c:pt idx="12">
                  <c:v>0.130107479650615</c:v>
                </c:pt>
                <c:pt idx="13">
                  <c:v>0.13964659899681101</c:v>
                </c:pt>
                <c:pt idx="14">
                  <c:v>0.148790061729144</c:v>
                </c:pt>
                <c:pt idx="15">
                  <c:v>0.158273946978534</c:v>
                </c:pt>
                <c:pt idx="16">
                  <c:v>0.16532742112879301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8-4F5B-8B8D-6517B32E52BD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FD!$A$18:$A$34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FD!$N$18:$N$34</c:f>
              <c:numCache>
                <c:formatCode>General</c:formatCode>
                <c:ptCount val="17"/>
                <c:pt idx="0">
                  <c:v>7.5787863058681603E-3</c:v>
                </c:pt>
                <c:pt idx="1">
                  <c:v>1.5930007900434001E-2</c:v>
                </c:pt>
                <c:pt idx="2">
                  <c:v>2.6488816377888701E-2</c:v>
                </c:pt>
                <c:pt idx="3">
                  <c:v>3.862571115888E-2</c:v>
                </c:pt>
                <c:pt idx="4">
                  <c:v>5.2145487538730197E-2</c:v>
                </c:pt>
                <c:pt idx="5">
                  <c:v>6.6953605117083204E-2</c:v>
                </c:pt>
                <c:pt idx="6">
                  <c:v>8.3155000626127101E-2</c:v>
                </c:pt>
                <c:pt idx="7">
                  <c:v>0.10049046879804401</c:v>
                </c:pt>
                <c:pt idx="8">
                  <c:v>0.118740607220832</c:v>
                </c:pt>
                <c:pt idx="9">
                  <c:v>0.13779948672444101</c:v>
                </c:pt>
                <c:pt idx="10">
                  <c:v>0.15749998169283599</c:v>
                </c:pt>
                <c:pt idx="11">
                  <c:v>0.17771547089325199</c:v>
                </c:pt>
                <c:pt idx="12">
                  <c:v>0.198294399088914</c:v>
                </c:pt>
                <c:pt idx="13">
                  <c:v>0.21908649049554299</c:v>
                </c:pt>
                <c:pt idx="14">
                  <c:v>0.23986164009908001</c:v>
                </c:pt>
                <c:pt idx="15">
                  <c:v>0.26111612562618097</c:v>
                </c:pt>
                <c:pt idx="16">
                  <c:v>0.28126415562547802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8-4F5B-8B8D-6517B32E5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5056"/>
        <c:axId val="217911616"/>
      </c:scatterChart>
      <c:valAx>
        <c:axId val="21792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1616"/>
        <c:crosses val="autoZero"/>
        <c:crossBetween val="midCat"/>
      </c:valAx>
      <c:valAx>
        <c:axId val="2179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FD!$A$35:$A$50</c:f>
              <c:numCache>
                <c:formatCode>General</c:formatCode>
                <c:ptCount val="16"/>
                <c:pt idx="0">
                  <c:v>1</c:v>
                </c:pt>
                <c:pt idx="1">
                  <c:v>1.5</c:v>
                </c:pt>
                <c:pt idx="2">
                  <c:v>1.75</c:v>
                </c:pt>
                <c:pt idx="3">
                  <c:v>2</c:v>
                </c:pt>
                <c:pt idx="4">
                  <c:v>2.25</c:v>
                </c:pt>
                <c:pt idx="5">
                  <c:v>2.5</c:v>
                </c:pt>
                <c:pt idx="6">
                  <c:v>2.75</c:v>
                </c:pt>
                <c:pt idx="7">
                  <c:v>3</c:v>
                </c:pt>
                <c:pt idx="8">
                  <c:v>3.25</c:v>
                </c:pt>
                <c:pt idx="9">
                  <c:v>3.5</c:v>
                </c:pt>
                <c:pt idx="10">
                  <c:v>3.75</c:v>
                </c:pt>
                <c:pt idx="11">
                  <c:v>4</c:v>
                </c:pt>
                <c:pt idx="12">
                  <c:v>4.25</c:v>
                </c:pt>
                <c:pt idx="13">
                  <c:v>4.5</c:v>
                </c:pt>
                <c:pt idx="14">
                  <c:v>4.75</c:v>
                </c:pt>
                <c:pt idx="15">
                  <c:v>5</c:v>
                </c:pt>
              </c:numCache>
            </c:numRef>
          </c:xVal>
          <c:yVal>
            <c:numRef>
              <c:f>FD!$M$35:$M$50</c:f>
              <c:numCache>
                <c:formatCode>General</c:formatCode>
                <c:ptCount val="16"/>
                <c:pt idx="0">
                  <c:v>1.7716518881012701E-2</c:v>
                </c:pt>
                <c:pt idx="1">
                  <c:v>3.7757820753096902E-2</c:v>
                </c:pt>
                <c:pt idx="2">
                  <c:v>4.9979771283628398E-2</c:v>
                </c:pt>
                <c:pt idx="3">
                  <c:v>6.3145335553330906E-2</c:v>
                </c:pt>
                <c:pt idx="4">
                  <c:v>7.7056345137633195E-2</c:v>
                </c:pt>
                <c:pt idx="5">
                  <c:v>9.1000243376908305E-2</c:v>
                </c:pt>
                <c:pt idx="6">
                  <c:v>0.105301844303021</c:v>
                </c:pt>
                <c:pt idx="7">
                  <c:v>0.119548487370518</c:v>
                </c:pt>
                <c:pt idx="8">
                  <c:v>0.13357286734898799</c:v>
                </c:pt>
                <c:pt idx="9">
                  <c:v>0.14727545978190601</c:v>
                </c:pt>
                <c:pt idx="10">
                  <c:v>0.16061082176118999</c:v>
                </c:pt>
                <c:pt idx="11">
                  <c:v>0.17367376161533099</c:v>
                </c:pt>
                <c:pt idx="12">
                  <c:v>0.18629692158606201</c:v>
                </c:pt>
                <c:pt idx="13">
                  <c:v>0.19906678734897101</c:v>
                </c:pt>
                <c:pt idx="14">
                  <c:v>0.210134774361843</c:v>
                </c:pt>
                <c:pt idx="15">
                  <c:v>0.21716971634151699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0F-454E-BB96-94BD7BA9B877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FD!$A$35:$A$50</c:f>
              <c:numCache>
                <c:formatCode>General</c:formatCode>
                <c:ptCount val="16"/>
                <c:pt idx="0">
                  <c:v>1</c:v>
                </c:pt>
                <c:pt idx="1">
                  <c:v>1.5</c:v>
                </c:pt>
                <c:pt idx="2">
                  <c:v>1.75</c:v>
                </c:pt>
                <c:pt idx="3">
                  <c:v>2</c:v>
                </c:pt>
                <c:pt idx="4">
                  <c:v>2.25</c:v>
                </c:pt>
                <c:pt idx="5">
                  <c:v>2.5</c:v>
                </c:pt>
                <c:pt idx="6">
                  <c:v>2.75</c:v>
                </c:pt>
                <c:pt idx="7">
                  <c:v>3</c:v>
                </c:pt>
                <c:pt idx="8">
                  <c:v>3.25</c:v>
                </c:pt>
                <c:pt idx="9">
                  <c:v>3.5</c:v>
                </c:pt>
                <c:pt idx="10">
                  <c:v>3.75</c:v>
                </c:pt>
                <c:pt idx="11">
                  <c:v>4</c:v>
                </c:pt>
                <c:pt idx="12">
                  <c:v>4.25</c:v>
                </c:pt>
                <c:pt idx="13">
                  <c:v>4.5</c:v>
                </c:pt>
                <c:pt idx="14">
                  <c:v>4.75</c:v>
                </c:pt>
                <c:pt idx="15">
                  <c:v>5</c:v>
                </c:pt>
              </c:numCache>
            </c:numRef>
          </c:xVal>
          <c:yVal>
            <c:numRef>
              <c:f>FD!$N$35:$N$50</c:f>
              <c:numCache>
                <c:formatCode>General</c:formatCode>
                <c:ptCount val="16"/>
                <c:pt idx="0">
                  <c:v>8.0563886768263496E-3</c:v>
                </c:pt>
                <c:pt idx="1">
                  <c:v>2.74197074927898E-2</c:v>
                </c:pt>
                <c:pt idx="2">
                  <c:v>3.99182776784755E-2</c:v>
                </c:pt>
                <c:pt idx="3">
                  <c:v>5.41387503080559E-2</c:v>
                </c:pt>
                <c:pt idx="4">
                  <c:v>7.0016409854531697E-2</c:v>
                </c:pt>
                <c:pt idx="5">
                  <c:v>8.7374258252003997E-2</c:v>
                </c:pt>
                <c:pt idx="6">
                  <c:v>0.106064455194899</c:v>
                </c:pt>
                <c:pt idx="7">
                  <c:v>0.12599616708928801</c:v>
                </c:pt>
                <c:pt idx="8">
                  <c:v>0.14693132279750101</c:v>
                </c:pt>
                <c:pt idx="9">
                  <c:v>0.16868695428198399</c:v>
                </c:pt>
                <c:pt idx="10">
                  <c:v>0.19109907893156899</c:v>
                </c:pt>
                <c:pt idx="11">
                  <c:v>0.214101211185765</c:v>
                </c:pt>
                <c:pt idx="12">
                  <c:v>0.23745986141557199</c:v>
                </c:pt>
                <c:pt idx="13">
                  <c:v>0.26113586317486698</c:v>
                </c:pt>
                <c:pt idx="14">
                  <c:v>0.284542218349843</c:v>
                </c:pt>
                <c:pt idx="15">
                  <c:v>0.30644240560925301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54E-BB96-94BD7BA9B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3616"/>
        <c:axId val="217918336"/>
      </c:scatterChart>
      <c:valAx>
        <c:axId val="21792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8336"/>
        <c:crosses val="autoZero"/>
        <c:crossBetween val="midCat"/>
      </c:valAx>
      <c:valAx>
        <c:axId val="21791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2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FD!$A$51:$A$67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FD!$M$51:$M$67</c:f>
              <c:numCache>
                <c:formatCode>General</c:formatCode>
                <c:ptCount val="17"/>
                <c:pt idx="0">
                  <c:v>2.2230835781586002E-2</c:v>
                </c:pt>
                <c:pt idx="1">
                  <c:v>3.42400861269163E-2</c:v>
                </c:pt>
                <c:pt idx="2">
                  <c:v>4.8452210292482097E-2</c:v>
                </c:pt>
                <c:pt idx="3">
                  <c:v>6.41403473879954E-2</c:v>
                </c:pt>
                <c:pt idx="4">
                  <c:v>8.1063813672097695E-2</c:v>
                </c:pt>
                <c:pt idx="5">
                  <c:v>9.8882691051076901E-2</c:v>
                </c:pt>
                <c:pt idx="6">
                  <c:v>0.11720240550282</c:v>
                </c:pt>
                <c:pt idx="7">
                  <c:v>0.13568742449257301</c:v>
                </c:pt>
                <c:pt idx="8">
                  <c:v>0.15406301330133901</c:v>
                </c:pt>
                <c:pt idx="9">
                  <c:v>0.171948504623194</c:v>
                </c:pt>
                <c:pt idx="10">
                  <c:v>0.18954225855554399</c:v>
                </c:pt>
                <c:pt idx="11">
                  <c:v>0.20661801649676401</c:v>
                </c:pt>
                <c:pt idx="12">
                  <c:v>0.22327955120769299</c:v>
                </c:pt>
                <c:pt idx="13">
                  <c:v>0.239319205512077</c:v>
                </c:pt>
                <c:pt idx="14">
                  <c:v>0.25484383153107598</c:v>
                </c:pt>
                <c:pt idx="15">
                  <c:v>0.26868244911538403</c:v>
                </c:pt>
                <c:pt idx="16">
                  <c:v>0.28016224517637101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1-4B75-9E05-D24227641F46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FD!$A$51:$A$67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FD!$N$51:$N$67</c:f>
              <c:numCache>
                <c:formatCode>General</c:formatCode>
                <c:ptCount val="17"/>
                <c:pt idx="0">
                  <c:v>6.4644699879579199E-3</c:v>
                </c:pt>
                <c:pt idx="1">
                  <c:v>1.4539277744738901E-2</c:v>
                </c:pt>
                <c:pt idx="2">
                  <c:v>2.4390099743811101E-2</c:v>
                </c:pt>
                <c:pt idx="3">
                  <c:v>3.6445847684856501E-2</c:v>
                </c:pt>
                <c:pt idx="4">
                  <c:v>5.0480165071204702E-2</c:v>
                </c:pt>
                <c:pt idx="5">
                  <c:v>6.64294611247154E-2</c:v>
                </c:pt>
                <c:pt idx="6">
                  <c:v>8.4224595442379702E-2</c:v>
                </c:pt>
                <c:pt idx="7">
                  <c:v>0.103722695126286</c:v>
                </c:pt>
                <c:pt idx="8">
                  <c:v>0.124741335472572</c:v>
                </c:pt>
                <c:pt idx="9">
                  <c:v>0.14712220332979001</c:v>
                </c:pt>
                <c:pt idx="10">
                  <c:v>0.17053169517962</c:v>
                </c:pt>
                <c:pt idx="11">
                  <c:v>0.194806092186258</c:v>
                </c:pt>
                <c:pt idx="12">
                  <c:v>0.21979278262961599</c:v>
                </c:pt>
                <c:pt idx="13">
                  <c:v>0.24518276557697999</c:v>
                </c:pt>
                <c:pt idx="14">
                  <c:v>0.27101499677944002</c:v>
                </c:pt>
                <c:pt idx="15">
                  <c:v>0.29667051841666497</c:v>
                </c:pt>
                <c:pt idx="16">
                  <c:v>0.32215926551999502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11-4B75-9E05-D2422764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7376"/>
        <c:axId val="217922656"/>
      </c:scatterChart>
      <c:valAx>
        <c:axId val="21791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22656"/>
        <c:crosses val="autoZero"/>
        <c:crossBetween val="midCat"/>
      </c:valAx>
      <c:valAx>
        <c:axId val="21792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15.8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FD!$A$68:$A$84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FD!$M$68:$M$84</c:f>
              <c:numCache>
                <c:formatCode>General</c:formatCode>
                <c:ptCount val="17"/>
                <c:pt idx="0">
                  <c:v>2.7516134348042901E-2</c:v>
                </c:pt>
                <c:pt idx="1">
                  <c:v>4.2338738098758398E-2</c:v>
                </c:pt>
                <c:pt idx="2">
                  <c:v>5.9607565236910201E-2</c:v>
                </c:pt>
                <c:pt idx="3">
                  <c:v>7.9426029050246594E-2</c:v>
                </c:pt>
                <c:pt idx="4">
                  <c:v>0.100966877949693</c:v>
                </c:pt>
                <c:pt idx="5">
                  <c:v>0.123871273424911</c:v>
                </c:pt>
                <c:pt idx="6">
                  <c:v>0.147579633416796</c:v>
                </c:pt>
                <c:pt idx="7">
                  <c:v>0.171679585395177</c:v>
                </c:pt>
                <c:pt idx="8">
                  <c:v>0.19584690487356399</c:v>
                </c:pt>
                <c:pt idx="9">
                  <c:v>0.21973711834234999</c:v>
                </c:pt>
                <c:pt idx="10">
                  <c:v>0.24284113306282501</c:v>
                </c:pt>
                <c:pt idx="11">
                  <c:v>0.265365054639149</c:v>
                </c:pt>
                <c:pt idx="12">
                  <c:v>0.28731500178848202</c:v>
                </c:pt>
                <c:pt idx="13">
                  <c:v>0.30860587397908101</c:v>
                </c:pt>
                <c:pt idx="14">
                  <c:v>0.32919079724358002</c:v>
                </c:pt>
                <c:pt idx="15">
                  <c:v>0.34984086440465401</c:v>
                </c:pt>
                <c:pt idx="16">
                  <c:v>0.36686346963956601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CB-4D89-B2C3-6F3DCC20E4B4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FD!$A$68:$A$84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FD!$N$68:$N$84</c:f>
              <c:numCache>
                <c:formatCode>General</c:formatCode>
                <c:ptCount val="17"/>
                <c:pt idx="0">
                  <c:v>2.3270427814342399E-3</c:v>
                </c:pt>
                <c:pt idx="1">
                  <c:v>8.4815635163934498E-3</c:v>
                </c:pt>
                <c:pt idx="2">
                  <c:v>1.6351619963311199E-2</c:v>
                </c:pt>
                <c:pt idx="3">
                  <c:v>2.6496368525360199E-2</c:v>
                </c:pt>
                <c:pt idx="4">
                  <c:v>3.8720173640521098E-2</c:v>
                </c:pt>
                <c:pt idx="5">
                  <c:v>5.3162886301889603E-2</c:v>
                </c:pt>
                <c:pt idx="6">
                  <c:v>6.9918409100673304E-2</c:v>
                </c:pt>
                <c:pt idx="7">
                  <c:v>8.8928714746987603E-2</c:v>
                </c:pt>
                <c:pt idx="8">
                  <c:v>0.109952868145804</c:v>
                </c:pt>
                <c:pt idx="9">
                  <c:v>0.132919562724404</c:v>
                </c:pt>
                <c:pt idx="10">
                  <c:v>0.15739096268137201</c:v>
                </c:pt>
                <c:pt idx="11">
                  <c:v>0.18318664451691399</c:v>
                </c:pt>
                <c:pt idx="12">
                  <c:v>0.21016109296209201</c:v>
                </c:pt>
                <c:pt idx="13">
                  <c:v>0.23778946764703701</c:v>
                </c:pt>
                <c:pt idx="14">
                  <c:v>0.26567936031237299</c:v>
                </c:pt>
                <c:pt idx="15">
                  <c:v>0.29405691046823501</c:v>
                </c:pt>
                <c:pt idx="16">
                  <c:v>0.32290057912079401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CB-4D89-B2C3-6F3DCC20E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0656"/>
        <c:axId val="217919776"/>
      </c:scatterChart>
      <c:valAx>
        <c:axId val="21791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9776"/>
        <c:crosses val="autoZero"/>
        <c:crossBetween val="midCat"/>
      </c:valAx>
      <c:valAx>
        <c:axId val="2179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FD!$A$85:$A$101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FD!$M$85:$M$101</c:f>
              <c:numCache>
                <c:formatCode>General</c:formatCode>
                <c:ptCount val="17"/>
                <c:pt idx="0">
                  <c:v>3.06392377170626E-2</c:v>
                </c:pt>
                <c:pt idx="1">
                  <c:v>4.7357251025497302E-2</c:v>
                </c:pt>
                <c:pt idx="2">
                  <c:v>6.7425568416106502E-2</c:v>
                </c:pt>
                <c:pt idx="3">
                  <c:v>9.0431039350518105E-2</c:v>
                </c:pt>
                <c:pt idx="4">
                  <c:v>0.11596211898045899</c:v>
                </c:pt>
                <c:pt idx="5">
                  <c:v>0.14384954408798101</c:v>
                </c:pt>
                <c:pt idx="6">
                  <c:v>0.173102118718509</c:v>
                </c:pt>
                <c:pt idx="7">
                  <c:v>0.20336167831569901</c:v>
                </c:pt>
                <c:pt idx="8">
                  <c:v>0.234044948374873</c:v>
                </c:pt>
                <c:pt idx="9">
                  <c:v>0.26462373326744898</c:v>
                </c:pt>
                <c:pt idx="10">
                  <c:v>0.295010447699039</c:v>
                </c:pt>
                <c:pt idx="11">
                  <c:v>0.324603204104364</c:v>
                </c:pt>
                <c:pt idx="12">
                  <c:v>0.35320510334352501</c:v>
                </c:pt>
                <c:pt idx="13">
                  <c:v>0.38115588705287901</c:v>
                </c:pt>
                <c:pt idx="14">
                  <c:v>0.40902775243483602</c:v>
                </c:pt>
                <c:pt idx="15">
                  <c:v>0.43433056214125698</c:v>
                </c:pt>
                <c:pt idx="16">
                  <c:v>0.45843368137630702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4-4590-B491-6046FDE40C0B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FD!$A$85:$A$101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FD!$N$85:$N$101</c:f>
              <c:numCache>
                <c:formatCode>General</c:formatCode>
                <c:ptCount val="17"/>
                <c:pt idx="0">
                  <c:v>-3.21333593657987E-3</c:v>
                </c:pt>
                <c:pt idx="1">
                  <c:v>3.7445229744449401E-5</c:v>
                </c:pt>
                <c:pt idx="2">
                  <c:v>4.5606002180212301E-3</c:v>
                </c:pt>
                <c:pt idx="3">
                  <c:v>1.0974349149131001E-2</c:v>
                </c:pt>
                <c:pt idx="4">
                  <c:v>1.9540390033246102E-2</c:v>
                </c:pt>
                <c:pt idx="5">
                  <c:v>3.0438898812296299E-2</c:v>
                </c:pt>
                <c:pt idx="6">
                  <c:v>4.4198911431656898E-2</c:v>
                </c:pt>
                <c:pt idx="7">
                  <c:v>6.07105369933644E-2</c:v>
                </c:pt>
                <c:pt idx="8">
                  <c:v>8.0020114661010305E-2</c:v>
                </c:pt>
                <c:pt idx="9">
                  <c:v>0.101765841319337</c:v>
                </c:pt>
                <c:pt idx="10">
                  <c:v>0.12607691019091699</c:v>
                </c:pt>
                <c:pt idx="11">
                  <c:v>0.15228259014203799</c:v>
                </c:pt>
                <c:pt idx="12">
                  <c:v>0.18003883643125301</c:v>
                </c:pt>
                <c:pt idx="13">
                  <c:v>0.208900018876577</c:v>
                </c:pt>
                <c:pt idx="14">
                  <c:v>0.23846832510803501</c:v>
                </c:pt>
                <c:pt idx="15">
                  <c:v>0.26907880025699499</c:v>
                </c:pt>
                <c:pt idx="16">
                  <c:v>0.30027454489045602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84-4590-B491-6046FDE40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2176"/>
        <c:axId val="217925536"/>
      </c:scatterChart>
      <c:valAx>
        <c:axId val="21792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25536"/>
        <c:crosses val="autoZero"/>
        <c:crossBetween val="midCat"/>
      </c:valAx>
      <c:valAx>
        <c:axId val="2179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2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FD!$A$102:$A$116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5</c:v>
                </c:pt>
              </c:numCache>
            </c:numRef>
          </c:xVal>
          <c:yVal>
            <c:numRef>
              <c:f>FD!$M$102:$M$116</c:f>
              <c:numCache>
                <c:formatCode>General</c:formatCode>
                <c:ptCount val="15"/>
                <c:pt idx="0">
                  <c:v>3.09771891158435E-2</c:v>
                </c:pt>
                <c:pt idx="1">
                  <c:v>4.8084650084143102E-2</c:v>
                </c:pt>
                <c:pt idx="2">
                  <c:v>6.9035420303675502E-2</c:v>
                </c:pt>
                <c:pt idx="3">
                  <c:v>9.3609332449111293E-2</c:v>
                </c:pt>
                <c:pt idx="4">
                  <c:v>0.121557607682897</c:v>
                </c:pt>
                <c:pt idx="5">
                  <c:v>0.152543482547394</c:v>
                </c:pt>
                <c:pt idx="6">
                  <c:v>0.18612640969404601</c:v>
                </c:pt>
                <c:pt idx="7">
                  <c:v>0.221935279893167</c:v>
                </c:pt>
                <c:pt idx="8">
                  <c:v>0.259083816172898</c:v>
                </c:pt>
                <c:pt idx="9">
                  <c:v>0.29705341134077801</c:v>
                </c:pt>
                <c:pt idx="10">
                  <c:v>0.33530950038213098</c:v>
                </c:pt>
                <c:pt idx="11">
                  <c:v>0.37345222889533403</c:v>
                </c:pt>
                <c:pt idx="12">
                  <c:v>0.41091803764496698</c:v>
                </c:pt>
                <c:pt idx="13">
                  <c:v>0.44872244298191699</c:v>
                </c:pt>
                <c:pt idx="14">
                  <c:v>0.5538737361953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A-43AE-9561-A7B67692D2ED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FD!$A$102:$A$116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5</c:v>
                </c:pt>
              </c:numCache>
            </c:numRef>
          </c:xVal>
          <c:yVal>
            <c:numRef>
              <c:f>FD!$N$102:$N$116</c:f>
              <c:numCache>
                <c:formatCode>General</c:formatCode>
                <c:ptCount val="15"/>
                <c:pt idx="0">
                  <c:v>-9.8395069826674696E-3</c:v>
                </c:pt>
                <c:pt idx="1">
                  <c:v>-1.04016435135319E-2</c:v>
                </c:pt>
                <c:pt idx="2">
                  <c:v>-1.02588847891475E-2</c:v>
                </c:pt>
                <c:pt idx="3">
                  <c:v>-8.8783269993132196E-3</c:v>
                </c:pt>
                <c:pt idx="4">
                  <c:v>-5.7995684643795996E-3</c:v>
                </c:pt>
                <c:pt idx="5">
                  <c:v>-4.8919590405227303E-4</c:v>
                </c:pt>
                <c:pt idx="6">
                  <c:v>7.4898435747367898E-3</c:v>
                </c:pt>
                <c:pt idx="7">
                  <c:v>1.8466012417271499E-2</c:v>
                </c:pt>
                <c:pt idx="8">
                  <c:v>3.26602384359269E-2</c:v>
                </c:pt>
                <c:pt idx="9">
                  <c:v>5.0190285199697197E-2</c:v>
                </c:pt>
                <c:pt idx="10">
                  <c:v>7.08002368040129E-2</c:v>
                </c:pt>
                <c:pt idx="11">
                  <c:v>9.3918749491854095E-2</c:v>
                </c:pt>
                <c:pt idx="12">
                  <c:v>0.119702345476523</c:v>
                </c:pt>
                <c:pt idx="13">
                  <c:v>0.14598781800338601</c:v>
                </c:pt>
                <c:pt idx="14">
                  <c:v>0.23701134615648201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A-43AE-9561-A7B67692D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0816"/>
        <c:axId val="217931296"/>
      </c:scatterChart>
      <c:valAx>
        <c:axId val="21793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1296"/>
        <c:crosses val="autoZero"/>
        <c:crossBetween val="midCat"/>
      </c:valAx>
      <c:valAx>
        <c:axId val="2179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FD!$A$117:$A$131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5</c:v>
                </c:pt>
              </c:numCache>
            </c:numRef>
          </c:xVal>
          <c:yVal>
            <c:numRef>
              <c:f>FD!$M$117:$M$131</c:f>
              <c:numCache>
                <c:formatCode>General</c:formatCode>
                <c:ptCount val="15"/>
                <c:pt idx="0">
                  <c:v>2.8696608006594401E-2</c:v>
                </c:pt>
                <c:pt idx="1">
                  <c:v>4.50817948327496E-2</c:v>
                </c:pt>
                <c:pt idx="2">
                  <c:v>6.5129530626101897E-2</c:v>
                </c:pt>
                <c:pt idx="3">
                  <c:v>8.9041241842967203E-2</c:v>
                </c:pt>
                <c:pt idx="4">
                  <c:v>0.116947460537918</c:v>
                </c:pt>
                <c:pt idx="5">
                  <c:v>0.14868844642933499</c:v>
                </c:pt>
                <c:pt idx="6">
                  <c:v>0.184097854317406</c:v>
                </c:pt>
                <c:pt idx="7">
                  <c:v>0.22285043797933901</c:v>
                </c:pt>
                <c:pt idx="8">
                  <c:v>0.26441238360244401</c:v>
                </c:pt>
                <c:pt idx="9">
                  <c:v>0.30822813537145699</c:v>
                </c:pt>
                <c:pt idx="10">
                  <c:v>0.35366667500344501</c:v>
                </c:pt>
                <c:pt idx="11">
                  <c:v>0.40000310845154502</c:v>
                </c:pt>
                <c:pt idx="12">
                  <c:v>0.44694411040703802</c:v>
                </c:pt>
                <c:pt idx="13">
                  <c:v>0.49389658129991798</c:v>
                </c:pt>
                <c:pt idx="14">
                  <c:v>0.63202322863885696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B1-4870-8048-866E80DB9738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FD!$A$117:$A$131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5</c:v>
                </c:pt>
              </c:numCache>
            </c:numRef>
          </c:xVal>
          <c:yVal>
            <c:numRef>
              <c:f>FD!$N$117:$N$131</c:f>
              <c:numCache>
                <c:formatCode>General</c:formatCode>
                <c:ptCount val="15"/>
                <c:pt idx="0">
                  <c:v>-1.6098472539317302E-2</c:v>
                </c:pt>
                <c:pt idx="1">
                  <c:v>-2.0059382658036501E-2</c:v>
                </c:pt>
                <c:pt idx="2">
                  <c:v>-2.4345186959542301E-2</c:v>
                </c:pt>
                <c:pt idx="3">
                  <c:v>-2.82692305120874E-2</c:v>
                </c:pt>
                <c:pt idx="4">
                  <c:v>-3.1448353139062503E-2</c:v>
                </c:pt>
                <c:pt idx="5">
                  <c:v>-3.31744355474963E-2</c:v>
                </c:pt>
                <c:pt idx="6">
                  <c:v>-3.29710394726326E-2</c:v>
                </c:pt>
                <c:pt idx="7">
                  <c:v>-3.0113144310625499E-2</c:v>
                </c:pt>
                <c:pt idx="8">
                  <c:v>-2.4284946789541999E-2</c:v>
                </c:pt>
                <c:pt idx="9">
                  <c:v>-1.51026001036467E-2</c:v>
                </c:pt>
                <c:pt idx="10">
                  <c:v>-2.6254639113538398E-3</c:v>
                </c:pt>
                <c:pt idx="11">
                  <c:v>1.3268577796224401E-2</c:v>
                </c:pt>
                <c:pt idx="12">
                  <c:v>3.2314461625815902E-2</c:v>
                </c:pt>
                <c:pt idx="13">
                  <c:v>5.35953754272347E-2</c:v>
                </c:pt>
                <c:pt idx="14">
                  <c:v>0.126769012493712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B1-4870-8048-866E80DB9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6416"/>
        <c:axId val="217933216"/>
      </c:scatterChart>
      <c:valAx>
        <c:axId val="21791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3216"/>
        <c:crosses val="autoZero"/>
        <c:crossBetween val="midCat"/>
      </c:valAx>
      <c:valAx>
        <c:axId val="21793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1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FD!$A$132:$A$148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FD!$M$132:$M$148</c:f>
              <c:numCache>
                <c:formatCode>General</c:formatCode>
                <c:ptCount val="17"/>
                <c:pt idx="0">
                  <c:v>2.57794922296995E-2</c:v>
                </c:pt>
                <c:pt idx="1">
                  <c:v>4.0247915752772298E-2</c:v>
                </c:pt>
                <c:pt idx="2">
                  <c:v>5.8477398488783097E-2</c:v>
                </c:pt>
                <c:pt idx="3">
                  <c:v>8.0544145639168396E-2</c:v>
                </c:pt>
                <c:pt idx="4">
                  <c:v>0.106298971062534</c:v>
                </c:pt>
                <c:pt idx="5">
                  <c:v>0.136441283685896</c:v>
                </c:pt>
                <c:pt idx="6">
                  <c:v>0.17074488261509899</c:v>
                </c:pt>
                <c:pt idx="7">
                  <c:v>0.20885582352036799</c:v>
                </c:pt>
                <c:pt idx="8">
                  <c:v>0.25103407456421301</c:v>
                </c:pt>
                <c:pt idx="9">
                  <c:v>0.29655828023373598</c:v>
                </c:pt>
                <c:pt idx="10">
                  <c:v>0.34498749901570003</c:v>
                </c:pt>
                <c:pt idx="11">
                  <c:v>0.395513740269749</c:v>
                </c:pt>
                <c:pt idx="12">
                  <c:v>0.44770077449338802</c:v>
                </c:pt>
                <c:pt idx="13">
                  <c:v>0.50078707749720497</c:v>
                </c:pt>
                <c:pt idx="14">
                  <c:v>0.55414137467264302</c:v>
                </c:pt>
                <c:pt idx="15">
                  <c:v>0.607584227528013</c:v>
                </c:pt>
                <c:pt idx="16">
                  <c:v>0.66087396040256996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49-44DA-9C51-AA78FC6B64AF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FD!$A$132:$A$148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FD!$N$132:$N$148</c:f>
              <c:numCache>
                <c:formatCode>General</c:formatCode>
                <c:ptCount val="17"/>
                <c:pt idx="0">
                  <c:v>-1.9734536113401001E-2</c:v>
                </c:pt>
                <c:pt idx="1">
                  <c:v>-2.61428397890054E-2</c:v>
                </c:pt>
                <c:pt idx="2">
                  <c:v>-3.3355667315891201E-2</c:v>
                </c:pt>
                <c:pt idx="3">
                  <c:v>-4.1039785626439E-2</c:v>
                </c:pt>
                <c:pt idx="4">
                  <c:v>-4.8646976699490897E-2</c:v>
                </c:pt>
                <c:pt idx="5">
                  <c:v>-5.5911360659422697E-2</c:v>
                </c:pt>
                <c:pt idx="6">
                  <c:v>-6.2137149347583603E-2</c:v>
                </c:pt>
                <c:pt idx="7">
                  <c:v>-6.6548311640133598E-2</c:v>
                </c:pt>
                <c:pt idx="8">
                  <c:v>-6.9100714720138304E-2</c:v>
                </c:pt>
                <c:pt idx="9">
                  <c:v>-6.8639413092675503E-2</c:v>
                </c:pt>
                <c:pt idx="10">
                  <c:v>-6.4891099691661597E-2</c:v>
                </c:pt>
                <c:pt idx="11">
                  <c:v>-5.7775535450435303E-2</c:v>
                </c:pt>
                <c:pt idx="12">
                  <c:v>-4.7445830470249598E-2</c:v>
                </c:pt>
                <c:pt idx="13">
                  <c:v>-3.4378532260956898E-2</c:v>
                </c:pt>
                <c:pt idx="14">
                  <c:v>-1.9499400669725199E-2</c:v>
                </c:pt>
                <c:pt idx="15">
                  <c:v>-2.9274637820985499E-3</c:v>
                </c:pt>
                <c:pt idx="16">
                  <c:v>1.4354325380910599E-2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49-44DA-9C51-AA78FC6B6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096"/>
        <c:axId val="217935136"/>
      </c:scatterChart>
      <c:valAx>
        <c:axId val="21793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5136"/>
        <c:crosses val="autoZero"/>
        <c:crossBetween val="midCat"/>
      </c:valAx>
      <c:valAx>
        <c:axId val="21793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16.8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FD!$A$149:$A$161</c:f>
              <c:numCache>
                <c:formatCode>General</c:formatCode>
                <c:ptCount val="13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4.75</c:v>
                </c:pt>
                <c:pt idx="12">
                  <c:v>5</c:v>
                </c:pt>
              </c:numCache>
            </c:numRef>
          </c:xVal>
          <c:yVal>
            <c:numRef>
              <c:f>FD!$M$149:$M$161</c:f>
              <c:numCache>
                <c:formatCode>General</c:formatCode>
                <c:ptCount val="13"/>
                <c:pt idx="0">
                  <c:v>2.1602969431381E-2</c:v>
                </c:pt>
                <c:pt idx="1">
                  <c:v>3.4047429222592497E-2</c:v>
                </c:pt>
                <c:pt idx="2">
                  <c:v>4.9840365827271499E-2</c:v>
                </c:pt>
                <c:pt idx="3">
                  <c:v>6.9033676243953304E-2</c:v>
                </c:pt>
                <c:pt idx="4">
                  <c:v>9.1894221510002302E-2</c:v>
                </c:pt>
                <c:pt idx="5">
                  <c:v>0.118692433178627</c:v>
                </c:pt>
                <c:pt idx="6">
                  <c:v>0.14961621264373801</c:v>
                </c:pt>
                <c:pt idx="7">
                  <c:v>0.18478793925527501</c:v>
                </c:pt>
                <c:pt idx="8">
                  <c:v>0.22416913374990599</c:v>
                </c:pt>
                <c:pt idx="9">
                  <c:v>0.26761992246057897</c:v>
                </c:pt>
                <c:pt idx="10">
                  <c:v>0.314866192067007</c:v>
                </c:pt>
                <c:pt idx="11">
                  <c:v>0.58777585532908105</c:v>
                </c:pt>
                <c:pt idx="12">
                  <c:v>0.64399615590475001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3F-49E0-BD5A-7128CA9FB5F2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FD!$A$149:$A$161</c:f>
              <c:numCache>
                <c:formatCode>General</c:formatCode>
                <c:ptCount val="13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4.75</c:v>
                </c:pt>
                <c:pt idx="12">
                  <c:v>5</c:v>
                </c:pt>
              </c:numCache>
            </c:numRef>
          </c:xVal>
          <c:yVal>
            <c:numRef>
              <c:f>FD!$N$149:$N$161</c:f>
              <c:numCache>
                <c:formatCode>General</c:formatCode>
                <c:ptCount val="13"/>
                <c:pt idx="0">
                  <c:v>-2.2095310776121601E-2</c:v>
                </c:pt>
                <c:pt idx="1">
                  <c:v>-2.96627034167222E-2</c:v>
                </c:pt>
                <c:pt idx="2">
                  <c:v>-3.8840816342926701E-2</c:v>
                </c:pt>
                <c:pt idx="3">
                  <c:v>-4.9168185975156001E-2</c:v>
                </c:pt>
                <c:pt idx="4">
                  <c:v>-6.0303205202415999E-2</c:v>
                </c:pt>
                <c:pt idx="5">
                  <c:v>-7.1863363026235499E-2</c:v>
                </c:pt>
                <c:pt idx="6">
                  <c:v>-8.3251958206189497E-2</c:v>
                </c:pt>
                <c:pt idx="7">
                  <c:v>-9.4228877212747503E-2</c:v>
                </c:pt>
                <c:pt idx="8">
                  <c:v>-0.104132209205674</c:v>
                </c:pt>
                <c:pt idx="9">
                  <c:v>-0.112475067111552</c:v>
                </c:pt>
                <c:pt idx="10">
                  <c:v>-0.118770242125169</c:v>
                </c:pt>
                <c:pt idx="11">
                  <c:v>-0.115025321573483</c:v>
                </c:pt>
                <c:pt idx="12">
                  <c:v>-0.112986236649597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3F-49E0-BD5A-7128CA9FB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7536"/>
        <c:axId val="217938016"/>
      </c:scatterChart>
      <c:valAx>
        <c:axId val="21793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8016"/>
        <c:crosses val="autoZero"/>
        <c:crossBetween val="midCat"/>
      </c:valAx>
      <c:valAx>
        <c:axId val="2179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3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Lcav = 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FD!$A$162:$A$178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FD!$M$162:$M$178</c:f>
              <c:numCache>
                <c:formatCode>General</c:formatCode>
                <c:ptCount val="17"/>
                <c:pt idx="0">
                  <c:v>1.7581462804795899E-2</c:v>
                </c:pt>
                <c:pt idx="1">
                  <c:v>2.75231343992829E-2</c:v>
                </c:pt>
                <c:pt idx="2">
                  <c:v>3.9939766912609802E-2</c:v>
                </c:pt>
                <c:pt idx="3">
                  <c:v>5.5609853659908302E-2</c:v>
                </c:pt>
                <c:pt idx="4">
                  <c:v>7.4292653069430004E-2</c:v>
                </c:pt>
                <c:pt idx="5">
                  <c:v>9.6144940257431394E-2</c:v>
                </c:pt>
                <c:pt idx="6">
                  <c:v>0.12196046665650501</c:v>
                </c:pt>
                <c:pt idx="7">
                  <c:v>0.15140949929613101</c:v>
                </c:pt>
                <c:pt idx="8">
                  <c:v>0.18481436179932501</c:v>
                </c:pt>
                <c:pt idx="9">
                  <c:v>0.22215005027460399</c:v>
                </c:pt>
                <c:pt idx="10">
                  <c:v>0.26355131825314998</c:v>
                </c:pt>
                <c:pt idx="11">
                  <c:v>0.30868646393781801</c:v>
                </c:pt>
                <c:pt idx="12">
                  <c:v>0.35692934016370498</c:v>
                </c:pt>
                <c:pt idx="13">
                  <c:v>0.40826251584731899</c:v>
                </c:pt>
                <c:pt idx="14">
                  <c:v>0.46183096002226198</c:v>
                </c:pt>
                <c:pt idx="15">
                  <c:v>0.51714272192835098</c:v>
                </c:pt>
                <c:pt idx="16">
                  <c:v>0.57208351661006396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9-42F1-BACB-BB78BCD969B5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FD!$A$162:$A$178</c:f>
              <c:numCache>
                <c:formatCode>General</c:formatCode>
                <c:ptCount val="1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</c:numCache>
            </c:numRef>
          </c:xVal>
          <c:yVal>
            <c:numRef>
              <c:f>FD!$N$162:$N$178</c:f>
              <c:numCache>
                <c:formatCode>General</c:formatCode>
                <c:ptCount val="17"/>
                <c:pt idx="0">
                  <c:v>-2.2741331522380101E-2</c:v>
                </c:pt>
                <c:pt idx="1">
                  <c:v>-3.0968458420014399E-2</c:v>
                </c:pt>
                <c:pt idx="2">
                  <c:v>-4.1219788546990703E-2</c:v>
                </c:pt>
                <c:pt idx="3">
                  <c:v>-5.3026827409162598E-2</c:v>
                </c:pt>
                <c:pt idx="4">
                  <c:v>-6.6203085837197001E-2</c:v>
                </c:pt>
                <c:pt idx="5">
                  <c:v>-8.05373952748316E-2</c:v>
                </c:pt>
                <c:pt idx="6">
                  <c:v>-9.6005947247003495E-2</c:v>
                </c:pt>
                <c:pt idx="7">
                  <c:v>-0.11191704915336601</c:v>
                </c:pt>
                <c:pt idx="8">
                  <c:v>-0.12800332107545501</c:v>
                </c:pt>
                <c:pt idx="9">
                  <c:v>-0.14413024439956201</c:v>
                </c:pt>
                <c:pt idx="10">
                  <c:v>-0.159541799485999</c:v>
                </c:pt>
                <c:pt idx="11">
                  <c:v>-0.173854662153655</c:v>
                </c:pt>
                <c:pt idx="12">
                  <c:v>-0.18723784872837501</c:v>
                </c:pt>
                <c:pt idx="13">
                  <c:v>-0.19905276110804501</c:v>
                </c:pt>
                <c:pt idx="14">
                  <c:v>-0.20912474895247099</c:v>
                </c:pt>
                <c:pt idx="15">
                  <c:v>-0.21862375601394901</c:v>
                </c:pt>
                <c:pt idx="16">
                  <c:v>-0.227822786493069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C9-42F1-BACB-BB78BCD9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3776"/>
        <c:axId val="217954816"/>
      </c:scatterChart>
      <c:valAx>
        <c:axId val="21794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54816"/>
        <c:crosses val="autoZero"/>
        <c:crossBetween val="midCat"/>
      </c:valAx>
      <c:valAx>
        <c:axId val="21795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94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50797</xdr:colOff>
      <xdr:row>0</xdr:row>
      <xdr:rowOff>165099</xdr:rowOff>
    </xdr:from>
    <xdr:to>
      <xdr:col>29</xdr:col>
      <xdr:colOff>355597</xdr:colOff>
      <xdr:row>19</xdr:row>
      <xdr:rowOff>177799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8DB308-9294-93E0-E40A-91380CAA8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457199</xdr:colOff>
      <xdr:row>0</xdr:row>
      <xdr:rowOff>165099</xdr:rowOff>
    </xdr:from>
    <xdr:to>
      <xdr:col>37</xdr:col>
      <xdr:colOff>152399</xdr:colOff>
      <xdr:row>19</xdr:row>
      <xdr:rowOff>177799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BAAF6C-6CFE-FBE1-DF88-2C47E0D1B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50797</xdr:colOff>
      <xdr:row>20</xdr:row>
      <xdr:rowOff>120649</xdr:rowOff>
    </xdr:from>
    <xdr:to>
      <xdr:col>29</xdr:col>
      <xdr:colOff>355597</xdr:colOff>
      <xdr:row>39</xdr:row>
      <xdr:rowOff>177799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D534A21-896D-7A04-BA83-94FAF4D9A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457199</xdr:colOff>
      <xdr:row>20</xdr:row>
      <xdr:rowOff>120649</xdr:rowOff>
    </xdr:from>
    <xdr:to>
      <xdr:col>37</xdr:col>
      <xdr:colOff>152399</xdr:colOff>
      <xdr:row>39</xdr:row>
      <xdr:rowOff>177799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FF750E-EC50-90F4-BE98-32DA3A758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50797</xdr:colOff>
      <xdr:row>40</xdr:row>
      <xdr:rowOff>120649</xdr:rowOff>
    </xdr:from>
    <xdr:to>
      <xdr:col>29</xdr:col>
      <xdr:colOff>355597</xdr:colOff>
      <xdr:row>59</xdr:row>
      <xdr:rowOff>177799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7C1BBC9-CE1F-0BCB-8E7B-41A1F0929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457199</xdr:colOff>
      <xdr:row>40</xdr:row>
      <xdr:rowOff>120649</xdr:rowOff>
    </xdr:from>
    <xdr:to>
      <xdr:col>37</xdr:col>
      <xdr:colOff>152399</xdr:colOff>
      <xdr:row>59</xdr:row>
      <xdr:rowOff>177799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2C77FD5-B0D1-EB46-C8CA-DB05A6F69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50797</xdr:colOff>
      <xdr:row>60</xdr:row>
      <xdr:rowOff>120649</xdr:rowOff>
    </xdr:from>
    <xdr:to>
      <xdr:col>29</xdr:col>
      <xdr:colOff>355597</xdr:colOff>
      <xdr:row>79</xdr:row>
      <xdr:rowOff>177799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E53926C-72E1-8F6B-CCCD-610DCA0BC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457199</xdr:colOff>
      <xdr:row>60</xdr:row>
      <xdr:rowOff>120649</xdr:rowOff>
    </xdr:from>
    <xdr:to>
      <xdr:col>37</xdr:col>
      <xdr:colOff>152399</xdr:colOff>
      <xdr:row>79</xdr:row>
      <xdr:rowOff>177799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70357BF-B249-39DB-B20F-0DF92D49EB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50797</xdr:colOff>
      <xdr:row>80</xdr:row>
      <xdr:rowOff>120649</xdr:rowOff>
    </xdr:from>
    <xdr:to>
      <xdr:col>29</xdr:col>
      <xdr:colOff>355597</xdr:colOff>
      <xdr:row>99</xdr:row>
      <xdr:rowOff>177799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D225670-9F0F-1C30-F94C-EE66582DB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457199</xdr:colOff>
      <xdr:row>80</xdr:row>
      <xdr:rowOff>120649</xdr:rowOff>
    </xdr:from>
    <xdr:to>
      <xdr:col>37</xdr:col>
      <xdr:colOff>152399</xdr:colOff>
      <xdr:row>99</xdr:row>
      <xdr:rowOff>177799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344471A6-5B54-C9FE-DD84-7E095A596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50797</xdr:colOff>
      <xdr:row>100</xdr:row>
      <xdr:rowOff>120649</xdr:rowOff>
    </xdr:from>
    <xdr:to>
      <xdr:col>29</xdr:col>
      <xdr:colOff>355597</xdr:colOff>
      <xdr:row>119</xdr:row>
      <xdr:rowOff>177799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D5FEEA26-CBD8-E212-80C9-4E40381705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0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8">
      <calculatedColumnFormula>IMREAL(IMSUB(COMPLEX(G2,H2),COMPLEX(I2,J2)))</calculatedColumnFormula>
    </tableColumn>
    <tableColumn id="12" xr3:uid="{686F1441-507A-49DD-AFE0-56BADB6F9068}" name="Xself" dataDxfId="7">
      <calculatedColumnFormula>IMAGINARY(IMSUB(COMPLEX(G2,H2),COMPLEX(I2,J2)))</calculatedColumnFormula>
    </tableColumn>
    <tableColumn id="13" xr3:uid="{77E17CA3-A747-4717-9C3A-D1A0CFB25085}" name="Gself" dataDxfId="6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5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4">
      <calculatedColumnFormula>IMABS(COMPLEX(Q2,R2))/IMABS(COMPLEX(O2,P2))</calculatedColumnFormula>
    </tableColumn>
    <tableColumn id="20" xr3:uid="{8726D354-B8FF-4D2F-A2A9-D21714AE0420}" name="arg(rho)" dataDxfId="3">
      <calculatedColumnFormula>IMARGUMENT(IMDIV(COMPLEX(Q2,R2),COMPLEX(O2/B2,P2/B2)))/PI()*180</calculatedColumnFormula>
    </tableColumn>
    <tableColumn id="21" xr3:uid="{A6804CBD-F45A-4DD6-9569-7C118617F827}" name="Column1" dataDxfId="2"/>
    <tableColumn id="22" xr3:uid="{0F81E51C-E2FC-4AD5-9344-9497C0A26A05}" name="Column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8"/>
  <sheetViews>
    <sheetView topLeftCell="A68" workbookViewId="0">
      <selection activeCell="G4" sqref="G4:J108"/>
    </sheetView>
  </sheetViews>
  <sheetFormatPr defaultRowHeight="14.5" x14ac:dyDescent="0.35"/>
  <sheetData>
    <row r="1" spans="1:10" x14ac:dyDescent="0.35">
      <c r="A1" t="s">
        <v>16</v>
      </c>
    </row>
    <row r="2" spans="1:10" x14ac:dyDescent="0.35">
      <c r="A2" t="s">
        <v>17</v>
      </c>
      <c r="B2" t="s">
        <v>18</v>
      </c>
      <c r="C2" t="s">
        <v>19</v>
      </c>
      <c r="D2" t="s">
        <v>25</v>
      </c>
      <c r="E2" t="s">
        <v>26</v>
      </c>
      <c r="G2" t="s">
        <v>21</v>
      </c>
      <c r="H2" t="s">
        <v>22</v>
      </c>
      <c r="I2" t="s">
        <v>23</v>
      </c>
      <c r="J2" t="s">
        <v>24</v>
      </c>
    </row>
    <row r="3" spans="1:10" x14ac:dyDescent="0.35">
      <c r="A3" t="s">
        <v>20</v>
      </c>
    </row>
    <row r="4" spans="1:10" x14ac:dyDescent="0.35">
      <c r="A4">
        <v>1</v>
      </c>
      <c r="B4">
        <v>-5.6924130983101999E-2</v>
      </c>
      <c r="C4">
        <v>-8.2814913458955003E-2</v>
      </c>
      <c r="D4">
        <v>0.94308876467057001</v>
      </c>
      <c r="E4">
        <v>-8.8360452673973994E-2</v>
      </c>
      <c r="G4">
        <v>7.9960876303146994E-2</v>
      </c>
      <c r="H4">
        <v>-5.3736285790637002E-2</v>
      </c>
      <c r="I4">
        <v>5.0187521164192998E-2</v>
      </c>
      <c r="J4">
        <v>-9.9909931608003003E-2</v>
      </c>
    </row>
    <row r="5" spans="1:10" x14ac:dyDescent="0.35">
      <c r="A5">
        <v>2</v>
      </c>
      <c r="B5">
        <v>-6.3500373881422004E-2</v>
      </c>
      <c r="C5">
        <v>-8.5397762986324996E-2</v>
      </c>
      <c r="D5">
        <v>0.93651705671727004</v>
      </c>
      <c r="E5">
        <v>-9.1048988729192995E-2</v>
      </c>
      <c r="G5">
        <v>8.2366638996601002E-2</v>
      </c>
      <c r="H5">
        <v>-5.9894686139174001E-2</v>
      </c>
      <c r="I5">
        <v>4.9054336111473001E-2</v>
      </c>
      <c r="J5">
        <v>-0.10738833198272001</v>
      </c>
    </row>
    <row r="6" spans="1:10" x14ac:dyDescent="0.35">
      <c r="A6">
        <v>3</v>
      </c>
      <c r="B6">
        <v>-7.0844790551311002E-2</v>
      </c>
      <c r="C6">
        <v>-8.7648714662728E-2</v>
      </c>
      <c r="D6">
        <v>0.92917327341994005</v>
      </c>
      <c r="E6">
        <v>-9.3405800206664003E-2</v>
      </c>
      <c r="G6">
        <v>8.4528546575373995E-2</v>
      </c>
      <c r="H6">
        <v>-6.6823246946560999E-2</v>
      </c>
      <c r="I6">
        <v>4.7200908293251999E-2</v>
      </c>
      <c r="J6">
        <v>-0.11539035860047001</v>
      </c>
    </row>
    <row r="7" spans="1:10" x14ac:dyDescent="0.35">
      <c r="A7">
        <v>4</v>
      </c>
      <c r="B7">
        <v>-7.8982790332580002E-2</v>
      </c>
      <c r="C7">
        <v>-8.9420626155248997E-2</v>
      </c>
      <c r="D7">
        <v>0.92103536022355004</v>
      </c>
      <c r="E7">
        <v>-9.5286044622759997E-2</v>
      </c>
      <c r="G7">
        <v>8.6250306423886994E-2</v>
      </c>
      <c r="H7">
        <v>-7.450955043568E-2</v>
      </c>
      <c r="I7">
        <v>4.4477760064744E-2</v>
      </c>
      <c r="J7">
        <v>-0.12386164517004999</v>
      </c>
    </row>
    <row r="8" spans="1:10" x14ac:dyDescent="0.35">
      <c r="A8">
        <v>5</v>
      </c>
      <c r="B8">
        <v>-8.7934532670223997E-2</v>
      </c>
      <c r="C8">
        <v>-9.0540773977270006E-2</v>
      </c>
      <c r="D8">
        <v>0.91208326472518997</v>
      </c>
      <c r="E8">
        <v>-9.6517212486250004E-2</v>
      </c>
      <c r="G8">
        <v>8.7361860028564997E-2</v>
      </c>
      <c r="H8">
        <v>-8.2968494494612993E-2</v>
      </c>
      <c r="I8">
        <v>4.0715175226299999E-2</v>
      </c>
      <c r="J8">
        <v>-0.13272637190761</v>
      </c>
    </row>
    <row r="9" spans="1:10" x14ac:dyDescent="0.35">
      <c r="A9">
        <v>6</v>
      </c>
      <c r="B9">
        <v>-9.7686499784507996E-2</v>
      </c>
      <c r="C9">
        <v>-9.0806758367780002E-2</v>
      </c>
      <c r="D9">
        <v>0.90233056665264999</v>
      </c>
      <c r="E9">
        <v>-9.6897036574672996E-2</v>
      </c>
      <c r="G9">
        <v>8.7671997576475993E-2</v>
      </c>
      <c r="H9">
        <v>-9.2188503735499999E-2</v>
      </c>
      <c r="I9">
        <v>3.5734584704022999E-2</v>
      </c>
      <c r="J9">
        <v>-0.14186175561320999</v>
      </c>
    </row>
    <row r="10" spans="1:10" x14ac:dyDescent="0.35">
      <c r="A10">
        <v>7</v>
      </c>
      <c r="B10">
        <v>-0.10817666574427</v>
      </c>
      <c r="C10">
        <v>-8.9990867400721999E-2</v>
      </c>
      <c r="D10">
        <v>0.89183937822686998</v>
      </c>
      <c r="E10">
        <v>-9.6197840462899004E-2</v>
      </c>
      <c r="G10">
        <v>8.6964008161965006E-2</v>
      </c>
      <c r="H10">
        <v>-0.10211085796008</v>
      </c>
      <c r="I10">
        <v>2.9360667125828001E-2</v>
      </c>
      <c r="J10">
        <v>-0.15108669473794001</v>
      </c>
    </row>
    <row r="11" spans="1:10" x14ac:dyDescent="0.35">
      <c r="A11">
        <v>8</v>
      </c>
      <c r="B11">
        <v>-0.11927887789445001</v>
      </c>
      <c r="C11">
        <v>-8.7850687750386E-2</v>
      </c>
      <c r="D11">
        <v>0.8807295280595</v>
      </c>
      <c r="E11">
        <v>-9.4171293464043002E-2</v>
      </c>
      <c r="G11">
        <v>8.5009935328464001E-2</v>
      </c>
      <c r="H11">
        <v>-0.11261963365516001</v>
      </c>
      <c r="I11">
        <v>2.1439976117861002E-2</v>
      </c>
      <c r="J11">
        <v>-0.16015368090796001</v>
      </c>
    </row>
    <row r="12" spans="1:10" x14ac:dyDescent="0.35">
      <c r="A12">
        <v>9</v>
      </c>
      <c r="B12">
        <v>-0.13078762350632001</v>
      </c>
      <c r="C12">
        <v>-8.4148293388929998E-2</v>
      </c>
      <c r="D12">
        <v>0.86921834673578002</v>
      </c>
      <c r="E12">
        <v>-9.0590258181088998E-2</v>
      </c>
      <c r="G12">
        <v>8.1582480132964999E-2</v>
      </c>
      <c r="H12">
        <v>-0.12352001825113</v>
      </c>
      <c r="I12">
        <v>1.186529028883E-2</v>
      </c>
      <c r="J12">
        <v>-0.16874358414328</v>
      </c>
    </row>
    <row r="13" spans="1:10" x14ac:dyDescent="0.35">
      <c r="A13">
        <v>10</v>
      </c>
      <c r="B13">
        <v>-0.14241039483696</v>
      </c>
      <c r="C13">
        <v>-7.8677876997154006E-2</v>
      </c>
      <c r="D13">
        <v>0.85759257104380004</v>
      </c>
      <c r="E13">
        <v>-8.5243468522291005E-2</v>
      </c>
      <c r="G13">
        <v>7.6486278382558004E-2</v>
      </c>
      <c r="H13">
        <v>-0.13453745722963001</v>
      </c>
      <c r="I13">
        <v>6.0739346943008E-4</v>
      </c>
      <c r="J13">
        <v>-0.17647617189293999</v>
      </c>
    </row>
    <row r="14" spans="1:10" x14ac:dyDescent="0.35">
      <c r="A14">
        <v>11</v>
      </c>
      <c r="B14">
        <v>-0.15376951324143001</v>
      </c>
      <c r="C14">
        <v>-7.1301289516986999E-2</v>
      </c>
      <c r="D14">
        <v>0.84622919981989997</v>
      </c>
      <c r="E14">
        <v>-7.7994190725525006E-2</v>
      </c>
      <c r="G14">
        <v>6.9588297904073004E-2</v>
      </c>
      <c r="H14">
        <v>-0.14531509683644001</v>
      </c>
      <c r="I14">
        <v>-1.2255164302901999E-2</v>
      </c>
      <c r="J14">
        <v>-0.18292950180053999</v>
      </c>
    </row>
    <row r="15" spans="1:10" x14ac:dyDescent="0.35">
      <c r="A15">
        <v>12</v>
      </c>
      <c r="B15">
        <v>-0.16442002389134999</v>
      </c>
      <c r="C15">
        <v>-6.1986040487881998E-2</v>
      </c>
      <c r="D15">
        <v>0.83557379773239004</v>
      </c>
      <c r="E15">
        <v>-6.8809387837934999E-2</v>
      </c>
      <c r="G15">
        <v>6.0856111871822001E-2</v>
      </c>
      <c r="H15">
        <v>-0.15543287349963</v>
      </c>
      <c r="I15">
        <v>-2.6508970605312002E-2</v>
      </c>
      <c r="J15">
        <v>-0.18767725149003001</v>
      </c>
    </row>
    <row r="16" spans="1:10" x14ac:dyDescent="0.35">
      <c r="A16">
        <v>13</v>
      </c>
      <c r="B16">
        <v>-0.17388858284818001</v>
      </c>
      <c r="C16">
        <v>-5.0836521487864002E-2</v>
      </c>
      <c r="D16">
        <v>0.82610038697095001</v>
      </c>
      <c r="E16">
        <v>-5.7791209505087003E-2</v>
      </c>
      <c r="G16">
        <v>5.0386311621343001E-2</v>
      </c>
      <c r="H16">
        <v>-0.16444409324395001</v>
      </c>
      <c r="I16">
        <v>-4.1800985097595E-2</v>
      </c>
      <c r="J16">
        <v>-0.19034188848118999</v>
      </c>
    </row>
    <row r="17" spans="1:10" x14ac:dyDescent="0.35">
      <c r="A17">
        <v>14</v>
      </c>
      <c r="B17">
        <v>-0.18172584115252999</v>
      </c>
      <c r="C17">
        <v>-3.8108950120469998E-2</v>
      </c>
      <c r="D17">
        <v>0.81825888648429002</v>
      </c>
      <c r="E17">
        <v>-4.5199058655667E-2</v>
      </c>
      <c r="G17">
        <v>3.8418061609900002E-2</v>
      </c>
      <c r="H17">
        <v>-0.1719202915487</v>
      </c>
      <c r="I17">
        <v>-5.7650714006796999E-2</v>
      </c>
      <c r="J17">
        <v>-0.19064995860091</v>
      </c>
    </row>
    <row r="18" spans="1:10" x14ac:dyDescent="0.35">
      <c r="A18">
        <v>15</v>
      </c>
      <c r="B18">
        <v>-0.18756721619757</v>
      </c>
      <c r="C18">
        <v>-2.4200666060164001E-2</v>
      </c>
      <c r="D18">
        <v>0.81241235074853002</v>
      </c>
      <c r="E18">
        <v>-3.1427039781265001E-2</v>
      </c>
      <c r="G18">
        <v>2.5325471535636E-2</v>
      </c>
      <c r="H18">
        <v>-0.17751758173078999</v>
      </c>
      <c r="I18">
        <v>-7.3495543436479002E-2</v>
      </c>
      <c r="J18">
        <v>-0.18848399366623</v>
      </c>
    </row>
    <row r="19" spans="1:10" x14ac:dyDescent="0.35">
      <c r="A19">
        <v>16</v>
      </c>
      <c r="B19">
        <v>-0.19118415775858999</v>
      </c>
      <c r="C19">
        <v>-9.6108876549946005E-3</v>
      </c>
      <c r="D19">
        <v>0.80879145016717002</v>
      </c>
      <c r="E19">
        <v>-1.6974359414857001E-2</v>
      </c>
      <c r="G19">
        <v>1.1579073151277E-2</v>
      </c>
      <c r="H19">
        <v>-0.18101659528698</v>
      </c>
      <c r="I19">
        <v>-8.8752500241754004E-2</v>
      </c>
      <c r="J19">
        <v>-0.18390542217253</v>
      </c>
    </row>
    <row r="20" spans="1:10" x14ac:dyDescent="0.35">
      <c r="A20">
        <v>17</v>
      </c>
      <c r="B20">
        <v>-0.19251455667674</v>
      </c>
      <c r="C20">
        <v>5.1176899517701999E-3</v>
      </c>
      <c r="D20">
        <v>0.80745458924593005</v>
      </c>
      <c r="E20">
        <v>-2.3925848841056998E-3</v>
      </c>
      <c r="G20">
        <v>-2.3088323548792998E-3</v>
      </c>
      <c r="H20">
        <v>-0.18235397216491001</v>
      </c>
      <c r="I20">
        <v>-0.10288936815231001</v>
      </c>
      <c r="J20">
        <v>-0.17715330073591001</v>
      </c>
    </row>
    <row r="21" spans="1:10" x14ac:dyDescent="0.35">
      <c r="A21">
        <v>18</v>
      </c>
      <c r="B21">
        <v>-0.19166270081461001</v>
      </c>
      <c r="C21">
        <v>1.9465720418053001E-2</v>
      </c>
      <c r="D21">
        <v>0.80830161033813996</v>
      </c>
      <c r="E21">
        <v>1.1811496888221E-2</v>
      </c>
      <c r="G21">
        <v>-1.5846556984548999E-2</v>
      </c>
      <c r="H21">
        <v>-0.18162815158918</v>
      </c>
      <c r="I21">
        <v>-0.11548584993159</v>
      </c>
      <c r="J21">
        <v>-0.16860611203268999</v>
      </c>
    </row>
    <row r="22" spans="1:10" x14ac:dyDescent="0.35">
      <c r="A22">
        <v>19</v>
      </c>
      <c r="B22">
        <v>-0.18887111896805001</v>
      </c>
      <c r="C22">
        <v>3.2993351688105001E-2</v>
      </c>
      <c r="D22">
        <v>0.81108912237649999</v>
      </c>
      <c r="E22">
        <v>2.5191894928164999E-2</v>
      </c>
      <c r="G22">
        <v>-2.8617221533099001E-2</v>
      </c>
      <c r="H22">
        <v>-0.17906470996408</v>
      </c>
      <c r="I22">
        <v>-0.12627061061346001</v>
      </c>
      <c r="J22">
        <v>-0.15872583177381</v>
      </c>
    </row>
    <row r="23" spans="1:10" x14ac:dyDescent="0.35">
      <c r="A23">
        <v>20</v>
      </c>
      <c r="B23">
        <v>-0.18447431537905001</v>
      </c>
      <c r="C23">
        <v>4.5375437614197003E-2</v>
      </c>
      <c r="D23">
        <v>0.81548469338859997</v>
      </c>
      <c r="E23">
        <v>3.7424943764882E-2</v>
      </c>
      <c r="G23">
        <v>-4.0311773904246E-2</v>
      </c>
      <c r="H23">
        <v>-0.17497858983900999</v>
      </c>
      <c r="I23">
        <v>-0.13512718923643999</v>
      </c>
      <c r="J23">
        <v>-0.14799657846063999</v>
      </c>
    </row>
    <row r="24" spans="1:10" x14ac:dyDescent="0.35">
      <c r="A24">
        <v>21</v>
      </c>
      <c r="B24">
        <v>-0.17884839877774</v>
      </c>
      <c r="C24">
        <v>5.6412510072410001E-2</v>
      </c>
      <c r="D24">
        <v>0.82110431744824997</v>
      </c>
      <c r="E24">
        <v>4.8307733907433002E-2</v>
      </c>
      <c r="G24">
        <v>-5.0739876317841999E-2</v>
      </c>
      <c r="H24">
        <v>-0.16972347965633999</v>
      </c>
      <c r="I24">
        <v>-0.14207741903928001</v>
      </c>
      <c r="J24">
        <v>-0.13687243394602999</v>
      </c>
    </row>
    <row r="25" spans="1:10" x14ac:dyDescent="0.35">
      <c r="A25">
        <v>22</v>
      </c>
      <c r="B25">
        <v>-6.0615509700407001E-2</v>
      </c>
      <c r="C25">
        <v>-8.8655421688765002E-2</v>
      </c>
      <c r="D25">
        <v>0.93937466906283995</v>
      </c>
      <c r="E25">
        <v>-9.4499301434954996E-2</v>
      </c>
      <c r="G25">
        <v>8.2025240480054995E-2</v>
      </c>
      <c r="H25">
        <v>-5.5054734748343E-2</v>
      </c>
      <c r="I25">
        <v>5.1450936922014003E-2</v>
      </c>
      <c r="J25">
        <v>-0.10218383331271</v>
      </c>
    </row>
    <row r="26" spans="1:10" x14ac:dyDescent="0.35">
      <c r="A26">
        <v>23</v>
      </c>
      <c r="B26">
        <v>-6.7542269009459005E-2</v>
      </c>
      <c r="C26">
        <v>-9.1389024607669997E-2</v>
      </c>
      <c r="D26">
        <v>0.93245615532919002</v>
      </c>
      <c r="E26">
        <v>-9.7347655565340002E-2</v>
      </c>
      <c r="G26">
        <v>8.4461195732519007E-2</v>
      </c>
      <c r="H26">
        <v>-6.1277884263156002E-2</v>
      </c>
      <c r="I26">
        <v>5.0326154370243001E-2</v>
      </c>
      <c r="J26">
        <v>-0.10974719763368</v>
      </c>
    </row>
    <row r="27" spans="1:10" x14ac:dyDescent="0.35">
      <c r="A27">
        <v>24</v>
      </c>
      <c r="B27">
        <v>-7.5247633456189997E-2</v>
      </c>
      <c r="C27">
        <v>-9.3771436311587006E-2</v>
      </c>
      <c r="D27">
        <v>0.92475203447524001</v>
      </c>
      <c r="E27">
        <v>-9.9848687663871005E-2</v>
      </c>
      <c r="G27">
        <v>8.6671817744335994E-2</v>
      </c>
      <c r="H27">
        <v>-6.8273231335929996E-2</v>
      </c>
      <c r="I27">
        <v>4.8485558683936003E-2</v>
      </c>
      <c r="J27">
        <v>-0.11781902442162</v>
      </c>
    </row>
    <row r="28" spans="1:10" x14ac:dyDescent="0.35">
      <c r="A28">
        <v>25</v>
      </c>
      <c r="B28">
        <v>-8.3770993060725996E-2</v>
      </c>
      <c r="C28">
        <v>-9.5661575085115996E-2</v>
      </c>
      <c r="D28">
        <v>0.91622899577385997</v>
      </c>
      <c r="E28">
        <v>-0.1018598293686</v>
      </c>
      <c r="G28">
        <v>8.8443744258630996E-2</v>
      </c>
      <c r="H28">
        <v>-7.6017350582956E-2</v>
      </c>
      <c r="I28">
        <v>4.5785906354544E-2</v>
      </c>
      <c r="J28">
        <v>-0.12635674532197</v>
      </c>
    </row>
    <row r="29" spans="1:10" x14ac:dyDescent="0.35">
      <c r="A29">
        <v>26</v>
      </c>
      <c r="B29">
        <v>-9.3134093137013998E-2</v>
      </c>
      <c r="C29">
        <v>-9.6885662956659999E-2</v>
      </c>
      <c r="D29">
        <v>0.90686580606200995</v>
      </c>
      <c r="E29">
        <v>-0.10320775440052</v>
      </c>
      <c r="G29">
        <v>8.9616975368488005E-2</v>
      </c>
      <c r="H29">
        <v>-8.4529504823348006E-2</v>
      </c>
      <c r="I29">
        <v>4.2062577464513001E-2</v>
      </c>
      <c r="J29">
        <v>-0.13528811621046999</v>
      </c>
    </row>
    <row r="30" spans="1:10" x14ac:dyDescent="0.35">
      <c r="A30">
        <v>27</v>
      </c>
      <c r="B30">
        <v>-0.1033248489369</v>
      </c>
      <c r="C30">
        <v>-9.7239837587187003E-2</v>
      </c>
      <c r="D30">
        <v>0.89667466421344</v>
      </c>
      <c r="E30">
        <v>-0.10368886026703</v>
      </c>
      <c r="G30">
        <v>9.0005162908669001E-2</v>
      </c>
      <c r="H30">
        <v>-9.3798996741004004E-2</v>
      </c>
      <c r="I30">
        <v>3.7142149907248997E-2</v>
      </c>
      <c r="J30">
        <v>-0.14449573297661</v>
      </c>
    </row>
    <row r="31" spans="1:10" x14ac:dyDescent="0.35">
      <c r="A31">
        <v>28</v>
      </c>
      <c r="B31">
        <v>-0.11428324686445</v>
      </c>
      <c r="C31">
        <v>-9.6494710468828002E-2</v>
      </c>
      <c r="D31">
        <v>0.88571550316919001</v>
      </c>
      <c r="E31">
        <v>-0.10307381548378999</v>
      </c>
      <c r="G31">
        <v>8.9399556611578002E-2</v>
      </c>
      <c r="H31">
        <v>-0.10377264943469</v>
      </c>
      <c r="I31">
        <v>3.0853779707111E-2</v>
      </c>
      <c r="J31">
        <v>-0.15380672306672</v>
      </c>
    </row>
    <row r="32" spans="1:10" x14ac:dyDescent="0.35">
      <c r="A32">
        <v>29</v>
      </c>
      <c r="B32">
        <v>-0.12588595802583999</v>
      </c>
      <c r="C32">
        <v>-9.4405467645443997E-2</v>
      </c>
      <c r="D32">
        <v>0.87411487081343997</v>
      </c>
      <c r="E32">
        <v>-0.10112292253691001</v>
      </c>
      <c r="G32">
        <v>8.7576194176102004E-2</v>
      </c>
      <c r="H32">
        <v>-0.11433878426089999</v>
      </c>
      <c r="I32">
        <v>2.3045851213876999E-2</v>
      </c>
      <c r="J32">
        <v>-0.16298336914016001</v>
      </c>
    </row>
    <row r="33" spans="1:10" x14ac:dyDescent="0.35">
      <c r="A33">
        <v>30</v>
      </c>
      <c r="B33">
        <v>-0.13793252230097</v>
      </c>
      <c r="C33">
        <v>-9.0730559558556995E-2</v>
      </c>
      <c r="D33">
        <v>0.86206474343626005</v>
      </c>
      <c r="E33">
        <v>-9.7582945234342994E-2</v>
      </c>
      <c r="G33">
        <v>8.4315669690955997E-2</v>
      </c>
      <c r="H33">
        <v>-0.1253178553007</v>
      </c>
      <c r="I33">
        <v>1.3610742116783E-2</v>
      </c>
      <c r="J33">
        <v>-0.17172551488023999</v>
      </c>
    </row>
    <row r="34" spans="1:10" x14ac:dyDescent="0.35">
      <c r="A34">
        <v>31</v>
      </c>
      <c r="B34">
        <v>-0.15013580793240999</v>
      </c>
      <c r="C34">
        <v>-8.5257861258685994E-2</v>
      </c>
      <c r="D34">
        <v>0.84985950283020995</v>
      </c>
      <c r="E34">
        <v>-9.2249969921859007E-2</v>
      </c>
      <c r="G34">
        <v>7.9421995434020995E-2</v>
      </c>
      <c r="H34">
        <v>-0.13644789694732001</v>
      </c>
      <c r="I34">
        <v>2.5112431442328E-3</v>
      </c>
      <c r="J34">
        <v>-0.17966675971494001</v>
      </c>
    </row>
    <row r="35" spans="1:10" x14ac:dyDescent="0.35">
      <c r="A35">
        <v>32</v>
      </c>
      <c r="B35">
        <v>-0.16212378470238001</v>
      </c>
      <c r="C35">
        <v>-7.7838288783819001E-2</v>
      </c>
      <c r="D35">
        <v>0.83786951667799003</v>
      </c>
      <c r="E35">
        <v>-8.4972323586971002E-2</v>
      </c>
      <c r="G35">
        <v>7.2759040195642999E-2</v>
      </c>
      <c r="H35">
        <v>-0.14739342775113001</v>
      </c>
      <c r="I35">
        <v>-1.0189816011247001E-2</v>
      </c>
      <c r="J35">
        <v>-0.18640201686328001</v>
      </c>
    </row>
    <row r="36" spans="1:10" x14ac:dyDescent="0.35">
      <c r="A36">
        <v>33</v>
      </c>
      <c r="B36">
        <v>-0.17345476108701999</v>
      </c>
      <c r="C36">
        <v>-6.8423269561655994E-2</v>
      </c>
      <c r="D36">
        <v>0.82653539715253999</v>
      </c>
      <c r="E36">
        <v>-7.5702987200321994E-2</v>
      </c>
      <c r="G36">
        <v>6.4279426270240997E-2</v>
      </c>
      <c r="H36">
        <v>-0.15775141858444999</v>
      </c>
      <c r="I36">
        <v>-2.4304011734538E-2</v>
      </c>
      <c r="J36">
        <v>-0.19151664187282999</v>
      </c>
    </row>
    <row r="37" spans="1:10" x14ac:dyDescent="0.35">
      <c r="A37">
        <v>34</v>
      </c>
      <c r="B37">
        <v>-0.18365302373223999</v>
      </c>
      <c r="C37">
        <v>-5.7096425153215002E-2</v>
      </c>
      <c r="D37">
        <v>0.81632986357590998</v>
      </c>
      <c r="E37">
        <v>-6.4523204890100994E-2</v>
      </c>
      <c r="G37">
        <v>5.4057545083531999E-2</v>
      </c>
      <c r="H37">
        <v>-0.16709074715767</v>
      </c>
      <c r="I37">
        <v>-3.9508659344627002E-2</v>
      </c>
      <c r="J37">
        <v>-0.19463531712615001</v>
      </c>
    </row>
    <row r="38" spans="1:10" x14ac:dyDescent="0.35">
      <c r="A38">
        <v>35</v>
      </c>
      <c r="B38">
        <v>-0.19225802960562</v>
      </c>
      <c r="C38">
        <v>-4.4090465709538999E-2</v>
      </c>
      <c r="D38">
        <v>0.80771990241891001</v>
      </c>
      <c r="E38">
        <v>-5.1669453035710002E-2</v>
      </c>
      <c r="G38">
        <v>4.2301720431180002E-2</v>
      </c>
      <c r="H38">
        <v>-0.17498963503459</v>
      </c>
      <c r="I38">
        <v>-5.5358946951129001E-2</v>
      </c>
      <c r="J38">
        <v>-0.19547295665516001</v>
      </c>
    </row>
    <row r="39" spans="1:10" x14ac:dyDescent="0.35">
      <c r="A39">
        <v>36</v>
      </c>
      <c r="B39">
        <v>-0.19888279867554001</v>
      </c>
      <c r="C39">
        <v>-2.9781436727616999E-2</v>
      </c>
      <c r="D39">
        <v>0.80108771287297997</v>
      </c>
      <c r="E39">
        <v>-3.7518354785841E-2</v>
      </c>
      <c r="G39">
        <v>2.9352602341065001E-2</v>
      </c>
      <c r="H39">
        <v>-0.18109529783354</v>
      </c>
      <c r="I39">
        <v>-7.1320233464269994E-2</v>
      </c>
      <c r="J39">
        <v>-0.19388532777403</v>
      </c>
    </row>
    <row r="40" spans="1:10" x14ac:dyDescent="0.35">
      <c r="A40">
        <v>37</v>
      </c>
      <c r="B40">
        <v>-0.20326709368088</v>
      </c>
      <c r="C40">
        <v>-1.4655475654170001E-2</v>
      </c>
      <c r="D40">
        <v>0.79669680005239996</v>
      </c>
      <c r="E40">
        <v>-2.2549639774428001E-2</v>
      </c>
      <c r="G40">
        <v>1.5650121892426001E-2</v>
      </c>
      <c r="H40">
        <v>-0.18516798390354</v>
      </c>
      <c r="I40">
        <v>-8.6829404560819001E-2</v>
      </c>
      <c r="J40">
        <v>-0.18989748261223999</v>
      </c>
    </row>
    <row r="41" spans="1:10" x14ac:dyDescent="0.35">
      <c r="A41">
        <v>38</v>
      </c>
      <c r="B41">
        <v>-0.20531054133422999</v>
      </c>
      <c r="C41">
        <v>7.4666396374165999E-4</v>
      </c>
      <c r="D41">
        <v>0.79464869290704998</v>
      </c>
      <c r="E41">
        <v>-7.3080592398723004E-3</v>
      </c>
      <c r="G41">
        <v>1.6858723725671999E-3</v>
      </c>
      <c r="H41">
        <v>-0.18711489687642999</v>
      </c>
      <c r="I41">
        <v>-0.10135709432659</v>
      </c>
      <c r="J41">
        <v>-0.18370258670417999</v>
      </c>
    </row>
    <row r="42" spans="1:10" x14ac:dyDescent="0.35">
      <c r="A42">
        <v>39</v>
      </c>
      <c r="B42">
        <v>-0.20507960479135001</v>
      </c>
      <c r="C42">
        <v>1.5891739376735999E-2</v>
      </c>
      <c r="D42">
        <v>0.79487319189991001</v>
      </c>
      <c r="E42">
        <v>7.6742129238553001E-3</v>
      </c>
      <c r="G42">
        <v>-1.2055235377885E-2</v>
      </c>
      <c r="H42">
        <v>-0.18699095338137001</v>
      </c>
      <c r="I42">
        <v>-0.11446749619011</v>
      </c>
      <c r="J42">
        <v>-0.17563878593957999</v>
      </c>
    </row>
    <row r="43" spans="1:10" x14ac:dyDescent="0.35">
      <c r="A43">
        <v>40</v>
      </c>
      <c r="B43">
        <v>-0.20278584669640001</v>
      </c>
      <c r="C43">
        <v>3.0313489343681999E-2</v>
      </c>
      <c r="D43">
        <v>0.79716037334365997</v>
      </c>
      <c r="E43">
        <v>2.1927119659208998E-2</v>
      </c>
      <c r="G43">
        <v>-2.5147909530691001E-2</v>
      </c>
      <c r="H43">
        <v>-0.18498627127004999</v>
      </c>
      <c r="I43">
        <v>-0.12586045518469</v>
      </c>
      <c r="J43">
        <v>-0.16613543993492999</v>
      </c>
    </row>
    <row r="44" spans="1:10" x14ac:dyDescent="0.35">
      <c r="A44">
        <v>41</v>
      </c>
      <c r="B44">
        <v>-0.19874408169527</v>
      </c>
      <c r="C44">
        <v>4.3651270701283003E-2</v>
      </c>
      <c r="D44">
        <v>0.80119583630656999</v>
      </c>
      <c r="E44">
        <v>3.5096524827821003E-2</v>
      </c>
      <c r="G44">
        <v>-3.7262346753310999E-2</v>
      </c>
      <c r="H44">
        <v>-0.18138718792469999</v>
      </c>
      <c r="I44">
        <v>-0.13538238373691</v>
      </c>
      <c r="J44">
        <v>-0.15565868107379999</v>
      </c>
    </row>
    <row r="45" spans="1:10" x14ac:dyDescent="0.35">
      <c r="A45">
        <v>42</v>
      </c>
      <c r="B45">
        <v>-0.19332391119112999</v>
      </c>
      <c r="C45">
        <v>5.5667852404196999E-2</v>
      </c>
      <c r="D45">
        <v>0.80660979586215997</v>
      </c>
      <c r="E45">
        <v>4.6944570904283001E-2</v>
      </c>
      <c r="G45">
        <v>-4.8181076449379003E-2</v>
      </c>
      <c r="H45">
        <v>-0.1765281560592</v>
      </c>
      <c r="I45">
        <v>-0.14301757695579001</v>
      </c>
      <c r="J45">
        <v>-0.14465821019384001</v>
      </c>
    </row>
    <row r="46" spans="1:10" x14ac:dyDescent="0.35">
      <c r="A46">
        <v>43</v>
      </c>
      <c r="B46">
        <v>-6.4281460217256003E-2</v>
      </c>
      <c r="C46">
        <v>-9.4398538496842002E-2</v>
      </c>
      <c r="D46">
        <v>0.9357176763717</v>
      </c>
      <c r="E46">
        <v>-0.10053654885648</v>
      </c>
      <c r="G46">
        <v>8.3688642172791997E-2</v>
      </c>
      <c r="H46">
        <v>-5.6103272809955002E-2</v>
      </c>
      <c r="I46">
        <v>5.2627001997105002E-2</v>
      </c>
      <c r="J46">
        <v>-0.10429226373637999</v>
      </c>
    </row>
    <row r="47" spans="1:10" x14ac:dyDescent="0.35">
      <c r="A47">
        <v>44</v>
      </c>
      <c r="B47">
        <v>-7.1551673476246996E-2</v>
      </c>
      <c r="C47">
        <v>-9.7279543659475998E-2</v>
      </c>
      <c r="D47">
        <v>0.92844670934811002</v>
      </c>
      <c r="E47">
        <v>-0.10354437989161</v>
      </c>
      <c r="G47">
        <v>8.6204218924236006E-2</v>
      </c>
      <c r="H47">
        <v>-6.2419857752652998E-2</v>
      </c>
      <c r="I47">
        <v>5.1506366217434998E-2</v>
      </c>
      <c r="J47">
        <v>-0.11194433655621</v>
      </c>
    </row>
    <row r="48" spans="1:10" x14ac:dyDescent="0.35">
      <c r="A48">
        <v>45</v>
      </c>
      <c r="B48">
        <v>-7.9640519225446002E-2</v>
      </c>
      <c r="C48">
        <v>-9.9795564711026005E-2</v>
      </c>
      <c r="D48">
        <v>0.92035868472669002</v>
      </c>
      <c r="E48">
        <v>-0.10618923679761</v>
      </c>
      <c r="G48">
        <v>8.8447440501312993E-2</v>
      </c>
      <c r="H48">
        <v>-6.9478869204740001E-2</v>
      </c>
      <c r="I48">
        <v>4.9666514929420001E-2</v>
      </c>
      <c r="J48">
        <v>-0.12011204631193</v>
      </c>
    </row>
    <row r="49" spans="1:10" x14ac:dyDescent="0.35">
      <c r="A49">
        <v>46</v>
      </c>
      <c r="B49">
        <v>-8.8573852625228003E-2</v>
      </c>
      <c r="C49">
        <v>-0.10180099764180001</v>
      </c>
      <c r="D49">
        <v>0.91142593474410005</v>
      </c>
      <c r="E49">
        <v>-0.10832633516494</v>
      </c>
      <c r="G49">
        <v>9.0259132580183005E-2</v>
      </c>
      <c r="H49">
        <v>-7.7285709257528007E-2</v>
      </c>
      <c r="I49">
        <v>4.6971126439894997E-2</v>
      </c>
      <c r="J49">
        <v>-0.12874160128312001</v>
      </c>
    </row>
    <row r="50" spans="1:10" x14ac:dyDescent="0.35">
      <c r="A50">
        <v>47</v>
      </c>
      <c r="B50">
        <v>-9.8374709746482006E-2</v>
      </c>
      <c r="C50">
        <v>-0.10311951955338</v>
      </c>
      <c r="D50">
        <v>0.90162534043346998</v>
      </c>
      <c r="E50">
        <v>-0.10977972577095001</v>
      </c>
      <c r="G50">
        <v>9.1476664562381002E-2</v>
      </c>
      <c r="H50">
        <v>-8.5855425828337995E-2</v>
      </c>
      <c r="I50">
        <v>4.3259066604797003E-2</v>
      </c>
      <c r="J50">
        <v>-0.13776376041821001</v>
      </c>
    </row>
    <row r="51" spans="1:10" x14ac:dyDescent="0.35">
      <c r="A51">
        <v>48</v>
      </c>
      <c r="B51">
        <v>-0.10903159781644001</v>
      </c>
      <c r="C51">
        <v>-0.1035441569017</v>
      </c>
      <c r="D51">
        <v>0.89096841900642998</v>
      </c>
      <c r="E51">
        <v>-0.11034261527571</v>
      </c>
      <c r="G51">
        <v>9.1920493690091004E-2</v>
      </c>
      <c r="H51">
        <v>-9.5180731980964994E-2</v>
      </c>
      <c r="I51">
        <v>3.8360326534337998E-2</v>
      </c>
      <c r="J51">
        <v>-0.14706461809512</v>
      </c>
    </row>
    <row r="52" spans="1:10" x14ac:dyDescent="0.35">
      <c r="A52">
        <v>49</v>
      </c>
      <c r="B52">
        <v>-0.12048479626402001</v>
      </c>
      <c r="C52">
        <v>-0.10284213976871</v>
      </c>
      <c r="D52">
        <v>0.87951505406503006</v>
      </c>
      <c r="E52">
        <v>-0.10978228783178</v>
      </c>
      <c r="G52">
        <v>9.1384165746591001E-2</v>
      </c>
      <c r="H52">
        <v>-0.10520833697354</v>
      </c>
      <c r="I52">
        <v>3.2107293066296998E-2</v>
      </c>
      <c r="J52">
        <v>-0.15647631778498</v>
      </c>
    </row>
    <row r="53" spans="1:10" x14ac:dyDescent="0.35">
      <c r="A53">
        <v>50</v>
      </c>
      <c r="B53">
        <v>-0.13261163577141</v>
      </c>
      <c r="C53">
        <v>-0.10076527111888001</v>
      </c>
      <c r="D53">
        <v>0.86738283344872003</v>
      </c>
      <c r="E53">
        <v>-0.10784899560779999</v>
      </c>
      <c r="G53">
        <v>8.9649656986192996E-2</v>
      </c>
      <c r="H53">
        <v>-0.11583184468271</v>
      </c>
      <c r="I53">
        <v>2.4351568720165001E-2</v>
      </c>
      <c r="J53">
        <v>-0.16577075871086999</v>
      </c>
    </row>
    <row r="54" spans="1:10" x14ac:dyDescent="0.35">
      <c r="A54">
        <v>51</v>
      </c>
      <c r="B54">
        <v>-0.14521152574474999</v>
      </c>
      <c r="C54">
        <v>-9.7067191863330002E-2</v>
      </c>
      <c r="D54">
        <v>0.85478130529999996</v>
      </c>
      <c r="E54">
        <v>-0.10429897022692</v>
      </c>
      <c r="G54">
        <v>8.6502497708873999E-2</v>
      </c>
      <c r="H54">
        <v>-0.12687956606492001</v>
      </c>
      <c r="I54">
        <v>1.4983739984654E-2</v>
      </c>
      <c r="J54">
        <v>-0.17465226232643999</v>
      </c>
    </row>
    <row r="55" spans="1:10" x14ac:dyDescent="0.35">
      <c r="A55">
        <v>52</v>
      </c>
      <c r="B55">
        <v>-0.1579986312777</v>
      </c>
      <c r="C55">
        <v>-9.1530049151458001E-2</v>
      </c>
      <c r="D55">
        <v>0.84199261201122</v>
      </c>
      <c r="E55">
        <v>-9.8912649742157993E-2</v>
      </c>
      <c r="G55">
        <v>8.1747915127490994E-2</v>
      </c>
      <c r="H55">
        <v>-0.13809916993325</v>
      </c>
      <c r="I55">
        <v>3.9626521572319997E-3</v>
      </c>
      <c r="J55">
        <v>-0.18276992066046999</v>
      </c>
    </row>
    <row r="56" spans="1:10" x14ac:dyDescent="0.35">
      <c r="A56">
        <v>53</v>
      </c>
      <c r="B56">
        <v>-0.17060038719126</v>
      </c>
      <c r="C56">
        <v>-8.3997401178714001E-2</v>
      </c>
      <c r="D56">
        <v>0.82938794132587002</v>
      </c>
      <c r="E56">
        <v>-9.1535712862405E-2</v>
      </c>
      <c r="G56">
        <v>7.5249694754304999E-2</v>
      </c>
      <c r="H56">
        <v>-0.1491695760799</v>
      </c>
      <c r="I56">
        <v>-8.6563559263242006E-3</v>
      </c>
      <c r="J56">
        <v>-0.18972803572902999</v>
      </c>
    </row>
    <row r="57" spans="1:10" x14ac:dyDescent="0.35">
      <c r="A57">
        <v>54</v>
      </c>
      <c r="B57">
        <v>-0.18257450660811</v>
      </c>
      <c r="C57">
        <v>-7.4410362489626E-2</v>
      </c>
      <c r="D57">
        <v>0.81741013839136001</v>
      </c>
      <c r="E57">
        <v>-8.2107738528622007E-2</v>
      </c>
      <c r="G57">
        <v>6.6952194598544998E-2</v>
      </c>
      <c r="H57">
        <v>-0.15970132074103999</v>
      </c>
      <c r="I57">
        <v>-2.2701403762858001E-2</v>
      </c>
      <c r="J57">
        <v>-0.19512182499788</v>
      </c>
    </row>
    <row r="58" spans="1:10" x14ac:dyDescent="0.35">
      <c r="A58">
        <v>55</v>
      </c>
      <c r="B58">
        <v>-0.19344027897320001</v>
      </c>
      <c r="C58">
        <v>-6.2839851123084003E-2</v>
      </c>
      <c r="D58">
        <v>0.80654116549960997</v>
      </c>
      <c r="E58">
        <v>-7.0700922376222997E-2</v>
      </c>
      <c r="G58">
        <v>5.6915160943808003E-2</v>
      </c>
      <c r="H58">
        <v>-0.16927291640509001</v>
      </c>
      <c r="I58">
        <v>-3.7870006566133999E-2</v>
      </c>
      <c r="J58">
        <v>-0.19857863328577</v>
      </c>
    </row>
    <row r="59" spans="1:10" x14ac:dyDescent="0.35">
      <c r="A59">
        <v>56</v>
      </c>
      <c r="B59">
        <v>-0.20272754512756</v>
      </c>
      <c r="C59">
        <v>-4.9504987793658001E-2</v>
      </c>
      <c r="D59">
        <v>0.79724939250516003</v>
      </c>
      <c r="E59">
        <v>-5.7533314988767001E-2</v>
      </c>
      <c r="G59">
        <v>4.532893346545E-2</v>
      </c>
      <c r="H59">
        <v>-0.17747619700003001</v>
      </c>
      <c r="I59">
        <v>-5.3740516822611002E-2</v>
      </c>
      <c r="J59">
        <v>-0.19981021218232001</v>
      </c>
    </row>
    <row r="60" spans="1:10" x14ac:dyDescent="0.35">
      <c r="A60">
        <v>57</v>
      </c>
      <c r="B60">
        <v>-0.21003279603835001</v>
      </c>
      <c r="C60">
        <v>-3.4769169201615997E-2</v>
      </c>
      <c r="D60">
        <v>0.78993892112830999</v>
      </c>
      <c r="E60">
        <v>-4.2964939107929999E-2</v>
      </c>
      <c r="G60">
        <v>3.2507337572418998E-2</v>
      </c>
      <c r="H60">
        <v>-0.18395075272665001</v>
      </c>
      <c r="I60">
        <v>-6.9802077635286994E-2</v>
      </c>
      <c r="J60">
        <v>-0.19865675008851</v>
      </c>
    </row>
    <row r="61" spans="1:10" x14ac:dyDescent="0.35">
      <c r="A61">
        <v>58</v>
      </c>
      <c r="B61">
        <v>-0.21507234818205001</v>
      </c>
      <c r="C61">
        <v>-1.911100647853E-2</v>
      </c>
      <c r="D61">
        <v>0.78489132100016001</v>
      </c>
      <c r="E61">
        <v>-2.7481806964802E-2</v>
      </c>
      <c r="G61">
        <v>1.8868925237232E-2</v>
      </c>
      <c r="H61">
        <v>-0.18845216268286</v>
      </c>
      <c r="I61">
        <v>-8.5504839352454995E-2</v>
      </c>
      <c r="J61">
        <v>-0.19511783880561001</v>
      </c>
    </row>
    <row r="62" spans="1:10" x14ac:dyDescent="0.35">
      <c r="A62">
        <v>59</v>
      </c>
      <c r="B62">
        <v>-0.21771915373275999</v>
      </c>
      <c r="C62">
        <v>-3.0721945212387001E-3</v>
      </c>
      <c r="D62">
        <v>0.78223914004785</v>
      </c>
      <c r="E62">
        <v>-1.1617972834486E-2</v>
      </c>
      <c r="G62">
        <v>4.8859612954588998E-3</v>
      </c>
      <c r="H62">
        <v>-0.19085704689176999</v>
      </c>
      <c r="I62">
        <v>-0.10032641065186</v>
      </c>
      <c r="J62">
        <v>-0.18935793565923001</v>
      </c>
    </row>
    <row r="63" spans="1:10" x14ac:dyDescent="0.35">
      <c r="A63">
        <v>60</v>
      </c>
      <c r="B63">
        <v>-0.21801262036023</v>
      </c>
      <c r="C63">
        <v>1.2803708370147E-2</v>
      </c>
      <c r="D63">
        <v>0.78194004890019997</v>
      </c>
      <c r="E63">
        <v>4.0802650359638998E-3</v>
      </c>
      <c r="G63">
        <v>-8.9650467743953993E-3</v>
      </c>
      <c r="H63">
        <v>-0.19120341948683001</v>
      </c>
      <c r="I63">
        <v>-0.11382483566124001</v>
      </c>
      <c r="J63">
        <v>-0.18168359253013999</v>
      </c>
    </row>
    <row r="64" spans="1:10" x14ac:dyDescent="0.35">
      <c r="A64">
        <v>61</v>
      </c>
      <c r="B64">
        <v>-0.21614170340722</v>
      </c>
      <c r="C64">
        <v>2.8030593716589999E-2</v>
      </c>
      <c r="D64">
        <v>0.78380654176817999</v>
      </c>
      <c r="E64">
        <v>1.9128152765937E-2</v>
      </c>
      <c r="G64">
        <v>-2.2257759825804E-2</v>
      </c>
      <c r="H64">
        <v>-0.18965326705168001</v>
      </c>
      <c r="I64">
        <v>-0.12568259158039</v>
      </c>
      <c r="J64">
        <v>-0.17249920061022</v>
      </c>
    </row>
    <row r="65" spans="1:10" x14ac:dyDescent="0.35">
      <c r="A65">
        <v>62</v>
      </c>
      <c r="B65">
        <v>-0.21240663848749</v>
      </c>
      <c r="C65">
        <v>4.2221105177282003E-2</v>
      </c>
      <c r="D65">
        <v>0.78753472764816002</v>
      </c>
      <c r="E65">
        <v>3.3136573079857998E-2</v>
      </c>
      <c r="G65">
        <v>-3.4652360295661003E-2</v>
      </c>
      <c r="H65">
        <v>-0.18646827419673001</v>
      </c>
      <c r="I65">
        <v>-0.13572123725608001</v>
      </c>
      <c r="J65">
        <v>-0.16225441418118</v>
      </c>
    </row>
    <row r="66" spans="1:10" x14ac:dyDescent="0.35">
      <c r="A66">
        <v>63</v>
      </c>
      <c r="B66">
        <v>-0.20717116603857</v>
      </c>
      <c r="C66">
        <v>5.5109058635900002E-2</v>
      </c>
      <c r="D66">
        <v>0.79276421728449997</v>
      </c>
      <c r="E66">
        <v>4.5835123351387001E-2</v>
      </c>
      <c r="G66">
        <v>-4.5913585776666002E-2</v>
      </c>
      <c r="H66">
        <v>-0.18196324205808001</v>
      </c>
      <c r="I66">
        <v>-0.14389710129550001</v>
      </c>
      <c r="J66">
        <v>-0.15139149085833001</v>
      </c>
    </row>
    <row r="67" spans="1:10" x14ac:dyDescent="0.35">
      <c r="A67">
        <v>64</v>
      </c>
      <c r="B67">
        <v>-6.7834974986562005E-2</v>
      </c>
      <c r="C67">
        <v>-0.10004896312228</v>
      </c>
      <c r="D67">
        <v>0.93217055340649002</v>
      </c>
      <c r="E67">
        <v>-0.10648648692469</v>
      </c>
      <c r="G67">
        <v>8.5413001293078994E-2</v>
      </c>
      <c r="H67">
        <v>-5.7164184187014001E-2</v>
      </c>
      <c r="I67">
        <v>5.3729160061688E-2</v>
      </c>
      <c r="J67">
        <v>-0.1061831918675</v>
      </c>
    </row>
    <row r="68" spans="1:10" x14ac:dyDescent="0.35">
      <c r="A68">
        <v>65</v>
      </c>
      <c r="B68">
        <v>-7.5400509468081994E-2</v>
      </c>
      <c r="C68">
        <v>-0.10306207369291</v>
      </c>
      <c r="D68">
        <v>0.92460191759059995</v>
      </c>
      <c r="E68">
        <v>-0.10963399523726999</v>
      </c>
      <c r="G68">
        <v>8.795811953563E-2</v>
      </c>
      <c r="H68">
        <v>-6.3513600061370995E-2</v>
      </c>
      <c r="I68">
        <v>5.2627311322241001E-2</v>
      </c>
      <c r="J68">
        <v>-0.11387963748351999</v>
      </c>
    </row>
    <row r="69" spans="1:10" x14ac:dyDescent="0.35">
      <c r="A69">
        <v>66</v>
      </c>
      <c r="B69">
        <v>-8.3825622230274996E-2</v>
      </c>
      <c r="C69">
        <v>-0.10570913974689999</v>
      </c>
      <c r="D69">
        <v>0.91617662932015997</v>
      </c>
      <c r="E69">
        <v>-0.11241929664153</v>
      </c>
      <c r="G69">
        <v>9.0255032550962996E-2</v>
      </c>
      <c r="H69">
        <v>-7.0626553113683002E-2</v>
      </c>
      <c r="I69">
        <v>5.0807462390264999E-2</v>
      </c>
      <c r="J69">
        <v>-0.12210186185784</v>
      </c>
    </row>
    <row r="70" spans="1:10" x14ac:dyDescent="0.35">
      <c r="A70">
        <v>67</v>
      </c>
      <c r="B70">
        <v>-9.3130985135827002E-2</v>
      </c>
      <c r="C70">
        <v>-0.10783702924598999</v>
      </c>
      <c r="D70">
        <v>0.90687051508857996</v>
      </c>
      <c r="E70">
        <v>-0.11468902846485</v>
      </c>
      <c r="G70">
        <v>9.2122139131619998E-2</v>
      </c>
      <c r="H70">
        <v>-7.8488905589370994E-2</v>
      </c>
      <c r="I70">
        <v>4.8138576755978997E-2</v>
      </c>
      <c r="J70">
        <v>-0.13079582976793</v>
      </c>
    </row>
    <row r="71" spans="1:10" x14ac:dyDescent="0.35">
      <c r="A71">
        <v>68</v>
      </c>
      <c r="B71">
        <v>-0.10333577798753001</v>
      </c>
      <c r="C71">
        <v>-0.10926383253292</v>
      </c>
      <c r="D71">
        <v>0.89666480883727995</v>
      </c>
      <c r="E71">
        <v>-0.11626130624912</v>
      </c>
      <c r="G71">
        <v>9.3402862572008E-2</v>
      </c>
      <c r="H71">
        <v>-8.7115649976348006E-2</v>
      </c>
      <c r="I71">
        <v>4.4462313011448998E-2</v>
      </c>
      <c r="J71">
        <v>-0.13988860628985</v>
      </c>
    </row>
    <row r="72" spans="1:10" x14ac:dyDescent="0.35">
      <c r="A72">
        <v>69</v>
      </c>
      <c r="B72">
        <v>-0.11442677658194</v>
      </c>
      <c r="C72">
        <v>-0.10977893589498</v>
      </c>
      <c r="D72">
        <v>0.88557120492758001</v>
      </c>
      <c r="E72">
        <v>-0.11692650422252</v>
      </c>
      <c r="G72">
        <v>9.3918267465790004E-2</v>
      </c>
      <c r="H72">
        <v>-9.6496166744621997E-2</v>
      </c>
      <c r="I72">
        <v>3.9613107329789003E-2</v>
      </c>
      <c r="J72">
        <v>-0.14926718328930999</v>
      </c>
    </row>
    <row r="73" spans="1:10" x14ac:dyDescent="0.35">
      <c r="A73">
        <v>70</v>
      </c>
      <c r="B73">
        <v>-0.12634550341028</v>
      </c>
      <c r="C73">
        <v>-0.10914604424665</v>
      </c>
      <c r="D73">
        <v>0.87365127125288999</v>
      </c>
      <c r="E73">
        <v>-0.11644672618109</v>
      </c>
      <c r="G73">
        <v>9.3468754888605995E-2</v>
      </c>
      <c r="H73">
        <v>-0.10658219221125</v>
      </c>
      <c r="I73">
        <v>3.3424129830906001E-2</v>
      </c>
      <c r="J73">
        <v>-0.15876889963567001</v>
      </c>
    </row>
    <row r="74" spans="1:10" x14ac:dyDescent="0.35">
      <c r="A74">
        <v>71</v>
      </c>
      <c r="B74">
        <v>-0.13896956494250001</v>
      </c>
      <c r="C74">
        <v>-0.10711317967634</v>
      </c>
      <c r="D74">
        <v>0.86102705360276</v>
      </c>
      <c r="E74">
        <v>-0.11456678193559</v>
      </c>
      <c r="G74">
        <v>9.1841155700076005E-2</v>
      </c>
      <c r="H74">
        <v>-0.11727229550276</v>
      </c>
      <c r="I74">
        <v>2.5748678348088999E-2</v>
      </c>
      <c r="J74">
        <v>-0.16817129799326</v>
      </c>
    </row>
    <row r="75" spans="1:10" x14ac:dyDescent="0.35">
      <c r="A75">
        <v>72</v>
      </c>
      <c r="B75">
        <v>-0.15210011190589001</v>
      </c>
      <c r="C75">
        <v>-0.10343046603257</v>
      </c>
      <c r="D75">
        <v>0.84789191916204998</v>
      </c>
      <c r="E75">
        <v>-0.11104207646104999</v>
      </c>
      <c r="G75">
        <v>8.8823205493811994E-2</v>
      </c>
      <c r="H75">
        <v>-0.12839994082848999</v>
      </c>
      <c r="I75">
        <v>1.6479331335051001E-2</v>
      </c>
      <c r="J75">
        <v>-0.17719101707462001</v>
      </c>
    </row>
    <row r="76" spans="1:10" x14ac:dyDescent="0.35">
      <c r="A76">
        <v>73</v>
      </c>
      <c r="B76">
        <v>-0.16545282107181</v>
      </c>
      <c r="C76">
        <v>-9.7873214378982998E-2</v>
      </c>
      <c r="D76">
        <v>0.83453646855818997</v>
      </c>
      <c r="E76">
        <v>-0.10564772554548001</v>
      </c>
      <c r="G76">
        <v>8.4223039035779004E-2</v>
      </c>
      <c r="H76">
        <v>-0.13972556916776999</v>
      </c>
      <c r="I76">
        <v>5.5688164509967997E-3</v>
      </c>
      <c r="J76">
        <v>-0.18548516488465999</v>
      </c>
    </row>
    <row r="77" spans="1:10" x14ac:dyDescent="0.35">
      <c r="A77">
        <v>74</v>
      </c>
      <c r="B77">
        <v>-0.17865697121735999</v>
      </c>
      <c r="C77">
        <v>-9.0276834409564993E-2</v>
      </c>
      <c r="D77">
        <v>0.82132706521940002</v>
      </c>
      <c r="E77">
        <v>-9.8219693139978997E-2</v>
      </c>
      <c r="G77">
        <v>7.7899802233880003E-2</v>
      </c>
      <c r="H77">
        <v>-0.15093724743140999</v>
      </c>
      <c r="I77">
        <v>-6.9369214186265002E-3</v>
      </c>
      <c r="J77">
        <v>-0.19267082204739999</v>
      </c>
    </row>
    <row r="78" spans="1:10" x14ac:dyDescent="0.35">
      <c r="A78">
        <v>75</v>
      </c>
      <c r="B78">
        <v>-0.19127068493117</v>
      </c>
      <c r="C78">
        <v>-8.0570959796293001E-2</v>
      </c>
      <c r="D78">
        <v>0.80870973192140005</v>
      </c>
      <c r="E78">
        <v>-8.868449453775E-2</v>
      </c>
      <c r="G78">
        <v>6.9791342468788001E-2</v>
      </c>
      <c r="H78">
        <v>-0.16166117187479001</v>
      </c>
      <c r="I78">
        <v>-2.0882927045857001E-2</v>
      </c>
      <c r="J78">
        <v>-0.19835193282981001</v>
      </c>
    </row>
    <row r="79" spans="1:10" x14ac:dyDescent="0.35">
      <c r="A79">
        <v>76</v>
      </c>
      <c r="B79">
        <v>-0.20280942469482999</v>
      </c>
      <c r="C79">
        <v>-6.8812442840880006E-2</v>
      </c>
      <c r="D79">
        <v>0.79716690411878</v>
      </c>
      <c r="E79">
        <v>-7.7100137413197004E-2</v>
      </c>
      <c r="G79">
        <v>5.9943287777694997E-2</v>
      </c>
      <c r="H79">
        <v>-0.17148793629167</v>
      </c>
      <c r="I79">
        <v>-3.5987203436314001E-2</v>
      </c>
      <c r="J79">
        <v>-0.20215914351052</v>
      </c>
    </row>
    <row r="80" spans="1:10" x14ac:dyDescent="0.35">
      <c r="A80">
        <v>77</v>
      </c>
      <c r="B80">
        <v>-0.21279332425639999</v>
      </c>
      <c r="C80">
        <v>-5.5205041365314997E-2</v>
      </c>
      <c r="D80">
        <v>0.78717589114898001</v>
      </c>
      <c r="E80">
        <v>-6.3672982939933995E-2</v>
      </c>
      <c r="G80">
        <v>4.8525183125097002E-2</v>
      </c>
      <c r="H80">
        <v>-0.18001098498264001</v>
      </c>
      <c r="I80">
        <v>-5.1850177558019003E-2</v>
      </c>
      <c r="J80">
        <v>-0.20379842187045999</v>
      </c>
    </row>
    <row r="81" spans="1:10" x14ac:dyDescent="0.35">
      <c r="A81">
        <v>78</v>
      </c>
      <c r="B81">
        <v>-0.22080279773354</v>
      </c>
      <c r="C81">
        <v>-4.0097396109163998E-2</v>
      </c>
      <c r="D81">
        <v>0.77916068974490005</v>
      </c>
      <c r="E81">
        <v>-4.8747017038220999E-2</v>
      </c>
      <c r="G81">
        <v>3.5829594093247999E-2</v>
      </c>
      <c r="H81">
        <v>-0.18687403208893999</v>
      </c>
      <c r="I81">
        <v>-6.7983260304507007E-2</v>
      </c>
      <c r="J81">
        <v>-0.20309429622961001</v>
      </c>
    </row>
    <row r="82" spans="1:10" x14ac:dyDescent="0.35">
      <c r="A82">
        <v>79</v>
      </c>
      <c r="B82">
        <v>-0.22653109969335999</v>
      </c>
      <c r="C82">
        <v>-2.3958119113163999E-2</v>
      </c>
      <c r="D82">
        <v>0.77343174787628999</v>
      </c>
      <c r="E82">
        <v>-3.2790297440136999E-2</v>
      </c>
      <c r="G82">
        <v>2.2250649495124002E-2</v>
      </c>
      <c r="H82">
        <v>-0.19181370444825999</v>
      </c>
      <c r="I82">
        <v>-8.3854193153825002E-2</v>
      </c>
      <c r="J82">
        <v>-0.20002184976498999</v>
      </c>
    </row>
    <row r="83" spans="1:10" x14ac:dyDescent="0.35">
      <c r="A83">
        <v>80</v>
      </c>
      <c r="B83">
        <v>-0.22982338237319</v>
      </c>
      <c r="C83">
        <v>-7.3286902216917003E-3</v>
      </c>
      <c r="D83">
        <v>0.77013479966526999</v>
      </c>
      <c r="E83">
        <v>-1.6348932839812001E-2</v>
      </c>
      <c r="G83">
        <v>8.2452739867800006E-3</v>
      </c>
      <c r="H83">
        <v>-0.19469600277516</v>
      </c>
      <c r="I83">
        <v>-9.8943768341458002E-2</v>
      </c>
      <c r="J83">
        <v>-0.19471814856024</v>
      </c>
    </row>
    <row r="84" spans="1:10" x14ac:dyDescent="0.35">
      <c r="A84">
        <v>81</v>
      </c>
      <c r="B84">
        <v>-0.23069085667483999</v>
      </c>
      <c r="C84">
        <v>9.2390988693296008E-3</v>
      </c>
      <c r="D84">
        <v>0.76926174560754002</v>
      </c>
      <c r="E84" s="4">
        <v>2.7546007860757001E-5</v>
      </c>
      <c r="G84">
        <v>-5.7198336619429004E-3</v>
      </c>
      <c r="H84">
        <v>-0.19552803746215999</v>
      </c>
      <c r="I84">
        <v>-0.11280565526727999</v>
      </c>
      <c r="J84">
        <v>-0.18745933273761001</v>
      </c>
    </row>
    <row r="85" spans="1:10" x14ac:dyDescent="0.35">
      <c r="A85">
        <v>82</v>
      </c>
      <c r="B85">
        <v>-0.22929769976305001</v>
      </c>
      <c r="C85">
        <v>2.5240693473923999E-2</v>
      </c>
      <c r="D85">
        <v>0.77064773021095001</v>
      </c>
      <c r="E85">
        <v>1.5838501580961999E-2</v>
      </c>
      <c r="G85">
        <v>-1.9217151955551001E-2</v>
      </c>
      <c r="H85">
        <v>-0.19444593212483999</v>
      </c>
      <c r="I85">
        <v>-0.12510659813749</v>
      </c>
      <c r="J85">
        <v>-0.17862386742451999</v>
      </c>
    </row>
    <row r="86" spans="1:10" x14ac:dyDescent="0.35">
      <c r="A86">
        <v>83</v>
      </c>
      <c r="B86">
        <v>-0.22592663431699</v>
      </c>
      <c r="C86">
        <v>4.0263474491286998E-2</v>
      </c>
      <c r="D86">
        <v>0.77401346904040003</v>
      </c>
      <c r="E86">
        <v>3.0663472046298001E-2</v>
      </c>
      <c r="G86">
        <v>-3.1896309162845998E-2</v>
      </c>
      <c r="H86">
        <v>-0.19168670179882999</v>
      </c>
      <c r="I86">
        <v>-0.13564474821365999</v>
      </c>
      <c r="J86">
        <v>-0.16864282130269001</v>
      </c>
    </row>
    <row r="87" spans="1:10" x14ac:dyDescent="0.35">
      <c r="A87">
        <v>84</v>
      </c>
      <c r="B87">
        <v>-0.22093438729699</v>
      </c>
      <c r="C87">
        <v>5.4012962240813998E-2</v>
      </c>
      <c r="D87">
        <v>0.77900222284426002</v>
      </c>
      <c r="E87">
        <v>4.4214080265974003E-2</v>
      </c>
      <c r="G87">
        <v>-4.3505317534244997E-2</v>
      </c>
      <c r="H87">
        <v>-0.18754584482041001</v>
      </c>
      <c r="I87">
        <v>-0.14435285107061999</v>
      </c>
      <c r="J87">
        <v>-0.15795126259058001</v>
      </c>
    </row>
    <row r="88" spans="1:10" x14ac:dyDescent="0.35">
      <c r="A88">
        <v>85</v>
      </c>
      <c r="B88">
        <v>-7.0970118311390995E-2</v>
      </c>
      <c r="C88">
        <v>-0.10540567492473001</v>
      </c>
      <c r="D88">
        <v>0.92901074234804004</v>
      </c>
      <c r="E88">
        <v>-0.11210970695212</v>
      </c>
      <c r="G88">
        <v>8.6562662262278003E-2</v>
      </c>
      <c r="H88">
        <v>-5.7669196776208999E-2</v>
      </c>
      <c r="I88">
        <v>5.4715299304876001E-2</v>
      </c>
      <c r="J88">
        <v>-0.10755719939074999</v>
      </c>
    </row>
    <row r="89" spans="1:10" x14ac:dyDescent="0.35">
      <c r="A89">
        <v>86</v>
      </c>
      <c r="B89">
        <v>-7.8896985427149999E-2</v>
      </c>
      <c r="C89">
        <v>-0.10859727384426</v>
      </c>
      <c r="D89">
        <v>0.92108393540987998</v>
      </c>
      <c r="E89">
        <v>-0.11544902245329999</v>
      </c>
      <c r="G89">
        <v>8.9156480277593E-2</v>
      </c>
      <c r="H89">
        <v>-6.4078003409914E-2</v>
      </c>
      <c r="I89">
        <v>5.3635225526836999E-2</v>
      </c>
      <c r="J89">
        <v>-0.1153587289029</v>
      </c>
    </row>
    <row r="90" spans="1:10" x14ac:dyDescent="0.35">
      <c r="A90">
        <v>87</v>
      </c>
      <c r="B90">
        <v>-8.7689859922145993E-2</v>
      </c>
      <c r="C90">
        <v>-0.11139778538181</v>
      </c>
      <c r="D90">
        <v>0.91229040860572996</v>
      </c>
      <c r="E90">
        <v>-0.11839820473415</v>
      </c>
      <c r="G90">
        <v>9.1504517806488994E-2</v>
      </c>
      <c r="H90">
        <v>-7.1238935933300995E-2</v>
      </c>
      <c r="I90">
        <v>5.1835090843352999E-2</v>
      </c>
      <c r="J90">
        <v>-0.1236720775131</v>
      </c>
    </row>
    <row r="91" spans="1:10" x14ac:dyDescent="0.35">
      <c r="A91">
        <v>88</v>
      </c>
      <c r="B91">
        <v>-9.7394161701781001E-2</v>
      </c>
      <c r="C91">
        <v>-0.11366251619577999</v>
      </c>
      <c r="D91">
        <v>0.90258552632892997</v>
      </c>
      <c r="E91">
        <v>-0.12081493917217</v>
      </c>
      <c r="G91">
        <v>9.3424025361072999E-2</v>
      </c>
      <c r="H91">
        <v>-7.9147315523539E-2</v>
      </c>
      <c r="I91">
        <v>4.9187246665395E-2</v>
      </c>
      <c r="J91">
        <v>-0.13245882731419001</v>
      </c>
    </row>
    <row r="92" spans="1:10" x14ac:dyDescent="0.35">
      <c r="A92">
        <v>89</v>
      </c>
      <c r="B92">
        <v>-0.10803355818649001</v>
      </c>
      <c r="C92">
        <v>-0.1152061894967</v>
      </c>
      <c r="D92">
        <v>0.89194708616338003</v>
      </c>
      <c r="E92">
        <v>-0.12251587785368</v>
      </c>
      <c r="G92">
        <v>9.4763086980373001E-2</v>
      </c>
      <c r="H92">
        <v>-8.7823229893380997E-2</v>
      </c>
      <c r="I92">
        <v>4.5533959782535001E-2</v>
      </c>
      <c r="J92">
        <v>-0.14165042455867</v>
      </c>
    </row>
    <row r="93" spans="1:10" x14ac:dyDescent="0.35">
      <c r="A93">
        <v>90</v>
      </c>
      <c r="B93">
        <v>-0.11959861801788001</v>
      </c>
      <c r="C93">
        <v>-0.11581222149023</v>
      </c>
      <c r="D93">
        <v>0.88038128577885999</v>
      </c>
      <c r="E93">
        <v>-0.12328150308788</v>
      </c>
      <c r="G93">
        <v>9.5343940206312996E-2</v>
      </c>
      <c r="H93">
        <v>-9.7259217128202999E-2</v>
      </c>
      <c r="I93">
        <v>4.0707113106013999E-2</v>
      </c>
      <c r="J93">
        <v>-0.15113820719907001</v>
      </c>
    </row>
    <row r="94" spans="1:10" x14ac:dyDescent="0.35">
      <c r="A94">
        <v>91</v>
      </c>
      <c r="B94">
        <v>-0.13202952027272999</v>
      </c>
      <c r="C94">
        <v>-0.11523767479843</v>
      </c>
      <c r="D94">
        <v>0.86794953345963999</v>
      </c>
      <c r="E94">
        <v>-0.12287037222202001</v>
      </c>
      <c r="G94">
        <v>9.4968903940548993E-2</v>
      </c>
      <c r="H94">
        <v>-0.10740884851220001</v>
      </c>
      <c r="I94">
        <v>3.4542566631625998E-2</v>
      </c>
      <c r="J94">
        <v>-0.16076060079407001</v>
      </c>
    </row>
    <row r="95" spans="1:10" x14ac:dyDescent="0.35">
      <c r="A95">
        <v>92</v>
      </c>
      <c r="B95">
        <v>-0.14520335260459</v>
      </c>
      <c r="C95">
        <v>-0.11322278838709</v>
      </c>
      <c r="D95">
        <v>0.85477474827305999</v>
      </c>
      <c r="E95">
        <v>-0.12102269029309</v>
      </c>
      <c r="G95">
        <v>9.3424606899959003E-2</v>
      </c>
      <c r="H95">
        <v>-0.11817258901461</v>
      </c>
      <c r="I95">
        <v>2.6892075554700998E-2</v>
      </c>
      <c r="J95">
        <v>-0.17029857371922</v>
      </c>
    </row>
    <row r="96" spans="1:10" x14ac:dyDescent="0.35">
      <c r="A96">
        <v>93</v>
      </c>
      <c r="B96">
        <v>-0.15891918140257</v>
      </c>
      <c r="C96">
        <v>-0.10950835117718</v>
      </c>
      <c r="D96">
        <v>0.84105788058150999</v>
      </c>
      <c r="E96">
        <v>-0.11747923898404999</v>
      </c>
      <c r="G96">
        <v>9.0498996871269999E-2</v>
      </c>
      <c r="H96">
        <v>-0.12938868614884</v>
      </c>
      <c r="I96">
        <v>1.7644377802344E-2</v>
      </c>
      <c r="J96">
        <v>-0.17947161522336999</v>
      </c>
    </row>
    <row r="97" spans="1:10" x14ac:dyDescent="0.35">
      <c r="A97">
        <v>94</v>
      </c>
      <c r="B97">
        <v>-0.17288824144393999</v>
      </c>
      <c r="C97">
        <v>-0.10386103168654</v>
      </c>
      <c r="D97">
        <v>0.82708751770315003</v>
      </c>
      <c r="E97">
        <v>-0.1120049749615</v>
      </c>
      <c r="G97">
        <v>8.6000203919312998E-2</v>
      </c>
      <c r="H97">
        <v>-0.14082331041568999</v>
      </c>
      <c r="I97">
        <v>6.7499446802008999E-3</v>
      </c>
      <c r="J97">
        <v>-0.18794201960852</v>
      </c>
    </row>
    <row r="98" spans="1:10" x14ac:dyDescent="0.35">
      <c r="A98">
        <v>95</v>
      </c>
      <c r="B98">
        <v>-0.18673420580639999</v>
      </c>
      <c r="C98">
        <v>-9.6106846729480999E-2</v>
      </c>
      <c r="D98">
        <v>0.81323831940637004</v>
      </c>
      <c r="E98">
        <v>-0.10442633907185001</v>
      </c>
      <c r="G98">
        <v>7.9783336512783007E-2</v>
      </c>
      <c r="H98">
        <v>-0.15216935330716999</v>
      </c>
      <c r="I98">
        <v>-5.7533749258125997E-3</v>
      </c>
      <c r="J98">
        <v>-0.19533070336853001</v>
      </c>
    </row>
    <row r="99" spans="1:10" x14ac:dyDescent="0.35">
      <c r="A99">
        <v>96</v>
      </c>
      <c r="B99">
        <v>-0.20000400839332</v>
      </c>
      <c r="C99">
        <v>-8.6165756052363998E-2</v>
      </c>
      <c r="D99">
        <v>0.79996680986321</v>
      </c>
      <c r="E99">
        <v>-9.4667397520416002E-2</v>
      </c>
      <c r="G99">
        <v>7.1780975553648999E-2</v>
      </c>
      <c r="H99">
        <v>-0.16305833177098999</v>
      </c>
      <c r="I99">
        <v>-1.9716239161163999E-2</v>
      </c>
      <c r="J99">
        <v>-0.20124002675241001</v>
      </c>
    </row>
    <row r="100" spans="1:10" x14ac:dyDescent="0.35">
      <c r="A100">
        <v>97</v>
      </c>
      <c r="B100">
        <v>-0.21220102617252001</v>
      </c>
      <c r="C100">
        <v>-7.4086793107391996E-2</v>
      </c>
      <c r="D100">
        <v>0.78776613796938</v>
      </c>
      <c r="E100">
        <v>-8.2777092830030999E-2</v>
      </c>
      <c r="G100">
        <v>6.2030407149689E-2</v>
      </c>
      <c r="H100">
        <v>-0.17308525424016999</v>
      </c>
      <c r="I100">
        <v>-3.4867252392969998E-2</v>
      </c>
      <c r="J100">
        <v>-0.20530042748112001</v>
      </c>
    </row>
    <row r="101" spans="1:10" x14ac:dyDescent="0.35">
      <c r="A101">
        <v>98</v>
      </c>
      <c r="B101">
        <v>-0.22282960353035999</v>
      </c>
      <c r="C101">
        <v>-6.0067780792297999E-2</v>
      </c>
      <c r="D101">
        <v>0.77713496285330996</v>
      </c>
      <c r="E101">
        <v>-6.8948629568099995E-2</v>
      </c>
      <c r="G101">
        <v>5.0689825643875003E-2</v>
      </c>
      <c r="H101">
        <v>-0.18184466819865999</v>
      </c>
      <c r="I101">
        <v>-5.0818607172904998E-2</v>
      </c>
      <c r="J101">
        <v>-0.20721187396679999</v>
      </c>
    </row>
    <row r="102" spans="1:10" x14ac:dyDescent="0.35">
      <c r="A102">
        <v>99</v>
      </c>
      <c r="B102">
        <v>-0.23145088741433001</v>
      </c>
      <c r="C102">
        <v>-4.4456686082511E-2</v>
      </c>
      <c r="D102">
        <v>0.76851041835685996</v>
      </c>
      <c r="E102">
        <v>-5.3531439459353E-2</v>
      </c>
      <c r="G102">
        <v>3.8040307851969997E-2</v>
      </c>
      <c r="H102">
        <v>-0.18897568941878001</v>
      </c>
      <c r="I102">
        <v>-6.7089021161196E-2</v>
      </c>
      <c r="J102">
        <v>-0.20678972435623999</v>
      </c>
    </row>
    <row r="103" spans="1:10" x14ac:dyDescent="0.35">
      <c r="A103">
        <v>100</v>
      </c>
      <c r="B103">
        <v>-0.23773796055193</v>
      </c>
      <c r="C103">
        <v>-2.7726542125460999E-2</v>
      </c>
      <c r="D103">
        <v>0.76221985390146996</v>
      </c>
      <c r="E103">
        <v>-3.6998459341889001E-2</v>
      </c>
      <c r="G103">
        <v>2.4466062161070001E-2</v>
      </c>
      <c r="H103">
        <v>-0.19421027972169999</v>
      </c>
      <c r="I103">
        <v>-8.3150892223921996E-2</v>
      </c>
      <c r="J103">
        <v>-0.20399640530777</v>
      </c>
    </row>
    <row r="104" spans="1:10" x14ac:dyDescent="0.35">
      <c r="A104">
        <v>101</v>
      </c>
      <c r="B104">
        <v>-0.24151645709871999</v>
      </c>
      <c r="C104">
        <v>-1.0426278122598E-2</v>
      </c>
      <c r="D104">
        <v>0.75843791714774</v>
      </c>
      <c r="E104">
        <v>-1.9899729743858001E-2</v>
      </c>
      <c r="G104">
        <v>1.0413674080357E-2</v>
      </c>
      <c r="H104">
        <v>-0.19740126282317</v>
      </c>
      <c r="I104">
        <v>-9.8487839004404998E-2</v>
      </c>
      <c r="J104">
        <v>-0.19895064289820999</v>
      </c>
    </row>
    <row r="105" spans="1:10" x14ac:dyDescent="0.35">
      <c r="A105">
        <v>102</v>
      </c>
      <c r="B105">
        <v>-0.24278001308870001</v>
      </c>
      <c r="C105">
        <v>6.8829035153985998E-3</v>
      </c>
      <c r="D105">
        <v>0.75717123697336997</v>
      </c>
      <c r="E105">
        <v>-2.7935114372236E-3</v>
      </c>
      <c r="G105">
        <v>-3.6587705678014998E-3</v>
      </c>
      <c r="H105">
        <v>-0.19853143923460001</v>
      </c>
      <c r="I105">
        <v>-0.11265377202121001</v>
      </c>
      <c r="J105">
        <v>-0.19191109682436999</v>
      </c>
    </row>
    <row r="106" spans="1:10" x14ac:dyDescent="0.35">
      <c r="A106">
        <v>103</v>
      </c>
      <c r="B106">
        <v>-0.24166813945876001</v>
      </c>
      <c r="C106">
        <v>2.3722915920214999E-2</v>
      </c>
      <c r="D106">
        <v>0.75827765935836</v>
      </c>
      <c r="E106">
        <v>1.3839301060022E-2</v>
      </c>
      <c r="G106">
        <v>-1.7359172773356E-2</v>
      </c>
      <c r="H106">
        <v>-0.19770864771718999</v>
      </c>
      <c r="I106">
        <v>-0.12533455745951999</v>
      </c>
      <c r="J106">
        <v>-0.18321071761120999</v>
      </c>
    </row>
    <row r="107" spans="1:10" x14ac:dyDescent="0.35">
      <c r="A107">
        <v>104</v>
      </c>
      <c r="B107">
        <v>-0.23847420899635</v>
      </c>
      <c r="C107">
        <v>3.9541594516268E-2</v>
      </c>
      <c r="D107">
        <v>0.76146859019473001</v>
      </c>
      <c r="E107">
        <v>2.9445801107196998E-2</v>
      </c>
      <c r="G107">
        <v>-3.0235552412462001E-2</v>
      </c>
      <c r="H107">
        <v>-0.19519471145490999</v>
      </c>
      <c r="I107">
        <v>-0.13622717557481001</v>
      </c>
      <c r="J107">
        <v>-0.17333794386307</v>
      </c>
    </row>
    <row r="108" spans="1:10" x14ac:dyDescent="0.35">
      <c r="A108">
        <v>105</v>
      </c>
      <c r="B108">
        <v>-0.23356115709815001</v>
      </c>
      <c r="C108">
        <v>5.4067654750977003E-2</v>
      </c>
      <c r="D108">
        <v>0.76637885351777002</v>
      </c>
      <c r="E108">
        <v>4.3755847276250003E-2</v>
      </c>
      <c r="G108">
        <v>-4.2064715142185002E-2</v>
      </c>
      <c r="H108">
        <v>-0.19127173860961999</v>
      </c>
      <c r="I108">
        <v>-0.14529003042404001</v>
      </c>
      <c r="J108">
        <v>-0.16271035405559001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AN564"/>
  <sheetViews>
    <sheetView tabSelected="1" zoomScale="56" zoomScaleNormal="70" workbookViewId="0">
      <selection activeCell="AF35" sqref="AF35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39" max="39" width="51.26953125" customWidth="1"/>
    <col min="40" max="40" width="48.453125" customWidth="1"/>
  </cols>
  <sheetData>
    <row r="1" spans="1:40" ht="28" customHeight="1" x14ac:dyDescent="0.4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27</v>
      </c>
      <c r="L1" s="6" t="s">
        <v>28</v>
      </c>
      <c r="M1" s="6" t="s">
        <v>29</v>
      </c>
      <c r="N1" s="6" t="s">
        <v>30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31</v>
      </c>
      <c r="V1" s="8" t="s">
        <v>32</v>
      </c>
      <c r="AM1" s="27" t="s">
        <v>35</v>
      </c>
      <c r="AN1" s="21"/>
    </row>
    <row r="2" spans="1:40" x14ac:dyDescent="0.35">
      <c r="A2">
        <v>1</v>
      </c>
      <c r="B2" s="9">
        <v>15</v>
      </c>
      <c r="C2">
        <v>-4.9211628E-3</v>
      </c>
      <c r="D2">
        <v>-2.4579090999999999E-3</v>
      </c>
      <c r="E2">
        <v>0.99520180000000003</v>
      </c>
      <c r="F2">
        <v>-4.0883372999999997E-3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70.279232261084005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-47.671287318492098</v>
      </c>
      <c r="I2">
        <f t="shared" ref="I2" si="2">IMREAL(IMDIV(IMPRODUCT(COMPLEX(2,0),COMPLEX(E2,F2)),IMSUB(IMPRODUCT(COMPLEX(1 - C2, - D2),COMPLEX(1 - C2, - D2)),IMPRODUCT(COMPLEX(E2,F2),COMPLEX(E2,F2)))))</f>
        <v>70.279294403155305</v>
      </c>
      <c r="J2">
        <f t="shared" ref="J2" si="3">IMAGINARY(IMDIV(IMPRODUCT(COMPLEX(2,0),COMPLEX(E2,F2)),IMSUB(IMPRODUCT(COMPLEX(1 - C2, - D2),COMPLEX(1 - C2, - D2)),IMPRODUCT(COMPLEX(E2,F2),COMPLEX(E2,F2)))))</f>
        <v>-47.6721024318188</v>
      </c>
      <c r="K2" s="7">
        <f>IMREAL(IMSUB(COMPLEX(G2,H2),COMPLEX(I2,J2)))</f>
        <v>-6.2142071300286302E-5</v>
      </c>
      <c r="L2" s="7">
        <f>IMAGINARY(IMSUB(COMPLEX(G2,H2),COMPLEX(I2,J2)))</f>
        <v>8.1511332670203295E-4</v>
      </c>
      <c r="M2" s="7">
        <f t="shared" ref="M2" si="4">IMREAL(IMDIV(IMSUB(IMPRODUCT(COMPLEX(1 - C2, - D2),COMPLEX(1 - C2, - D2)),IMPRODUCT(COMPLEX(E2,F2),COMPLEX(E2,F2))),IMPRODUCT(COMPLEX(2,0),COMPLEX(E2,F2))))</f>
        <v>9.7450304872599303E-3</v>
      </c>
      <c r="N2" s="7">
        <f t="shared" ref="N2" si="5">IMAGINARY(IMDIV(IMSUB(IMPRODUCT(COMPLEX(1 - C2, - D2),COMPLEX(1 - C2, - D2)),IMPRODUCT(COMPLEX(E2,F2),COMPLEX(E2,F2))),IMPRODUCT(COMPLEX(2,0),COMPLEX(E2,F2))))</f>
        <v>6.6102839468603798E-3</v>
      </c>
      <c r="O2">
        <v>0.89158198</v>
      </c>
      <c r="P2">
        <v>-0.60867313999999995</v>
      </c>
      <c r="Q2">
        <v>1.4899408000000001</v>
      </c>
      <c r="R2">
        <v>-2.7713839</v>
      </c>
      <c r="S2">
        <f>IMABS(COMPLEX(Q2,R2))/IMABS(COMPLEX(O2,P2))</f>
        <v>2.9146782769835271</v>
      </c>
      <c r="T2">
        <f>IMARGUMENT(IMDIV(COMPLEX(Q2,R2),COMPLEX(O2/B2,P2/B2)))/PI()*180</f>
        <v>-27.415886043246992</v>
      </c>
      <c r="U2" s="8"/>
      <c r="V2" s="8"/>
      <c r="AM2" s="14" t="s">
        <v>36</v>
      </c>
      <c r="AN2" s="22"/>
    </row>
    <row r="3" spans="1:40" x14ac:dyDescent="0.35">
      <c r="A3">
        <v>1.25</v>
      </c>
      <c r="B3" s="9">
        <v>15</v>
      </c>
      <c r="C3">
        <v>-7.5846882999999997E-3</v>
      </c>
      <c r="D3">
        <v>-6.3620589000000002E-3</v>
      </c>
      <c r="E3">
        <v>0.99245282999999995</v>
      </c>
      <c r="F3">
        <v>-8.0789781999999997E-3</v>
      </c>
      <c r="G3">
        <f t="shared" ref="G3:G66" si="6">IMREAL(IMDIV(IMSUM(IMPRODUCT(COMPLEX(1 + C3,D3),COMPLEX(1 - C3, - D3)),IMPRODUCT(COMPLEX(E3,F3),COMPLEX(E3,F3))),IMSUB(IMPRODUCT(COMPLEX(1 - C3, - D3),COMPLEX(1 - C3, - D3)),IMPRODUCT(COMPLEX(E3,F3),COMPLEX(E3,F3)))))</f>
        <v>34.085775686999398</v>
      </c>
      <c r="H3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-33.006396564059699</v>
      </c>
      <c r="I3">
        <f t="shared" ref="I3:I66" si="8">IMREAL(IMDIV(IMPRODUCT(COMPLEX(2,0),COMPLEX(E3,F3)),IMSUB(IMPRODUCT(COMPLEX(1 - C3, - D3),COMPLEX(1 - C3, - D3)),IMPRODUCT(COMPLEX(E3,F3),COMPLEX(E3,F3)))))</f>
        <v>34.085795182708502</v>
      </c>
      <c r="J3">
        <f t="shared" ref="J3:J66" si="9">IMAGINARY(IMDIV(IMPRODUCT(COMPLEX(2,0),COMPLEX(E3,F3)),IMSUB(IMPRODUCT(COMPLEX(1 - C3, - D3),COMPLEX(1 - C3, - D3)),IMPRODUCT(COMPLEX(E3,F3),COMPLEX(E3,F3)))))</f>
        <v>-33.007254990870102</v>
      </c>
      <c r="K3" s="7">
        <f t="shared" ref="K3:K66" si="10">IMREAL(IMSUB(COMPLEX(G3,H3),COMPLEX(I3,J3)))</f>
        <v>-1.9495709103978199E-5</v>
      </c>
      <c r="L3" s="7">
        <f t="shared" ref="L3:L66" si="11">IMAGINARY(IMSUB(COMPLEX(G3,H3),COMPLEX(I3,J3)))</f>
        <v>8.5842681040304602E-4</v>
      </c>
      <c r="M3" s="7">
        <f t="shared" ref="M3:M66" si="12">IMREAL(IMDIV(IMSUB(IMPRODUCT(COMPLEX(1 - C3, - D3),COMPLEX(1 - C3, - D3)),IMPRODUCT(COMPLEX(E3,F3),COMPLEX(E3,F3))),IMPRODUCT(COMPLEX(2,0),COMPLEX(E3,F3))))</f>
        <v>1.5140357838694499E-2</v>
      </c>
      <c r="N3" s="7">
        <f t="shared" ref="N3:N66" si="13">IMAGINARY(IMDIV(IMSUB(IMPRODUCT(COMPLEX(1 - C3, - D3),COMPLEX(1 - C3, - D3)),IMPRODUCT(COMPLEX(E3,F3),COMPLEX(E3,F3))),IMPRODUCT(COMPLEX(2,0),COMPLEX(E3,F3))))</f>
        <v>1.46612877638931E-2</v>
      </c>
      <c r="O3">
        <v>1.1097097</v>
      </c>
      <c r="P3">
        <v>-0.75815524999999995</v>
      </c>
      <c r="Q3">
        <v>1.8370763000000001</v>
      </c>
      <c r="R3">
        <v>-3.4206368999999999</v>
      </c>
      <c r="S3">
        <f t="shared" ref="S3:S66" si="14">IMABS(COMPLEX(Q3,R3))/IMABS(COMPLEX(O3,P3))</f>
        <v>2.889002116056401</v>
      </c>
      <c r="T3">
        <f t="shared" ref="T3:T66" si="15">IMARGUMENT(IMDIV(COMPLEX(Q3,R3),COMPLEX(O3/B3,P3/B3)))/PI()*180</f>
        <v>-27.420730626362364</v>
      </c>
      <c r="U3" s="8"/>
      <c r="V3" s="8"/>
      <c r="AM3" s="15" t="s">
        <v>33</v>
      </c>
      <c r="AN3" s="23" t="s">
        <v>34</v>
      </c>
    </row>
    <row r="4" spans="1:40" ht="18" customHeight="1" x14ac:dyDescent="0.35">
      <c r="A4">
        <v>1.5</v>
      </c>
      <c r="B4" s="9">
        <v>15</v>
      </c>
      <c r="C4">
        <v>-1.0705849999999999E-2</v>
      </c>
      <c r="D4">
        <v>-1.0993416000000001E-2</v>
      </c>
      <c r="E4">
        <v>0.98931274999999996</v>
      </c>
      <c r="F4">
        <v>-1.2848596E-2</v>
      </c>
      <c r="G4">
        <f t="shared" si="6"/>
        <v>20.348810246627099</v>
      </c>
      <c r="H4">
        <f t="shared" si="7"/>
        <v>-23.234958158810599</v>
      </c>
      <c r="I4">
        <f t="shared" si="8"/>
        <v>20.348820406939002</v>
      </c>
      <c r="J4">
        <f t="shared" si="9"/>
        <v>-23.235885730759598</v>
      </c>
      <c r="K4" s="7">
        <f t="shared" si="10"/>
        <v>-1.0160311902041E-5</v>
      </c>
      <c r="L4" s="7">
        <f t="shared" si="11"/>
        <v>9.2757194899917295E-4</v>
      </c>
      <c r="M4" s="7">
        <f t="shared" si="12"/>
        <v>2.13304279820936E-2</v>
      </c>
      <c r="N4" s="7">
        <f t="shared" si="13"/>
        <v>2.43567625674809E-2</v>
      </c>
      <c r="O4">
        <v>1.3165429</v>
      </c>
      <c r="P4">
        <v>-0.89598995999999997</v>
      </c>
      <c r="Q4">
        <v>2.1828283000000002</v>
      </c>
      <c r="R4">
        <v>-4.0438976000000002</v>
      </c>
      <c r="S4">
        <f t="shared" si="14"/>
        <v>2.8856461267893181</v>
      </c>
      <c r="T4">
        <f t="shared" si="15"/>
        <v>-27.40282682734378</v>
      </c>
      <c r="U4" s="8"/>
      <c r="V4" s="8"/>
      <c r="AM4" s="16">
        <v>15</v>
      </c>
      <c r="AN4" s="24">
        <v>5</v>
      </c>
    </row>
    <row r="5" spans="1:40" x14ac:dyDescent="0.35">
      <c r="A5">
        <v>1.75</v>
      </c>
      <c r="B5" s="9">
        <v>15</v>
      </c>
      <c r="C5">
        <v>-1.4218031000000001E-2</v>
      </c>
      <c r="D5">
        <v>-1.6258630999999999E-2</v>
      </c>
      <c r="E5">
        <v>0.98563191000000006</v>
      </c>
      <c r="F5">
        <v>-1.8386917999999999E-2</v>
      </c>
      <c r="G5">
        <f t="shared" si="6"/>
        <v>13.6692557911149</v>
      </c>
      <c r="H5">
        <f t="shared" si="7"/>
        <v>-17.172149851177402</v>
      </c>
      <c r="I5">
        <f t="shared" si="8"/>
        <v>13.6691818886401</v>
      </c>
      <c r="J5">
        <f t="shared" si="9"/>
        <v>-17.1732141531742</v>
      </c>
      <c r="K5" s="7">
        <f t="shared" si="10"/>
        <v>7.3902474799325505E-5</v>
      </c>
      <c r="L5" s="7">
        <f t="shared" si="11"/>
        <v>1.0643019967986301E-3</v>
      </c>
      <c r="M5" s="7">
        <f t="shared" si="12"/>
        <v>2.8373083730775801E-2</v>
      </c>
      <c r="N5" s="7">
        <f t="shared" si="13"/>
        <v>3.5646393987887298E-2</v>
      </c>
      <c r="O5">
        <v>1.5121286</v>
      </c>
      <c r="P5">
        <v>-1.0245386999999999</v>
      </c>
      <c r="Q5">
        <v>2.5146967</v>
      </c>
      <c r="R5">
        <v>-4.6299570000000001</v>
      </c>
      <c r="S5">
        <f t="shared" si="14"/>
        <v>2.884592408480156</v>
      </c>
      <c r="T5">
        <f t="shared" si="15"/>
        <v>-27.372519836883587</v>
      </c>
      <c r="U5" s="8"/>
      <c r="V5" s="8"/>
      <c r="AM5" s="17">
        <v>15.4</v>
      </c>
      <c r="AN5" s="25">
        <v>1.25</v>
      </c>
    </row>
    <row r="6" spans="1:40" x14ac:dyDescent="0.35">
      <c r="A6">
        <v>2</v>
      </c>
      <c r="B6" s="9">
        <v>15</v>
      </c>
      <c r="C6">
        <v>-1.8072940999999999E-2</v>
      </c>
      <c r="D6">
        <v>-2.2082379999999999E-2</v>
      </c>
      <c r="E6">
        <v>0.98194139000000003</v>
      </c>
      <c r="F6">
        <v>-2.4381395E-2</v>
      </c>
      <c r="G6">
        <f t="shared" si="6"/>
        <v>9.9294639614033198</v>
      </c>
      <c r="H6">
        <f t="shared" si="7"/>
        <v>-13.4113173723954</v>
      </c>
      <c r="I6">
        <f t="shared" si="8"/>
        <v>9.9294724481893297</v>
      </c>
      <c r="J6">
        <f t="shared" si="9"/>
        <v>-13.4124668619031</v>
      </c>
      <c r="K6" s="7">
        <f t="shared" si="10"/>
        <v>-8.4867860099535602E-6</v>
      </c>
      <c r="L6" s="7">
        <f t="shared" si="11"/>
        <v>1.1494895076999999E-3</v>
      </c>
      <c r="M6" s="7">
        <f t="shared" si="12"/>
        <v>3.5654849872641503E-2</v>
      </c>
      <c r="N6" s="7">
        <f t="shared" si="13"/>
        <v>4.8161621362889297E-2</v>
      </c>
      <c r="O6">
        <v>1.6969464000000001</v>
      </c>
      <c r="P6">
        <v>-1.1443019000000001</v>
      </c>
      <c r="Q6">
        <v>2.8355239999999999</v>
      </c>
      <c r="R6">
        <v>-5.1824737000000001</v>
      </c>
      <c r="S6">
        <f t="shared" si="14"/>
        <v>2.8863149904525081</v>
      </c>
      <c r="T6">
        <f t="shared" si="15"/>
        <v>-27.322321395062311</v>
      </c>
      <c r="U6" s="8"/>
      <c r="V6" s="8"/>
      <c r="AM6" s="18">
        <v>16.2</v>
      </c>
      <c r="AN6" s="24">
        <v>4.5</v>
      </c>
    </row>
    <row r="7" spans="1:40" x14ac:dyDescent="0.35">
      <c r="A7">
        <v>2.25</v>
      </c>
      <c r="B7" s="9">
        <v>15</v>
      </c>
      <c r="C7">
        <v>-2.2208141000000001E-2</v>
      </c>
      <c r="D7">
        <v>-2.8385141999999999E-2</v>
      </c>
      <c r="E7">
        <v>0.97779258000000002</v>
      </c>
      <c r="F7">
        <v>-3.0940827000000001E-2</v>
      </c>
      <c r="G7">
        <f t="shared" si="6"/>
        <v>7.5868585424432604</v>
      </c>
      <c r="H7">
        <f t="shared" si="7"/>
        <v>-10.8009983335999</v>
      </c>
      <c r="I7">
        <f t="shared" si="8"/>
        <v>7.5868605358201799</v>
      </c>
      <c r="J7">
        <f t="shared" si="9"/>
        <v>-10.8022761730921</v>
      </c>
      <c r="K7" s="7">
        <f t="shared" si="10"/>
        <v>-1.9933769195290598E-6</v>
      </c>
      <c r="L7" s="7">
        <f t="shared" si="11"/>
        <v>1.27783949220017E-3</v>
      </c>
      <c r="M7" s="7">
        <f t="shared" si="12"/>
        <v>4.3540183282543499E-2</v>
      </c>
      <c r="N7" s="7">
        <f t="shared" si="13"/>
        <v>6.1993110618611902E-2</v>
      </c>
      <c r="O7">
        <v>1.8707587999999999</v>
      </c>
      <c r="P7">
        <v>-1.2556178</v>
      </c>
      <c r="Q7">
        <v>3.1389426999999999</v>
      </c>
      <c r="R7">
        <v>-5.6970789000000002</v>
      </c>
      <c r="S7">
        <f t="shared" si="14"/>
        <v>2.8869918166917956</v>
      </c>
      <c r="T7">
        <f t="shared" si="15"/>
        <v>-27.277613442738158</v>
      </c>
      <c r="U7" s="8"/>
      <c r="V7" s="8"/>
      <c r="AM7" s="17">
        <v>16.2</v>
      </c>
      <c r="AN7" s="25">
        <v>4.75</v>
      </c>
    </row>
    <row r="8" spans="1:40" x14ac:dyDescent="0.35">
      <c r="A8">
        <v>2.5</v>
      </c>
      <c r="B8" s="9">
        <v>15</v>
      </c>
      <c r="C8">
        <v>-2.6564062999999999E-2</v>
      </c>
      <c r="D8">
        <v>-3.5084403E-2</v>
      </c>
      <c r="E8">
        <v>0.97342401999999995</v>
      </c>
      <c r="F8">
        <v>-3.7909368999999998E-2</v>
      </c>
      <c r="G8">
        <f t="shared" si="6"/>
        <v>6.0186890348139004</v>
      </c>
      <c r="H8">
        <f t="shared" si="7"/>
        <v>-8.9534369857109404</v>
      </c>
      <c r="I8">
        <f t="shared" si="8"/>
        <v>6.01868507141831</v>
      </c>
      <c r="J8">
        <f t="shared" si="9"/>
        <v>-8.9548494827255407</v>
      </c>
      <c r="K8" s="7">
        <f t="shared" si="10"/>
        <v>3.9633955903895E-6</v>
      </c>
      <c r="L8" s="7">
        <f t="shared" si="11"/>
        <v>1.41249701460033E-3</v>
      </c>
      <c r="M8" s="7">
        <f t="shared" si="12"/>
        <v>5.17007428695326E-2</v>
      </c>
      <c r="N8" s="7">
        <f t="shared" si="13"/>
        <v>7.6922511320676304E-2</v>
      </c>
      <c r="O8">
        <v>2.0335310999999998</v>
      </c>
      <c r="P8">
        <v>-1.3582437000000001</v>
      </c>
      <c r="Q8">
        <v>3.4259814999999998</v>
      </c>
      <c r="R8">
        <v>-6.1739267</v>
      </c>
      <c r="S8">
        <f t="shared" si="14"/>
        <v>2.8873526983384066</v>
      </c>
      <c r="T8">
        <f t="shared" si="15"/>
        <v>-27.233710067317929</v>
      </c>
      <c r="U8" s="8"/>
      <c r="V8" s="8"/>
      <c r="AM8" s="18">
        <v>16.399999999999999</v>
      </c>
      <c r="AN8" s="24">
        <v>4.5</v>
      </c>
    </row>
    <row r="9" spans="1:40" x14ac:dyDescent="0.35">
      <c r="A9">
        <v>2.75</v>
      </c>
      <c r="B9" s="9">
        <v>15</v>
      </c>
      <c r="C9">
        <v>-3.1095013000000001E-2</v>
      </c>
      <c r="D9">
        <v>-4.2100279999999997E-2</v>
      </c>
      <c r="E9">
        <v>0.96888717999999996</v>
      </c>
      <c r="F9">
        <v>-4.5214101999999999E-2</v>
      </c>
      <c r="G9">
        <f t="shared" si="6"/>
        <v>4.9123846986088404</v>
      </c>
      <c r="H9">
        <f t="shared" si="7"/>
        <v>-7.5959938268821796</v>
      </c>
      <c r="I9">
        <f t="shared" si="8"/>
        <v>4.9123782190602903</v>
      </c>
      <c r="J9">
        <f t="shared" si="9"/>
        <v>-7.5975507618324096</v>
      </c>
      <c r="K9" s="7">
        <f t="shared" si="10"/>
        <v>6.4795485501534202E-6</v>
      </c>
      <c r="L9" s="7">
        <f t="shared" si="11"/>
        <v>1.5569349502300199E-3</v>
      </c>
      <c r="M9" s="7">
        <f t="shared" si="12"/>
        <v>6.0013731461603603E-2</v>
      </c>
      <c r="N9" s="7">
        <f t="shared" si="13"/>
        <v>9.2818050820552306E-2</v>
      </c>
      <c r="O9">
        <v>2.1855123999999999</v>
      </c>
      <c r="P9">
        <v>-1.4529109</v>
      </c>
      <c r="Q9">
        <v>3.6956058999999999</v>
      </c>
      <c r="R9">
        <v>-6.6144888999999996</v>
      </c>
      <c r="S9">
        <f t="shared" si="14"/>
        <v>2.8870995063296947</v>
      </c>
      <c r="T9">
        <f t="shared" si="15"/>
        <v>-27.191669905745673</v>
      </c>
      <c r="U9" s="8"/>
      <c r="V9" s="8"/>
      <c r="AM9" s="19">
        <v>16.399999999999999</v>
      </c>
      <c r="AN9" s="25">
        <v>4.75</v>
      </c>
    </row>
    <row r="10" spans="1:40" x14ac:dyDescent="0.35">
      <c r="A10">
        <v>3</v>
      </c>
      <c r="B10" s="9">
        <v>15</v>
      </c>
      <c r="C10">
        <v>-3.5759719000000002E-2</v>
      </c>
      <c r="D10">
        <v>-4.9356659999999997E-2</v>
      </c>
      <c r="E10">
        <v>0.96422227000000005</v>
      </c>
      <c r="F10">
        <v>-5.2781129000000003E-2</v>
      </c>
      <c r="G10">
        <f t="shared" si="6"/>
        <v>4.10056060680584</v>
      </c>
      <c r="H10">
        <f t="shared" si="7"/>
        <v>-6.5676025572512504</v>
      </c>
      <c r="I10">
        <f t="shared" si="8"/>
        <v>4.1005545330423203</v>
      </c>
      <c r="J10">
        <f t="shared" si="9"/>
        <v>-6.5693148175707003</v>
      </c>
      <c r="K10" s="7">
        <f t="shared" si="10"/>
        <v>6.07376351968725E-6</v>
      </c>
      <c r="L10" s="7">
        <f t="shared" si="11"/>
        <v>1.71226031944993E-3</v>
      </c>
      <c r="M10" s="7">
        <f t="shared" si="12"/>
        <v>6.8376256953217099E-2</v>
      </c>
      <c r="N10" s="7">
        <f t="shared" si="13"/>
        <v>0.109542539759745</v>
      </c>
      <c r="O10">
        <v>2.3263150000000001</v>
      </c>
      <c r="P10">
        <v>-1.5398778</v>
      </c>
      <c r="Q10">
        <v>3.9470543</v>
      </c>
      <c r="R10">
        <v>-7.0204754999999999</v>
      </c>
      <c r="S10">
        <f t="shared" si="14"/>
        <v>2.8869354114595671</v>
      </c>
      <c r="T10">
        <f t="shared" si="15"/>
        <v>-27.152303937042088</v>
      </c>
      <c r="U10" s="8"/>
      <c r="V10" s="8"/>
      <c r="AM10" s="18">
        <v>16.8</v>
      </c>
      <c r="AN10" s="24">
        <v>3.75</v>
      </c>
    </row>
    <row r="11" spans="1:40" x14ac:dyDescent="0.35">
      <c r="A11">
        <v>3.25</v>
      </c>
      <c r="B11" s="9">
        <v>15</v>
      </c>
      <c r="C11">
        <v>-4.0518995000000002E-2</v>
      </c>
      <c r="D11">
        <v>-5.6785995999999998E-2</v>
      </c>
      <c r="E11">
        <v>0.95946021000000004</v>
      </c>
      <c r="F11">
        <v>-6.0537967999999998E-2</v>
      </c>
      <c r="G11">
        <f t="shared" si="6"/>
        <v>3.4860882432992302</v>
      </c>
      <c r="H11">
        <f t="shared" si="7"/>
        <v>-5.7684954959923598</v>
      </c>
      <c r="I11">
        <f t="shared" si="8"/>
        <v>3.4860813651119802</v>
      </c>
      <c r="J11">
        <f t="shared" si="9"/>
        <v>-5.7703715144016403</v>
      </c>
      <c r="K11" s="7">
        <f t="shared" si="10"/>
        <v>6.8781872499812397E-6</v>
      </c>
      <c r="L11" s="7">
        <f t="shared" si="11"/>
        <v>1.87601840928053E-3</v>
      </c>
      <c r="M11" s="7">
        <f t="shared" si="12"/>
        <v>7.6701543379997295E-2</v>
      </c>
      <c r="N11" s="7">
        <f t="shared" si="13"/>
        <v>0.12696100712392899</v>
      </c>
      <c r="O11">
        <v>2.4566333</v>
      </c>
      <c r="P11">
        <v>-1.6199703000000001</v>
      </c>
      <c r="Q11">
        <v>4.1800440999999999</v>
      </c>
      <c r="R11">
        <v>-7.3937920999999998</v>
      </c>
      <c r="S11">
        <f t="shared" si="14"/>
        <v>2.8863447235712081</v>
      </c>
      <c r="T11">
        <f t="shared" si="15"/>
        <v>-27.116630072429285</v>
      </c>
      <c r="U11" s="8"/>
      <c r="V11" s="8"/>
      <c r="AM11" s="17">
        <v>16.8</v>
      </c>
      <c r="AN11" s="25">
        <v>4</v>
      </c>
    </row>
    <row r="12" spans="1:40" x14ac:dyDescent="0.35">
      <c r="A12">
        <v>3.5</v>
      </c>
      <c r="B12" s="9">
        <v>15</v>
      </c>
      <c r="C12">
        <v>-4.5367373000000003E-2</v>
      </c>
      <c r="D12">
        <v>-6.4317453999999996E-2</v>
      </c>
      <c r="E12">
        <v>0.95461739000000001</v>
      </c>
      <c r="F12">
        <v>-6.8499691000000001E-2</v>
      </c>
      <c r="G12">
        <f t="shared" si="6"/>
        <v>3.0071181153492899</v>
      </c>
      <c r="H12">
        <f t="shared" si="7"/>
        <v>-5.13179505720802</v>
      </c>
      <c r="I12">
        <f t="shared" si="8"/>
        <v>3.00711486964865</v>
      </c>
      <c r="J12">
        <f t="shared" si="9"/>
        <v>-5.1338861984265201</v>
      </c>
      <c r="K12" s="7">
        <f t="shared" si="10"/>
        <v>3.2457006398089999E-6</v>
      </c>
      <c r="L12" s="7">
        <f t="shared" si="11"/>
        <v>2.09114121850007E-3</v>
      </c>
      <c r="M12" s="7">
        <f t="shared" si="12"/>
        <v>8.4947881958012103E-2</v>
      </c>
      <c r="N12" s="7">
        <f t="shared" si="13"/>
        <v>0.14502697026028799</v>
      </c>
      <c r="O12">
        <v>2.5772488</v>
      </c>
      <c r="P12">
        <v>-1.6948198999999999</v>
      </c>
      <c r="Q12">
        <v>4.3933102999999996</v>
      </c>
      <c r="R12">
        <v>-7.7394882000000003</v>
      </c>
      <c r="S12">
        <f t="shared" si="14"/>
        <v>2.8851544798852458</v>
      </c>
      <c r="T12">
        <f t="shared" si="15"/>
        <v>-27.089399017799938</v>
      </c>
      <c r="U12" s="8"/>
      <c r="V12" s="8"/>
      <c r="AM12" s="18">
        <v>16.8</v>
      </c>
      <c r="AN12" s="24">
        <v>4.25</v>
      </c>
    </row>
    <row r="13" spans="1:40" x14ac:dyDescent="0.35">
      <c r="A13">
        <v>3.75</v>
      </c>
      <c r="B13" s="9">
        <v>15</v>
      </c>
      <c r="C13">
        <v>-5.0242140999999997E-2</v>
      </c>
      <c r="D13">
        <v>-7.1903936000000002E-2</v>
      </c>
      <c r="E13">
        <v>0.94969647999999995</v>
      </c>
      <c r="F13">
        <v>-7.6549599999999995E-2</v>
      </c>
      <c r="G13">
        <f t="shared" si="6"/>
        <v>2.6276109154793001</v>
      </c>
      <c r="H13">
        <f t="shared" si="7"/>
        <v>-4.6166710290409796</v>
      </c>
      <c r="I13">
        <f t="shared" si="8"/>
        <v>2.6275856210535999</v>
      </c>
      <c r="J13">
        <f t="shared" si="9"/>
        <v>-4.6189939910862199</v>
      </c>
      <c r="K13" s="7">
        <f t="shared" si="10"/>
        <v>2.5294425700206299E-5</v>
      </c>
      <c r="L13" s="7">
        <f t="shared" si="11"/>
        <v>2.3229620452402998E-3</v>
      </c>
      <c r="M13" s="7">
        <f t="shared" si="12"/>
        <v>9.3047084514742501E-2</v>
      </c>
      <c r="N13" s="7">
        <f t="shared" si="13"/>
        <v>0.16356609688302201</v>
      </c>
      <c r="O13">
        <v>2.6881897000000001</v>
      </c>
      <c r="P13">
        <v>-1.7632596</v>
      </c>
      <c r="Q13">
        <v>4.5882719999999999</v>
      </c>
      <c r="R13">
        <v>-8.0543703999999998</v>
      </c>
      <c r="S13">
        <f t="shared" si="14"/>
        <v>2.8833371055101091</v>
      </c>
      <c r="T13">
        <f t="shared" si="15"/>
        <v>-27.069460398781857</v>
      </c>
      <c r="U13" s="8"/>
      <c r="V13" s="8"/>
      <c r="AM13" s="17">
        <v>16.8</v>
      </c>
      <c r="AN13" s="25">
        <v>4.5</v>
      </c>
    </row>
    <row r="14" spans="1:40" ht="15" thickBot="1" x14ac:dyDescent="0.4">
      <c r="A14">
        <v>4</v>
      </c>
      <c r="B14" s="9">
        <v>15</v>
      </c>
      <c r="C14">
        <v>-5.5139239999999999E-2</v>
      </c>
      <c r="D14">
        <v>-7.9485032999999997E-2</v>
      </c>
      <c r="E14">
        <v>0.94479263999999996</v>
      </c>
      <c r="F14">
        <v>-8.4513305999999996E-2</v>
      </c>
      <c r="G14">
        <f t="shared" si="6"/>
        <v>2.3242124689546801</v>
      </c>
      <c r="H14">
        <f t="shared" si="7"/>
        <v>-4.1960980898507101</v>
      </c>
      <c r="I14">
        <f t="shared" si="8"/>
        <v>2.3241847292828601</v>
      </c>
      <c r="J14">
        <f t="shared" si="9"/>
        <v>-4.1986123817288199</v>
      </c>
      <c r="K14" s="7">
        <f t="shared" si="10"/>
        <v>2.7739671820015099E-5</v>
      </c>
      <c r="L14" s="7">
        <f t="shared" si="11"/>
        <v>2.5142918781098098E-3</v>
      </c>
      <c r="M14" s="7">
        <f t="shared" si="12"/>
        <v>0.100919084000158</v>
      </c>
      <c r="N14" s="7">
        <f t="shared" si="13"/>
        <v>0.18230913846789501</v>
      </c>
      <c r="O14">
        <v>2.7894614</v>
      </c>
      <c r="P14">
        <v>-1.8268230000000001</v>
      </c>
      <c r="Q14">
        <v>4.7643497999999997</v>
      </c>
      <c r="R14">
        <v>-8.3435793</v>
      </c>
      <c r="S14">
        <f t="shared" si="14"/>
        <v>2.8814686166020396</v>
      </c>
      <c r="T14">
        <f t="shared" si="15"/>
        <v>-27.051916154212311</v>
      </c>
      <c r="U14" s="8"/>
      <c r="V14" s="8"/>
      <c r="AM14" s="20" t="s">
        <v>37</v>
      </c>
      <c r="AN14" s="26"/>
    </row>
    <row r="15" spans="1:40" x14ac:dyDescent="0.35">
      <c r="A15">
        <v>4.25</v>
      </c>
      <c r="B15" s="9">
        <v>15</v>
      </c>
      <c r="C15">
        <v>-5.9970999999999997E-2</v>
      </c>
      <c r="D15">
        <v>-8.6988153999999998E-2</v>
      </c>
      <c r="E15">
        <v>0.93995583999999999</v>
      </c>
      <c r="F15">
        <v>-9.2402031999999995E-2</v>
      </c>
      <c r="G15">
        <f t="shared" si="6"/>
        <v>2.0763054112808699</v>
      </c>
      <c r="H15">
        <f t="shared" si="7"/>
        <v>-3.8495039752731599</v>
      </c>
      <c r="I15">
        <f t="shared" si="8"/>
        <v>2.07627615821194</v>
      </c>
      <c r="J15">
        <f t="shared" si="9"/>
        <v>-3.8522110924857702</v>
      </c>
      <c r="K15" s="7">
        <f t="shared" si="10"/>
        <v>2.9253068929868699E-5</v>
      </c>
      <c r="L15" s="7">
        <f t="shared" si="11"/>
        <v>2.7071172126102998E-3</v>
      </c>
      <c r="M15" s="7">
        <f t="shared" si="12"/>
        <v>0.10841916688367099</v>
      </c>
      <c r="N15" s="7">
        <f t="shared" si="13"/>
        <v>0.20115508992167</v>
      </c>
      <c r="O15">
        <v>2.8820195000000002</v>
      </c>
      <c r="P15">
        <v>-1.8846373999999999</v>
      </c>
      <c r="Q15">
        <v>4.9208201999999996</v>
      </c>
      <c r="R15">
        <v>-8.6002921000000008</v>
      </c>
      <c r="S15">
        <f t="shared" si="14"/>
        <v>2.8774421883075774</v>
      </c>
      <c r="T15">
        <f t="shared" si="15"/>
        <v>-27.041295423493672</v>
      </c>
      <c r="U15" s="8"/>
      <c r="V15" s="8"/>
    </row>
    <row r="16" spans="1:40" x14ac:dyDescent="0.35">
      <c r="A16">
        <v>4.5</v>
      </c>
      <c r="B16" s="9">
        <v>15</v>
      </c>
      <c r="C16">
        <v>-6.4697188000000003E-2</v>
      </c>
      <c r="D16">
        <v>-9.4368023999999995E-2</v>
      </c>
      <c r="E16">
        <v>0.93535517999999995</v>
      </c>
      <c r="F16">
        <v>-0.1000557</v>
      </c>
      <c r="G16">
        <f t="shared" si="6"/>
        <v>1.87192769411311</v>
      </c>
      <c r="H16">
        <f t="shared" si="7"/>
        <v>-3.5640272730329201</v>
      </c>
      <c r="I16">
        <f t="shared" si="8"/>
        <v>1.87196196414145</v>
      </c>
      <c r="J16">
        <f t="shared" si="9"/>
        <v>-3.5668709391159599</v>
      </c>
      <c r="K16" s="7">
        <f t="shared" si="10"/>
        <v>-3.4270028339999898E-5</v>
      </c>
      <c r="L16" s="7">
        <f t="shared" si="11"/>
        <v>2.8436660830397599E-3</v>
      </c>
      <c r="M16" s="7">
        <f t="shared" si="12"/>
        <v>0.11536229096526</v>
      </c>
      <c r="N16" s="7">
        <f t="shared" si="13"/>
        <v>0.21981344225791899</v>
      </c>
      <c r="O16">
        <v>2.9627772999999999</v>
      </c>
      <c r="P16">
        <v>-1.9349567999999999</v>
      </c>
      <c r="Q16">
        <v>5.0576349</v>
      </c>
      <c r="R16">
        <v>-8.8207693000000003</v>
      </c>
      <c r="S16">
        <f t="shared" si="14"/>
        <v>2.873369028862327</v>
      </c>
      <c r="T16">
        <f t="shared" si="15"/>
        <v>-27.022884930849198</v>
      </c>
      <c r="U16" s="8"/>
      <c r="V16" s="8"/>
    </row>
    <row r="17" spans="1:22" x14ac:dyDescent="0.35">
      <c r="A17">
        <v>4.75</v>
      </c>
      <c r="B17" s="9">
        <v>15</v>
      </c>
      <c r="C17">
        <v>-6.9450939000000003E-2</v>
      </c>
      <c r="D17">
        <v>-0.10164723000000001</v>
      </c>
      <c r="E17">
        <v>0.93053390999999996</v>
      </c>
      <c r="F17">
        <v>-0.10755075</v>
      </c>
      <c r="G17">
        <f t="shared" si="6"/>
        <v>1.7028729690345901</v>
      </c>
      <c r="H17">
        <f t="shared" si="7"/>
        <v>-3.3158761846988298</v>
      </c>
      <c r="I17">
        <f t="shared" si="8"/>
        <v>1.7028741064863899</v>
      </c>
      <c r="J17">
        <f t="shared" si="9"/>
        <v>-3.3188279637025402</v>
      </c>
      <c r="K17" s="7">
        <f t="shared" si="10"/>
        <v>-1.13745179985969E-6</v>
      </c>
      <c r="L17" s="7">
        <f t="shared" si="11"/>
        <v>2.95177900371035E-3</v>
      </c>
      <c r="M17" s="7">
        <f t="shared" si="12"/>
        <v>0.12238215051956899</v>
      </c>
      <c r="N17" s="7">
        <f t="shared" si="13"/>
        <v>0.23851751685886899</v>
      </c>
      <c r="O17">
        <v>3.0330957000000001</v>
      </c>
      <c r="P17">
        <v>-1.9819618999999999</v>
      </c>
      <c r="Q17">
        <v>5.1715580000000001</v>
      </c>
      <c r="R17">
        <v>-9.0295207000000008</v>
      </c>
      <c r="S17">
        <f t="shared" si="14"/>
        <v>2.8719173824115054</v>
      </c>
      <c r="T17">
        <f t="shared" si="15"/>
        <v>-27.036136790232291</v>
      </c>
      <c r="U17" s="8"/>
      <c r="V17" s="8"/>
    </row>
    <row r="18" spans="1:22" x14ac:dyDescent="0.35">
      <c r="A18">
        <v>1</v>
      </c>
      <c r="B18" s="9">
        <v>15.2</v>
      </c>
      <c r="C18">
        <v>-6.4601253999999999E-3</v>
      </c>
      <c r="D18">
        <v>-2.8991207000000001E-3</v>
      </c>
      <c r="E18">
        <v>0.99384885000000001</v>
      </c>
      <c r="F18">
        <v>-4.5844668E-3</v>
      </c>
      <c r="G18">
        <f t="shared" si="6"/>
        <v>58.143829486517703</v>
      </c>
      <c r="H18">
        <f t="shared" si="7"/>
        <v>-34.799136808896797</v>
      </c>
      <c r="I18">
        <f t="shared" si="8"/>
        <v>58.143984660123401</v>
      </c>
      <c r="J18">
        <f t="shared" si="9"/>
        <v>-34.799979221043898</v>
      </c>
      <c r="K18" s="7">
        <f t="shared" si="10"/>
        <v>-1.5517360569816701E-4</v>
      </c>
      <c r="L18" s="7">
        <f t="shared" si="11"/>
        <v>8.4241214710090205E-4</v>
      </c>
      <c r="M18" s="7">
        <f t="shared" si="12"/>
        <v>1.2662675224940301E-2</v>
      </c>
      <c r="N18" s="7">
        <f t="shared" si="13"/>
        <v>7.5787863058681603E-3</v>
      </c>
      <c r="O18">
        <v>0.91602667000000004</v>
      </c>
      <c r="P18">
        <v>-0.78481593000000005</v>
      </c>
      <c r="Q18">
        <v>1.3539821000000001</v>
      </c>
      <c r="R18">
        <v>-3.3528327</v>
      </c>
      <c r="S18">
        <f t="shared" si="14"/>
        <v>2.9976379112806759</v>
      </c>
      <c r="T18">
        <f t="shared" si="15"/>
        <v>-27.420873218107399</v>
      </c>
      <c r="U18" s="8"/>
      <c r="V18" s="8"/>
    </row>
    <row r="19" spans="1:22" x14ac:dyDescent="0.35">
      <c r="A19">
        <v>1.25</v>
      </c>
      <c r="B19" s="9">
        <v>15.2</v>
      </c>
      <c r="C19">
        <v>-9.9403304000000008E-3</v>
      </c>
      <c r="D19">
        <v>-7.0343916999999999E-3</v>
      </c>
      <c r="E19">
        <v>0.99026778999999998</v>
      </c>
      <c r="F19">
        <v>-8.5847258999999995E-3</v>
      </c>
      <c r="G19">
        <f t="shared" si="6"/>
        <v>30.6784111181281</v>
      </c>
      <c r="H19">
        <f t="shared" si="7"/>
        <v>-24.753918611560401</v>
      </c>
      <c r="I19">
        <f t="shared" si="8"/>
        <v>30.678515768196799</v>
      </c>
      <c r="J19">
        <f t="shared" si="9"/>
        <v>-24.754693616891998</v>
      </c>
      <c r="K19" s="7">
        <f t="shared" si="10"/>
        <v>-1.04650068699641E-4</v>
      </c>
      <c r="L19" s="7">
        <f t="shared" si="11"/>
        <v>7.7500533159735596E-4</v>
      </c>
      <c r="M19" s="7">
        <f t="shared" si="12"/>
        <v>1.9742074215270501E-2</v>
      </c>
      <c r="N19" s="7">
        <f t="shared" si="13"/>
        <v>1.5930007900434001E-2</v>
      </c>
      <c r="O19">
        <v>1.1209962</v>
      </c>
      <c r="P19">
        <v>-0.96177687000000001</v>
      </c>
      <c r="Q19">
        <v>1.6831862</v>
      </c>
      <c r="R19">
        <v>-4.1321789000000004</v>
      </c>
      <c r="S19">
        <f t="shared" si="14"/>
        <v>3.0207984637177017</v>
      </c>
      <c r="T19">
        <f t="shared" si="15"/>
        <v>-27.208672952352874</v>
      </c>
      <c r="U19" s="8"/>
      <c r="V19" s="8"/>
    </row>
    <row r="20" spans="1:22" x14ac:dyDescent="0.35">
      <c r="A20">
        <v>1.5</v>
      </c>
      <c r="B20" s="9">
        <v>15.2</v>
      </c>
      <c r="C20">
        <v>-1.4003832000000001E-2</v>
      </c>
      <c r="D20">
        <v>-1.1927006E-2</v>
      </c>
      <c r="E20">
        <v>0.98583787</v>
      </c>
      <c r="F20">
        <v>-1.3825272E-2</v>
      </c>
      <c r="G20">
        <f t="shared" si="6"/>
        <v>18.838135980968101</v>
      </c>
      <c r="H20">
        <f t="shared" si="7"/>
        <v>-17.680442707607099</v>
      </c>
      <c r="I20">
        <f t="shared" si="8"/>
        <v>18.838057726769701</v>
      </c>
      <c r="J20">
        <f t="shared" si="9"/>
        <v>-17.681391990015499</v>
      </c>
      <c r="K20" s="7">
        <f t="shared" si="10"/>
        <v>7.8254198399463294E-5</v>
      </c>
      <c r="L20" s="7">
        <f t="shared" si="11"/>
        <v>9.4928240839919898E-4</v>
      </c>
      <c r="M20" s="7">
        <f t="shared" si="12"/>
        <v>2.8221638450312399E-2</v>
      </c>
      <c r="N20" s="7">
        <f t="shared" si="13"/>
        <v>2.6488816377888701E-2</v>
      </c>
      <c r="O20">
        <v>1.3345051000000001</v>
      </c>
      <c r="P20">
        <v>-1.1359535000000001</v>
      </c>
      <c r="Q20">
        <v>2.0030758</v>
      </c>
      <c r="R20">
        <v>-4.8748040000000001</v>
      </c>
      <c r="S20">
        <f t="shared" si="14"/>
        <v>3.007283348174342</v>
      </c>
      <c r="T20">
        <f t="shared" si="15"/>
        <v>-27.257054686361059</v>
      </c>
      <c r="U20" s="8"/>
      <c r="V20" s="8"/>
    </row>
    <row r="21" spans="1:22" x14ac:dyDescent="0.35">
      <c r="A21">
        <v>1.75</v>
      </c>
      <c r="B21" s="9">
        <v>15.2</v>
      </c>
      <c r="C21">
        <v>-1.8559664E-2</v>
      </c>
      <c r="D21">
        <v>-1.7492074999999999E-2</v>
      </c>
      <c r="E21">
        <v>0.98137275000000002</v>
      </c>
      <c r="F21">
        <v>-1.9724008000000001E-2</v>
      </c>
      <c r="G21">
        <f t="shared" si="6"/>
        <v>12.935063866622301</v>
      </c>
      <c r="H21">
        <f t="shared" si="7"/>
        <v>-13.4450278733099</v>
      </c>
      <c r="I21">
        <f t="shared" si="8"/>
        <v>12.9350313179862</v>
      </c>
      <c r="J21">
        <f t="shared" si="9"/>
        <v>-13.4461439138475</v>
      </c>
      <c r="K21" s="7">
        <f t="shared" si="10"/>
        <v>3.2548636101026298E-5</v>
      </c>
      <c r="L21" s="7">
        <f t="shared" si="11"/>
        <v>1.11604053759962E-3</v>
      </c>
      <c r="M21" s="7">
        <f t="shared" si="12"/>
        <v>3.7157477022469299E-2</v>
      </c>
      <c r="N21" s="7">
        <f t="shared" si="13"/>
        <v>3.862571115888E-2</v>
      </c>
      <c r="O21">
        <v>1.5386017000000001</v>
      </c>
      <c r="P21">
        <v>-1.2983229000000001</v>
      </c>
      <c r="Q21">
        <v>2.3169382999999999</v>
      </c>
      <c r="R21">
        <v>-5.5719313000000001</v>
      </c>
      <c r="S21">
        <f t="shared" si="14"/>
        <v>2.9974568812228699</v>
      </c>
      <c r="T21">
        <f t="shared" si="15"/>
        <v>-27.262547833493386</v>
      </c>
      <c r="U21" s="8"/>
      <c r="V21" s="8"/>
    </row>
    <row r="22" spans="1:22" x14ac:dyDescent="0.35">
      <c r="A22">
        <v>2</v>
      </c>
      <c r="B22" s="9">
        <v>15.2</v>
      </c>
      <c r="C22">
        <v>-2.3498809999999998E-2</v>
      </c>
      <c r="D22">
        <v>-2.3645871999999998E-2</v>
      </c>
      <c r="E22">
        <v>0.97645358999999998</v>
      </c>
      <c r="F22">
        <v>-2.6107799000000001E-2</v>
      </c>
      <c r="G22">
        <f t="shared" si="6"/>
        <v>9.5337978277096695</v>
      </c>
      <c r="H22">
        <f t="shared" si="7"/>
        <v>-10.610828577410899</v>
      </c>
      <c r="I22">
        <f t="shared" si="8"/>
        <v>9.5337755425202904</v>
      </c>
      <c r="J22">
        <f t="shared" si="9"/>
        <v>-10.612059597641499</v>
      </c>
      <c r="K22" s="7">
        <f t="shared" si="10"/>
        <v>2.2285189379189801E-5</v>
      </c>
      <c r="L22" s="7">
        <f t="shared" si="11"/>
        <v>1.2310202306000701E-3</v>
      </c>
      <c r="M22" s="7">
        <f t="shared" si="12"/>
        <v>4.68470205218251E-2</v>
      </c>
      <c r="N22" s="7">
        <f t="shared" si="13"/>
        <v>5.2145487538730197E-2</v>
      </c>
      <c r="O22">
        <v>1.7296758999999999</v>
      </c>
      <c r="P22">
        <v>-1.4445304999999999</v>
      </c>
      <c r="Q22">
        <v>2.6233157</v>
      </c>
      <c r="R22">
        <v>-6.2141888999999999</v>
      </c>
      <c r="S22">
        <f t="shared" si="14"/>
        <v>2.9931628635907308</v>
      </c>
      <c r="T22">
        <f t="shared" si="15"/>
        <v>-27.246210501792355</v>
      </c>
      <c r="U22" s="8"/>
      <c r="V22" s="8"/>
    </row>
    <row r="23" spans="1:22" x14ac:dyDescent="0.35">
      <c r="A23">
        <v>2.25</v>
      </c>
      <c r="B23" s="9">
        <v>15.2</v>
      </c>
      <c r="C23">
        <v>-2.8740488000000002E-2</v>
      </c>
      <c r="D23">
        <v>-3.0311787999999999E-2</v>
      </c>
      <c r="E23">
        <v>0.97126429000000003</v>
      </c>
      <c r="F23">
        <v>-3.2916565000000002E-2</v>
      </c>
      <c r="G23">
        <f t="shared" si="6"/>
        <v>7.3720069395657699</v>
      </c>
      <c r="H23">
        <f t="shared" si="7"/>
        <v>-8.6591798367746105</v>
      </c>
      <c r="I23">
        <f t="shared" si="8"/>
        <v>7.3720110247608099</v>
      </c>
      <c r="J23">
        <f t="shared" si="9"/>
        <v>-8.6604822168426896</v>
      </c>
      <c r="K23" s="7">
        <f t="shared" si="10"/>
        <v>-4.0851950400266901E-6</v>
      </c>
      <c r="L23" s="7">
        <f t="shared" si="11"/>
        <v>1.3023800680791501E-3</v>
      </c>
      <c r="M23" s="7">
        <f t="shared" si="12"/>
        <v>5.6992521052778203E-2</v>
      </c>
      <c r="N23" s="7">
        <f t="shared" si="13"/>
        <v>6.6953605117083204E-2</v>
      </c>
      <c r="O23">
        <v>1.9095658</v>
      </c>
      <c r="P23">
        <v>-1.5773333</v>
      </c>
      <c r="Q23">
        <v>2.9192855999999998</v>
      </c>
      <c r="R23">
        <v>-6.8046192999999997</v>
      </c>
      <c r="S23">
        <f t="shared" si="14"/>
        <v>2.989529105727962</v>
      </c>
      <c r="T23">
        <f t="shared" si="15"/>
        <v>-27.22265235254897</v>
      </c>
      <c r="U23" s="8"/>
      <c r="V23" s="8"/>
    </row>
    <row r="24" spans="1:22" x14ac:dyDescent="0.35">
      <c r="A24">
        <v>2.5</v>
      </c>
      <c r="B24" s="9">
        <v>15.2</v>
      </c>
      <c r="C24">
        <v>-3.4235265000000001E-2</v>
      </c>
      <c r="D24">
        <v>-3.7391263000000001E-2</v>
      </c>
      <c r="E24">
        <v>0.96575381999999999</v>
      </c>
      <c r="F24">
        <v>-4.0293691E-2</v>
      </c>
      <c r="G24">
        <f t="shared" si="6"/>
        <v>5.8854201903693504</v>
      </c>
      <c r="H24">
        <f t="shared" si="7"/>
        <v>-7.2428561127215101</v>
      </c>
      <c r="I24">
        <f t="shared" si="8"/>
        <v>5.8854168388917003</v>
      </c>
      <c r="J24">
        <f t="shared" si="9"/>
        <v>-7.2443073395053004</v>
      </c>
      <c r="K24" s="7">
        <f t="shared" si="10"/>
        <v>3.3514776500709302E-6</v>
      </c>
      <c r="L24" s="7">
        <f t="shared" si="11"/>
        <v>1.45122678379028E-3</v>
      </c>
      <c r="M24" s="7">
        <f t="shared" si="12"/>
        <v>6.7556747386214394E-2</v>
      </c>
      <c r="N24" s="7">
        <f t="shared" si="13"/>
        <v>8.3155000626127101E-2</v>
      </c>
      <c r="O24">
        <v>2.0770868</v>
      </c>
      <c r="P24">
        <v>-1.6986072999999999</v>
      </c>
      <c r="Q24">
        <v>3.2005596999999999</v>
      </c>
      <c r="R24">
        <v>-7.3501485000000004</v>
      </c>
      <c r="S24">
        <f t="shared" si="14"/>
        <v>2.9877580277838058</v>
      </c>
      <c r="T24">
        <f t="shared" si="15"/>
        <v>-27.193958662051436</v>
      </c>
      <c r="U24" s="8"/>
      <c r="V24" s="8"/>
    </row>
    <row r="25" spans="1:22" x14ac:dyDescent="0.35">
      <c r="A25">
        <v>2.75</v>
      </c>
      <c r="B25" s="9">
        <v>15.2</v>
      </c>
      <c r="C25">
        <v>-3.9897470999999997E-2</v>
      </c>
      <c r="D25" s="4">
        <v>-4.4801603000000002E-2</v>
      </c>
      <c r="E25">
        <v>0.96005099000000005</v>
      </c>
      <c r="F25">
        <v>-4.8044595000000002E-2</v>
      </c>
      <c r="G25">
        <f t="shared" si="6"/>
        <v>4.8245738444224502</v>
      </c>
      <c r="H25">
        <f t="shared" si="7"/>
        <v>-6.1906375638509603</v>
      </c>
      <c r="I25">
        <f t="shared" si="8"/>
        <v>4.8245507037040003</v>
      </c>
      <c r="J25">
        <f t="shared" si="9"/>
        <v>-6.1922591391607202</v>
      </c>
      <c r="K25" s="7">
        <f t="shared" si="10"/>
        <v>2.3140718449887699E-5</v>
      </c>
      <c r="L25" s="7">
        <f t="shared" si="11"/>
        <v>1.62157530975993E-3</v>
      </c>
      <c r="M25" s="7">
        <f t="shared" si="12"/>
        <v>7.82947468863293E-2</v>
      </c>
      <c r="N25" s="7">
        <f t="shared" si="13"/>
        <v>0.10049046879804401</v>
      </c>
      <c r="O25">
        <v>2.2327593000000001</v>
      </c>
      <c r="P25">
        <v>-1.8079902000000001</v>
      </c>
      <c r="Q25">
        <v>3.4670060999999999</v>
      </c>
      <c r="R25">
        <v>-7.8483738000000001</v>
      </c>
      <c r="S25">
        <f t="shared" si="14"/>
        <v>2.9864552111248845</v>
      </c>
      <c r="T25">
        <f t="shared" si="15"/>
        <v>-27.167605617001861</v>
      </c>
      <c r="U25" s="8"/>
      <c r="V25" s="8"/>
    </row>
    <row r="26" spans="1:22" x14ac:dyDescent="0.35">
      <c r="A26">
        <v>3</v>
      </c>
      <c r="B26" s="9">
        <v>15.2</v>
      </c>
      <c r="C26">
        <v>-4.5681120999999998E-2</v>
      </c>
      <c r="D26" s="4">
        <v>-5.2454622999999999E-2</v>
      </c>
      <c r="E26">
        <v>0.95440639000000005</v>
      </c>
      <c r="F26">
        <v>-5.6050315000000003E-2</v>
      </c>
      <c r="G26">
        <f t="shared" si="6"/>
        <v>4.0400144927013404</v>
      </c>
      <c r="H26">
        <f t="shared" si="7"/>
        <v>-5.3961758442601804</v>
      </c>
      <c r="I26">
        <f t="shared" si="8"/>
        <v>4.0400614781024302</v>
      </c>
      <c r="J26">
        <f t="shared" si="9"/>
        <v>-5.3979735271291496</v>
      </c>
      <c r="K26" s="7">
        <f t="shared" si="10"/>
        <v>-4.6985401089827399E-5</v>
      </c>
      <c r="L26" s="7">
        <f t="shared" si="11"/>
        <v>1.7976828689692001E-3</v>
      </c>
      <c r="M26" s="7">
        <f t="shared" si="12"/>
        <v>8.88702678344752E-2</v>
      </c>
      <c r="N26" s="7">
        <f t="shared" si="13"/>
        <v>0.118740607220832</v>
      </c>
      <c r="O26">
        <v>2.3759386999999998</v>
      </c>
      <c r="P26">
        <v>-1.9073424999999999</v>
      </c>
      <c r="Q26">
        <v>3.7178108999999999</v>
      </c>
      <c r="R26">
        <v>-8.3040198000000007</v>
      </c>
      <c r="S26">
        <f t="shared" si="14"/>
        <v>2.9861705911266267</v>
      </c>
      <c r="T26">
        <f t="shared" si="15"/>
        <v>-27.12475470952208</v>
      </c>
      <c r="U26" s="8"/>
      <c r="V26" s="8"/>
    </row>
    <row r="27" spans="1:22" x14ac:dyDescent="0.35">
      <c r="A27">
        <v>3.25</v>
      </c>
      <c r="B27" s="9">
        <v>15.2</v>
      </c>
      <c r="C27">
        <v>-5.1516777999999999E-2</v>
      </c>
      <c r="D27" s="4">
        <v>-6.0277750999999997E-2</v>
      </c>
      <c r="E27">
        <v>0.94853704999999999</v>
      </c>
      <c r="F27">
        <v>-6.4239157000000005E-2</v>
      </c>
      <c r="G27">
        <f t="shared" si="6"/>
        <v>3.4441649361314299</v>
      </c>
      <c r="H27">
        <f t="shared" si="7"/>
        <v>-4.7680759271399697</v>
      </c>
      <c r="I27">
        <f t="shared" si="8"/>
        <v>3.4441957722593202</v>
      </c>
      <c r="J27">
        <f t="shared" si="9"/>
        <v>-4.7700565157571901</v>
      </c>
      <c r="K27" s="7">
        <f t="shared" si="10"/>
        <v>-3.0836127890232503E-5</v>
      </c>
      <c r="L27" s="7">
        <f t="shared" si="11"/>
        <v>1.98058861722039E-3</v>
      </c>
      <c r="M27" s="7">
        <f t="shared" si="12"/>
        <v>9.9497439501612703E-2</v>
      </c>
      <c r="N27" s="7">
        <f t="shared" si="13"/>
        <v>0.13779948672444101</v>
      </c>
      <c r="O27">
        <v>2.5087516000000001</v>
      </c>
      <c r="P27">
        <v>-1.9964963</v>
      </c>
      <c r="Q27">
        <v>3.9511873999999998</v>
      </c>
      <c r="R27">
        <v>-8.7158484999999999</v>
      </c>
      <c r="S27">
        <f t="shared" si="14"/>
        <v>2.9847112528322488</v>
      </c>
      <c r="T27">
        <f t="shared" si="15"/>
        <v>-27.100395348112162</v>
      </c>
      <c r="U27" s="8"/>
      <c r="V27" s="8"/>
    </row>
    <row r="28" spans="1:22" x14ac:dyDescent="0.35">
      <c r="A28">
        <v>3.5</v>
      </c>
      <c r="B28" s="9">
        <v>15.2</v>
      </c>
      <c r="C28">
        <v>-5.7382087999999998E-2</v>
      </c>
      <c r="D28">
        <v>-6.8199812999999998E-2</v>
      </c>
      <c r="E28">
        <v>0.94264676999999997</v>
      </c>
      <c r="F28">
        <v>-7.2540258999999996E-2</v>
      </c>
      <c r="G28">
        <f t="shared" si="6"/>
        <v>2.9797748991784401</v>
      </c>
      <c r="H28">
        <f t="shared" si="7"/>
        <v>-4.2673923664248496</v>
      </c>
      <c r="I28">
        <f t="shared" si="8"/>
        <v>2.97979403761205</v>
      </c>
      <c r="J28">
        <f t="shared" si="9"/>
        <v>-4.2695625165770599</v>
      </c>
      <c r="K28" s="7">
        <f t="shared" si="10"/>
        <v>-1.91384336098999E-5</v>
      </c>
      <c r="L28" s="7">
        <f t="shared" si="11"/>
        <v>2.1701501522102301E-3</v>
      </c>
      <c r="M28" s="7">
        <f t="shared" si="12"/>
        <v>0.109921685079007</v>
      </c>
      <c r="N28" s="7">
        <f t="shared" si="13"/>
        <v>0.15749998169283599</v>
      </c>
      <c r="O28">
        <v>2.6311583000000001</v>
      </c>
      <c r="P28">
        <v>-2.0777063</v>
      </c>
      <c r="Q28">
        <v>4.1667217000000001</v>
      </c>
      <c r="R28">
        <v>-9.0897789000000007</v>
      </c>
      <c r="S28">
        <f t="shared" si="14"/>
        <v>2.9825548245304367</v>
      </c>
      <c r="T28">
        <f t="shared" si="15"/>
        <v>-27.076901363126279</v>
      </c>
      <c r="U28" s="8"/>
      <c r="V28" s="8"/>
    </row>
    <row r="29" spans="1:22" x14ac:dyDescent="0.35">
      <c r="A29">
        <v>3.75</v>
      </c>
      <c r="B29" s="9">
        <v>15.2</v>
      </c>
      <c r="C29">
        <v>-6.3230970999999997E-2</v>
      </c>
      <c r="D29">
        <v>-7.6151441E-2</v>
      </c>
      <c r="E29">
        <v>0.93662159</v>
      </c>
      <c r="F29">
        <v>-8.0888091999999995E-2</v>
      </c>
      <c r="G29">
        <f t="shared" si="6"/>
        <v>2.6114909179260701</v>
      </c>
      <c r="H29">
        <f t="shared" si="7"/>
        <v>-3.85810104348253</v>
      </c>
      <c r="I29">
        <f t="shared" si="8"/>
        <v>2.6114228031659601</v>
      </c>
      <c r="J29">
        <f t="shared" si="9"/>
        <v>-3.860469704917</v>
      </c>
      <c r="K29" s="7">
        <f t="shared" si="10"/>
        <v>6.8114760110038502E-5</v>
      </c>
      <c r="L29" s="7">
        <f t="shared" si="11"/>
        <v>2.3686614344700101E-3</v>
      </c>
      <c r="M29" s="7">
        <f t="shared" si="12"/>
        <v>0.120216001844261</v>
      </c>
      <c r="N29" s="7">
        <f t="shared" si="13"/>
        <v>0.17771547089325199</v>
      </c>
      <c r="O29">
        <v>2.7390691</v>
      </c>
      <c r="P29">
        <v>-2.1478421000000001</v>
      </c>
      <c r="Q29">
        <v>4.3620324999999998</v>
      </c>
      <c r="R29">
        <v>-9.4265203</v>
      </c>
      <c r="S29">
        <f t="shared" si="14"/>
        <v>2.9840704422482016</v>
      </c>
      <c r="T29">
        <f t="shared" si="15"/>
        <v>-27.066327094458547</v>
      </c>
      <c r="U29" s="8"/>
      <c r="V29" s="8"/>
    </row>
    <row r="30" spans="1:22" x14ac:dyDescent="0.35">
      <c r="A30">
        <v>4</v>
      </c>
      <c r="B30" s="9">
        <v>15.2</v>
      </c>
      <c r="C30">
        <v>-6.9101599999999999E-2</v>
      </c>
      <c r="D30">
        <v>-8.4088338999999998E-2</v>
      </c>
      <c r="E30">
        <v>0.93074555000000003</v>
      </c>
      <c r="F30">
        <v>-8.9232579000000006E-2</v>
      </c>
      <c r="G30">
        <f t="shared" si="6"/>
        <v>2.3131482171282598</v>
      </c>
      <c r="H30">
        <f t="shared" si="7"/>
        <v>-3.5227474417093698</v>
      </c>
      <c r="I30">
        <f t="shared" si="8"/>
        <v>2.3130784035616099</v>
      </c>
      <c r="J30">
        <f t="shared" si="9"/>
        <v>-3.5253199378812599</v>
      </c>
      <c r="K30" s="7">
        <f t="shared" si="10"/>
        <v>6.9813566649923304E-5</v>
      </c>
      <c r="L30" s="7">
        <f t="shared" si="11"/>
        <v>2.57249617189004E-3</v>
      </c>
      <c r="M30" s="7">
        <f t="shared" si="12"/>
        <v>0.130107479650615</v>
      </c>
      <c r="N30" s="7">
        <f t="shared" si="13"/>
        <v>0.198294399088914</v>
      </c>
      <c r="O30">
        <v>2.8378209000000001</v>
      </c>
      <c r="P30">
        <v>-2.2135419000000001</v>
      </c>
      <c r="Q30">
        <v>4.5380010000000004</v>
      </c>
      <c r="R30">
        <v>-9.7357072000000002</v>
      </c>
      <c r="S30">
        <f t="shared" si="14"/>
        <v>2.9845259649402025</v>
      </c>
      <c r="T30">
        <f t="shared" si="15"/>
        <v>-27.054112300862691</v>
      </c>
      <c r="U30" s="8"/>
      <c r="V30" s="8"/>
    </row>
    <row r="31" spans="1:22" x14ac:dyDescent="0.35">
      <c r="A31">
        <v>4.25</v>
      </c>
      <c r="B31" s="9">
        <v>15.2</v>
      </c>
      <c r="C31">
        <v>-7.4920792E-2</v>
      </c>
      <c r="D31">
        <v>-9.1951854E-2</v>
      </c>
      <c r="E31">
        <v>0.92491201999999995</v>
      </c>
      <c r="F31">
        <v>-9.7500285000000006E-2</v>
      </c>
      <c r="G31">
        <f t="shared" si="6"/>
        <v>2.0689124777632601</v>
      </c>
      <c r="H31">
        <f t="shared" si="7"/>
        <v>-3.24294810117489</v>
      </c>
      <c r="I31">
        <f t="shared" si="8"/>
        <v>2.0688365749175102</v>
      </c>
      <c r="J31">
        <f t="shared" si="9"/>
        <v>-3.2457227591905</v>
      </c>
      <c r="K31" s="7">
        <f t="shared" si="10"/>
        <v>7.5902845749986598E-5</v>
      </c>
      <c r="L31" s="7">
        <f t="shared" si="11"/>
        <v>2.7746580156100499E-3</v>
      </c>
      <c r="M31" s="7">
        <f t="shared" si="12"/>
        <v>0.13964659899681101</v>
      </c>
      <c r="N31" s="7">
        <f t="shared" si="13"/>
        <v>0.21908649049554299</v>
      </c>
      <c r="O31">
        <v>2.9265321000000002</v>
      </c>
      <c r="P31">
        <v>-2.2731444000000001</v>
      </c>
      <c r="Q31">
        <v>4.6953662999999999</v>
      </c>
      <c r="R31">
        <v>-10.01641</v>
      </c>
      <c r="S31">
        <f t="shared" si="14"/>
        <v>2.9852649811338243</v>
      </c>
      <c r="T31">
        <f t="shared" si="15"/>
        <v>-27.046555756076511</v>
      </c>
      <c r="U31" s="8"/>
      <c r="V31" s="8"/>
    </row>
    <row r="32" spans="1:22" x14ac:dyDescent="0.35">
      <c r="A32">
        <v>4.5</v>
      </c>
      <c r="B32" s="9">
        <v>15.2</v>
      </c>
      <c r="C32">
        <v>-8.0662318999999996E-2</v>
      </c>
      <c r="D32">
        <v>-9.969488E-2</v>
      </c>
      <c r="E32">
        <v>0.91916735999999999</v>
      </c>
      <c r="F32">
        <v>-0.10556272</v>
      </c>
      <c r="G32">
        <f t="shared" si="6"/>
        <v>1.86760713033437</v>
      </c>
      <c r="H32">
        <f t="shared" si="7"/>
        <v>-3.0076762663891801</v>
      </c>
      <c r="I32">
        <f t="shared" si="8"/>
        <v>1.8675305725933999</v>
      </c>
      <c r="J32">
        <f t="shared" si="9"/>
        <v>-3.0106106608979699</v>
      </c>
      <c r="K32" s="7">
        <f t="shared" si="10"/>
        <v>7.65577409700402E-5</v>
      </c>
      <c r="L32" s="7">
        <f t="shared" si="11"/>
        <v>2.93439450878985E-3</v>
      </c>
      <c r="M32" s="7">
        <f t="shared" si="12"/>
        <v>0.148790061729144</v>
      </c>
      <c r="N32" s="7">
        <f t="shared" si="13"/>
        <v>0.23986164009908001</v>
      </c>
      <c r="O32">
        <v>3.0053934999999998</v>
      </c>
      <c r="P32">
        <v>-2.3259376999999999</v>
      </c>
      <c r="Q32">
        <v>4.8333116</v>
      </c>
      <c r="R32">
        <v>-10.267654</v>
      </c>
      <c r="S32">
        <f t="shared" si="14"/>
        <v>2.9861688316599295</v>
      </c>
      <c r="T32">
        <f t="shared" si="15"/>
        <v>-27.055093798065847</v>
      </c>
      <c r="U32" s="8"/>
      <c r="V32" s="8"/>
    </row>
    <row r="33" spans="1:22" x14ac:dyDescent="0.35">
      <c r="A33">
        <v>4.75</v>
      </c>
      <c r="B33" s="9">
        <v>15.2</v>
      </c>
      <c r="C33">
        <v>-8.6677091999999997E-2</v>
      </c>
      <c r="D33">
        <v>-0.10737742</v>
      </c>
      <c r="E33">
        <v>0.91315318999999995</v>
      </c>
      <c r="F33">
        <v>-0.11363763</v>
      </c>
      <c r="G33">
        <f t="shared" si="6"/>
        <v>1.6977055249308599</v>
      </c>
      <c r="H33">
        <f t="shared" si="7"/>
        <v>-2.7975747320445898</v>
      </c>
      <c r="I33">
        <f t="shared" si="8"/>
        <v>1.6976304586851301</v>
      </c>
      <c r="J33">
        <f t="shared" si="9"/>
        <v>-2.8007053376698798</v>
      </c>
      <c r="K33" s="7">
        <f t="shared" si="10"/>
        <v>7.5066245729837902E-5</v>
      </c>
      <c r="L33" s="7">
        <f t="shared" si="11"/>
        <v>3.1306056252899902E-3</v>
      </c>
      <c r="M33" s="7">
        <f t="shared" si="12"/>
        <v>0.158273946978534</v>
      </c>
      <c r="N33" s="7">
        <f t="shared" si="13"/>
        <v>0.26111612562618097</v>
      </c>
      <c r="O33">
        <v>3.0698987999999998</v>
      </c>
      <c r="P33">
        <v>-2.3778337000000001</v>
      </c>
      <c r="Q33">
        <v>4.9422753000000004</v>
      </c>
      <c r="R33">
        <v>-10.522983</v>
      </c>
      <c r="S33">
        <f t="shared" si="14"/>
        <v>2.9939577931120893</v>
      </c>
      <c r="T33">
        <f t="shared" si="15"/>
        <v>-27.082124426405546</v>
      </c>
      <c r="U33" s="8"/>
      <c r="V33" s="8"/>
    </row>
    <row r="34" spans="1:22" x14ac:dyDescent="0.35">
      <c r="A34">
        <v>5</v>
      </c>
      <c r="B34" s="9">
        <v>15.2</v>
      </c>
      <c r="C34">
        <v>-9.1706345999999994E-2</v>
      </c>
      <c r="D34">
        <v>-0.11467557</v>
      </c>
      <c r="E34">
        <v>0.90820610999999996</v>
      </c>
      <c r="F34">
        <v>-0.12133182000000001</v>
      </c>
      <c r="G34">
        <f t="shared" si="6"/>
        <v>1.55323878726048</v>
      </c>
      <c r="H34">
        <f t="shared" si="7"/>
        <v>-2.6390717543652702</v>
      </c>
      <c r="I34">
        <f t="shared" si="8"/>
        <v>1.55320609109235</v>
      </c>
      <c r="J34">
        <f t="shared" si="9"/>
        <v>-2.64240013387204</v>
      </c>
      <c r="K34" s="7">
        <f t="shared" si="10"/>
        <v>3.2696168130064199E-5</v>
      </c>
      <c r="L34" s="7">
        <f t="shared" si="11"/>
        <v>3.32837950676979E-3</v>
      </c>
      <c r="M34" s="7">
        <f t="shared" si="12"/>
        <v>0.16532742112879301</v>
      </c>
      <c r="N34" s="7">
        <f t="shared" si="13"/>
        <v>0.28126415562547802</v>
      </c>
      <c r="O34">
        <v>3.1311806999999998</v>
      </c>
      <c r="P34">
        <v>-2.4089174</v>
      </c>
      <c r="Q34">
        <v>5.0440633999999998</v>
      </c>
      <c r="R34">
        <v>-10.677985</v>
      </c>
      <c r="S34">
        <f t="shared" si="14"/>
        <v>2.9892737699324021</v>
      </c>
      <c r="T34">
        <f t="shared" si="15"/>
        <v>-27.142665845393651</v>
      </c>
      <c r="U34" s="8"/>
      <c r="V34" s="8"/>
    </row>
    <row r="35" spans="1:22" x14ac:dyDescent="0.35">
      <c r="A35">
        <v>1</v>
      </c>
      <c r="B35" s="9">
        <v>15.4</v>
      </c>
      <c r="C35">
        <v>-8.7648045000000008E-3</v>
      </c>
      <c r="D35">
        <v>-3.0663740999999998E-3</v>
      </c>
      <c r="E35">
        <v>0.99117211999999999</v>
      </c>
      <c r="F35">
        <v>-4.8489173E-3</v>
      </c>
      <c r="G35">
        <f t="shared" si="6"/>
        <v>46.772559155784002</v>
      </c>
      <c r="H35">
        <f t="shared" si="7"/>
        <v>-21.268392487138001</v>
      </c>
      <c r="I35">
        <f t="shared" si="8"/>
        <v>46.772528411478902</v>
      </c>
      <c r="J35">
        <f t="shared" si="9"/>
        <v>-21.269283814249899</v>
      </c>
      <c r="K35" s="7">
        <f t="shared" si="10"/>
        <v>3.07443050999723E-5</v>
      </c>
      <c r="L35" s="7">
        <f t="shared" si="11"/>
        <v>8.9132711189776604E-4</v>
      </c>
      <c r="M35" s="7">
        <f t="shared" si="12"/>
        <v>1.7716518881012701E-2</v>
      </c>
      <c r="N35" s="7">
        <f t="shared" si="13"/>
        <v>8.0563886768263496E-3</v>
      </c>
      <c r="O35">
        <v>0.90701403999999997</v>
      </c>
      <c r="P35">
        <v>-1.0261304</v>
      </c>
      <c r="Q35">
        <v>0.95877497</v>
      </c>
      <c r="R35">
        <v>-4.0481303000000004</v>
      </c>
      <c r="S35">
        <f t="shared" si="14"/>
        <v>3.0376223488154825</v>
      </c>
      <c r="T35">
        <f t="shared" si="15"/>
        <v>-28.149381921488992</v>
      </c>
      <c r="U35" s="8"/>
      <c r="V35" s="8"/>
    </row>
    <row r="36" spans="1:22" x14ac:dyDescent="0.35">
      <c r="A36">
        <v>1.5</v>
      </c>
      <c r="B36" s="9">
        <v>15.4</v>
      </c>
      <c r="C36">
        <v>-1.8702811999999999E-2</v>
      </c>
      <c r="D36">
        <v>-1.2266002999999999E-2</v>
      </c>
      <c r="E36">
        <v>0.98128833999999998</v>
      </c>
      <c r="F36">
        <v>-1.4141879E-2</v>
      </c>
      <c r="G36">
        <f t="shared" si="6"/>
        <v>17.340042773924299</v>
      </c>
      <c r="H36">
        <f t="shared" si="7"/>
        <v>-12.5913884681559</v>
      </c>
      <c r="I36">
        <f t="shared" si="8"/>
        <v>17.340039229643299</v>
      </c>
      <c r="J36">
        <f t="shared" si="9"/>
        <v>-12.592326413629801</v>
      </c>
      <c r="K36" s="7">
        <f t="shared" si="10"/>
        <v>3.54428100024506E-6</v>
      </c>
      <c r="L36" s="7">
        <f t="shared" si="11"/>
        <v>9.3794547390047001E-4</v>
      </c>
      <c r="M36" s="7">
        <f t="shared" si="12"/>
        <v>3.7757820753096902E-2</v>
      </c>
      <c r="N36" s="7">
        <f t="shared" si="13"/>
        <v>2.74197074927898E-2</v>
      </c>
      <c r="O36">
        <v>1.3566636000000001</v>
      </c>
      <c r="P36">
        <v>-1.5190893999999999</v>
      </c>
      <c r="Q36">
        <v>1.5219628000000001</v>
      </c>
      <c r="R36">
        <v>-5.8766220000000002</v>
      </c>
      <c r="S36">
        <f t="shared" si="14"/>
        <v>2.9805524411812736</v>
      </c>
      <c r="T36">
        <f t="shared" si="15"/>
        <v>-27.247520495725869</v>
      </c>
      <c r="U36" s="8"/>
      <c r="V36" s="8"/>
    </row>
    <row r="37" spans="1:22" x14ac:dyDescent="0.35">
      <c r="A37">
        <v>1.75</v>
      </c>
      <c r="B37" s="9">
        <v>15.4</v>
      </c>
      <c r="C37">
        <v>-2.4664116999999999E-2</v>
      </c>
      <c r="D37">
        <v>-1.792761E-2</v>
      </c>
      <c r="E37">
        <v>0.97516133999999999</v>
      </c>
      <c r="F37">
        <v>-2.0052832E-2</v>
      </c>
      <c r="G37">
        <f t="shared" si="6"/>
        <v>12.2157590502273</v>
      </c>
      <c r="H37">
        <f t="shared" si="7"/>
        <v>-9.75545689956747</v>
      </c>
      <c r="I37">
        <f t="shared" si="8"/>
        <v>12.215672900546901</v>
      </c>
      <c r="J37">
        <f t="shared" si="9"/>
        <v>-9.7565196948627992</v>
      </c>
      <c r="K37" s="7">
        <f t="shared" si="10"/>
        <v>8.6149680399216804E-5</v>
      </c>
      <c r="L37" s="7">
        <f t="shared" si="11"/>
        <v>1.06279529532927E-3</v>
      </c>
      <c r="M37" s="7">
        <f t="shared" si="12"/>
        <v>4.9979771283628398E-2</v>
      </c>
      <c r="N37" s="7">
        <f t="shared" si="13"/>
        <v>3.99182776784755E-2</v>
      </c>
      <c r="O37">
        <v>1.5601219</v>
      </c>
      <c r="P37">
        <v>-1.7221572000000001</v>
      </c>
      <c r="Q37">
        <v>1.7926412</v>
      </c>
      <c r="R37">
        <v>-6.6971175000000001</v>
      </c>
      <c r="S37">
        <f t="shared" si="14"/>
        <v>2.9834939192629464</v>
      </c>
      <c r="T37">
        <f t="shared" si="15"/>
        <v>-27.188526977550204</v>
      </c>
      <c r="U37" s="8"/>
      <c r="V37" s="8"/>
    </row>
    <row r="38" spans="1:22" x14ac:dyDescent="0.35">
      <c r="A38">
        <v>2</v>
      </c>
      <c r="B38" s="9">
        <v>15.4</v>
      </c>
      <c r="C38">
        <v>-3.1163916999999999E-2</v>
      </c>
      <c r="D38">
        <v>-2.4230187E-2</v>
      </c>
      <c r="E38">
        <v>0.96861341999999995</v>
      </c>
      <c r="F38">
        <v>-2.6609152E-2</v>
      </c>
      <c r="G38">
        <f t="shared" si="6"/>
        <v>9.1273509522828196</v>
      </c>
      <c r="H38">
        <f t="shared" si="7"/>
        <v>-7.8242088914916801</v>
      </c>
      <c r="I38">
        <f t="shared" si="8"/>
        <v>9.12724102372602</v>
      </c>
      <c r="J38">
        <f t="shared" si="9"/>
        <v>-7.8253986372059501</v>
      </c>
      <c r="K38" s="7">
        <f t="shared" si="10"/>
        <v>1.09928556799588E-4</v>
      </c>
      <c r="L38" s="7">
        <f t="shared" si="11"/>
        <v>1.18974571427E-3</v>
      </c>
      <c r="M38" s="7">
        <f t="shared" si="12"/>
        <v>6.3145335553330906E-2</v>
      </c>
      <c r="N38" s="7">
        <f t="shared" si="13"/>
        <v>5.41387503080559E-2</v>
      </c>
      <c r="O38">
        <v>1.7554995</v>
      </c>
      <c r="P38">
        <v>-1.9113329999999999</v>
      </c>
      <c r="Q38">
        <v>2.0572199000000002</v>
      </c>
      <c r="R38">
        <v>-7.4608363000000004</v>
      </c>
      <c r="S38">
        <f t="shared" si="14"/>
        <v>2.9821661976809914</v>
      </c>
      <c r="T38">
        <f t="shared" si="15"/>
        <v>-27.151061510673259</v>
      </c>
      <c r="U38" s="8"/>
      <c r="V38" s="8"/>
    </row>
    <row r="39" spans="1:22" x14ac:dyDescent="0.35">
      <c r="A39">
        <v>2.25</v>
      </c>
      <c r="B39" s="9">
        <v>15.4</v>
      </c>
      <c r="C39">
        <v>-3.8057059999999997E-2</v>
      </c>
      <c r="D39">
        <v>-3.1093215E-2</v>
      </c>
      <c r="E39">
        <v>0.96166708999999995</v>
      </c>
      <c r="F39">
        <v>-3.3749066000000001E-2</v>
      </c>
      <c r="G39">
        <f t="shared" si="6"/>
        <v>7.1086695474294999</v>
      </c>
      <c r="H39">
        <f t="shared" si="7"/>
        <v>-6.4577632341440498</v>
      </c>
      <c r="I39">
        <f t="shared" si="8"/>
        <v>7.1085333675164399</v>
      </c>
      <c r="J39">
        <f t="shared" si="9"/>
        <v>-6.45909152368516</v>
      </c>
      <c r="K39" s="7">
        <f t="shared" si="10"/>
        <v>1.3617991305991901E-4</v>
      </c>
      <c r="L39" s="7">
        <f t="shared" si="11"/>
        <v>1.3282895411101899E-3</v>
      </c>
      <c r="M39" s="7">
        <f t="shared" si="12"/>
        <v>7.7056345137633195E-2</v>
      </c>
      <c r="N39" s="7">
        <f t="shared" si="13"/>
        <v>7.0016409854531697E-2</v>
      </c>
      <c r="O39">
        <v>1.9405874000000001</v>
      </c>
      <c r="P39">
        <v>-2.0811929999999998</v>
      </c>
      <c r="Q39">
        <v>2.3206525</v>
      </c>
      <c r="R39">
        <v>-8.1635603999999997</v>
      </c>
      <c r="S39">
        <f t="shared" si="14"/>
        <v>2.9825348527877842</v>
      </c>
      <c r="T39">
        <f t="shared" si="15"/>
        <v>-27.128853458433227</v>
      </c>
      <c r="U39" s="8"/>
      <c r="V39" s="8"/>
    </row>
    <row r="40" spans="1:22" x14ac:dyDescent="0.35">
      <c r="A40">
        <v>2.5</v>
      </c>
      <c r="B40" s="9">
        <v>15.4</v>
      </c>
      <c r="C40">
        <v>-4.5152233E-2</v>
      </c>
      <c r="D40">
        <v>-3.8425521999999997E-2</v>
      </c>
      <c r="E40">
        <v>0.95476742000000003</v>
      </c>
      <c r="F40">
        <v>-4.1368246999999997E-2</v>
      </c>
      <c r="G40">
        <f t="shared" si="6"/>
        <v>5.7178198346173197</v>
      </c>
      <c r="H40">
        <f t="shared" si="7"/>
        <v>-5.4884802768504102</v>
      </c>
      <c r="I40">
        <f t="shared" si="8"/>
        <v>5.7177818246671999</v>
      </c>
      <c r="J40">
        <f t="shared" si="9"/>
        <v>-5.48995175439123</v>
      </c>
      <c r="K40" s="7">
        <f t="shared" si="10"/>
        <v>3.8009950119821701E-5</v>
      </c>
      <c r="L40" s="7">
        <f t="shared" si="11"/>
        <v>1.4714775408197799E-3</v>
      </c>
      <c r="M40" s="7">
        <f t="shared" si="12"/>
        <v>9.1000243376908305E-2</v>
      </c>
      <c r="N40" s="7">
        <f t="shared" si="13"/>
        <v>8.7374258252003997E-2</v>
      </c>
      <c r="O40">
        <v>2.1136064999999999</v>
      </c>
      <c r="P40">
        <v>-2.2277559999999998</v>
      </c>
      <c r="Q40">
        <v>2.5864091999999999</v>
      </c>
      <c r="R40">
        <v>-8.7950844999999997</v>
      </c>
      <c r="S40">
        <f t="shared" si="14"/>
        <v>2.9853118865054653</v>
      </c>
      <c r="T40">
        <f t="shared" si="15"/>
        <v>-27.106582233605483</v>
      </c>
      <c r="U40" s="8"/>
      <c r="V40" s="8"/>
    </row>
    <row r="41" spans="1:22" x14ac:dyDescent="0.35">
      <c r="A41">
        <v>2.75</v>
      </c>
      <c r="B41" s="9">
        <v>15.4</v>
      </c>
      <c r="C41">
        <v>-5.2399464999999999E-2</v>
      </c>
      <c r="D41">
        <v>-4.6125621999999998E-2</v>
      </c>
      <c r="E41">
        <v>0.94753832000000004</v>
      </c>
      <c r="F41">
        <v>-4.9349899000000003E-2</v>
      </c>
      <c r="G41">
        <f t="shared" si="6"/>
        <v>4.7140204073083796</v>
      </c>
      <c r="H41">
        <f t="shared" si="7"/>
        <v>-4.7465190613861399</v>
      </c>
      <c r="I41">
        <f t="shared" si="8"/>
        <v>4.7139918980670297</v>
      </c>
      <c r="J41">
        <f t="shared" si="9"/>
        <v>-4.7481312959995803</v>
      </c>
      <c r="K41" s="7">
        <f t="shared" si="10"/>
        <v>2.85092413498944E-5</v>
      </c>
      <c r="L41" s="7">
        <f t="shared" si="11"/>
        <v>1.6122346134404E-3</v>
      </c>
      <c r="M41" s="7">
        <f t="shared" si="12"/>
        <v>0.105301844303021</v>
      </c>
      <c r="N41" s="7">
        <f t="shared" si="13"/>
        <v>0.106064455194899</v>
      </c>
      <c r="O41">
        <v>2.2756775</v>
      </c>
      <c r="P41">
        <v>-2.3588491999999999</v>
      </c>
      <c r="Q41">
        <v>2.8441239</v>
      </c>
      <c r="R41">
        <v>-9.3663074999999996</v>
      </c>
      <c r="S41">
        <f t="shared" si="14"/>
        <v>2.9864855603584712</v>
      </c>
      <c r="T41">
        <f t="shared" si="15"/>
        <v>-27.080711388610478</v>
      </c>
      <c r="U41" s="8"/>
      <c r="V41" s="8"/>
    </row>
    <row r="42" spans="1:22" x14ac:dyDescent="0.35">
      <c r="A42">
        <v>3</v>
      </c>
      <c r="B42" s="9">
        <v>15.4</v>
      </c>
      <c r="C42">
        <v>-5.9705873E-2</v>
      </c>
      <c r="D42">
        <v>-5.4104577000000001E-2</v>
      </c>
      <c r="E42">
        <v>0.94023111999999998</v>
      </c>
      <c r="F42">
        <v>-5.7682351E-2</v>
      </c>
      <c r="G42">
        <f t="shared" si="6"/>
        <v>3.9629342250223498</v>
      </c>
      <c r="H42">
        <f t="shared" si="7"/>
        <v>-4.1748506905082996</v>
      </c>
      <c r="I42">
        <f t="shared" si="8"/>
        <v>3.96290592093878</v>
      </c>
      <c r="J42">
        <f t="shared" si="9"/>
        <v>-4.1766396845006897</v>
      </c>
      <c r="K42" s="7">
        <f t="shared" si="10"/>
        <v>2.8304083569796701E-5</v>
      </c>
      <c r="L42" s="7">
        <f t="shared" si="11"/>
        <v>1.7889939923900801E-3</v>
      </c>
      <c r="M42" s="7">
        <f t="shared" si="12"/>
        <v>0.119548487370518</v>
      </c>
      <c r="N42" s="7">
        <f t="shared" si="13"/>
        <v>0.12599616708928801</v>
      </c>
      <c r="O42">
        <v>2.4265257</v>
      </c>
      <c r="P42">
        <v>-2.4744041000000001</v>
      </c>
      <c r="Q42">
        <v>3.0931886</v>
      </c>
      <c r="R42">
        <v>-9.8788894999999997</v>
      </c>
      <c r="S42">
        <f t="shared" si="14"/>
        <v>2.986982646529742</v>
      </c>
      <c r="T42">
        <f t="shared" si="15"/>
        <v>-27.05437082462625</v>
      </c>
      <c r="U42" s="8"/>
      <c r="V42" s="8"/>
    </row>
    <row r="43" spans="1:22" x14ac:dyDescent="0.35">
      <c r="A43">
        <v>3.25</v>
      </c>
      <c r="B43" s="9">
        <v>15.4</v>
      </c>
      <c r="C43">
        <v>-6.7014592999999997E-2</v>
      </c>
      <c r="D43">
        <v>-6.2272659000000001E-2</v>
      </c>
      <c r="E43">
        <v>0.93292070000000005</v>
      </c>
      <c r="F43">
        <v>-6.6225844000000006E-2</v>
      </c>
      <c r="G43">
        <f t="shared" si="6"/>
        <v>3.3875782961699099</v>
      </c>
      <c r="H43">
        <f t="shared" si="7"/>
        <v>-3.7243577609324001</v>
      </c>
      <c r="I43">
        <f t="shared" si="8"/>
        <v>3.387549848905</v>
      </c>
      <c r="J43">
        <f t="shared" si="9"/>
        <v>-3.7263344736146302</v>
      </c>
      <c r="K43" s="7">
        <f t="shared" si="10"/>
        <v>2.8447264909914301E-5</v>
      </c>
      <c r="L43" s="7">
        <f t="shared" si="11"/>
        <v>1.9767126822300999E-3</v>
      </c>
      <c r="M43" s="7">
        <f t="shared" si="12"/>
        <v>0.13357286734898799</v>
      </c>
      <c r="N43" s="7">
        <f t="shared" si="13"/>
        <v>0.14693132279750101</v>
      </c>
      <c r="O43">
        <v>2.5662079000000002</v>
      </c>
      <c r="P43">
        <v>-2.5765383000000002</v>
      </c>
      <c r="Q43">
        <v>3.3299354999999999</v>
      </c>
      <c r="R43">
        <v>-10.337267000000001</v>
      </c>
      <c r="S43">
        <f t="shared" si="14"/>
        <v>2.9865068087046778</v>
      </c>
      <c r="T43">
        <f t="shared" si="15"/>
        <v>-27.029643038158056</v>
      </c>
      <c r="U43" s="8"/>
      <c r="V43" s="8"/>
    </row>
    <row r="44" spans="1:22" x14ac:dyDescent="0.35">
      <c r="A44">
        <v>3.5</v>
      </c>
      <c r="B44" s="9">
        <v>15.4</v>
      </c>
      <c r="C44">
        <v>-7.4289689000000006E-2</v>
      </c>
      <c r="D44">
        <v>-7.0548325999999995E-2</v>
      </c>
      <c r="E44">
        <v>0.92564265000000001</v>
      </c>
      <c r="F44">
        <v>-7.4893414000000005E-2</v>
      </c>
      <c r="G44">
        <f t="shared" si="6"/>
        <v>2.9370005544531801</v>
      </c>
      <c r="H44">
        <f t="shared" si="7"/>
        <v>-3.3617873999222598</v>
      </c>
      <c r="I44">
        <f t="shared" si="8"/>
        <v>2.93697144321286</v>
      </c>
      <c r="J44">
        <f t="shared" si="9"/>
        <v>-3.3639600806705898</v>
      </c>
      <c r="K44" s="7">
        <f t="shared" si="10"/>
        <v>2.91112403201232E-5</v>
      </c>
      <c r="L44" s="7">
        <f t="shared" si="11"/>
        <v>2.1726807483299902E-3</v>
      </c>
      <c r="M44" s="7">
        <f t="shared" si="12"/>
        <v>0.14727545978190601</v>
      </c>
      <c r="N44" s="7">
        <f t="shared" si="13"/>
        <v>0.16868695428198399</v>
      </c>
      <c r="O44">
        <v>2.6948577999999999</v>
      </c>
      <c r="P44">
        <v>-2.6672028000000001</v>
      </c>
      <c r="Q44">
        <v>3.5515878999999999</v>
      </c>
      <c r="R44">
        <v>-10.747151000000001</v>
      </c>
      <c r="S44">
        <f t="shared" si="14"/>
        <v>2.9852282804818153</v>
      </c>
      <c r="T44">
        <f t="shared" si="15"/>
        <v>-27.008442203459545</v>
      </c>
      <c r="U44" s="8"/>
      <c r="V44" s="8"/>
    </row>
    <row r="45" spans="1:22" x14ac:dyDescent="0.35">
      <c r="A45">
        <v>3.75</v>
      </c>
      <c r="B45" s="9">
        <v>15.4</v>
      </c>
      <c r="C45">
        <v>-8.1516156000000006E-2</v>
      </c>
      <c r="D45">
        <v>-7.8860604000000001E-2</v>
      </c>
      <c r="E45">
        <v>0.91841132000000003</v>
      </c>
      <c r="F45">
        <v>-8.3611388999999994E-2</v>
      </c>
      <c r="G45">
        <f t="shared" si="6"/>
        <v>2.5774455341353399</v>
      </c>
      <c r="H45">
        <f t="shared" si="7"/>
        <v>-3.0643020900681699</v>
      </c>
      <c r="I45">
        <f t="shared" si="8"/>
        <v>2.5774149138919098</v>
      </c>
      <c r="J45">
        <f t="shared" si="9"/>
        <v>-3.0666776414455099</v>
      </c>
      <c r="K45" s="7">
        <f t="shared" si="10"/>
        <v>3.0620243430146098E-5</v>
      </c>
      <c r="L45" s="7">
        <f t="shared" si="11"/>
        <v>2.37555137734002E-3</v>
      </c>
      <c r="M45" s="7">
        <f t="shared" si="12"/>
        <v>0.16061082176118999</v>
      </c>
      <c r="N45" s="7">
        <f t="shared" si="13"/>
        <v>0.19109907893156899</v>
      </c>
      <c r="O45">
        <v>2.8126305999999999</v>
      </c>
      <c r="P45">
        <v>-2.7486245</v>
      </c>
      <c r="Q45">
        <v>3.7559398000000002</v>
      </c>
      <c r="R45">
        <v>-11.115366</v>
      </c>
      <c r="S45">
        <f t="shared" si="14"/>
        <v>2.983423102565292</v>
      </c>
      <c r="T45">
        <f t="shared" si="15"/>
        <v>-26.989027055225712</v>
      </c>
      <c r="U45" s="8"/>
      <c r="V45" s="8"/>
    </row>
    <row r="46" spans="1:22" x14ac:dyDescent="0.35">
      <c r="A46">
        <v>4</v>
      </c>
      <c r="B46" s="9">
        <v>15.4</v>
      </c>
      <c r="C46">
        <v>-8.8700052000000001E-2</v>
      </c>
      <c r="D46">
        <v>-8.7143874999999996E-2</v>
      </c>
      <c r="E46">
        <v>0.91113770000000005</v>
      </c>
      <c r="F46">
        <v>-9.2368256999999995E-2</v>
      </c>
      <c r="G46">
        <f t="shared" si="6"/>
        <v>2.28519812779418</v>
      </c>
      <c r="H46">
        <f t="shared" si="7"/>
        <v>-2.81443802435136</v>
      </c>
      <c r="I46">
        <f t="shared" si="8"/>
        <v>2.2851238223687198</v>
      </c>
      <c r="J46">
        <f t="shared" si="9"/>
        <v>-2.8170506213956501</v>
      </c>
      <c r="K46" s="7">
        <f t="shared" si="10"/>
        <v>7.4305425460163805E-5</v>
      </c>
      <c r="L46" s="7">
        <f t="shared" si="11"/>
        <v>2.6125970442900698E-3</v>
      </c>
      <c r="M46" s="7">
        <f t="shared" si="12"/>
        <v>0.17367376161533099</v>
      </c>
      <c r="N46" s="7">
        <f t="shared" si="13"/>
        <v>0.214101211185765</v>
      </c>
      <c r="O46">
        <v>2.9207044</v>
      </c>
      <c r="P46">
        <v>-2.8231839999999999</v>
      </c>
      <c r="Q46">
        <v>3.9405475000000001</v>
      </c>
      <c r="R46">
        <v>-11.449633</v>
      </c>
      <c r="S46">
        <f t="shared" si="14"/>
        <v>2.9808903738035535</v>
      </c>
      <c r="T46">
        <f t="shared" si="15"/>
        <v>-26.981079904571153</v>
      </c>
      <c r="U46" s="8"/>
      <c r="V46" s="8"/>
    </row>
    <row r="47" spans="1:22" x14ac:dyDescent="0.35">
      <c r="A47">
        <v>4.25</v>
      </c>
      <c r="B47" s="9">
        <v>15.4</v>
      </c>
      <c r="C47">
        <v>-9.5859148000000005E-2</v>
      </c>
      <c r="D47">
        <v>-9.534318E-2</v>
      </c>
      <c r="E47">
        <v>0.90399772</v>
      </c>
      <c r="F47">
        <v>-0.10105569</v>
      </c>
      <c r="G47">
        <f t="shared" si="6"/>
        <v>2.0451758914268798</v>
      </c>
      <c r="H47">
        <f t="shared" si="7"/>
        <v>-2.6039074540342502</v>
      </c>
      <c r="I47">
        <f t="shared" si="8"/>
        <v>2.0451124801826701</v>
      </c>
      <c r="J47">
        <f t="shared" si="9"/>
        <v>-2.60676409459127</v>
      </c>
      <c r="K47" s="7">
        <f t="shared" si="10"/>
        <v>6.3411244209721205E-5</v>
      </c>
      <c r="L47" s="7">
        <f t="shared" si="11"/>
        <v>2.8566405570198401E-3</v>
      </c>
      <c r="M47" s="7">
        <f t="shared" si="12"/>
        <v>0.18629692158606201</v>
      </c>
      <c r="N47" s="7">
        <f t="shared" si="13"/>
        <v>0.23745986141557199</v>
      </c>
      <c r="O47">
        <v>3.0187908999999999</v>
      </c>
      <c r="P47">
        <v>-2.8929450999999999</v>
      </c>
      <c r="Q47">
        <v>4.1042966999999999</v>
      </c>
      <c r="R47">
        <v>-11.754784000000001</v>
      </c>
      <c r="S47">
        <f t="shared" si="14"/>
        <v>2.9778014091453198</v>
      </c>
      <c r="T47">
        <f t="shared" si="15"/>
        <v>-26.972354135634841</v>
      </c>
      <c r="U47" s="8"/>
      <c r="V47" s="8"/>
    </row>
    <row r="48" spans="1:22" x14ac:dyDescent="0.35">
      <c r="A48">
        <v>4.5</v>
      </c>
      <c r="B48" s="9">
        <v>15.4</v>
      </c>
      <c r="C48">
        <v>-0.10314784</v>
      </c>
      <c r="D48">
        <v>-0.10343989000000001</v>
      </c>
      <c r="E48">
        <v>0.89667390000000002</v>
      </c>
      <c r="F48">
        <v>-0.10955532</v>
      </c>
      <c r="G48">
        <f t="shared" si="6"/>
        <v>1.84637606299649</v>
      </c>
      <c r="H48">
        <f t="shared" si="7"/>
        <v>-2.4189137026709702</v>
      </c>
      <c r="I48">
        <f t="shared" si="8"/>
        <v>1.8462962770856199</v>
      </c>
      <c r="J48">
        <f t="shared" si="9"/>
        <v>-2.4219719342137198</v>
      </c>
      <c r="K48" s="7">
        <f t="shared" si="10"/>
        <v>7.9785910870100506E-5</v>
      </c>
      <c r="L48" s="7">
        <f t="shared" si="11"/>
        <v>3.0582315427496501E-3</v>
      </c>
      <c r="M48" s="7">
        <f t="shared" si="12"/>
        <v>0.19906678734897101</v>
      </c>
      <c r="N48" s="7">
        <f t="shared" si="13"/>
        <v>0.26113586317486698</v>
      </c>
      <c r="O48">
        <v>3.1165411000000001</v>
      </c>
      <c r="P48">
        <v>-2.9723047</v>
      </c>
      <c r="Q48">
        <v>4.2413220000000003</v>
      </c>
      <c r="R48">
        <v>-12.049604</v>
      </c>
      <c r="S48">
        <f t="shared" si="14"/>
        <v>2.9661562314058876</v>
      </c>
      <c r="T48">
        <f t="shared" si="15"/>
        <v>-26.965522498964013</v>
      </c>
      <c r="U48" s="8"/>
      <c r="V48" s="8"/>
    </row>
    <row r="49" spans="1:22" x14ac:dyDescent="0.35">
      <c r="A49">
        <v>4.75</v>
      </c>
      <c r="B49" s="9">
        <v>15.4</v>
      </c>
      <c r="C49">
        <v>-0.10982417999999999</v>
      </c>
      <c r="D49">
        <v>-0.11132908</v>
      </c>
      <c r="E49">
        <v>0.88999412</v>
      </c>
      <c r="F49">
        <v>-0.11788182</v>
      </c>
      <c r="G49">
        <f t="shared" si="6"/>
        <v>1.67953398263269</v>
      </c>
      <c r="H49">
        <f t="shared" si="7"/>
        <v>-2.2708613170177299</v>
      </c>
      <c r="I49">
        <f t="shared" si="8"/>
        <v>1.67945386178956</v>
      </c>
      <c r="J49">
        <f t="shared" si="9"/>
        <v>-2.2741382472323801</v>
      </c>
      <c r="K49" s="7">
        <f t="shared" si="10"/>
        <v>8.0120843130027097E-5</v>
      </c>
      <c r="L49" s="7">
        <f t="shared" si="11"/>
        <v>3.2769302146502502E-3</v>
      </c>
      <c r="M49" s="7">
        <f t="shared" si="12"/>
        <v>0.210134774361843</v>
      </c>
      <c r="N49" s="7">
        <f t="shared" si="13"/>
        <v>0.284542218349843</v>
      </c>
      <c r="O49">
        <v>3.2009384999999999</v>
      </c>
      <c r="P49">
        <v>-3.0297635999999999</v>
      </c>
      <c r="Q49">
        <v>4.3738995000000003</v>
      </c>
      <c r="R49">
        <v>-12.271549</v>
      </c>
      <c r="S49">
        <f t="shared" si="14"/>
        <v>2.9558550733437734</v>
      </c>
      <c r="T49">
        <f t="shared" si="15"/>
        <v>-26.956289561971964</v>
      </c>
      <c r="U49" s="8"/>
      <c r="V49" s="8"/>
    </row>
    <row r="50" spans="1:22" x14ac:dyDescent="0.35">
      <c r="A50">
        <v>5</v>
      </c>
      <c r="B50" s="9">
        <v>15.4</v>
      </c>
      <c r="C50">
        <v>-0.1148208</v>
      </c>
      <c r="D50">
        <v>-0.11889776000000001</v>
      </c>
      <c r="E50">
        <v>0.88491094999999997</v>
      </c>
      <c r="F50">
        <v>-0.12578439</v>
      </c>
      <c r="G50">
        <f t="shared" si="6"/>
        <v>1.5395727697639501</v>
      </c>
      <c r="H50">
        <f t="shared" si="7"/>
        <v>-2.1688334047422702</v>
      </c>
      <c r="I50">
        <f t="shared" si="8"/>
        <v>1.53945048782154</v>
      </c>
      <c r="J50">
        <f t="shared" si="9"/>
        <v>-2.1722776027505701</v>
      </c>
      <c r="K50" s="7">
        <f t="shared" si="10"/>
        <v>1.22281942410041E-4</v>
      </c>
      <c r="L50" s="7">
        <f t="shared" si="11"/>
        <v>3.4441980082999799E-3</v>
      </c>
      <c r="M50" s="7">
        <f t="shared" si="12"/>
        <v>0.21716971634151699</v>
      </c>
      <c r="N50" s="7">
        <f t="shared" si="13"/>
        <v>0.30644240560925301</v>
      </c>
      <c r="O50">
        <v>3.2401325999999999</v>
      </c>
      <c r="P50">
        <v>-3.0063460000000002</v>
      </c>
      <c r="Q50">
        <v>4.5323713000000003</v>
      </c>
      <c r="R50">
        <v>-12.342568999999999</v>
      </c>
      <c r="S50">
        <f t="shared" si="14"/>
        <v>2.9747461688183021</v>
      </c>
      <c r="T50">
        <f t="shared" si="15"/>
        <v>-26.979434206491618</v>
      </c>
      <c r="U50" s="8"/>
      <c r="V50" s="8"/>
    </row>
    <row r="51" spans="1:22" x14ac:dyDescent="0.35">
      <c r="A51">
        <v>1</v>
      </c>
      <c r="B51" s="9">
        <v>15.6</v>
      </c>
      <c r="C51">
        <v>-1.1008448000000001E-2</v>
      </c>
      <c r="D51">
        <v>-2.3954536999999999E-3</v>
      </c>
      <c r="E51">
        <v>0.98900167999999999</v>
      </c>
      <c r="F51">
        <v>-3.9274328000000001E-3</v>
      </c>
      <c r="G51">
        <f t="shared" si="6"/>
        <v>41.475478209506697</v>
      </c>
      <c r="H51">
        <f t="shared" si="7"/>
        <v>-12.059825140132601</v>
      </c>
      <c r="I51">
        <f t="shared" si="8"/>
        <v>41.475483860211902</v>
      </c>
      <c r="J51">
        <f t="shared" si="9"/>
        <v>-12.0605911214753</v>
      </c>
      <c r="K51" s="7">
        <f t="shared" si="10"/>
        <v>-5.6507052050847102E-6</v>
      </c>
      <c r="L51" s="7">
        <f t="shared" si="11"/>
        <v>7.6598134269900697E-4</v>
      </c>
      <c r="M51" s="7">
        <f t="shared" si="12"/>
        <v>2.2230835781586002E-2</v>
      </c>
      <c r="N51" s="7">
        <f t="shared" si="13"/>
        <v>6.4644699879579199E-3</v>
      </c>
      <c r="O51">
        <v>0.82553964999999996</v>
      </c>
      <c r="P51">
        <v>-1.3313603000000001</v>
      </c>
      <c r="Q51">
        <v>0.36218177000000001</v>
      </c>
      <c r="R51">
        <v>-4.6544784000000003</v>
      </c>
      <c r="S51">
        <f t="shared" si="14"/>
        <v>2.9801725536695454</v>
      </c>
      <c r="T51">
        <f t="shared" si="15"/>
        <v>-27.352479622522448</v>
      </c>
      <c r="U51" s="8"/>
      <c r="V51" s="8"/>
    </row>
    <row r="52" spans="1:22" x14ac:dyDescent="0.35">
      <c r="A52">
        <v>1.25</v>
      </c>
      <c r="B52" s="9">
        <v>15.6</v>
      </c>
      <c r="C52">
        <v>-1.6906593000000001E-2</v>
      </c>
      <c r="D52">
        <v>-6.1669843E-3</v>
      </c>
      <c r="E52">
        <v>0.98314197000000003</v>
      </c>
      <c r="F52">
        <v>-7.8858547999999997E-3</v>
      </c>
      <c r="G52">
        <f t="shared" si="6"/>
        <v>24.743960463972702</v>
      </c>
      <c r="H52">
        <f t="shared" si="7"/>
        <v>-10.5061141036899</v>
      </c>
      <c r="I52">
        <f t="shared" si="8"/>
        <v>24.743985483457699</v>
      </c>
      <c r="J52">
        <f t="shared" si="9"/>
        <v>-10.5069734965699</v>
      </c>
      <c r="K52" s="7">
        <f t="shared" si="10"/>
        <v>-2.5019484997557102E-5</v>
      </c>
      <c r="L52" s="7">
        <f t="shared" si="11"/>
        <v>8.5939288000069802E-4</v>
      </c>
      <c r="M52" s="7">
        <f t="shared" si="12"/>
        <v>3.42400861269163E-2</v>
      </c>
      <c r="N52" s="7">
        <f t="shared" si="13"/>
        <v>1.4539277744738901E-2</v>
      </c>
      <c r="O52">
        <v>1.0320419000000001</v>
      </c>
      <c r="P52">
        <v>-1.6342232000000001</v>
      </c>
      <c r="Q52">
        <v>0.48909212000000002</v>
      </c>
      <c r="R52">
        <v>-5.7410247999999999</v>
      </c>
      <c r="S52">
        <f t="shared" si="14"/>
        <v>2.9810424467403926</v>
      </c>
      <c r="T52">
        <f t="shared" si="15"/>
        <v>-27.403749606730116</v>
      </c>
      <c r="U52" s="8"/>
      <c r="V52" s="8"/>
    </row>
    <row r="53" spans="1:22" x14ac:dyDescent="0.35">
      <c r="A53">
        <v>1.5</v>
      </c>
      <c r="B53" s="9">
        <v>15.6</v>
      </c>
      <c r="C53">
        <v>-2.3727451E-2</v>
      </c>
      <c r="D53">
        <v>-1.0753989E-2</v>
      </c>
      <c r="E53">
        <v>0.97614358999999995</v>
      </c>
      <c r="F53">
        <v>-1.2491838999999999E-2</v>
      </c>
      <c r="G53">
        <f t="shared" si="6"/>
        <v>16.466440921749999</v>
      </c>
      <c r="H53">
        <f t="shared" si="7"/>
        <v>-8.2880527638268493</v>
      </c>
      <c r="I53">
        <f t="shared" si="8"/>
        <v>16.466377193268301</v>
      </c>
      <c r="J53">
        <f t="shared" si="9"/>
        <v>-8.2889218002371496</v>
      </c>
      <c r="K53" s="7">
        <f t="shared" si="10"/>
        <v>6.3728481698888104E-5</v>
      </c>
      <c r="L53" s="7">
        <f t="shared" si="11"/>
        <v>8.6903641030033896E-4</v>
      </c>
      <c r="M53" s="7">
        <f t="shared" si="12"/>
        <v>4.8452210292482097E-2</v>
      </c>
      <c r="N53" s="7">
        <f t="shared" si="13"/>
        <v>2.4390099743811101E-2</v>
      </c>
      <c r="O53">
        <v>1.2332449000000001</v>
      </c>
      <c r="P53">
        <v>-1.9077827999999999</v>
      </c>
      <c r="Q53">
        <v>0.64663126999999998</v>
      </c>
      <c r="R53">
        <v>-6.7585990999999996</v>
      </c>
      <c r="S53">
        <f t="shared" si="14"/>
        <v>2.9887410059205211</v>
      </c>
      <c r="T53">
        <f t="shared" si="15"/>
        <v>-27.414615099227134</v>
      </c>
      <c r="U53" s="8"/>
      <c r="V53" s="8"/>
    </row>
    <row r="54" spans="1:22" x14ac:dyDescent="0.35">
      <c r="A54">
        <v>1.75</v>
      </c>
      <c r="B54" s="9">
        <v>15.6</v>
      </c>
      <c r="C54">
        <v>-3.1308654999999998E-2</v>
      </c>
      <c r="D54">
        <v>-1.6099781000000001E-2</v>
      </c>
      <c r="E54">
        <v>0.96855537000000003</v>
      </c>
      <c r="F54">
        <v>-1.8104052999999998E-2</v>
      </c>
      <c r="G54">
        <f t="shared" si="6"/>
        <v>11.7856238723462</v>
      </c>
      <c r="H54">
        <f t="shared" si="7"/>
        <v>-6.6957904433475202</v>
      </c>
      <c r="I54">
        <f t="shared" si="8"/>
        <v>11.785556884704</v>
      </c>
      <c r="J54">
        <f t="shared" si="9"/>
        <v>-6.6967927146201696</v>
      </c>
      <c r="K54" s="7">
        <f t="shared" si="10"/>
        <v>6.6987642199478601E-5</v>
      </c>
      <c r="L54" s="7">
        <f t="shared" si="11"/>
        <v>1.0022712726493999E-3</v>
      </c>
      <c r="M54" s="7">
        <f t="shared" si="12"/>
        <v>6.41403473879954E-2</v>
      </c>
      <c r="N54" s="7">
        <f t="shared" si="13"/>
        <v>3.6445847684856501E-2</v>
      </c>
      <c r="O54">
        <v>1.4291161999999999</v>
      </c>
      <c r="P54">
        <v>-2.1575772</v>
      </c>
      <c r="Q54">
        <v>0.83021270000000003</v>
      </c>
      <c r="R54">
        <v>-7.7087972999999996</v>
      </c>
      <c r="S54">
        <f t="shared" si="14"/>
        <v>2.9959459196837814</v>
      </c>
      <c r="T54">
        <f t="shared" si="15"/>
        <v>-27.37245015471261</v>
      </c>
      <c r="U54" s="8"/>
      <c r="V54" s="8"/>
    </row>
    <row r="55" spans="1:22" x14ac:dyDescent="0.35">
      <c r="A55">
        <v>2</v>
      </c>
      <c r="B55" s="9">
        <v>15.6</v>
      </c>
      <c r="C55">
        <v>-3.9451747000000002E-2</v>
      </c>
      <c r="D55">
        <v>-2.2150149000000001E-2</v>
      </c>
      <c r="E55">
        <v>0.96041124</v>
      </c>
      <c r="F55">
        <v>-2.4443895E-2</v>
      </c>
      <c r="G55">
        <f t="shared" si="6"/>
        <v>8.8890438910172698</v>
      </c>
      <c r="H55">
        <f t="shared" si="7"/>
        <v>-5.5342082744443903</v>
      </c>
      <c r="I55">
        <f t="shared" si="8"/>
        <v>8.8889766954101006</v>
      </c>
      <c r="J55">
        <f t="shared" si="9"/>
        <v>-5.53535530308812</v>
      </c>
      <c r="K55" s="7">
        <f t="shared" si="10"/>
        <v>6.7195607169168197E-5</v>
      </c>
      <c r="L55" s="7">
        <f t="shared" si="11"/>
        <v>1.14702864372962E-3</v>
      </c>
      <c r="M55" s="7">
        <f t="shared" si="12"/>
        <v>8.1063813672097695E-2</v>
      </c>
      <c r="N55" s="7">
        <f t="shared" si="13"/>
        <v>5.0480165071204702E-2</v>
      </c>
      <c r="O55">
        <v>1.6211180000000001</v>
      </c>
      <c r="P55">
        <v>-2.3831690999999999</v>
      </c>
      <c r="Q55">
        <v>1.0397277</v>
      </c>
      <c r="R55">
        <v>-8.5834828999999999</v>
      </c>
      <c r="S55">
        <f t="shared" si="14"/>
        <v>2.9997902554021012</v>
      </c>
      <c r="T55">
        <f t="shared" si="15"/>
        <v>-27.318298499291991</v>
      </c>
      <c r="U55" s="8"/>
      <c r="V55" s="8"/>
    </row>
    <row r="56" spans="1:22" x14ac:dyDescent="0.35">
      <c r="A56">
        <v>2.25</v>
      </c>
      <c r="B56" s="9">
        <v>15.6</v>
      </c>
      <c r="C56">
        <v>-4.8000055999999999E-2</v>
      </c>
      <c r="D56">
        <v>-2.8821013999999999E-2</v>
      </c>
      <c r="E56">
        <v>0.95186141999999996</v>
      </c>
      <c r="F56">
        <v>-3.1432216999999998E-2</v>
      </c>
      <c r="G56">
        <f t="shared" si="6"/>
        <v>6.9682206839726701</v>
      </c>
      <c r="H56">
        <f t="shared" si="7"/>
        <v>-4.6799043691365698</v>
      </c>
      <c r="I56">
        <f t="shared" si="8"/>
        <v>6.9681531221217101</v>
      </c>
      <c r="J56">
        <f t="shared" si="9"/>
        <v>-4.6812101492863603</v>
      </c>
      <c r="K56" s="7">
        <f t="shared" si="10"/>
        <v>6.7561850960018405E-5</v>
      </c>
      <c r="L56" s="7">
        <f t="shared" si="11"/>
        <v>1.3057801497904399E-3</v>
      </c>
      <c r="M56" s="7">
        <f t="shared" si="12"/>
        <v>9.8882691051076901E-2</v>
      </c>
      <c r="N56" s="7">
        <f t="shared" si="13"/>
        <v>6.64294611247154E-2</v>
      </c>
      <c r="O56">
        <v>1.8067724000000001</v>
      </c>
      <c r="P56">
        <v>-2.5848344999999999</v>
      </c>
      <c r="Q56">
        <v>1.2673136</v>
      </c>
      <c r="R56">
        <v>-9.3820601000000003</v>
      </c>
      <c r="S56">
        <f t="shared" si="14"/>
        <v>3.0019595249520461</v>
      </c>
      <c r="T56">
        <f t="shared" si="15"/>
        <v>-27.260288887733594</v>
      </c>
      <c r="U56" s="8"/>
      <c r="V56" s="8"/>
    </row>
    <row r="57" spans="1:22" x14ac:dyDescent="0.35">
      <c r="A57">
        <v>2.5</v>
      </c>
      <c r="B57" s="9">
        <v>15.6</v>
      </c>
      <c r="C57">
        <v>-5.6785616999999997E-2</v>
      </c>
      <c r="D57">
        <v>-3.6039651999999998E-2</v>
      </c>
      <c r="E57">
        <v>0.94307372</v>
      </c>
      <c r="F57">
        <v>-3.8993443000000003E-2</v>
      </c>
      <c r="G57">
        <f t="shared" si="6"/>
        <v>5.62663354543648</v>
      </c>
      <c r="H57">
        <f t="shared" si="7"/>
        <v>-4.0419142597645399</v>
      </c>
      <c r="I57">
        <f t="shared" si="8"/>
        <v>5.6265653906654398</v>
      </c>
      <c r="J57">
        <f t="shared" si="9"/>
        <v>-4.0433913598086599</v>
      </c>
      <c r="K57" s="7">
        <f t="shared" si="10"/>
        <v>6.8154771040163098E-5</v>
      </c>
      <c r="L57" s="7">
        <f t="shared" si="11"/>
        <v>1.4771000441200499E-3</v>
      </c>
      <c r="M57" s="7">
        <f t="shared" si="12"/>
        <v>0.11720240550282</v>
      </c>
      <c r="N57" s="7">
        <f t="shared" si="13"/>
        <v>8.4224595442379702E-2</v>
      </c>
      <c r="O57">
        <v>1.9857872000000001</v>
      </c>
      <c r="P57">
        <v>-2.7627904000000001</v>
      </c>
      <c r="Q57">
        <v>1.5101173000000001</v>
      </c>
      <c r="R57">
        <v>-10.102789</v>
      </c>
      <c r="S57">
        <f t="shared" si="14"/>
        <v>3.0022961218884605</v>
      </c>
      <c r="T57">
        <f t="shared" si="15"/>
        <v>-27.205762362301911</v>
      </c>
      <c r="U57" s="8"/>
      <c r="V57" s="8"/>
    </row>
    <row r="58" spans="1:22" x14ac:dyDescent="0.35">
      <c r="A58">
        <v>2.75</v>
      </c>
      <c r="B58" s="9">
        <v>15.6</v>
      </c>
      <c r="C58">
        <v>-6.5675440000000002E-2</v>
      </c>
      <c r="D58">
        <v>-4.370798E-2</v>
      </c>
      <c r="E58">
        <v>0.93418188999999996</v>
      </c>
      <c r="F58">
        <v>-4.7031297999999999E-2</v>
      </c>
      <c r="G58">
        <f t="shared" si="6"/>
        <v>4.65176101105338</v>
      </c>
      <c r="H58">
        <f t="shared" si="7"/>
        <v>-3.5542024623083202</v>
      </c>
      <c r="I58">
        <f t="shared" si="8"/>
        <v>4.6516924326583302</v>
      </c>
      <c r="J58">
        <f t="shared" si="9"/>
        <v>-3.5558643538132699</v>
      </c>
      <c r="K58" s="7">
        <f t="shared" si="10"/>
        <v>6.8578395049812002E-5</v>
      </c>
      <c r="L58" s="7">
        <f t="shared" si="11"/>
        <v>1.6618915049497801E-3</v>
      </c>
      <c r="M58" s="7">
        <f t="shared" si="12"/>
        <v>0.13568742449257301</v>
      </c>
      <c r="N58" s="7">
        <f t="shared" si="13"/>
        <v>0.103722695126286</v>
      </c>
      <c r="O58">
        <v>2.1562822000000001</v>
      </c>
      <c r="P58">
        <v>-2.9181683999999999</v>
      </c>
      <c r="Q58">
        <v>1.7614293999999999</v>
      </c>
      <c r="R58">
        <v>-10.74775</v>
      </c>
      <c r="S58">
        <f t="shared" si="14"/>
        <v>3.0016380312123889</v>
      </c>
      <c r="T58">
        <f t="shared" si="15"/>
        <v>-27.153938355281674</v>
      </c>
      <c r="U58" s="8"/>
      <c r="V58" s="8"/>
    </row>
    <row r="59" spans="1:22" x14ac:dyDescent="0.35">
      <c r="A59">
        <v>3</v>
      </c>
      <c r="B59" s="9">
        <v>15.6</v>
      </c>
      <c r="C59">
        <v>-7.4567103999999995E-2</v>
      </c>
      <c r="D59">
        <v>-5.1723822000000003E-2</v>
      </c>
      <c r="E59">
        <v>0.92528706000000005</v>
      </c>
      <c r="F59">
        <v>-5.5441536E-2</v>
      </c>
      <c r="G59">
        <f t="shared" si="6"/>
        <v>3.92066563651546</v>
      </c>
      <c r="H59">
        <f t="shared" si="7"/>
        <v>-3.1725588747243201</v>
      </c>
      <c r="I59">
        <f t="shared" si="8"/>
        <v>3.92059616929143</v>
      </c>
      <c r="J59">
        <f t="shared" si="9"/>
        <v>-3.1744179964174002</v>
      </c>
      <c r="K59" s="7">
        <f t="shared" si="10"/>
        <v>6.9467224030006505E-5</v>
      </c>
      <c r="L59" s="7">
        <f t="shared" si="11"/>
        <v>1.8591216930801101E-3</v>
      </c>
      <c r="M59" s="7">
        <f t="shared" si="12"/>
        <v>0.15406301330133901</v>
      </c>
      <c r="N59" s="7">
        <f t="shared" si="13"/>
        <v>0.124741335472572</v>
      </c>
      <c r="O59">
        <v>2.3170866000000001</v>
      </c>
      <c r="P59">
        <v>-3.0530735</v>
      </c>
      <c r="Q59">
        <v>2.0144027000000002</v>
      </c>
      <c r="R59">
        <v>-11.321111999999999</v>
      </c>
      <c r="S59">
        <f t="shared" si="14"/>
        <v>3.0001595378253163</v>
      </c>
      <c r="T59">
        <f t="shared" si="15"/>
        <v>-27.106927125445541</v>
      </c>
      <c r="U59" s="8"/>
      <c r="V59" s="8"/>
    </row>
    <row r="60" spans="1:22" x14ac:dyDescent="0.35">
      <c r="A60">
        <v>3.25</v>
      </c>
      <c r="B60" s="9">
        <v>15.6</v>
      </c>
      <c r="C60">
        <v>-8.3399609999999999E-2</v>
      </c>
      <c r="D60">
        <v>-5.9985519000000001E-2</v>
      </c>
      <c r="E60">
        <v>0.91660878000000001</v>
      </c>
      <c r="F60">
        <v>-6.4181478E-2</v>
      </c>
      <c r="G60">
        <f t="shared" si="6"/>
        <v>3.3576241223636898</v>
      </c>
      <c r="H60">
        <f t="shared" si="7"/>
        <v>-2.8707524082216</v>
      </c>
      <c r="I60">
        <f t="shared" si="8"/>
        <v>3.35763271878931</v>
      </c>
      <c r="J60">
        <f t="shared" si="9"/>
        <v>-2.87285036088557</v>
      </c>
      <c r="K60" s="7">
        <f t="shared" si="10"/>
        <v>-8.5964256202331108E-6</v>
      </c>
      <c r="L60" s="7">
        <f t="shared" si="11"/>
        <v>2.0979526639699499E-3</v>
      </c>
      <c r="M60" s="7">
        <f t="shared" si="12"/>
        <v>0.171948504623194</v>
      </c>
      <c r="N60" s="7">
        <f t="shared" si="13"/>
        <v>0.14712220332979001</v>
      </c>
      <c r="O60">
        <v>2.4672339000000001</v>
      </c>
      <c r="P60">
        <v>-3.1704487000000001</v>
      </c>
      <c r="Q60">
        <v>2.2594538000000002</v>
      </c>
      <c r="R60">
        <v>-11.827185</v>
      </c>
      <c r="S60">
        <f t="shared" si="14"/>
        <v>2.9972780639169425</v>
      </c>
      <c r="T60">
        <f t="shared" si="15"/>
        <v>-27.074536102691773</v>
      </c>
      <c r="U60" s="8"/>
      <c r="V60" s="8"/>
    </row>
    <row r="61" spans="1:22" x14ac:dyDescent="0.35">
      <c r="A61">
        <v>3.5</v>
      </c>
      <c r="B61" s="9">
        <v>15.6</v>
      </c>
      <c r="C61">
        <v>-9.2110488000000004E-2</v>
      </c>
      <c r="D61">
        <v>-6.8397357000000006E-2</v>
      </c>
      <c r="E61">
        <v>0.90790117000000004</v>
      </c>
      <c r="F61">
        <v>-7.3013745000000005E-2</v>
      </c>
      <c r="G61">
        <f t="shared" si="6"/>
        <v>2.9156949302571298</v>
      </c>
      <c r="H61">
        <f t="shared" si="7"/>
        <v>-2.6209606899856999</v>
      </c>
      <c r="I61">
        <f t="shared" si="8"/>
        <v>2.91570608686115</v>
      </c>
      <c r="J61">
        <f t="shared" si="9"/>
        <v>-2.6232688447798602</v>
      </c>
      <c r="K61" s="7">
        <f t="shared" si="10"/>
        <v>-1.11566040201794E-5</v>
      </c>
      <c r="L61" s="7">
        <f t="shared" si="11"/>
        <v>2.3081547941603601E-3</v>
      </c>
      <c r="M61" s="7">
        <f t="shared" si="12"/>
        <v>0.18954225855554399</v>
      </c>
      <c r="N61" s="7">
        <f t="shared" si="13"/>
        <v>0.17053169517962</v>
      </c>
      <c r="O61">
        <v>2.6061008000000001</v>
      </c>
      <c r="P61">
        <v>-3.2721084</v>
      </c>
      <c r="Q61">
        <v>2.4967988000000001</v>
      </c>
      <c r="R61">
        <v>-12.275700000000001</v>
      </c>
      <c r="S61">
        <f t="shared" si="14"/>
        <v>2.994668333645337</v>
      </c>
      <c r="T61">
        <f t="shared" si="15"/>
        <v>-27.039120672296065</v>
      </c>
      <c r="U61" s="8"/>
      <c r="V61" s="8"/>
    </row>
    <row r="62" spans="1:22" x14ac:dyDescent="0.35">
      <c r="A62">
        <v>3.75</v>
      </c>
      <c r="B62" s="9">
        <v>15.6</v>
      </c>
      <c r="C62">
        <v>-0.10069609</v>
      </c>
      <c r="D62">
        <v>-7.6858801000000004E-2</v>
      </c>
      <c r="E62">
        <v>0.89932506000000001</v>
      </c>
      <c r="F62">
        <v>-8.1917252999999995E-2</v>
      </c>
      <c r="G62">
        <f t="shared" si="6"/>
        <v>2.5621971248266502</v>
      </c>
      <c r="H62">
        <f t="shared" si="7"/>
        <v>-2.4132084639320301</v>
      </c>
      <c r="I62">
        <f t="shared" si="8"/>
        <v>2.5622140964551101</v>
      </c>
      <c r="J62">
        <f t="shared" si="9"/>
        <v>-2.4157376202611101</v>
      </c>
      <c r="K62" s="7">
        <f t="shared" si="10"/>
        <v>-1.6971628459927501E-5</v>
      </c>
      <c r="L62" s="7">
        <f t="shared" si="11"/>
        <v>2.5291563290799099E-3</v>
      </c>
      <c r="M62" s="7">
        <f t="shared" si="12"/>
        <v>0.20661801649676401</v>
      </c>
      <c r="N62" s="7">
        <f t="shared" si="13"/>
        <v>0.194806092186258</v>
      </c>
      <c r="O62">
        <v>2.7335226000000001</v>
      </c>
      <c r="P62">
        <v>-3.3616305</v>
      </c>
      <c r="Q62">
        <v>2.7181530999999999</v>
      </c>
      <c r="R62">
        <v>-12.67273</v>
      </c>
      <c r="S62">
        <f t="shared" si="14"/>
        <v>2.991394446685931</v>
      </c>
      <c r="T62">
        <f t="shared" si="15"/>
        <v>-27.010557909466176</v>
      </c>
      <c r="U62" s="8"/>
      <c r="V62" s="8"/>
    </row>
    <row r="63" spans="1:22" x14ac:dyDescent="0.35">
      <c r="A63">
        <v>4</v>
      </c>
      <c r="B63" s="9">
        <v>15.6</v>
      </c>
      <c r="C63">
        <v>-0.10914689</v>
      </c>
      <c r="D63">
        <v>-8.5294360999999999E-2</v>
      </c>
      <c r="E63">
        <v>0.89077154999999997</v>
      </c>
      <c r="F63">
        <v>-9.0822747999999995E-2</v>
      </c>
      <c r="G63">
        <f t="shared" si="6"/>
        <v>2.27462136097231</v>
      </c>
      <c r="H63">
        <f t="shared" si="7"/>
        <v>-2.2363034958201702</v>
      </c>
      <c r="I63">
        <f t="shared" si="8"/>
        <v>2.2745882209513901</v>
      </c>
      <c r="J63">
        <f t="shared" si="9"/>
        <v>-2.2390678936577402</v>
      </c>
      <c r="K63" s="7">
        <f t="shared" si="10"/>
        <v>3.3140020919919501E-5</v>
      </c>
      <c r="L63" s="7">
        <f t="shared" si="11"/>
        <v>2.76439783756999E-3</v>
      </c>
      <c r="M63" s="7">
        <f t="shared" si="12"/>
        <v>0.22327955120769299</v>
      </c>
      <c r="N63" s="7">
        <f t="shared" si="13"/>
        <v>0.21979278262961599</v>
      </c>
      <c r="O63">
        <v>2.8486796000000001</v>
      </c>
      <c r="P63">
        <v>-3.4414962</v>
      </c>
      <c r="Q63">
        <v>2.9208273</v>
      </c>
      <c r="R63">
        <v>-13.023726999999999</v>
      </c>
      <c r="S63">
        <f t="shared" si="14"/>
        <v>2.987606072799295</v>
      </c>
      <c r="T63">
        <f t="shared" si="15"/>
        <v>-26.975520935387447</v>
      </c>
      <c r="U63" s="8"/>
      <c r="V63" s="8"/>
    </row>
    <row r="64" spans="1:22" x14ac:dyDescent="0.35">
      <c r="A64">
        <v>4.25</v>
      </c>
      <c r="B64" s="9">
        <v>15.6</v>
      </c>
      <c r="C64">
        <v>-0.1174862</v>
      </c>
      <c r="D64">
        <v>-9.3640741999999999E-2</v>
      </c>
      <c r="E64">
        <v>0.88244842999999995</v>
      </c>
      <c r="F64">
        <v>-9.9591845999999998E-2</v>
      </c>
      <c r="G64">
        <f t="shared" si="6"/>
        <v>2.0387216004100401</v>
      </c>
      <c r="H64">
        <f t="shared" si="7"/>
        <v>-2.0856721847020898</v>
      </c>
      <c r="I64">
        <f t="shared" si="8"/>
        <v>2.03869776904122</v>
      </c>
      <c r="J64">
        <f t="shared" si="9"/>
        <v>-2.0886479048749802</v>
      </c>
      <c r="K64" s="7">
        <f t="shared" si="10"/>
        <v>2.38313688201153E-5</v>
      </c>
      <c r="L64" s="7">
        <f t="shared" si="11"/>
        <v>2.9757201728903798E-3</v>
      </c>
      <c r="M64" s="7">
        <f t="shared" si="12"/>
        <v>0.239319205512077</v>
      </c>
      <c r="N64" s="7">
        <f t="shared" si="13"/>
        <v>0.24518276557697999</v>
      </c>
      <c r="O64">
        <v>2.9545911</v>
      </c>
      <c r="P64">
        <v>-3.5149045999999999</v>
      </c>
      <c r="Q64">
        <v>3.1024077999999999</v>
      </c>
      <c r="R64">
        <v>-13.341316000000001</v>
      </c>
      <c r="S64">
        <f t="shared" si="14"/>
        <v>2.9830212406108392</v>
      </c>
      <c r="T64">
        <f t="shared" si="15"/>
        <v>-26.959067673336953</v>
      </c>
      <c r="U64" s="8"/>
      <c r="V64" s="8"/>
    </row>
    <row r="65" spans="1:22" x14ac:dyDescent="0.35">
      <c r="A65">
        <v>4.5</v>
      </c>
      <c r="B65" s="9">
        <v>15.6</v>
      </c>
      <c r="C65">
        <v>-0.12569743999999999</v>
      </c>
      <c r="D65">
        <v>-0.10183393</v>
      </c>
      <c r="E65">
        <v>0.87422328000000005</v>
      </c>
      <c r="F65">
        <v>-0.10831369</v>
      </c>
      <c r="G65">
        <f t="shared" si="6"/>
        <v>1.84145939362324</v>
      </c>
      <c r="H65">
        <f t="shared" si="7"/>
        <v>-1.95503846436505</v>
      </c>
      <c r="I65">
        <f t="shared" si="8"/>
        <v>1.84143025001244</v>
      </c>
      <c r="J65">
        <f t="shared" si="9"/>
        <v>-1.95827856722453</v>
      </c>
      <c r="K65" s="7">
        <f t="shared" si="10"/>
        <v>2.9143610799975399E-5</v>
      </c>
      <c r="L65" s="7">
        <f t="shared" si="11"/>
        <v>3.2401028594799498E-3</v>
      </c>
      <c r="M65" s="7">
        <f t="shared" si="12"/>
        <v>0.25484383153107598</v>
      </c>
      <c r="N65" s="7">
        <f t="shared" si="13"/>
        <v>0.27101499677944002</v>
      </c>
      <c r="O65">
        <v>3.0458637999999998</v>
      </c>
      <c r="P65">
        <v>-3.5797246999999999</v>
      </c>
      <c r="Q65">
        <v>3.2586555000000001</v>
      </c>
      <c r="R65">
        <v>-13.617749</v>
      </c>
      <c r="S65">
        <f t="shared" si="14"/>
        <v>2.979078254792932</v>
      </c>
      <c r="T65">
        <f t="shared" si="15"/>
        <v>-26.935790701564098</v>
      </c>
      <c r="U65" s="8"/>
      <c r="V65" s="8"/>
    </row>
    <row r="66" spans="1:22" x14ac:dyDescent="0.35">
      <c r="A66">
        <v>4.75</v>
      </c>
      <c r="B66" s="9">
        <v>15.6</v>
      </c>
      <c r="C66">
        <v>-0.13328767</v>
      </c>
      <c r="D66">
        <v>-0.10992207</v>
      </c>
      <c r="E66">
        <v>0.86657737999999995</v>
      </c>
      <c r="F66">
        <v>-0.11672626</v>
      </c>
      <c r="G66">
        <f t="shared" si="6"/>
        <v>1.6771864853018399</v>
      </c>
      <c r="H66">
        <f t="shared" si="7"/>
        <v>-1.84843113090991</v>
      </c>
      <c r="I66">
        <f t="shared" si="8"/>
        <v>1.67713058220828</v>
      </c>
      <c r="J66">
        <f t="shared" si="9"/>
        <v>-1.85183364568223</v>
      </c>
      <c r="K66" s="7">
        <f t="shared" si="10"/>
        <v>5.59030935598503E-5</v>
      </c>
      <c r="L66" s="7">
        <f t="shared" si="11"/>
        <v>3.4025147723200102E-3</v>
      </c>
      <c r="M66" s="7">
        <f t="shared" si="12"/>
        <v>0.26868244911538403</v>
      </c>
      <c r="N66" s="7">
        <f t="shared" si="13"/>
        <v>0.29667051841666497</v>
      </c>
      <c r="O66">
        <v>3.1346718</v>
      </c>
      <c r="P66">
        <v>-3.6295402999999999</v>
      </c>
      <c r="Q66">
        <v>3.4185865</v>
      </c>
      <c r="R66">
        <v>-13.840662999999999</v>
      </c>
      <c r="S66">
        <f t="shared" si="14"/>
        <v>2.9727243486334616</v>
      </c>
      <c r="T66">
        <f t="shared" si="15"/>
        <v>-26.941576182356393</v>
      </c>
      <c r="U66" s="8"/>
      <c r="V66" s="8"/>
    </row>
    <row r="67" spans="1:22" x14ac:dyDescent="0.35">
      <c r="A67">
        <v>5</v>
      </c>
      <c r="B67" s="9">
        <v>15.6</v>
      </c>
      <c r="C67">
        <v>-0.1401348</v>
      </c>
      <c r="D67">
        <v>-0.11785587</v>
      </c>
      <c r="E67">
        <v>0.85981534999999998</v>
      </c>
      <c r="F67">
        <v>-0.1251129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1.53702143948488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-1.7637826229926801</v>
      </c>
      <c r="I67">
        <f t="shared" ref="I67:I130" si="18">IMREAL(IMDIV(IMPRODUCT(COMPLEX(2,0),COMPLEX(E67,F67)),IMSUB(IMPRODUCT(COMPLEX(1 - C67, - D67),COMPLEX(1 - C67, - D67)),IMPRODUCT(COMPLEX(E67,F67),COMPLEX(E67,F67)))))</f>
        <v>1.53700968079589</v>
      </c>
      <c r="J67">
        <f t="shared" ref="J67:J130" si="19">IMAGINARY(IMDIV(IMPRODUCT(COMPLEX(2,0),COMPLEX(E67,F67)),IMSUB(IMPRODUCT(COMPLEX(1 - C67, - D67),COMPLEX(1 - C67, - D67)),IMPRODUCT(COMPLEX(E67,F67),COMPLEX(E67,F67)))))</f>
        <v>-1.7674112711033101</v>
      </c>
      <c r="K67" s="7">
        <f t="shared" ref="K67:K130" si="20">IMREAL(IMSUB(COMPLEX(G67,H67),COMPLEX(I67,J67)))</f>
        <v>1.17586889900601E-5</v>
      </c>
      <c r="L67" s="7">
        <f t="shared" ref="L67:L130" si="21">IMAGINARY(IMSUB(COMPLEX(G67,H67),COMPLEX(I67,J67)))</f>
        <v>3.6286481106300198E-3</v>
      </c>
      <c r="M67" s="7">
        <f t="shared" ref="M67:M130" si="22">IMREAL(IMDIV(IMSUB(IMPRODUCT(COMPLEX(1 - C67, - D67),COMPLEX(1 - C67, - D67)),IMPRODUCT(COMPLEX(E67,F67),COMPLEX(E67,F67))),IMPRODUCT(COMPLEX(2,0),COMPLEX(E67,F67))))</f>
        <v>0.28016224517637101</v>
      </c>
      <c r="N67" s="7">
        <f t="shared" ref="N67:N130" si="23">IMAGINARY(IMDIV(IMSUB(IMPRODUCT(COMPLEX(1 - C67, - D67),COMPLEX(1 - C67, - D67)),IMPRODUCT(COMPLEX(E67,F67),COMPLEX(E67,F67))),IMPRODUCT(COMPLEX(2,0),COMPLEX(E67,F67))))</f>
        <v>0.32215926551999502</v>
      </c>
      <c r="O67">
        <v>3.2070927999999999</v>
      </c>
      <c r="P67">
        <v>-3.6498808</v>
      </c>
      <c r="Q67">
        <v>3.5707520000000001</v>
      </c>
      <c r="R67">
        <v>-13.979820999999999</v>
      </c>
      <c r="S67">
        <f t="shared" ref="S67:S130" si="24">IMABS(COMPLEX(Q67,R67))/IMABS(COMPLEX(O67,P67))</f>
        <v>2.969643591601137</v>
      </c>
      <c r="T67">
        <f t="shared" ref="T67:T130" si="25">IMARGUMENT(IMDIV(COMPLEX(Q67,R67),COMPLEX(O67/B67,P67/B67)))/PI()*180</f>
        <v>-26.977018797291421</v>
      </c>
      <c r="U67" s="8"/>
      <c r="V67" s="8"/>
    </row>
    <row r="68" spans="1:22" x14ac:dyDescent="0.35">
      <c r="A68">
        <v>1</v>
      </c>
      <c r="B68" s="9">
        <v>15.8</v>
      </c>
      <c r="C68">
        <v>-1.3580551999999999E-2</v>
      </c>
      <c r="D68">
        <v>-3.6928653000000002E-4</v>
      </c>
      <c r="E68">
        <v>0.98643519999999996</v>
      </c>
      <c r="F68">
        <v>-1.8947411E-3</v>
      </c>
      <c r="G68">
        <f t="shared" si="16"/>
        <v>36.084227489723098</v>
      </c>
      <c r="H68">
        <f t="shared" si="17"/>
        <v>-3.05088544631597</v>
      </c>
      <c r="I68">
        <f t="shared" si="18"/>
        <v>36.084235947399897</v>
      </c>
      <c r="J68">
        <f t="shared" si="19"/>
        <v>-3.05164816114292</v>
      </c>
      <c r="K68" s="7">
        <f t="shared" si="20"/>
        <v>-8.45767679891196E-6</v>
      </c>
      <c r="L68" s="7">
        <f t="shared" si="21"/>
        <v>7.6271482695000603E-4</v>
      </c>
      <c r="M68" s="7">
        <f t="shared" si="22"/>
        <v>2.7516134348042901E-2</v>
      </c>
      <c r="N68" s="7">
        <f t="shared" si="23"/>
        <v>2.3270427814342399E-3</v>
      </c>
      <c r="O68">
        <v>0.57370991999999998</v>
      </c>
      <c r="P68">
        <v>-1.544303</v>
      </c>
      <c r="Q68">
        <v>-0.66123644000000004</v>
      </c>
      <c r="R68">
        <v>-5.1175601000000004</v>
      </c>
      <c r="S68">
        <f t="shared" si="24"/>
        <v>3.1322195620760245</v>
      </c>
      <c r="T68">
        <f t="shared" si="25"/>
        <v>-27.742433392132824</v>
      </c>
      <c r="U68" s="8"/>
      <c r="V68" s="8"/>
    </row>
    <row r="69" spans="1:22" x14ac:dyDescent="0.35">
      <c r="A69">
        <v>1.25</v>
      </c>
      <c r="B69" s="9">
        <v>15.8</v>
      </c>
      <c r="C69">
        <v>-2.0737719000000002E-2</v>
      </c>
      <c r="D69">
        <v>-3.1912174999999998E-3</v>
      </c>
      <c r="E69">
        <v>0.97924261999999995</v>
      </c>
      <c r="F69">
        <v>-4.9414688000000003E-3</v>
      </c>
      <c r="G69">
        <f t="shared" si="16"/>
        <v>22.707764223694301</v>
      </c>
      <c r="H69">
        <f t="shared" si="17"/>
        <v>-4.5480858411628002</v>
      </c>
      <c r="I69">
        <f t="shared" si="18"/>
        <v>22.707755158964599</v>
      </c>
      <c r="J69">
        <f t="shared" si="19"/>
        <v>-4.5489609833486604</v>
      </c>
      <c r="K69" s="7">
        <f t="shared" si="20"/>
        <v>9.0647297028567698E-6</v>
      </c>
      <c r="L69" s="7">
        <f t="shared" si="21"/>
        <v>8.7514218586015602E-4</v>
      </c>
      <c r="M69" s="7">
        <f t="shared" si="22"/>
        <v>4.2338738098758398E-2</v>
      </c>
      <c r="N69" s="7">
        <f t="shared" si="23"/>
        <v>8.4815635163934498E-3</v>
      </c>
      <c r="O69">
        <v>0.72594006</v>
      </c>
      <c r="P69">
        <v>-1.9023436</v>
      </c>
      <c r="Q69">
        <v>-0.74533278000000003</v>
      </c>
      <c r="R69">
        <v>-6.3172975999999998</v>
      </c>
      <c r="S69">
        <f t="shared" si="24"/>
        <v>3.1240915521752863</v>
      </c>
      <c r="T69">
        <f t="shared" si="25"/>
        <v>-27.615818211092627</v>
      </c>
      <c r="U69" s="8"/>
      <c r="V69" s="8"/>
    </row>
    <row r="70" spans="1:22" x14ac:dyDescent="0.35">
      <c r="A70">
        <v>1.5</v>
      </c>
      <c r="B70" s="9">
        <v>15.8</v>
      </c>
      <c r="C70">
        <v>-2.907792E-2</v>
      </c>
      <c r="D70">
        <v>-6.7725868E-3</v>
      </c>
      <c r="E70">
        <v>0.97107211000000004</v>
      </c>
      <c r="F70">
        <v>-8.6438907999999998E-3</v>
      </c>
      <c r="G70">
        <f t="shared" si="16"/>
        <v>15.6022126539448</v>
      </c>
      <c r="H70">
        <f t="shared" si="17"/>
        <v>-4.2791033018121203</v>
      </c>
      <c r="I70">
        <f t="shared" si="18"/>
        <v>15.6022885385648</v>
      </c>
      <c r="J70">
        <f t="shared" si="19"/>
        <v>-4.2800388126331699</v>
      </c>
      <c r="K70" s="7">
        <f t="shared" si="20"/>
        <v>-7.5884619999300198E-5</v>
      </c>
      <c r="L70" s="7">
        <f t="shared" si="21"/>
        <v>9.3551082104959004E-4</v>
      </c>
      <c r="M70" s="7">
        <f t="shared" si="22"/>
        <v>5.9607565236910201E-2</v>
      </c>
      <c r="N70" s="7">
        <f t="shared" si="23"/>
        <v>1.6351619963311199E-2</v>
      </c>
      <c r="O70">
        <v>0.89028872999999997</v>
      </c>
      <c r="P70">
        <v>-2.2326237999999998</v>
      </c>
      <c r="Q70">
        <v>-0.76558811999999998</v>
      </c>
      <c r="R70">
        <v>-7.4574430999999999</v>
      </c>
      <c r="S70">
        <f t="shared" si="24"/>
        <v>3.1189396954468425</v>
      </c>
      <c r="T70">
        <f t="shared" si="25"/>
        <v>-27.601809944164017</v>
      </c>
      <c r="U70" s="8"/>
      <c r="V70" s="8"/>
    </row>
    <row r="71" spans="1:22" x14ac:dyDescent="0.35">
      <c r="A71">
        <v>1.75</v>
      </c>
      <c r="B71" s="9">
        <v>15.8</v>
      </c>
      <c r="C71">
        <v>-3.8380138000000001E-2</v>
      </c>
      <c r="D71">
        <v>-1.1118364E-2</v>
      </c>
      <c r="E71">
        <v>0.96167340000000001</v>
      </c>
      <c r="F71">
        <v>-1.3385622999999999E-2</v>
      </c>
      <c r="G71">
        <f t="shared" si="16"/>
        <v>11.3294697062728</v>
      </c>
      <c r="H71">
        <f t="shared" si="17"/>
        <v>-3.7783648091148798</v>
      </c>
      <c r="I71">
        <f t="shared" si="18"/>
        <v>11.3294977595673</v>
      </c>
      <c r="J71">
        <f t="shared" si="19"/>
        <v>-3.7794983764683701</v>
      </c>
      <c r="K71" s="7">
        <f t="shared" si="20"/>
        <v>-2.8053294499841299E-5</v>
      </c>
      <c r="L71" s="7">
        <f t="shared" si="21"/>
        <v>1.1335673534902399E-3</v>
      </c>
      <c r="M71" s="7">
        <f t="shared" si="22"/>
        <v>7.9426029050246594E-2</v>
      </c>
      <c r="N71" s="7">
        <f t="shared" si="23"/>
        <v>2.6496368525360199E-2</v>
      </c>
      <c r="O71">
        <v>1.0605846000000001</v>
      </c>
      <c r="P71">
        <v>-2.5375972999999998</v>
      </c>
      <c r="Q71">
        <v>-0.72615008000000003</v>
      </c>
      <c r="R71">
        <v>-8.5357795999999997</v>
      </c>
      <c r="S71">
        <f t="shared" si="24"/>
        <v>3.1147730869440218</v>
      </c>
      <c r="T71">
        <f t="shared" si="25"/>
        <v>-27.544928449311083</v>
      </c>
      <c r="U71" s="8"/>
      <c r="V71" s="8"/>
    </row>
    <row r="72" spans="1:22" x14ac:dyDescent="0.35">
      <c r="A72">
        <v>2</v>
      </c>
      <c r="B72" s="9">
        <v>15.8</v>
      </c>
      <c r="C72">
        <v>-4.8390892999999997E-2</v>
      </c>
      <c r="D72">
        <v>-1.6249896999999999E-2</v>
      </c>
      <c r="E72">
        <v>0.95162537000000003</v>
      </c>
      <c r="F72">
        <v>-1.8821015999999999E-2</v>
      </c>
      <c r="G72">
        <f t="shared" si="16"/>
        <v>8.6343888233720207</v>
      </c>
      <c r="H72">
        <f t="shared" si="17"/>
        <v>-3.30995296223572</v>
      </c>
      <c r="I72">
        <f t="shared" si="18"/>
        <v>8.6343986074260695</v>
      </c>
      <c r="J72">
        <f t="shared" si="19"/>
        <v>-3.3112384987043901</v>
      </c>
      <c r="K72" s="7">
        <f t="shared" si="20"/>
        <v>-9.7840540487226201E-6</v>
      </c>
      <c r="L72" s="7">
        <f t="shared" si="21"/>
        <v>1.2855364686701299E-3</v>
      </c>
      <c r="M72" s="7">
        <f t="shared" si="22"/>
        <v>0.100966877949693</v>
      </c>
      <c r="N72" s="7">
        <f t="shared" si="23"/>
        <v>3.8720173640521098E-2</v>
      </c>
      <c r="O72">
        <v>1.2351326</v>
      </c>
      <c r="P72">
        <v>-2.8115838000000002</v>
      </c>
      <c r="Q72">
        <v>-0.62639146999999995</v>
      </c>
      <c r="R72">
        <v>-9.5375896999999998</v>
      </c>
      <c r="S72">
        <f t="shared" si="24"/>
        <v>3.1124659099275447</v>
      </c>
      <c r="T72">
        <f t="shared" si="25"/>
        <v>-27.473515246438112</v>
      </c>
      <c r="U72" s="8"/>
      <c r="V72" s="8"/>
    </row>
    <row r="73" spans="1:22" x14ac:dyDescent="0.35">
      <c r="A73">
        <v>2.25</v>
      </c>
      <c r="B73" s="9">
        <v>15.8</v>
      </c>
      <c r="C73">
        <v>-5.8910157999999997E-2</v>
      </c>
      <c r="D73">
        <v>-2.2111156E-2</v>
      </c>
      <c r="E73">
        <v>0.94107620999999997</v>
      </c>
      <c r="F73">
        <v>-2.4993345E-2</v>
      </c>
      <c r="G73">
        <f t="shared" si="16"/>
        <v>6.8172116603134301</v>
      </c>
      <c r="H73">
        <f t="shared" si="17"/>
        <v>-2.9243574732981998</v>
      </c>
      <c r="I73">
        <f t="shared" si="18"/>
        <v>6.81720692105847</v>
      </c>
      <c r="J73">
        <f t="shared" si="19"/>
        <v>-2.9257985844505199</v>
      </c>
      <c r="K73" s="7">
        <f t="shared" si="20"/>
        <v>4.73925496002892E-6</v>
      </c>
      <c r="L73" s="7">
        <f t="shared" si="21"/>
        <v>1.44111115232004E-3</v>
      </c>
      <c r="M73" s="7">
        <f t="shared" si="22"/>
        <v>0.123871273424911</v>
      </c>
      <c r="N73" s="7">
        <f t="shared" si="23"/>
        <v>5.3162886301889603E-2</v>
      </c>
      <c r="O73">
        <v>1.4114698999999999</v>
      </c>
      <c r="P73">
        <v>-3.0571693999999998</v>
      </c>
      <c r="Q73">
        <v>-0.47855569999999997</v>
      </c>
      <c r="R73">
        <v>-10.459904999999999</v>
      </c>
      <c r="S73">
        <f t="shared" si="24"/>
        <v>3.1095917902979138</v>
      </c>
      <c r="T73">
        <f t="shared" si="25"/>
        <v>-27.401918352027927</v>
      </c>
      <c r="U73" s="8"/>
      <c r="V73" s="8"/>
    </row>
    <row r="74" spans="1:22" x14ac:dyDescent="0.35">
      <c r="A74">
        <v>2.5</v>
      </c>
      <c r="B74" s="9">
        <v>15.8</v>
      </c>
      <c r="C74">
        <v>-6.9710029000000007E-2</v>
      </c>
      <c r="D74">
        <v>-2.8664128000000001E-2</v>
      </c>
      <c r="E74">
        <v>0.93028613999999998</v>
      </c>
      <c r="F74">
        <v>-3.1898055000000002E-2</v>
      </c>
      <c r="G74">
        <f t="shared" si="16"/>
        <v>5.5338899354809996</v>
      </c>
      <c r="H74">
        <f t="shared" si="17"/>
        <v>-2.6201596330191301</v>
      </c>
      <c r="I74">
        <f t="shared" si="18"/>
        <v>5.5338906345564602</v>
      </c>
      <c r="J74">
        <f t="shared" si="19"/>
        <v>-2.6217765984860502</v>
      </c>
      <c r="K74" s="7">
        <f t="shared" si="20"/>
        <v>-6.9907546063063798E-7</v>
      </c>
      <c r="L74" s="7">
        <f t="shared" si="21"/>
        <v>1.6169654669200299E-3</v>
      </c>
      <c r="M74" s="7">
        <f t="shared" si="22"/>
        <v>0.147579633416796</v>
      </c>
      <c r="N74" s="7">
        <f t="shared" si="23"/>
        <v>6.9918409100673304E-2</v>
      </c>
      <c r="O74">
        <v>1.5881164000000001</v>
      </c>
      <c r="P74">
        <v>-3.2729358999999998</v>
      </c>
      <c r="Q74">
        <v>-0.28690155000000001</v>
      </c>
      <c r="R74">
        <v>-11.297238999999999</v>
      </c>
      <c r="S74">
        <f t="shared" si="24"/>
        <v>3.1064408823363467</v>
      </c>
      <c r="T74">
        <f t="shared" si="25"/>
        <v>-27.338662070855609</v>
      </c>
      <c r="U74" s="8"/>
      <c r="V74" s="8"/>
    </row>
    <row r="75" spans="1:22" x14ac:dyDescent="0.35">
      <c r="A75">
        <v>2.75</v>
      </c>
      <c r="B75" s="9">
        <v>15.8</v>
      </c>
      <c r="C75">
        <v>-8.0613395000000004E-2</v>
      </c>
      <c r="D75">
        <v>-3.5824551000000003E-2</v>
      </c>
      <c r="E75">
        <v>0.91940021000000005</v>
      </c>
      <c r="F75">
        <v>-3.9455033E-2</v>
      </c>
      <c r="G75">
        <f t="shared" si="16"/>
        <v>4.5925393556630798</v>
      </c>
      <c r="H75">
        <f t="shared" si="17"/>
        <v>-2.3770903499366098</v>
      </c>
      <c r="I75">
        <f t="shared" si="18"/>
        <v>4.5925494531385898</v>
      </c>
      <c r="J75">
        <f t="shared" si="19"/>
        <v>-2.3789055602592901</v>
      </c>
      <c r="K75" s="7">
        <f t="shared" si="20"/>
        <v>-1.00974755099514E-5</v>
      </c>
      <c r="L75" s="7">
        <f t="shared" si="21"/>
        <v>1.8152103226802799E-3</v>
      </c>
      <c r="M75" s="7">
        <f t="shared" si="22"/>
        <v>0.171679585395177</v>
      </c>
      <c r="N75" s="7">
        <f t="shared" si="23"/>
        <v>8.8928714746987603E-2</v>
      </c>
      <c r="O75">
        <v>1.7621144</v>
      </c>
      <c r="P75">
        <v>-3.4604811999999998</v>
      </c>
      <c r="Q75">
        <v>-6.2377039000000002E-2</v>
      </c>
      <c r="R75">
        <v>-12.048546999999999</v>
      </c>
      <c r="S75">
        <f t="shared" si="24"/>
        <v>3.1027026198183649</v>
      </c>
      <c r="T75">
        <f t="shared" si="25"/>
        <v>-27.282311546915484</v>
      </c>
      <c r="U75" s="8"/>
      <c r="V75" s="8"/>
    </row>
    <row r="76" spans="1:22" x14ac:dyDescent="0.35">
      <c r="A76">
        <v>3</v>
      </c>
      <c r="B76" s="9">
        <v>15.8</v>
      </c>
      <c r="C76">
        <v>-9.1486260999999999E-2</v>
      </c>
      <c r="D76">
        <v>-4.3473544000000003E-2</v>
      </c>
      <c r="E76">
        <v>0.90851744999999995</v>
      </c>
      <c r="F76">
        <v>-4.7487337999999997E-2</v>
      </c>
      <c r="G76">
        <f t="shared" si="16"/>
        <v>3.8823294747488402</v>
      </c>
      <c r="H76">
        <f t="shared" si="17"/>
        <v>-2.1776237232327702</v>
      </c>
      <c r="I76">
        <f t="shared" si="18"/>
        <v>3.8823353578423099</v>
      </c>
      <c r="J76">
        <f t="shared" si="19"/>
        <v>-2.1796306047022398</v>
      </c>
      <c r="K76" s="7">
        <f t="shared" si="20"/>
        <v>-5.8830934697162701E-6</v>
      </c>
      <c r="L76" s="7">
        <f t="shared" si="21"/>
        <v>2.0068814694695898E-3</v>
      </c>
      <c r="M76" s="7">
        <f t="shared" si="22"/>
        <v>0.19584690487356399</v>
      </c>
      <c r="N76" s="7">
        <f t="shared" si="23"/>
        <v>0.109952868145804</v>
      </c>
      <c r="O76">
        <v>1.9306212</v>
      </c>
      <c r="P76">
        <v>-3.6214528000000001</v>
      </c>
      <c r="Q76">
        <v>0.18442596</v>
      </c>
      <c r="R76">
        <v>-12.715191000000001</v>
      </c>
      <c r="S76">
        <f t="shared" si="24"/>
        <v>3.098624256735798</v>
      </c>
      <c r="T76">
        <f t="shared" si="25"/>
        <v>-27.23140049864227</v>
      </c>
      <c r="U76" s="8"/>
      <c r="V76" s="8"/>
    </row>
    <row r="77" spans="1:22" x14ac:dyDescent="0.35">
      <c r="A77">
        <v>3.25</v>
      </c>
      <c r="B77" s="9">
        <v>15.8</v>
      </c>
      <c r="C77">
        <v>-0.10219954000000001</v>
      </c>
      <c r="D77">
        <v>-5.1511438999999999E-2</v>
      </c>
      <c r="E77">
        <v>0.89772774</v>
      </c>
      <c r="F77">
        <v>-5.5974640999999999E-2</v>
      </c>
      <c r="G77">
        <f t="shared" si="16"/>
        <v>3.3318041941078902</v>
      </c>
      <c r="H77">
        <f t="shared" si="17"/>
        <v>-2.0131664144516299</v>
      </c>
      <c r="I77">
        <f t="shared" si="18"/>
        <v>3.3317728133472699</v>
      </c>
      <c r="J77">
        <f t="shared" si="19"/>
        <v>-2.0153981666274698</v>
      </c>
      <c r="K77" s="7">
        <f t="shared" si="20"/>
        <v>3.13807606202587E-5</v>
      </c>
      <c r="L77" s="7">
        <f t="shared" si="21"/>
        <v>2.2317521758399299E-3</v>
      </c>
      <c r="M77" s="7">
        <f t="shared" si="22"/>
        <v>0.21973711834234999</v>
      </c>
      <c r="N77" s="7">
        <f t="shared" si="23"/>
        <v>0.132919562724404</v>
      </c>
      <c r="O77">
        <v>2.0920942</v>
      </c>
      <c r="P77">
        <v>-3.7574494000000001</v>
      </c>
      <c r="Q77">
        <v>0.44437408</v>
      </c>
      <c r="R77">
        <v>-13.301292999999999</v>
      </c>
      <c r="S77">
        <f t="shared" si="24"/>
        <v>3.0946075656230372</v>
      </c>
      <c r="T77">
        <f t="shared" si="25"/>
        <v>-27.194991101805002</v>
      </c>
      <c r="U77" s="8"/>
      <c r="V77" s="8"/>
    </row>
    <row r="78" spans="1:22" x14ac:dyDescent="0.35">
      <c r="A78">
        <v>3.5</v>
      </c>
      <c r="B78" s="9">
        <v>15.8</v>
      </c>
      <c r="C78">
        <v>-0.11270904</v>
      </c>
      <c r="D78">
        <v>-5.9800832999999998E-2</v>
      </c>
      <c r="E78">
        <v>0.88735235000000001</v>
      </c>
      <c r="F78">
        <v>-6.4697164000000001E-2</v>
      </c>
      <c r="G78">
        <f t="shared" si="16"/>
        <v>2.8997759920556501</v>
      </c>
      <c r="H78">
        <f t="shared" si="17"/>
        <v>-1.8769877581088299</v>
      </c>
      <c r="I78">
        <f t="shared" si="18"/>
        <v>2.89981267904002</v>
      </c>
      <c r="J78">
        <f t="shared" si="19"/>
        <v>-1.8794357586516499</v>
      </c>
      <c r="K78" s="7">
        <f t="shared" si="20"/>
        <v>-3.6686984369982398E-5</v>
      </c>
      <c r="L78" s="7">
        <f t="shared" si="21"/>
        <v>2.4480005428200199E-3</v>
      </c>
      <c r="M78" s="7">
        <f t="shared" si="22"/>
        <v>0.24284113306282501</v>
      </c>
      <c r="N78" s="7">
        <f t="shared" si="23"/>
        <v>0.15739096268137201</v>
      </c>
      <c r="O78">
        <v>2.2438235999999998</v>
      </c>
      <c r="P78">
        <v>-3.8750385000000001</v>
      </c>
      <c r="Q78">
        <v>0.70310106000000006</v>
      </c>
      <c r="R78">
        <v>-13.813974999999999</v>
      </c>
      <c r="S78">
        <f t="shared" si="24"/>
        <v>3.0889868330837769</v>
      </c>
      <c r="T78">
        <f t="shared" si="25"/>
        <v>-27.159078344596153</v>
      </c>
      <c r="U78" s="8"/>
      <c r="V78" s="8"/>
    </row>
    <row r="79" spans="1:22" x14ac:dyDescent="0.35">
      <c r="A79">
        <v>3.75</v>
      </c>
      <c r="B79" s="9">
        <v>15.8</v>
      </c>
      <c r="C79">
        <v>-0.12297461</v>
      </c>
      <c r="D79">
        <v>-6.8230185999999998E-2</v>
      </c>
      <c r="E79">
        <v>0.87712908999999994</v>
      </c>
      <c r="F79">
        <v>-7.3573740999999998E-2</v>
      </c>
      <c r="G79">
        <f t="shared" si="16"/>
        <v>2.5521180505236098</v>
      </c>
      <c r="H79">
        <f t="shared" si="17"/>
        <v>-1.7591458306263299</v>
      </c>
      <c r="I79">
        <f t="shared" si="18"/>
        <v>2.55217703506912</v>
      </c>
      <c r="J79">
        <f t="shared" si="19"/>
        <v>-1.76181731201644</v>
      </c>
      <c r="K79" s="7">
        <f t="shared" si="20"/>
        <v>-5.8984545510121202E-5</v>
      </c>
      <c r="L79" s="7">
        <f t="shared" si="21"/>
        <v>2.6714813901100899E-3</v>
      </c>
      <c r="M79" s="7">
        <f t="shared" si="22"/>
        <v>0.265365054639149</v>
      </c>
      <c r="N79" s="7">
        <f t="shared" si="23"/>
        <v>0.18318664451691399</v>
      </c>
      <c r="O79">
        <v>2.3848880000000001</v>
      </c>
      <c r="P79">
        <v>-3.9758871</v>
      </c>
      <c r="Q79">
        <v>0.95235420000000004</v>
      </c>
      <c r="R79">
        <v>-14.260056000000001</v>
      </c>
      <c r="S79">
        <f t="shared" si="24"/>
        <v>3.0825856023607554</v>
      </c>
      <c r="T79">
        <f t="shared" si="25"/>
        <v>-27.136119121868884</v>
      </c>
      <c r="U79" s="8"/>
      <c r="V79" s="8"/>
    </row>
    <row r="80" spans="1:22" x14ac:dyDescent="0.35">
      <c r="A80">
        <v>4</v>
      </c>
      <c r="B80" s="9">
        <v>15.8</v>
      </c>
      <c r="C80">
        <v>-0.13300873999999999</v>
      </c>
      <c r="D80">
        <v>-7.6675864999999996E-2</v>
      </c>
      <c r="E80">
        <v>0.86701841000000002</v>
      </c>
      <c r="F80">
        <v>-8.2592351999999994E-2</v>
      </c>
      <c r="G80">
        <f t="shared" si="16"/>
        <v>2.26734237011076</v>
      </c>
      <c r="H80">
        <f t="shared" si="17"/>
        <v>-1.6555415568535901</v>
      </c>
      <c r="I80">
        <f t="shared" si="18"/>
        <v>2.2673646956981202</v>
      </c>
      <c r="J80">
        <f t="shared" si="19"/>
        <v>-1.65849969415235</v>
      </c>
      <c r="K80" s="7">
        <f t="shared" si="20"/>
        <v>-2.2325587360150199E-5</v>
      </c>
      <c r="L80" s="7">
        <f t="shared" si="21"/>
        <v>2.95813729875993E-3</v>
      </c>
      <c r="M80" s="7">
        <f t="shared" si="22"/>
        <v>0.28731500178848202</v>
      </c>
      <c r="N80" s="7">
        <f t="shared" si="23"/>
        <v>0.21016109296209201</v>
      </c>
      <c r="O80">
        <v>2.5136688</v>
      </c>
      <c r="P80">
        <v>-4.0628305999999998</v>
      </c>
      <c r="Q80">
        <v>1.1832141</v>
      </c>
      <c r="R80">
        <v>-14.64925</v>
      </c>
      <c r="S80">
        <f t="shared" si="24"/>
        <v>3.0762443792701539</v>
      </c>
      <c r="T80">
        <f t="shared" si="25"/>
        <v>-27.12729980838343</v>
      </c>
      <c r="U80" s="8"/>
      <c r="V80" s="8"/>
    </row>
    <row r="81" spans="1:22" x14ac:dyDescent="0.35">
      <c r="A81">
        <v>4.25</v>
      </c>
      <c r="B81" s="9">
        <v>15.8</v>
      </c>
      <c r="C81">
        <v>-0.14285758000000001</v>
      </c>
      <c r="D81">
        <v>-8.5027822000000003E-2</v>
      </c>
      <c r="E81">
        <v>0.85715269000000005</v>
      </c>
      <c r="F81">
        <v>-9.1483086000000005E-2</v>
      </c>
      <c r="G81">
        <f t="shared" si="16"/>
        <v>2.0332101306652901</v>
      </c>
      <c r="H81">
        <f t="shared" si="17"/>
        <v>-1.56342975897462</v>
      </c>
      <c r="I81">
        <f t="shared" si="18"/>
        <v>2.0332256829782498</v>
      </c>
      <c r="J81">
        <f t="shared" si="19"/>
        <v>-1.5666573242039299</v>
      </c>
      <c r="K81" s="7">
        <f t="shared" si="20"/>
        <v>-1.5552312959688E-5</v>
      </c>
      <c r="L81" s="7">
        <f t="shared" si="21"/>
        <v>3.22756522930989E-3</v>
      </c>
      <c r="M81" s="7">
        <f t="shared" si="22"/>
        <v>0.30860587397908101</v>
      </c>
      <c r="N81" s="7">
        <f t="shared" si="23"/>
        <v>0.23778946764703701</v>
      </c>
      <c r="O81">
        <v>2.6301260000000002</v>
      </c>
      <c r="P81">
        <v>-4.1420146000000004</v>
      </c>
      <c r="Q81">
        <v>1.3880975</v>
      </c>
      <c r="R81">
        <v>-14.991154999999999</v>
      </c>
      <c r="S81">
        <f t="shared" si="24"/>
        <v>3.0684296158159943</v>
      </c>
      <c r="T81">
        <f t="shared" si="25"/>
        <v>-27.124836420444833</v>
      </c>
      <c r="U81" s="8"/>
      <c r="V81" s="8"/>
    </row>
    <row r="82" spans="1:22" x14ac:dyDescent="0.35">
      <c r="A82">
        <v>4.5</v>
      </c>
      <c r="B82" s="9">
        <v>15.8</v>
      </c>
      <c r="C82">
        <v>-0.15250952000000001</v>
      </c>
      <c r="D82">
        <v>-9.3213377E-2</v>
      </c>
      <c r="E82">
        <v>0.84758361000000004</v>
      </c>
      <c r="F82">
        <v>-0.1000669</v>
      </c>
      <c r="G82">
        <f t="shared" si="16"/>
        <v>1.83948865228756</v>
      </c>
      <c r="H82">
        <f t="shared" si="17"/>
        <v>-1.48121309152436</v>
      </c>
      <c r="I82">
        <f t="shared" si="18"/>
        <v>1.8395469560356399</v>
      </c>
      <c r="J82">
        <f t="shared" si="19"/>
        <v>-1.4846394936809</v>
      </c>
      <c r="K82" s="7">
        <f t="shared" si="20"/>
        <v>-5.83037480799131E-5</v>
      </c>
      <c r="L82" s="7">
        <f t="shared" si="21"/>
        <v>3.42640215654E-3</v>
      </c>
      <c r="M82" s="7">
        <f t="shared" si="22"/>
        <v>0.32919079724358002</v>
      </c>
      <c r="N82" s="7">
        <f t="shared" si="23"/>
        <v>0.26567936031237299</v>
      </c>
      <c r="O82">
        <v>2.7350495000000001</v>
      </c>
      <c r="P82">
        <v>-4.2147315000000001</v>
      </c>
      <c r="Q82">
        <v>1.5655330999999999</v>
      </c>
      <c r="R82">
        <v>-15.289913</v>
      </c>
      <c r="S82">
        <f t="shared" si="24"/>
        <v>3.0590505229003062</v>
      </c>
      <c r="T82">
        <f t="shared" si="25"/>
        <v>-27.134455831379988</v>
      </c>
      <c r="U82" s="8"/>
      <c r="V82" s="8"/>
    </row>
    <row r="83" spans="1:22" x14ac:dyDescent="0.35">
      <c r="A83">
        <v>4.75</v>
      </c>
      <c r="B83" s="9">
        <v>15.8</v>
      </c>
      <c r="C83">
        <v>-0.16211276999999999</v>
      </c>
      <c r="D83">
        <v>-0.10114086999999999</v>
      </c>
      <c r="E83">
        <v>0.83786055000000004</v>
      </c>
      <c r="F83">
        <v>-0.10847978</v>
      </c>
      <c r="G83">
        <f t="shared" si="16"/>
        <v>1.6750168813336499</v>
      </c>
      <c r="H83">
        <f t="shared" si="17"/>
        <v>-1.4042572883816899</v>
      </c>
      <c r="I83">
        <f t="shared" si="18"/>
        <v>1.6750170064132599</v>
      </c>
      <c r="J83">
        <f t="shared" si="19"/>
        <v>-1.40792679187389</v>
      </c>
      <c r="K83" s="7">
        <f t="shared" si="20"/>
        <v>-1.25079610002743E-7</v>
      </c>
      <c r="L83" s="7">
        <f t="shared" si="21"/>
        <v>3.6695034922000799E-3</v>
      </c>
      <c r="M83" s="7">
        <f t="shared" si="22"/>
        <v>0.34984086440465401</v>
      </c>
      <c r="N83" s="7">
        <f t="shared" si="23"/>
        <v>0.29405691046823501</v>
      </c>
      <c r="O83">
        <v>2.8275233000000002</v>
      </c>
      <c r="P83">
        <v>-4.2914870000000001</v>
      </c>
      <c r="Q83">
        <v>1.7108928999999999</v>
      </c>
      <c r="R83">
        <v>-15.568716999999999</v>
      </c>
      <c r="S83">
        <f t="shared" si="24"/>
        <v>3.0476206682349893</v>
      </c>
      <c r="T83">
        <f t="shared" si="25"/>
        <v>-27.108366674797107</v>
      </c>
      <c r="U83" s="8"/>
      <c r="V83" s="8"/>
    </row>
    <row r="84" spans="1:22" x14ac:dyDescent="0.35">
      <c r="A84">
        <v>5</v>
      </c>
      <c r="B84" s="9">
        <v>15.8</v>
      </c>
      <c r="C84">
        <v>-0.17060919999999999</v>
      </c>
      <c r="D84">
        <v>-0.10919951</v>
      </c>
      <c r="E84">
        <v>0.82942716999999999</v>
      </c>
      <c r="F84">
        <v>-0.11702220000000001</v>
      </c>
      <c r="G84">
        <f t="shared" si="16"/>
        <v>1.5359010232398</v>
      </c>
      <c r="H84">
        <f t="shared" si="17"/>
        <v>-1.3479654606395699</v>
      </c>
      <c r="I84">
        <f t="shared" si="18"/>
        <v>1.53593450546021</v>
      </c>
      <c r="J84">
        <f t="shared" si="19"/>
        <v>-1.3518766035549199</v>
      </c>
      <c r="K84" s="7">
        <f t="shared" si="20"/>
        <v>-3.3482220409997202E-5</v>
      </c>
      <c r="L84" s="7">
        <f t="shared" si="21"/>
        <v>3.9111429153500001E-3</v>
      </c>
      <c r="M84" s="7">
        <f t="shared" si="22"/>
        <v>0.36686346963956601</v>
      </c>
      <c r="N84" s="7">
        <f t="shared" si="23"/>
        <v>0.32290057912079401</v>
      </c>
      <c r="O84">
        <v>2.9193783</v>
      </c>
      <c r="P84">
        <v>-4.3353516000000001</v>
      </c>
      <c r="Q84">
        <v>1.8764354999999999</v>
      </c>
      <c r="R84">
        <v>-15.757702</v>
      </c>
      <c r="S84">
        <f t="shared" si="24"/>
        <v>3.0361669439415144</v>
      </c>
      <c r="T84">
        <f t="shared" si="25"/>
        <v>-27.165059174000486</v>
      </c>
      <c r="U84" s="8"/>
      <c r="V84" s="8"/>
    </row>
    <row r="85" spans="1:22" x14ac:dyDescent="0.35">
      <c r="A85">
        <v>1</v>
      </c>
      <c r="B85" s="9">
        <v>16</v>
      </c>
      <c r="C85">
        <v>-1.5033477999999999E-2</v>
      </c>
      <c r="D85">
        <v>2.2754888999999999E-3</v>
      </c>
      <c r="E85">
        <v>0.9848517</v>
      </c>
      <c r="F85">
        <v>8.4191981999999998E-4</v>
      </c>
      <c r="G85">
        <f t="shared" si="16"/>
        <v>32.282863443472898</v>
      </c>
      <c r="H85">
        <f t="shared" si="17"/>
        <v>3.3864245448631198</v>
      </c>
      <c r="I85">
        <f t="shared" si="18"/>
        <v>32.282806543045098</v>
      </c>
      <c r="J85">
        <f t="shared" si="19"/>
        <v>3.3857076783817601</v>
      </c>
      <c r="K85" s="7">
        <f t="shared" si="20"/>
        <v>5.6900427800599098E-5</v>
      </c>
      <c r="L85" s="7">
        <f t="shared" si="21"/>
        <v>7.1686648135971297E-4</v>
      </c>
      <c r="M85" s="7">
        <f t="shared" si="22"/>
        <v>3.06392377170626E-2</v>
      </c>
      <c r="N85" s="7">
        <f t="shared" si="23"/>
        <v>-3.21333593657987E-3</v>
      </c>
      <c r="O85">
        <v>0.24152725</v>
      </c>
      <c r="P85">
        <v>-1.7835021</v>
      </c>
      <c r="Q85">
        <v>-1.7912201999999999</v>
      </c>
      <c r="R85">
        <v>-5.1224468999999999</v>
      </c>
      <c r="S85">
        <f t="shared" si="24"/>
        <v>3.0151401470978145</v>
      </c>
      <c r="T85">
        <f t="shared" si="25"/>
        <v>-26.985990581478394</v>
      </c>
      <c r="U85" s="8"/>
      <c r="V85" s="8"/>
    </row>
    <row r="86" spans="1:22" x14ac:dyDescent="0.35">
      <c r="A86">
        <v>1.25</v>
      </c>
      <c r="B86" s="9">
        <v>16</v>
      </c>
      <c r="C86">
        <v>-2.3118573999999999E-2</v>
      </c>
      <c r="D86">
        <v>8.3695706999999998E-4</v>
      </c>
      <c r="E86">
        <v>0.97685675000000005</v>
      </c>
      <c r="F86">
        <v>-8.7177577000000005E-4</v>
      </c>
      <c r="G86">
        <f t="shared" si="16"/>
        <v>21.116088938357699</v>
      </c>
      <c r="H86">
        <f t="shared" si="17"/>
        <v>-1.5842029188330602E-2</v>
      </c>
      <c r="I86">
        <f t="shared" si="18"/>
        <v>21.116077330174001</v>
      </c>
      <c r="J86">
        <f t="shared" si="19"/>
        <v>-1.6696416067398301E-2</v>
      </c>
      <c r="K86" s="7">
        <f t="shared" si="20"/>
        <v>1.1608183697830999E-5</v>
      </c>
      <c r="L86" s="7">
        <f t="shared" si="21"/>
        <v>8.5438687906769901E-4</v>
      </c>
      <c r="M86" s="7">
        <f t="shared" si="22"/>
        <v>4.7357251025497302E-2</v>
      </c>
      <c r="N86" s="7">
        <f t="shared" si="23"/>
        <v>3.7445229744449401E-5</v>
      </c>
      <c r="O86">
        <v>0.32603421999999999</v>
      </c>
      <c r="P86">
        <v>-2.186572</v>
      </c>
      <c r="Q86">
        <v>-2.1275170999999999</v>
      </c>
      <c r="R86">
        <v>-6.3540342000000001</v>
      </c>
      <c r="S86">
        <f t="shared" si="24"/>
        <v>3.0309921854503092</v>
      </c>
      <c r="T86">
        <f t="shared" si="25"/>
        <v>-26.992803923587541</v>
      </c>
      <c r="U86" s="8"/>
      <c r="V86" s="8"/>
    </row>
    <row r="87" spans="1:22" x14ac:dyDescent="0.35">
      <c r="A87">
        <v>1.5</v>
      </c>
      <c r="B87" s="9">
        <v>16</v>
      </c>
      <c r="C87">
        <v>-3.2620902E-2</v>
      </c>
      <c r="D87">
        <v>-1.1943682E-3</v>
      </c>
      <c r="E87">
        <v>0.96738462000000003</v>
      </c>
      <c r="F87">
        <v>-3.0716019000000001E-3</v>
      </c>
      <c r="G87">
        <f t="shared" si="16"/>
        <v>14.7636212011215</v>
      </c>
      <c r="H87">
        <f t="shared" si="17"/>
        <v>-0.99765869074642399</v>
      </c>
      <c r="I87">
        <f t="shared" si="18"/>
        <v>14.763624843107401</v>
      </c>
      <c r="J87">
        <f t="shared" si="19"/>
        <v>-0.99859730158649296</v>
      </c>
      <c r="K87" s="7">
        <f t="shared" si="20"/>
        <v>-3.6419859004155299E-6</v>
      </c>
      <c r="L87" s="7">
        <f t="shared" si="21"/>
        <v>9.3861084006896501E-4</v>
      </c>
      <c r="M87" s="7">
        <f t="shared" si="22"/>
        <v>6.7425568416106502E-2</v>
      </c>
      <c r="N87" s="7">
        <f t="shared" si="23"/>
        <v>4.5606002180212301E-3</v>
      </c>
      <c r="O87">
        <v>0.43277017000000001</v>
      </c>
      <c r="P87">
        <v>-2.5689913</v>
      </c>
      <c r="Q87">
        <v>-2.3795966000000002</v>
      </c>
      <c r="R87">
        <v>-7.5522809000000004</v>
      </c>
      <c r="S87">
        <f t="shared" si="24"/>
        <v>3.0394335875551124</v>
      </c>
      <c r="T87">
        <f t="shared" si="25"/>
        <v>-27.050983105216559</v>
      </c>
      <c r="U87" s="8"/>
      <c r="V87" s="8"/>
    </row>
    <row r="88" spans="1:22" x14ac:dyDescent="0.35">
      <c r="A88">
        <v>1.75</v>
      </c>
      <c r="B88" s="9">
        <v>16</v>
      </c>
      <c r="C88">
        <v>-4.3312929E-2</v>
      </c>
      <c r="D88">
        <v>-3.9558883E-3</v>
      </c>
      <c r="E88">
        <v>0.95674013000000002</v>
      </c>
      <c r="F88">
        <v>-6.0853191999999997E-3</v>
      </c>
      <c r="G88">
        <f t="shared" si="16"/>
        <v>10.897629528869199</v>
      </c>
      <c r="H88">
        <f t="shared" si="17"/>
        <v>-1.32143142083525</v>
      </c>
      <c r="I88">
        <f t="shared" si="18"/>
        <v>10.8976571911929</v>
      </c>
      <c r="J88">
        <f t="shared" si="19"/>
        <v>-1.3224960785879101</v>
      </c>
      <c r="K88" s="7">
        <f t="shared" si="20"/>
        <v>-2.76623237009943E-5</v>
      </c>
      <c r="L88" s="7">
        <f t="shared" si="21"/>
        <v>1.06465775266007E-3</v>
      </c>
      <c r="M88" s="7">
        <f t="shared" si="22"/>
        <v>9.0431039350518105E-2</v>
      </c>
      <c r="N88" s="7">
        <f t="shared" si="23"/>
        <v>1.0974349149131001E-2</v>
      </c>
      <c r="O88">
        <v>0.55934846999999999</v>
      </c>
      <c r="P88">
        <v>-2.9274334999999998</v>
      </c>
      <c r="Q88">
        <v>-2.5370949</v>
      </c>
      <c r="R88">
        <v>-8.7090715999999997</v>
      </c>
      <c r="S88">
        <f t="shared" si="24"/>
        <v>3.0435913134111847</v>
      </c>
      <c r="T88">
        <f t="shared" si="25"/>
        <v>-27.058901336112381</v>
      </c>
      <c r="U88" s="8"/>
      <c r="V88" s="8"/>
    </row>
    <row r="89" spans="1:22" x14ac:dyDescent="0.35">
      <c r="A89">
        <v>2</v>
      </c>
      <c r="B89" s="9">
        <v>16</v>
      </c>
      <c r="C89">
        <v>-5.4943350000000002E-2</v>
      </c>
      <c r="D89">
        <v>-7.5281513E-3</v>
      </c>
      <c r="E89">
        <v>0.94517251999999996</v>
      </c>
      <c r="F89">
        <v>-9.9207641999999995E-3</v>
      </c>
      <c r="G89">
        <f t="shared" si="16"/>
        <v>8.3853469980998394</v>
      </c>
      <c r="H89">
        <f t="shared" si="17"/>
        <v>-1.4118007014187599</v>
      </c>
      <c r="I89">
        <f t="shared" si="18"/>
        <v>8.3854063606419391</v>
      </c>
      <c r="J89">
        <f t="shared" si="19"/>
        <v>-1.41299686755309</v>
      </c>
      <c r="K89" s="7">
        <f t="shared" si="20"/>
        <v>-5.93625420997057E-5</v>
      </c>
      <c r="L89" s="7">
        <f t="shared" si="21"/>
        <v>1.1961661343300499E-3</v>
      </c>
      <c r="M89" s="7">
        <f t="shared" si="22"/>
        <v>0.11596211898045899</v>
      </c>
      <c r="N89" s="7">
        <f t="shared" si="23"/>
        <v>1.9540390033246102E-2</v>
      </c>
      <c r="O89">
        <v>0.70365255000000004</v>
      </c>
      <c r="P89">
        <v>-3.2574983</v>
      </c>
      <c r="Q89">
        <v>-2.6011131999999999</v>
      </c>
      <c r="R89">
        <v>-9.8100210000000008</v>
      </c>
      <c r="S89">
        <f t="shared" si="24"/>
        <v>3.0453441454177268</v>
      </c>
      <c r="T89">
        <f t="shared" si="25"/>
        <v>-27.039367881734279</v>
      </c>
      <c r="U89" s="8"/>
      <c r="V89" s="8"/>
    </row>
    <row r="90" spans="1:22" x14ac:dyDescent="0.35">
      <c r="A90">
        <v>2.25</v>
      </c>
      <c r="B90" s="9">
        <v>16</v>
      </c>
      <c r="C90">
        <v>-6.7273429999999995E-2</v>
      </c>
      <c r="D90">
        <v>-1.1919903000000001E-2</v>
      </c>
      <c r="E90">
        <v>0.93269537999999996</v>
      </c>
      <c r="F90">
        <v>-1.4554362E-2</v>
      </c>
      <c r="G90">
        <f t="shared" si="16"/>
        <v>6.65379499059756</v>
      </c>
      <c r="H90">
        <f t="shared" si="17"/>
        <v>-1.4066383274954299</v>
      </c>
      <c r="I90">
        <f t="shared" si="18"/>
        <v>6.6537811305260801</v>
      </c>
      <c r="J90">
        <f t="shared" si="19"/>
        <v>-1.40795559579512</v>
      </c>
      <c r="K90" s="7">
        <f t="shared" si="20"/>
        <v>1.3860071479854201E-5</v>
      </c>
      <c r="L90" s="7">
        <f t="shared" si="21"/>
        <v>1.3172682996900301E-3</v>
      </c>
      <c r="M90" s="7">
        <f t="shared" si="22"/>
        <v>0.14384954408798101</v>
      </c>
      <c r="N90" s="7">
        <f t="shared" si="23"/>
        <v>3.0438898812296299E-2</v>
      </c>
      <c r="O90">
        <v>0.86154516000000003</v>
      </c>
      <c r="P90">
        <v>-3.5562337999999998</v>
      </c>
      <c r="Q90">
        <v>-2.5846684999999998</v>
      </c>
      <c r="R90">
        <v>-10.844123</v>
      </c>
      <c r="S90">
        <f t="shared" si="24"/>
        <v>3.046616287246291</v>
      </c>
      <c r="T90">
        <f t="shared" si="25"/>
        <v>-27.024458058847078</v>
      </c>
      <c r="U90" s="8"/>
      <c r="V90" s="8"/>
    </row>
    <row r="91" spans="1:22" x14ac:dyDescent="0.35">
      <c r="A91">
        <v>2.5</v>
      </c>
      <c r="B91" s="9">
        <v>16</v>
      </c>
      <c r="C91">
        <v>-8.0023861000000002E-2</v>
      </c>
      <c r="D91">
        <v>-1.7188506999999999E-2</v>
      </c>
      <c r="E91">
        <v>0.91994047000000001</v>
      </c>
      <c r="F91">
        <v>-2.0215469999999999E-2</v>
      </c>
      <c r="G91">
        <f t="shared" si="16"/>
        <v>5.4233732124099996</v>
      </c>
      <c r="H91">
        <f t="shared" si="17"/>
        <v>-1.3832557996308401</v>
      </c>
      <c r="I91">
        <f t="shared" si="18"/>
        <v>5.4233576683354903</v>
      </c>
      <c r="J91">
        <f t="shared" si="19"/>
        <v>-1.3847693316495899</v>
      </c>
      <c r="K91" s="7">
        <f t="shared" si="20"/>
        <v>1.55440745093216E-5</v>
      </c>
      <c r="L91" s="7">
        <f t="shared" si="21"/>
        <v>1.51353201874982E-3</v>
      </c>
      <c r="M91" s="7">
        <f t="shared" si="22"/>
        <v>0.173102118718509</v>
      </c>
      <c r="N91" s="7">
        <f t="shared" si="23"/>
        <v>4.4198911431656898E-2</v>
      </c>
      <c r="O91">
        <v>1.0318594999999999</v>
      </c>
      <c r="P91">
        <v>-3.8225566999999998</v>
      </c>
      <c r="Q91">
        <v>-2.4852177000000002</v>
      </c>
      <c r="R91">
        <v>-11.803070999999999</v>
      </c>
      <c r="S91">
        <f t="shared" si="24"/>
        <v>3.0464061880493709</v>
      </c>
      <c r="T91">
        <f t="shared" si="25"/>
        <v>-26.996684998583103</v>
      </c>
      <c r="U91" s="8"/>
      <c r="V91" s="8"/>
    </row>
    <row r="92" spans="1:22" x14ac:dyDescent="0.35">
      <c r="A92">
        <v>2.75</v>
      </c>
      <c r="B92" s="9">
        <v>16</v>
      </c>
      <c r="C92">
        <v>-9.2970828000000005E-2</v>
      </c>
      <c r="D92">
        <v>-2.3260758999999999E-2</v>
      </c>
      <c r="E92">
        <v>0.90698577000000002</v>
      </c>
      <c r="F92">
        <v>-2.6694583000000001E-2</v>
      </c>
      <c r="G92">
        <f t="shared" si="16"/>
        <v>4.5149791324919297</v>
      </c>
      <c r="H92">
        <f t="shared" si="17"/>
        <v>-1.34615579074995</v>
      </c>
      <c r="I92">
        <f t="shared" si="18"/>
        <v>4.51496037899103</v>
      </c>
      <c r="J92">
        <f t="shared" si="19"/>
        <v>-1.3478727722082799</v>
      </c>
      <c r="K92" s="7">
        <f t="shared" si="20"/>
        <v>1.8753500899748601E-5</v>
      </c>
      <c r="L92" s="7">
        <f t="shared" si="21"/>
        <v>1.7169814583299901E-3</v>
      </c>
      <c r="M92" s="7">
        <f t="shared" si="22"/>
        <v>0.20336167831569901</v>
      </c>
      <c r="N92" s="7">
        <f t="shared" si="23"/>
        <v>6.07105369933644E-2</v>
      </c>
      <c r="O92">
        <v>1.2091970000000001</v>
      </c>
      <c r="P92">
        <v>-4.0558985999999999</v>
      </c>
      <c r="Q92">
        <v>-2.3204012000000001</v>
      </c>
      <c r="R92">
        <v>-12.679118000000001</v>
      </c>
      <c r="S92">
        <f t="shared" si="24"/>
        <v>3.0455446320629891</v>
      </c>
      <c r="T92">
        <f t="shared" si="25"/>
        <v>-26.971967594099411</v>
      </c>
      <c r="U92" s="8"/>
      <c r="V92" s="8"/>
    </row>
    <row r="93" spans="1:22" x14ac:dyDescent="0.35">
      <c r="A93">
        <v>3</v>
      </c>
      <c r="B93" s="9">
        <v>16</v>
      </c>
      <c r="C93">
        <v>-0.10590046</v>
      </c>
      <c r="D93">
        <v>-3.0067567E-2</v>
      </c>
      <c r="E93">
        <v>0.89405466</v>
      </c>
      <c r="F93">
        <v>-3.3942588000000003E-2</v>
      </c>
      <c r="G93">
        <f t="shared" si="16"/>
        <v>3.8255166711697499</v>
      </c>
      <c r="H93">
        <f t="shared" si="17"/>
        <v>-1.3060025704935201</v>
      </c>
      <c r="I93">
        <f t="shared" si="18"/>
        <v>3.8254979848517499</v>
      </c>
      <c r="J93">
        <f t="shared" si="19"/>
        <v>-1.3079401606779799</v>
      </c>
      <c r="K93" s="7">
        <f t="shared" si="20"/>
        <v>1.8686318000060699E-5</v>
      </c>
      <c r="L93" s="7">
        <f t="shared" si="21"/>
        <v>1.9375901844598301E-3</v>
      </c>
      <c r="M93" s="7">
        <f t="shared" si="22"/>
        <v>0.234044948374873</v>
      </c>
      <c r="N93" s="7">
        <f t="shared" si="23"/>
        <v>8.0020114661010305E-2</v>
      </c>
      <c r="O93">
        <v>1.3897192</v>
      </c>
      <c r="P93">
        <v>-4.2567877999999997</v>
      </c>
      <c r="Q93">
        <v>-2.1013472000000002</v>
      </c>
      <c r="R93">
        <v>-13.468500000000001</v>
      </c>
      <c r="S93">
        <f t="shared" si="24"/>
        <v>3.0441610759963447</v>
      </c>
      <c r="T93">
        <f t="shared" si="25"/>
        <v>-26.948137080162038</v>
      </c>
      <c r="U93" s="8"/>
      <c r="V93" s="8"/>
    </row>
    <row r="94" spans="1:22" x14ac:dyDescent="0.35">
      <c r="A94">
        <v>3.25</v>
      </c>
      <c r="B94" s="9">
        <v>16</v>
      </c>
      <c r="C94">
        <v>-0.11866353</v>
      </c>
      <c r="D94">
        <v>-3.7456115999999998E-2</v>
      </c>
      <c r="E94">
        <v>0.88136144999999999</v>
      </c>
      <c r="F94">
        <v>-4.1703591999999998E-2</v>
      </c>
      <c r="G94">
        <f t="shared" si="16"/>
        <v>3.2920597251752701</v>
      </c>
      <c r="H94">
        <f t="shared" si="17"/>
        <v>-1.26390395367033</v>
      </c>
      <c r="I94">
        <f t="shared" si="18"/>
        <v>3.2920767250930201</v>
      </c>
      <c r="J94">
        <f t="shared" si="19"/>
        <v>-1.2660276290422501</v>
      </c>
      <c r="K94" s="7">
        <f t="shared" si="20"/>
        <v>-1.69999177499491E-5</v>
      </c>
      <c r="L94" s="7">
        <f t="shared" si="21"/>
        <v>2.1236753719200401E-3</v>
      </c>
      <c r="M94" s="7">
        <f t="shared" si="22"/>
        <v>0.26462373326744898</v>
      </c>
      <c r="N94" s="7">
        <f t="shared" si="23"/>
        <v>0.101765841319337</v>
      </c>
      <c r="O94">
        <v>1.5683749</v>
      </c>
      <c r="P94">
        <v>-4.4283992999999997</v>
      </c>
      <c r="Q94">
        <v>-1.8466</v>
      </c>
      <c r="R94">
        <v>-14.171132</v>
      </c>
      <c r="S94">
        <f t="shared" si="24"/>
        <v>3.0419666996503163</v>
      </c>
      <c r="T94">
        <f t="shared" si="25"/>
        <v>-26.926476682791233</v>
      </c>
      <c r="U94" s="8"/>
      <c r="V94" s="8"/>
    </row>
    <row r="95" spans="1:22" x14ac:dyDescent="0.35">
      <c r="A95">
        <v>3.5</v>
      </c>
      <c r="B95" s="9">
        <v>16</v>
      </c>
      <c r="C95">
        <v>-0.13114074000000001</v>
      </c>
      <c r="D95">
        <v>-4.5309394000000003E-2</v>
      </c>
      <c r="E95">
        <v>0.86874989999999996</v>
      </c>
      <c r="F95">
        <v>-5.0077322000000001E-2</v>
      </c>
      <c r="G95">
        <f t="shared" si="16"/>
        <v>2.8662719830574401</v>
      </c>
      <c r="H95">
        <f t="shared" si="17"/>
        <v>-1.22253694192199</v>
      </c>
      <c r="I95">
        <f t="shared" si="18"/>
        <v>2.8662229842518001</v>
      </c>
      <c r="J95">
        <f t="shared" si="19"/>
        <v>-1.2249211531020401</v>
      </c>
      <c r="K95" s="7">
        <f t="shared" si="20"/>
        <v>4.89988056400215E-5</v>
      </c>
      <c r="L95" s="7">
        <f t="shared" si="21"/>
        <v>2.3842111800500602E-3</v>
      </c>
      <c r="M95" s="7">
        <f t="shared" si="22"/>
        <v>0.295010447699039</v>
      </c>
      <c r="N95" s="7">
        <f t="shared" si="23"/>
        <v>0.12607691019091699</v>
      </c>
      <c r="O95">
        <v>1.7415745</v>
      </c>
      <c r="P95">
        <v>-4.5726126000000002</v>
      </c>
      <c r="Q95">
        <v>-1.5710736000000001</v>
      </c>
      <c r="R95">
        <v>-14.790656</v>
      </c>
      <c r="S95">
        <f t="shared" si="24"/>
        <v>3.0397981087717465</v>
      </c>
      <c r="T95">
        <f t="shared" si="25"/>
        <v>-26.913636279879139</v>
      </c>
      <c r="U95" s="8"/>
      <c r="V95" s="8"/>
    </row>
    <row r="96" spans="1:22" x14ac:dyDescent="0.35">
      <c r="A96">
        <v>3.75</v>
      </c>
      <c r="B96" s="9">
        <v>16</v>
      </c>
      <c r="C96">
        <v>-0.14327825</v>
      </c>
      <c r="D96">
        <v>-5.3447940999999999E-2</v>
      </c>
      <c r="E96">
        <v>0.85656717999999998</v>
      </c>
      <c r="F96">
        <v>-5.8699744999999998E-2</v>
      </c>
      <c r="G96">
        <f t="shared" si="16"/>
        <v>2.5250408739935599</v>
      </c>
      <c r="H96">
        <f t="shared" si="17"/>
        <v>-1.1819246938249499</v>
      </c>
      <c r="I96">
        <f t="shared" si="18"/>
        <v>2.5249704799328598</v>
      </c>
      <c r="J96">
        <f t="shared" si="19"/>
        <v>-1.18455098364567</v>
      </c>
      <c r="K96" s="7">
        <f t="shared" si="20"/>
        <v>7.0394060700085194E-5</v>
      </c>
      <c r="L96" s="7">
        <f t="shared" si="21"/>
        <v>2.6262898207201099E-3</v>
      </c>
      <c r="M96" s="7">
        <f t="shared" si="22"/>
        <v>0.324603204104364</v>
      </c>
      <c r="N96" s="7">
        <f t="shared" si="23"/>
        <v>0.15228259014203799</v>
      </c>
      <c r="O96">
        <v>1.9054424999999999</v>
      </c>
      <c r="P96">
        <v>-4.6940780999999996</v>
      </c>
      <c r="Q96">
        <v>-1.2887122</v>
      </c>
      <c r="R96">
        <v>-15.332431</v>
      </c>
      <c r="S96">
        <f t="shared" si="24"/>
        <v>3.0371649404084198</v>
      </c>
      <c r="T96">
        <f t="shared" si="25"/>
        <v>-26.897948556057745</v>
      </c>
      <c r="U96" s="8"/>
      <c r="V96" s="8"/>
    </row>
    <row r="97" spans="1:22" x14ac:dyDescent="0.35">
      <c r="A97">
        <v>4</v>
      </c>
      <c r="B97" s="9">
        <v>16</v>
      </c>
      <c r="C97">
        <v>-0.15504402</v>
      </c>
      <c r="D97">
        <v>-6.1717919000000003E-2</v>
      </c>
      <c r="E97">
        <v>0.84484824999999997</v>
      </c>
      <c r="F97">
        <v>-6.7458249999999997E-2</v>
      </c>
      <c r="G97">
        <f t="shared" si="16"/>
        <v>2.2473573631392099</v>
      </c>
      <c r="H97">
        <f t="shared" si="17"/>
        <v>-1.1426492085204401</v>
      </c>
      <c r="I97">
        <f t="shared" si="18"/>
        <v>2.24731173435107</v>
      </c>
      <c r="J97">
        <f t="shared" si="19"/>
        <v>-1.1455196595994599</v>
      </c>
      <c r="K97" s="7">
        <f t="shared" si="20"/>
        <v>4.5628788139850899E-5</v>
      </c>
      <c r="L97" s="7">
        <f t="shared" si="21"/>
        <v>2.8704510790198401E-3</v>
      </c>
      <c r="M97" s="7">
        <f t="shared" si="22"/>
        <v>0.35320510334352501</v>
      </c>
      <c r="N97" s="7">
        <f t="shared" si="23"/>
        <v>0.18003883643125301</v>
      </c>
      <c r="O97">
        <v>2.0574976</v>
      </c>
      <c r="P97">
        <v>-4.7963804000000003</v>
      </c>
      <c r="Q97">
        <v>-1.0106747</v>
      </c>
      <c r="R97">
        <v>-15.803395</v>
      </c>
      <c r="S97">
        <f t="shared" si="24"/>
        <v>3.0342029822084644</v>
      </c>
      <c r="T97">
        <f t="shared" si="25"/>
        <v>-26.877077390774637</v>
      </c>
      <c r="U97" s="8"/>
      <c r="V97" s="8"/>
    </row>
    <row r="98" spans="1:22" x14ac:dyDescent="0.35">
      <c r="A98">
        <v>4.25</v>
      </c>
      <c r="B98" s="9">
        <v>16</v>
      </c>
      <c r="C98">
        <v>-0.16650266999999999</v>
      </c>
      <c r="D98">
        <v>-6.9936011000000006E-2</v>
      </c>
      <c r="E98">
        <v>0.83337901000000003</v>
      </c>
      <c r="F98">
        <v>-7.6171007999999998E-2</v>
      </c>
      <c r="G98">
        <f t="shared" si="16"/>
        <v>2.01761162747755</v>
      </c>
      <c r="H98">
        <f t="shared" si="17"/>
        <v>-1.10264700276517</v>
      </c>
      <c r="I98">
        <f t="shared" si="18"/>
        <v>2.0175621844049401</v>
      </c>
      <c r="J98">
        <f t="shared" si="19"/>
        <v>-1.1057648398551201</v>
      </c>
      <c r="K98" s="7">
        <f t="shared" si="20"/>
        <v>4.94430726099004E-5</v>
      </c>
      <c r="L98" s="7">
        <f t="shared" si="21"/>
        <v>3.11783708995006E-3</v>
      </c>
      <c r="M98" s="7">
        <f t="shared" si="22"/>
        <v>0.38115588705287901</v>
      </c>
      <c r="N98" s="7">
        <f t="shared" si="23"/>
        <v>0.208900018876577</v>
      </c>
      <c r="O98">
        <v>2.1950384000000001</v>
      </c>
      <c r="P98">
        <v>-4.8851921000000003</v>
      </c>
      <c r="Q98">
        <v>-0.75693600000000005</v>
      </c>
      <c r="R98">
        <v>-16.216062999999998</v>
      </c>
      <c r="S98">
        <f t="shared" si="24"/>
        <v>3.0311226975230374</v>
      </c>
      <c r="T98">
        <f t="shared" si="25"/>
        <v>-26.868091790772247</v>
      </c>
      <c r="U98" s="8"/>
      <c r="V98" s="8"/>
    </row>
    <row r="99" spans="1:22" x14ac:dyDescent="0.35">
      <c r="A99">
        <v>4.5</v>
      </c>
      <c r="B99" s="9">
        <v>16</v>
      </c>
      <c r="C99">
        <v>-0.17787077000000001</v>
      </c>
      <c r="D99">
        <v>-7.7839815000000007E-2</v>
      </c>
      <c r="E99">
        <v>0.82198221999999999</v>
      </c>
      <c r="F99">
        <v>-8.4752750000000002E-2</v>
      </c>
      <c r="G99">
        <f t="shared" si="16"/>
        <v>1.8246866748433299</v>
      </c>
      <c r="H99">
        <f t="shared" si="17"/>
        <v>-1.06032246033677</v>
      </c>
      <c r="I99">
        <f t="shared" si="18"/>
        <v>1.8246251140996601</v>
      </c>
      <c r="J99">
        <f t="shared" si="19"/>
        <v>-1.06377939472144</v>
      </c>
      <c r="K99" s="7">
        <f t="shared" si="20"/>
        <v>6.15607436698085E-5</v>
      </c>
      <c r="L99" s="7">
        <f t="shared" si="21"/>
        <v>3.4569343846699899E-3</v>
      </c>
      <c r="M99" s="7">
        <f t="shared" si="22"/>
        <v>0.40902775243483602</v>
      </c>
      <c r="N99" s="7">
        <f t="shared" si="23"/>
        <v>0.23846832510803501</v>
      </c>
      <c r="O99">
        <v>2.3096369999999999</v>
      </c>
      <c r="P99">
        <v>-4.9618681000000002</v>
      </c>
      <c r="Q99">
        <v>-0.55381418000000004</v>
      </c>
      <c r="R99">
        <v>-16.582329000000001</v>
      </c>
      <c r="S99">
        <f t="shared" si="24"/>
        <v>3.0314900244266636</v>
      </c>
      <c r="T99">
        <f t="shared" si="25"/>
        <v>-26.873754253270757</v>
      </c>
      <c r="U99" s="8"/>
      <c r="V99" s="8"/>
    </row>
    <row r="100" spans="1:22" x14ac:dyDescent="0.35">
      <c r="A100">
        <v>4.75</v>
      </c>
      <c r="B100" s="9">
        <v>16</v>
      </c>
      <c r="C100">
        <v>-0.18837176</v>
      </c>
      <c r="D100">
        <v>-8.5974534000000005E-2</v>
      </c>
      <c r="E100">
        <v>0.81145807999999997</v>
      </c>
      <c r="F100">
        <v>-9.3255352E-2</v>
      </c>
      <c r="G100">
        <f t="shared" si="16"/>
        <v>1.6638775724527799</v>
      </c>
      <c r="H100">
        <f t="shared" si="17"/>
        <v>-1.02712887953743</v>
      </c>
      <c r="I100">
        <f t="shared" si="18"/>
        <v>1.6638057409986999</v>
      </c>
      <c r="J100">
        <f t="shared" si="19"/>
        <v>-1.0307698598079</v>
      </c>
      <c r="K100" s="7">
        <f t="shared" si="20"/>
        <v>7.1831454079962498E-5</v>
      </c>
      <c r="L100" s="7">
        <f t="shared" si="21"/>
        <v>3.64098027047E-3</v>
      </c>
      <c r="M100" s="7">
        <f t="shared" si="22"/>
        <v>0.43433056214125698</v>
      </c>
      <c r="N100" s="7">
        <f t="shared" si="23"/>
        <v>0.26907880025699499</v>
      </c>
      <c r="O100">
        <v>2.4270361</v>
      </c>
      <c r="P100">
        <v>-5.0227078000000001</v>
      </c>
      <c r="Q100">
        <v>-0.32179468999999999</v>
      </c>
      <c r="R100">
        <v>-16.847311000000001</v>
      </c>
      <c r="S100">
        <f t="shared" si="24"/>
        <v>3.0206699851471934</v>
      </c>
      <c r="T100">
        <f t="shared" si="25"/>
        <v>-26.88467635169442</v>
      </c>
      <c r="U100" s="8"/>
      <c r="V100" s="8"/>
    </row>
    <row r="101" spans="1:22" x14ac:dyDescent="0.35">
      <c r="A101">
        <v>5</v>
      </c>
      <c r="B101" s="9">
        <v>16</v>
      </c>
      <c r="C101">
        <v>-0.19846701999999999</v>
      </c>
      <c r="D101">
        <v>-9.3898041000000002E-2</v>
      </c>
      <c r="E101">
        <v>0.80130699999999999</v>
      </c>
      <c r="F101">
        <v>-0.10167044</v>
      </c>
      <c r="G101">
        <f t="shared" si="16"/>
        <v>1.5265501877274401</v>
      </c>
      <c r="H101">
        <f t="shared" si="17"/>
        <v>-0.99594084259784599</v>
      </c>
      <c r="I101">
        <f t="shared" si="18"/>
        <v>1.5264522923980699</v>
      </c>
      <c r="J101">
        <f t="shared" si="19"/>
        <v>-0.99982786173292004</v>
      </c>
      <c r="K101" s="7">
        <f t="shared" si="20"/>
        <v>9.7895329370212294E-5</v>
      </c>
      <c r="L101" s="7">
        <f t="shared" si="21"/>
        <v>3.8870191350740498E-3</v>
      </c>
      <c r="M101" s="7">
        <f t="shared" si="22"/>
        <v>0.45843368137630702</v>
      </c>
      <c r="N101" s="7">
        <f t="shared" si="23"/>
        <v>0.30027454489045602</v>
      </c>
      <c r="O101">
        <v>2.5331332999999998</v>
      </c>
      <c r="P101">
        <v>-5.0773811000000002</v>
      </c>
      <c r="Q101">
        <v>-0.11684251</v>
      </c>
      <c r="R101">
        <v>-17.092265000000001</v>
      </c>
      <c r="S101">
        <f t="shared" si="24"/>
        <v>3.0123470646703354</v>
      </c>
      <c r="T101">
        <f t="shared" si="25"/>
        <v>-26.906527654693065</v>
      </c>
      <c r="U101" s="8"/>
      <c r="V101" s="8"/>
    </row>
    <row r="102" spans="1:22" x14ac:dyDescent="0.35">
      <c r="A102">
        <v>1</v>
      </c>
      <c r="B102" s="9">
        <v>16.2</v>
      </c>
      <c r="C102">
        <v>-1.5263114E-2</v>
      </c>
      <c r="D102">
        <v>5.5273565000000004E-3</v>
      </c>
      <c r="E102">
        <v>0.98471240000000004</v>
      </c>
      <c r="F102">
        <v>4.0143794000000003E-3</v>
      </c>
      <c r="G102">
        <f t="shared" si="16"/>
        <v>29.323304240646902</v>
      </c>
      <c r="H102">
        <f t="shared" si="17"/>
        <v>9.3149244550717896</v>
      </c>
      <c r="I102">
        <f t="shared" si="18"/>
        <v>29.323292569792699</v>
      </c>
      <c r="J102">
        <f t="shared" si="19"/>
        <v>9.3141679484310291</v>
      </c>
      <c r="K102" s="7">
        <f t="shared" si="20"/>
        <v>1.16708542030608E-5</v>
      </c>
      <c r="L102" s="7">
        <f t="shared" si="21"/>
        <v>7.5650664076043505E-4</v>
      </c>
      <c r="M102" s="7">
        <f t="shared" si="22"/>
        <v>3.09771891158435E-2</v>
      </c>
      <c r="N102" s="7">
        <f t="shared" si="23"/>
        <v>-9.8395069826674696E-3</v>
      </c>
      <c r="O102">
        <v>-0.12364872</v>
      </c>
      <c r="P102">
        <v>-1.8217616000000001</v>
      </c>
      <c r="Q102">
        <v>-2.8499612000000001</v>
      </c>
      <c r="R102">
        <v>-4.6369582999999999</v>
      </c>
      <c r="S102">
        <f t="shared" si="24"/>
        <v>2.9807789628067907</v>
      </c>
      <c r="T102">
        <f t="shared" si="25"/>
        <v>-27.692770301344652</v>
      </c>
      <c r="U102" s="8"/>
      <c r="V102" s="8"/>
    </row>
    <row r="103" spans="1:22" x14ac:dyDescent="0.35">
      <c r="A103">
        <v>1.25</v>
      </c>
      <c r="B103" s="9">
        <v>16.2</v>
      </c>
      <c r="C103">
        <v>-2.3539496E-2</v>
      </c>
      <c r="D103">
        <v>5.8242585999999999E-3</v>
      </c>
      <c r="E103">
        <v>0.97653376000000003</v>
      </c>
      <c r="F103">
        <v>4.0953756999999999E-3</v>
      </c>
      <c r="G103">
        <f t="shared" si="16"/>
        <v>19.866961984301899</v>
      </c>
      <c r="H103">
        <f t="shared" si="17"/>
        <v>4.2984821129816702</v>
      </c>
      <c r="I103">
        <f t="shared" si="18"/>
        <v>19.866999358136699</v>
      </c>
      <c r="J103">
        <f t="shared" si="19"/>
        <v>4.2976177354995801</v>
      </c>
      <c r="K103" s="7">
        <f t="shared" si="20"/>
        <v>-3.7373834800291702E-5</v>
      </c>
      <c r="L103" s="7">
        <f t="shared" si="21"/>
        <v>8.6437748209000599E-4</v>
      </c>
      <c r="M103" s="7">
        <f t="shared" si="22"/>
        <v>4.8084650084143102E-2</v>
      </c>
      <c r="N103" s="7">
        <f t="shared" si="23"/>
        <v>-1.04016435135319E-2</v>
      </c>
      <c r="O103">
        <v>-0.12628650999999999</v>
      </c>
      <c r="P103">
        <v>-2.2632946999999999</v>
      </c>
      <c r="Q103">
        <v>-3.4374501999999998</v>
      </c>
      <c r="R103">
        <v>-5.7842953000000001</v>
      </c>
      <c r="S103">
        <f t="shared" si="24"/>
        <v>2.9683080379267976</v>
      </c>
      <c r="T103">
        <f t="shared" si="25"/>
        <v>-27.528212403585577</v>
      </c>
      <c r="U103" s="8"/>
      <c r="V103" s="8"/>
    </row>
    <row r="104" spans="1:22" x14ac:dyDescent="0.35">
      <c r="A104">
        <v>1.5</v>
      </c>
      <c r="B104" s="9">
        <v>16.2</v>
      </c>
      <c r="C104">
        <v>-3.3440958E-2</v>
      </c>
      <c r="D104">
        <v>5.7765560000000004E-3</v>
      </c>
      <c r="E104">
        <v>0.96666196000000004</v>
      </c>
      <c r="F104">
        <v>3.8110979000000001E-3</v>
      </c>
      <c r="G104">
        <f t="shared" si="16"/>
        <v>14.1722985496042</v>
      </c>
      <c r="H104">
        <f t="shared" si="17"/>
        <v>2.1070394188162198</v>
      </c>
      <c r="I104">
        <f t="shared" si="18"/>
        <v>14.1723509715627</v>
      </c>
      <c r="J104">
        <f t="shared" si="19"/>
        <v>2.1060567918478101</v>
      </c>
      <c r="K104" s="7">
        <f t="shared" si="20"/>
        <v>-5.2421958500303797E-5</v>
      </c>
      <c r="L104" s="7">
        <f t="shared" si="21"/>
        <v>9.8262696840967201E-4</v>
      </c>
      <c r="M104" s="7">
        <f t="shared" si="22"/>
        <v>6.9035420303675502E-2</v>
      </c>
      <c r="N104" s="7">
        <f t="shared" si="23"/>
        <v>-1.02588847891475E-2</v>
      </c>
      <c r="O104">
        <v>-0.10244801000000001</v>
      </c>
      <c r="P104">
        <v>-2.6785263000000001</v>
      </c>
      <c r="Q104">
        <v>-3.9372913</v>
      </c>
      <c r="R104">
        <v>-6.9432603999999998</v>
      </c>
      <c r="S104">
        <f t="shared" si="24"/>
        <v>2.9777915853412411</v>
      </c>
      <c r="T104">
        <f t="shared" si="25"/>
        <v>-27.365749952717994</v>
      </c>
      <c r="U104" s="8"/>
      <c r="V104" s="8"/>
    </row>
    <row r="105" spans="1:22" x14ac:dyDescent="0.35">
      <c r="A105">
        <v>1.75</v>
      </c>
      <c r="B105" s="9">
        <v>16.2</v>
      </c>
      <c r="C105">
        <v>-4.4790623000000002E-2</v>
      </c>
      <c r="D105">
        <v>5.1745714999999999E-3</v>
      </c>
      <c r="E105">
        <v>0.95533294999999996</v>
      </c>
      <c r="F105">
        <v>2.9319197000000001E-3</v>
      </c>
      <c r="G105">
        <f t="shared" si="16"/>
        <v>10.587393346797001</v>
      </c>
      <c r="H105">
        <f t="shared" si="17"/>
        <v>1.0052828163226599</v>
      </c>
      <c r="I105">
        <f t="shared" si="18"/>
        <v>10.5874563866168</v>
      </c>
      <c r="J105">
        <f t="shared" si="19"/>
        <v>1.0041616303850001</v>
      </c>
      <c r="K105" s="7">
        <f t="shared" si="20"/>
        <v>-6.3039819799826105E-5</v>
      </c>
      <c r="L105" s="7">
        <f t="shared" si="21"/>
        <v>1.1211859376598599E-3</v>
      </c>
      <c r="M105" s="7">
        <f t="shared" si="22"/>
        <v>9.3609332449111293E-2</v>
      </c>
      <c r="N105" s="7">
        <f t="shared" si="23"/>
        <v>-8.8783269993132196E-3</v>
      </c>
      <c r="O105">
        <v>-4.5018541000000002E-2</v>
      </c>
      <c r="P105">
        <v>-3.0781855</v>
      </c>
      <c r="Q105">
        <v>-4.3313977000000001</v>
      </c>
      <c r="R105">
        <v>-8.0986963000000003</v>
      </c>
      <c r="S105">
        <f t="shared" si="24"/>
        <v>2.983328146834749</v>
      </c>
      <c r="T105">
        <f t="shared" si="25"/>
        <v>-27.30116115530722</v>
      </c>
      <c r="U105" s="8"/>
      <c r="V105" s="8"/>
    </row>
    <row r="106" spans="1:22" x14ac:dyDescent="0.35">
      <c r="A106">
        <v>2</v>
      </c>
      <c r="B106" s="9">
        <v>16.2</v>
      </c>
      <c r="C106">
        <v>-5.7374725000000001E-2</v>
      </c>
      <c r="D106">
        <v>3.8630087E-3</v>
      </c>
      <c r="E106">
        <v>0.94276811999999999</v>
      </c>
      <c r="F106">
        <v>1.2994147000000001E-3</v>
      </c>
      <c r="G106">
        <f t="shared" si="16"/>
        <v>8.2077956324925996</v>
      </c>
      <c r="H106">
        <f t="shared" si="17"/>
        <v>0.392882740995808</v>
      </c>
      <c r="I106">
        <f t="shared" si="18"/>
        <v>8.2078686925406608</v>
      </c>
      <c r="J106">
        <f t="shared" si="19"/>
        <v>0.39160112917987899</v>
      </c>
      <c r="K106" s="7">
        <f t="shared" si="20"/>
        <v>-7.30600480611798E-5</v>
      </c>
      <c r="L106" s="7">
        <f t="shared" si="21"/>
        <v>1.2816118159290099E-3</v>
      </c>
      <c r="M106" s="7">
        <f t="shared" si="22"/>
        <v>0.121557607682897</v>
      </c>
      <c r="N106" s="7">
        <f t="shared" si="23"/>
        <v>-5.7995684643795996E-3</v>
      </c>
      <c r="O106">
        <v>4.2123204999999997E-2</v>
      </c>
      <c r="P106">
        <v>-3.4579673</v>
      </c>
      <c r="Q106">
        <v>-4.6178999000000003</v>
      </c>
      <c r="R106">
        <v>-9.2354094999999994</v>
      </c>
      <c r="S106">
        <f t="shared" si="24"/>
        <v>2.9858070030703674</v>
      </c>
      <c r="T106">
        <f t="shared" si="25"/>
        <v>-27.263933352066491</v>
      </c>
      <c r="U106" s="8"/>
      <c r="V106" s="8"/>
    </row>
    <row r="107" spans="1:22" x14ac:dyDescent="0.35">
      <c r="A107">
        <v>2.25</v>
      </c>
      <c r="B107" s="9">
        <v>16.2</v>
      </c>
      <c r="C107">
        <v>-7.0947912000000002E-2</v>
      </c>
      <c r="D107">
        <v>1.682483E-3</v>
      </c>
      <c r="E107">
        <v>0.92921383000000002</v>
      </c>
      <c r="F107">
        <v>-1.2454587000000001E-3</v>
      </c>
      <c r="G107">
        <f t="shared" si="16"/>
        <v>6.5553574418445004</v>
      </c>
      <c r="H107">
        <f t="shared" si="17"/>
        <v>2.2486553848454799E-2</v>
      </c>
      <c r="I107">
        <f t="shared" si="18"/>
        <v>6.5554404489910896</v>
      </c>
      <c r="J107">
        <f t="shared" si="19"/>
        <v>2.10228228918839E-2</v>
      </c>
      <c r="K107" s="7">
        <f t="shared" si="20"/>
        <v>-8.3007146589153495E-5</v>
      </c>
      <c r="L107" s="7">
        <f t="shared" si="21"/>
        <v>1.4637309565709001E-3</v>
      </c>
      <c r="M107" s="7">
        <f t="shared" si="22"/>
        <v>0.152543482547394</v>
      </c>
      <c r="N107" s="7">
        <f t="shared" si="23"/>
        <v>-4.8919590405227303E-4</v>
      </c>
      <c r="O107">
        <v>0.15774936000000001</v>
      </c>
      <c r="P107">
        <v>-3.8126479</v>
      </c>
      <c r="Q107">
        <v>-4.7924720000000001</v>
      </c>
      <c r="R107">
        <v>-10.340555999999999</v>
      </c>
      <c r="S107">
        <f t="shared" si="24"/>
        <v>2.9867433659141782</v>
      </c>
      <c r="T107">
        <f t="shared" si="25"/>
        <v>-27.235286551017929</v>
      </c>
      <c r="U107" s="8"/>
      <c r="V107" s="8"/>
    </row>
    <row r="108" spans="1:22" x14ac:dyDescent="0.35">
      <c r="A108">
        <v>2.5</v>
      </c>
      <c r="B108" s="9">
        <v>16.2</v>
      </c>
      <c r="C108">
        <v>-8.5239967E-2</v>
      </c>
      <c r="D108">
        <v>-1.4545457E-3</v>
      </c>
      <c r="E108">
        <v>0.91493575999999999</v>
      </c>
      <c r="F108">
        <v>-4.7900970000000001E-3</v>
      </c>
      <c r="G108">
        <f t="shared" si="16"/>
        <v>5.3639160696560504</v>
      </c>
      <c r="H108">
        <f t="shared" si="17"/>
        <v>-0.21418351935801599</v>
      </c>
      <c r="I108">
        <f t="shared" si="18"/>
        <v>5.3640067061715797</v>
      </c>
      <c r="J108">
        <f t="shared" si="19"/>
        <v>-0.21585099733619101</v>
      </c>
      <c r="K108" s="7">
        <f t="shared" si="20"/>
        <v>-9.0636515529318701E-5</v>
      </c>
      <c r="L108" s="7">
        <f t="shared" si="21"/>
        <v>1.6674779781750101E-3</v>
      </c>
      <c r="M108" s="7">
        <f t="shared" si="22"/>
        <v>0.18612640969404601</v>
      </c>
      <c r="N108" s="7">
        <f t="shared" si="23"/>
        <v>7.4898435747367898E-3</v>
      </c>
      <c r="O108">
        <v>0.29800599999999999</v>
      </c>
      <c r="P108">
        <v>-4.1391039000000003</v>
      </c>
      <c r="Q108">
        <v>-4.8595439000000002</v>
      </c>
      <c r="R108">
        <v>-11.398676</v>
      </c>
      <c r="S108">
        <f t="shared" si="24"/>
        <v>2.9859929131658896</v>
      </c>
      <c r="T108">
        <f t="shared" si="25"/>
        <v>-27.20783703960301</v>
      </c>
      <c r="U108" s="8"/>
      <c r="V108" s="8"/>
    </row>
    <row r="109" spans="1:22" x14ac:dyDescent="0.35">
      <c r="A109">
        <v>2.75</v>
      </c>
      <c r="B109" s="9">
        <v>16.2</v>
      </c>
      <c r="C109">
        <v>-9.9977716999999994E-2</v>
      </c>
      <c r="D109">
        <v>-5.5567198000000002E-3</v>
      </c>
      <c r="E109">
        <v>0.90007950999999997</v>
      </c>
      <c r="F109">
        <v>-9.3658404000000004E-3</v>
      </c>
      <c r="G109">
        <f t="shared" si="16"/>
        <v>4.4748066010457803</v>
      </c>
      <c r="H109">
        <f t="shared" si="17"/>
        <v>-0.37042225209167401</v>
      </c>
      <c r="I109">
        <f t="shared" si="18"/>
        <v>4.4748388407524802</v>
      </c>
      <c r="J109">
        <f t="shared" si="19"/>
        <v>-0.372326696496388</v>
      </c>
      <c r="K109" s="7">
        <f t="shared" si="20"/>
        <v>-3.2239706699854798E-5</v>
      </c>
      <c r="L109" s="7">
        <f t="shared" si="21"/>
        <v>1.9044444047139899E-3</v>
      </c>
      <c r="M109" s="7">
        <f t="shared" si="22"/>
        <v>0.221935279893167</v>
      </c>
      <c r="N109" s="7">
        <f t="shared" si="23"/>
        <v>1.8466012417271499E-2</v>
      </c>
      <c r="O109">
        <v>0.45733135000000003</v>
      </c>
      <c r="P109">
        <v>-4.4331731999999997</v>
      </c>
      <c r="Q109">
        <v>-4.8309699999999998</v>
      </c>
      <c r="R109">
        <v>-12.394871</v>
      </c>
      <c r="S109">
        <f t="shared" si="24"/>
        <v>2.9849547623448802</v>
      </c>
      <c r="T109">
        <f t="shared" si="25"/>
        <v>-27.183491730329333</v>
      </c>
      <c r="U109" s="8"/>
      <c r="V109" s="8"/>
    </row>
    <row r="110" spans="1:22" x14ac:dyDescent="0.35">
      <c r="A110">
        <v>3</v>
      </c>
      <c r="B110" s="9">
        <v>16.2</v>
      </c>
      <c r="C110">
        <v>-0.11490058</v>
      </c>
      <c r="D110">
        <v>-1.0618255E-2</v>
      </c>
      <c r="E110">
        <v>0.88514651</v>
      </c>
      <c r="F110">
        <v>-1.4919022000000001E-2</v>
      </c>
      <c r="G110">
        <f t="shared" si="16"/>
        <v>3.7993497457049901</v>
      </c>
      <c r="H110">
        <f t="shared" si="17"/>
        <v>-0.47680125161622799</v>
      </c>
      <c r="I110">
        <f t="shared" si="18"/>
        <v>3.7993779139518402</v>
      </c>
      <c r="J110">
        <f t="shared" si="19"/>
        <v>-0.47895152391553403</v>
      </c>
      <c r="K110" s="7">
        <f t="shared" si="20"/>
        <v>-2.81682468501465E-5</v>
      </c>
      <c r="L110" s="7">
        <f t="shared" si="21"/>
        <v>2.15027229930603E-3</v>
      </c>
      <c r="M110" s="7">
        <f t="shared" si="22"/>
        <v>0.259083816172898</v>
      </c>
      <c r="N110" s="7">
        <f t="shared" si="23"/>
        <v>3.26602384359269E-2</v>
      </c>
      <c r="O110">
        <v>0.63151924999999998</v>
      </c>
      <c r="P110">
        <v>-4.6942936</v>
      </c>
      <c r="Q110">
        <v>-4.7160120000000001</v>
      </c>
      <c r="R110">
        <v>-13.317914999999999</v>
      </c>
      <c r="S110">
        <f t="shared" si="24"/>
        <v>2.9827957020824889</v>
      </c>
      <c r="T110">
        <f t="shared" si="25"/>
        <v>-27.16153346397947</v>
      </c>
      <c r="U110" s="8"/>
      <c r="V110" s="8"/>
    </row>
    <row r="111" spans="1:22" x14ac:dyDescent="0.35">
      <c r="A111">
        <v>3.25</v>
      </c>
      <c r="B111" s="9">
        <v>16.2</v>
      </c>
      <c r="C111">
        <v>-0.12976607000000001</v>
      </c>
      <c r="D111">
        <v>-1.6563848999999999E-2</v>
      </c>
      <c r="E111">
        <v>0.87027186000000001</v>
      </c>
      <c r="F111">
        <v>-2.1387284999999999E-2</v>
      </c>
      <c r="G111">
        <f t="shared" si="16"/>
        <v>3.2729378222571701</v>
      </c>
      <c r="H111">
        <f t="shared" si="17"/>
        <v>-0.55058970045219702</v>
      </c>
      <c r="I111">
        <f t="shared" si="18"/>
        <v>3.27296260291648</v>
      </c>
      <c r="J111">
        <f t="shared" si="19"/>
        <v>-0.55300131295200305</v>
      </c>
      <c r="K111" s="7">
        <f t="shared" si="20"/>
        <v>-2.4780659309886502E-5</v>
      </c>
      <c r="L111" s="7">
        <f t="shared" si="21"/>
        <v>2.4116124998060399E-3</v>
      </c>
      <c r="M111" s="7">
        <f t="shared" si="22"/>
        <v>0.29705341134077801</v>
      </c>
      <c r="N111" s="7">
        <f t="shared" si="23"/>
        <v>5.0190285199697197E-2</v>
      </c>
      <c r="O111">
        <v>0.81520389000000004</v>
      </c>
      <c r="P111">
        <v>-4.9213291999999997</v>
      </c>
      <c r="Q111">
        <v>-4.5294295</v>
      </c>
      <c r="R111">
        <v>-14.159278</v>
      </c>
      <c r="S111">
        <f t="shared" si="24"/>
        <v>2.9801393665934151</v>
      </c>
      <c r="T111">
        <f t="shared" si="25"/>
        <v>-27.144495203490401</v>
      </c>
      <c r="U111" s="8"/>
      <c r="V111" s="8"/>
    </row>
    <row r="112" spans="1:22" x14ac:dyDescent="0.35">
      <c r="A112">
        <v>3.5</v>
      </c>
      <c r="B112" s="9">
        <v>16.2</v>
      </c>
      <c r="C112">
        <v>-0.14440736000000001</v>
      </c>
      <c r="D112">
        <v>-2.3202258E-2</v>
      </c>
      <c r="E112">
        <v>0.85562835999999998</v>
      </c>
      <c r="F112">
        <v>-2.8570638999999998E-2</v>
      </c>
      <c r="G112">
        <f t="shared" si="16"/>
        <v>2.85500593896665</v>
      </c>
      <c r="H112">
        <f t="shared" si="17"/>
        <v>-0.60015261997986102</v>
      </c>
      <c r="I112">
        <f t="shared" si="18"/>
        <v>2.8550310030883801</v>
      </c>
      <c r="J112">
        <f t="shared" si="19"/>
        <v>-0.60283669526539896</v>
      </c>
      <c r="K112" s="7">
        <f t="shared" si="20"/>
        <v>-2.5064121730089498E-5</v>
      </c>
      <c r="L112" s="7">
        <f t="shared" si="21"/>
        <v>2.6840752855379298E-3</v>
      </c>
      <c r="M112" s="7">
        <f t="shared" si="22"/>
        <v>0.33530950038213098</v>
      </c>
      <c r="N112" s="7">
        <f t="shared" si="23"/>
        <v>7.08002368040129E-2</v>
      </c>
      <c r="O112">
        <v>1.000345</v>
      </c>
      <c r="P112">
        <v>-5.1166697000000001</v>
      </c>
      <c r="Q112">
        <v>-4.2964384999999998</v>
      </c>
      <c r="R112">
        <v>-14.912635999999999</v>
      </c>
      <c r="S112">
        <f t="shared" si="24"/>
        <v>2.976713923953362</v>
      </c>
      <c r="T112">
        <f t="shared" si="25"/>
        <v>-27.134268467934969</v>
      </c>
      <c r="U112" s="8"/>
      <c r="V112" s="8"/>
    </row>
    <row r="113" spans="1:22" x14ac:dyDescent="0.35">
      <c r="A113">
        <v>3.75</v>
      </c>
      <c r="B113" s="9">
        <v>16.2</v>
      </c>
      <c r="C113">
        <v>-0.15868467</v>
      </c>
      <c r="D113">
        <v>-3.0360989000000001E-2</v>
      </c>
      <c r="E113">
        <v>0.84129832000000004</v>
      </c>
      <c r="F113">
        <v>-3.6085494000000003E-2</v>
      </c>
      <c r="G113">
        <f t="shared" si="16"/>
        <v>2.5184373733723602</v>
      </c>
      <c r="H113">
        <f t="shared" si="17"/>
        <v>-0.63049439049309497</v>
      </c>
      <c r="I113">
        <f t="shared" si="18"/>
        <v>2.5184370609313098</v>
      </c>
      <c r="J113">
        <f t="shared" si="19"/>
        <v>-0.63335666823105197</v>
      </c>
      <c r="K113" s="7">
        <f t="shared" si="20"/>
        <v>3.1244105036520901E-7</v>
      </c>
      <c r="L113" s="7">
        <f t="shared" si="21"/>
        <v>2.8622777379570001E-3</v>
      </c>
      <c r="M113" s="7">
        <f t="shared" si="22"/>
        <v>0.37345222889533403</v>
      </c>
      <c r="N113" s="7">
        <f t="shared" si="23"/>
        <v>9.3918749491854095E-2</v>
      </c>
      <c r="O113">
        <v>1.1818569000000001</v>
      </c>
      <c r="P113">
        <v>-5.2823621999999997</v>
      </c>
      <c r="Q113">
        <v>-4.0348211999999997</v>
      </c>
      <c r="R113">
        <v>-15.577593</v>
      </c>
      <c r="S113">
        <f t="shared" si="24"/>
        <v>2.97280037483594</v>
      </c>
      <c r="T113">
        <f t="shared" si="25"/>
        <v>-27.132766071726319</v>
      </c>
      <c r="U113" s="8"/>
      <c r="V113" s="8"/>
    </row>
    <row r="114" spans="1:22" x14ac:dyDescent="0.35">
      <c r="A114">
        <v>4</v>
      </c>
      <c r="B114" s="9">
        <v>16.2</v>
      </c>
      <c r="C114">
        <v>-0.17255019999999999</v>
      </c>
      <c r="D114">
        <v>-3.7833709E-2</v>
      </c>
      <c r="E114">
        <v>0.82749782000000005</v>
      </c>
      <c r="F114">
        <v>-4.4162473000000001E-2</v>
      </c>
      <c r="G114">
        <f t="shared" si="16"/>
        <v>2.24318527875741</v>
      </c>
      <c r="H114">
        <f t="shared" si="17"/>
        <v>-0.65029607134212197</v>
      </c>
      <c r="I114">
        <f t="shared" si="18"/>
        <v>2.24321930067291</v>
      </c>
      <c r="J114">
        <f t="shared" si="19"/>
        <v>-0.65346026971138305</v>
      </c>
      <c r="K114" s="7">
        <f t="shared" si="20"/>
        <v>-3.4021915499948798E-5</v>
      </c>
      <c r="L114" s="7">
        <f t="shared" si="21"/>
        <v>3.1641983692610701E-3</v>
      </c>
      <c r="M114" s="7">
        <f t="shared" si="22"/>
        <v>0.41091803764496698</v>
      </c>
      <c r="N114" s="7">
        <f t="shared" si="23"/>
        <v>0.119702345476523</v>
      </c>
      <c r="O114">
        <v>1.3543562</v>
      </c>
      <c r="P114">
        <v>-5.4233845000000001</v>
      </c>
      <c r="Q114">
        <v>-3.7665126</v>
      </c>
      <c r="R114">
        <v>-16.156780000000001</v>
      </c>
      <c r="S114">
        <f t="shared" si="24"/>
        <v>2.9678341347987822</v>
      </c>
      <c r="T114">
        <f t="shared" si="25"/>
        <v>-27.144005912888542</v>
      </c>
      <c r="U114" s="8"/>
      <c r="V114" s="8"/>
    </row>
    <row r="115" spans="1:22" x14ac:dyDescent="0.35">
      <c r="A115">
        <v>4.25</v>
      </c>
      <c r="B115" s="9">
        <v>16.2</v>
      </c>
      <c r="C115">
        <v>-0.18620025000000001</v>
      </c>
      <c r="D115">
        <v>-4.4960936999999999E-2</v>
      </c>
      <c r="E115">
        <v>0.81379464000000001</v>
      </c>
      <c r="F115">
        <v>-5.1857856000000001E-2</v>
      </c>
      <c r="G115">
        <f t="shared" si="16"/>
        <v>2.0152328717397001</v>
      </c>
      <c r="H115">
        <f t="shared" si="17"/>
        <v>-0.65219252273957795</v>
      </c>
      <c r="I115">
        <f t="shared" si="18"/>
        <v>2.0152422085558301</v>
      </c>
      <c r="J115">
        <f t="shared" si="19"/>
        <v>-0.65564095885270002</v>
      </c>
      <c r="K115" s="7">
        <f t="shared" si="20"/>
        <v>-9.3368161300233493E-6</v>
      </c>
      <c r="L115" s="7">
        <f t="shared" si="21"/>
        <v>3.4484361131220699E-3</v>
      </c>
      <c r="M115" s="7">
        <f t="shared" si="22"/>
        <v>0.44872244298191699</v>
      </c>
      <c r="N115" s="7">
        <f t="shared" si="23"/>
        <v>0.14598781800338601</v>
      </c>
      <c r="O115">
        <v>1.5001165000000001</v>
      </c>
      <c r="P115">
        <v>-5.5471341000000001</v>
      </c>
      <c r="Q115">
        <v>-3.5501602000000001</v>
      </c>
      <c r="R115">
        <v>-16.653376999999999</v>
      </c>
      <c r="S115">
        <f t="shared" si="24"/>
        <v>2.963177083771154</v>
      </c>
      <c r="T115">
        <f t="shared" si="25"/>
        <v>-27.16673405073313</v>
      </c>
      <c r="U115" s="8"/>
      <c r="V115" s="8"/>
    </row>
    <row r="116" spans="1:22" x14ac:dyDescent="0.35">
      <c r="A116">
        <v>5</v>
      </c>
      <c r="B116" s="9">
        <v>16.2</v>
      </c>
      <c r="C116">
        <v>-0.22371856000000001</v>
      </c>
      <c r="D116">
        <v>-6.7592223000000007E-2</v>
      </c>
      <c r="E116">
        <v>0.77631404000000004</v>
      </c>
      <c r="F116">
        <v>-7.6140661999999998E-2</v>
      </c>
      <c r="G116">
        <f t="shared" si="16"/>
        <v>1.52599651825186</v>
      </c>
      <c r="H116">
        <f t="shared" si="17"/>
        <v>-0.648738874795043</v>
      </c>
      <c r="I116">
        <f t="shared" si="18"/>
        <v>1.5260310857114601</v>
      </c>
      <c r="J116">
        <f t="shared" si="19"/>
        <v>-0.65301287687989895</v>
      </c>
      <c r="K116" s="7">
        <f t="shared" si="20"/>
        <v>-3.4567459600065602E-5</v>
      </c>
      <c r="L116" s="7">
        <f t="shared" si="21"/>
        <v>4.2740020848559502E-3</v>
      </c>
      <c r="M116" s="7">
        <f t="shared" si="22"/>
        <v>0.5538737361953</v>
      </c>
      <c r="N116" s="7">
        <f t="shared" si="23"/>
        <v>0.23701134615648201</v>
      </c>
      <c r="O116">
        <v>1.8866478</v>
      </c>
      <c r="P116">
        <v>-5.7629260999999996</v>
      </c>
      <c r="Q116">
        <v>-2.8122940000000001</v>
      </c>
      <c r="R116">
        <v>-17.824769</v>
      </c>
      <c r="S116">
        <f t="shared" si="24"/>
        <v>2.9758555299703766</v>
      </c>
      <c r="T116">
        <f t="shared" si="25"/>
        <v>-27.093146534545141</v>
      </c>
      <c r="U116" s="8"/>
      <c r="V116" s="8"/>
    </row>
    <row r="117" spans="1:22" x14ac:dyDescent="0.35">
      <c r="A117">
        <v>1</v>
      </c>
      <c r="B117" s="9">
        <v>16.399999999999999</v>
      </c>
      <c r="C117">
        <v>-1.4194986999999999E-2</v>
      </c>
      <c r="D117">
        <v>8.4422938999999999E-3</v>
      </c>
      <c r="E117">
        <v>0.98578043000000004</v>
      </c>
      <c r="F117">
        <v>7.2031468E-3</v>
      </c>
      <c r="G117">
        <f t="shared" si="16"/>
        <v>26.505757576283699</v>
      </c>
      <c r="H117">
        <f t="shared" si="17"/>
        <v>14.8700431343754</v>
      </c>
      <c r="I117">
        <f t="shared" si="18"/>
        <v>26.505745668517999</v>
      </c>
      <c r="J117">
        <f t="shared" si="19"/>
        <v>14.869423545831999</v>
      </c>
      <c r="K117" s="7">
        <f t="shared" si="20"/>
        <v>1.19077656997035E-5</v>
      </c>
      <c r="L117" s="7">
        <f t="shared" si="21"/>
        <v>6.1958854340105095E-4</v>
      </c>
      <c r="M117" s="7">
        <f t="shared" si="22"/>
        <v>2.8696608006594401E-2</v>
      </c>
      <c r="N117" s="7">
        <f t="shared" si="23"/>
        <v>-1.6098472539317302E-2</v>
      </c>
      <c r="O117">
        <v>-0.46869954000000003</v>
      </c>
      <c r="P117">
        <v>-1.6374682</v>
      </c>
      <c r="Q117">
        <v>-3.6499046000000002</v>
      </c>
      <c r="R117">
        <v>-3.8506204999999998</v>
      </c>
      <c r="S117">
        <f t="shared" si="24"/>
        <v>3.115011449062318</v>
      </c>
      <c r="T117">
        <f t="shared" si="25"/>
        <v>-27.494179343592389</v>
      </c>
      <c r="U117" s="8"/>
      <c r="V117" s="8"/>
    </row>
    <row r="118" spans="1:22" x14ac:dyDescent="0.35">
      <c r="A118">
        <v>1.25</v>
      </c>
      <c r="B118" s="9">
        <v>16.399999999999999</v>
      </c>
      <c r="C118">
        <v>-2.2024037E-2</v>
      </c>
      <c r="D118">
        <v>1.0370785E-2</v>
      </c>
      <c r="E118">
        <v>0.97774861999999996</v>
      </c>
      <c r="F118">
        <v>8.8126457999999994E-3</v>
      </c>
      <c r="G118">
        <f t="shared" si="16"/>
        <v>18.516120596525901</v>
      </c>
      <c r="H118">
        <f t="shared" si="17"/>
        <v>8.2395745627827406</v>
      </c>
      <c r="I118">
        <f t="shared" si="18"/>
        <v>18.516007519259301</v>
      </c>
      <c r="J118">
        <f t="shared" si="19"/>
        <v>8.2387953165095809</v>
      </c>
      <c r="K118" s="7">
        <f t="shared" si="20"/>
        <v>1.13077266600925E-4</v>
      </c>
      <c r="L118" s="7">
        <f t="shared" si="21"/>
        <v>7.7924627315972795E-4</v>
      </c>
      <c r="M118" s="7">
        <f t="shared" si="22"/>
        <v>4.50817948327496E-2</v>
      </c>
      <c r="N118" s="7">
        <f t="shared" si="23"/>
        <v>-2.0059382658036501E-2</v>
      </c>
      <c r="O118">
        <v>-0.54915813999999996</v>
      </c>
      <c r="P118">
        <v>-2.0317075999999998</v>
      </c>
      <c r="Q118">
        <v>-4.4476889999999996</v>
      </c>
      <c r="R118">
        <v>-4.8245246000000002</v>
      </c>
      <c r="S118">
        <f t="shared" si="24"/>
        <v>3.1178401021581426</v>
      </c>
      <c r="T118">
        <f t="shared" si="25"/>
        <v>-27.547432759467466</v>
      </c>
      <c r="U118" s="8"/>
      <c r="V118" s="8"/>
    </row>
    <row r="119" spans="1:22" x14ac:dyDescent="0.35">
      <c r="A119">
        <v>1.5</v>
      </c>
      <c r="B119" s="9">
        <v>16.399999999999999</v>
      </c>
      <c r="C119">
        <v>-3.1575536000000001E-2</v>
      </c>
      <c r="D119">
        <v>1.2303176000000001E-2</v>
      </c>
      <c r="E119">
        <v>0.96823234999999996</v>
      </c>
      <c r="F119">
        <v>1.0528879E-2</v>
      </c>
      <c r="G119">
        <f t="shared" si="16"/>
        <v>13.4717964651326</v>
      </c>
      <c r="H119">
        <f t="shared" si="17"/>
        <v>5.0365613187843898</v>
      </c>
      <c r="I119">
        <f t="shared" si="18"/>
        <v>13.471701186163401</v>
      </c>
      <c r="J119">
        <f t="shared" si="19"/>
        <v>5.0356740005246499</v>
      </c>
      <c r="K119" s="7">
        <f t="shared" si="20"/>
        <v>9.5278969199696903E-5</v>
      </c>
      <c r="L119" s="7">
        <f t="shared" si="21"/>
        <v>8.8731825973997801E-4</v>
      </c>
      <c r="M119" s="7">
        <f t="shared" si="22"/>
        <v>6.5129530626101897E-2</v>
      </c>
      <c r="N119" s="7">
        <f t="shared" si="23"/>
        <v>-2.4345186959542301E-2</v>
      </c>
      <c r="O119">
        <v>-0.61021736999999998</v>
      </c>
      <c r="P119">
        <v>-2.4418335</v>
      </c>
      <c r="Q119">
        <v>-5.1757087999999998</v>
      </c>
      <c r="R119">
        <v>-5.8557040999999996</v>
      </c>
      <c r="S119">
        <f t="shared" si="24"/>
        <v>3.1050545952172719</v>
      </c>
      <c r="T119">
        <f t="shared" si="25"/>
        <v>-27.441731535478912</v>
      </c>
      <c r="U119" s="8"/>
      <c r="V119" s="8"/>
    </row>
    <row r="120" spans="1:22" x14ac:dyDescent="0.35">
      <c r="A120">
        <v>1.75</v>
      </c>
      <c r="B120" s="9">
        <v>16.399999999999999</v>
      </c>
      <c r="C120">
        <v>-4.2750183999999997E-2</v>
      </c>
      <c r="D120">
        <v>1.4015812000000001E-2</v>
      </c>
      <c r="E120">
        <v>0.95715609000000001</v>
      </c>
      <c r="F120">
        <v>1.1893622E-2</v>
      </c>
      <c r="G120">
        <f t="shared" si="16"/>
        <v>10.2024315318801</v>
      </c>
      <c r="H120">
        <f t="shared" si="17"/>
        <v>3.24016242073276</v>
      </c>
      <c r="I120">
        <f t="shared" si="18"/>
        <v>10.202385792763501</v>
      </c>
      <c r="J120">
        <f t="shared" si="19"/>
        <v>3.2391012274685198</v>
      </c>
      <c r="K120" s="7">
        <f t="shared" si="20"/>
        <v>4.5739116599108302E-5</v>
      </c>
      <c r="L120" s="7">
        <f t="shared" si="21"/>
        <v>1.0611932642401499E-3</v>
      </c>
      <c r="M120" s="7">
        <f t="shared" si="22"/>
        <v>8.9041241842967203E-2</v>
      </c>
      <c r="N120" s="7">
        <f t="shared" si="23"/>
        <v>-2.82692305120874E-2</v>
      </c>
      <c r="O120">
        <v>-0.63887930999999998</v>
      </c>
      <c r="P120">
        <v>-2.8477910999999998</v>
      </c>
      <c r="Q120">
        <v>-5.8103068000000002</v>
      </c>
      <c r="R120">
        <v>-6.9236886999999996</v>
      </c>
      <c r="S120">
        <f t="shared" si="24"/>
        <v>3.0969380654969081</v>
      </c>
      <c r="T120">
        <f t="shared" si="25"/>
        <v>-27.358620825989068</v>
      </c>
      <c r="U120" s="8"/>
      <c r="V120" s="8"/>
    </row>
    <row r="121" spans="1:22" x14ac:dyDescent="0.35">
      <c r="A121">
        <v>2</v>
      </c>
      <c r="B121" s="9">
        <v>16.399999999999999</v>
      </c>
      <c r="C121">
        <v>-5.5427959999999998E-2</v>
      </c>
      <c r="D121">
        <v>1.5243188E-2</v>
      </c>
      <c r="E121">
        <v>0.94452806</v>
      </c>
      <c r="F121">
        <v>1.2827206000000001E-2</v>
      </c>
      <c r="G121">
        <f t="shared" si="16"/>
        <v>7.9742325495575503</v>
      </c>
      <c r="H121">
        <f t="shared" si="17"/>
        <v>2.1455541821391799</v>
      </c>
      <c r="I121">
        <f t="shared" si="18"/>
        <v>7.9742120184103804</v>
      </c>
      <c r="J121">
        <f t="shared" si="19"/>
        <v>2.14434613977288</v>
      </c>
      <c r="K121" s="7">
        <f t="shared" si="20"/>
        <v>2.0531147169933199E-5</v>
      </c>
      <c r="L121" s="7">
        <f t="shared" si="21"/>
        <v>1.2080423662999E-3</v>
      </c>
      <c r="M121" s="7">
        <f t="shared" si="22"/>
        <v>0.116947460537918</v>
      </c>
      <c r="N121" s="7">
        <f t="shared" si="23"/>
        <v>-3.1448353139062503E-2</v>
      </c>
      <c r="O121">
        <v>-0.63139522999999997</v>
      </c>
      <c r="P121">
        <v>-3.2450451</v>
      </c>
      <c r="Q121">
        <v>-6.3382870000000002</v>
      </c>
      <c r="R121">
        <v>-8.0184490999999998</v>
      </c>
      <c r="S121">
        <f t="shared" si="24"/>
        <v>3.0917530530013173</v>
      </c>
      <c r="T121">
        <f t="shared" si="25"/>
        <v>-27.314476190004982</v>
      </c>
      <c r="U121" s="8"/>
      <c r="V121" s="8"/>
    </row>
    <row r="122" spans="1:22" x14ac:dyDescent="0.35">
      <c r="A122">
        <v>2.25</v>
      </c>
      <c r="B122" s="9">
        <v>16.399999999999999</v>
      </c>
      <c r="C122">
        <v>-6.9419465999999999E-2</v>
      </c>
      <c r="D122">
        <v>1.5773105999999999E-2</v>
      </c>
      <c r="E122">
        <v>0.93058211000000002</v>
      </c>
      <c r="F122">
        <v>1.2974939E-2</v>
      </c>
      <c r="G122">
        <f t="shared" si="16"/>
        <v>6.4065526940725697</v>
      </c>
      <c r="H122">
        <f t="shared" si="17"/>
        <v>1.4307896304988901</v>
      </c>
      <c r="I122">
        <f t="shared" si="18"/>
        <v>6.4065554394981303</v>
      </c>
      <c r="J122">
        <f t="shared" si="19"/>
        <v>1.4293905519424499</v>
      </c>
      <c r="K122" s="7">
        <f t="shared" si="20"/>
        <v>-2.7454255606684801E-6</v>
      </c>
      <c r="L122" s="7">
        <f t="shared" si="21"/>
        <v>1.39907855644017E-3</v>
      </c>
      <c r="M122" s="7">
        <f t="shared" si="22"/>
        <v>0.14868844642933499</v>
      </c>
      <c r="N122" s="7">
        <f t="shared" si="23"/>
        <v>-3.31744355474963E-2</v>
      </c>
      <c r="O122">
        <v>-0.58894427999999999</v>
      </c>
      <c r="P122">
        <v>-3.6281433000000001</v>
      </c>
      <c r="Q122">
        <v>-6.7517727000000001</v>
      </c>
      <c r="R122">
        <v>-9.1251941999999993</v>
      </c>
      <c r="S122">
        <f t="shared" si="24"/>
        <v>3.0883000860742431</v>
      </c>
      <c r="T122">
        <f t="shared" si="25"/>
        <v>-27.277698903265815</v>
      </c>
      <c r="U122" s="8"/>
      <c r="V122" s="8"/>
    </row>
    <row r="123" spans="1:22" x14ac:dyDescent="0.35">
      <c r="A123">
        <v>2.5</v>
      </c>
      <c r="B123" s="9">
        <v>16.399999999999999</v>
      </c>
      <c r="C123">
        <v>-8.4498967999999994E-2</v>
      </c>
      <c r="D123">
        <v>1.5425777E-2</v>
      </c>
      <c r="E123">
        <v>0.91550883999999999</v>
      </c>
      <c r="F123">
        <v>1.2237138E-2</v>
      </c>
      <c r="G123">
        <f t="shared" si="16"/>
        <v>5.2630736449197597</v>
      </c>
      <c r="H123">
        <f t="shared" si="17"/>
        <v>0.94418661110760005</v>
      </c>
      <c r="I123">
        <f t="shared" si="18"/>
        <v>5.26308009072297</v>
      </c>
      <c r="J123">
        <f t="shared" si="19"/>
        <v>0.94259230810843098</v>
      </c>
      <c r="K123" s="7">
        <f t="shared" si="20"/>
        <v>-6.4458032102976404E-6</v>
      </c>
      <c r="L123" s="7">
        <f t="shared" si="21"/>
        <v>1.5943029991690701E-3</v>
      </c>
      <c r="M123" s="7">
        <f t="shared" si="22"/>
        <v>0.184097854317406</v>
      </c>
      <c r="N123" s="7">
        <f t="shared" si="23"/>
        <v>-3.29710394726326E-2</v>
      </c>
      <c r="O123">
        <v>-0.51334924000000004</v>
      </c>
      <c r="P123">
        <v>-3.9930246</v>
      </c>
      <c r="Q123">
        <v>-7.0477743999999998</v>
      </c>
      <c r="R123">
        <v>-10.226485</v>
      </c>
      <c r="S123">
        <f t="shared" si="24"/>
        <v>3.0849909804176359</v>
      </c>
      <c r="T123">
        <f t="shared" si="25"/>
        <v>-27.247552307067959</v>
      </c>
      <c r="U123" s="8"/>
      <c r="V123" s="8"/>
    </row>
    <row r="124" spans="1:22" x14ac:dyDescent="0.35">
      <c r="A124">
        <v>2.75</v>
      </c>
      <c r="B124" s="9">
        <v>16.399999999999999</v>
      </c>
      <c r="C124">
        <v>-0.10040321000000001</v>
      </c>
      <c r="D124">
        <v>1.4055801E-2</v>
      </c>
      <c r="E124">
        <v>0.89957354</v>
      </c>
      <c r="F124">
        <v>1.0354321999999999E-2</v>
      </c>
      <c r="G124">
        <f t="shared" si="16"/>
        <v>4.4068565223732099</v>
      </c>
      <c r="H124">
        <f t="shared" si="17"/>
        <v>0.59733562556453601</v>
      </c>
      <c r="I124">
        <f t="shared" si="18"/>
        <v>4.4068483225824897</v>
      </c>
      <c r="J124">
        <f t="shared" si="19"/>
        <v>0.59548484937358503</v>
      </c>
      <c r="K124" s="7">
        <f t="shared" si="20"/>
        <v>8.1997907201980507E-6</v>
      </c>
      <c r="L124" s="7">
        <f t="shared" si="21"/>
        <v>1.85077619095098E-3</v>
      </c>
      <c r="M124" s="7">
        <f t="shared" si="22"/>
        <v>0.22285043797933901</v>
      </c>
      <c r="N124" s="7">
        <f t="shared" si="23"/>
        <v>-3.0113144310625499E-2</v>
      </c>
      <c r="O124">
        <v>-0.40738934999999998</v>
      </c>
      <c r="P124">
        <v>-4.3351962999999998</v>
      </c>
      <c r="Q124">
        <v>-7.2272932000000001</v>
      </c>
      <c r="R124">
        <v>-11.306760000000001</v>
      </c>
      <c r="S124">
        <f t="shared" si="24"/>
        <v>3.081844245492972</v>
      </c>
      <c r="T124">
        <f t="shared" si="25"/>
        <v>-27.218294170838462</v>
      </c>
      <c r="U124" s="8"/>
      <c r="V124" s="8"/>
    </row>
    <row r="125" spans="1:22" x14ac:dyDescent="0.35">
      <c r="A125">
        <v>3</v>
      </c>
      <c r="B125" s="9">
        <v>16.399999999999999</v>
      </c>
      <c r="C125">
        <v>-0.11684517</v>
      </c>
      <c r="D125">
        <v>1.1601096999999999E-2</v>
      </c>
      <c r="E125">
        <v>0.88311446000000005</v>
      </c>
      <c r="F125">
        <v>7.3983093000000002E-3</v>
      </c>
      <c r="G125">
        <f t="shared" si="16"/>
        <v>3.7503509496210499</v>
      </c>
      <c r="H125">
        <f t="shared" si="17"/>
        <v>0.34655088231176501</v>
      </c>
      <c r="I125">
        <f t="shared" si="18"/>
        <v>3.7503351803176299</v>
      </c>
      <c r="J125">
        <f t="shared" si="19"/>
        <v>0.34444941290608699</v>
      </c>
      <c r="K125" s="7">
        <f t="shared" si="20"/>
        <v>1.5769303419954602E-5</v>
      </c>
      <c r="L125" s="7">
        <f t="shared" si="21"/>
        <v>2.1014694056780102E-3</v>
      </c>
      <c r="M125" s="7">
        <f t="shared" si="22"/>
        <v>0.26441238360244401</v>
      </c>
      <c r="N125" s="7">
        <f t="shared" si="23"/>
        <v>-2.4284946789541999E-2</v>
      </c>
      <c r="O125">
        <v>-0.27455868</v>
      </c>
      <c r="P125">
        <v>-4.6490762999999999</v>
      </c>
      <c r="Q125">
        <v>-7.2945887999999997</v>
      </c>
      <c r="R125">
        <v>-12.347201999999999</v>
      </c>
      <c r="S125">
        <f t="shared" si="24"/>
        <v>3.0793346491734228</v>
      </c>
      <c r="T125">
        <f t="shared" si="25"/>
        <v>-27.194349784523478</v>
      </c>
      <c r="U125" s="8"/>
      <c r="V125" s="8"/>
    </row>
    <row r="126" spans="1:22" x14ac:dyDescent="0.35">
      <c r="A126">
        <v>3.25</v>
      </c>
      <c r="B126" s="9">
        <v>16.399999999999999</v>
      </c>
      <c r="C126">
        <v>-0.13353957999999999</v>
      </c>
      <c r="D126">
        <v>8.0809612000000003E-3</v>
      </c>
      <c r="E126">
        <v>0.86640435999999998</v>
      </c>
      <c r="F126">
        <v>3.3413593E-3</v>
      </c>
      <c r="G126">
        <f t="shared" si="16"/>
        <v>3.23660214079261</v>
      </c>
      <c r="H126">
        <f t="shared" si="17"/>
        <v>0.16095625218405901</v>
      </c>
      <c r="I126">
        <f t="shared" si="18"/>
        <v>3.23657972640417</v>
      </c>
      <c r="J126">
        <f t="shared" si="19"/>
        <v>0.15858633168754799</v>
      </c>
      <c r="K126" s="7">
        <f t="shared" si="20"/>
        <v>2.2414388439973E-5</v>
      </c>
      <c r="L126" s="7">
        <f t="shared" si="21"/>
        <v>2.36992049651102E-3</v>
      </c>
      <c r="M126" s="7">
        <f t="shared" si="22"/>
        <v>0.30822813537145699</v>
      </c>
      <c r="N126" s="7">
        <f t="shared" si="23"/>
        <v>-1.51026001036467E-2</v>
      </c>
      <c r="O126">
        <v>-0.1217126</v>
      </c>
      <c r="P126">
        <v>-4.9333669000000002</v>
      </c>
      <c r="Q126">
        <v>-7.2632136999999997</v>
      </c>
      <c r="R126">
        <v>-13.331182999999999</v>
      </c>
      <c r="S126">
        <f t="shared" si="24"/>
        <v>3.0763524830687179</v>
      </c>
      <c r="T126">
        <f t="shared" si="25"/>
        <v>-27.169550020434091</v>
      </c>
      <c r="U126" s="8"/>
      <c r="V126" s="8"/>
    </row>
    <row r="127" spans="1:22" x14ac:dyDescent="0.35">
      <c r="A127">
        <v>3.5</v>
      </c>
      <c r="B127" s="9">
        <v>16.399999999999999</v>
      </c>
      <c r="C127">
        <v>-0.15022355000000001</v>
      </c>
      <c r="D127">
        <v>3.5950013000000001E-3</v>
      </c>
      <c r="E127">
        <v>0.84970036000000004</v>
      </c>
      <c r="F127">
        <v>-1.5823912999999999E-3</v>
      </c>
      <c r="G127">
        <f t="shared" si="16"/>
        <v>2.8273966703954998</v>
      </c>
      <c r="H127">
        <f t="shared" si="17"/>
        <v>2.35779771205974E-2</v>
      </c>
      <c r="I127">
        <f t="shared" si="18"/>
        <v>2.8273653260165501</v>
      </c>
      <c r="J127">
        <f t="shared" si="19"/>
        <v>2.0989101185734601E-2</v>
      </c>
      <c r="K127" s="7">
        <f t="shared" si="20"/>
        <v>3.1344378949693697E-5</v>
      </c>
      <c r="L127" s="7">
        <f t="shared" si="21"/>
        <v>2.5888759348628001E-3</v>
      </c>
      <c r="M127" s="7">
        <f t="shared" si="22"/>
        <v>0.35366667500344501</v>
      </c>
      <c r="N127" s="7">
        <f t="shared" si="23"/>
        <v>-2.6254639113538398E-3</v>
      </c>
      <c r="O127">
        <v>4.5085008000000003E-2</v>
      </c>
      <c r="P127">
        <v>-5.1849425</v>
      </c>
      <c r="Q127">
        <v>-7.1507744000000004</v>
      </c>
      <c r="R127">
        <v>-14.245251</v>
      </c>
      <c r="S127">
        <f t="shared" si="24"/>
        <v>3.0740322973727769</v>
      </c>
      <c r="T127">
        <f t="shared" si="25"/>
        <v>-27.153749257079006</v>
      </c>
      <c r="U127" s="8"/>
      <c r="V127" s="8"/>
    </row>
    <row r="128" spans="1:22" x14ac:dyDescent="0.35">
      <c r="A128">
        <v>3.75</v>
      </c>
      <c r="B128" s="9">
        <v>16.399999999999999</v>
      </c>
      <c r="C128">
        <v>-0.16668737</v>
      </c>
      <c r="D128">
        <v>-1.671624E-3</v>
      </c>
      <c r="E128">
        <v>0.83329235000000001</v>
      </c>
      <c r="F128">
        <v>-7.3837471E-3</v>
      </c>
      <c r="G128">
        <f t="shared" si="16"/>
        <v>2.49723478092131</v>
      </c>
      <c r="H128">
        <f t="shared" si="17"/>
        <v>-7.9980079237269894E-2</v>
      </c>
      <c r="I128">
        <f t="shared" si="18"/>
        <v>2.4972327980876599</v>
      </c>
      <c r="J128">
        <f t="shared" si="19"/>
        <v>-8.2836175411179797E-2</v>
      </c>
      <c r="K128" s="7">
        <f t="shared" si="20"/>
        <v>1.9828336501603901E-6</v>
      </c>
      <c r="L128" s="7">
        <f t="shared" si="21"/>
        <v>2.8560961739099002E-3</v>
      </c>
      <c r="M128" s="7">
        <f t="shared" si="22"/>
        <v>0.40000310845154502</v>
      </c>
      <c r="N128" s="7">
        <f t="shared" si="23"/>
        <v>1.3268577796224401E-2</v>
      </c>
      <c r="O128">
        <v>0.21694013000000001</v>
      </c>
      <c r="P128">
        <v>-5.4057804000000003</v>
      </c>
      <c r="Q128">
        <v>-6.9796022000000004</v>
      </c>
      <c r="R128">
        <v>-15.077579</v>
      </c>
      <c r="S128">
        <f t="shared" si="24"/>
        <v>3.0710341949377069</v>
      </c>
      <c r="T128">
        <f t="shared" si="25"/>
        <v>-27.138127387135349</v>
      </c>
      <c r="U128" s="8"/>
      <c r="V128" s="8"/>
    </row>
    <row r="129" spans="1:22" x14ac:dyDescent="0.35">
      <c r="A129">
        <v>4</v>
      </c>
      <c r="B129" s="9">
        <v>16.399999999999999</v>
      </c>
      <c r="C129">
        <v>-0.18277251</v>
      </c>
      <c r="D129">
        <v>-7.5043052999999998E-3</v>
      </c>
      <c r="E129">
        <v>0.8171562</v>
      </c>
      <c r="F129">
        <v>-1.3867631E-2</v>
      </c>
      <c r="G129">
        <f t="shared" si="16"/>
        <v>2.2258066445003899</v>
      </c>
      <c r="H129">
        <f t="shared" si="17"/>
        <v>-0.15774412183109099</v>
      </c>
      <c r="I129">
        <f t="shared" si="18"/>
        <v>2.2257811221883599</v>
      </c>
      <c r="J129">
        <f t="shared" si="19"/>
        <v>-0.160925979301793</v>
      </c>
      <c r="K129" s="7">
        <f t="shared" si="20"/>
        <v>2.5522312030013E-5</v>
      </c>
      <c r="L129" s="7">
        <f t="shared" si="21"/>
        <v>3.1818574707020201E-3</v>
      </c>
      <c r="M129" s="7">
        <f t="shared" si="22"/>
        <v>0.44694411040703802</v>
      </c>
      <c r="N129" s="7">
        <f t="shared" si="23"/>
        <v>3.2314461625815902E-2</v>
      </c>
      <c r="O129">
        <v>0.38688909999999999</v>
      </c>
      <c r="P129">
        <v>-5.5957083000000001</v>
      </c>
      <c r="Q129">
        <v>-6.7712992999999999</v>
      </c>
      <c r="R129">
        <v>-15.826241</v>
      </c>
      <c r="S129">
        <f t="shared" si="24"/>
        <v>3.0689522648421645</v>
      </c>
      <c r="T129">
        <f t="shared" si="25"/>
        <v>-27.118943940770876</v>
      </c>
      <c r="U129" s="8"/>
      <c r="V129" s="8"/>
    </row>
    <row r="130" spans="1:22" x14ac:dyDescent="0.35">
      <c r="A130">
        <v>4.25</v>
      </c>
      <c r="B130" s="9">
        <v>16.399999999999999</v>
      </c>
      <c r="C130">
        <v>-0.19839240999999999</v>
      </c>
      <c r="D130">
        <v>-1.3581269999999999E-2</v>
      </c>
      <c r="E130">
        <v>0.80152232999999995</v>
      </c>
      <c r="F130">
        <v>-2.0597351999999999E-2</v>
      </c>
      <c r="G130">
        <f t="shared" si="16"/>
        <v>2.0011809702348802</v>
      </c>
      <c r="H130">
        <f t="shared" si="17"/>
        <v>-0.213647326790879</v>
      </c>
      <c r="I130">
        <f t="shared" si="18"/>
        <v>2.0011506461916699</v>
      </c>
      <c r="J130">
        <f t="shared" si="19"/>
        <v>-0.217155623727565</v>
      </c>
      <c r="K130" s="7">
        <f t="shared" si="20"/>
        <v>3.0324043210239199E-5</v>
      </c>
      <c r="L130" s="7">
        <f t="shared" si="21"/>
        <v>3.5082969366860002E-3</v>
      </c>
      <c r="M130" s="7">
        <f t="shared" si="22"/>
        <v>0.49389658129991798</v>
      </c>
      <c r="N130" s="7">
        <f t="shared" si="23"/>
        <v>5.35953754272347E-2</v>
      </c>
      <c r="O130">
        <v>0.54635292999999996</v>
      </c>
      <c r="P130">
        <v>-5.7591710999999997</v>
      </c>
      <c r="Q130">
        <v>-6.5541438999999997</v>
      </c>
      <c r="R130">
        <v>-16.488046000000001</v>
      </c>
      <c r="S130">
        <f t="shared" si="24"/>
        <v>3.0670472407333804</v>
      </c>
      <c r="T130">
        <f t="shared" si="25"/>
        <v>-27.097494824502224</v>
      </c>
      <c r="U130" s="8"/>
      <c r="V130" s="8"/>
    </row>
    <row r="131" spans="1:22" x14ac:dyDescent="0.35">
      <c r="A131">
        <v>5</v>
      </c>
      <c r="B131" s="9">
        <v>16.399999999999999</v>
      </c>
      <c r="C131">
        <v>-0.24189373</v>
      </c>
      <c r="D131">
        <v>-3.1934979000000002E-2</v>
      </c>
      <c r="E131">
        <v>0.75797283000000004</v>
      </c>
      <c r="F131">
        <v>-4.0595523000000001E-2</v>
      </c>
      <c r="G131">
        <f t="shared" ref="G131:G188" si="26">IMREAL(IMDIV(IMSUM(IMPRODUCT(COMPLEX(1 + C131,D131),COMPLEX(1 - C131, - D131)),IMPRODUCT(COMPLEX(E131,F131),COMPLEX(E131,F131))),IMSUB(IMPRODUCT(COMPLEX(1 - C131, - D131),COMPLEX(1 - C131, - D131)),IMPRODUCT(COMPLEX(E131,F131),COMPLEX(E131,F131)))))</f>
        <v>1.5210759198500901</v>
      </c>
      <c r="H131">
        <f t="shared" ref="H131:H188" si="27">IMAGINARY(IMDIV(IMSUM(IMPRODUCT(COMPLEX(1 + C131,D131),COMPLEX(1 - C131, - D131)),IMPRODUCT(COMPLEX(E131,F131),COMPLEX(E131,F131))),IMSUB(IMPRODUCT(COMPLEX(1 - C131, - D131),COMPLEX(1 - C131, - D131)),IMPRODUCT(COMPLEX(E131,F131),COMPLEX(E131,F131)))))</f>
        <v>-0.30075170688783098</v>
      </c>
      <c r="I131">
        <f t="shared" ref="I131:I188" si="28">IMREAL(IMDIV(IMPRODUCT(COMPLEX(2,0),COMPLEX(E131,F131)),IMSUB(IMPRODUCT(COMPLEX(1 - C131, - D131),COMPLEX(1 - C131, - D131)),IMPRODUCT(COMPLEX(E131,F131),COMPLEX(E131,F131)))))</f>
        <v>1.5210279500558701</v>
      </c>
      <c r="J131">
        <f t="shared" ref="J131:J188" si="29">IMAGINARY(IMDIV(IMPRODUCT(COMPLEX(2,0),COMPLEX(E131,F131)),IMSUB(IMPRODUCT(COMPLEX(1 - C131, - D131),COMPLEX(1 - C131, - D131)),IMPRODUCT(COMPLEX(E131,F131),COMPLEX(E131,F131)))))</f>
        <v>-0.305082475558974</v>
      </c>
      <c r="K131" s="7">
        <f t="shared" ref="K131:K188" si="30">IMREAL(IMSUB(COMPLEX(G131,H131),COMPLEX(I131,J131)))</f>
        <v>4.7969794219948598E-5</v>
      </c>
      <c r="L131" s="7">
        <f t="shared" ref="L131:L188" si="31">IMAGINARY(IMSUB(COMPLEX(G131,H131),COMPLEX(I131,J131)))</f>
        <v>4.3307686711430097E-3</v>
      </c>
      <c r="M131" s="7">
        <f t="shared" ref="M131:M188" si="32">IMREAL(IMDIV(IMSUB(IMPRODUCT(COMPLEX(1 - C131, - D131),COMPLEX(1 - C131, - D131)),IMPRODUCT(COMPLEX(E131,F131),COMPLEX(E131,F131))),IMPRODUCT(COMPLEX(2,0),COMPLEX(E131,F131))))</f>
        <v>0.63202322863885696</v>
      </c>
      <c r="N131" s="7">
        <f t="shared" ref="N131:N188" si="33">IMAGINARY(IMDIV(IMSUB(IMPRODUCT(COMPLEX(1 - C131, - D131),COMPLEX(1 - C131, - D131)),IMPRODUCT(COMPLEX(E131,F131),COMPLEX(E131,F131))),IMPRODUCT(COMPLEX(2,0),COMPLEX(E131,F131))))</f>
        <v>0.126769012493712</v>
      </c>
      <c r="O131">
        <v>0.95713075000000003</v>
      </c>
      <c r="P131">
        <v>-6.1933528000000004</v>
      </c>
      <c r="Q131">
        <v>-5.9409878999999997</v>
      </c>
      <c r="R131">
        <v>-17.906407999999999</v>
      </c>
      <c r="S131">
        <f t="shared" ref="S131:S188" si="34">IMABS(COMPLEX(Q131,R131))/IMABS(COMPLEX(O131,P131))</f>
        <v>3.0104693271442042</v>
      </c>
      <c r="T131">
        <f t="shared" ref="T131:T188" si="35">IMARGUMENT(IMDIV(COMPLEX(Q131,R131),COMPLEX(O131/B131,P131/B131)))/PI()*180</f>
        <v>-27.139895524285674</v>
      </c>
      <c r="U131" s="8"/>
      <c r="V131" s="8"/>
    </row>
    <row r="132" spans="1:22" x14ac:dyDescent="0.35">
      <c r="A132">
        <v>1</v>
      </c>
      <c r="B132" s="9">
        <v>16.600000000000001</v>
      </c>
      <c r="C132">
        <v>-1.2695626E-2</v>
      </c>
      <c r="D132">
        <v>1.0254147999999999E-2</v>
      </c>
      <c r="E132">
        <v>0.98705715999999999</v>
      </c>
      <c r="F132">
        <v>8.9795173999999995E-3</v>
      </c>
      <c r="G132">
        <f t="shared" si="26"/>
        <v>24.458052393005101</v>
      </c>
      <c r="H132">
        <f t="shared" si="27"/>
        <v>18.723499905396899</v>
      </c>
      <c r="I132">
        <f t="shared" si="28"/>
        <v>24.457929177045902</v>
      </c>
      <c r="J132">
        <f t="shared" si="29"/>
        <v>18.7228624327734</v>
      </c>
      <c r="K132" s="7">
        <f t="shared" si="30"/>
        <v>1.23215959199285E-4</v>
      </c>
      <c r="L132" s="7">
        <f t="shared" si="31"/>
        <v>6.3747262349877999E-4</v>
      </c>
      <c r="M132" s="7">
        <f t="shared" si="32"/>
        <v>2.57794922296995E-2</v>
      </c>
      <c r="N132" s="7">
        <f t="shared" si="33"/>
        <v>-1.9734536113401001E-2</v>
      </c>
      <c r="O132">
        <v>-0.68728493000000002</v>
      </c>
      <c r="P132">
        <v>-1.4686173</v>
      </c>
      <c r="Q132">
        <v>-3.9635278999999999</v>
      </c>
      <c r="R132">
        <v>-3.0217092000000001</v>
      </c>
      <c r="S132">
        <f t="shared" si="34"/>
        <v>3.073736609385</v>
      </c>
      <c r="T132">
        <f t="shared" si="35"/>
        <v>-27.600176036260237</v>
      </c>
      <c r="U132" s="8"/>
      <c r="V132" s="8"/>
    </row>
    <row r="133" spans="1:22" x14ac:dyDescent="0.35">
      <c r="A133">
        <v>1.25</v>
      </c>
      <c r="B133" s="9">
        <v>16.600000000000001</v>
      </c>
      <c r="C133">
        <v>-1.9804235999999999E-2</v>
      </c>
      <c r="D133">
        <v>1.3264197E-2</v>
      </c>
      <c r="E133">
        <v>0.98002918999999999</v>
      </c>
      <c r="F133">
        <v>1.1853506999999999E-2</v>
      </c>
      <c r="G133">
        <f t="shared" si="26"/>
        <v>17.473780521974401</v>
      </c>
      <c r="H133">
        <f t="shared" si="27"/>
        <v>11.3506616429875</v>
      </c>
      <c r="I133">
        <f t="shared" si="28"/>
        <v>17.4736977256727</v>
      </c>
      <c r="J133">
        <f t="shared" si="29"/>
        <v>11.3499561808317</v>
      </c>
      <c r="K133" s="7">
        <f t="shared" si="30"/>
        <v>8.2796301700938102E-5</v>
      </c>
      <c r="L133" s="7">
        <f t="shared" si="31"/>
        <v>7.0546215579980797E-4</v>
      </c>
      <c r="M133" s="7">
        <f t="shared" si="32"/>
        <v>4.0247915752772298E-2</v>
      </c>
      <c r="N133" s="7">
        <f t="shared" si="33"/>
        <v>-2.61428397890054E-2</v>
      </c>
      <c r="O133">
        <v>-0.82737335000000001</v>
      </c>
      <c r="P133">
        <v>-1.8245</v>
      </c>
      <c r="Q133">
        <v>-4.8815951000000002</v>
      </c>
      <c r="R133">
        <v>-3.8289737000000001</v>
      </c>
      <c r="S133">
        <f t="shared" si="34"/>
        <v>3.0968937431054866</v>
      </c>
      <c r="T133">
        <f t="shared" si="35"/>
        <v>-27.497131229090307</v>
      </c>
      <c r="U133" s="8"/>
      <c r="V133" s="8"/>
    </row>
    <row r="134" spans="1:22" x14ac:dyDescent="0.35">
      <c r="A134">
        <v>1.5</v>
      </c>
      <c r="B134" s="9">
        <v>16.600000000000001</v>
      </c>
      <c r="C134">
        <v>-2.8576772E-2</v>
      </c>
      <c r="D134">
        <v>1.6570172000000001E-2</v>
      </c>
      <c r="E134">
        <v>0.97125211</v>
      </c>
      <c r="F134">
        <v>1.4909807000000001E-2</v>
      </c>
      <c r="G134">
        <f t="shared" si="26"/>
        <v>12.9027176710504</v>
      </c>
      <c r="H134">
        <f t="shared" si="27"/>
        <v>7.3605272000888604</v>
      </c>
      <c r="I134">
        <f t="shared" si="28"/>
        <v>12.9026327941089</v>
      </c>
      <c r="J134">
        <f t="shared" si="29"/>
        <v>7.35969687608379</v>
      </c>
      <c r="K134" s="7">
        <f t="shared" si="30"/>
        <v>8.4876941500056105E-5</v>
      </c>
      <c r="L134" s="7">
        <f t="shared" si="31"/>
        <v>8.3032400507043703E-4</v>
      </c>
      <c r="M134" s="7">
        <f t="shared" si="32"/>
        <v>5.8477398488783097E-2</v>
      </c>
      <c r="N134" s="7">
        <f t="shared" si="33"/>
        <v>-3.3355667315891201E-2</v>
      </c>
      <c r="O134">
        <v>-0.94205278999999997</v>
      </c>
      <c r="P134">
        <v>-2.1924443999999998</v>
      </c>
      <c r="Q134">
        <v>-5.7453057000000003</v>
      </c>
      <c r="R134">
        <v>-4.7003316000000002</v>
      </c>
      <c r="S134">
        <f t="shared" si="34"/>
        <v>3.1107353710847701</v>
      </c>
      <c r="T134">
        <f t="shared" si="35"/>
        <v>-27.460519986954786</v>
      </c>
      <c r="U134" s="8"/>
      <c r="V134" s="8"/>
    </row>
    <row r="135" spans="1:22" x14ac:dyDescent="0.35">
      <c r="A135">
        <v>1.75</v>
      </c>
      <c r="B135" s="9">
        <v>16.600000000000001</v>
      </c>
      <c r="C135">
        <v>-3.8995071999999999E-2</v>
      </c>
      <c r="D135">
        <v>1.9944704000000001E-2</v>
      </c>
      <c r="E135">
        <v>0.96082440000000002</v>
      </c>
      <c r="F135">
        <v>1.7966336999999999E-2</v>
      </c>
      <c r="G135">
        <f t="shared" si="26"/>
        <v>9.8566553252167601</v>
      </c>
      <c r="H135">
        <f t="shared" si="27"/>
        <v>5.0232210050147001</v>
      </c>
      <c r="I135">
        <f t="shared" si="28"/>
        <v>9.8565660318164596</v>
      </c>
      <c r="J135">
        <f t="shared" si="29"/>
        <v>5.0222316438834396</v>
      </c>
      <c r="K135" s="7">
        <f t="shared" si="30"/>
        <v>8.9293400300505295E-5</v>
      </c>
      <c r="L135" s="7">
        <f t="shared" si="31"/>
        <v>9.893611312605799E-4</v>
      </c>
      <c r="M135" s="7">
        <f t="shared" si="32"/>
        <v>8.0544145639168396E-2</v>
      </c>
      <c r="N135" s="7">
        <f t="shared" si="33"/>
        <v>-4.1039785626439E-2</v>
      </c>
      <c r="O135">
        <v>-1.0290805999999999</v>
      </c>
      <c r="P135">
        <v>-2.5671341999999999</v>
      </c>
      <c r="Q135">
        <v>-6.5371566000000003</v>
      </c>
      <c r="R135">
        <v>-5.6277913000000002</v>
      </c>
      <c r="S135">
        <f t="shared" si="34"/>
        <v>3.1188731894038764</v>
      </c>
      <c r="T135">
        <f t="shared" si="35"/>
        <v>-27.430831560959195</v>
      </c>
      <c r="U135" s="8"/>
      <c r="V135" s="8"/>
    </row>
    <row r="136" spans="1:22" x14ac:dyDescent="0.35">
      <c r="A136">
        <v>2</v>
      </c>
      <c r="B136" s="9">
        <v>16.600000000000001</v>
      </c>
      <c r="C136">
        <v>-5.0999986999999997E-2</v>
      </c>
      <c r="D136">
        <v>2.3140812E-2</v>
      </c>
      <c r="E136">
        <v>0.94905848000000004</v>
      </c>
      <c r="F136">
        <v>2.0701832E-2</v>
      </c>
      <c r="G136">
        <f t="shared" si="26"/>
        <v>7.7783224373806803</v>
      </c>
      <c r="H136">
        <f t="shared" si="27"/>
        <v>3.5609280482066001</v>
      </c>
      <c r="I136">
        <f t="shared" si="28"/>
        <v>7.7783531570493603</v>
      </c>
      <c r="J136">
        <f t="shared" si="29"/>
        <v>3.5597086313167599</v>
      </c>
      <c r="K136" s="7">
        <f t="shared" si="30"/>
        <v>-3.0719668679957097E-5</v>
      </c>
      <c r="L136" s="7">
        <f t="shared" si="31"/>
        <v>1.2194168898402901E-3</v>
      </c>
      <c r="M136" s="7">
        <f t="shared" si="32"/>
        <v>0.106298971062534</v>
      </c>
      <c r="N136" s="7">
        <f t="shared" si="33"/>
        <v>-4.8646976699490897E-2</v>
      </c>
      <c r="O136">
        <v>-1.0859113</v>
      </c>
      <c r="P136">
        <v>-2.9473365999999999</v>
      </c>
      <c r="Q136">
        <v>-7.2415146999999997</v>
      </c>
      <c r="R136">
        <v>-6.6072438</v>
      </c>
      <c r="S136">
        <f t="shared" si="34"/>
        <v>3.1209038184128559</v>
      </c>
      <c r="T136">
        <f t="shared" si="35"/>
        <v>-27.396582012736737</v>
      </c>
      <c r="U136" s="8"/>
      <c r="V136" s="8"/>
    </row>
    <row r="137" spans="1:22" x14ac:dyDescent="0.35">
      <c r="A137">
        <v>2.25</v>
      </c>
      <c r="B137" s="9">
        <v>16.600000000000001</v>
      </c>
      <c r="C137">
        <v>-6.4516954000000001E-2</v>
      </c>
      <c r="D137">
        <v>2.5913516000000001E-2</v>
      </c>
      <c r="E137">
        <v>0.93551678999999999</v>
      </c>
      <c r="F137">
        <v>2.30612E-2</v>
      </c>
      <c r="G137">
        <f t="shared" si="26"/>
        <v>6.2753639967649004</v>
      </c>
      <c r="H137">
        <f t="shared" si="27"/>
        <v>2.5729732754580299</v>
      </c>
      <c r="I137">
        <f t="shared" si="28"/>
        <v>6.2753829022997998</v>
      </c>
      <c r="J137">
        <f t="shared" si="29"/>
        <v>2.5715471684815898</v>
      </c>
      <c r="K137" s="7">
        <f t="shared" si="30"/>
        <v>-1.8905534899360502E-5</v>
      </c>
      <c r="L137" s="7">
        <f t="shared" si="31"/>
        <v>1.42610697644008E-3</v>
      </c>
      <c r="M137" s="7">
        <f t="shared" si="32"/>
        <v>0.136441283685896</v>
      </c>
      <c r="N137" s="7">
        <f t="shared" si="33"/>
        <v>-5.5911360659422697E-2</v>
      </c>
      <c r="O137">
        <v>-1.1092143000000001</v>
      </c>
      <c r="P137">
        <v>-3.3270417000000001</v>
      </c>
      <c r="Q137">
        <v>-7.8510526</v>
      </c>
      <c r="R137">
        <v>-7.6331775999999998</v>
      </c>
      <c r="S137">
        <f t="shared" si="34"/>
        <v>3.1222866459290715</v>
      </c>
      <c r="T137">
        <f t="shared" si="35"/>
        <v>-27.368087592557238</v>
      </c>
      <c r="U137" s="8"/>
      <c r="V137" s="8"/>
    </row>
    <row r="138" spans="1:22" x14ac:dyDescent="0.35">
      <c r="A138">
        <v>2.5</v>
      </c>
      <c r="B138" s="9">
        <v>16.600000000000001</v>
      </c>
      <c r="C138">
        <v>-7.9390996000000005E-2</v>
      </c>
      <c r="D138">
        <v>2.8011563E-2</v>
      </c>
      <c r="E138">
        <v>0.92058176000000003</v>
      </c>
      <c r="F138">
        <v>2.4710197999999999E-2</v>
      </c>
      <c r="G138">
        <f t="shared" si="26"/>
        <v>5.1717724817430204</v>
      </c>
      <c r="H138">
        <f t="shared" si="27"/>
        <v>1.8837482537403301</v>
      </c>
      <c r="I138">
        <f t="shared" si="28"/>
        <v>5.1717615844141003</v>
      </c>
      <c r="J138">
        <f t="shared" si="29"/>
        <v>1.8820975307661501</v>
      </c>
      <c r="K138" s="7">
        <f t="shared" si="30"/>
        <v>1.08973289201231E-5</v>
      </c>
      <c r="L138" s="7">
        <f t="shared" si="31"/>
        <v>1.65072297418001E-3</v>
      </c>
      <c r="M138" s="7">
        <f t="shared" si="32"/>
        <v>0.17074488261509899</v>
      </c>
      <c r="N138" s="7">
        <f t="shared" si="33"/>
        <v>-6.2137149347583603E-2</v>
      </c>
      <c r="O138">
        <v>-1.0972595999999999</v>
      </c>
      <c r="P138">
        <v>-3.7004937999999998</v>
      </c>
      <c r="Q138">
        <v>-8.3526594000000003</v>
      </c>
      <c r="R138">
        <v>-8.6935640000000003</v>
      </c>
      <c r="S138">
        <f t="shared" si="34"/>
        <v>3.1234990185484448</v>
      </c>
      <c r="T138">
        <f t="shared" si="35"/>
        <v>-27.338314419482295</v>
      </c>
      <c r="U138" s="8"/>
      <c r="V138" s="8"/>
    </row>
    <row r="139" spans="1:22" x14ac:dyDescent="0.35">
      <c r="A139">
        <v>2.75</v>
      </c>
      <c r="B139" s="9">
        <v>16.600000000000001</v>
      </c>
      <c r="C139">
        <v>-9.5410800000000004E-2</v>
      </c>
      <c r="D139">
        <v>2.9214364E-2</v>
      </c>
      <c r="E139">
        <v>0.90468024000000002</v>
      </c>
      <c r="F139">
        <v>2.5327615000000001E-2</v>
      </c>
      <c r="G139">
        <f t="shared" si="26"/>
        <v>4.3466372607092696</v>
      </c>
      <c r="H139">
        <f t="shared" si="27"/>
        <v>1.38694001042816</v>
      </c>
      <c r="I139">
        <f t="shared" si="28"/>
        <v>4.3466865548117903</v>
      </c>
      <c r="J139">
        <f t="shared" si="29"/>
        <v>1.3849968201790801</v>
      </c>
      <c r="K139" s="7">
        <f t="shared" si="30"/>
        <v>-4.9294102520747201E-5</v>
      </c>
      <c r="L139" s="7">
        <f t="shared" si="31"/>
        <v>1.9431902490798501E-3</v>
      </c>
      <c r="M139" s="7">
        <f t="shared" si="32"/>
        <v>0.20885582352036799</v>
      </c>
      <c r="N139" s="7">
        <f t="shared" si="33"/>
        <v>-6.6548311640133598E-2</v>
      </c>
      <c r="O139">
        <v>-1.05098</v>
      </c>
      <c r="P139">
        <v>-4.0645213</v>
      </c>
      <c r="Q139">
        <v>-8.7369740999999994</v>
      </c>
      <c r="R139">
        <v>-9.7715945000000008</v>
      </c>
      <c r="S139">
        <f t="shared" si="34"/>
        <v>3.1222816248594989</v>
      </c>
      <c r="T139">
        <f t="shared" si="35"/>
        <v>-27.302856732127665</v>
      </c>
      <c r="U139" s="8"/>
      <c r="V139" s="8"/>
    </row>
    <row r="140" spans="1:22" x14ac:dyDescent="0.35">
      <c r="A140">
        <v>3</v>
      </c>
      <c r="B140" s="9">
        <v>16.600000000000001</v>
      </c>
      <c r="C140">
        <v>-0.11232875</v>
      </c>
      <c r="D140">
        <v>2.9398746E-2</v>
      </c>
      <c r="E140">
        <v>0.88764321999999996</v>
      </c>
      <c r="F140">
        <v>2.5148223000000001E-2</v>
      </c>
      <c r="G140">
        <f t="shared" si="26"/>
        <v>3.7029584408134499</v>
      </c>
      <c r="H140">
        <f t="shared" si="27"/>
        <v>1.0214148997275401</v>
      </c>
      <c r="I140">
        <f t="shared" si="28"/>
        <v>3.7029489425229798</v>
      </c>
      <c r="J140">
        <f t="shared" si="29"/>
        <v>1.01928958825495</v>
      </c>
      <c r="K140" s="7">
        <f t="shared" si="30"/>
        <v>9.4982904701446103E-6</v>
      </c>
      <c r="L140" s="7">
        <f t="shared" si="31"/>
        <v>2.1253114725900998E-3</v>
      </c>
      <c r="M140" s="7">
        <f t="shared" si="32"/>
        <v>0.25103407456421301</v>
      </c>
      <c r="N140" s="7">
        <f t="shared" si="33"/>
        <v>-6.9100714720138304E-2</v>
      </c>
      <c r="O140">
        <v>-0.97225393999999998</v>
      </c>
      <c r="P140">
        <v>-4.4104638999999999</v>
      </c>
      <c r="Q140">
        <v>-9.0097798000000004</v>
      </c>
      <c r="R140">
        <v>-10.846738</v>
      </c>
      <c r="S140">
        <f t="shared" si="34"/>
        <v>3.1221263132946331</v>
      </c>
      <c r="T140">
        <f t="shared" si="35"/>
        <v>-27.28291767960517</v>
      </c>
      <c r="U140" s="8"/>
      <c r="V140" s="8"/>
    </row>
    <row r="141" spans="1:22" x14ac:dyDescent="0.35">
      <c r="A141">
        <v>3.25</v>
      </c>
      <c r="B141" s="9">
        <v>16.600000000000001</v>
      </c>
      <c r="C141">
        <v>-0.12984436999999999</v>
      </c>
      <c r="D141">
        <v>2.8469727E-2</v>
      </c>
      <c r="E141">
        <v>0.87006079999999997</v>
      </c>
      <c r="F141">
        <v>2.3618765E-2</v>
      </c>
      <c r="G141">
        <f t="shared" si="26"/>
        <v>3.2006037709136699</v>
      </c>
      <c r="H141">
        <f t="shared" si="27"/>
        <v>0.74320660959874796</v>
      </c>
      <c r="I141">
        <f t="shared" si="28"/>
        <v>3.2005622374257499</v>
      </c>
      <c r="J141">
        <f t="shared" si="29"/>
        <v>0.74078091284565195</v>
      </c>
      <c r="K141" s="7">
        <f t="shared" si="30"/>
        <v>4.15334879200202E-5</v>
      </c>
      <c r="L141" s="7">
        <f t="shared" si="31"/>
        <v>2.4256967530960098E-3</v>
      </c>
      <c r="M141" s="7">
        <f t="shared" si="32"/>
        <v>0.29655828023373598</v>
      </c>
      <c r="N141" s="7">
        <f t="shared" si="33"/>
        <v>-6.8639413092675503E-2</v>
      </c>
      <c r="O141">
        <v>-0.86544045000000003</v>
      </c>
      <c r="P141">
        <v>-4.7355403999999997</v>
      </c>
      <c r="Q141">
        <v>-9.1685168000000008</v>
      </c>
      <c r="R141">
        <v>-11.900986</v>
      </c>
      <c r="S141">
        <f t="shared" si="34"/>
        <v>3.1207396345741372</v>
      </c>
      <c r="T141">
        <f t="shared" si="35"/>
        <v>-27.253889544392614</v>
      </c>
      <c r="U141" s="8"/>
      <c r="V141" s="8"/>
    </row>
    <row r="142" spans="1:22" x14ac:dyDescent="0.35">
      <c r="A142">
        <v>3.5</v>
      </c>
      <c r="B142" s="9">
        <v>16.600000000000001</v>
      </c>
      <c r="C142">
        <v>-0.14770043999999999</v>
      </c>
      <c r="D142">
        <v>2.6359206E-2</v>
      </c>
      <c r="E142">
        <v>0.85220099000000005</v>
      </c>
      <c r="F142">
        <v>2.0922175000000001E-2</v>
      </c>
      <c r="G142">
        <f t="shared" si="26"/>
        <v>2.7996463421416502</v>
      </c>
      <c r="H142">
        <f t="shared" si="27"/>
        <v>0.52931584799660902</v>
      </c>
      <c r="I142">
        <f t="shared" si="28"/>
        <v>2.7996044460772098</v>
      </c>
      <c r="J142">
        <f t="shared" si="29"/>
        <v>0.52659708460725396</v>
      </c>
      <c r="K142" s="7">
        <f t="shared" si="30"/>
        <v>4.1896064440383199E-5</v>
      </c>
      <c r="L142" s="7">
        <f t="shared" si="31"/>
        <v>2.7187633893550598E-3</v>
      </c>
      <c r="M142" s="7">
        <f t="shared" si="32"/>
        <v>0.34498749901570003</v>
      </c>
      <c r="N142" s="7">
        <f t="shared" si="33"/>
        <v>-6.4891099691661597E-2</v>
      </c>
      <c r="O142">
        <v>-0.73278927000000005</v>
      </c>
      <c r="P142">
        <v>-5.0350149000000002</v>
      </c>
      <c r="Q142">
        <v>-9.2193222000000006</v>
      </c>
      <c r="R142">
        <v>-12.921620000000001</v>
      </c>
      <c r="S142">
        <f t="shared" si="34"/>
        <v>3.1197310872365325</v>
      </c>
      <c r="T142">
        <f t="shared" si="35"/>
        <v>-27.226500310498672</v>
      </c>
      <c r="U142" s="8"/>
      <c r="V142" s="8"/>
    </row>
    <row r="143" spans="1:22" x14ac:dyDescent="0.35">
      <c r="A143">
        <v>3.75</v>
      </c>
      <c r="B143" s="9">
        <v>16.600000000000001</v>
      </c>
      <c r="C143">
        <v>-0.16554036999999999</v>
      </c>
      <c r="D143">
        <v>2.3289975000000001E-2</v>
      </c>
      <c r="E143">
        <v>0.83439987000000004</v>
      </c>
      <c r="F143">
        <v>1.7125181E-2</v>
      </c>
      <c r="G143">
        <f t="shared" si="26"/>
        <v>2.47555327572924</v>
      </c>
      <c r="H143">
        <f t="shared" si="27"/>
        <v>0.36470143914127101</v>
      </c>
      <c r="I143">
        <f t="shared" si="28"/>
        <v>2.4755328967691099</v>
      </c>
      <c r="J143">
        <f t="shared" si="29"/>
        <v>0.36161888721857299</v>
      </c>
      <c r="K143" s="7">
        <f t="shared" si="30"/>
        <v>2.0378960130074099E-5</v>
      </c>
      <c r="L143" s="7">
        <f t="shared" si="31"/>
        <v>3.0825519226980202E-3</v>
      </c>
      <c r="M143" s="7">
        <f t="shared" si="32"/>
        <v>0.395513740269749</v>
      </c>
      <c r="N143" s="7">
        <f t="shared" si="33"/>
        <v>-5.7775535450435303E-2</v>
      </c>
      <c r="O143">
        <v>-0.58685723999999995</v>
      </c>
      <c r="P143">
        <v>-5.3057562000000003</v>
      </c>
      <c r="Q143">
        <v>-9.1851953000000002</v>
      </c>
      <c r="R143">
        <v>-13.872487</v>
      </c>
      <c r="S143">
        <f t="shared" si="34"/>
        <v>3.1167791839596877</v>
      </c>
      <c r="T143">
        <f t="shared" si="35"/>
        <v>-27.197483265774952</v>
      </c>
      <c r="U143" s="8"/>
      <c r="V143" s="8"/>
    </row>
    <row r="144" spans="1:22" x14ac:dyDescent="0.35">
      <c r="A144">
        <v>4</v>
      </c>
      <c r="B144" s="9">
        <v>16.600000000000001</v>
      </c>
      <c r="C144">
        <v>-0.18316288999999999</v>
      </c>
      <c r="D144">
        <v>1.9361098E-2</v>
      </c>
      <c r="E144">
        <v>0.81677677999999998</v>
      </c>
      <c r="F144">
        <v>1.253112E-2</v>
      </c>
      <c r="G144">
        <f t="shared" si="26"/>
        <v>2.2088457833865802</v>
      </c>
      <c r="H144">
        <f t="shared" si="27"/>
        <v>0.237499281616222</v>
      </c>
      <c r="I144">
        <f t="shared" si="28"/>
        <v>2.2088272805459002</v>
      </c>
      <c r="J144">
        <f t="shared" si="29"/>
        <v>0.23408412641106799</v>
      </c>
      <c r="K144" s="7">
        <f t="shared" si="30"/>
        <v>1.85028406800569E-5</v>
      </c>
      <c r="L144" s="7">
        <f t="shared" si="31"/>
        <v>3.4151552051540101E-3</v>
      </c>
      <c r="M144" s="7">
        <f t="shared" si="32"/>
        <v>0.44770077449338802</v>
      </c>
      <c r="N144" s="7">
        <f t="shared" si="33"/>
        <v>-4.7445830470249598E-2</v>
      </c>
      <c r="O144">
        <v>-0.43143169999999997</v>
      </c>
      <c r="P144">
        <v>-5.5464281</v>
      </c>
      <c r="Q144">
        <v>-9.0832543000000001</v>
      </c>
      <c r="R144">
        <v>-14.752167</v>
      </c>
      <c r="S144">
        <f t="shared" si="34"/>
        <v>3.1141018412369381</v>
      </c>
      <c r="T144">
        <f t="shared" si="35"/>
        <v>-27.173754128442081</v>
      </c>
      <c r="U144" s="8"/>
      <c r="V144" s="8"/>
    </row>
    <row r="145" spans="1:22" x14ac:dyDescent="0.35">
      <c r="A145">
        <v>4.25</v>
      </c>
      <c r="B145" s="9">
        <v>16.600000000000001</v>
      </c>
      <c r="C145">
        <v>-0.20037435000000001</v>
      </c>
      <c r="D145">
        <v>1.4855752999999999E-2</v>
      </c>
      <c r="E145">
        <v>0.79960138000000003</v>
      </c>
      <c r="F145">
        <v>7.4259787000000004E-3</v>
      </c>
      <c r="G145">
        <f t="shared" si="26"/>
        <v>1.9874885567440499</v>
      </c>
      <c r="H145">
        <f t="shared" si="27"/>
        <v>0.140154143019486</v>
      </c>
      <c r="I145">
        <f t="shared" si="28"/>
        <v>1.9874902222952799</v>
      </c>
      <c r="J145">
        <f t="shared" si="29"/>
        <v>0.13643921697619299</v>
      </c>
      <c r="K145" s="7">
        <f t="shared" si="30"/>
        <v>-1.6655512300456399E-6</v>
      </c>
      <c r="L145" s="7">
        <f t="shared" si="31"/>
        <v>3.7149260432930201E-3</v>
      </c>
      <c r="M145" s="7">
        <f t="shared" si="32"/>
        <v>0.50078707749720497</v>
      </c>
      <c r="N145" s="7">
        <f t="shared" si="33"/>
        <v>-3.4378532260956898E-2</v>
      </c>
      <c r="O145">
        <v>-0.27605840999999998</v>
      </c>
      <c r="P145">
        <v>-5.7748084000000004</v>
      </c>
      <c r="Q145">
        <v>-8.9349994000000006</v>
      </c>
      <c r="R145">
        <v>-15.539493999999999</v>
      </c>
      <c r="S145">
        <f t="shared" si="34"/>
        <v>3.1004800365547633</v>
      </c>
      <c r="T145">
        <f t="shared" si="35"/>
        <v>-27.161442241032649</v>
      </c>
      <c r="U145" s="8"/>
      <c r="V145" s="8"/>
    </row>
    <row r="146" spans="1:22" x14ac:dyDescent="0.35">
      <c r="A146">
        <v>4.5</v>
      </c>
      <c r="B146" s="9">
        <v>16.600000000000001</v>
      </c>
      <c r="C146">
        <v>-0.21699651</v>
      </c>
      <c r="D146">
        <v>1.0188557000000001E-2</v>
      </c>
      <c r="E146">
        <v>0.78300868999999995</v>
      </c>
      <c r="F146">
        <v>2.1454299999999998E-3</v>
      </c>
      <c r="G146">
        <f t="shared" si="26"/>
        <v>1.8023431278811399</v>
      </c>
      <c r="H146">
        <f t="shared" si="27"/>
        <v>6.7443879223473696E-2</v>
      </c>
      <c r="I146">
        <f t="shared" si="28"/>
        <v>1.80236190045966</v>
      </c>
      <c r="J146">
        <f t="shared" si="29"/>
        <v>6.3422401674432097E-2</v>
      </c>
      <c r="K146" s="7">
        <f t="shared" si="30"/>
        <v>-1.87725785201209E-5</v>
      </c>
      <c r="L146" s="7">
        <f t="shared" si="31"/>
        <v>4.0214775490416002E-3</v>
      </c>
      <c r="M146" s="7">
        <f t="shared" si="32"/>
        <v>0.55414137467264302</v>
      </c>
      <c r="N146" s="7">
        <f t="shared" si="33"/>
        <v>-1.9499400669725199E-2</v>
      </c>
      <c r="O146">
        <v>-0.13027269999999999</v>
      </c>
      <c r="P146">
        <v>-5.9629361000000003</v>
      </c>
      <c r="Q146">
        <v>-8.7809408999999992</v>
      </c>
      <c r="R146">
        <v>-16.232410999999999</v>
      </c>
      <c r="S146">
        <f t="shared" si="34"/>
        <v>3.0942546703162606</v>
      </c>
      <c r="T146">
        <f t="shared" si="35"/>
        <v>-27.159675484038825</v>
      </c>
      <c r="U146" s="8"/>
      <c r="V146" s="8"/>
    </row>
    <row r="147" spans="1:22" x14ac:dyDescent="0.35">
      <c r="A147">
        <v>4.75</v>
      </c>
      <c r="B147" s="9">
        <v>16.600000000000001</v>
      </c>
      <c r="C147">
        <v>-0.23299943000000001</v>
      </c>
      <c r="D147">
        <v>5.4561478E-3</v>
      </c>
      <c r="E147">
        <v>0.76698703000000001</v>
      </c>
      <c r="F147">
        <v>-3.2607260999999998E-3</v>
      </c>
      <c r="G147">
        <f t="shared" si="26"/>
        <v>1.6458119086427501</v>
      </c>
      <c r="H147">
        <f t="shared" si="27"/>
        <v>1.2288326962504601E-2</v>
      </c>
      <c r="I147">
        <f t="shared" si="28"/>
        <v>1.6458241345945299</v>
      </c>
      <c r="J147">
        <f t="shared" si="29"/>
        <v>7.9299137920874306E-3</v>
      </c>
      <c r="K147" s="7">
        <f t="shared" si="30"/>
        <v>-1.2225951779854001E-5</v>
      </c>
      <c r="L147" s="7">
        <f t="shared" si="31"/>
        <v>4.3584131704171702E-3</v>
      </c>
      <c r="M147" s="7">
        <f t="shared" si="32"/>
        <v>0.607584227528013</v>
      </c>
      <c r="N147" s="7">
        <f t="shared" si="33"/>
        <v>-2.9274637820985499E-3</v>
      </c>
      <c r="O147">
        <v>3.7868721000000002E-3</v>
      </c>
      <c r="P147">
        <v>-6.1223488000000001</v>
      </c>
      <c r="Q147">
        <v>-8.6271895999999995</v>
      </c>
      <c r="R147">
        <v>-16.840329000000001</v>
      </c>
      <c r="S147">
        <f t="shared" si="34"/>
        <v>3.0905699278668521</v>
      </c>
      <c r="T147">
        <f t="shared" si="35"/>
        <v>-27.161203749079672</v>
      </c>
      <c r="U147" s="8"/>
      <c r="V147" s="8"/>
    </row>
    <row r="148" spans="1:22" x14ac:dyDescent="0.35">
      <c r="A148">
        <v>5</v>
      </c>
      <c r="B148" s="9">
        <v>16.600000000000001</v>
      </c>
      <c r="C148">
        <v>-0.24837060999999999</v>
      </c>
      <c r="D148">
        <v>8.966973E-4</v>
      </c>
      <c r="E148">
        <v>0.75157490999999998</v>
      </c>
      <c r="F148">
        <v>-8.4305787E-3</v>
      </c>
      <c r="G148">
        <f t="shared" si="26"/>
        <v>1.51243980349602</v>
      </c>
      <c r="H148">
        <f t="shared" si="27"/>
        <v>-2.8186609817679498E-2</v>
      </c>
      <c r="I148">
        <f t="shared" si="28"/>
        <v>1.51243431357775</v>
      </c>
      <c r="J148">
        <f t="shared" si="29"/>
        <v>-3.2850400462328101E-2</v>
      </c>
      <c r="K148" s="7">
        <f t="shared" si="30"/>
        <v>5.4899182699852398E-6</v>
      </c>
      <c r="L148" s="7">
        <f t="shared" si="31"/>
        <v>4.6637906446486002E-3</v>
      </c>
      <c r="M148" s="7">
        <f t="shared" si="32"/>
        <v>0.66087396040256996</v>
      </c>
      <c r="N148" s="7">
        <f t="shared" si="33"/>
        <v>1.4354325380910599E-2</v>
      </c>
      <c r="O148">
        <v>0.12259695</v>
      </c>
      <c r="P148">
        <v>-6.2571713999999998</v>
      </c>
      <c r="Q148">
        <v>-8.4921682999999994</v>
      </c>
      <c r="R148">
        <v>-17.352257999999999</v>
      </c>
      <c r="S148">
        <f t="shared" si="34"/>
        <v>3.0868801434914479</v>
      </c>
      <c r="T148">
        <f t="shared" si="35"/>
        <v>-27.199508947004915</v>
      </c>
      <c r="U148" s="8"/>
      <c r="V148" s="8"/>
    </row>
    <row r="149" spans="1:22" x14ac:dyDescent="0.35">
      <c r="A149">
        <v>1</v>
      </c>
      <c r="B149" s="9">
        <v>16.8</v>
      </c>
      <c r="C149">
        <v>-1.0822854E-2</v>
      </c>
      <c r="D149">
        <v>1.1359094E-2</v>
      </c>
      <c r="E149">
        <v>0.98921466000000002</v>
      </c>
      <c r="F149">
        <v>1.0263942E-2</v>
      </c>
      <c r="G149">
        <f t="shared" si="26"/>
        <v>22.623472397878501</v>
      </c>
      <c r="H149">
        <f t="shared" si="27"/>
        <v>23.139638508163898</v>
      </c>
      <c r="I149">
        <f t="shared" si="28"/>
        <v>22.6234914543491</v>
      </c>
      <c r="J149">
        <f t="shared" si="29"/>
        <v>23.1390909528691</v>
      </c>
      <c r="K149" s="7">
        <f t="shared" si="30"/>
        <v>-1.9056470598855002E-5</v>
      </c>
      <c r="L149" s="7">
        <f t="shared" si="31"/>
        <v>5.4755529479777498E-4</v>
      </c>
      <c r="M149" s="7">
        <f t="shared" si="32"/>
        <v>2.1602969431381E-2</v>
      </c>
      <c r="N149" s="7">
        <f t="shared" si="33"/>
        <v>-2.2095310776121601E-2</v>
      </c>
      <c r="O149">
        <v>-0.81517755000000003</v>
      </c>
      <c r="P149">
        <v>-1.2349511</v>
      </c>
      <c r="Q149">
        <v>-3.9650021999999998</v>
      </c>
      <c r="R149">
        <v>-2.2176998999999999</v>
      </c>
      <c r="S149">
        <f t="shared" si="34"/>
        <v>3.0701858289595454</v>
      </c>
      <c r="T149">
        <f t="shared" si="35"/>
        <v>-27.352538257288806</v>
      </c>
      <c r="U149" s="8"/>
      <c r="V149" s="8"/>
    </row>
    <row r="150" spans="1:22" x14ac:dyDescent="0.35">
      <c r="A150">
        <v>1.25</v>
      </c>
      <c r="B150" s="9">
        <v>16.8</v>
      </c>
      <c r="C150">
        <v>-1.6972336000000001E-2</v>
      </c>
      <c r="D150">
        <v>1.5046461000000001E-2</v>
      </c>
      <c r="E150">
        <v>0.98307738</v>
      </c>
      <c r="F150">
        <v>1.3625563E-2</v>
      </c>
      <c r="G150">
        <f t="shared" si="26"/>
        <v>16.697229443470601</v>
      </c>
      <c r="H150">
        <f t="shared" si="27"/>
        <v>14.547644748143901</v>
      </c>
      <c r="I150">
        <f t="shared" si="28"/>
        <v>16.6972548055526</v>
      </c>
      <c r="J150">
        <f t="shared" si="29"/>
        <v>14.5469343348219</v>
      </c>
      <c r="K150" s="7">
        <f t="shared" si="30"/>
        <v>-2.5362081998991898E-5</v>
      </c>
      <c r="L150" s="7">
        <f t="shared" si="31"/>
        <v>7.1041332200039197E-4</v>
      </c>
      <c r="M150" s="7">
        <f t="shared" si="32"/>
        <v>3.4047429222592497E-2</v>
      </c>
      <c r="N150" s="7">
        <f t="shared" si="33"/>
        <v>-2.96627034167222E-2</v>
      </c>
      <c r="O150">
        <v>-0.98495162000000003</v>
      </c>
      <c r="P150">
        <v>-1.5467344999999999</v>
      </c>
      <c r="Q150">
        <v>-4.9105775999999999</v>
      </c>
      <c r="R150">
        <v>-2.8468450999999999</v>
      </c>
      <c r="S150">
        <f t="shared" si="34"/>
        <v>3.0954161365075632</v>
      </c>
      <c r="T150">
        <f t="shared" si="35"/>
        <v>-27.408780698893093</v>
      </c>
      <c r="U150" s="8"/>
      <c r="V150" s="8"/>
    </row>
    <row r="151" spans="1:22" x14ac:dyDescent="0.35">
      <c r="A151">
        <v>1.5</v>
      </c>
      <c r="B151" s="9">
        <v>16.8</v>
      </c>
      <c r="C151">
        <v>-2.4658290999999999E-2</v>
      </c>
      <c r="D151">
        <v>1.9303375000000001E-2</v>
      </c>
      <c r="E151">
        <v>0.9753309</v>
      </c>
      <c r="F151">
        <v>1.7658791E-2</v>
      </c>
      <c r="G151">
        <f t="shared" si="26"/>
        <v>12.4829678447418</v>
      </c>
      <c r="H151">
        <f t="shared" si="27"/>
        <v>9.7288503709814709</v>
      </c>
      <c r="I151">
        <f t="shared" si="28"/>
        <v>12.4829631163872</v>
      </c>
      <c r="J151">
        <f t="shared" si="29"/>
        <v>9.7280280706492501</v>
      </c>
      <c r="K151" s="7">
        <f t="shared" si="30"/>
        <v>4.7283546003029599E-6</v>
      </c>
      <c r="L151" s="7">
        <f t="shared" si="31"/>
        <v>8.2230033222074905E-4</v>
      </c>
      <c r="M151" s="7">
        <f t="shared" si="32"/>
        <v>4.9840365827271499E-2</v>
      </c>
      <c r="N151" s="7">
        <f t="shared" si="33"/>
        <v>-3.8840816342926701E-2</v>
      </c>
      <c r="O151">
        <v>-1.1471456</v>
      </c>
      <c r="P151">
        <v>-1.8779231999999999</v>
      </c>
      <c r="Q151">
        <v>-5.8243568000000003</v>
      </c>
      <c r="R151">
        <v>-3.5330058000000002</v>
      </c>
      <c r="S151">
        <f t="shared" si="34"/>
        <v>3.0956159144264568</v>
      </c>
      <c r="T151">
        <f t="shared" si="35"/>
        <v>-27.340320518404855</v>
      </c>
      <c r="U151" s="8"/>
      <c r="V151" s="8"/>
    </row>
    <row r="152" spans="1:22" x14ac:dyDescent="0.35">
      <c r="A152">
        <v>1.75</v>
      </c>
      <c r="B152" s="9">
        <v>16.8</v>
      </c>
      <c r="C152">
        <v>-3.3901104000000001E-2</v>
      </c>
      <c r="D152">
        <v>2.3919505000000001E-2</v>
      </c>
      <c r="E152">
        <v>0.96608260999999995</v>
      </c>
      <c r="F152">
        <v>2.1997651E-2</v>
      </c>
      <c r="G152">
        <f t="shared" si="26"/>
        <v>9.6104970547076096</v>
      </c>
      <c r="H152">
        <f t="shared" si="27"/>
        <v>6.8458861613312001</v>
      </c>
      <c r="I152">
        <f t="shared" si="28"/>
        <v>9.61048983504371</v>
      </c>
      <c r="J152">
        <f t="shared" si="29"/>
        <v>6.8449252195686796</v>
      </c>
      <c r="K152" s="7">
        <f t="shared" si="30"/>
        <v>7.2196638996047096E-6</v>
      </c>
      <c r="L152" s="7">
        <f t="shared" si="31"/>
        <v>9.6094176252048402E-4</v>
      </c>
      <c r="M152" s="7">
        <f t="shared" si="32"/>
        <v>6.9033676243953304E-2</v>
      </c>
      <c r="N152" s="7">
        <f t="shared" si="33"/>
        <v>-4.9168185975156001E-2</v>
      </c>
      <c r="O152">
        <v>-1.2867405999999999</v>
      </c>
      <c r="P152">
        <v>-2.2193653000000002</v>
      </c>
      <c r="Q152">
        <v>-6.6942583000000004</v>
      </c>
      <c r="R152">
        <v>-4.2802286</v>
      </c>
      <c r="S152">
        <f t="shared" si="34"/>
        <v>3.0972371405928301</v>
      </c>
      <c r="T152">
        <f t="shared" si="35"/>
        <v>-27.301396734409408</v>
      </c>
      <c r="U152" s="8"/>
      <c r="V152" s="8"/>
    </row>
    <row r="153" spans="1:22" x14ac:dyDescent="0.35">
      <c r="A153">
        <v>2</v>
      </c>
      <c r="B153" s="9">
        <v>16.8</v>
      </c>
      <c r="C153">
        <v>-4.4718422000000001E-2</v>
      </c>
      <c r="D153">
        <v>2.8677436000000001E-2</v>
      </c>
      <c r="E153">
        <v>0.95527892999999997</v>
      </c>
      <c r="F153">
        <v>2.6401112000000001E-2</v>
      </c>
      <c r="G153">
        <f t="shared" si="26"/>
        <v>7.6064924642978804</v>
      </c>
      <c r="H153">
        <f t="shared" si="27"/>
        <v>4.9927020147165297</v>
      </c>
      <c r="I153">
        <f t="shared" si="28"/>
        <v>7.6064924357123402</v>
      </c>
      <c r="J153">
        <f t="shared" si="29"/>
        <v>4.9915638511770704</v>
      </c>
      <c r="K153" s="7">
        <f t="shared" si="30"/>
        <v>2.85855401571666E-8</v>
      </c>
      <c r="L153" s="7">
        <f t="shared" si="31"/>
        <v>1.1381635394593899E-3</v>
      </c>
      <c r="M153" s="7">
        <f t="shared" si="32"/>
        <v>9.1894221510002302E-2</v>
      </c>
      <c r="N153" s="7">
        <f t="shared" si="33"/>
        <v>-6.0303205202415999E-2</v>
      </c>
      <c r="O153">
        <v>-1.4012154999999999</v>
      </c>
      <c r="P153">
        <v>-2.5708118</v>
      </c>
      <c r="Q153">
        <v>-7.5072720999999998</v>
      </c>
      <c r="R153">
        <v>-5.0897093</v>
      </c>
      <c r="S153">
        <f t="shared" si="34"/>
        <v>3.0977933510282374</v>
      </c>
      <c r="T153">
        <f t="shared" si="35"/>
        <v>-27.271387068826378</v>
      </c>
      <c r="U153" s="8"/>
      <c r="V153" s="8"/>
    </row>
    <row r="154" spans="1:22" x14ac:dyDescent="0.35">
      <c r="A154">
        <v>2.25</v>
      </c>
      <c r="B154" s="9">
        <v>16.8</v>
      </c>
      <c r="C154">
        <v>-5.7106882999999997E-2</v>
      </c>
      <c r="D154">
        <v>3.3330395999999998E-2</v>
      </c>
      <c r="E154">
        <v>0.94290401999999995</v>
      </c>
      <c r="F154">
        <v>3.0639197E-2</v>
      </c>
      <c r="G154">
        <f t="shared" si="26"/>
        <v>6.1651171025564402</v>
      </c>
      <c r="H154">
        <f t="shared" si="27"/>
        <v>3.7340735959018798</v>
      </c>
      <c r="I154">
        <f t="shared" si="28"/>
        <v>6.1651243646318399</v>
      </c>
      <c r="J154">
        <f t="shared" si="29"/>
        <v>3.7327280135091598</v>
      </c>
      <c r="K154" s="7">
        <f t="shared" si="30"/>
        <v>-7.2620753996943702E-6</v>
      </c>
      <c r="L154" s="7">
        <f t="shared" si="31"/>
        <v>1.3455823927199799E-3</v>
      </c>
      <c r="M154" s="7">
        <f t="shared" si="32"/>
        <v>0.118692433178627</v>
      </c>
      <c r="N154" s="7">
        <f t="shared" si="33"/>
        <v>-7.1863363026235499E-2</v>
      </c>
      <c r="O154">
        <v>-1.4861043</v>
      </c>
      <c r="P154">
        <v>-2.9295705999999999</v>
      </c>
      <c r="Q154">
        <v>-8.2502478000000004</v>
      </c>
      <c r="R154">
        <v>-5.9626105999999996</v>
      </c>
      <c r="S154">
        <f t="shared" si="34"/>
        <v>3.0987870024907926</v>
      </c>
      <c r="T154">
        <f t="shared" si="35"/>
        <v>-27.246005995689305</v>
      </c>
      <c r="U154" s="8"/>
      <c r="V154" s="8"/>
    </row>
    <row r="155" spans="1:22" x14ac:dyDescent="0.35">
      <c r="A155">
        <v>2.5</v>
      </c>
      <c r="B155" s="9">
        <v>16.8</v>
      </c>
      <c r="C155">
        <v>-7.0993781000000006E-2</v>
      </c>
      <c r="D155">
        <v>3.7637117999999997E-2</v>
      </c>
      <c r="E155">
        <v>0.92902099999999999</v>
      </c>
      <c r="F155">
        <v>3.4333784999999999E-2</v>
      </c>
      <c r="G155">
        <f t="shared" si="26"/>
        <v>5.1035758034870202</v>
      </c>
      <c r="H155">
        <f t="shared" si="27"/>
        <v>2.8414743704336498</v>
      </c>
      <c r="I155">
        <f t="shared" si="28"/>
        <v>5.1035859218667197</v>
      </c>
      <c r="J155">
        <f t="shared" si="29"/>
        <v>2.8398227328522698</v>
      </c>
      <c r="K155" s="7">
        <f t="shared" si="30"/>
        <v>-1.0118379699442E-5</v>
      </c>
      <c r="L155" s="7">
        <f t="shared" si="31"/>
        <v>1.65163758137998E-3</v>
      </c>
      <c r="M155" s="7">
        <f t="shared" si="32"/>
        <v>0.14961621264373801</v>
      </c>
      <c r="N155" s="7">
        <f t="shared" si="33"/>
        <v>-8.3251958206189497E-2</v>
      </c>
      <c r="O155">
        <v>-1.5394825000000001</v>
      </c>
      <c r="P155">
        <v>-3.2921798</v>
      </c>
      <c r="Q155">
        <v>-8.9116456999999993</v>
      </c>
      <c r="R155">
        <v>-6.8908550999999996</v>
      </c>
      <c r="S155">
        <f t="shared" si="34"/>
        <v>3.0996100516686669</v>
      </c>
      <c r="T155">
        <f t="shared" si="35"/>
        <v>-27.225676709350999</v>
      </c>
      <c r="U155" s="8"/>
      <c r="V155" s="8"/>
    </row>
    <row r="156" spans="1:22" x14ac:dyDescent="0.35">
      <c r="A156">
        <v>2.75</v>
      </c>
      <c r="B156" s="9">
        <v>16.8</v>
      </c>
      <c r="C156">
        <v>-8.6277857999999999E-2</v>
      </c>
      <c r="D156">
        <v>4.1331875999999997E-2</v>
      </c>
      <c r="E156">
        <v>0.91374566000000002</v>
      </c>
      <c r="F156">
        <v>3.7507569999999997E-2</v>
      </c>
      <c r="G156">
        <f t="shared" si="26"/>
        <v>4.2948152268626902</v>
      </c>
      <c r="H156">
        <f t="shared" si="27"/>
        <v>2.1919742384128602</v>
      </c>
      <c r="I156">
        <f t="shared" si="28"/>
        <v>4.2948306419111697</v>
      </c>
      <c r="J156">
        <f t="shared" si="29"/>
        <v>2.1900621373731899</v>
      </c>
      <c r="K156" s="7">
        <f t="shared" si="30"/>
        <v>-1.5415048479461301E-5</v>
      </c>
      <c r="L156" s="7">
        <f t="shared" si="31"/>
        <v>1.91210103967032E-3</v>
      </c>
      <c r="M156" s="7">
        <f t="shared" si="32"/>
        <v>0.18478793925527501</v>
      </c>
      <c r="N156" s="7">
        <f t="shared" si="33"/>
        <v>-9.4228877212747503E-2</v>
      </c>
      <c r="O156">
        <v>-1.5590033000000001</v>
      </c>
      <c r="P156">
        <v>-3.6545985000000001</v>
      </c>
      <c r="Q156">
        <v>-9.4778848999999994</v>
      </c>
      <c r="R156">
        <v>-7.8681178000000003</v>
      </c>
      <c r="S156">
        <f t="shared" si="34"/>
        <v>3.1002914937216994</v>
      </c>
      <c r="T156">
        <f t="shared" si="35"/>
        <v>-27.199600551198863</v>
      </c>
      <c r="U156" s="8"/>
      <c r="V156" s="8"/>
    </row>
    <row r="157" spans="1:22" x14ac:dyDescent="0.35">
      <c r="A157">
        <v>3</v>
      </c>
      <c r="B157" s="9">
        <v>16.8</v>
      </c>
      <c r="C157">
        <v>-0.10275275</v>
      </c>
      <c r="D157">
        <v>4.4220258999999998E-2</v>
      </c>
      <c r="E157">
        <v>0.89728114999999997</v>
      </c>
      <c r="F157">
        <v>3.9834004999999999E-2</v>
      </c>
      <c r="G157">
        <f t="shared" si="26"/>
        <v>3.6691486919157299</v>
      </c>
      <c r="H157">
        <f t="shared" si="27"/>
        <v>1.70661513912269</v>
      </c>
      <c r="I157">
        <f t="shared" si="28"/>
        <v>3.6691704511667602</v>
      </c>
      <c r="J157">
        <f t="shared" si="29"/>
        <v>1.7044220970155499</v>
      </c>
      <c r="K157" s="7">
        <f t="shared" si="30"/>
        <v>-2.1759251030317701E-5</v>
      </c>
      <c r="L157" s="7">
        <f t="shared" si="31"/>
        <v>2.1930421071401098E-3</v>
      </c>
      <c r="M157" s="7">
        <f t="shared" si="32"/>
        <v>0.22416913374990599</v>
      </c>
      <c r="N157" s="7">
        <f t="shared" si="33"/>
        <v>-0.104132209205674</v>
      </c>
      <c r="O157">
        <v>-1.5450124000000001</v>
      </c>
      <c r="P157">
        <v>-4.0101753000000002</v>
      </c>
      <c r="Q157">
        <v>-9.9423618000000005</v>
      </c>
      <c r="R157">
        <v>-8.8755384999999993</v>
      </c>
      <c r="S157">
        <f t="shared" si="34"/>
        <v>3.1012467790660541</v>
      </c>
      <c r="T157">
        <f t="shared" si="35"/>
        <v>-27.174407250455737</v>
      </c>
      <c r="U157" s="8"/>
      <c r="V157" s="8"/>
    </row>
    <row r="158" spans="1:22" x14ac:dyDescent="0.35">
      <c r="A158">
        <v>3.25</v>
      </c>
      <c r="B158" s="9">
        <v>16.8</v>
      </c>
      <c r="C158">
        <v>-0.12018313999999999</v>
      </c>
      <c r="D158">
        <v>4.6130361000000002E-2</v>
      </c>
      <c r="E158">
        <v>0.87986892000000005</v>
      </c>
      <c r="F158">
        <v>4.1210739000000003E-2</v>
      </c>
      <c r="G158">
        <f t="shared" si="26"/>
        <v>3.1756715483804898</v>
      </c>
      <c r="H158">
        <f t="shared" si="27"/>
        <v>1.33714161321473</v>
      </c>
      <c r="I158">
        <f t="shared" si="28"/>
        <v>3.17570362786403</v>
      </c>
      <c r="J158">
        <f t="shared" si="29"/>
        <v>1.3346819451493499</v>
      </c>
      <c r="K158" s="7">
        <f t="shared" si="30"/>
        <v>-3.2079483540226098E-5</v>
      </c>
      <c r="L158" s="7">
        <f t="shared" si="31"/>
        <v>2.4596680653801201E-3</v>
      </c>
      <c r="M158" s="7">
        <f t="shared" si="32"/>
        <v>0.26761992246057897</v>
      </c>
      <c r="N158" s="7">
        <f t="shared" si="33"/>
        <v>-0.112475067111552</v>
      </c>
      <c r="O158">
        <v>-1.4990131</v>
      </c>
      <c r="P158">
        <v>-4.3530717000000001</v>
      </c>
      <c r="Q158">
        <v>-10.300012000000001</v>
      </c>
      <c r="R158">
        <v>-9.8960933000000004</v>
      </c>
      <c r="S158">
        <f t="shared" si="34"/>
        <v>3.102485148997562</v>
      </c>
      <c r="T158">
        <f t="shared" si="35"/>
        <v>-27.14421981899908</v>
      </c>
      <c r="U158" s="8"/>
      <c r="V158" s="8"/>
    </row>
    <row r="159" spans="1:22" x14ac:dyDescent="0.35">
      <c r="A159">
        <v>3.5</v>
      </c>
      <c r="B159" s="9">
        <v>16.8</v>
      </c>
      <c r="C159">
        <v>-0.13827698999999999</v>
      </c>
      <c r="D159">
        <v>4.6994191999999997E-2</v>
      </c>
      <c r="E159">
        <v>0.86176765</v>
      </c>
      <c r="F159">
        <v>4.1525191000000003E-2</v>
      </c>
      <c r="G159">
        <f t="shared" si="26"/>
        <v>2.7803170888916302</v>
      </c>
      <c r="H159">
        <f t="shared" si="27"/>
        <v>1.05150517264943</v>
      </c>
      <c r="I159">
        <f t="shared" si="28"/>
        <v>2.7803468853298701</v>
      </c>
      <c r="J159">
        <f t="shared" si="29"/>
        <v>1.0487708146586701</v>
      </c>
      <c r="K159" s="7">
        <f t="shared" si="30"/>
        <v>-2.9796438239859699E-5</v>
      </c>
      <c r="L159" s="7">
        <f t="shared" si="31"/>
        <v>2.73435799075994E-3</v>
      </c>
      <c r="M159" s="7">
        <f t="shared" si="32"/>
        <v>0.314866192067007</v>
      </c>
      <c r="N159" s="7">
        <f t="shared" si="33"/>
        <v>-0.118770242125169</v>
      </c>
      <c r="O159">
        <v>-1.4249582999999999</v>
      </c>
      <c r="P159">
        <v>-4.6787169999999998</v>
      </c>
      <c r="Q159">
        <v>-10.555642000000001</v>
      </c>
      <c r="R159">
        <v>-10.905612</v>
      </c>
      <c r="S159">
        <f t="shared" si="34"/>
        <v>3.103195129368995</v>
      </c>
      <c r="T159">
        <f t="shared" si="35"/>
        <v>-27.127026022564241</v>
      </c>
      <c r="U159" s="8"/>
      <c r="V159" s="8"/>
    </row>
    <row r="160" spans="1:22" x14ac:dyDescent="0.35">
      <c r="A160">
        <v>4.75</v>
      </c>
      <c r="B160" s="9">
        <v>16.8</v>
      </c>
      <c r="C160">
        <v>-0.22855453000000001</v>
      </c>
      <c r="D160">
        <v>3.8939855000000002E-2</v>
      </c>
      <c r="E160">
        <v>0.77137633000000005</v>
      </c>
      <c r="F160">
        <v>3.0083515000000002E-2</v>
      </c>
      <c r="G160">
        <f t="shared" si="26"/>
        <v>1.63859140641502</v>
      </c>
      <c r="H160">
        <f t="shared" si="27"/>
        <v>0.32509107199951698</v>
      </c>
      <c r="I160">
        <f t="shared" si="28"/>
        <v>1.63857644555864</v>
      </c>
      <c r="J160">
        <f t="shared" si="29"/>
        <v>0.32066268266088199</v>
      </c>
      <c r="K160" s="7">
        <f t="shared" si="30"/>
        <v>1.49608563799752E-5</v>
      </c>
      <c r="L160" s="7">
        <f t="shared" si="31"/>
        <v>4.4283893386349903E-3</v>
      </c>
      <c r="M160" s="7">
        <f t="shared" si="32"/>
        <v>0.58777585532908105</v>
      </c>
      <c r="N160" s="7">
        <f t="shared" si="33"/>
        <v>-0.115025321573483</v>
      </c>
      <c r="O160">
        <v>-0.86212854999999999</v>
      </c>
      <c r="P160">
        <v>-5.9233884000000003</v>
      </c>
      <c r="Q160">
        <v>-10.72508</v>
      </c>
      <c r="R160">
        <v>-15.093935999999999</v>
      </c>
      <c r="S160">
        <f t="shared" si="34"/>
        <v>3.0933751978609565</v>
      </c>
      <c r="T160">
        <f t="shared" si="35"/>
        <v>-27.11485574902224</v>
      </c>
      <c r="U160" s="8"/>
      <c r="V160" s="8"/>
    </row>
    <row r="161" spans="1:22" x14ac:dyDescent="0.35">
      <c r="A161">
        <v>5</v>
      </c>
      <c r="B161" s="9">
        <v>16.8</v>
      </c>
      <c r="C161">
        <v>-0.24482298</v>
      </c>
      <c r="D161">
        <v>3.7274716999999999E-2</v>
      </c>
      <c r="E161">
        <v>0.75508010999999997</v>
      </c>
      <c r="F161">
        <v>2.7813520000000001E-2</v>
      </c>
      <c r="G161">
        <f t="shared" si="26"/>
        <v>1.50646062074835</v>
      </c>
      <c r="H161">
        <f t="shared" si="27"/>
        <v>0.269028134245408</v>
      </c>
      <c r="I161">
        <f t="shared" si="28"/>
        <v>1.5064345447149901</v>
      </c>
      <c r="J161">
        <f t="shared" si="29"/>
        <v>0.26429718315192902</v>
      </c>
      <c r="K161" s="7">
        <f t="shared" si="30"/>
        <v>2.6076033359911902E-5</v>
      </c>
      <c r="L161" s="7">
        <f t="shared" si="31"/>
        <v>4.7309510934789899E-3</v>
      </c>
      <c r="M161" s="7">
        <f t="shared" si="32"/>
        <v>0.64399615590475001</v>
      </c>
      <c r="N161" s="7">
        <f t="shared" si="33"/>
        <v>-0.112986236649597</v>
      </c>
      <c r="O161">
        <v>-0.78165667000000005</v>
      </c>
      <c r="P161">
        <v>-6.0834137999999998</v>
      </c>
      <c r="Q161">
        <v>-10.72081</v>
      </c>
      <c r="R161">
        <v>-15.612399999999999</v>
      </c>
      <c r="S161">
        <f t="shared" si="34"/>
        <v>3.0878213715292997</v>
      </c>
      <c r="T161">
        <f t="shared" si="35"/>
        <v>-27.155018764543684</v>
      </c>
      <c r="U161" s="8"/>
      <c r="V161" s="8"/>
    </row>
    <row r="162" spans="1:22" x14ac:dyDescent="0.35">
      <c r="A162">
        <v>1</v>
      </c>
      <c r="B162" s="9">
        <v>17</v>
      </c>
      <c r="C162">
        <v>-8.7728159999999993E-3</v>
      </c>
      <c r="D162">
        <v>1.1669884E-2</v>
      </c>
      <c r="E162">
        <v>0.99109290000000005</v>
      </c>
      <c r="F162">
        <v>1.0673920999999999E-2</v>
      </c>
      <c r="G162">
        <f t="shared" si="26"/>
        <v>21.2780211624437</v>
      </c>
      <c r="H162">
        <f t="shared" si="27"/>
        <v>27.523180171325599</v>
      </c>
      <c r="I162">
        <f t="shared" si="28"/>
        <v>21.277954263970798</v>
      </c>
      <c r="J162">
        <f t="shared" si="29"/>
        <v>27.522682123071402</v>
      </c>
      <c r="K162" s="7">
        <f t="shared" si="30"/>
        <v>6.6898472901755199E-5</v>
      </c>
      <c r="L162" s="7">
        <f t="shared" si="31"/>
        <v>4.9804825419741405E-4</v>
      </c>
      <c r="M162" s="7">
        <f t="shared" si="32"/>
        <v>1.7581462804795899E-2</v>
      </c>
      <c r="N162" s="7">
        <f t="shared" si="33"/>
        <v>-2.2741331522380101E-2</v>
      </c>
      <c r="O162">
        <v>-0.88144252000000001</v>
      </c>
      <c r="P162">
        <v>-1.0290458</v>
      </c>
      <c r="Q162">
        <v>-3.8227988000000002</v>
      </c>
      <c r="R162">
        <v>-1.4833688</v>
      </c>
      <c r="S162">
        <f t="shared" si="34"/>
        <v>3.0263285256503218</v>
      </c>
      <c r="T162">
        <f t="shared" si="35"/>
        <v>-28.210010687462514</v>
      </c>
      <c r="U162" s="8"/>
      <c r="V162" s="8"/>
    </row>
    <row r="163" spans="1:22" x14ac:dyDescent="0.35">
      <c r="A163">
        <v>1.25</v>
      </c>
      <c r="B163" s="9">
        <v>17</v>
      </c>
      <c r="C163">
        <v>-1.3768620000000001E-2</v>
      </c>
      <c r="D163">
        <v>1.5746144E-2</v>
      </c>
      <c r="E163">
        <v>0.98615951999999996</v>
      </c>
      <c r="F163">
        <v>1.4380135E-2</v>
      </c>
      <c r="G163">
        <f t="shared" si="26"/>
        <v>16.033847630927699</v>
      </c>
      <c r="H163">
        <f t="shared" si="27"/>
        <v>18.041595043131</v>
      </c>
      <c r="I163">
        <f t="shared" si="28"/>
        <v>16.033812166181999</v>
      </c>
      <c r="J163">
        <f t="shared" si="29"/>
        <v>18.040911989866402</v>
      </c>
      <c r="K163" s="7">
        <f t="shared" si="30"/>
        <v>3.5464745700153303E-5</v>
      </c>
      <c r="L163" s="7">
        <f t="shared" si="31"/>
        <v>6.8305326459849902E-4</v>
      </c>
      <c r="M163" s="7">
        <f t="shared" si="32"/>
        <v>2.75231343992829E-2</v>
      </c>
      <c r="N163" s="7">
        <f t="shared" si="33"/>
        <v>-3.0968458420014399E-2</v>
      </c>
      <c r="O163">
        <v>-1.0686515999999999</v>
      </c>
      <c r="P163">
        <v>-1.2762332000000001</v>
      </c>
      <c r="Q163">
        <v>-4.7552462999999996</v>
      </c>
      <c r="R163">
        <v>-1.9129843</v>
      </c>
      <c r="S163">
        <f t="shared" si="34"/>
        <v>3.0792428489759622</v>
      </c>
      <c r="T163">
        <f t="shared" si="35"/>
        <v>-28.144546521684482</v>
      </c>
      <c r="U163" s="8"/>
      <c r="V163" s="8"/>
    </row>
    <row r="164" spans="1:22" x14ac:dyDescent="0.35">
      <c r="A164">
        <v>1.5</v>
      </c>
      <c r="B164" s="9">
        <v>17</v>
      </c>
      <c r="C164">
        <v>-2.0067861999999999E-2</v>
      </c>
      <c r="D164">
        <v>2.0567536000000001E-2</v>
      </c>
      <c r="E164">
        <v>0.98011099999999995</v>
      </c>
      <c r="F164">
        <v>1.903796E-2</v>
      </c>
      <c r="G164">
        <f t="shared" si="26"/>
        <v>12.123973068178501</v>
      </c>
      <c r="H164">
        <f t="shared" si="27"/>
        <v>12.5133894092936</v>
      </c>
      <c r="I164">
        <f t="shared" si="28"/>
        <v>12.1240630759248</v>
      </c>
      <c r="J164">
        <f t="shared" si="29"/>
        <v>12.512624758513899</v>
      </c>
      <c r="K164" s="7">
        <f t="shared" si="30"/>
        <v>-9.0007746299747296E-5</v>
      </c>
      <c r="L164" s="7">
        <f t="shared" si="31"/>
        <v>7.6465077970056005E-4</v>
      </c>
      <c r="M164" s="7">
        <f t="shared" si="32"/>
        <v>3.9939766912609802E-2</v>
      </c>
      <c r="N164" s="7">
        <f t="shared" si="33"/>
        <v>-4.1219788546990703E-2</v>
      </c>
      <c r="O164">
        <v>-1.2512920000000001</v>
      </c>
      <c r="P164">
        <v>-1.5455141999999999</v>
      </c>
      <c r="Q164">
        <v>-5.6812231000000004</v>
      </c>
      <c r="R164">
        <v>-2.4006173999999998</v>
      </c>
      <c r="S164">
        <f t="shared" si="34"/>
        <v>3.1015494210770744</v>
      </c>
      <c r="T164">
        <f t="shared" si="35"/>
        <v>-28.098759694933275</v>
      </c>
      <c r="U164" s="8"/>
      <c r="V164" s="8"/>
    </row>
    <row r="165" spans="1:22" x14ac:dyDescent="0.35">
      <c r="A165">
        <v>1.75</v>
      </c>
      <c r="B165" s="9">
        <v>17</v>
      </c>
      <c r="C165">
        <v>-2.7735767000000001E-2</v>
      </c>
      <c r="D165">
        <v>2.6001961000000001E-2</v>
      </c>
      <c r="E165">
        <v>0.97233884000000004</v>
      </c>
      <c r="F165">
        <v>2.4161612999999998E-2</v>
      </c>
      <c r="G165">
        <f t="shared" si="26"/>
        <v>9.4184960235157398</v>
      </c>
      <c r="H165">
        <f t="shared" si="27"/>
        <v>8.9819720788067201</v>
      </c>
      <c r="I165">
        <f t="shared" si="28"/>
        <v>9.4185341722489699</v>
      </c>
      <c r="J165">
        <f t="shared" si="29"/>
        <v>8.9810519742333206</v>
      </c>
      <c r="K165" s="7">
        <f t="shared" si="30"/>
        <v>-3.8148733230158903E-5</v>
      </c>
      <c r="L165" s="7">
        <f t="shared" si="31"/>
        <v>9.2010457339952701E-4</v>
      </c>
      <c r="M165" s="7">
        <f t="shared" si="32"/>
        <v>5.5609853659908302E-2</v>
      </c>
      <c r="N165" s="7">
        <f t="shared" si="33"/>
        <v>-5.3026827409162598E-2</v>
      </c>
      <c r="O165">
        <v>-1.4238439000000001</v>
      </c>
      <c r="P165">
        <v>-1.8308483</v>
      </c>
      <c r="Q165">
        <v>-6.5862286000000001</v>
      </c>
      <c r="R165">
        <v>-2.9451358999999999</v>
      </c>
      <c r="S165">
        <f t="shared" si="34"/>
        <v>3.110679784974788</v>
      </c>
      <c r="T165">
        <f t="shared" si="35"/>
        <v>-28.035367737267862</v>
      </c>
      <c r="U165" s="8"/>
      <c r="V165" s="8"/>
    </row>
    <row r="166" spans="1:22" x14ac:dyDescent="0.35">
      <c r="A166">
        <v>2</v>
      </c>
      <c r="B166" s="9">
        <v>17</v>
      </c>
      <c r="C166">
        <v>-3.6826523999999999E-2</v>
      </c>
      <c r="D166">
        <v>3.1872171999999997E-2</v>
      </c>
      <c r="E166">
        <v>0.96323751999999996</v>
      </c>
      <c r="F166">
        <v>2.9612038E-2</v>
      </c>
      <c r="G166">
        <f t="shared" si="26"/>
        <v>7.5025723239628999</v>
      </c>
      <c r="H166">
        <f t="shared" si="27"/>
        <v>6.6867930226485903</v>
      </c>
      <c r="I166">
        <f t="shared" si="28"/>
        <v>7.5026056218646504</v>
      </c>
      <c r="J166">
        <f t="shared" si="29"/>
        <v>6.6856630294621002</v>
      </c>
      <c r="K166" s="7">
        <f t="shared" si="30"/>
        <v>-3.32979017505508E-5</v>
      </c>
      <c r="L166" s="7">
        <f t="shared" si="31"/>
        <v>1.1299931864901E-3</v>
      </c>
      <c r="M166" s="7">
        <f t="shared" si="32"/>
        <v>7.4292653069430004E-2</v>
      </c>
      <c r="N166" s="7">
        <f t="shared" si="33"/>
        <v>-6.6203085837197001E-2</v>
      </c>
      <c r="O166">
        <v>-1.5806366000000001</v>
      </c>
      <c r="P166">
        <v>-2.1306080999999999</v>
      </c>
      <c r="Q166">
        <v>-7.4616173000000003</v>
      </c>
      <c r="R166">
        <v>-3.5531961999999999</v>
      </c>
      <c r="S166">
        <f t="shared" si="34"/>
        <v>3.1152412944995875</v>
      </c>
      <c r="T166">
        <f t="shared" si="35"/>
        <v>-27.965720501358092</v>
      </c>
      <c r="U166" s="8"/>
      <c r="V166" s="8"/>
    </row>
    <row r="167" spans="1:22" x14ac:dyDescent="0.35">
      <c r="A167">
        <v>2.25</v>
      </c>
      <c r="B167" s="9">
        <v>17</v>
      </c>
      <c r="C167">
        <v>-4.7382094E-2</v>
      </c>
      <c r="D167">
        <v>3.7995513000000002E-2</v>
      </c>
      <c r="E167">
        <v>0.95284360999999995</v>
      </c>
      <c r="F167">
        <v>3.5218422999999999E-2</v>
      </c>
      <c r="G167">
        <f t="shared" si="26"/>
        <v>6.1120401712648702</v>
      </c>
      <c r="H167">
        <f t="shared" si="27"/>
        <v>5.12133564273761</v>
      </c>
      <c r="I167">
        <f t="shared" si="28"/>
        <v>6.1121549379316402</v>
      </c>
      <c r="J167">
        <f t="shared" si="29"/>
        <v>5.1199474137607099</v>
      </c>
      <c r="K167" s="7">
        <f t="shared" si="30"/>
        <v>-1.14766666770016E-4</v>
      </c>
      <c r="L167" s="7">
        <f t="shared" si="31"/>
        <v>1.38822897690005E-3</v>
      </c>
      <c r="M167" s="7">
        <f t="shared" si="32"/>
        <v>9.6144940257431394E-2</v>
      </c>
      <c r="N167" s="7">
        <f t="shared" si="33"/>
        <v>-8.05373952748316E-2</v>
      </c>
      <c r="O167">
        <v>-1.7177442000000001</v>
      </c>
      <c r="P167">
        <v>-2.4432035999999999</v>
      </c>
      <c r="Q167">
        <v>-8.2958326000000007</v>
      </c>
      <c r="R167">
        <v>-4.2262509000000001</v>
      </c>
      <c r="S167">
        <f t="shared" si="34"/>
        <v>3.1173446896018819</v>
      </c>
      <c r="T167">
        <f t="shared" si="35"/>
        <v>-27.893847851707026</v>
      </c>
      <c r="U167" s="8"/>
      <c r="V167" s="8"/>
    </row>
    <row r="168" spans="1:22" x14ac:dyDescent="0.35">
      <c r="A168">
        <v>2.5</v>
      </c>
      <c r="B168" s="9">
        <v>17</v>
      </c>
      <c r="C168">
        <v>-5.9415373E-2</v>
      </c>
      <c r="D168">
        <v>4.4158050999999997E-2</v>
      </c>
      <c r="E168">
        <v>0.94062986000000004</v>
      </c>
      <c r="F168">
        <v>4.0960604999999997E-2</v>
      </c>
      <c r="G168">
        <f t="shared" si="26"/>
        <v>5.0623611534739199</v>
      </c>
      <c r="H168">
        <f t="shared" si="27"/>
        <v>3.98665386822297</v>
      </c>
      <c r="I168">
        <f t="shared" si="28"/>
        <v>5.0623863251977204</v>
      </c>
      <c r="J168">
        <f t="shared" si="29"/>
        <v>3.9850552216213799</v>
      </c>
      <c r="K168" s="7">
        <f t="shared" si="30"/>
        <v>-2.5171723800454502E-5</v>
      </c>
      <c r="L168" s="7">
        <f t="shared" si="31"/>
        <v>1.5986466015900399E-3</v>
      </c>
      <c r="M168" s="7">
        <f t="shared" si="32"/>
        <v>0.12196046665650501</v>
      </c>
      <c r="N168" s="7">
        <f t="shared" si="33"/>
        <v>-9.6005947247003495E-2</v>
      </c>
      <c r="O168">
        <v>-1.8313124000000001</v>
      </c>
      <c r="P168">
        <v>-2.7665421000000001</v>
      </c>
      <c r="Q168">
        <v>-9.0800164999999993</v>
      </c>
      <c r="R168">
        <v>-4.9647671999999998</v>
      </c>
      <c r="S168">
        <f t="shared" si="34"/>
        <v>3.1191932089724737</v>
      </c>
      <c r="T168">
        <f t="shared" si="35"/>
        <v>-27.828498973816259</v>
      </c>
      <c r="U168" s="8"/>
      <c r="V168" s="8"/>
    </row>
    <row r="169" spans="1:22" x14ac:dyDescent="0.35">
      <c r="A169">
        <v>2.75</v>
      </c>
      <c r="B169" s="9">
        <v>17</v>
      </c>
      <c r="C169">
        <v>-7.2888201E-2</v>
      </c>
      <c r="D169">
        <v>5.0129419000000001E-2</v>
      </c>
      <c r="E169">
        <v>0.92714319999999995</v>
      </c>
      <c r="F169">
        <v>4.6339756000000003E-2</v>
      </c>
      <c r="G169">
        <f t="shared" si="26"/>
        <v>4.2710210116729401</v>
      </c>
      <c r="H169">
        <f t="shared" si="27"/>
        <v>3.1589108682289999</v>
      </c>
      <c r="I169">
        <f t="shared" si="28"/>
        <v>4.2710403021308601</v>
      </c>
      <c r="J169">
        <f t="shared" si="29"/>
        <v>3.15701610302993</v>
      </c>
      <c r="K169" s="7">
        <f t="shared" si="30"/>
        <v>-1.9290457919929301E-5</v>
      </c>
      <c r="L169" s="7">
        <f t="shared" si="31"/>
        <v>1.8947651990699501E-3</v>
      </c>
      <c r="M169" s="7">
        <f t="shared" si="32"/>
        <v>0.15140949929613101</v>
      </c>
      <c r="N169" s="7">
        <f t="shared" si="33"/>
        <v>-0.11191704915336601</v>
      </c>
      <c r="O169">
        <v>-1.9192091</v>
      </c>
      <c r="P169">
        <v>-3.0981945999999998</v>
      </c>
      <c r="Q169">
        <v>-9.8014078999999992</v>
      </c>
      <c r="R169">
        <v>-5.7632700000000003</v>
      </c>
      <c r="S169">
        <f t="shared" si="34"/>
        <v>3.1198659451022457</v>
      </c>
      <c r="T169">
        <f t="shared" si="35"/>
        <v>-27.767710436330002</v>
      </c>
      <c r="U169" s="8"/>
      <c r="V169" s="8"/>
    </row>
    <row r="170" spans="1:22" x14ac:dyDescent="0.35">
      <c r="A170">
        <v>3</v>
      </c>
      <c r="B170" s="9">
        <v>17</v>
      </c>
      <c r="C170">
        <v>-8.7724622000000002E-2</v>
      </c>
      <c r="D170">
        <v>5.5685193000000001E-2</v>
      </c>
      <c r="E170">
        <v>0.91232241999999997</v>
      </c>
      <c r="F170">
        <v>5.1233488000000001E-2</v>
      </c>
      <c r="G170">
        <f t="shared" si="26"/>
        <v>3.6566786705971799</v>
      </c>
      <c r="H170">
        <f t="shared" si="27"/>
        <v>2.5348787958418502</v>
      </c>
      <c r="I170">
        <f t="shared" si="28"/>
        <v>3.6567071450891899</v>
      </c>
      <c r="J170">
        <f t="shared" si="29"/>
        <v>2.53265305907343</v>
      </c>
      <c r="K170" s="7">
        <f t="shared" si="30"/>
        <v>-2.8474492010044399E-5</v>
      </c>
      <c r="L170" s="7">
        <f t="shared" si="31"/>
        <v>2.2257367684201902E-3</v>
      </c>
      <c r="M170" s="7">
        <f t="shared" si="32"/>
        <v>0.18481436179932501</v>
      </c>
      <c r="N170" s="7">
        <f t="shared" si="33"/>
        <v>-0.12800332107545501</v>
      </c>
      <c r="O170">
        <v>-1.9790034999999999</v>
      </c>
      <c r="P170">
        <v>-3.4341762999999998</v>
      </c>
      <c r="Q170">
        <v>-10.447637</v>
      </c>
      <c r="R170">
        <v>-6.6142909000000003</v>
      </c>
      <c r="S170">
        <f t="shared" si="34"/>
        <v>3.1197381077039492</v>
      </c>
      <c r="T170">
        <f t="shared" si="35"/>
        <v>-27.70908142405619</v>
      </c>
      <c r="U170" s="8"/>
      <c r="V170" s="8"/>
    </row>
    <row r="171" spans="1:22" x14ac:dyDescent="0.35">
      <c r="A171">
        <v>3.25</v>
      </c>
      <c r="B171" s="9">
        <v>17</v>
      </c>
      <c r="C171">
        <v>-0.10375956</v>
      </c>
      <c r="D171">
        <v>6.0632200999999997E-2</v>
      </c>
      <c r="E171">
        <v>0.89633611000000002</v>
      </c>
      <c r="F171">
        <v>5.5669683999999997E-2</v>
      </c>
      <c r="G171">
        <f t="shared" si="26"/>
        <v>3.1678985640752502</v>
      </c>
      <c r="H171">
        <f t="shared" si="27"/>
        <v>2.0578385224368398</v>
      </c>
      <c r="I171">
        <f t="shared" si="28"/>
        <v>3.1679525525096</v>
      </c>
      <c r="J171">
        <f t="shared" si="29"/>
        <v>2.0553575165750102</v>
      </c>
      <c r="K171" s="7">
        <f t="shared" si="30"/>
        <v>-5.3988434349783197E-5</v>
      </c>
      <c r="L171" s="7">
        <f t="shared" si="31"/>
        <v>2.4810058618296399E-3</v>
      </c>
      <c r="M171" s="7">
        <f t="shared" si="32"/>
        <v>0.22215005027460399</v>
      </c>
      <c r="N171" s="7">
        <f t="shared" si="33"/>
        <v>-0.14413024439956201</v>
      </c>
      <c r="O171">
        <v>-2.0100383000000002</v>
      </c>
      <c r="P171">
        <v>-3.7697349999999998</v>
      </c>
      <c r="Q171">
        <v>-11.012765</v>
      </c>
      <c r="R171">
        <v>-7.5052779000000003</v>
      </c>
      <c r="S171">
        <f t="shared" si="34"/>
        <v>3.1195270132611439</v>
      </c>
      <c r="T171">
        <f t="shared" si="35"/>
        <v>-27.658567320088267</v>
      </c>
      <c r="U171" s="8"/>
      <c r="V171" s="8"/>
    </row>
    <row r="172" spans="1:22" x14ac:dyDescent="0.35">
      <c r="A172">
        <v>3.5</v>
      </c>
      <c r="B172" s="9">
        <v>17</v>
      </c>
      <c r="C172">
        <v>-0.12079225</v>
      </c>
      <c r="D172">
        <v>6.4805056999999999E-2</v>
      </c>
      <c r="E172">
        <v>0.87927458000000003</v>
      </c>
      <c r="F172">
        <v>5.9193655999999997E-2</v>
      </c>
      <c r="G172">
        <f t="shared" si="26"/>
        <v>2.7767294709373802</v>
      </c>
      <c r="H172">
        <f t="shared" si="27"/>
        <v>1.6837342986263799</v>
      </c>
      <c r="I172">
        <f t="shared" si="28"/>
        <v>2.77677075592513</v>
      </c>
      <c r="J172">
        <f t="shared" si="29"/>
        <v>1.6809288077051701</v>
      </c>
      <c r="K172" s="7">
        <f t="shared" si="30"/>
        <v>-4.1284987749801201E-5</v>
      </c>
      <c r="L172" s="7">
        <f t="shared" si="31"/>
        <v>2.80549092120985E-3</v>
      </c>
      <c r="M172" s="7">
        <f t="shared" si="32"/>
        <v>0.26355131825314998</v>
      </c>
      <c r="N172" s="7">
        <f t="shared" si="33"/>
        <v>-0.159541799485999</v>
      </c>
      <c r="O172">
        <v>-2.0128503000000002</v>
      </c>
      <c r="P172">
        <v>-4.0986459000000002</v>
      </c>
      <c r="Q172">
        <v>-11.489959000000001</v>
      </c>
      <c r="R172">
        <v>-8.4198728000000003</v>
      </c>
      <c r="S172">
        <f t="shared" si="34"/>
        <v>3.119589954325781</v>
      </c>
      <c r="T172">
        <f t="shared" si="35"/>
        <v>-27.610224219160209</v>
      </c>
      <c r="U172" s="8"/>
      <c r="V172" s="8"/>
    </row>
    <row r="173" spans="1:22" x14ac:dyDescent="0.35">
      <c r="A173">
        <v>3.75</v>
      </c>
      <c r="B173" s="9">
        <v>17</v>
      </c>
      <c r="C173">
        <v>-0.13857074</v>
      </c>
      <c r="D173">
        <v>6.8098988999999999E-2</v>
      </c>
      <c r="E173">
        <v>0.86150103</v>
      </c>
      <c r="F173">
        <v>6.1734085000000001E-2</v>
      </c>
      <c r="G173">
        <f t="shared" si="26"/>
        <v>2.4593567082397301</v>
      </c>
      <c r="H173">
        <f t="shared" si="27"/>
        <v>1.3883372879642499</v>
      </c>
      <c r="I173">
        <f t="shared" si="28"/>
        <v>2.4594027187599599</v>
      </c>
      <c r="J173">
        <f t="shared" si="29"/>
        <v>1.38515509658346</v>
      </c>
      <c r="K173" s="7">
        <f t="shared" si="30"/>
        <v>-4.6010520229788903E-5</v>
      </c>
      <c r="L173" s="7">
        <f t="shared" si="31"/>
        <v>3.1821913807899001E-3</v>
      </c>
      <c r="M173" s="7">
        <f t="shared" si="32"/>
        <v>0.30868646393781801</v>
      </c>
      <c r="N173" s="7">
        <f t="shared" si="33"/>
        <v>-0.173854662153655</v>
      </c>
      <c r="O173">
        <v>-1.9900943</v>
      </c>
      <c r="P173">
        <v>-4.416722</v>
      </c>
      <c r="Q173">
        <v>-11.876346</v>
      </c>
      <c r="R173">
        <v>-9.3376271000000006</v>
      </c>
      <c r="S173">
        <f t="shared" si="34"/>
        <v>3.118585208072624</v>
      </c>
      <c r="T173">
        <f t="shared" si="35"/>
        <v>-27.568789535648222</v>
      </c>
      <c r="U173" s="8"/>
      <c r="V173" s="8"/>
    </row>
    <row r="174" spans="1:22" x14ac:dyDescent="0.35">
      <c r="A174">
        <v>4</v>
      </c>
      <c r="B174" s="9">
        <v>17</v>
      </c>
      <c r="C174">
        <v>-0.15671210999999999</v>
      </c>
      <c r="D174">
        <v>7.0563074000000003E-2</v>
      </c>
      <c r="E174">
        <v>0.84333796999999999</v>
      </c>
      <c r="F174">
        <v>6.3555529999999999E-2</v>
      </c>
      <c r="G174">
        <f t="shared" si="26"/>
        <v>2.1970381821121499</v>
      </c>
      <c r="H174">
        <f t="shared" si="27"/>
        <v>1.1560445279739999</v>
      </c>
      <c r="I174">
        <f t="shared" si="28"/>
        <v>2.1970754968305402</v>
      </c>
      <c r="J174">
        <f t="shared" si="29"/>
        <v>1.15254097444524</v>
      </c>
      <c r="K174" s="7">
        <f t="shared" si="30"/>
        <v>-3.7314718390302197E-5</v>
      </c>
      <c r="L174" s="7">
        <f t="shared" si="31"/>
        <v>3.5035535287599698E-3</v>
      </c>
      <c r="M174" s="7">
        <f t="shared" si="32"/>
        <v>0.35692934016370498</v>
      </c>
      <c r="N174" s="7">
        <f t="shared" si="33"/>
        <v>-0.18723784872837501</v>
      </c>
      <c r="O174">
        <v>-1.9471281</v>
      </c>
      <c r="P174">
        <v>-4.7147290000000002</v>
      </c>
      <c r="Q174">
        <v>-12.179853</v>
      </c>
      <c r="R174">
        <v>-10.230271</v>
      </c>
      <c r="S174">
        <f t="shared" si="34"/>
        <v>3.1182651255413139</v>
      </c>
      <c r="T174">
        <f t="shared" si="35"/>
        <v>-27.53190795918885</v>
      </c>
      <c r="U174" s="8"/>
      <c r="V174" s="8"/>
    </row>
    <row r="175" spans="1:22" x14ac:dyDescent="0.35">
      <c r="A175">
        <v>4.25</v>
      </c>
      <c r="B175" s="9">
        <v>17</v>
      </c>
      <c r="C175">
        <v>-0.17508212000000001</v>
      </c>
      <c r="D175">
        <v>7.2149220999999999E-2</v>
      </c>
      <c r="E175">
        <v>0.82494405999999998</v>
      </c>
      <c r="F175">
        <v>6.4406187000000004E-2</v>
      </c>
      <c r="G175">
        <f t="shared" si="26"/>
        <v>1.9789440731324801</v>
      </c>
      <c r="H175">
        <f t="shared" si="27"/>
        <v>0.96874041975714298</v>
      </c>
      <c r="I175">
        <f t="shared" si="28"/>
        <v>1.9789721507917799</v>
      </c>
      <c r="J175">
        <f t="shared" si="29"/>
        <v>0.96486906213634904</v>
      </c>
      <c r="K175" s="7">
        <f t="shared" si="30"/>
        <v>-2.8077659299796698E-5</v>
      </c>
      <c r="L175" s="7">
        <f t="shared" si="31"/>
        <v>3.8713576207939399E-3</v>
      </c>
      <c r="M175" s="7">
        <f t="shared" si="32"/>
        <v>0.40826251584731899</v>
      </c>
      <c r="N175" s="7">
        <f t="shared" si="33"/>
        <v>-0.19905276110804501</v>
      </c>
      <c r="O175">
        <v>-1.8867874</v>
      </c>
      <c r="P175">
        <v>-4.9962342</v>
      </c>
      <c r="Q175">
        <v>-12.403886</v>
      </c>
      <c r="R175">
        <v>-11.095052000000001</v>
      </c>
      <c r="S175">
        <f t="shared" si="34"/>
        <v>3.1161143590417826</v>
      </c>
      <c r="T175">
        <f t="shared" si="35"/>
        <v>-27.499304713542394</v>
      </c>
      <c r="U175" s="8"/>
      <c r="V175" s="8"/>
    </row>
    <row r="176" spans="1:22" x14ac:dyDescent="0.35">
      <c r="A176">
        <v>4.5</v>
      </c>
      <c r="B176" s="9">
        <v>17</v>
      </c>
      <c r="C176">
        <v>-0.19338331</v>
      </c>
      <c r="D176">
        <v>7.2925780999999995E-2</v>
      </c>
      <c r="E176">
        <v>0.80676981999999997</v>
      </c>
      <c r="F176">
        <v>6.4391514999999996E-2</v>
      </c>
      <c r="G176">
        <f t="shared" si="26"/>
        <v>1.79676606444507</v>
      </c>
      <c r="H176">
        <f t="shared" si="27"/>
        <v>0.81791490539016198</v>
      </c>
      <c r="I176">
        <f t="shared" si="28"/>
        <v>1.7968608274942</v>
      </c>
      <c r="J176">
        <f t="shared" si="29"/>
        <v>0.81364850341376305</v>
      </c>
      <c r="K176" s="7">
        <f t="shared" si="30"/>
        <v>-9.4763049129920103E-5</v>
      </c>
      <c r="L176" s="7">
        <f t="shared" si="31"/>
        <v>4.2664019763989404E-3</v>
      </c>
      <c r="M176" s="7">
        <f t="shared" si="32"/>
        <v>0.46183096002226198</v>
      </c>
      <c r="N176" s="7">
        <f t="shared" si="33"/>
        <v>-0.20912474895247099</v>
      </c>
      <c r="O176">
        <v>-1.8143024999999999</v>
      </c>
      <c r="P176">
        <v>-5.2630784000000004</v>
      </c>
      <c r="Q176">
        <v>-12.553511</v>
      </c>
      <c r="R176">
        <v>-11.906848</v>
      </c>
      <c r="S176">
        <f t="shared" si="34"/>
        <v>3.1079708099194607</v>
      </c>
      <c r="T176">
        <f t="shared" si="35"/>
        <v>-27.494152267573554</v>
      </c>
      <c r="U176" s="8"/>
      <c r="V176" s="8"/>
    </row>
    <row r="177" spans="1:22" x14ac:dyDescent="0.35">
      <c r="A177">
        <v>4.75</v>
      </c>
      <c r="B177" s="9">
        <v>17</v>
      </c>
      <c r="C177">
        <v>-0.21129653000000001</v>
      </c>
      <c r="D177">
        <v>7.3203728999999995E-2</v>
      </c>
      <c r="E177">
        <v>0.78876067000000005</v>
      </c>
      <c r="F177">
        <v>6.4147468999999999E-2</v>
      </c>
      <c r="G177">
        <f t="shared" si="26"/>
        <v>1.6404606738290299</v>
      </c>
      <c r="H177">
        <f t="shared" si="27"/>
        <v>0.69805858414451005</v>
      </c>
      <c r="I177">
        <f t="shared" si="28"/>
        <v>1.64050977479291</v>
      </c>
      <c r="J177">
        <f t="shared" si="29"/>
        <v>0.693530805974513</v>
      </c>
      <c r="K177" s="7">
        <f t="shared" si="30"/>
        <v>-4.9100963880111002E-5</v>
      </c>
      <c r="L177" s="7">
        <f t="shared" si="31"/>
        <v>4.52777816999705E-3</v>
      </c>
      <c r="M177" s="7">
        <f t="shared" si="32"/>
        <v>0.51714272192835098</v>
      </c>
      <c r="N177" s="7">
        <f t="shared" si="33"/>
        <v>-0.21862375601394901</v>
      </c>
      <c r="O177">
        <v>-1.7401397000000001</v>
      </c>
      <c r="P177">
        <v>-5.5089034999999997</v>
      </c>
      <c r="Q177">
        <v>-12.652486</v>
      </c>
      <c r="R177">
        <v>-12.649347000000001</v>
      </c>
      <c r="S177">
        <f t="shared" si="34"/>
        <v>3.0968428730321897</v>
      </c>
      <c r="T177">
        <f t="shared" si="35"/>
        <v>-27.476944007292715</v>
      </c>
      <c r="U177" s="8"/>
      <c r="V177" s="8"/>
    </row>
    <row r="178" spans="1:22" x14ac:dyDescent="0.35">
      <c r="A178">
        <v>5</v>
      </c>
      <c r="B178" s="9">
        <v>17</v>
      </c>
      <c r="C178">
        <v>-0.22834815</v>
      </c>
      <c r="D178">
        <v>7.3506727999999993E-2</v>
      </c>
      <c r="E178">
        <v>0.77170512000000002</v>
      </c>
      <c r="F178">
        <v>6.3641078000000004E-2</v>
      </c>
      <c r="G178">
        <f t="shared" si="26"/>
        <v>1.50867664343537</v>
      </c>
      <c r="H178">
        <f t="shared" si="27"/>
        <v>0.60575822678818803</v>
      </c>
      <c r="I178">
        <f t="shared" si="28"/>
        <v>1.50872760795225</v>
      </c>
      <c r="J178">
        <f t="shared" si="29"/>
        <v>0.60082578456282798</v>
      </c>
      <c r="K178" s="7">
        <f t="shared" si="30"/>
        <v>-5.0964516880025497E-5</v>
      </c>
      <c r="L178" s="7">
        <f t="shared" si="31"/>
        <v>4.9324422253600496E-3</v>
      </c>
      <c r="M178" s="7">
        <f t="shared" si="32"/>
        <v>0.57208351661006396</v>
      </c>
      <c r="N178" s="7">
        <f t="shared" si="33"/>
        <v>-0.227822786493069</v>
      </c>
      <c r="O178">
        <v>-1.6767162</v>
      </c>
      <c r="P178">
        <v>-5.7248234</v>
      </c>
      <c r="Q178">
        <v>-12.736948999999999</v>
      </c>
      <c r="R178">
        <v>-13.294420000000001</v>
      </c>
      <c r="S178">
        <f t="shared" si="34"/>
        <v>3.0863715794453204</v>
      </c>
      <c r="T178">
        <f t="shared" si="35"/>
        <v>-27.448649877312786</v>
      </c>
      <c r="U178" s="8"/>
      <c r="V178" s="8"/>
    </row>
    <row r="179" spans="1:22" x14ac:dyDescent="0.35">
      <c r="A179" s="10"/>
      <c r="B179" s="11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</row>
    <row r="180" spans="1:22" x14ac:dyDescent="0.35">
      <c r="A180" s="12"/>
      <c r="B180" s="13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1:22" x14ac:dyDescent="0.35">
      <c r="A181" s="10"/>
      <c r="B181" s="11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</row>
    <row r="182" spans="1:22" x14ac:dyDescent="0.35">
      <c r="A182" s="12"/>
      <c r="B182" s="13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</row>
    <row r="183" spans="1:22" x14ac:dyDescent="0.35">
      <c r="A183" s="10"/>
      <c r="B183" s="11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</row>
    <row r="184" spans="1:22" x14ac:dyDescent="0.35">
      <c r="A184" s="12"/>
      <c r="B184" s="13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</row>
    <row r="185" spans="1:22" x14ac:dyDescent="0.35">
      <c r="A185" s="10"/>
      <c r="B185" s="11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</row>
    <row r="186" spans="1:22" x14ac:dyDescent="0.35">
      <c r="A186" s="12"/>
      <c r="B186" s="13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</row>
    <row r="187" spans="1:22" x14ac:dyDescent="0.35">
      <c r="A187" s="10"/>
      <c r="B187" s="11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</row>
    <row r="188" spans="1:22" x14ac:dyDescent="0.35">
      <c r="A188" s="12"/>
      <c r="B188" s="13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</row>
    <row r="189" spans="1:22" x14ac:dyDescent="0.35">
      <c r="B189"/>
    </row>
    <row r="190" spans="1:22" x14ac:dyDescent="0.35">
      <c r="B190"/>
    </row>
    <row r="191" spans="1:22" x14ac:dyDescent="0.35">
      <c r="B191"/>
    </row>
    <row r="192" spans="1:2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2" x14ac:dyDescent="0.35">
      <c r="B481"/>
    </row>
    <row r="482" spans="2:22" x14ac:dyDescent="0.35">
      <c r="B482"/>
    </row>
    <row r="483" spans="2:22" x14ac:dyDescent="0.35">
      <c r="B483"/>
    </row>
    <row r="484" spans="2:22" x14ac:dyDescent="0.35">
      <c r="B484"/>
    </row>
    <row r="485" spans="2:22" x14ac:dyDescent="0.35">
      <c r="B485"/>
    </row>
    <row r="486" spans="2:22" x14ac:dyDescent="0.35">
      <c r="B486"/>
      <c r="K486" s="7"/>
      <c r="L486" s="7"/>
      <c r="M486" s="7"/>
      <c r="N486" s="7"/>
      <c r="U486" s="8"/>
      <c r="V486" s="8"/>
    </row>
    <row r="487" spans="2:22" x14ac:dyDescent="0.35">
      <c r="B487"/>
      <c r="K487" s="7"/>
      <c r="L487" s="7"/>
      <c r="M487" s="7"/>
      <c r="N487" s="7"/>
      <c r="U487" s="8"/>
      <c r="V487" s="8"/>
    </row>
    <row r="488" spans="2:22" x14ac:dyDescent="0.35">
      <c r="B488"/>
      <c r="K488" s="7"/>
      <c r="L488" s="7"/>
      <c r="M488" s="7"/>
      <c r="N488" s="7"/>
      <c r="U488" s="8"/>
      <c r="V488" s="8"/>
    </row>
    <row r="489" spans="2:22" x14ac:dyDescent="0.35">
      <c r="B489"/>
      <c r="K489" s="7"/>
      <c r="L489" s="7"/>
      <c r="M489" s="7"/>
      <c r="N489" s="7"/>
      <c r="U489" s="8"/>
      <c r="V489" s="8"/>
    </row>
    <row r="490" spans="2:22" x14ac:dyDescent="0.35">
      <c r="B490"/>
      <c r="K490" s="7"/>
      <c r="L490" s="7"/>
      <c r="M490" s="7"/>
      <c r="N490" s="7"/>
      <c r="U490" s="8"/>
      <c r="V490" s="8"/>
    </row>
    <row r="491" spans="2:22" x14ac:dyDescent="0.35">
      <c r="B491"/>
      <c r="K491" s="7"/>
      <c r="L491" s="7"/>
      <c r="M491" s="7"/>
      <c r="N491" s="7"/>
      <c r="U491" s="8"/>
      <c r="V491" s="8"/>
    </row>
    <row r="492" spans="2:22" x14ac:dyDescent="0.35">
      <c r="B492"/>
      <c r="K492" s="7"/>
      <c r="L492" s="7"/>
      <c r="M492" s="7"/>
      <c r="N492" s="7"/>
      <c r="U492" s="8"/>
      <c r="V492" s="8"/>
    </row>
    <row r="493" spans="2:22" x14ac:dyDescent="0.35">
      <c r="B493"/>
      <c r="K493" s="7"/>
      <c r="L493" s="7"/>
      <c r="M493" s="7"/>
      <c r="N493" s="7"/>
      <c r="U493" s="8"/>
      <c r="V493" s="8"/>
    </row>
    <row r="494" spans="2:22" x14ac:dyDescent="0.35">
      <c r="B494"/>
      <c r="K494" s="7"/>
      <c r="L494" s="7"/>
      <c r="M494" s="7"/>
      <c r="N494" s="7"/>
      <c r="U494" s="8"/>
      <c r="V494" s="8"/>
    </row>
    <row r="495" spans="2:22" x14ac:dyDescent="0.35">
      <c r="B495"/>
      <c r="K495" s="7"/>
      <c r="L495" s="7"/>
      <c r="M495" s="7"/>
      <c r="N495" s="7"/>
      <c r="U495" s="8"/>
      <c r="V495" s="8"/>
    </row>
    <row r="496" spans="2:22" x14ac:dyDescent="0.35">
      <c r="B496"/>
      <c r="K496" s="7"/>
      <c r="L496" s="7"/>
      <c r="M496" s="7"/>
      <c r="N496" s="7"/>
      <c r="U496" s="8"/>
      <c r="V496" s="8"/>
    </row>
    <row r="497" spans="2:22" x14ac:dyDescent="0.35">
      <c r="B497"/>
      <c r="K497" s="7"/>
      <c r="L497" s="7"/>
      <c r="M497" s="7"/>
      <c r="N497" s="7"/>
      <c r="U497" s="8"/>
      <c r="V497" s="8"/>
    </row>
    <row r="498" spans="2:22" x14ac:dyDescent="0.35">
      <c r="B498"/>
      <c r="K498" s="7"/>
      <c r="L498" s="7"/>
      <c r="M498" s="7"/>
      <c r="N498" s="7"/>
      <c r="U498" s="8"/>
      <c r="V498" s="8"/>
    </row>
    <row r="499" spans="2:22" x14ac:dyDescent="0.35">
      <c r="B499"/>
      <c r="K499" s="7"/>
      <c r="L499" s="7"/>
      <c r="M499" s="7"/>
      <c r="N499" s="7"/>
      <c r="U499" s="8"/>
      <c r="V499" s="8"/>
    </row>
    <row r="500" spans="2:22" x14ac:dyDescent="0.35">
      <c r="B500"/>
      <c r="K500" s="7"/>
      <c r="L500" s="7"/>
      <c r="M500" s="7"/>
      <c r="N500" s="7"/>
      <c r="U500" s="8"/>
      <c r="V500" s="8"/>
    </row>
    <row r="501" spans="2:22" x14ac:dyDescent="0.35">
      <c r="B501"/>
      <c r="K501" s="7"/>
      <c r="L501" s="7"/>
      <c r="M501" s="7"/>
      <c r="N501" s="7"/>
      <c r="U501" s="8"/>
      <c r="V501" s="8"/>
    </row>
    <row r="502" spans="2:22" x14ac:dyDescent="0.35">
      <c r="B502"/>
      <c r="K502" s="7"/>
      <c r="L502" s="7"/>
      <c r="M502" s="7"/>
      <c r="N502" s="7"/>
      <c r="U502" s="8"/>
      <c r="V502" s="8"/>
    </row>
    <row r="503" spans="2:22" x14ac:dyDescent="0.35">
      <c r="B503"/>
      <c r="K503" s="7"/>
      <c r="L503" s="7"/>
      <c r="M503" s="7"/>
      <c r="N503" s="7"/>
      <c r="U503" s="8"/>
      <c r="V503" s="8"/>
    </row>
    <row r="504" spans="2:22" x14ac:dyDescent="0.35">
      <c r="B504"/>
      <c r="K504" s="7"/>
      <c r="L504" s="7"/>
      <c r="M504" s="7"/>
      <c r="N504" s="7"/>
      <c r="U504" s="8"/>
      <c r="V504" s="8"/>
    </row>
    <row r="505" spans="2:22" x14ac:dyDescent="0.35">
      <c r="B505"/>
      <c r="K505" s="7"/>
      <c r="L505" s="7"/>
      <c r="M505" s="7"/>
      <c r="N505" s="7"/>
      <c r="U505" s="8"/>
      <c r="V505" s="8"/>
    </row>
    <row r="506" spans="2:22" x14ac:dyDescent="0.35">
      <c r="B506"/>
      <c r="K506" s="7"/>
      <c r="L506" s="7"/>
      <c r="M506" s="7"/>
      <c r="N506" s="7"/>
      <c r="U506" s="8"/>
      <c r="V506" s="8"/>
    </row>
    <row r="507" spans="2:22" x14ac:dyDescent="0.35">
      <c r="B507"/>
      <c r="K507" s="7"/>
      <c r="L507" s="7"/>
      <c r="M507" s="7"/>
      <c r="N507" s="7"/>
      <c r="U507" s="8"/>
      <c r="V507" s="8"/>
    </row>
    <row r="508" spans="2:22" x14ac:dyDescent="0.35">
      <c r="B508"/>
      <c r="K508" s="7"/>
      <c r="L508" s="7"/>
      <c r="M508" s="7"/>
      <c r="N508" s="7"/>
      <c r="U508" s="8"/>
      <c r="V508" s="8"/>
    </row>
    <row r="509" spans="2:22" x14ac:dyDescent="0.35">
      <c r="B509"/>
      <c r="K509" s="7"/>
      <c r="L509" s="7"/>
      <c r="M509" s="7"/>
      <c r="N509" s="7"/>
      <c r="U509" s="8"/>
      <c r="V509" s="8"/>
    </row>
    <row r="510" spans="2:22" x14ac:dyDescent="0.35">
      <c r="B510"/>
      <c r="K510" s="7"/>
      <c r="L510" s="7"/>
      <c r="M510" s="7"/>
      <c r="N510" s="7"/>
      <c r="U510" s="8"/>
      <c r="V510" s="8"/>
    </row>
    <row r="511" spans="2:22" x14ac:dyDescent="0.35">
      <c r="B511"/>
      <c r="K511" s="7"/>
      <c r="L511" s="7"/>
      <c r="M511" s="7"/>
      <c r="N511" s="7"/>
      <c r="U511" s="8"/>
      <c r="V511" s="8"/>
    </row>
    <row r="512" spans="2:22" x14ac:dyDescent="0.35">
      <c r="B512"/>
      <c r="K512" s="7"/>
      <c r="L512" s="7"/>
      <c r="M512" s="7"/>
      <c r="N512" s="7"/>
      <c r="U512" s="8"/>
      <c r="V512" s="8"/>
    </row>
    <row r="513" spans="2:22" x14ac:dyDescent="0.35">
      <c r="B513"/>
      <c r="K513" s="7"/>
      <c r="L513" s="7"/>
      <c r="M513" s="7"/>
      <c r="N513" s="7"/>
      <c r="U513" s="8"/>
      <c r="V513" s="8"/>
    </row>
    <row r="514" spans="2:22" x14ac:dyDescent="0.35">
      <c r="B514"/>
      <c r="K514" s="7"/>
      <c r="L514" s="7"/>
      <c r="M514" s="7"/>
      <c r="N514" s="7"/>
      <c r="U514" s="8"/>
      <c r="V514" s="8"/>
    </row>
    <row r="515" spans="2:22" x14ac:dyDescent="0.35">
      <c r="B515"/>
      <c r="K515" s="7"/>
      <c r="L515" s="7"/>
      <c r="M515" s="7"/>
      <c r="N515" s="7"/>
      <c r="U515" s="8"/>
      <c r="V515" s="8"/>
    </row>
    <row r="516" spans="2:22" x14ac:dyDescent="0.35">
      <c r="B516"/>
      <c r="K516" s="7"/>
      <c r="L516" s="7"/>
      <c r="M516" s="7"/>
      <c r="N516" s="7"/>
      <c r="U516" s="8"/>
      <c r="V516" s="8"/>
    </row>
    <row r="517" spans="2:22" x14ac:dyDescent="0.35">
      <c r="B517"/>
      <c r="K517" s="7"/>
      <c r="L517" s="7"/>
      <c r="M517" s="7"/>
      <c r="N517" s="7"/>
      <c r="U517" s="8"/>
      <c r="V517" s="8"/>
    </row>
    <row r="518" spans="2:22" x14ac:dyDescent="0.35">
      <c r="B518"/>
      <c r="K518" s="7"/>
      <c r="L518" s="7"/>
      <c r="M518" s="7"/>
      <c r="N518" s="7"/>
      <c r="U518" s="8"/>
      <c r="V518" s="8"/>
    </row>
    <row r="519" spans="2:22" x14ac:dyDescent="0.35">
      <c r="B519"/>
      <c r="K519" s="7"/>
      <c r="L519" s="7"/>
      <c r="M519" s="7"/>
      <c r="N519" s="7"/>
      <c r="U519" s="8"/>
      <c r="V519" s="8"/>
    </row>
    <row r="520" spans="2:22" x14ac:dyDescent="0.35">
      <c r="B520"/>
      <c r="K520" s="7"/>
      <c r="L520" s="7"/>
      <c r="M520" s="7"/>
      <c r="N520" s="7"/>
      <c r="U520" s="8"/>
      <c r="V520" s="8"/>
    </row>
    <row r="521" spans="2:22" x14ac:dyDescent="0.35">
      <c r="B521"/>
      <c r="K521" s="7"/>
      <c r="L521" s="7"/>
      <c r="M521" s="7"/>
      <c r="N521" s="7"/>
      <c r="U521" s="8"/>
      <c r="V521" s="8"/>
    </row>
    <row r="522" spans="2:22" x14ac:dyDescent="0.35">
      <c r="B522"/>
      <c r="K522" s="7"/>
      <c r="L522" s="7"/>
      <c r="M522" s="7"/>
      <c r="N522" s="7"/>
      <c r="U522" s="8"/>
      <c r="V522" s="8"/>
    </row>
    <row r="523" spans="2:22" x14ac:dyDescent="0.35">
      <c r="B523"/>
      <c r="K523" s="7"/>
      <c r="L523" s="7"/>
      <c r="M523" s="7"/>
      <c r="N523" s="7"/>
      <c r="U523" s="8"/>
      <c r="V523" s="8"/>
    </row>
    <row r="524" spans="2:22" x14ac:dyDescent="0.35">
      <c r="B524"/>
      <c r="K524" s="7"/>
      <c r="L524" s="7"/>
      <c r="M524" s="7"/>
      <c r="N524" s="7"/>
      <c r="U524" s="8"/>
      <c r="V524" s="8"/>
    </row>
    <row r="525" spans="2:22" x14ac:dyDescent="0.35">
      <c r="B525"/>
      <c r="K525" s="7"/>
      <c r="L525" s="7"/>
      <c r="M525" s="7"/>
      <c r="N525" s="7"/>
      <c r="U525" s="8"/>
      <c r="V525" s="8"/>
    </row>
    <row r="526" spans="2:22" x14ac:dyDescent="0.35">
      <c r="B526"/>
      <c r="K526" s="7"/>
      <c r="L526" s="7"/>
      <c r="M526" s="7"/>
      <c r="N526" s="7"/>
      <c r="U526" s="8"/>
      <c r="V526" s="8"/>
    </row>
    <row r="527" spans="2:22" x14ac:dyDescent="0.35">
      <c r="B527"/>
      <c r="K527" s="7"/>
      <c r="L527" s="7"/>
      <c r="M527" s="7"/>
      <c r="N527" s="7"/>
      <c r="U527" s="8"/>
      <c r="V527" s="8"/>
    </row>
    <row r="528" spans="2:22" x14ac:dyDescent="0.35">
      <c r="B528"/>
      <c r="K528" s="7"/>
      <c r="L528" s="7"/>
      <c r="M528" s="7"/>
      <c r="N528" s="7"/>
      <c r="U528" s="8"/>
      <c r="V528" s="8"/>
    </row>
    <row r="529" spans="2:22" x14ac:dyDescent="0.35">
      <c r="B529"/>
      <c r="K529" s="7"/>
      <c r="L529" s="7"/>
      <c r="M529" s="7"/>
      <c r="N529" s="7"/>
      <c r="U529" s="8"/>
      <c r="V529" s="8"/>
    </row>
    <row r="530" spans="2:22" x14ac:dyDescent="0.35">
      <c r="B530"/>
      <c r="K530" s="7"/>
      <c r="L530" s="7"/>
      <c r="M530" s="7"/>
      <c r="N530" s="7"/>
      <c r="U530" s="8"/>
      <c r="V530" s="8"/>
    </row>
    <row r="531" spans="2:22" x14ac:dyDescent="0.35">
      <c r="B531"/>
      <c r="K531" s="7"/>
      <c r="L531" s="7"/>
      <c r="M531" s="7"/>
      <c r="N531" s="7"/>
      <c r="U531" s="8"/>
      <c r="V531" s="8"/>
    </row>
    <row r="532" spans="2:22" x14ac:dyDescent="0.35">
      <c r="B532"/>
      <c r="K532" s="7"/>
      <c r="L532" s="7"/>
      <c r="M532" s="7"/>
      <c r="N532" s="7"/>
      <c r="U532" s="8"/>
      <c r="V532" s="8"/>
    </row>
    <row r="533" spans="2:22" x14ac:dyDescent="0.35">
      <c r="B533"/>
      <c r="K533" s="7"/>
      <c r="L533" s="7"/>
      <c r="M533" s="7"/>
      <c r="N533" s="7"/>
      <c r="U533" s="8"/>
      <c r="V533" s="8"/>
    </row>
    <row r="534" spans="2:22" x14ac:dyDescent="0.35">
      <c r="B534"/>
      <c r="K534" s="7"/>
      <c r="L534" s="7"/>
      <c r="M534" s="7"/>
      <c r="N534" s="7"/>
      <c r="U534" s="8"/>
      <c r="V534" s="8"/>
    </row>
    <row r="535" spans="2:22" x14ac:dyDescent="0.35">
      <c r="B535"/>
      <c r="K535" s="7"/>
      <c r="L535" s="7"/>
      <c r="M535" s="7"/>
      <c r="N535" s="7"/>
      <c r="U535" s="8"/>
      <c r="V535" s="8"/>
    </row>
    <row r="536" spans="2:22" x14ac:dyDescent="0.35">
      <c r="B536"/>
      <c r="K536" s="7"/>
      <c r="L536" s="7"/>
      <c r="M536" s="7"/>
      <c r="N536" s="7"/>
      <c r="U536" s="8"/>
      <c r="V536" s="8"/>
    </row>
    <row r="537" spans="2:22" x14ac:dyDescent="0.35">
      <c r="B537"/>
      <c r="K537" s="7"/>
      <c r="L537" s="7"/>
      <c r="M537" s="7"/>
      <c r="N537" s="7"/>
      <c r="U537" s="8"/>
      <c r="V537" s="8"/>
    </row>
    <row r="538" spans="2:22" x14ac:dyDescent="0.35">
      <c r="B538"/>
      <c r="K538" s="7"/>
      <c r="L538" s="7"/>
      <c r="M538" s="7"/>
      <c r="N538" s="7"/>
      <c r="U538" s="8"/>
      <c r="V538" s="8"/>
    </row>
    <row r="539" spans="2:22" x14ac:dyDescent="0.35">
      <c r="B539"/>
      <c r="K539" s="7"/>
      <c r="L539" s="7"/>
      <c r="M539" s="7"/>
      <c r="N539" s="7"/>
      <c r="U539" s="8"/>
      <c r="V539" s="8"/>
    </row>
    <row r="540" spans="2:22" x14ac:dyDescent="0.35">
      <c r="B540"/>
      <c r="K540" s="7"/>
      <c r="L540" s="7"/>
      <c r="M540" s="7"/>
      <c r="N540" s="7"/>
      <c r="U540" s="8"/>
      <c r="V540" s="8"/>
    </row>
    <row r="541" spans="2:22" x14ac:dyDescent="0.35">
      <c r="B541"/>
      <c r="K541" s="7"/>
      <c r="L541" s="7"/>
      <c r="M541" s="7"/>
      <c r="N541" s="7"/>
      <c r="U541" s="8"/>
      <c r="V541" s="8"/>
    </row>
    <row r="542" spans="2:22" x14ac:dyDescent="0.35">
      <c r="B542"/>
      <c r="K542" s="7"/>
      <c r="L542" s="7"/>
      <c r="M542" s="7"/>
      <c r="N542" s="7"/>
      <c r="U542" s="8"/>
      <c r="V542" s="8"/>
    </row>
    <row r="543" spans="2:22" x14ac:dyDescent="0.35">
      <c r="B543"/>
      <c r="K543" s="7"/>
      <c r="L543" s="7"/>
      <c r="M543" s="7"/>
      <c r="N543" s="7"/>
      <c r="U543" s="8"/>
      <c r="V543" s="8"/>
    </row>
    <row r="544" spans="2:22" x14ac:dyDescent="0.35">
      <c r="B544"/>
      <c r="K544" s="7"/>
      <c r="L544" s="7"/>
      <c r="M544" s="7"/>
      <c r="N544" s="7"/>
      <c r="U544" s="8"/>
      <c r="V544" s="8"/>
    </row>
    <row r="545" spans="2:22" x14ac:dyDescent="0.35">
      <c r="B545"/>
      <c r="K545" s="7"/>
      <c r="L545" s="7"/>
      <c r="M545" s="7"/>
      <c r="N545" s="7"/>
      <c r="U545" s="8"/>
      <c r="V545" s="8"/>
    </row>
    <row r="546" spans="2:22" x14ac:dyDescent="0.35">
      <c r="B546"/>
      <c r="K546" s="7"/>
      <c r="L546" s="7"/>
      <c r="M546" s="7"/>
      <c r="N546" s="7"/>
      <c r="U546" s="8"/>
      <c r="V546" s="8"/>
    </row>
    <row r="547" spans="2:22" x14ac:dyDescent="0.35">
      <c r="B547"/>
      <c r="K547" s="7"/>
      <c r="L547" s="7"/>
      <c r="M547" s="7"/>
      <c r="N547" s="7"/>
      <c r="U547" s="8"/>
      <c r="V547" s="8"/>
    </row>
    <row r="548" spans="2:22" x14ac:dyDescent="0.35">
      <c r="B548"/>
      <c r="K548" s="7"/>
      <c r="L548" s="7"/>
      <c r="M548" s="7"/>
      <c r="N548" s="7"/>
      <c r="U548" s="8"/>
      <c r="V548" s="8"/>
    </row>
    <row r="549" spans="2:22" x14ac:dyDescent="0.35">
      <c r="B549"/>
      <c r="K549" s="7"/>
      <c r="L549" s="7"/>
      <c r="M549" s="7"/>
      <c r="N549" s="7"/>
      <c r="U549" s="8"/>
      <c r="V549" s="8"/>
    </row>
    <row r="550" spans="2:22" x14ac:dyDescent="0.35">
      <c r="B550"/>
      <c r="K550" s="7"/>
      <c r="L550" s="7"/>
      <c r="M550" s="7"/>
      <c r="N550" s="7"/>
      <c r="U550" s="8"/>
      <c r="V550" s="8"/>
    </row>
    <row r="551" spans="2:22" x14ac:dyDescent="0.35">
      <c r="B551"/>
      <c r="K551" s="7"/>
      <c r="L551" s="7"/>
      <c r="M551" s="7"/>
      <c r="N551" s="7"/>
      <c r="U551" s="8"/>
      <c r="V551" s="8"/>
    </row>
    <row r="552" spans="2:22" x14ac:dyDescent="0.35">
      <c r="B552"/>
      <c r="K552" s="7"/>
      <c r="L552" s="7"/>
      <c r="M552" s="7"/>
      <c r="N552" s="7"/>
      <c r="U552" s="8"/>
      <c r="V552" s="8"/>
    </row>
    <row r="553" spans="2:22" x14ac:dyDescent="0.35">
      <c r="B553"/>
      <c r="K553" s="7"/>
      <c r="L553" s="7"/>
      <c r="M553" s="7"/>
      <c r="N553" s="7"/>
      <c r="U553" s="8"/>
      <c r="V553" s="8"/>
    </row>
    <row r="554" spans="2:22" x14ac:dyDescent="0.35">
      <c r="B554"/>
      <c r="K554" s="7"/>
      <c r="L554" s="7"/>
      <c r="M554" s="7"/>
      <c r="N554" s="7"/>
      <c r="U554" s="8"/>
      <c r="V554" s="8"/>
    </row>
    <row r="555" spans="2:22" x14ac:dyDescent="0.35">
      <c r="B555"/>
      <c r="K555" s="7"/>
      <c r="L555" s="7"/>
      <c r="M555" s="7"/>
      <c r="N555" s="7"/>
      <c r="U555" s="8"/>
      <c r="V555" s="8"/>
    </row>
    <row r="556" spans="2:22" x14ac:dyDescent="0.35">
      <c r="B556"/>
      <c r="K556" s="7"/>
      <c r="L556" s="7"/>
      <c r="M556" s="7"/>
      <c r="N556" s="7"/>
      <c r="U556" s="8"/>
      <c r="V556" s="8"/>
    </row>
    <row r="557" spans="2:22" x14ac:dyDescent="0.35">
      <c r="B557"/>
      <c r="K557" s="7"/>
      <c r="L557" s="7"/>
      <c r="M557" s="7"/>
      <c r="N557" s="7"/>
      <c r="U557" s="8"/>
      <c r="V557" s="8"/>
    </row>
    <row r="558" spans="2:22" x14ac:dyDescent="0.35">
      <c r="B558"/>
      <c r="K558" s="7"/>
      <c r="L558" s="7"/>
      <c r="M558" s="7"/>
      <c r="N558" s="7"/>
      <c r="U558" s="8"/>
      <c r="V558" s="8"/>
    </row>
    <row r="559" spans="2:22" x14ac:dyDescent="0.35">
      <c r="B559"/>
      <c r="K559" s="7"/>
      <c r="L559" s="7"/>
      <c r="M559" s="7"/>
      <c r="N559" s="7"/>
      <c r="U559" s="8"/>
      <c r="V559" s="8"/>
    </row>
    <row r="560" spans="2:22" x14ac:dyDescent="0.35">
      <c r="B560"/>
      <c r="K560" s="7"/>
      <c r="L560" s="7"/>
      <c r="M560" s="7"/>
      <c r="N560" s="7"/>
      <c r="U560" s="8"/>
      <c r="V560" s="8"/>
    </row>
    <row r="561" spans="2:22" x14ac:dyDescent="0.35">
      <c r="B561"/>
      <c r="K561" s="7"/>
      <c r="L561" s="7"/>
      <c r="M561" s="7"/>
      <c r="N561" s="7"/>
      <c r="U561" s="8"/>
      <c r="V561" s="8"/>
    </row>
    <row r="562" spans="2:22" x14ac:dyDescent="0.35">
      <c r="B562"/>
      <c r="K562" s="7"/>
      <c r="L562" s="7"/>
      <c r="M562" s="7"/>
      <c r="N562" s="7"/>
      <c r="U562" s="8"/>
      <c r="V562" s="8"/>
    </row>
    <row r="563" spans="2:22" x14ac:dyDescent="0.35">
      <c r="B563"/>
      <c r="K563" s="7"/>
      <c r="L563" s="7"/>
      <c r="M563" s="7"/>
      <c r="N563" s="7"/>
      <c r="U563" s="8"/>
      <c r="V563" s="8"/>
    </row>
    <row r="564" spans="2:22" x14ac:dyDescent="0.35">
      <c r="B564"/>
      <c r="K564" s="7"/>
      <c r="L564" s="7"/>
      <c r="M564" s="7"/>
      <c r="N564" s="7"/>
      <c r="U564" s="8"/>
      <c r="V564" s="8"/>
    </row>
  </sheetData>
  <mergeCells count="3">
    <mergeCell ref="AM1:AN1"/>
    <mergeCell ref="AM2:AN2"/>
    <mergeCell ref="AM14:AN14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2026-04-20T06:02:43Z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