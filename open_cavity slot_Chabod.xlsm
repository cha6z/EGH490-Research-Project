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nnectqutedu-my.sharepoint.com/personal/coetzee_qut_edu_au/Documents/Research/slot arrays/Cavity slot/"/>
    </mc:Choice>
  </mc:AlternateContent>
  <xr:revisionPtr revIDLastSave="65" documentId="8_{E0CAA948-1F5F-490C-B55F-3A0BAF7908B2}" xr6:coauthVersionLast="47" xr6:coauthVersionMax="47" xr10:uidLastSave="{0CE102A5-1415-457A-8A98-1328B0A5252B}"/>
  <bookViews>
    <workbookView xWindow="28680" yWindow="30" windowWidth="29040" windowHeight="15720" activeTab="1" xr2:uid="{00000000-000D-0000-FFFF-FFFF00000000}"/>
  </bookViews>
  <sheets>
    <sheet name="Sheet1" sheetId="3" r:id="rId1"/>
    <sheet name="FD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5" l="1"/>
  <c r="T484" i="5"/>
  <c r="S484" i="5"/>
  <c r="T483" i="5"/>
  <c r="S483" i="5"/>
  <c r="T482" i="5"/>
  <c r="S482" i="5"/>
  <c r="T481" i="5"/>
  <c r="S481" i="5"/>
  <c r="T480" i="5"/>
  <c r="S480" i="5"/>
  <c r="T479" i="5"/>
  <c r="S479" i="5"/>
  <c r="T478" i="5"/>
  <c r="S478" i="5"/>
  <c r="T477" i="5"/>
  <c r="S477" i="5"/>
  <c r="T476" i="5"/>
  <c r="S476" i="5"/>
  <c r="T475" i="5"/>
  <c r="S475" i="5"/>
  <c r="T474" i="5"/>
  <c r="S474" i="5"/>
  <c r="T473" i="5"/>
  <c r="S473" i="5"/>
  <c r="T472" i="5"/>
  <c r="S472" i="5"/>
  <c r="T471" i="5"/>
  <c r="S471" i="5"/>
  <c r="T470" i="5"/>
  <c r="S470" i="5"/>
  <c r="T469" i="5"/>
  <c r="S469" i="5"/>
  <c r="T468" i="5"/>
  <c r="S468" i="5"/>
  <c r="T467" i="5"/>
  <c r="S467" i="5"/>
  <c r="T466" i="5"/>
  <c r="S466" i="5"/>
  <c r="T465" i="5"/>
  <c r="S465" i="5"/>
  <c r="T464" i="5"/>
  <c r="S464" i="5"/>
  <c r="T463" i="5"/>
  <c r="S463" i="5"/>
  <c r="T462" i="5"/>
  <c r="S462" i="5"/>
  <c r="T461" i="5"/>
  <c r="S461" i="5"/>
  <c r="T460" i="5"/>
  <c r="S460" i="5"/>
  <c r="T459" i="5"/>
  <c r="S459" i="5"/>
  <c r="T458" i="5"/>
  <c r="S458" i="5"/>
  <c r="T457" i="5"/>
  <c r="S457" i="5"/>
  <c r="T456" i="5"/>
  <c r="S456" i="5"/>
  <c r="T455" i="5"/>
  <c r="S455" i="5"/>
  <c r="T454" i="5"/>
  <c r="S454" i="5"/>
  <c r="T453" i="5"/>
  <c r="S453" i="5"/>
  <c r="T452" i="5"/>
  <c r="S452" i="5"/>
  <c r="T451" i="5"/>
  <c r="S451" i="5"/>
  <c r="T450" i="5"/>
  <c r="S450" i="5"/>
  <c r="T449" i="5"/>
  <c r="S449" i="5"/>
  <c r="T448" i="5"/>
  <c r="S448" i="5"/>
  <c r="T447" i="5"/>
  <c r="S447" i="5"/>
  <c r="T446" i="5"/>
  <c r="S446" i="5"/>
  <c r="T445" i="5"/>
  <c r="S445" i="5"/>
  <c r="T444" i="5"/>
  <c r="S444" i="5"/>
  <c r="T443" i="5"/>
  <c r="S443" i="5"/>
  <c r="T442" i="5"/>
  <c r="S442" i="5"/>
  <c r="T441" i="5"/>
  <c r="S441" i="5"/>
  <c r="T440" i="5"/>
  <c r="S440" i="5"/>
  <c r="T439" i="5"/>
  <c r="S439" i="5"/>
  <c r="T438" i="5"/>
  <c r="S438" i="5"/>
  <c r="T437" i="5"/>
  <c r="S437" i="5"/>
  <c r="T436" i="5"/>
  <c r="S436" i="5"/>
  <c r="T435" i="5"/>
  <c r="S435" i="5"/>
  <c r="T434" i="5"/>
  <c r="S434" i="5"/>
  <c r="T433" i="5"/>
  <c r="S433" i="5"/>
  <c r="T432" i="5"/>
  <c r="S432" i="5"/>
  <c r="T431" i="5"/>
  <c r="S431" i="5"/>
  <c r="T430" i="5"/>
  <c r="S430" i="5"/>
  <c r="T429" i="5"/>
  <c r="S429" i="5"/>
  <c r="T428" i="5"/>
  <c r="S428" i="5"/>
  <c r="T427" i="5"/>
  <c r="S427" i="5"/>
  <c r="T426" i="5"/>
  <c r="S426" i="5"/>
  <c r="T425" i="5"/>
  <c r="S425" i="5"/>
  <c r="T424" i="5"/>
  <c r="S424" i="5"/>
  <c r="T423" i="5"/>
  <c r="S423" i="5"/>
  <c r="T422" i="5"/>
  <c r="S422" i="5"/>
  <c r="T421" i="5"/>
  <c r="S421" i="5"/>
  <c r="T420" i="5"/>
  <c r="S420" i="5"/>
  <c r="T419" i="5"/>
  <c r="S419" i="5"/>
  <c r="T418" i="5"/>
  <c r="S418" i="5"/>
  <c r="T417" i="5"/>
  <c r="S417" i="5"/>
  <c r="T416" i="5"/>
  <c r="S416" i="5"/>
  <c r="T415" i="5"/>
  <c r="S415" i="5"/>
  <c r="T414" i="5"/>
  <c r="S414" i="5"/>
  <c r="T413" i="5"/>
  <c r="S413" i="5"/>
  <c r="T412" i="5"/>
  <c r="S412" i="5"/>
  <c r="T411" i="5"/>
  <c r="S411" i="5"/>
  <c r="T410" i="5"/>
  <c r="S410" i="5"/>
  <c r="T409" i="5"/>
  <c r="S409" i="5"/>
  <c r="T408" i="5"/>
  <c r="S408" i="5"/>
  <c r="T407" i="5"/>
  <c r="S407" i="5"/>
  <c r="T406" i="5"/>
  <c r="S406" i="5"/>
  <c r="T405" i="5"/>
  <c r="S405" i="5"/>
  <c r="T404" i="5"/>
  <c r="S404" i="5"/>
  <c r="T403" i="5"/>
  <c r="S403" i="5"/>
  <c r="T402" i="5"/>
  <c r="S402" i="5"/>
  <c r="T401" i="5"/>
  <c r="S401" i="5"/>
  <c r="T400" i="5"/>
  <c r="S400" i="5"/>
  <c r="T399" i="5"/>
  <c r="S399" i="5"/>
  <c r="T398" i="5"/>
  <c r="S398" i="5"/>
  <c r="T397" i="5"/>
  <c r="S397" i="5"/>
  <c r="T396" i="5"/>
  <c r="S396" i="5"/>
  <c r="T395" i="5"/>
  <c r="S395" i="5"/>
  <c r="T394" i="5"/>
  <c r="S394" i="5"/>
  <c r="T393" i="5"/>
  <c r="S393" i="5"/>
  <c r="T392" i="5"/>
  <c r="S392" i="5"/>
  <c r="T391" i="5"/>
  <c r="S391" i="5"/>
  <c r="T390" i="5"/>
  <c r="S390" i="5"/>
  <c r="T389" i="5"/>
  <c r="S389" i="5"/>
  <c r="T388" i="5"/>
  <c r="S388" i="5"/>
  <c r="T387" i="5"/>
  <c r="S387" i="5"/>
  <c r="T386" i="5"/>
  <c r="S386" i="5"/>
  <c r="T385" i="5"/>
  <c r="S385" i="5"/>
  <c r="T384" i="5"/>
  <c r="S384" i="5"/>
  <c r="T383" i="5"/>
  <c r="S383" i="5"/>
  <c r="T382" i="5"/>
  <c r="S382" i="5"/>
  <c r="T381" i="5"/>
  <c r="S381" i="5"/>
  <c r="T380" i="5"/>
  <c r="S380" i="5"/>
  <c r="T379" i="5"/>
  <c r="S379" i="5"/>
  <c r="T378" i="5"/>
  <c r="S378" i="5"/>
  <c r="T377" i="5"/>
  <c r="S377" i="5"/>
  <c r="T376" i="5"/>
  <c r="S376" i="5"/>
  <c r="T375" i="5"/>
  <c r="S375" i="5"/>
  <c r="T374" i="5"/>
  <c r="S374" i="5"/>
  <c r="T373" i="5"/>
  <c r="S373" i="5"/>
  <c r="T372" i="5"/>
  <c r="S372" i="5"/>
  <c r="T371" i="5"/>
  <c r="S371" i="5"/>
  <c r="T370" i="5"/>
  <c r="S370" i="5"/>
  <c r="T369" i="5"/>
  <c r="S369" i="5"/>
  <c r="T368" i="5"/>
  <c r="S368" i="5"/>
  <c r="T367" i="5"/>
  <c r="S367" i="5"/>
  <c r="T366" i="5"/>
  <c r="S366" i="5"/>
  <c r="T365" i="5"/>
  <c r="S365" i="5"/>
  <c r="T364" i="5"/>
  <c r="S364" i="5"/>
  <c r="T363" i="5"/>
  <c r="S363" i="5"/>
  <c r="T362" i="5"/>
  <c r="S362" i="5"/>
  <c r="T361" i="5"/>
  <c r="S361" i="5"/>
  <c r="T360" i="5"/>
  <c r="S360" i="5"/>
  <c r="T359" i="5"/>
  <c r="S359" i="5"/>
  <c r="T358" i="5"/>
  <c r="S358" i="5"/>
  <c r="T357" i="5"/>
  <c r="S357" i="5"/>
  <c r="T356" i="5"/>
  <c r="S356" i="5"/>
  <c r="T355" i="5"/>
  <c r="S355" i="5"/>
  <c r="T354" i="5"/>
  <c r="S354" i="5"/>
  <c r="T353" i="5"/>
  <c r="S353" i="5"/>
  <c r="T352" i="5"/>
  <c r="S352" i="5"/>
  <c r="T351" i="5"/>
  <c r="S351" i="5"/>
  <c r="T350" i="5"/>
  <c r="S350" i="5"/>
  <c r="T349" i="5"/>
  <c r="S349" i="5"/>
  <c r="T348" i="5"/>
  <c r="S348" i="5"/>
  <c r="T347" i="5"/>
  <c r="S347" i="5"/>
  <c r="T346" i="5"/>
  <c r="S346" i="5"/>
  <c r="T345" i="5"/>
  <c r="S345" i="5"/>
  <c r="T344" i="5"/>
  <c r="S344" i="5"/>
  <c r="T343" i="5"/>
  <c r="S343" i="5"/>
  <c r="T342" i="5"/>
  <c r="S342" i="5"/>
  <c r="T341" i="5"/>
  <c r="S341" i="5"/>
  <c r="T340" i="5"/>
  <c r="S340" i="5"/>
  <c r="T339" i="5"/>
  <c r="S339" i="5"/>
  <c r="T338" i="5"/>
  <c r="S338" i="5"/>
  <c r="T337" i="5"/>
  <c r="S337" i="5"/>
  <c r="T336" i="5"/>
  <c r="S336" i="5"/>
  <c r="T335" i="5"/>
  <c r="S335" i="5"/>
  <c r="T334" i="5"/>
  <c r="S334" i="5"/>
  <c r="T333" i="5"/>
  <c r="S333" i="5"/>
  <c r="T332" i="5"/>
  <c r="S332" i="5"/>
  <c r="T331" i="5"/>
  <c r="S331" i="5"/>
  <c r="T330" i="5"/>
  <c r="S330" i="5"/>
  <c r="T329" i="5"/>
  <c r="S329" i="5"/>
  <c r="T328" i="5"/>
  <c r="S328" i="5"/>
  <c r="T327" i="5"/>
  <c r="S327" i="5"/>
  <c r="T326" i="5"/>
  <c r="S326" i="5"/>
  <c r="T325" i="5"/>
  <c r="S325" i="5"/>
  <c r="T324" i="5"/>
  <c r="S324" i="5"/>
  <c r="T323" i="5"/>
  <c r="S323" i="5"/>
  <c r="T322" i="5"/>
  <c r="S322" i="5"/>
  <c r="T321" i="5"/>
  <c r="S321" i="5"/>
  <c r="T320" i="5"/>
  <c r="S320" i="5"/>
  <c r="T319" i="5"/>
  <c r="S319" i="5"/>
  <c r="T318" i="5"/>
  <c r="S318" i="5"/>
  <c r="T317" i="5"/>
  <c r="S317" i="5"/>
  <c r="T316" i="5"/>
  <c r="S316" i="5"/>
  <c r="T315" i="5"/>
  <c r="S315" i="5"/>
  <c r="T314" i="5"/>
  <c r="S314" i="5"/>
  <c r="T313" i="5"/>
  <c r="S313" i="5"/>
  <c r="T312" i="5"/>
  <c r="S312" i="5"/>
  <c r="T311" i="5"/>
  <c r="S311" i="5"/>
  <c r="T310" i="5"/>
  <c r="S310" i="5"/>
  <c r="T309" i="5"/>
  <c r="S309" i="5"/>
  <c r="T308" i="5"/>
  <c r="S308" i="5"/>
  <c r="T307" i="5"/>
  <c r="S307" i="5"/>
  <c r="T306" i="5"/>
  <c r="S306" i="5"/>
  <c r="T305" i="5"/>
  <c r="S305" i="5"/>
  <c r="T304" i="5"/>
  <c r="S304" i="5"/>
  <c r="T303" i="5"/>
  <c r="S303" i="5"/>
  <c r="T302" i="5"/>
  <c r="S302" i="5"/>
  <c r="T301" i="5"/>
  <c r="S301" i="5"/>
  <c r="T300" i="5"/>
  <c r="S300" i="5"/>
  <c r="T299" i="5"/>
  <c r="S299" i="5"/>
  <c r="T298" i="5"/>
  <c r="S298" i="5"/>
  <c r="T297" i="5"/>
  <c r="S297" i="5"/>
  <c r="T296" i="5"/>
  <c r="S296" i="5"/>
  <c r="T295" i="5"/>
  <c r="S295" i="5"/>
  <c r="T294" i="5"/>
  <c r="S294" i="5"/>
  <c r="T293" i="5"/>
  <c r="S293" i="5"/>
  <c r="T292" i="5"/>
  <c r="S292" i="5"/>
  <c r="T291" i="5"/>
  <c r="S291" i="5"/>
  <c r="T290" i="5"/>
  <c r="S290" i="5"/>
  <c r="T289" i="5"/>
  <c r="S289" i="5"/>
  <c r="T288" i="5"/>
  <c r="S288" i="5"/>
  <c r="T287" i="5"/>
  <c r="S287" i="5"/>
  <c r="T286" i="5"/>
  <c r="S286" i="5"/>
  <c r="T285" i="5"/>
  <c r="S285" i="5"/>
  <c r="T284" i="5"/>
  <c r="S284" i="5"/>
  <c r="T283" i="5"/>
  <c r="S283" i="5"/>
  <c r="T282" i="5"/>
  <c r="S282" i="5"/>
  <c r="T281" i="5"/>
  <c r="S281" i="5"/>
  <c r="T280" i="5"/>
  <c r="S280" i="5"/>
  <c r="T279" i="5"/>
  <c r="S279" i="5"/>
  <c r="T278" i="5"/>
  <c r="S278" i="5"/>
  <c r="T277" i="5"/>
  <c r="S277" i="5"/>
  <c r="T276" i="5"/>
  <c r="S276" i="5"/>
  <c r="T275" i="5"/>
  <c r="S275" i="5"/>
  <c r="T274" i="5"/>
  <c r="S274" i="5"/>
  <c r="T273" i="5"/>
  <c r="S273" i="5"/>
  <c r="T272" i="5"/>
  <c r="S272" i="5"/>
  <c r="T271" i="5"/>
  <c r="S271" i="5"/>
  <c r="T270" i="5"/>
  <c r="S270" i="5"/>
  <c r="T269" i="5"/>
  <c r="S269" i="5"/>
  <c r="T268" i="5"/>
  <c r="S268" i="5"/>
  <c r="T267" i="5"/>
  <c r="S267" i="5"/>
  <c r="T266" i="5"/>
  <c r="S266" i="5"/>
  <c r="T265" i="5"/>
  <c r="S265" i="5"/>
  <c r="T264" i="5"/>
  <c r="S264" i="5"/>
  <c r="T263" i="5"/>
  <c r="S263" i="5"/>
  <c r="T262" i="5"/>
  <c r="S262" i="5"/>
  <c r="T261" i="5"/>
  <c r="S261" i="5"/>
  <c r="T260" i="5"/>
  <c r="S260" i="5"/>
  <c r="T259" i="5"/>
  <c r="S259" i="5"/>
  <c r="T258" i="5"/>
  <c r="S258" i="5"/>
  <c r="T257" i="5"/>
  <c r="S257" i="5"/>
  <c r="T256" i="5"/>
  <c r="S256" i="5"/>
  <c r="T255" i="5"/>
  <c r="S255" i="5"/>
  <c r="T254" i="5"/>
  <c r="S254" i="5"/>
  <c r="T253" i="5"/>
  <c r="S253" i="5"/>
  <c r="T252" i="5"/>
  <c r="S252" i="5"/>
  <c r="T251" i="5"/>
  <c r="S251" i="5"/>
  <c r="T250" i="5"/>
  <c r="S250" i="5"/>
  <c r="T249" i="5"/>
  <c r="S249" i="5"/>
  <c r="T248" i="5"/>
  <c r="S248" i="5"/>
  <c r="T247" i="5"/>
  <c r="S247" i="5"/>
  <c r="T246" i="5"/>
  <c r="S246" i="5"/>
  <c r="T245" i="5"/>
  <c r="S245" i="5"/>
  <c r="T244" i="5"/>
  <c r="S244" i="5"/>
  <c r="T243" i="5"/>
  <c r="S243" i="5"/>
  <c r="T242" i="5"/>
  <c r="S242" i="5"/>
  <c r="T241" i="5"/>
  <c r="S241" i="5"/>
  <c r="T240" i="5"/>
  <c r="S240" i="5"/>
  <c r="T239" i="5"/>
  <c r="S239" i="5"/>
  <c r="T238" i="5"/>
  <c r="S238" i="5"/>
  <c r="T237" i="5"/>
  <c r="S237" i="5"/>
  <c r="T236" i="5"/>
  <c r="S236" i="5"/>
  <c r="T235" i="5"/>
  <c r="S235" i="5"/>
  <c r="T234" i="5"/>
  <c r="S234" i="5"/>
  <c r="T233" i="5"/>
  <c r="S233" i="5"/>
  <c r="T232" i="5"/>
  <c r="S232" i="5"/>
  <c r="T231" i="5"/>
  <c r="S231" i="5"/>
  <c r="T230" i="5"/>
  <c r="S230" i="5"/>
  <c r="T229" i="5"/>
  <c r="S229" i="5"/>
  <c r="T228" i="5"/>
  <c r="S228" i="5"/>
  <c r="T227" i="5"/>
  <c r="S227" i="5"/>
  <c r="T226" i="5"/>
  <c r="S226" i="5"/>
  <c r="T225" i="5"/>
  <c r="S225" i="5"/>
  <c r="T224" i="5"/>
  <c r="S224" i="5"/>
  <c r="T223" i="5"/>
  <c r="S223" i="5"/>
  <c r="T222" i="5"/>
  <c r="S222" i="5"/>
  <c r="T221" i="5"/>
  <c r="S221" i="5"/>
  <c r="T220" i="5"/>
  <c r="S220" i="5"/>
  <c r="T219" i="5"/>
  <c r="S219" i="5"/>
  <c r="T218" i="5"/>
  <c r="S218" i="5"/>
  <c r="T217" i="5"/>
  <c r="S217" i="5"/>
  <c r="T216" i="5"/>
  <c r="S216" i="5"/>
  <c r="T215" i="5"/>
  <c r="S215" i="5"/>
  <c r="T214" i="5"/>
  <c r="S214" i="5"/>
  <c r="T213" i="5"/>
  <c r="S213" i="5"/>
  <c r="T212" i="5"/>
  <c r="S212" i="5"/>
  <c r="T211" i="5"/>
  <c r="S211" i="5"/>
  <c r="T210" i="5"/>
  <c r="S210" i="5"/>
  <c r="T209" i="5"/>
  <c r="S209" i="5"/>
  <c r="T208" i="5"/>
  <c r="S208" i="5"/>
  <c r="T207" i="5"/>
  <c r="S207" i="5"/>
  <c r="T206" i="5"/>
  <c r="S206" i="5"/>
  <c r="T205" i="5"/>
  <c r="S205" i="5"/>
  <c r="T204" i="5"/>
  <c r="S204" i="5"/>
  <c r="T203" i="5"/>
  <c r="S203" i="5"/>
  <c r="T202" i="5"/>
  <c r="S202" i="5"/>
  <c r="T201" i="5"/>
  <c r="S201" i="5"/>
  <c r="T200" i="5"/>
  <c r="S200" i="5"/>
  <c r="T199" i="5"/>
  <c r="S199" i="5"/>
  <c r="T198" i="5"/>
  <c r="S198" i="5"/>
  <c r="T197" i="5"/>
  <c r="S197" i="5"/>
  <c r="T196" i="5"/>
  <c r="S196" i="5"/>
  <c r="T195" i="5"/>
  <c r="S195" i="5"/>
  <c r="T194" i="5"/>
  <c r="S194" i="5"/>
  <c r="T193" i="5"/>
  <c r="S193" i="5"/>
  <c r="T192" i="5"/>
  <c r="S192" i="5"/>
  <c r="T191" i="5"/>
  <c r="S191" i="5"/>
  <c r="T190" i="5"/>
  <c r="S190" i="5"/>
  <c r="T189" i="5"/>
  <c r="S189" i="5"/>
  <c r="T188" i="5"/>
  <c r="S188" i="5"/>
  <c r="T187" i="5"/>
  <c r="S187" i="5"/>
  <c r="T186" i="5"/>
  <c r="S186" i="5"/>
  <c r="T185" i="5"/>
  <c r="S185" i="5"/>
  <c r="T184" i="5"/>
  <c r="S184" i="5"/>
  <c r="T183" i="5"/>
  <c r="S183" i="5"/>
  <c r="T182" i="5"/>
  <c r="S182" i="5"/>
  <c r="T181" i="5"/>
  <c r="S181" i="5"/>
  <c r="T180" i="5"/>
  <c r="S180" i="5"/>
  <c r="T179" i="5"/>
  <c r="S179" i="5"/>
  <c r="T178" i="5"/>
  <c r="S178" i="5"/>
  <c r="T177" i="5"/>
  <c r="S177" i="5"/>
  <c r="T176" i="5"/>
  <c r="S176" i="5"/>
  <c r="T175" i="5"/>
  <c r="S175" i="5"/>
  <c r="T174" i="5"/>
  <c r="S174" i="5"/>
  <c r="T173" i="5"/>
  <c r="S173" i="5"/>
  <c r="T172" i="5"/>
  <c r="S172" i="5"/>
  <c r="T171" i="5"/>
  <c r="S171" i="5"/>
  <c r="T170" i="5"/>
  <c r="S170" i="5"/>
  <c r="T169" i="5"/>
  <c r="S169" i="5"/>
  <c r="T168" i="5"/>
  <c r="S168" i="5"/>
  <c r="T167" i="5"/>
  <c r="S167" i="5"/>
  <c r="T166" i="5"/>
  <c r="S166" i="5"/>
  <c r="T165" i="5"/>
  <c r="S165" i="5"/>
  <c r="T164" i="5"/>
  <c r="S164" i="5"/>
  <c r="T163" i="5"/>
  <c r="S163" i="5"/>
  <c r="T162" i="5"/>
  <c r="S162" i="5"/>
  <c r="T161" i="5"/>
  <c r="S161" i="5"/>
  <c r="T160" i="5"/>
  <c r="S160" i="5"/>
  <c r="T159" i="5"/>
  <c r="S159" i="5"/>
  <c r="T158" i="5"/>
  <c r="S158" i="5"/>
  <c r="T157" i="5"/>
  <c r="S157" i="5"/>
  <c r="T156" i="5"/>
  <c r="S156" i="5"/>
  <c r="T155" i="5"/>
  <c r="S155" i="5"/>
  <c r="T154" i="5"/>
  <c r="S154" i="5"/>
  <c r="T153" i="5"/>
  <c r="S153" i="5"/>
  <c r="T152" i="5"/>
  <c r="S152" i="5"/>
  <c r="T151" i="5"/>
  <c r="S151" i="5"/>
  <c r="T150" i="5"/>
  <c r="S150" i="5"/>
  <c r="T149" i="5"/>
  <c r="S149" i="5"/>
  <c r="T148" i="5"/>
  <c r="S148" i="5"/>
  <c r="T147" i="5"/>
  <c r="S147" i="5"/>
  <c r="T146" i="5"/>
  <c r="S146" i="5"/>
  <c r="T145" i="5"/>
  <c r="S145" i="5"/>
  <c r="T144" i="5"/>
  <c r="S144" i="5"/>
  <c r="T143" i="5"/>
  <c r="S143" i="5"/>
  <c r="T142" i="5"/>
  <c r="S142" i="5"/>
  <c r="T141" i="5"/>
  <c r="S141" i="5"/>
  <c r="T140" i="5"/>
  <c r="S140" i="5"/>
  <c r="T139" i="5"/>
  <c r="S139" i="5"/>
  <c r="T138" i="5"/>
  <c r="S138" i="5"/>
  <c r="T137" i="5"/>
  <c r="S137" i="5"/>
  <c r="T136" i="5"/>
  <c r="S136" i="5"/>
  <c r="T135" i="5"/>
  <c r="S135" i="5"/>
  <c r="T134" i="5"/>
  <c r="S134" i="5"/>
  <c r="T133" i="5"/>
  <c r="S133" i="5"/>
  <c r="T132" i="5"/>
  <c r="S132" i="5"/>
  <c r="T131" i="5"/>
  <c r="S131" i="5"/>
  <c r="T130" i="5"/>
  <c r="S130" i="5"/>
  <c r="T129" i="5"/>
  <c r="S129" i="5"/>
  <c r="T128" i="5"/>
  <c r="S128" i="5"/>
  <c r="T127" i="5"/>
  <c r="S127" i="5"/>
  <c r="T126" i="5"/>
  <c r="S126" i="5"/>
  <c r="T125" i="5"/>
  <c r="S125" i="5"/>
  <c r="T124" i="5"/>
  <c r="S124" i="5"/>
  <c r="T123" i="5"/>
  <c r="S123" i="5"/>
  <c r="T122" i="5"/>
  <c r="S122" i="5"/>
  <c r="T121" i="5"/>
  <c r="S121" i="5"/>
  <c r="T120" i="5"/>
  <c r="S120" i="5"/>
  <c r="T119" i="5"/>
  <c r="S119" i="5"/>
  <c r="T118" i="5"/>
  <c r="S118" i="5"/>
  <c r="T117" i="5"/>
  <c r="S117" i="5"/>
  <c r="T116" i="5"/>
  <c r="S116" i="5"/>
  <c r="T115" i="5"/>
  <c r="S115" i="5"/>
  <c r="T114" i="5"/>
  <c r="S114" i="5"/>
  <c r="T113" i="5"/>
  <c r="S113" i="5"/>
  <c r="T112" i="5"/>
  <c r="S112" i="5"/>
  <c r="T111" i="5"/>
  <c r="S111" i="5"/>
  <c r="T110" i="5"/>
  <c r="S110" i="5"/>
  <c r="T109" i="5"/>
  <c r="S109" i="5"/>
  <c r="T108" i="5"/>
  <c r="S108" i="5"/>
  <c r="T107" i="5"/>
  <c r="S107" i="5"/>
  <c r="T106" i="5"/>
  <c r="S106" i="5"/>
  <c r="T105" i="5"/>
  <c r="S105" i="5"/>
  <c r="T104" i="5"/>
  <c r="S104" i="5"/>
  <c r="T103" i="5"/>
  <c r="S103" i="5"/>
  <c r="T102" i="5"/>
  <c r="S102" i="5"/>
  <c r="T101" i="5"/>
  <c r="S101" i="5"/>
  <c r="T100" i="5"/>
  <c r="S100" i="5"/>
  <c r="T99" i="5"/>
  <c r="S99" i="5"/>
  <c r="T98" i="5"/>
  <c r="S98" i="5"/>
  <c r="T97" i="5"/>
  <c r="S97" i="5"/>
  <c r="T96" i="5"/>
  <c r="S96" i="5"/>
  <c r="T95" i="5"/>
  <c r="S95" i="5"/>
  <c r="T94" i="5"/>
  <c r="S94" i="5"/>
  <c r="T93" i="5"/>
  <c r="S93" i="5"/>
  <c r="T92" i="5"/>
  <c r="S92" i="5"/>
  <c r="T91" i="5"/>
  <c r="S91" i="5"/>
  <c r="T90" i="5"/>
  <c r="S90" i="5"/>
  <c r="T89" i="5"/>
  <c r="S89" i="5"/>
  <c r="T88" i="5"/>
  <c r="S88" i="5"/>
  <c r="T87" i="5"/>
  <c r="S87" i="5"/>
  <c r="T86" i="5"/>
  <c r="S86" i="5"/>
  <c r="T85" i="5"/>
  <c r="S85" i="5"/>
  <c r="T84" i="5"/>
  <c r="S84" i="5"/>
  <c r="T83" i="5"/>
  <c r="S83" i="5"/>
  <c r="T82" i="5"/>
  <c r="S82" i="5"/>
  <c r="T81" i="5"/>
  <c r="S81" i="5"/>
  <c r="T80" i="5"/>
  <c r="S80" i="5"/>
  <c r="T79" i="5"/>
  <c r="S79" i="5"/>
  <c r="T78" i="5"/>
  <c r="S78" i="5"/>
  <c r="T77" i="5"/>
  <c r="S77" i="5"/>
  <c r="T76" i="5"/>
  <c r="S76" i="5"/>
  <c r="T75" i="5"/>
  <c r="S75" i="5"/>
  <c r="T74" i="5"/>
  <c r="S74" i="5"/>
  <c r="T73" i="5"/>
  <c r="S73" i="5"/>
  <c r="T72" i="5"/>
  <c r="S72" i="5"/>
  <c r="T71" i="5"/>
  <c r="S71" i="5"/>
  <c r="T70" i="5"/>
  <c r="S70" i="5"/>
  <c r="T69" i="5"/>
  <c r="S69" i="5"/>
  <c r="T68" i="5"/>
  <c r="S68" i="5"/>
  <c r="T67" i="5"/>
  <c r="S67" i="5"/>
  <c r="T66" i="5"/>
  <c r="S66" i="5"/>
  <c r="T65" i="5"/>
  <c r="S65" i="5"/>
  <c r="T64" i="5"/>
  <c r="S64" i="5"/>
  <c r="T63" i="5"/>
  <c r="S63" i="5"/>
  <c r="T62" i="5"/>
  <c r="S62" i="5"/>
  <c r="T61" i="5"/>
  <c r="S61" i="5"/>
  <c r="T60" i="5"/>
  <c r="S60" i="5"/>
  <c r="T59" i="5"/>
  <c r="S59" i="5"/>
  <c r="T58" i="5"/>
  <c r="S58" i="5"/>
  <c r="T57" i="5"/>
  <c r="S57" i="5"/>
  <c r="T56" i="5"/>
  <c r="S56" i="5"/>
  <c r="T55" i="5"/>
  <c r="S55" i="5"/>
  <c r="T54" i="5"/>
  <c r="S54" i="5"/>
  <c r="T53" i="5"/>
  <c r="S53" i="5"/>
  <c r="T52" i="5"/>
  <c r="S52" i="5"/>
  <c r="T51" i="5"/>
  <c r="S51" i="5"/>
  <c r="T50" i="5"/>
  <c r="S50" i="5"/>
  <c r="T49" i="5"/>
  <c r="S49" i="5"/>
  <c r="T48" i="5"/>
  <c r="S48" i="5"/>
  <c r="T47" i="5"/>
  <c r="S47" i="5"/>
  <c r="T46" i="5"/>
  <c r="S46" i="5"/>
  <c r="T45" i="5"/>
  <c r="S45" i="5"/>
  <c r="T44" i="5"/>
  <c r="S44" i="5"/>
  <c r="T43" i="5"/>
  <c r="S43" i="5"/>
  <c r="T42" i="5"/>
  <c r="S42" i="5"/>
  <c r="T41" i="5"/>
  <c r="S41" i="5"/>
  <c r="T40" i="5"/>
  <c r="S40" i="5"/>
  <c r="T39" i="5"/>
  <c r="S39" i="5"/>
  <c r="T38" i="5"/>
  <c r="S38" i="5"/>
  <c r="T37" i="5"/>
  <c r="S37" i="5"/>
  <c r="T36" i="5"/>
  <c r="S36" i="5"/>
  <c r="T35" i="5"/>
  <c r="S35" i="5"/>
  <c r="T34" i="5"/>
  <c r="S34" i="5"/>
  <c r="T33" i="5"/>
  <c r="S33" i="5"/>
  <c r="T32" i="5"/>
  <c r="S32" i="5"/>
  <c r="T31" i="5"/>
  <c r="S31" i="5"/>
  <c r="T30" i="5"/>
  <c r="S30" i="5"/>
  <c r="T29" i="5"/>
  <c r="S29" i="5"/>
  <c r="T28" i="5"/>
  <c r="S28" i="5"/>
  <c r="T27" i="5"/>
  <c r="S27" i="5"/>
  <c r="T26" i="5"/>
  <c r="S26" i="5"/>
  <c r="T25" i="5"/>
  <c r="S25" i="5"/>
  <c r="T24" i="5"/>
  <c r="S24" i="5"/>
  <c r="T23" i="5"/>
  <c r="S23" i="5"/>
  <c r="T22" i="5"/>
  <c r="S22" i="5"/>
  <c r="T21" i="5"/>
  <c r="S21" i="5"/>
  <c r="T20" i="5"/>
  <c r="S20" i="5"/>
  <c r="T19" i="5"/>
  <c r="S19" i="5"/>
  <c r="T18" i="5"/>
  <c r="S18" i="5"/>
  <c r="T17" i="5"/>
  <c r="S17" i="5"/>
  <c r="T16" i="5"/>
  <c r="S16" i="5"/>
  <c r="T15" i="5"/>
  <c r="S15" i="5"/>
  <c r="T14" i="5"/>
  <c r="S14" i="5"/>
  <c r="T13" i="5"/>
  <c r="S13" i="5"/>
  <c r="T12" i="5"/>
  <c r="S12" i="5"/>
  <c r="T11" i="5"/>
  <c r="S11" i="5"/>
  <c r="T10" i="5"/>
  <c r="S10" i="5"/>
  <c r="T9" i="5"/>
  <c r="S9" i="5"/>
  <c r="T8" i="5"/>
  <c r="S8" i="5"/>
  <c r="T7" i="5"/>
  <c r="S7" i="5"/>
  <c r="T6" i="5"/>
  <c r="S6" i="5"/>
  <c r="T5" i="5"/>
  <c r="S5" i="5"/>
  <c r="T4" i="5"/>
  <c r="S4" i="5"/>
  <c r="T3" i="5"/>
  <c r="S3" i="5"/>
  <c r="T2" i="5"/>
  <c r="N2" i="5" l="1"/>
  <c r="V479" i="5"/>
  <c r="U473" i="5"/>
  <c r="U233" i="5"/>
  <c r="U197" i="5"/>
  <c r="U161" i="5"/>
  <c r="U125" i="5"/>
  <c r="U89" i="5"/>
  <c r="N484" i="5"/>
  <c r="M484" i="5"/>
  <c r="J484" i="5"/>
  <c r="I484" i="5"/>
  <c r="H484" i="5"/>
  <c r="G484" i="5"/>
  <c r="N483" i="5"/>
  <c r="M483" i="5"/>
  <c r="J483" i="5"/>
  <c r="I483" i="5"/>
  <c r="H483" i="5"/>
  <c r="G483" i="5"/>
  <c r="N482" i="5"/>
  <c r="M482" i="5"/>
  <c r="J482" i="5"/>
  <c r="I482" i="5"/>
  <c r="H482" i="5"/>
  <c r="G482" i="5"/>
  <c r="N481" i="5"/>
  <c r="M481" i="5"/>
  <c r="J481" i="5"/>
  <c r="I481" i="5"/>
  <c r="H481" i="5"/>
  <c r="G481" i="5"/>
  <c r="N480" i="5"/>
  <c r="M480" i="5"/>
  <c r="J480" i="5"/>
  <c r="I480" i="5"/>
  <c r="H480" i="5"/>
  <c r="G480" i="5"/>
  <c r="N479" i="5"/>
  <c r="M479" i="5"/>
  <c r="J479" i="5"/>
  <c r="I479" i="5"/>
  <c r="H479" i="5"/>
  <c r="G479" i="5"/>
  <c r="N478" i="5"/>
  <c r="M478" i="5"/>
  <c r="J478" i="5"/>
  <c r="I478" i="5"/>
  <c r="H478" i="5"/>
  <c r="G478" i="5"/>
  <c r="N477" i="5"/>
  <c r="M477" i="5"/>
  <c r="J477" i="5"/>
  <c r="I477" i="5"/>
  <c r="H477" i="5"/>
  <c r="G477" i="5"/>
  <c r="N476" i="5"/>
  <c r="M476" i="5"/>
  <c r="J476" i="5"/>
  <c r="I476" i="5"/>
  <c r="H476" i="5"/>
  <c r="G476" i="5"/>
  <c r="N475" i="5"/>
  <c r="M475" i="5"/>
  <c r="J475" i="5"/>
  <c r="I475" i="5"/>
  <c r="H475" i="5"/>
  <c r="G475" i="5"/>
  <c r="N474" i="5"/>
  <c r="M474" i="5"/>
  <c r="J474" i="5"/>
  <c r="I474" i="5"/>
  <c r="H474" i="5"/>
  <c r="G474" i="5"/>
  <c r="N473" i="5"/>
  <c r="M473" i="5"/>
  <c r="J473" i="5"/>
  <c r="I473" i="5"/>
  <c r="H473" i="5"/>
  <c r="G473" i="5"/>
  <c r="N472" i="5"/>
  <c r="M472" i="5"/>
  <c r="J472" i="5"/>
  <c r="I472" i="5"/>
  <c r="H472" i="5"/>
  <c r="G472" i="5"/>
  <c r="N471" i="5"/>
  <c r="M471" i="5"/>
  <c r="J471" i="5"/>
  <c r="I471" i="5"/>
  <c r="H471" i="5"/>
  <c r="G471" i="5"/>
  <c r="N470" i="5"/>
  <c r="M470" i="5"/>
  <c r="J470" i="5"/>
  <c r="I470" i="5"/>
  <c r="H470" i="5"/>
  <c r="G470" i="5"/>
  <c r="N469" i="5"/>
  <c r="M469" i="5"/>
  <c r="J469" i="5"/>
  <c r="I469" i="5"/>
  <c r="H469" i="5"/>
  <c r="G469" i="5"/>
  <c r="N468" i="5"/>
  <c r="M468" i="5"/>
  <c r="J468" i="5"/>
  <c r="I468" i="5"/>
  <c r="H468" i="5"/>
  <c r="G468" i="5"/>
  <c r="N467" i="5"/>
  <c r="M467" i="5"/>
  <c r="J467" i="5"/>
  <c r="I467" i="5"/>
  <c r="H467" i="5"/>
  <c r="G467" i="5"/>
  <c r="N466" i="5"/>
  <c r="M466" i="5"/>
  <c r="J466" i="5"/>
  <c r="I466" i="5"/>
  <c r="H466" i="5"/>
  <c r="G466" i="5"/>
  <c r="N465" i="5"/>
  <c r="M465" i="5"/>
  <c r="J465" i="5"/>
  <c r="I465" i="5"/>
  <c r="H465" i="5"/>
  <c r="G465" i="5"/>
  <c r="N464" i="5"/>
  <c r="M464" i="5"/>
  <c r="J464" i="5"/>
  <c r="I464" i="5"/>
  <c r="H464" i="5"/>
  <c r="G464" i="5"/>
  <c r="N463" i="5"/>
  <c r="M463" i="5"/>
  <c r="J463" i="5"/>
  <c r="I463" i="5"/>
  <c r="H463" i="5"/>
  <c r="G463" i="5"/>
  <c r="N462" i="5"/>
  <c r="M462" i="5"/>
  <c r="J462" i="5"/>
  <c r="I462" i="5"/>
  <c r="H462" i="5"/>
  <c r="G462" i="5"/>
  <c r="N461" i="5"/>
  <c r="M461" i="5"/>
  <c r="J461" i="5"/>
  <c r="I461" i="5"/>
  <c r="H461" i="5"/>
  <c r="G461" i="5"/>
  <c r="N460" i="5"/>
  <c r="M460" i="5"/>
  <c r="J460" i="5"/>
  <c r="I460" i="5"/>
  <c r="H460" i="5"/>
  <c r="G460" i="5"/>
  <c r="N459" i="5"/>
  <c r="M459" i="5"/>
  <c r="J459" i="5"/>
  <c r="I459" i="5"/>
  <c r="H459" i="5"/>
  <c r="G459" i="5"/>
  <c r="N458" i="5"/>
  <c r="M458" i="5"/>
  <c r="J458" i="5"/>
  <c r="I458" i="5"/>
  <c r="H458" i="5"/>
  <c r="G458" i="5"/>
  <c r="N457" i="5"/>
  <c r="M457" i="5"/>
  <c r="J457" i="5"/>
  <c r="I457" i="5"/>
  <c r="H457" i="5"/>
  <c r="G457" i="5"/>
  <c r="N456" i="5"/>
  <c r="M456" i="5"/>
  <c r="J456" i="5"/>
  <c r="I456" i="5"/>
  <c r="H456" i="5"/>
  <c r="G456" i="5"/>
  <c r="N455" i="5"/>
  <c r="M455" i="5"/>
  <c r="J455" i="5"/>
  <c r="I455" i="5"/>
  <c r="H455" i="5"/>
  <c r="G455" i="5"/>
  <c r="N454" i="5"/>
  <c r="M454" i="5"/>
  <c r="J454" i="5"/>
  <c r="I454" i="5"/>
  <c r="H454" i="5"/>
  <c r="G454" i="5"/>
  <c r="N453" i="5"/>
  <c r="M453" i="5"/>
  <c r="J453" i="5"/>
  <c r="I453" i="5"/>
  <c r="H453" i="5"/>
  <c r="G453" i="5"/>
  <c r="N452" i="5"/>
  <c r="M452" i="5"/>
  <c r="J452" i="5"/>
  <c r="I452" i="5"/>
  <c r="H452" i="5"/>
  <c r="G452" i="5"/>
  <c r="N451" i="5"/>
  <c r="M451" i="5"/>
  <c r="J451" i="5"/>
  <c r="I451" i="5"/>
  <c r="H451" i="5"/>
  <c r="G451" i="5"/>
  <c r="N450" i="5"/>
  <c r="M450" i="5"/>
  <c r="J450" i="5"/>
  <c r="I450" i="5"/>
  <c r="H450" i="5"/>
  <c r="G450" i="5"/>
  <c r="N449" i="5"/>
  <c r="M449" i="5"/>
  <c r="J449" i="5"/>
  <c r="I449" i="5"/>
  <c r="H449" i="5"/>
  <c r="G449" i="5"/>
  <c r="N448" i="5"/>
  <c r="M448" i="5"/>
  <c r="J448" i="5"/>
  <c r="I448" i="5"/>
  <c r="H448" i="5"/>
  <c r="G448" i="5"/>
  <c r="N447" i="5"/>
  <c r="M447" i="5"/>
  <c r="J447" i="5"/>
  <c r="I447" i="5"/>
  <c r="H447" i="5"/>
  <c r="G447" i="5"/>
  <c r="N446" i="5"/>
  <c r="M446" i="5"/>
  <c r="J446" i="5"/>
  <c r="I446" i="5"/>
  <c r="H446" i="5"/>
  <c r="G446" i="5"/>
  <c r="N445" i="5"/>
  <c r="M445" i="5"/>
  <c r="J445" i="5"/>
  <c r="I445" i="5"/>
  <c r="H445" i="5"/>
  <c r="G445" i="5"/>
  <c r="N444" i="5"/>
  <c r="M444" i="5"/>
  <c r="J444" i="5"/>
  <c r="I444" i="5"/>
  <c r="H444" i="5"/>
  <c r="G444" i="5"/>
  <c r="N443" i="5"/>
  <c r="M443" i="5"/>
  <c r="J443" i="5"/>
  <c r="I443" i="5"/>
  <c r="H443" i="5"/>
  <c r="G443" i="5"/>
  <c r="N442" i="5"/>
  <c r="M442" i="5"/>
  <c r="J442" i="5"/>
  <c r="I442" i="5"/>
  <c r="H442" i="5"/>
  <c r="G442" i="5"/>
  <c r="N441" i="5"/>
  <c r="M441" i="5"/>
  <c r="J441" i="5"/>
  <c r="I441" i="5"/>
  <c r="H441" i="5"/>
  <c r="G441" i="5"/>
  <c r="N440" i="5"/>
  <c r="M440" i="5"/>
  <c r="J440" i="5"/>
  <c r="I440" i="5"/>
  <c r="H440" i="5"/>
  <c r="G440" i="5"/>
  <c r="N439" i="5"/>
  <c r="M439" i="5"/>
  <c r="J439" i="5"/>
  <c r="I439" i="5"/>
  <c r="H439" i="5"/>
  <c r="G439" i="5"/>
  <c r="N438" i="5"/>
  <c r="M438" i="5"/>
  <c r="J438" i="5"/>
  <c r="I438" i="5"/>
  <c r="H438" i="5"/>
  <c r="G438" i="5"/>
  <c r="N437" i="5"/>
  <c r="M437" i="5"/>
  <c r="J437" i="5"/>
  <c r="I437" i="5"/>
  <c r="H437" i="5"/>
  <c r="G437" i="5"/>
  <c r="N436" i="5"/>
  <c r="M436" i="5"/>
  <c r="J436" i="5"/>
  <c r="I436" i="5"/>
  <c r="H436" i="5"/>
  <c r="G436" i="5"/>
  <c r="N435" i="5"/>
  <c r="M435" i="5"/>
  <c r="J435" i="5"/>
  <c r="I435" i="5"/>
  <c r="H435" i="5"/>
  <c r="G435" i="5"/>
  <c r="N434" i="5"/>
  <c r="M434" i="5"/>
  <c r="J434" i="5"/>
  <c r="I434" i="5"/>
  <c r="H434" i="5"/>
  <c r="G434" i="5"/>
  <c r="N433" i="5"/>
  <c r="M433" i="5"/>
  <c r="J433" i="5"/>
  <c r="I433" i="5"/>
  <c r="H433" i="5"/>
  <c r="G433" i="5"/>
  <c r="N432" i="5"/>
  <c r="M432" i="5"/>
  <c r="J432" i="5"/>
  <c r="I432" i="5"/>
  <c r="H432" i="5"/>
  <c r="G432" i="5"/>
  <c r="N431" i="5"/>
  <c r="M431" i="5"/>
  <c r="J431" i="5"/>
  <c r="I431" i="5"/>
  <c r="H431" i="5"/>
  <c r="G431" i="5"/>
  <c r="N430" i="5"/>
  <c r="M430" i="5"/>
  <c r="J430" i="5"/>
  <c r="I430" i="5"/>
  <c r="H430" i="5"/>
  <c r="G430" i="5"/>
  <c r="N429" i="5"/>
  <c r="M429" i="5"/>
  <c r="J429" i="5"/>
  <c r="I429" i="5"/>
  <c r="H429" i="5"/>
  <c r="G429" i="5"/>
  <c r="N428" i="5"/>
  <c r="M428" i="5"/>
  <c r="J428" i="5"/>
  <c r="I428" i="5"/>
  <c r="H428" i="5"/>
  <c r="G428" i="5"/>
  <c r="N427" i="5"/>
  <c r="M427" i="5"/>
  <c r="J427" i="5"/>
  <c r="I427" i="5"/>
  <c r="H427" i="5"/>
  <c r="G427" i="5"/>
  <c r="N426" i="5"/>
  <c r="M426" i="5"/>
  <c r="J426" i="5"/>
  <c r="I426" i="5"/>
  <c r="H426" i="5"/>
  <c r="G426" i="5"/>
  <c r="N425" i="5"/>
  <c r="M425" i="5"/>
  <c r="J425" i="5"/>
  <c r="I425" i="5"/>
  <c r="H425" i="5"/>
  <c r="G425" i="5"/>
  <c r="N424" i="5"/>
  <c r="M424" i="5"/>
  <c r="J424" i="5"/>
  <c r="I424" i="5"/>
  <c r="H424" i="5"/>
  <c r="G424" i="5"/>
  <c r="N423" i="5"/>
  <c r="M423" i="5"/>
  <c r="J423" i="5"/>
  <c r="I423" i="5"/>
  <c r="H423" i="5"/>
  <c r="G423" i="5"/>
  <c r="N422" i="5"/>
  <c r="M422" i="5"/>
  <c r="J422" i="5"/>
  <c r="I422" i="5"/>
  <c r="H422" i="5"/>
  <c r="G422" i="5"/>
  <c r="N421" i="5"/>
  <c r="M421" i="5"/>
  <c r="J421" i="5"/>
  <c r="I421" i="5"/>
  <c r="H421" i="5"/>
  <c r="G421" i="5"/>
  <c r="N420" i="5"/>
  <c r="M420" i="5"/>
  <c r="J420" i="5"/>
  <c r="I420" i="5"/>
  <c r="H420" i="5"/>
  <c r="G420" i="5"/>
  <c r="N419" i="5"/>
  <c r="M419" i="5"/>
  <c r="J419" i="5"/>
  <c r="I419" i="5"/>
  <c r="H419" i="5"/>
  <c r="G419" i="5"/>
  <c r="N418" i="5"/>
  <c r="M418" i="5"/>
  <c r="J418" i="5"/>
  <c r="I418" i="5"/>
  <c r="H418" i="5"/>
  <c r="G418" i="5"/>
  <c r="N417" i="5"/>
  <c r="M417" i="5"/>
  <c r="J417" i="5"/>
  <c r="I417" i="5"/>
  <c r="H417" i="5"/>
  <c r="G417" i="5"/>
  <c r="N416" i="5"/>
  <c r="M416" i="5"/>
  <c r="J416" i="5"/>
  <c r="I416" i="5"/>
  <c r="H416" i="5"/>
  <c r="G416" i="5"/>
  <c r="N415" i="5"/>
  <c r="M415" i="5"/>
  <c r="J415" i="5"/>
  <c r="I415" i="5"/>
  <c r="H415" i="5"/>
  <c r="G415" i="5"/>
  <c r="N414" i="5"/>
  <c r="M414" i="5"/>
  <c r="J414" i="5"/>
  <c r="I414" i="5"/>
  <c r="H414" i="5"/>
  <c r="G414" i="5"/>
  <c r="N413" i="5"/>
  <c r="M413" i="5"/>
  <c r="J413" i="5"/>
  <c r="I413" i="5"/>
  <c r="H413" i="5"/>
  <c r="G413" i="5"/>
  <c r="N412" i="5"/>
  <c r="M412" i="5"/>
  <c r="J412" i="5"/>
  <c r="I412" i="5"/>
  <c r="H412" i="5"/>
  <c r="G412" i="5"/>
  <c r="N411" i="5"/>
  <c r="M411" i="5"/>
  <c r="J411" i="5"/>
  <c r="I411" i="5"/>
  <c r="H411" i="5"/>
  <c r="G411" i="5"/>
  <c r="N410" i="5"/>
  <c r="M410" i="5"/>
  <c r="J410" i="5"/>
  <c r="I410" i="5"/>
  <c r="H410" i="5"/>
  <c r="G410" i="5"/>
  <c r="N409" i="5"/>
  <c r="M409" i="5"/>
  <c r="J409" i="5"/>
  <c r="I409" i="5"/>
  <c r="H409" i="5"/>
  <c r="G409" i="5"/>
  <c r="N408" i="5"/>
  <c r="M408" i="5"/>
  <c r="J408" i="5"/>
  <c r="I408" i="5"/>
  <c r="H408" i="5"/>
  <c r="G408" i="5"/>
  <c r="N407" i="5"/>
  <c r="M407" i="5"/>
  <c r="J407" i="5"/>
  <c r="I407" i="5"/>
  <c r="H407" i="5"/>
  <c r="G407" i="5"/>
  <c r="N406" i="5"/>
  <c r="M406" i="5"/>
  <c r="J406" i="5"/>
  <c r="I406" i="5"/>
  <c r="H406" i="5"/>
  <c r="G406" i="5"/>
  <c r="N405" i="5"/>
  <c r="M405" i="5"/>
  <c r="J405" i="5"/>
  <c r="I405" i="5"/>
  <c r="H405" i="5"/>
  <c r="G405" i="5"/>
  <c r="N404" i="5"/>
  <c r="M404" i="5"/>
  <c r="J404" i="5"/>
  <c r="I404" i="5"/>
  <c r="H404" i="5"/>
  <c r="G404" i="5"/>
  <c r="N403" i="5"/>
  <c r="M403" i="5"/>
  <c r="J403" i="5"/>
  <c r="I403" i="5"/>
  <c r="H403" i="5"/>
  <c r="G403" i="5"/>
  <c r="N402" i="5"/>
  <c r="M402" i="5"/>
  <c r="J402" i="5"/>
  <c r="I402" i="5"/>
  <c r="H402" i="5"/>
  <c r="G402" i="5"/>
  <c r="N401" i="5"/>
  <c r="M401" i="5"/>
  <c r="J401" i="5"/>
  <c r="I401" i="5"/>
  <c r="H401" i="5"/>
  <c r="G401" i="5"/>
  <c r="N400" i="5"/>
  <c r="M400" i="5"/>
  <c r="J400" i="5"/>
  <c r="I400" i="5"/>
  <c r="H400" i="5"/>
  <c r="G400" i="5"/>
  <c r="N399" i="5"/>
  <c r="M399" i="5"/>
  <c r="J399" i="5"/>
  <c r="I399" i="5"/>
  <c r="H399" i="5"/>
  <c r="G399" i="5"/>
  <c r="N398" i="5"/>
  <c r="M398" i="5"/>
  <c r="J398" i="5"/>
  <c r="I398" i="5"/>
  <c r="H398" i="5"/>
  <c r="G398" i="5"/>
  <c r="N397" i="5"/>
  <c r="M397" i="5"/>
  <c r="J397" i="5"/>
  <c r="I397" i="5"/>
  <c r="H397" i="5"/>
  <c r="G397" i="5"/>
  <c r="N396" i="5"/>
  <c r="M396" i="5"/>
  <c r="J396" i="5"/>
  <c r="I396" i="5"/>
  <c r="H396" i="5"/>
  <c r="G396" i="5"/>
  <c r="N395" i="5"/>
  <c r="M395" i="5"/>
  <c r="J395" i="5"/>
  <c r="I395" i="5"/>
  <c r="H395" i="5"/>
  <c r="G395" i="5"/>
  <c r="N394" i="5"/>
  <c r="M394" i="5"/>
  <c r="J394" i="5"/>
  <c r="I394" i="5"/>
  <c r="H394" i="5"/>
  <c r="G394" i="5"/>
  <c r="N393" i="5"/>
  <c r="M393" i="5"/>
  <c r="J393" i="5"/>
  <c r="I393" i="5"/>
  <c r="H393" i="5"/>
  <c r="G393" i="5"/>
  <c r="N392" i="5"/>
  <c r="M392" i="5"/>
  <c r="J392" i="5"/>
  <c r="I392" i="5"/>
  <c r="H392" i="5"/>
  <c r="G392" i="5"/>
  <c r="N391" i="5"/>
  <c r="M391" i="5"/>
  <c r="J391" i="5"/>
  <c r="I391" i="5"/>
  <c r="H391" i="5"/>
  <c r="G391" i="5"/>
  <c r="N390" i="5"/>
  <c r="M390" i="5"/>
  <c r="J390" i="5"/>
  <c r="I390" i="5"/>
  <c r="H390" i="5"/>
  <c r="G390" i="5"/>
  <c r="N389" i="5"/>
  <c r="M389" i="5"/>
  <c r="J389" i="5"/>
  <c r="I389" i="5"/>
  <c r="H389" i="5"/>
  <c r="G389" i="5"/>
  <c r="N388" i="5"/>
  <c r="M388" i="5"/>
  <c r="J388" i="5"/>
  <c r="I388" i="5"/>
  <c r="H388" i="5"/>
  <c r="G388" i="5"/>
  <c r="N387" i="5"/>
  <c r="M387" i="5"/>
  <c r="J387" i="5"/>
  <c r="I387" i="5"/>
  <c r="H387" i="5"/>
  <c r="G387" i="5"/>
  <c r="N386" i="5"/>
  <c r="M386" i="5"/>
  <c r="J386" i="5"/>
  <c r="I386" i="5"/>
  <c r="H386" i="5"/>
  <c r="G386" i="5"/>
  <c r="N385" i="5"/>
  <c r="M385" i="5"/>
  <c r="J385" i="5"/>
  <c r="I385" i="5"/>
  <c r="H385" i="5"/>
  <c r="G385" i="5"/>
  <c r="N384" i="5"/>
  <c r="M384" i="5"/>
  <c r="J384" i="5"/>
  <c r="I384" i="5"/>
  <c r="H384" i="5"/>
  <c r="G384" i="5"/>
  <c r="N383" i="5"/>
  <c r="M383" i="5"/>
  <c r="J383" i="5"/>
  <c r="I383" i="5"/>
  <c r="H383" i="5"/>
  <c r="G383" i="5"/>
  <c r="N382" i="5"/>
  <c r="M382" i="5"/>
  <c r="J382" i="5"/>
  <c r="I382" i="5"/>
  <c r="H382" i="5"/>
  <c r="G382" i="5"/>
  <c r="N381" i="5"/>
  <c r="M381" i="5"/>
  <c r="J381" i="5"/>
  <c r="I381" i="5"/>
  <c r="H381" i="5"/>
  <c r="G381" i="5"/>
  <c r="N380" i="5"/>
  <c r="M380" i="5"/>
  <c r="J380" i="5"/>
  <c r="I380" i="5"/>
  <c r="H380" i="5"/>
  <c r="G380" i="5"/>
  <c r="N379" i="5"/>
  <c r="M379" i="5"/>
  <c r="J379" i="5"/>
  <c r="I379" i="5"/>
  <c r="H379" i="5"/>
  <c r="G379" i="5"/>
  <c r="N378" i="5"/>
  <c r="M378" i="5"/>
  <c r="J378" i="5"/>
  <c r="I378" i="5"/>
  <c r="H378" i="5"/>
  <c r="G378" i="5"/>
  <c r="N377" i="5"/>
  <c r="M377" i="5"/>
  <c r="J377" i="5"/>
  <c r="I377" i="5"/>
  <c r="H377" i="5"/>
  <c r="G377" i="5"/>
  <c r="N376" i="5"/>
  <c r="M376" i="5"/>
  <c r="J376" i="5"/>
  <c r="I376" i="5"/>
  <c r="H376" i="5"/>
  <c r="G376" i="5"/>
  <c r="N375" i="5"/>
  <c r="M375" i="5"/>
  <c r="J375" i="5"/>
  <c r="I375" i="5"/>
  <c r="H375" i="5"/>
  <c r="G375" i="5"/>
  <c r="N374" i="5"/>
  <c r="M374" i="5"/>
  <c r="J374" i="5"/>
  <c r="I374" i="5"/>
  <c r="H374" i="5"/>
  <c r="G374" i="5"/>
  <c r="N373" i="5"/>
  <c r="M373" i="5"/>
  <c r="J373" i="5"/>
  <c r="I373" i="5"/>
  <c r="H373" i="5"/>
  <c r="G373" i="5"/>
  <c r="N372" i="5"/>
  <c r="M372" i="5"/>
  <c r="J372" i="5"/>
  <c r="I372" i="5"/>
  <c r="H372" i="5"/>
  <c r="G372" i="5"/>
  <c r="N371" i="5"/>
  <c r="M371" i="5"/>
  <c r="J371" i="5"/>
  <c r="I371" i="5"/>
  <c r="H371" i="5"/>
  <c r="G371" i="5"/>
  <c r="N370" i="5"/>
  <c r="M370" i="5"/>
  <c r="J370" i="5"/>
  <c r="I370" i="5"/>
  <c r="H370" i="5"/>
  <c r="G370" i="5"/>
  <c r="N369" i="5"/>
  <c r="M369" i="5"/>
  <c r="J369" i="5"/>
  <c r="I369" i="5"/>
  <c r="H369" i="5"/>
  <c r="G369" i="5"/>
  <c r="N368" i="5"/>
  <c r="M368" i="5"/>
  <c r="J368" i="5"/>
  <c r="I368" i="5"/>
  <c r="H368" i="5"/>
  <c r="G368" i="5"/>
  <c r="N367" i="5"/>
  <c r="M367" i="5"/>
  <c r="J367" i="5"/>
  <c r="I367" i="5"/>
  <c r="H367" i="5"/>
  <c r="G367" i="5"/>
  <c r="N366" i="5"/>
  <c r="M366" i="5"/>
  <c r="J366" i="5"/>
  <c r="I366" i="5"/>
  <c r="H366" i="5"/>
  <c r="G366" i="5"/>
  <c r="N365" i="5"/>
  <c r="M365" i="5"/>
  <c r="J365" i="5"/>
  <c r="I365" i="5"/>
  <c r="H365" i="5"/>
  <c r="G365" i="5"/>
  <c r="N364" i="5"/>
  <c r="M364" i="5"/>
  <c r="J364" i="5"/>
  <c r="I364" i="5"/>
  <c r="H364" i="5"/>
  <c r="G364" i="5"/>
  <c r="N363" i="5"/>
  <c r="M363" i="5"/>
  <c r="J363" i="5"/>
  <c r="I363" i="5"/>
  <c r="H363" i="5"/>
  <c r="G363" i="5"/>
  <c r="N362" i="5"/>
  <c r="M362" i="5"/>
  <c r="J362" i="5"/>
  <c r="I362" i="5"/>
  <c r="H362" i="5"/>
  <c r="G362" i="5"/>
  <c r="N361" i="5"/>
  <c r="M361" i="5"/>
  <c r="J361" i="5"/>
  <c r="I361" i="5"/>
  <c r="H361" i="5"/>
  <c r="G361" i="5"/>
  <c r="N360" i="5"/>
  <c r="M360" i="5"/>
  <c r="J360" i="5"/>
  <c r="I360" i="5"/>
  <c r="H360" i="5"/>
  <c r="G360" i="5"/>
  <c r="N359" i="5"/>
  <c r="M359" i="5"/>
  <c r="J359" i="5"/>
  <c r="I359" i="5"/>
  <c r="H359" i="5"/>
  <c r="G359" i="5"/>
  <c r="N358" i="5"/>
  <c r="M358" i="5"/>
  <c r="J358" i="5"/>
  <c r="I358" i="5"/>
  <c r="H358" i="5"/>
  <c r="G358" i="5"/>
  <c r="N357" i="5"/>
  <c r="M357" i="5"/>
  <c r="J357" i="5"/>
  <c r="I357" i="5"/>
  <c r="H357" i="5"/>
  <c r="G357" i="5"/>
  <c r="N356" i="5"/>
  <c r="M356" i="5"/>
  <c r="J356" i="5"/>
  <c r="I356" i="5"/>
  <c r="H356" i="5"/>
  <c r="G356" i="5"/>
  <c r="N355" i="5"/>
  <c r="M355" i="5"/>
  <c r="J355" i="5"/>
  <c r="I355" i="5"/>
  <c r="H355" i="5"/>
  <c r="G355" i="5"/>
  <c r="N354" i="5"/>
  <c r="M354" i="5"/>
  <c r="J354" i="5"/>
  <c r="I354" i="5"/>
  <c r="H354" i="5"/>
  <c r="G354" i="5"/>
  <c r="N353" i="5"/>
  <c r="M353" i="5"/>
  <c r="J353" i="5"/>
  <c r="I353" i="5"/>
  <c r="H353" i="5"/>
  <c r="G353" i="5"/>
  <c r="N352" i="5"/>
  <c r="M352" i="5"/>
  <c r="J352" i="5"/>
  <c r="I352" i="5"/>
  <c r="H352" i="5"/>
  <c r="G352" i="5"/>
  <c r="N351" i="5"/>
  <c r="M351" i="5"/>
  <c r="J351" i="5"/>
  <c r="I351" i="5"/>
  <c r="H351" i="5"/>
  <c r="G351" i="5"/>
  <c r="N350" i="5"/>
  <c r="M350" i="5"/>
  <c r="J350" i="5"/>
  <c r="I350" i="5"/>
  <c r="H350" i="5"/>
  <c r="G350" i="5"/>
  <c r="N349" i="5"/>
  <c r="M349" i="5"/>
  <c r="J349" i="5"/>
  <c r="I349" i="5"/>
  <c r="H349" i="5"/>
  <c r="G349" i="5"/>
  <c r="N348" i="5"/>
  <c r="M348" i="5"/>
  <c r="J348" i="5"/>
  <c r="I348" i="5"/>
  <c r="H348" i="5"/>
  <c r="G348" i="5"/>
  <c r="N347" i="5"/>
  <c r="M347" i="5"/>
  <c r="J347" i="5"/>
  <c r="I347" i="5"/>
  <c r="H347" i="5"/>
  <c r="G347" i="5"/>
  <c r="N346" i="5"/>
  <c r="M346" i="5"/>
  <c r="J346" i="5"/>
  <c r="I346" i="5"/>
  <c r="H346" i="5"/>
  <c r="G346" i="5"/>
  <c r="N345" i="5"/>
  <c r="M345" i="5"/>
  <c r="J345" i="5"/>
  <c r="I345" i="5"/>
  <c r="H345" i="5"/>
  <c r="G345" i="5"/>
  <c r="N344" i="5"/>
  <c r="M344" i="5"/>
  <c r="J344" i="5"/>
  <c r="I344" i="5"/>
  <c r="H344" i="5"/>
  <c r="G344" i="5"/>
  <c r="N343" i="5"/>
  <c r="M343" i="5"/>
  <c r="J343" i="5"/>
  <c r="I343" i="5"/>
  <c r="H343" i="5"/>
  <c r="G343" i="5"/>
  <c r="N342" i="5"/>
  <c r="M342" i="5"/>
  <c r="J342" i="5"/>
  <c r="I342" i="5"/>
  <c r="H342" i="5"/>
  <c r="G342" i="5"/>
  <c r="N341" i="5"/>
  <c r="M341" i="5"/>
  <c r="J341" i="5"/>
  <c r="I341" i="5"/>
  <c r="H341" i="5"/>
  <c r="G341" i="5"/>
  <c r="N340" i="5"/>
  <c r="M340" i="5"/>
  <c r="J340" i="5"/>
  <c r="I340" i="5"/>
  <c r="H340" i="5"/>
  <c r="G340" i="5"/>
  <c r="N339" i="5"/>
  <c r="M339" i="5"/>
  <c r="J339" i="5"/>
  <c r="I339" i="5"/>
  <c r="H339" i="5"/>
  <c r="G339" i="5"/>
  <c r="N338" i="5"/>
  <c r="M338" i="5"/>
  <c r="J338" i="5"/>
  <c r="I338" i="5"/>
  <c r="H338" i="5"/>
  <c r="G338" i="5"/>
  <c r="N337" i="5"/>
  <c r="M337" i="5"/>
  <c r="J337" i="5"/>
  <c r="I337" i="5"/>
  <c r="H337" i="5"/>
  <c r="G337" i="5"/>
  <c r="N336" i="5"/>
  <c r="M336" i="5"/>
  <c r="J336" i="5"/>
  <c r="I336" i="5"/>
  <c r="H336" i="5"/>
  <c r="G336" i="5"/>
  <c r="N335" i="5"/>
  <c r="M335" i="5"/>
  <c r="J335" i="5"/>
  <c r="I335" i="5"/>
  <c r="H335" i="5"/>
  <c r="G335" i="5"/>
  <c r="N334" i="5"/>
  <c r="M334" i="5"/>
  <c r="J334" i="5"/>
  <c r="I334" i="5"/>
  <c r="H334" i="5"/>
  <c r="G334" i="5"/>
  <c r="N333" i="5"/>
  <c r="M333" i="5"/>
  <c r="J333" i="5"/>
  <c r="I333" i="5"/>
  <c r="H333" i="5"/>
  <c r="G333" i="5"/>
  <c r="N332" i="5"/>
  <c r="M332" i="5"/>
  <c r="J332" i="5"/>
  <c r="I332" i="5"/>
  <c r="H332" i="5"/>
  <c r="G332" i="5"/>
  <c r="N331" i="5"/>
  <c r="M331" i="5"/>
  <c r="J331" i="5"/>
  <c r="I331" i="5"/>
  <c r="H331" i="5"/>
  <c r="G331" i="5"/>
  <c r="N330" i="5"/>
  <c r="M330" i="5"/>
  <c r="J330" i="5"/>
  <c r="I330" i="5"/>
  <c r="H330" i="5"/>
  <c r="G330" i="5"/>
  <c r="N329" i="5"/>
  <c r="M329" i="5"/>
  <c r="J329" i="5"/>
  <c r="I329" i="5"/>
  <c r="H329" i="5"/>
  <c r="G329" i="5"/>
  <c r="N328" i="5"/>
  <c r="M328" i="5"/>
  <c r="J328" i="5"/>
  <c r="I328" i="5"/>
  <c r="H328" i="5"/>
  <c r="G328" i="5"/>
  <c r="N327" i="5"/>
  <c r="M327" i="5"/>
  <c r="J327" i="5"/>
  <c r="I327" i="5"/>
  <c r="H327" i="5"/>
  <c r="G327" i="5"/>
  <c r="N326" i="5"/>
  <c r="M326" i="5"/>
  <c r="J326" i="5"/>
  <c r="I326" i="5"/>
  <c r="H326" i="5"/>
  <c r="G326" i="5"/>
  <c r="N325" i="5"/>
  <c r="M325" i="5"/>
  <c r="J325" i="5"/>
  <c r="I325" i="5"/>
  <c r="H325" i="5"/>
  <c r="G325" i="5"/>
  <c r="N324" i="5"/>
  <c r="M324" i="5"/>
  <c r="J324" i="5"/>
  <c r="I324" i="5"/>
  <c r="H324" i="5"/>
  <c r="G324" i="5"/>
  <c r="N323" i="5"/>
  <c r="M323" i="5"/>
  <c r="J323" i="5"/>
  <c r="I323" i="5"/>
  <c r="H323" i="5"/>
  <c r="G323" i="5"/>
  <c r="N322" i="5"/>
  <c r="M322" i="5"/>
  <c r="J322" i="5"/>
  <c r="I322" i="5"/>
  <c r="H322" i="5"/>
  <c r="G322" i="5"/>
  <c r="N321" i="5"/>
  <c r="M321" i="5"/>
  <c r="J321" i="5"/>
  <c r="I321" i="5"/>
  <c r="H321" i="5"/>
  <c r="G321" i="5"/>
  <c r="N320" i="5"/>
  <c r="M320" i="5"/>
  <c r="J320" i="5"/>
  <c r="I320" i="5"/>
  <c r="H320" i="5"/>
  <c r="G320" i="5"/>
  <c r="N319" i="5"/>
  <c r="M319" i="5"/>
  <c r="J319" i="5"/>
  <c r="I319" i="5"/>
  <c r="H319" i="5"/>
  <c r="G319" i="5"/>
  <c r="N318" i="5"/>
  <c r="M318" i="5"/>
  <c r="J318" i="5"/>
  <c r="I318" i="5"/>
  <c r="H318" i="5"/>
  <c r="G318" i="5"/>
  <c r="N317" i="5"/>
  <c r="M317" i="5"/>
  <c r="J317" i="5"/>
  <c r="I317" i="5"/>
  <c r="H317" i="5"/>
  <c r="G317" i="5"/>
  <c r="N316" i="5"/>
  <c r="M316" i="5"/>
  <c r="J316" i="5"/>
  <c r="I316" i="5"/>
  <c r="H316" i="5"/>
  <c r="G316" i="5"/>
  <c r="N315" i="5"/>
  <c r="M315" i="5"/>
  <c r="J315" i="5"/>
  <c r="I315" i="5"/>
  <c r="H315" i="5"/>
  <c r="G315" i="5"/>
  <c r="N314" i="5"/>
  <c r="M314" i="5"/>
  <c r="J314" i="5"/>
  <c r="I314" i="5"/>
  <c r="H314" i="5"/>
  <c r="G314" i="5"/>
  <c r="N313" i="5"/>
  <c r="M313" i="5"/>
  <c r="J313" i="5"/>
  <c r="I313" i="5"/>
  <c r="H313" i="5"/>
  <c r="G313" i="5"/>
  <c r="N312" i="5"/>
  <c r="M312" i="5"/>
  <c r="J312" i="5"/>
  <c r="I312" i="5"/>
  <c r="H312" i="5"/>
  <c r="G312" i="5"/>
  <c r="N311" i="5"/>
  <c r="M311" i="5"/>
  <c r="J311" i="5"/>
  <c r="I311" i="5"/>
  <c r="H311" i="5"/>
  <c r="G311" i="5"/>
  <c r="N310" i="5"/>
  <c r="M310" i="5"/>
  <c r="J310" i="5"/>
  <c r="I310" i="5"/>
  <c r="H310" i="5"/>
  <c r="G310" i="5"/>
  <c r="N309" i="5"/>
  <c r="M309" i="5"/>
  <c r="J309" i="5"/>
  <c r="I309" i="5"/>
  <c r="H309" i="5"/>
  <c r="G309" i="5"/>
  <c r="N308" i="5"/>
  <c r="M308" i="5"/>
  <c r="J308" i="5"/>
  <c r="I308" i="5"/>
  <c r="H308" i="5"/>
  <c r="G308" i="5"/>
  <c r="N307" i="5"/>
  <c r="M307" i="5"/>
  <c r="J307" i="5"/>
  <c r="I307" i="5"/>
  <c r="H307" i="5"/>
  <c r="G307" i="5"/>
  <c r="N306" i="5"/>
  <c r="M306" i="5"/>
  <c r="J306" i="5"/>
  <c r="I306" i="5"/>
  <c r="H306" i="5"/>
  <c r="G306" i="5"/>
  <c r="N305" i="5"/>
  <c r="M305" i="5"/>
  <c r="J305" i="5"/>
  <c r="I305" i="5"/>
  <c r="H305" i="5"/>
  <c r="G305" i="5"/>
  <c r="N304" i="5"/>
  <c r="M304" i="5"/>
  <c r="J304" i="5"/>
  <c r="I304" i="5"/>
  <c r="H304" i="5"/>
  <c r="G304" i="5"/>
  <c r="N303" i="5"/>
  <c r="M303" i="5"/>
  <c r="J303" i="5"/>
  <c r="I303" i="5"/>
  <c r="H303" i="5"/>
  <c r="G303" i="5"/>
  <c r="N302" i="5"/>
  <c r="M302" i="5"/>
  <c r="J302" i="5"/>
  <c r="I302" i="5"/>
  <c r="H302" i="5"/>
  <c r="G302" i="5"/>
  <c r="N301" i="5"/>
  <c r="M301" i="5"/>
  <c r="J301" i="5"/>
  <c r="I301" i="5"/>
  <c r="H301" i="5"/>
  <c r="G301" i="5"/>
  <c r="N300" i="5"/>
  <c r="M300" i="5"/>
  <c r="J300" i="5"/>
  <c r="I300" i="5"/>
  <c r="H300" i="5"/>
  <c r="G300" i="5"/>
  <c r="N299" i="5"/>
  <c r="M299" i="5"/>
  <c r="J299" i="5"/>
  <c r="I299" i="5"/>
  <c r="H299" i="5"/>
  <c r="G299" i="5"/>
  <c r="N298" i="5"/>
  <c r="M298" i="5"/>
  <c r="J298" i="5"/>
  <c r="I298" i="5"/>
  <c r="H298" i="5"/>
  <c r="G298" i="5"/>
  <c r="N297" i="5"/>
  <c r="M297" i="5"/>
  <c r="J297" i="5"/>
  <c r="I297" i="5"/>
  <c r="H297" i="5"/>
  <c r="G297" i="5"/>
  <c r="N296" i="5"/>
  <c r="M296" i="5"/>
  <c r="J296" i="5"/>
  <c r="I296" i="5"/>
  <c r="H296" i="5"/>
  <c r="G296" i="5"/>
  <c r="N295" i="5"/>
  <c r="M295" i="5"/>
  <c r="J295" i="5"/>
  <c r="I295" i="5"/>
  <c r="H295" i="5"/>
  <c r="G295" i="5"/>
  <c r="N294" i="5"/>
  <c r="M294" i="5"/>
  <c r="J294" i="5"/>
  <c r="I294" i="5"/>
  <c r="H294" i="5"/>
  <c r="G294" i="5"/>
  <c r="N293" i="5"/>
  <c r="M293" i="5"/>
  <c r="J293" i="5"/>
  <c r="I293" i="5"/>
  <c r="H293" i="5"/>
  <c r="G293" i="5"/>
  <c r="N292" i="5"/>
  <c r="M292" i="5"/>
  <c r="J292" i="5"/>
  <c r="I292" i="5"/>
  <c r="H292" i="5"/>
  <c r="G292" i="5"/>
  <c r="N291" i="5"/>
  <c r="M291" i="5"/>
  <c r="J291" i="5"/>
  <c r="I291" i="5"/>
  <c r="H291" i="5"/>
  <c r="G291" i="5"/>
  <c r="N290" i="5"/>
  <c r="M290" i="5"/>
  <c r="J290" i="5"/>
  <c r="I290" i="5"/>
  <c r="H290" i="5"/>
  <c r="G290" i="5"/>
  <c r="N289" i="5"/>
  <c r="M289" i="5"/>
  <c r="J289" i="5"/>
  <c r="I289" i="5"/>
  <c r="H289" i="5"/>
  <c r="G289" i="5"/>
  <c r="N288" i="5"/>
  <c r="M288" i="5"/>
  <c r="J288" i="5"/>
  <c r="I288" i="5"/>
  <c r="H288" i="5"/>
  <c r="G288" i="5"/>
  <c r="N287" i="5"/>
  <c r="M287" i="5"/>
  <c r="J287" i="5"/>
  <c r="I287" i="5"/>
  <c r="H287" i="5"/>
  <c r="G287" i="5"/>
  <c r="N286" i="5"/>
  <c r="M286" i="5"/>
  <c r="J286" i="5"/>
  <c r="I286" i="5"/>
  <c r="H286" i="5"/>
  <c r="G286" i="5"/>
  <c r="N285" i="5"/>
  <c r="M285" i="5"/>
  <c r="J285" i="5"/>
  <c r="I285" i="5"/>
  <c r="H285" i="5"/>
  <c r="G285" i="5"/>
  <c r="N284" i="5"/>
  <c r="M284" i="5"/>
  <c r="J284" i="5"/>
  <c r="I284" i="5"/>
  <c r="H284" i="5"/>
  <c r="G284" i="5"/>
  <c r="N283" i="5"/>
  <c r="M283" i="5"/>
  <c r="J283" i="5"/>
  <c r="I283" i="5"/>
  <c r="H283" i="5"/>
  <c r="G283" i="5"/>
  <c r="N282" i="5"/>
  <c r="M282" i="5"/>
  <c r="J282" i="5"/>
  <c r="I282" i="5"/>
  <c r="H282" i="5"/>
  <c r="G282" i="5"/>
  <c r="N281" i="5"/>
  <c r="M281" i="5"/>
  <c r="J281" i="5"/>
  <c r="I281" i="5"/>
  <c r="H281" i="5"/>
  <c r="G281" i="5"/>
  <c r="N280" i="5"/>
  <c r="M280" i="5"/>
  <c r="J280" i="5"/>
  <c r="I280" i="5"/>
  <c r="H280" i="5"/>
  <c r="G280" i="5"/>
  <c r="N279" i="5"/>
  <c r="M279" i="5"/>
  <c r="J279" i="5"/>
  <c r="I279" i="5"/>
  <c r="H279" i="5"/>
  <c r="G279" i="5"/>
  <c r="N278" i="5"/>
  <c r="M278" i="5"/>
  <c r="J278" i="5"/>
  <c r="I278" i="5"/>
  <c r="H278" i="5"/>
  <c r="G278" i="5"/>
  <c r="N277" i="5"/>
  <c r="M277" i="5"/>
  <c r="J277" i="5"/>
  <c r="I277" i="5"/>
  <c r="H277" i="5"/>
  <c r="G277" i="5"/>
  <c r="N276" i="5"/>
  <c r="M276" i="5"/>
  <c r="J276" i="5"/>
  <c r="I276" i="5"/>
  <c r="H276" i="5"/>
  <c r="G276" i="5"/>
  <c r="N275" i="5"/>
  <c r="M275" i="5"/>
  <c r="J275" i="5"/>
  <c r="I275" i="5"/>
  <c r="H275" i="5"/>
  <c r="G275" i="5"/>
  <c r="N274" i="5"/>
  <c r="M274" i="5"/>
  <c r="J274" i="5"/>
  <c r="I274" i="5"/>
  <c r="H274" i="5"/>
  <c r="G274" i="5"/>
  <c r="N273" i="5"/>
  <c r="M273" i="5"/>
  <c r="J273" i="5"/>
  <c r="I273" i="5"/>
  <c r="H273" i="5"/>
  <c r="G273" i="5"/>
  <c r="N272" i="5"/>
  <c r="M272" i="5"/>
  <c r="J272" i="5"/>
  <c r="I272" i="5"/>
  <c r="H272" i="5"/>
  <c r="G272" i="5"/>
  <c r="N271" i="5"/>
  <c r="M271" i="5"/>
  <c r="J271" i="5"/>
  <c r="I271" i="5"/>
  <c r="H271" i="5"/>
  <c r="G271" i="5"/>
  <c r="N270" i="5"/>
  <c r="M270" i="5"/>
  <c r="J270" i="5"/>
  <c r="I270" i="5"/>
  <c r="H270" i="5"/>
  <c r="G270" i="5"/>
  <c r="N269" i="5"/>
  <c r="M269" i="5"/>
  <c r="J269" i="5"/>
  <c r="I269" i="5"/>
  <c r="H269" i="5"/>
  <c r="G269" i="5"/>
  <c r="N268" i="5"/>
  <c r="M268" i="5"/>
  <c r="J268" i="5"/>
  <c r="I268" i="5"/>
  <c r="H268" i="5"/>
  <c r="G268" i="5"/>
  <c r="N267" i="5"/>
  <c r="M267" i="5"/>
  <c r="J267" i="5"/>
  <c r="I267" i="5"/>
  <c r="H267" i="5"/>
  <c r="G267" i="5"/>
  <c r="N266" i="5"/>
  <c r="M266" i="5"/>
  <c r="J266" i="5"/>
  <c r="I266" i="5"/>
  <c r="H266" i="5"/>
  <c r="G266" i="5"/>
  <c r="N265" i="5"/>
  <c r="M265" i="5"/>
  <c r="J265" i="5"/>
  <c r="I265" i="5"/>
  <c r="H265" i="5"/>
  <c r="G265" i="5"/>
  <c r="N264" i="5"/>
  <c r="M264" i="5"/>
  <c r="J264" i="5"/>
  <c r="I264" i="5"/>
  <c r="H264" i="5"/>
  <c r="G264" i="5"/>
  <c r="N263" i="5"/>
  <c r="M263" i="5"/>
  <c r="J263" i="5"/>
  <c r="I263" i="5"/>
  <c r="H263" i="5"/>
  <c r="G263" i="5"/>
  <c r="N262" i="5"/>
  <c r="M262" i="5"/>
  <c r="J262" i="5"/>
  <c r="I262" i="5"/>
  <c r="H262" i="5"/>
  <c r="G262" i="5"/>
  <c r="N261" i="5"/>
  <c r="M261" i="5"/>
  <c r="J261" i="5"/>
  <c r="I261" i="5"/>
  <c r="H261" i="5"/>
  <c r="G261" i="5"/>
  <c r="N260" i="5"/>
  <c r="M260" i="5"/>
  <c r="J260" i="5"/>
  <c r="I260" i="5"/>
  <c r="H260" i="5"/>
  <c r="G260" i="5"/>
  <c r="N259" i="5"/>
  <c r="M259" i="5"/>
  <c r="J259" i="5"/>
  <c r="I259" i="5"/>
  <c r="H259" i="5"/>
  <c r="G259" i="5"/>
  <c r="N258" i="5"/>
  <c r="M258" i="5"/>
  <c r="J258" i="5"/>
  <c r="I258" i="5"/>
  <c r="H258" i="5"/>
  <c r="G258" i="5"/>
  <c r="N257" i="5"/>
  <c r="M257" i="5"/>
  <c r="J257" i="5"/>
  <c r="I257" i="5"/>
  <c r="H257" i="5"/>
  <c r="G257" i="5"/>
  <c r="N256" i="5"/>
  <c r="M256" i="5"/>
  <c r="J256" i="5"/>
  <c r="I256" i="5"/>
  <c r="H256" i="5"/>
  <c r="G256" i="5"/>
  <c r="N255" i="5"/>
  <c r="M255" i="5"/>
  <c r="J255" i="5"/>
  <c r="I255" i="5"/>
  <c r="H255" i="5"/>
  <c r="G255" i="5"/>
  <c r="N254" i="5"/>
  <c r="M254" i="5"/>
  <c r="J254" i="5"/>
  <c r="I254" i="5"/>
  <c r="H254" i="5"/>
  <c r="G254" i="5"/>
  <c r="N253" i="5"/>
  <c r="M253" i="5"/>
  <c r="J253" i="5"/>
  <c r="I253" i="5"/>
  <c r="H253" i="5"/>
  <c r="G253" i="5"/>
  <c r="N252" i="5"/>
  <c r="M252" i="5"/>
  <c r="J252" i="5"/>
  <c r="I252" i="5"/>
  <c r="H252" i="5"/>
  <c r="G252" i="5"/>
  <c r="N251" i="5"/>
  <c r="M251" i="5"/>
  <c r="J251" i="5"/>
  <c r="I251" i="5"/>
  <c r="H251" i="5"/>
  <c r="G251" i="5"/>
  <c r="N250" i="5"/>
  <c r="M250" i="5"/>
  <c r="J250" i="5"/>
  <c r="I250" i="5"/>
  <c r="H250" i="5"/>
  <c r="G250" i="5"/>
  <c r="N249" i="5"/>
  <c r="M249" i="5"/>
  <c r="J249" i="5"/>
  <c r="I249" i="5"/>
  <c r="H249" i="5"/>
  <c r="G249" i="5"/>
  <c r="N248" i="5"/>
  <c r="M248" i="5"/>
  <c r="J248" i="5"/>
  <c r="I248" i="5"/>
  <c r="H248" i="5"/>
  <c r="G248" i="5"/>
  <c r="N247" i="5"/>
  <c r="M247" i="5"/>
  <c r="J247" i="5"/>
  <c r="I247" i="5"/>
  <c r="H247" i="5"/>
  <c r="G247" i="5"/>
  <c r="N246" i="5"/>
  <c r="M246" i="5"/>
  <c r="J246" i="5"/>
  <c r="I246" i="5"/>
  <c r="H246" i="5"/>
  <c r="G246" i="5"/>
  <c r="N245" i="5"/>
  <c r="M245" i="5"/>
  <c r="J245" i="5"/>
  <c r="I245" i="5"/>
  <c r="H245" i="5"/>
  <c r="G245" i="5"/>
  <c r="N244" i="5"/>
  <c r="M244" i="5"/>
  <c r="J244" i="5"/>
  <c r="I244" i="5"/>
  <c r="H244" i="5"/>
  <c r="G244" i="5"/>
  <c r="N243" i="5"/>
  <c r="M243" i="5"/>
  <c r="J243" i="5"/>
  <c r="I243" i="5"/>
  <c r="H243" i="5"/>
  <c r="G243" i="5"/>
  <c r="N242" i="5"/>
  <c r="M242" i="5"/>
  <c r="J242" i="5"/>
  <c r="I242" i="5"/>
  <c r="H242" i="5"/>
  <c r="G242" i="5"/>
  <c r="N241" i="5"/>
  <c r="M241" i="5"/>
  <c r="J241" i="5"/>
  <c r="I241" i="5"/>
  <c r="H241" i="5"/>
  <c r="G241" i="5"/>
  <c r="N240" i="5"/>
  <c r="M240" i="5"/>
  <c r="J240" i="5"/>
  <c r="I240" i="5"/>
  <c r="H240" i="5"/>
  <c r="G240" i="5"/>
  <c r="N239" i="5"/>
  <c r="M239" i="5"/>
  <c r="J239" i="5"/>
  <c r="I239" i="5"/>
  <c r="H239" i="5"/>
  <c r="G239" i="5"/>
  <c r="N238" i="5"/>
  <c r="M238" i="5"/>
  <c r="J238" i="5"/>
  <c r="I238" i="5"/>
  <c r="H238" i="5"/>
  <c r="G238" i="5"/>
  <c r="N237" i="5"/>
  <c r="M237" i="5"/>
  <c r="J237" i="5"/>
  <c r="I237" i="5"/>
  <c r="H237" i="5"/>
  <c r="G237" i="5"/>
  <c r="N236" i="5"/>
  <c r="M236" i="5"/>
  <c r="J236" i="5"/>
  <c r="I236" i="5"/>
  <c r="H236" i="5"/>
  <c r="G236" i="5"/>
  <c r="N235" i="5"/>
  <c r="M235" i="5"/>
  <c r="J235" i="5"/>
  <c r="I235" i="5"/>
  <c r="H235" i="5"/>
  <c r="G235" i="5"/>
  <c r="N234" i="5"/>
  <c r="M234" i="5"/>
  <c r="J234" i="5"/>
  <c r="I234" i="5"/>
  <c r="H234" i="5"/>
  <c r="G234" i="5"/>
  <c r="N233" i="5"/>
  <c r="M233" i="5"/>
  <c r="J233" i="5"/>
  <c r="I233" i="5"/>
  <c r="H233" i="5"/>
  <c r="G233" i="5"/>
  <c r="N232" i="5"/>
  <c r="M232" i="5"/>
  <c r="J232" i="5"/>
  <c r="I232" i="5"/>
  <c r="H232" i="5"/>
  <c r="G232" i="5"/>
  <c r="N231" i="5"/>
  <c r="M231" i="5"/>
  <c r="J231" i="5"/>
  <c r="I231" i="5"/>
  <c r="H231" i="5"/>
  <c r="G231" i="5"/>
  <c r="N230" i="5"/>
  <c r="M230" i="5"/>
  <c r="J230" i="5"/>
  <c r="I230" i="5"/>
  <c r="H230" i="5"/>
  <c r="G230" i="5"/>
  <c r="N229" i="5"/>
  <c r="M229" i="5"/>
  <c r="J229" i="5"/>
  <c r="I229" i="5"/>
  <c r="H229" i="5"/>
  <c r="G229" i="5"/>
  <c r="N228" i="5"/>
  <c r="M228" i="5"/>
  <c r="J228" i="5"/>
  <c r="I228" i="5"/>
  <c r="H228" i="5"/>
  <c r="G228" i="5"/>
  <c r="N227" i="5"/>
  <c r="M227" i="5"/>
  <c r="J227" i="5"/>
  <c r="I227" i="5"/>
  <c r="H227" i="5"/>
  <c r="G227" i="5"/>
  <c r="N226" i="5"/>
  <c r="M226" i="5"/>
  <c r="J226" i="5"/>
  <c r="I226" i="5"/>
  <c r="H226" i="5"/>
  <c r="G226" i="5"/>
  <c r="N225" i="5"/>
  <c r="M225" i="5"/>
  <c r="J225" i="5"/>
  <c r="I225" i="5"/>
  <c r="H225" i="5"/>
  <c r="G225" i="5"/>
  <c r="N224" i="5"/>
  <c r="M224" i="5"/>
  <c r="J224" i="5"/>
  <c r="I224" i="5"/>
  <c r="H224" i="5"/>
  <c r="G224" i="5"/>
  <c r="N223" i="5"/>
  <c r="M223" i="5"/>
  <c r="J223" i="5"/>
  <c r="I223" i="5"/>
  <c r="H223" i="5"/>
  <c r="G223" i="5"/>
  <c r="N222" i="5"/>
  <c r="M222" i="5"/>
  <c r="J222" i="5"/>
  <c r="I222" i="5"/>
  <c r="H222" i="5"/>
  <c r="G222" i="5"/>
  <c r="N221" i="5"/>
  <c r="M221" i="5"/>
  <c r="J221" i="5"/>
  <c r="I221" i="5"/>
  <c r="H221" i="5"/>
  <c r="G221" i="5"/>
  <c r="N220" i="5"/>
  <c r="M220" i="5"/>
  <c r="J220" i="5"/>
  <c r="I220" i="5"/>
  <c r="H220" i="5"/>
  <c r="G220" i="5"/>
  <c r="N219" i="5"/>
  <c r="M219" i="5"/>
  <c r="J219" i="5"/>
  <c r="I219" i="5"/>
  <c r="H219" i="5"/>
  <c r="G219" i="5"/>
  <c r="N218" i="5"/>
  <c r="M218" i="5"/>
  <c r="J218" i="5"/>
  <c r="I218" i="5"/>
  <c r="H218" i="5"/>
  <c r="G218" i="5"/>
  <c r="N217" i="5"/>
  <c r="M217" i="5"/>
  <c r="J217" i="5"/>
  <c r="I217" i="5"/>
  <c r="H217" i="5"/>
  <c r="G217" i="5"/>
  <c r="N216" i="5"/>
  <c r="M216" i="5"/>
  <c r="J216" i="5"/>
  <c r="I216" i="5"/>
  <c r="H216" i="5"/>
  <c r="G216" i="5"/>
  <c r="N215" i="5"/>
  <c r="M215" i="5"/>
  <c r="J215" i="5"/>
  <c r="I215" i="5"/>
  <c r="H215" i="5"/>
  <c r="G215" i="5"/>
  <c r="N214" i="5"/>
  <c r="M214" i="5"/>
  <c r="J214" i="5"/>
  <c r="I214" i="5"/>
  <c r="H214" i="5"/>
  <c r="G214" i="5"/>
  <c r="N213" i="5"/>
  <c r="M213" i="5"/>
  <c r="J213" i="5"/>
  <c r="I213" i="5"/>
  <c r="H213" i="5"/>
  <c r="G213" i="5"/>
  <c r="N212" i="5"/>
  <c r="M212" i="5"/>
  <c r="J212" i="5"/>
  <c r="I212" i="5"/>
  <c r="H212" i="5"/>
  <c r="G212" i="5"/>
  <c r="N211" i="5"/>
  <c r="M211" i="5"/>
  <c r="J211" i="5"/>
  <c r="I211" i="5"/>
  <c r="H211" i="5"/>
  <c r="G211" i="5"/>
  <c r="N210" i="5"/>
  <c r="M210" i="5"/>
  <c r="J210" i="5"/>
  <c r="I210" i="5"/>
  <c r="H210" i="5"/>
  <c r="G210" i="5"/>
  <c r="N209" i="5"/>
  <c r="M209" i="5"/>
  <c r="J209" i="5"/>
  <c r="I209" i="5"/>
  <c r="H209" i="5"/>
  <c r="G209" i="5"/>
  <c r="N208" i="5"/>
  <c r="M208" i="5"/>
  <c r="J208" i="5"/>
  <c r="I208" i="5"/>
  <c r="H208" i="5"/>
  <c r="G208" i="5"/>
  <c r="N207" i="5"/>
  <c r="M207" i="5"/>
  <c r="J207" i="5"/>
  <c r="I207" i="5"/>
  <c r="H207" i="5"/>
  <c r="G207" i="5"/>
  <c r="N206" i="5"/>
  <c r="M206" i="5"/>
  <c r="J206" i="5"/>
  <c r="I206" i="5"/>
  <c r="H206" i="5"/>
  <c r="G206" i="5"/>
  <c r="N205" i="5"/>
  <c r="M205" i="5"/>
  <c r="J205" i="5"/>
  <c r="I205" i="5"/>
  <c r="H205" i="5"/>
  <c r="G205" i="5"/>
  <c r="N204" i="5"/>
  <c r="M204" i="5"/>
  <c r="J204" i="5"/>
  <c r="I204" i="5"/>
  <c r="H204" i="5"/>
  <c r="G204" i="5"/>
  <c r="N203" i="5"/>
  <c r="M203" i="5"/>
  <c r="J203" i="5"/>
  <c r="I203" i="5"/>
  <c r="H203" i="5"/>
  <c r="G203" i="5"/>
  <c r="N202" i="5"/>
  <c r="M202" i="5"/>
  <c r="J202" i="5"/>
  <c r="I202" i="5"/>
  <c r="H202" i="5"/>
  <c r="G202" i="5"/>
  <c r="N201" i="5"/>
  <c r="M201" i="5"/>
  <c r="J201" i="5"/>
  <c r="I201" i="5"/>
  <c r="H201" i="5"/>
  <c r="G201" i="5"/>
  <c r="N200" i="5"/>
  <c r="M200" i="5"/>
  <c r="J200" i="5"/>
  <c r="I200" i="5"/>
  <c r="H200" i="5"/>
  <c r="G200" i="5"/>
  <c r="N199" i="5"/>
  <c r="M199" i="5"/>
  <c r="J199" i="5"/>
  <c r="I199" i="5"/>
  <c r="H199" i="5"/>
  <c r="G199" i="5"/>
  <c r="N198" i="5"/>
  <c r="M198" i="5"/>
  <c r="J198" i="5"/>
  <c r="I198" i="5"/>
  <c r="H198" i="5"/>
  <c r="G198" i="5"/>
  <c r="N197" i="5"/>
  <c r="M197" i="5"/>
  <c r="J197" i="5"/>
  <c r="I197" i="5"/>
  <c r="H197" i="5"/>
  <c r="G197" i="5"/>
  <c r="N196" i="5"/>
  <c r="M196" i="5"/>
  <c r="J196" i="5"/>
  <c r="I196" i="5"/>
  <c r="H196" i="5"/>
  <c r="G196" i="5"/>
  <c r="N195" i="5"/>
  <c r="M195" i="5"/>
  <c r="J195" i="5"/>
  <c r="I195" i="5"/>
  <c r="H195" i="5"/>
  <c r="G195" i="5"/>
  <c r="N194" i="5"/>
  <c r="M194" i="5"/>
  <c r="J194" i="5"/>
  <c r="I194" i="5"/>
  <c r="H194" i="5"/>
  <c r="G194" i="5"/>
  <c r="N193" i="5"/>
  <c r="M193" i="5"/>
  <c r="J193" i="5"/>
  <c r="I193" i="5"/>
  <c r="H193" i="5"/>
  <c r="G193" i="5"/>
  <c r="N192" i="5"/>
  <c r="M192" i="5"/>
  <c r="J192" i="5"/>
  <c r="I192" i="5"/>
  <c r="H192" i="5"/>
  <c r="G192" i="5"/>
  <c r="N191" i="5"/>
  <c r="M191" i="5"/>
  <c r="J191" i="5"/>
  <c r="I191" i="5"/>
  <c r="H191" i="5"/>
  <c r="G191" i="5"/>
  <c r="N190" i="5"/>
  <c r="M190" i="5"/>
  <c r="J190" i="5"/>
  <c r="I190" i="5"/>
  <c r="H190" i="5"/>
  <c r="G190" i="5"/>
  <c r="N189" i="5"/>
  <c r="M189" i="5"/>
  <c r="J189" i="5"/>
  <c r="I189" i="5"/>
  <c r="H189" i="5"/>
  <c r="G189" i="5"/>
  <c r="N188" i="5"/>
  <c r="M188" i="5"/>
  <c r="J188" i="5"/>
  <c r="I188" i="5"/>
  <c r="H188" i="5"/>
  <c r="G188" i="5"/>
  <c r="N187" i="5"/>
  <c r="M187" i="5"/>
  <c r="J187" i="5"/>
  <c r="I187" i="5"/>
  <c r="H187" i="5"/>
  <c r="G187" i="5"/>
  <c r="N186" i="5"/>
  <c r="M186" i="5"/>
  <c r="J186" i="5"/>
  <c r="I186" i="5"/>
  <c r="H186" i="5"/>
  <c r="G186" i="5"/>
  <c r="N185" i="5"/>
  <c r="M185" i="5"/>
  <c r="J185" i="5"/>
  <c r="I185" i="5"/>
  <c r="H185" i="5"/>
  <c r="G185" i="5"/>
  <c r="N184" i="5"/>
  <c r="M184" i="5"/>
  <c r="J184" i="5"/>
  <c r="I184" i="5"/>
  <c r="H184" i="5"/>
  <c r="G184" i="5"/>
  <c r="N183" i="5"/>
  <c r="M183" i="5"/>
  <c r="J183" i="5"/>
  <c r="I183" i="5"/>
  <c r="H183" i="5"/>
  <c r="G183" i="5"/>
  <c r="N182" i="5"/>
  <c r="M182" i="5"/>
  <c r="J182" i="5"/>
  <c r="I182" i="5"/>
  <c r="H182" i="5"/>
  <c r="G182" i="5"/>
  <c r="N181" i="5"/>
  <c r="M181" i="5"/>
  <c r="J181" i="5"/>
  <c r="I181" i="5"/>
  <c r="H181" i="5"/>
  <c r="G181" i="5"/>
  <c r="N180" i="5"/>
  <c r="M180" i="5"/>
  <c r="J180" i="5"/>
  <c r="I180" i="5"/>
  <c r="H180" i="5"/>
  <c r="G180" i="5"/>
  <c r="N179" i="5"/>
  <c r="M179" i="5"/>
  <c r="J179" i="5"/>
  <c r="I179" i="5"/>
  <c r="H179" i="5"/>
  <c r="G179" i="5"/>
  <c r="N178" i="5"/>
  <c r="M178" i="5"/>
  <c r="J178" i="5"/>
  <c r="I178" i="5"/>
  <c r="H178" i="5"/>
  <c r="G178" i="5"/>
  <c r="N177" i="5"/>
  <c r="M177" i="5"/>
  <c r="J177" i="5"/>
  <c r="I177" i="5"/>
  <c r="H177" i="5"/>
  <c r="G177" i="5"/>
  <c r="N176" i="5"/>
  <c r="M176" i="5"/>
  <c r="J176" i="5"/>
  <c r="I176" i="5"/>
  <c r="H176" i="5"/>
  <c r="G176" i="5"/>
  <c r="N175" i="5"/>
  <c r="M175" i="5"/>
  <c r="J175" i="5"/>
  <c r="I175" i="5"/>
  <c r="H175" i="5"/>
  <c r="G175" i="5"/>
  <c r="N174" i="5"/>
  <c r="M174" i="5"/>
  <c r="J174" i="5"/>
  <c r="I174" i="5"/>
  <c r="H174" i="5"/>
  <c r="G174" i="5"/>
  <c r="N173" i="5"/>
  <c r="M173" i="5"/>
  <c r="J173" i="5"/>
  <c r="I173" i="5"/>
  <c r="H173" i="5"/>
  <c r="G173" i="5"/>
  <c r="N172" i="5"/>
  <c r="M172" i="5"/>
  <c r="J172" i="5"/>
  <c r="I172" i="5"/>
  <c r="H172" i="5"/>
  <c r="G172" i="5"/>
  <c r="N171" i="5"/>
  <c r="M171" i="5"/>
  <c r="J171" i="5"/>
  <c r="I171" i="5"/>
  <c r="H171" i="5"/>
  <c r="G171" i="5"/>
  <c r="N170" i="5"/>
  <c r="M170" i="5"/>
  <c r="J170" i="5"/>
  <c r="I170" i="5"/>
  <c r="H170" i="5"/>
  <c r="G170" i="5"/>
  <c r="N169" i="5"/>
  <c r="M169" i="5"/>
  <c r="J169" i="5"/>
  <c r="I169" i="5"/>
  <c r="H169" i="5"/>
  <c r="G169" i="5"/>
  <c r="N168" i="5"/>
  <c r="M168" i="5"/>
  <c r="J168" i="5"/>
  <c r="I168" i="5"/>
  <c r="H168" i="5"/>
  <c r="G168" i="5"/>
  <c r="N167" i="5"/>
  <c r="M167" i="5"/>
  <c r="J167" i="5"/>
  <c r="I167" i="5"/>
  <c r="H167" i="5"/>
  <c r="G167" i="5"/>
  <c r="N166" i="5"/>
  <c r="M166" i="5"/>
  <c r="J166" i="5"/>
  <c r="I166" i="5"/>
  <c r="H166" i="5"/>
  <c r="G166" i="5"/>
  <c r="N165" i="5"/>
  <c r="M165" i="5"/>
  <c r="J165" i="5"/>
  <c r="I165" i="5"/>
  <c r="H165" i="5"/>
  <c r="G165" i="5"/>
  <c r="N164" i="5"/>
  <c r="M164" i="5"/>
  <c r="J164" i="5"/>
  <c r="I164" i="5"/>
  <c r="H164" i="5"/>
  <c r="G164" i="5"/>
  <c r="N163" i="5"/>
  <c r="M163" i="5"/>
  <c r="J163" i="5"/>
  <c r="I163" i="5"/>
  <c r="H163" i="5"/>
  <c r="G163" i="5"/>
  <c r="N162" i="5"/>
  <c r="M162" i="5"/>
  <c r="J162" i="5"/>
  <c r="I162" i="5"/>
  <c r="H162" i="5"/>
  <c r="G162" i="5"/>
  <c r="N161" i="5"/>
  <c r="M161" i="5"/>
  <c r="J161" i="5"/>
  <c r="I161" i="5"/>
  <c r="H161" i="5"/>
  <c r="G161" i="5"/>
  <c r="N160" i="5"/>
  <c r="M160" i="5"/>
  <c r="J160" i="5"/>
  <c r="I160" i="5"/>
  <c r="H160" i="5"/>
  <c r="G160" i="5"/>
  <c r="N159" i="5"/>
  <c r="M159" i="5"/>
  <c r="J159" i="5"/>
  <c r="I159" i="5"/>
  <c r="H159" i="5"/>
  <c r="G159" i="5"/>
  <c r="N158" i="5"/>
  <c r="M158" i="5"/>
  <c r="J158" i="5"/>
  <c r="I158" i="5"/>
  <c r="H158" i="5"/>
  <c r="G158" i="5"/>
  <c r="N157" i="5"/>
  <c r="M157" i="5"/>
  <c r="J157" i="5"/>
  <c r="I157" i="5"/>
  <c r="H157" i="5"/>
  <c r="G157" i="5"/>
  <c r="N156" i="5"/>
  <c r="M156" i="5"/>
  <c r="J156" i="5"/>
  <c r="I156" i="5"/>
  <c r="H156" i="5"/>
  <c r="G156" i="5"/>
  <c r="N155" i="5"/>
  <c r="M155" i="5"/>
  <c r="J155" i="5"/>
  <c r="I155" i="5"/>
  <c r="H155" i="5"/>
  <c r="G155" i="5"/>
  <c r="N154" i="5"/>
  <c r="M154" i="5"/>
  <c r="J154" i="5"/>
  <c r="I154" i="5"/>
  <c r="H154" i="5"/>
  <c r="G154" i="5"/>
  <c r="N153" i="5"/>
  <c r="M153" i="5"/>
  <c r="J153" i="5"/>
  <c r="I153" i="5"/>
  <c r="H153" i="5"/>
  <c r="G153" i="5"/>
  <c r="N152" i="5"/>
  <c r="M152" i="5"/>
  <c r="J152" i="5"/>
  <c r="I152" i="5"/>
  <c r="H152" i="5"/>
  <c r="G152" i="5"/>
  <c r="N151" i="5"/>
  <c r="M151" i="5"/>
  <c r="J151" i="5"/>
  <c r="I151" i="5"/>
  <c r="H151" i="5"/>
  <c r="G151" i="5"/>
  <c r="N150" i="5"/>
  <c r="M150" i="5"/>
  <c r="J150" i="5"/>
  <c r="I150" i="5"/>
  <c r="H150" i="5"/>
  <c r="G150" i="5"/>
  <c r="N149" i="5"/>
  <c r="M149" i="5"/>
  <c r="J149" i="5"/>
  <c r="I149" i="5"/>
  <c r="H149" i="5"/>
  <c r="G149" i="5"/>
  <c r="N148" i="5"/>
  <c r="M148" i="5"/>
  <c r="J148" i="5"/>
  <c r="I148" i="5"/>
  <c r="H148" i="5"/>
  <c r="G148" i="5"/>
  <c r="N147" i="5"/>
  <c r="M147" i="5"/>
  <c r="J147" i="5"/>
  <c r="I147" i="5"/>
  <c r="H147" i="5"/>
  <c r="G147" i="5"/>
  <c r="N146" i="5"/>
  <c r="M146" i="5"/>
  <c r="J146" i="5"/>
  <c r="I146" i="5"/>
  <c r="H146" i="5"/>
  <c r="G146" i="5"/>
  <c r="N145" i="5"/>
  <c r="M145" i="5"/>
  <c r="J145" i="5"/>
  <c r="I145" i="5"/>
  <c r="H145" i="5"/>
  <c r="G145" i="5"/>
  <c r="N144" i="5"/>
  <c r="M144" i="5"/>
  <c r="J144" i="5"/>
  <c r="I144" i="5"/>
  <c r="H144" i="5"/>
  <c r="G144" i="5"/>
  <c r="N143" i="5"/>
  <c r="M143" i="5"/>
  <c r="J143" i="5"/>
  <c r="I143" i="5"/>
  <c r="H143" i="5"/>
  <c r="G143" i="5"/>
  <c r="N142" i="5"/>
  <c r="M142" i="5"/>
  <c r="J142" i="5"/>
  <c r="I142" i="5"/>
  <c r="H142" i="5"/>
  <c r="G142" i="5"/>
  <c r="N141" i="5"/>
  <c r="M141" i="5"/>
  <c r="J141" i="5"/>
  <c r="I141" i="5"/>
  <c r="H141" i="5"/>
  <c r="G141" i="5"/>
  <c r="N140" i="5"/>
  <c r="M140" i="5"/>
  <c r="J140" i="5"/>
  <c r="I140" i="5"/>
  <c r="H140" i="5"/>
  <c r="G140" i="5"/>
  <c r="N139" i="5"/>
  <c r="M139" i="5"/>
  <c r="J139" i="5"/>
  <c r="I139" i="5"/>
  <c r="H139" i="5"/>
  <c r="G139" i="5"/>
  <c r="N138" i="5"/>
  <c r="M138" i="5"/>
  <c r="J138" i="5"/>
  <c r="I138" i="5"/>
  <c r="H138" i="5"/>
  <c r="G138" i="5"/>
  <c r="N137" i="5"/>
  <c r="M137" i="5"/>
  <c r="J137" i="5"/>
  <c r="I137" i="5"/>
  <c r="H137" i="5"/>
  <c r="G137" i="5"/>
  <c r="N136" i="5"/>
  <c r="M136" i="5"/>
  <c r="J136" i="5"/>
  <c r="I136" i="5"/>
  <c r="H136" i="5"/>
  <c r="G136" i="5"/>
  <c r="N135" i="5"/>
  <c r="M135" i="5"/>
  <c r="J135" i="5"/>
  <c r="I135" i="5"/>
  <c r="H135" i="5"/>
  <c r="G135" i="5"/>
  <c r="N134" i="5"/>
  <c r="M134" i="5"/>
  <c r="J134" i="5"/>
  <c r="I134" i="5"/>
  <c r="H134" i="5"/>
  <c r="G134" i="5"/>
  <c r="N133" i="5"/>
  <c r="M133" i="5"/>
  <c r="J133" i="5"/>
  <c r="I133" i="5"/>
  <c r="H133" i="5"/>
  <c r="G133" i="5"/>
  <c r="N132" i="5"/>
  <c r="M132" i="5"/>
  <c r="J132" i="5"/>
  <c r="I132" i="5"/>
  <c r="H132" i="5"/>
  <c r="G132" i="5"/>
  <c r="N131" i="5"/>
  <c r="M131" i="5"/>
  <c r="J131" i="5"/>
  <c r="I131" i="5"/>
  <c r="H131" i="5"/>
  <c r="G131" i="5"/>
  <c r="N130" i="5"/>
  <c r="M130" i="5"/>
  <c r="J130" i="5"/>
  <c r="I130" i="5"/>
  <c r="H130" i="5"/>
  <c r="G130" i="5"/>
  <c r="N129" i="5"/>
  <c r="M129" i="5"/>
  <c r="J129" i="5"/>
  <c r="I129" i="5"/>
  <c r="H129" i="5"/>
  <c r="G129" i="5"/>
  <c r="N128" i="5"/>
  <c r="M128" i="5"/>
  <c r="J128" i="5"/>
  <c r="I128" i="5"/>
  <c r="H128" i="5"/>
  <c r="G128" i="5"/>
  <c r="N127" i="5"/>
  <c r="M127" i="5"/>
  <c r="J127" i="5"/>
  <c r="I127" i="5"/>
  <c r="H127" i="5"/>
  <c r="G127" i="5"/>
  <c r="N126" i="5"/>
  <c r="M126" i="5"/>
  <c r="J126" i="5"/>
  <c r="I126" i="5"/>
  <c r="H126" i="5"/>
  <c r="G126" i="5"/>
  <c r="N125" i="5"/>
  <c r="M125" i="5"/>
  <c r="J125" i="5"/>
  <c r="I125" i="5"/>
  <c r="H125" i="5"/>
  <c r="G125" i="5"/>
  <c r="N124" i="5"/>
  <c r="M124" i="5"/>
  <c r="J124" i="5"/>
  <c r="I124" i="5"/>
  <c r="H124" i="5"/>
  <c r="G124" i="5"/>
  <c r="N123" i="5"/>
  <c r="M123" i="5"/>
  <c r="J123" i="5"/>
  <c r="I123" i="5"/>
  <c r="H123" i="5"/>
  <c r="G123" i="5"/>
  <c r="N122" i="5"/>
  <c r="M122" i="5"/>
  <c r="J122" i="5"/>
  <c r="I122" i="5"/>
  <c r="H122" i="5"/>
  <c r="G122" i="5"/>
  <c r="N121" i="5"/>
  <c r="M121" i="5"/>
  <c r="J121" i="5"/>
  <c r="I121" i="5"/>
  <c r="H121" i="5"/>
  <c r="G121" i="5"/>
  <c r="N120" i="5"/>
  <c r="M120" i="5"/>
  <c r="J120" i="5"/>
  <c r="I120" i="5"/>
  <c r="H120" i="5"/>
  <c r="G120" i="5"/>
  <c r="N119" i="5"/>
  <c r="M119" i="5"/>
  <c r="J119" i="5"/>
  <c r="I119" i="5"/>
  <c r="H119" i="5"/>
  <c r="G119" i="5"/>
  <c r="N118" i="5"/>
  <c r="M118" i="5"/>
  <c r="J118" i="5"/>
  <c r="I118" i="5"/>
  <c r="H118" i="5"/>
  <c r="G118" i="5"/>
  <c r="N117" i="5"/>
  <c r="M117" i="5"/>
  <c r="J117" i="5"/>
  <c r="I117" i="5"/>
  <c r="H117" i="5"/>
  <c r="G117" i="5"/>
  <c r="N116" i="5"/>
  <c r="M116" i="5"/>
  <c r="J116" i="5"/>
  <c r="I116" i="5"/>
  <c r="H116" i="5"/>
  <c r="G116" i="5"/>
  <c r="N115" i="5"/>
  <c r="M115" i="5"/>
  <c r="J115" i="5"/>
  <c r="I115" i="5"/>
  <c r="H115" i="5"/>
  <c r="G115" i="5"/>
  <c r="N114" i="5"/>
  <c r="M114" i="5"/>
  <c r="J114" i="5"/>
  <c r="I114" i="5"/>
  <c r="H114" i="5"/>
  <c r="G114" i="5"/>
  <c r="N113" i="5"/>
  <c r="M113" i="5"/>
  <c r="J113" i="5"/>
  <c r="I113" i="5"/>
  <c r="H113" i="5"/>
  <c r="G113" i="5"/>
  <c r="N112" i="5"/>
  <c r="M112" i="5"/>
  <c r="J112" i="5"/>
  <c r="I112" i="5"/>
  <c r="H112" i="5"/>
  <c r="G112" i="5"/>
  <c r="N111" i="5"/>
  <c r="M111" i="5"/>
  <c r="J111" i="5"/>
  <c r="I111" i="5"/>
  <c r="H111" i="5"/>
  <c r="G111" i="5"/>
  <c r="N110" i="5"/>
  <c r="M110" i="5"/>
  <c r="J110" i="5"/>
  <c r="I110" i="5"/>
  <c r="H110" i="5"/>
  <c r="G110" i="5"/>
  <c r="N109" i="5"/>
  <c r="M109" i="5"/>
  <c r="J109" i="5"/>
  <c r="I109" i="5"/>
  <c r="H109" i="5"/>
  <c r="G109" i="5"/>
  <c r="N108" i="5"/>
  <c r="M108" i="5"/>
  <c r="J108" i="5"/>
  <c r="I108" i="5"/>
  <c r="H108" i="5"/>
  <c r="G108" i="5"/>
  <c r="N107" i="5"/>
  <c r="M107" i="5"/>
  <c r="J107" i="5"/>
  <c r="I107" i="5"/>
  <c r="H107" i="5"/>
  <c r="G107" i="5"/>
  <c r="N106" i="5"/>
  <c r="M106" i="5"/>
  <c r="J106" i="5"/>
  <c r="I106" i="5"/>
  <c r="H106" i="5"/>
  <c r="G106" i="5"/>
  <c r="N105" i="5"/>
  <c r="M105" i="5"/>
  <c r="J105" i="5"/>
  <c r="I105" i="5"/>
  <c r="H105" i="5"/>
  <c r="G105" i="5"/>
  <c r="N104" i="5"/>
  <c r="M104" i="5"/>
  <c r="J104" i="5"/>
  <c r="I104" i="5"/>
  <c r="H104" i="5"/>
  <c r="G104" i="5"/>
  <c r="N103" i="5"/>
  <c r="M103" i="5"/>
  <c r="J103" i="5"/>
  <c r="I103" i="5"/>
  <c r="H103" i="5"/>
  <c r="G103" i="5"/>
  <c r="N102" i="5"/>
  <c r="M102" i="5"/>
  <c r="J102" i="5"/>
  <c r="I102" i="5"/>
  <c r="H102" i="5"/>
  <c r="G102" i="5"/>
  <c r="N101" i="5"/>
  <c r="M101" i="5"/>
  <c r="J101" i="5"/>
  <c r="I101" i="5"/>
  <c r="H101" i="5"/>
  <c r="G101" i="5"/>
  <c r="N100" i="5"/>
  <c r="M100" i="5"/>
  <c r="J100" i="5"/>
  <c r="I100" i="5"/>
  <c r="H100" i="5"/>
  <c r="G100" i="5"/>
  <c r="N99" i="5"/>
  <c r="M99" i="5"/>
  <c r="J99" i="5"/>
  <c r="I99" i="5"/>
  <c r="H99" i="5"/>
  <c r="G99" i="5"/>
  <c r="N98" i="5"/>
  <c r="M98" i="5"/>
  <c r="J98" i="5"/>
  <c r="I98" i="5"/>
  <c r="H98" i="5"/>
  <c r="G98" i="5"/>
  <c r="N97" i="5"/>
  <c r="M97" i="5"/>
  <c r="J97" i="5"/>
  <c r="I97" i="5"/>
  <c r="H97" i="5"/>
  <c r="G97" i="5"/>
  <c r="N96" i="5"/>
  <c r="M96" i="5"/>
  <c r="J96" i="5"/>
  <c r="I96" i="5"/>
  <c r="H96" i="5"/>
  <c r="G96" i="5"/>
  <c r="N95" i="5"/>
  <c r="M95" i="5"/>
  <c r="J95" i="5"/>
  <c r="I95" i="5"/>
  <c r="H95" i="5"/>
  <c r="G95" i="5"/>
  <c r="N94" i="5"/>
  <c r="M94" i="5"/>
  <c r="J94" i="5"/>
  <c r="I94" i="5"/>
  <c r="H94" i="5"/>
  <c r="G94" i="5"/>
  <c r="N93" i="5"/>
  <c r="M93" i="5"/>
  <c r="J93" i="5"/>
  <c r="I93" i="5"/>
  <c r="H93" i="5"/>
  <c r="G93" i="5"/>
  <c r="N92" i="5"/>
  <c r="M92" i="5"/>
  <c r="J92" i="5"/>
  <c r="I92" i="5"/>
  <c r="H92" i="5"/>
  <c r="G92" i="5"/>
  <c r="N91" i="5"/>
  <c r="M91" i="5"/>
  <c r="J91" i="5"/>
  <c r="I91" i="5"/>
  <c r="H91" i="5"/>
  <c r="G91" i="5"/>
  <c r="N90" i="5"/>
  <c r="M90" i="5"/>
  <c r="J90" i="5"/>
  <c r="I90" i="5"/>
  <c r="H90" i="5"/>
  <c r="G90" i="5"/>
  <c r="N89" i="5"/>
  <c r="M89" i="5"/>
  <c r="J89" i="5"/>
  <c r="I89" i="5"/>
  <c r="H89" i="5"/>
  <c r="G89" i="5"/>
  <c r="N88" i="5"/>
  <c r="M88" i="5"/>
  <c r="J88" i="5"/>
  <c r="I88" i="5"/>
  <c r="H88" i="5"/>
  <c r="G88" i="5"/>
  <c r="N87" i="5"/>
  <c r="M87" i="5"/>
  <c r="J87" i="5"/>
  <c r="I87" i="5"/>
  <c r="H87" i="5"/>
  <c r="G87" i="5"/>
  <c r="N86" i="5"/>
  <c r="M86" i="5"/>
  <c r="J86" i="5"/>
  <c r="I86" i="5"/>
  <c r="H86" i="5"/>
  <c r="G86" i="5"/>
  <c r="N85" i="5"/>
  <c r="M85" i="5"/>
  <c r="J85" i="5"/>
  <c r="I85" i="5"/>
  <c r="H85" i="5"/>
  <c r="G85" i="5"/>
  <c r="N84" i="5"/>
  <c r="M84" i="5"/>
  <c r="J84" i="5"/>
  <c r="I84" i="5"/>
  <c r="H84" i="5"/>
  <c r="G84" i="5"/>
  <c r="N83" i="5"/>
  <c r="M83" i="5"/>
  <c r="J83" i="5"/>
  <c r="I83" i="5"/>
  <c r="H83" i="5"/>
  <c r="G83" i="5"/>
  <c r="N82" i="5"/>
  <c r="M82" i="5"/>
  <c r="J82" i="5"/>
  <c r="I82" i="5"/>
  <c r="H82" i="5"/>
  <c r="G82" i="5"/>
  <c r="N81" i="5"/>
  <c r="M81" i="5"/>
  <c r="J81" i="5"/>
  <c r="I81" i="5"/>
  <c r="H81" i="5"/>
  <c r="G81" i="5"/>
  <c r="N80" i="5"/>
  <c r="M80" i="5"/>
  <c r="J80" i="5"/>
  <c r="I80" i="5"/>
  <c r="H80" i="5"/>
  <c r="G80" i="5"/>
  <c r="N79" i="5"/>
  <c r="M79" i="5"/>
  <c r="J79" i="5"/>
  <c r="I79" i="5"/>
  <c r="H79" i="5"/>
  <c r="G79" i="5"/>
  <c r="N78" i="5"/>
  <c r="M78" i="5"/>
  <c r="J78" i="5"/>
  <c r="I78" i="5"/>
  <c r="H78" i="5"/>
  <c r="G78" i="5"/>
  <c r="N77" i="5"/>
  <c r="M77" i="5"/>
  <c r="J77" i="5"/>
  <c r="I77" i="5"/>
  <c r="H77" i="5"/>
  <c r="G77" i="5"/>
  <c r="N76" i="5"/>
  <c r="M76" i="5"/>
  <c r="J76" i="5"/>
  <c r="I76" i="5"/>
  <c r="H76" i="5"/>
  <c r="G76" i="5"/>
  <c r="N75" i="5"/>
  <c r="M75" i="5"/>
  <c r="J75" i="5"/>
  <c r="I75" i="5"/>
  <c r="H75" i="5"/>
  <c r="G75" i="5"/>
  <c r="N74" i="5"/>
  <c r="M74" i="5"/>
  <c r="J74" i="5"/>
  <c r="I74" i="5"/>
  <c r="H74" i="5"/>
  <c r="G74" i="5"/>
  <c r="N73" i="5"/>
  <c r="M73" i="5"/>
  <c r="J73" i="5"/>
  <c r="I73" i="5"/>
  <c r="H73" i="5"/>
  <c r="G73" i="5"/>
  <c r="N72" i="5"/>
  <c r="M72" i="5"/>
  <c r="J72" i="5"/>
  <c r="I72" i="5"/>
  <c r="H72" i="5"/>
  <c r="G72" i="5"/>
  <c r="N71" i="5"/>
  <c r="M71" i="5"/>
  <c r="J71" i="5"/>
  <c r="I71" i="5"/>
  <c r="H71" i="5"/>
  <c r="G71" i="5"/>
  <c r="N70" i="5"/>
  <c r="M70" i="5"/>
  <c r="J70" i="5"/>
  <c r="I70" i="5"/>
  <c r="H70" i="5"/>
  <c r="G70" i="5"/>
  <c r="N69" i="5"/>
  <c r="M69" i="5"/>
  <c r="J69" i="5"/>
  <c r="I69" i="5"/>
  <c r="H69" i="5"/>
  <c r="G69" i="5"/>
  <c r="N68" i="5"/>
  <c r="M68" i="5"/>
  <c r="J68" i="5"/>
  <c r="I68" i="5"/>
  <c r="H68" i="5"/>
  <c r="G68" i="5"/>
  <c r="N67" i="5"/>
  <c r="M67" i="5"/>
  <c r="J67" i="5"/>
  <c r="I67" i="5"/>
  <c r="H67" i="5"/>
  <c r="G67" i="5"/>
  <c r="N66" i="5"/>
  <c r="M66" i="5"/>
  <c r="J66" i="5"/>
  <c r="I66" i="5"/>
  <c r="H66" i="5"/>
  <c r="G66" i="5"/>
  <c r="N65" i="5"/>
  <c r="M65" i="5"/>
  <c r="J65" i="5"/>
  <c r="I65" i="5"/>
  <c r="H65" i="5"/>
  <c r="G65" i="5"/>
  <c r="N64" i="5"/>
  <c r="M64" i="5"/>
  <c r="J64" i="5"/>
  <c r="I64" i="5"/>
  <c r="H64" i="5"/>
  <c r="G64" i="5"/>
  <c r="N63" i="5"/>
  <c r="M63" i="5"/>
  <c r="J63" i="5"/>
  <c r="I63" i="5"/>
  <c r="H63" i="5"/>
  <c r="G63" i="5"/>
  <c r="N62" i="5"/>
  <c r="M62" i="5"/>
  <c r="J62" i="5"/>
  <c r="I62" i="5"/>
  <c r="H62" i="5"/>
  <c r="G62" i="5"/>
  <c r="N61" i="5"/>
  <c r="M61" i="5"/>
  <c r="J61" i="5"/>
  <c r="I61" i="5"/>
  <c r="H61" i="5"/>
  <c r="G61" i="5"/>
  <c r="N60" i="5"/>
  <c r="M60" i="5"/>
  <c r="J60" i="5"/>
  <c r="I60" i="5"/>
  <c r="H60" i="5"/>
  <c r="G60" i="5"/>
  <c r="N59" i="5"/>
  <c r="M59" i="5"/>
  <c r="J59" i="5"/>
  <c r="I59" i="5"/>
  <c r="H59" i="5"/>
  <c r="G59" i="5"/>
  <c r="N58" i="5"/>
  <c r="M58" i="5"/>
  <c r="J58" i="5"/>
  <c r="I58" i="5"/>
  <c r="H58" i="5"/>
  <c r="G58" i="5"/>
  <c r="N57" i="5"/>
  <c r="M57" i="5"/>
  <c r="J57" i="5"/>
  <c r="I57" i="5"/>
  <c r="H57" i="5"/>
  <c r="G57" i="5"/>
  <c r="N56" i="5"/>
  <c r="M56" i="5"/>
  <c r="J56" i="5"/>
  <c r="I56" i="5"/>
  <c r="H56" i="5"/>
  <c r="G56" i="5"/>
  <c r="N55" i="5"/>
  <c r="M55" i="5"/>
  <c r="J55" i="5"/>
  <c r="I55" i="5"/>
  <c r="H55" i="5"/>
  <c r="G55" i="5"/>
  <c r="N54" i="5"/>
  <c r="M54" i="5"/>
  <c r="J54" i="5"/>
  <c r="I54" i="5"/>
  <c r="H54" i="5"/>
  <c r="G54" i="5"/>
  <c r="N53" i="5"/>
  <c r="M53" i="5"/>
  <c r="J53" i="5"/>
  <c r="I53" i="5"/>
  <c r="H53" i="5"/>
  <c r="G53" i="5"/>
  <c r="N52" i="5"/>
  <c r="M52" i="5"/>
  <c r="J52" i="5"/>
  <c r="I52" i="5"/>
  <c r="H52" i="5"/>
  <c r="G52" i="5"/>
  <c r="N51" i="5"/>
  <c r="M51" i="5"/>
  <c r="J51" i="5"/>
  <c r="I51" i="5"/>
  <c r="H51" i="5"/>
  <c r="G51" i="5"/>
  <c r="N50" i="5"/>
  <c r="M50" i="5"/>
  <c r="J50" i="5"/>
  <c r="I50" i="5"/>
  <c r="H50" i="5"/>
  <c r="G50" i="5"/>
  <c r="N49" i="5"/>
  <c r="M49" i="5"/>
  <c r="J49" i="5"/>
  <c r="I49" i="5"/>
  <c r="H49" i="5"/>
  <c r="G49" i="5"/>
  <c r="N48" i="5"/>
  <c r="M48" i="5"/>
  <c r="J48" i="5"/>
  <c r="I48" i="5"/>
  <c r="H48" i="5"/>
  <c r="G48" i="5"/>
  <c r="N47" i="5"/>
  <c r="M47" i="5"/>
  <c r="J47" i="5"/>
  <c r="I47" i="5"/>
  <c r="H47" i="5"/>
  <c r="G47" i="5"/>
  <c r="N46" i="5"/>
  <c r="M46" i="5"/>
  <c r="J46" i="5"/>
  <c r="I46" i="5"/>
  <c r="H46" i="5"/>
  <c r="G46" i="5"/>
  <c r="N45" i="5"/>
  <c r="M45" i="5"/>
  <c r="J45" i="5"/>
  <c r="I45" i="5"/>
  <c r="H45" i="5"/>
  <c r="G45" i="5"/>
  <c r="N44" i="5"/>
  <c r="M44" i="5"/>
  <c r="J44" i="5"/>
  <c r="I44" i="5"/>
  <c r="H44" i="5"/>
  <c r="G44" i="5"/>
  <c r="N43" i="5"/>
  <c r="M43" i="5"/>
  <c r="J43" i="5"/>
  <c r="I43" i="5"/>
  <c r="H43" i="5"/>
  <c r="G43" i="5"/>
  <c r="N42" i="5"/>
  <c r="M42" i="5"/>
  <c r="J42" i="5"/>
  <c r="I42" i="5"/>
  <c r="H42" i="5"/>
  <c r="G42" i="5"/>
  <c r="N41" i="5"/>
  <c r="M41" i="5"/>
  <c r="J41" i="5"/>
  <c r="I41" i="5"/>
  <c r="H41" i="5"/>
  <c r="G41" i="5"/>
  <c r="N40" i="5"/>
  <c r="M40" i="5"/>
  <c r="J40" i="5"/>
  <c r="I40" i="5"/>
  <c r="H40" i="5"/>
  <c r="G40" i="5"/>
  <c r="N39" i="5"/>
  <c r="M39" i="5"/>
  <c r="J39" i="5"/>
  <c r="I39" i="5"/>
  <c r="H39" i="5"/>
  <c r="G39" i="5"/>
  <c r="N38" i="5"/>
  <c r="M38" i="5"/>
  <c r="J38" i="5"/>
  <c r="I38" i="5"/>
  <c r="H38" i="5"/>
  <c r="G38" i="5"/>
  <c r="N37" i="5"/>
  <c r="M37" i="5"/>
  <c r="J37" i="5"/>
  <c r="I37" i="5"/>
  <c r="H37" i="5"/>
  <c r="G37" i="5"/>
  <c r="N36" i="5"/>
  <c r="M36" i="5"/>
  <c r="J36" i="5"/>
  <c r="I36" i="5"/>
  <c r="H36" i="5"/>
  <c r="G36" i="5"/>
  <c r="N35" i="5"/>
  <c r="M35" i="5"/>
  <c r="J35" i="5"/>
  <c r="I35" i="5"/>
  <c r="H35" i="5"/>
  <c r="G35" i="5"/>
  <c r="N34" i="5"/>
  <c r="M34" i="5"/>
  <c r="J34" i="5"/>
  <c r="I34" i="5"/>
  <c r="H34" i="5"/>
  <c r="G34" i="5"/>
  <c r="N33" i="5"/>
  <c r="M33" i="5"/>
  <c r="J33" i="5"/>
  <c r="I33" i="5"/>
  <c r="H33" i="5"/>
  <c r="G33" i="5"/>
  <c r="N32" i="5"/>
  <c r="M32" i="5"/>
  <c r="J32" i="5"/>
  <c r="I32" i="5"/>
  <c r="H32" i="5"/>
  <c r="G32" i="5"/>
  <c r="N31" i="5"/>
  <c r="M31" i="5"/>
  <c r="J31" i="5"/>
  <c r="I31" i="5"/>
  <c r="H31" i="5"/>
  <c r="G31" i="5"/>
  <c r="N30" i="5"/>
  <c r="M30" i="5"/>
  <c r="J30" i="5"/>
  <c r="I30" i="5"/>
  <c r="H30" i="5"/>
  <c r="G30" i="5"/>
  <c r="N29" i="5"/>
  <c r="M29" i="5"/>
  <c r="J29" i="5"/>
  <c r="I29" i="5"/>
  <c r="H29" i="5"/>
  <c r="G29" i="5"/>
  <c r="N28" i="5"/>
  <c r="M28" i="5"/>
  <c r="J28" i="5"/>
  <c r="I28" i="5"/>
  <c r="H28" i="5"/>
  <c r="G28" i="5"/>
  <c r="N27" i="5"/>
  <c r="M27" i="5"/>
  <c r="J27" i="5"/>
  <c r="I27" i="5"/>
  <c r="H27" i="5"/>
  <c r="G27" i="5"/>
  <c r="N26" i="5"/>
  <c r="M26" i="5"/>
  <c r="J26" i="5"/>
  <c r="I26" i="5"/>
  <c r="H26" i="5"/>
  <c r="G26" i="5"/>
  <c r="N25" i="5"/>
  <c r="M25" i="5"/>
  <c r="J25" i="5"/>
  <c r="I25" i="5"/>
  <c r="H25" i="5"/>
  <c r="G25" i="5"/>
  <c r="N24" i="5"/>
  <c r="M24" i="5"/>
  <c r="J24" i="5"/>
  <c r="I24" i="5"/>
  <c r="H24" i="5"/>
  <c r="G24" i="5"/>
  <c r="N23" i="5"/>
  <c r="M23" i="5"/>
  <c r="J23" i="5"/>
  <c r="I23" i="5"/>
  <c r="H23" i="5"/>
  <c r="G23" i="5"/>
  <c r="N22" i="5"/>
  <c r="M22" i="5"/>
  <c r="J22" i="5"/>
  <c r="I22" i="5"/>
  <c r="H22" i="5"/>
  <c r="G22" i="5"/>
  <c r="N21" i="5"/>
  <c r="M21" i="5"/>
  <c r="J21" i="5"/>
  <c r="I21" i="5"/>
  <c r="H21" i="5"/>
  <c r="G21" i="5"/>
  <c r="N20" i="5"/>
  <c r="M20" i="5"/>
  <c r="J20" i="5"/>
  <c r="I20" i="5"/>
  <c r="H20" i="5"/>
  <c r="G20" i="5"/>
  <c r="N19" i="5"/>
  <c r="M19" i="5"/>
  <c r="J19" i="5"/>
  <c r="I19" i="5"/>
  <c r="H19" i="5"/>
  <c r="G19" i="5"/>
  <c r="N18" i="5"/>
  <c r="M18" i="5"/>
  <c r="J18" i="5"/>
  <c r="I18" i="5"/>
  <c r="H18" i="5"/>
  <c r="G18" i="5"/>
  <c r="N17" i="5"/>
  <c r="M17" i="5"/>
  <c r="J17" i="5"/>
  <c r="I17" i="5"/>
  <c r="H17" i="5"/>
  <c r="G17" i="5"/>
  <c r="N16" i="5"/>
  <c r="M16" i="5"/>
  <c r="J16" i="5"/>
  <c r="I16" i="5"/>
  <c r="H16" i="5"/>
  <c r="G16" i="5"/>
  <c r="N15" i="5"/>
  <c r="M15" i="5"/>
  <c r="J15" i="5"/>
  <c r="I15" i="5"/>
  <c r="H15" i="5"/>
  <c r="G15" i="5"/>
  <c r="N14" i="5"/>
  <c r="M14" i="5"/>
  <c r="J14" i="5"/>
  <c r="I14" i="5"/>
  <c r="H14" i="5"/>
  <c r="G14" i="5"/>
  <c r="N13" i="5"/>
  <c r="M13" i="5"/>
  <c r="J13" i="5"/>
  <c r="I13" i="5"/>
  <c r="H13" i="5"/>
  <c r="G13" i="5"/>
  <c r="N12" i="5"/>
  <c r="M12" i="5"/>
  <c r="J12" i="5"/>
  <c r="I12" i="5"/>
  <c r="H12" i="5"/>
  <c r="G12" i="5"/>
  <c r="N11" i="5"/>
  <c r="M11" i="5"/>
  <c r="J11" i="5"/>
  <c r="I11" i="5"/>
  <c r="H11" i="5"/>
  <c r="G11" i="5"/>
  <c r="N10" i="5"/>
  <c r="M10" i="5"/>
  <c r="J10" i="5"/>
  <c r="I10" i="5"/>
  <c r="H10" i="5"/>
  <c r="G10" i="5"/>
  <c r="N9" i="5"/>
  <c r="M9" i="5"/>
  <c r="J9" i="5"/>
  <c r="I9" i="5"/>
  <c r="H9" i="5"/>
  <c r="G9" i="5"/>
  <c r="N8" i="5"/>
  <c r="M8" i="5"/>
  <c r="J8" i="5"/>
  <c r="I8" i="5"/>
  <c r="H8" i="5"/>
  <c r="G8" i="5"/>
  <c r="N7" i="5"/>
  <c r="M7" i="5"/>
  <c r="J7" i="5"/>
  <c r="I7" i="5"/>
  <c r="H7" i="5"/>
  <c r="G7" i="5"/>
  <c r="N6" i="5"/>
  <c r="M6" i="5"/>
  <c r="J6" i="5"/>
  <c r="I6" i="5"/>
  <c r="H6" i="5"/>
  <c r="G6" i="5"/>
  <c r="N5" i="5"/>
  <c r="M5" i="5"/>
  <c r="J5" i="5"/>
  <c r="I5" i="5"/>
  <c r="H5" i="5"/>
  <c r="G5" i="5"/>
  <c r="N4" i="5"/>
  <c r="M4" i="5"/>
  <c r="J4" i="5"/>
  <c r="I4" i="5"/>
  <c r="H4" i="5"/>
  <c r="G4" i="5"/>
  <c r="N3" i="5"/>
  <c r="M3" i="5"/>
  <c r="J3" i="5"/>
  <c r="I3" i="5"/>
  <c r="H3" i="5"/>
  <c r="G3" i="5"/>
  <c r="G2" i="5"/>
  <c r="H2" i="5"/>
  <c r="I2" i="5"/>
  <c r="J2" i="5"/>
  <c r="L366" i="5" l="1"/>
  <c r="L384" i="5"/>
  <c r="K2" i="5"/>
  <c r="K480" i="5"/>
  <c r="L217" i="5"/>
  <c r="K387" i="5"/>
  <c r="K435" i="5"/>
  <c r="L148" i="5"/>
  <c r="L82" i="5"/>
  <c r="L112" i="5"/>
  <c r="L118" i="5"/>
  <c r="K351" i="5"/>
  <c r="L85" i="5"/>
  <c r="K185" i="5"/>
  <c r="L193" i="5"/>
  <c r="U53" i="5"/>
  <c r="V352" i="5"/>
  <c r="V358" i="5"/>
  <c r="V364" i="5"/>
  <c r="V370" i="5"/>
  <c r="V376" i="5"/>
  <c r="V382" i="5"/>
  <c r="V388" i="5"/>
  <c r="V394" i="5"/>
  <c r="V400" i="5"/>
  <c r="V406" i="5"/>
  <c r="V412" i="5"/>
  <c r="V418" i="5"/>
  <c r="V424" i="5"/>
  <c r="V430" i="5"/>
  <c r="V436" i="5"/>
  <c r="V442" i="5"/>
  <c r="V448" i="5"/>
  <c r="V454" i="5"/>
  <c r="V460" i="5"/>
  <c r="V466" i="5"/>
  <c r="V472" i="5"/>
  <c r="V478" i="5"/>
  <c r="V484" i="5"/>
  <c r="V191" i="5"/>
  <c r="V197" i="5"/>
  <c r="V203" i="5"/>
  <c r="V209" i="5"/>
  <c r="V215" i="5"/>
  <c r="V221" i="5"/>
  <c r="V227" i="5"/>
  <c r="V233" i="5"/>
  <c r="V239" i="5"/>
  <c r="V245" i="5"/>
  <c r="V251" i="5"/>
  <c r="V257" i="5"/>
  <c r="V263" i="5"/>
  <c r="V269" i="5"/>
  <c r="V275" i="5"/>
  <c r="V281" i="5"/>
  <c r="V287" i="5"/>
  <c r="V293" i="5"/>
  <c r="V299" i="5"/>
  <c r="V305" i="5"/>
  <c r="V311" i="5"/>
  <c r="V317" i="5"/>
  <c r="V323" i="5"/>
  <c r="V329" i="5"/>
  <c r="V335" i="5"/>
  <c r="V341" i="5"/>
  <c r="V347" i="5"/>
  <c r="V353" i="5"/>
  <c r="V359" i="5"/>
  <c r="V365" i="5"/>
  <c r="V371" i="5"/>
  <c r="V377" i="5"/>
  <c r="V383" i="5"/>
  <c r="V389" i="5"/>
  <c r="V395" i="5"/>
  <c r="V401" i="5"/>
  <c r="V407" i="5"/>
  <c r="V413" i="5"/>
  <c r="V419" i="5"/>
  <c r="V425" i="5"/>
  <c r="V431" i="5"/>
  <c r="V437" i="5"/>
  <c r="V443" i="5"/>
  <c r="V449" i="5"/>
  <c r="V455" i="5"/>
  <c r="V461" i="5"/>
  <c r="V467" i="5"/>
  <c r="V473" i="5"/>
  <c r="V6" i="5"/>
  <c r="V12" i="5"/>
  <c r="V18" i="5"/>
  <c r="V24" i="5"/>
  <c r="V30" i="5"/>
  <c r="V36" i="5"/>
  <c r="V42" i="5"/>
  <c r="V48" i="5"/>
  <c r="V54" i="5"/>
  <c r="U269" i="5"/>
  <c r="U305" i="5"/>
  <c r="U341" i="5"/>
  <c r="U377" i="5"/>
  <c r="U413" i="5"/>
  <c r="U449" i="5"/>
  <c r="L235" i="5"/>
  <c r="L355" i="5"/>
  <c r="K357" i="5"/>
  <c r="K399" i="5"/>
  <c r="L403" i="5"/>
  <c r="K405" i="5"/>
  <c r="L58" i="5"/>
  <c r="K68" i="5"/>
  <c r="K18" i="5"/>
  <c r="K36" i="5"/>
  <c r="L136" i="5"/>
  <c r="L158" i="5"/>
  <c r="K160" i="5"/>
  <c r="K471" i="5"/>
  <c r="K42" i="5"/>
  <c r="K328" i="5"/>
  <c r="K342" i="5"/>
  <c r="L268" i="5"/>
  <c r="L214" i="5"/>
  <c r="L262" i="5"/>
  <c r="K414" i="5"/>
  <c r="K426" i="5"/>
  <c r="L13" i="5"/>
  <c r="L15" i="5"/>
  <c r="L25" i="5"/>
  <c r="L27" i="5"/>
  <c r="L31" i="5"/>
  <c r="L35" i="5"/>
  <c r="L43" i="5"/>
  <c r="L145" i="5"/>
  <c r="L167" i="5"/>
  <c r="K169" i="5"/>
  <c r="L171" i="5"/>
  <c r="L173" i="5"/>
  <c r="K175" i="5"/>
  <c r="L181" i="5"/>
  <c r="L151" i="5"/>
  <c r="K153" i="5"/>
  <c r="L229" i="5"/>
  <c r="K267" i="5"/>
  <c r="V7" i="5"/>
  <c r="V13" i="5"/>
  <c r="V19" i="5"/>
  <c r="V25" i="5"/>
  <c r="V31" i="5"/>
  <c r="V37" i="5"/>
  <c r="V43" i="5"/>
  <c r="V49" i="5"/>
  <c r="V55" i="5"/>
  <c r="V61" i="5"/>
  <c r="V67" i="5"/>
  <c r="V73" i="5"/>
  <c r="V79" i="5"/>
  <c r="V85" i="5"/>
  <c r="V91" i="5"/>
  <c r="V97" i="5"/>
  <c r="V103" i="5"/>
  <c r="V109" i="5"/>
  <c r="V115" i="5"/>
  <c r="V121" i="5"/>
  <c r="V127" i="5"/>
  <c r="V133" i="5"/>
  <c r="V139" i="5"/>
  <c r="V145" i="5"/>
  <c r="V151" i="5"/>
  <c r="V157" i="5"/>
  <c r="V163" i="5"/>
  <c r="V4" i="5"/>
  <c r="V10" i="5"/>
  <c r="V16" i="5"/>
  <c r="V22" i="5"/>
  <c r="V28" i="5"/>
  <c r="V34" i="5"/>
  <c r="V40" i="5"/>
  <c r="V46" i="5"/>
  <c r="V52" i="5"/>
  <c r="V58" i="5"/>
  <c r="V64" i="5"/>
  <c r="V70" i="5"/>
  <c r="V76" i="5"/>
  <c r="V82" i="5"/>
  <c r="V88" i="5"/>
  <c r="V94" i="5"/>
  <c r="V100" i="5"/>
  <c r="V106" i="5"/>
  <c r="V112" i="5"/>
  <c r="V118" i="5"/>
  <c r="V124" i="5"/>
  <c r="V130" i="5"/>
  <c r="V136" i="5"/>
  <c r="V142" i="5"/>
  <c r="V148" i="5"/>
  <c r="V154" i="5"/>
  <c r="V160" i="5"/>
  <c r="V166" i="5"/>
  <c r="V5" i="5"/>
  <c r="U5" i="5"/>
  <c r="V11" i="5"/>
  <c r="U11" i="5"/>
  <c r="V17" i="5"/>
  <c r="V23" i="5"/>
  <c r="U23" i="5"/>
  <c r="V29" i="5"/>
  <c r="U29" i="5"/>
  <c r="V35" i="5"/>
  <c r="U35" i="5"/>
  <c r="V41" i="5"/>
  <c r="U41" i="5"/>
  <c r="V47" i="5"/>
  <c r="V53" i="5"/>
  <c r="V59" i="5"/>
  <c r="V65" i="5"/>
  <c r="V71" i="5"/>
  <c r="V77" i="5"/>
  <c r="V83" i="5"/>
  <c r="V89" i="5"/>
  <c r="V95" i="5"/>
  <c r="V101" i="5"/>
  <c r="V107" i="5"/>
  <c r="V113" i="5"/>
  <c r="V119" i="5"/>
  <c r="V125" i="5"/>
  <c r="V131" i="5"/>
  <c r="V137" i="5"/>
  <c r="V143" i="5"/>
  <c r="V149" i="5"/>
  <c r="V155" i="5"/>
  <c r="V161" i="5"/>
  <c r="V167" i="5"/>
  <c r="V173" i="5"/>
  <c r="V179" i="5"/>
  <c r="V185" i="5"/>
  <c r="U17" i="5"/>
  <c r="U59" i="5"/>
  <c r="U95" i="5"/>
  <c r="U131" i="5"/>
  <c r="U167" i="5"/>
  <c r="U203" i="5"/>
  <c r="U239" i="5"/>
  <c r="U275" i="5"/>
  <c r="U311" i="5"/>
  <c r="U347" i="5"/>
  <c r="U383" i="5"/>
  <c r="U419" i="5"/>
  <c r="U455" i="5"/>
  <c r="U65" i="5"/>
  <c r="U101" i="5"/>
  <c r="U137" i="5"/>
  <c r="U173" i="5"/>
  <c r="U209" i="5"/>
  <c r="U245" i="5"/>
  <c r="U281" i="5"/>
  <c r="U317" i="5"/>
  <c r="U353" i="5"/>
  <c r="U389" i="5"/>
  <c r="U425" i="5"/>
  <c r="U461" i="5"/>
  <c r="V172" i="5"/>
  <c r="V178" i="5"/>
  <c r="V184" i="5"/>
  <c r="V190" i="5"/>
  <c r="V196" i="5"/>
  <c r="V202" i="5"/>
  <c r="V208" i="5"/>
  <c r="V214" i="5"/>
  <c r="V220" i="5"/>
  <c r="V226" i="5"/>
  <c r="V232" i="5"/>
  <c r="V238" i="5"/>
  <c r="V244" i="5"/>
  <c r="V250" i="5"/>
  <c r="V256" i="5"/>
  <c r="V262" i="5"/>
  <c r="V268" i="5"/>
  <c r="V274" i="5"/>
  <c r="V280" i="5"/>
  <c r="V286" i="5"/>
  <c r="V292" i="5"/>
  <c r="V298" i="5"/>
  <c r="V304" i="5"/>
  <c r="V310" i="5"/>
  <c r="V316" i="5"/>
  <c r="V322" i="5"/>
  <c r="V328" i="5"/>
  <c r="V334" i="5"/>
  <c r="V340" i="5"/>
  <c r="V346" i="5"/>
  <c r="U71" i="5"/>
  <c r="U107" i="5"/>
  <c r="U143" i="5"/>
  <c r="U179" i="5"/>
  <c r="U215" i="5"/>
  <c r="U251" i="5"/>
  <c r="U287" i="5"/>
  <c r="U323" i="5"/>
  <c r="U359" i="5"/>
  <c r="U395" i="5"/>
  <c r="U431" i="5"/>
  <c r="U467" i="5"/>
  <c r="V3" i="5"/>
  <c r="U77" i="5"/>
  <c r="U113" i="5"/>
  <c r="U149" i="5"/>
  <c r="U185" i="5"/>
  <c r="U221" i="5"/>
  <c r="U257" i="5"/>
  <c r="U293" i="5"/>
  <c r="U329" i="5"/>
  <c r="U365" i="5"/>
  <c r="U401" i="5"/>
  <c r="U437" i="5"/>
  <c r="V60" i="5"/>
  <c r="V66" i="5"/>
  <c r="V72" i="5"/>
  <c r="V78" i="5"/>
  <c r="V84" i="5"/>
  <c r="V90" i="5"/>
  <c r="V96" i="5"/>
  <c r="V102" i="5"/>
  <c r="V108" i="5"/>
  <c r="V114" i="5"/>
  <c r="V120" i="5"/>
  <c r="V126" i="5"/>
  <c r="V132" i="5"/>
  <c r="V138" i="5"/>
  <c r="V144" i="5"/>
  <c r="V150" i="5"/>
  <c r="V156" i="5"/>
  <c r="V162" i="5"/>
  <c r="V168" i="5"/>
  <c r="V174" i="5"/>
  <c r="V180" i="5"/>
  <c r="V186" i="5"/>
  <c r="V192" i="5"/>
  <c r="V198" i="5"/>
  <c r="V204" i="5"/>
  <c r="V210" i="5"/>
  <c r="V216" i="5"/>
  <c r="V222" i="5"/>
  <c r="V228" i="5"/>
  <c r="V234" i="5"/>
  <c r="V240" i="5"/>
  <c r="V246" i="5"/>
  <c r="V252" i="5"/>
  <c r="V258" i="5"/>
  <c r="V264" i="5"/>
  <c r="V270" i="5"/>
  <c r="V276" i="5"/>
  <c r="V282" i="5"/>
  <c r="V288" i="5"/>
  <c r="V294" i="5"/>
  <c r="V300" i="5"/>
  <c r="V306" i="5"/>
  <c r="V312" i="5"/>
  <c r="V318" i="5"/>
  <c r="V324" i="5"/>
  <c r="V330" i="5"/>
  <c r="V336" i="5"/>
  <c r="V342" i="5"/>
  <c r="V348" i="5"/>
  <c r="V354" i="5"/>
  <c r="V360" i="5"/>
  <c r="V366" i="5"/>
  <c r="V372" i="5"/>
  <c r="V378" i="5"/>
  <c r="V384" i="5"/>
  <c r="V390" i="5"/>
  <c r="V396" i="5"/>
  <c r="V402" i="5"/>
  <c r="V408" i="5"/>
  <c r="V414" i="5"/>
  <c r="V420" i="5"/>
  <c r="V426" i="5"/>
  <c r="V432" i="5"/>
  <c r="V438" i="5"/>
  <c r="V444" i="5"/>
  <c r="V450" i="5"/>
  <c r="V456" i="5"/>
  <c r="V462" i="5"/>
  <c r="V468" i="5"/>
  <c r="V474" i="5"/>
  <c r="V480" i="5"/>
  <c r="U47" i="5"/>
  <c r="U83" i="5"/>
  <c r="U119" i="5"/>
  <c r="U155" i="5"/>
  <c r="U191" i="5"/>
  <c r="U227" i="5"/>
  <c r="U263" i="5"/>
  <c r="U299" i="5"/>
  <c r="U335" i="5"/>
  <c r="U371" i="5"/>
  <c r="U407" i="5"/>
  <c r="U443" i="5"/>
  <c r="U479" i="5"/>
  <c r="V169" i="5"/>
  <c r="V175" i="5"/>
  <c r="V181" i="5"/>
  <c r="V187" i="5"/>
  <c r="V193" i="5"/>
  <c r="V199" i="5"/>
  <c r="V205" i="5"/>
  <c r="V211" i="5"/>
  <c r="V217" i="5"/>
  <c r="V223" i="5"/>
  <c r="V229" i="5"/>
  <c r="V235" i="5"/>
  <c r="V241" i="5"/>
  <c r="V247" i="5"/>
  <c r="V253" i="5"/>
  <c r="V259" i="5"/>
  <c r="V265" i="5"/>
  <c r="V271" i="5"/>
  <c r="V277" i="5"/>
  <c r="V283" i="5"/>
  <c r="V289" i="5"/>
  <c r="V295" i="5"/>
  <c r="V301" i="5"/>
  <c r="V307" i="5"/>
  <c r="V313" i="5"/>
  <c r="V319" i="5"/>
  <c r="V325" i="5"/>
  <c r="V331" i="5"/>
  <c r="V337" i="5"/>
  <c r="V343" i="5"/>
  <c r="V349" i="5"/>
  <c r="V355" i="5"/>
  <c r="V361" i="5"/>
  <c r="V367" i="5"/>
  <c r="V373" i="5"/>
  <c r="V379" i="5"/>
  <c r="V385" i="5"/>
  <c r="V391" i="5"/>
  <c r="V397" i="5"/>
  <c r="V403" i="5"/>
  <c r="V409" i="5"/>
  <c r="V415" i="5"/>
  <c r="V421" i="5"/>
  <c r="V427" i="5"/>
  <c r="V433" i="5"/>
  <c r="V439" i="5"/>
  <c r="V445" i="5"/>
  <c r="V451" i="5"/>
  <c r="V457" i="5"/>
  <c r="V463" i="5"/>
  <c r="V469" i="5"/>
  <c r="V475" i="5"/>
  <c r="V481" i="5"/>
  <c r="L10" i="5"/>
  <c r="L12" i="5"/>
  <c r="L14" i="5"/>
  <c r="L65" i="5"/>
  <c r="L67" i="5"/>
  <c r="L363" i="5"/>
  <c r="L369" i="5"/>
  <c r="L375" i="5"/>
  <c r="L8" i="5"/>
  <c r="K6" i="5"/>
  <c r="L16" i="5"/>
  <c r="L18" i="5"/>
  <c r="K53" i="5"/>
  <c r="K59" i="5"/>
  <c r="L142" i="5"/>
  <c r="L188" i="5"/>
  <c r="K190" i="5"/>
  <c r="L233" i="5"/>
  <c r="L271" i="5"/>
  <c r="L319" i="5"/>
  <c r="K321" i="5"/>
  <c r="L343" i="5"/>
  <c r="L399" i="5"/>
  <c r="K32" i="5"/>
  <c r="L36" i="5"/>
  <c r="K93" i="5"/>
  <c r="L166" i="5"/>
  <c r="L184" i="5"/>
  <c r="L194" i="5"/>
  <c r="K196" i="5"/>
  <c r="K315" i="5"/>
  <c r="L178" i="5"/>
  <c r="L224" i="5"/>
  <c r="K226" i="5"/>
  <c r="L391" i="5"/>
  <c r="L123" i="5"/>
  <c r="L131" i="5"/>
  <c r="L135" i="5"/>
  <c r="K24" i="5"/>
  <c r="L48" i="5"/>
  <c r="K50" i="5"/>
  <c r="L56" i="5"/>
  <c r="L109" i="5"/>
  <c r="K113" i="5"/>
  <c r="L115" i="5"/>
  <c r="L121" i="5"/>
  <c r="L137" i="5"/>
  <c r="L202" i="5"/>
  <c r="L220" i="5"/>
  <c r="K248" i="5"/>
  <c r="K459" i="5"/>
  <c r="L475" i="5"/>
  <c r="K477" i="5"/>
  <c r="L481" i="5"/>
  <c r="L129" i="5"/>
  <c r="K133" i="5"/>
  <c r="K44" i="5"/>
  <c r="L155" i="5"/>
  <c r="K157" i="5"/>
  <c r="K276" i="5"/>
  <c r="L288" i="5"/>
  <c r="K312" i="5"/>
  <c r="L318" i="5"/>
  <c r="L348" i="5"/>
  <c r="L439" i="5"/>
  <c r="K441" i="5"/>
  <c r="K9" i="5"/>
  <c r="L88" i="5"/>
  <c r="L98" i="5"/>
  <c r="K100" i="5"/>
  <c r="L110" i="5"/>
  <c r="K112" i="5"/>
  <c r="K149" i="5"/>
  <c r="K165" i="5"/>
  <c r="L191" i="5"/>
  <c r="K193" i="5"/>
  <c r="K258" i="5"/>
  <c r="K354" i="5"/>
  <c r="K378" i="5"/>
  <c r="K56" i="5"/>
  <c r="K161" i="5"/>
  <c r="L163" i="5"/>
  <c r="L187" i="5"/>
  <c r="L203" i="5"/>
  <c r="K205" i="5"/>
  <c r="L209" i="5"/>
  <c r="K211" i="5"/>
  <c r="K336" i="5"/>
  <c r="L358" i="5"/>
  <c r="K390" i="5"/>
  <c r="K396" i="5"/>
  <c r="L134" i="5"/>
  <c r="K136" i="5"/>
  <c r="L157" i="5"/>
  <c r="L227" i="5"/>
  <c r="K229" i="5"/>
  <c r="K372" i="5"/>
  <c r="K432" i="5"/>
  <c r="L438" i="5"/>
  <c r="L444" i="5"/>
  <c r="L450" i="5"/>
  <c r="L468" i="5"/>
  <c r="K3" i="5"/>
  <c r="K15" i="5"/>
  <c r="K21" i="5"/>
  <c r="L49" i="5"/>
  <c r="L76" i="5"/>
  <c r="L124" i="5"/>
  <c r="K126" i="5"/>
  <c r="K132" i="5"/>
  <c r="K197" i="5"/>
  <c r="L199" i="5"/>
  <c r="L223" i="5"/>
  <c r="K237" i="5"/>
  <c r="K249" i="5"/>
  <c r="L255" i="5"/>
  <c r="L412" i="5"/>
  <c r="K47" i="5"/>
  <c r="K122" i="5"/>
  <c r="L152" i="5"/>
  <c r="K154" i="5"/>
  <c r="K221" i="5"/>
  <c r="L291" i="5"/>
  <c r="L303" i="5"/>
  <c r="L309" i="5"/>
  <c r="L327" i="5"/>
  <c r="L333" i="5"/>
  <c r="L339" i="5"/>
  <c r="L351" i="5"/>
  <c r="L454" i="5"/>
  <c r="K456" i="5"/>
  <c r="L472" i="5"/>
  <c r="K218" i="5"/>
  <c r="K325" i="5"/>
  <c r="L376" i="5"/>
  <c r="K86" i="5"/>
  <c r="K90" i="5"/>
  <c r="K96" i="5"/>
  <c r="K129" i="5"/>
  <c r="K167" i="5"/>
  <c r="K171" i="5"/>
  <c r="K203" i="5"/>
  <c r="K235" i="5"/>
  <c r="L274" i="5"/>
  <c r="L325" i="5"/>
  <c r="L361" i="5"/>
  <c r="L409" i="5"/>
  <c r="K33" i="5"/>
  <c r="K92" i="5"/>
  <c r="L94" i="5"/>
  <c r="K125" i="5"/>
  <c r="L127" i="5"/>
  <c r="K131" i="5"/>
  <c r="K135" i="5"/>
  <c r="K152" i="5"/>
  <c r="K156" i="5"/>
  <c r="K188" i="5"/>
  <c r="K224" i="5"/>
  <c r="K241" i="5"/>
  <c r="K310" i="5"/>
  <c r="K331" i="5"/>
  <c r="L346" i="5"/>
  <c r="L354" i="5"/>
  <c r="L382" i="5"/>
  <c r="L390" i="5"/>
  <c r="L447" i="5"/>
  <c r="K447" i="5"/>
  <c r="K150" i="5"/>
  <c r="K27" i="5"/>
  <c r="K39" i="5"/>
  <c r="K54" i="5"/>
  <c r="K65" i="5"/>
  <c r="L81" i="5"/>
  <c r="K98" i="5"/>
  <c r="K102" i="5"/>
  <c r="K108" i="5"/>
  <c r="L114" i="5"/>
  <c r="K141" i="5"/>
  <c r="L143" i="5"/>
  <c r="K145" i="5"/>
  <c r="L169" i="5"/>
  <c r="K173" i="5"/>
  <c r="L179" i="5"/>
  <c r="K181" i="5"/>
  <c r="L205" i="5"/>
  <c r="K209" i="5"/>
  <c r="L215" i="5"/>
  <c r="K217" i="5"/>
  <c r="L232" i="5"/>
  <c r="K253" i="5"/>
  <c r="K255" i="5"/>
  <c r="L280" i="5"/>
  <c r="K282" i="5"/>
  <c r="K294" i="5"/>
  <c r="K300" i="5"/>
  <c r="K327" i="5"/>
  <c r="L331" i="5"/>
  <c r="K363" i="5"/>
  <c r="L367" i="5"/>
  <c r="K123" i="5"/>
  <c r="L340" i="5"/>
  <c r="L5" i="5"/>
  <c r="L22" i="5"/>
  <c r="L37" i="5"/>
  <c r="K104" i="5"/>
  <c r="L106" i="5"/>
  <c r="K110" i="5"/>
  <c r="K114" i="5"/>
  <c r="L133" i="5"/>
  <c r="K137" i="5"/>
  <c r="L139" i="5"/>
  <c r="L147" i="5"/>
  <c r="L154" i="5"/>
  <c r="K158" i="5"/>
  <c r="K162" i="5"/>
  <c r="L164" i="5"/>
  <c r="K166" i="5"/>
  <c r="L190" i="5"/>
  <c r="K194" i="5"/>
  <c r="L200" i="5"/>
  <c r="K202" i="5"/>
  <c r="L226" i="5"/>
  <c r="L230" i="5"/>
  <c r="K243" i="5"/>
  <c r="L247" i="5"/>
  <c r="L253" i="5"/>
  <c r="K261" i="5"/>
  <c r="K288" i="5"/>
  <c r="K306" i="5"/>
  <c r="K316" i="5"/>
  <c r="L324" i="5"/>
  <c r="K348" i="5"/>
  <c r="L352" i="5"/>
  <c r="L360" i="5"/>
  <c r="K384" i="5"/>
  <c r="L402" i="5"/>
  <c r="K402" i="5"/>
  <c r="L445" i="5"/>
  <c r="K146" i="5"/>
  <c r="K182" i="5"/>
  <c r="K270" i="5"/>
  <c r="L20" i="5"/>
  <c r="K12" i="5"/>
  <c r="L24" i="5"/>
  <c r="L3" i="5"/>
  <c r="L7" i="5"/>
  <c r="L9" i="5"/>
  <c r="L26" i="5"/>
  <c r="L47" i="5"/>
  <c r="L73" i="5"/>
  <c r="L79" i="5"/>
  <c r="L100" i="5"/>
  <c r="K116" i="5"/>
  <c r="K120" i="5"/>
  <c r="K143" i="5"/>
  <c r="K147" i="5"/>
  <c r="L149" i="5"/>
  <c r="K151" i="5"/>
  <c r="L175" i="5"/>
  <c r="K179" i="5"/>
  <c r="L185" i="5"/>
  <c r="K187" i="5"/>
  <c r="L211" i="5"/>
  <c r="K215" i="5"/>
  <c r="L221" i="5"/>
  <c r="K223" i="5"/>
  <c r="K232" i="5"/>
  <c r="K236" i="5"/>
  <c r="L259" i="5"/>
  <c r="L265" i="5"/>
  <c r="L273" i="5"/>
  <c r="L316" i="5"/>
  <c r="K322" i="5"/>
  <c r="K333" i="5"/>
  <c r="L337" i="5"/>
  <c r="L345" i="5"/>
  <c r="K369" i="5"/>
  <c r="L373" i="5"/>
  <c r="L381" i="5"/>
  <c r="L394" i="5"/>
  <c r="K420" i="5"/>
  <c r="L11" i="5"/>
  <c r="L28" i="5"/>
  <c r="L30" i="5"/>
  <c r="K45" i="5"/>
  <c r="L66" i="5"/>
  <c r="L93" i="5"/>
  <c r="L95" i="5"/>
  <c r="K97" i="5"/>
  <c r="L128" i="5"/>
  <c r="L153" i="5"/>
  <c r="L160" i="5"/>
  <c r="K164" i="5"/>
  <c r="K168" i="5"/>
  <c r="L170" i="5"/>
  <c r="K172" i="5"/>
  <c r="L196" i="5"/>
  <c r="K200" i="5"/>
  <c r="L206" i="5"/>
  <c r="K208" i="5"/>
  <c r="L240" i="5"/>
  <c r="K271" i="5"/>
  <c r="K273" i="5"/>
  <c r="L279" i="5"/>
  <c r="K318" i="5"/>
  <c r="L322" i="5"/>
  <c r="L330" i="5"/>
  <c r="K339" i="5"/>
  <c r="K375" i="5"/>
  <c r="L379" i="5"/>
  <c r="L387" i="5"/>
  <c r="L17" i="5"/>
  <c r="K40" i="5"/>
  <c r="K62" i="5"/>
  <c r="L74" i="5"/>
  <c r="K76" i="5"/>
  <c r="K89" i="5"/>
  <c r="L91" i="5"/>
  <c r="K95" i="5"/>
  <c r="L107" i="5"/>
  <c r="L111" i="5"/>
  <c r="K128" i="5"/>
  <c r="L130" i="5"/>
  <c r="L140" i="5"/>
  <c r="K142" i="5"/>
  <c r="L159" i="5"/>
  <c r="K170" i="5"/>
  <c r="L176" i="5"/>
  <c r="K178" i="5"/>
  <c r="K206" i="5"/>
  <c r="L212" i="5"/>
  <c r="K214" i="5"/>
  <c r="L238" i="5"/>
  <c r="K246" i="5"/>
  <c r="L277" i="5"/>
  <c r="K301" i="5"/>
  <c r="L315" i="5"/>
  <c r="K324" i="5"/>
  <c r="L328" i="5"/>
  <c r="L336" i="5"/>
  <c r="K360" i="5"/>
  <c r="L364" i="5"/>
  <c r="L372" i="5"/>
  <c r="L417" i="5"/>
  <c r="K417" i="5"/>
  <c r="L21" i="5"/>
  <c r="L57" i="5"/>
  <c r="L78" i="5"/>
  <c r="K105" i="5"/>
  <c r="K111" i="5"/>
  <c r="L117" i="5"/>
  <c r="K134" i="5"/>
  <c r="K138" i="5"/>
  <c r="K155" i="5"/>
  <c r="K159" i="5"/>
  <c r="L161" i="5"/>
  <c r="K163" i="5"/>
  <c r="K191" i="5"/>
  <c r="L197" i="5"/>
  <c r="K199" i="5"/>
  <c r="K227" i="5"/>
  <c r="K252" i="5"/>
  <c r="L264" i="5"/>
  <c r="L283" i="5"/>
  <c r="K285" i="5"/>
  <c r="L289" i="5"/>
  <c r="K291" i="5"/>
  <c r="L301" i="5"/>
  <c r="K303" i="5"/>
  <c r="K313" i="5"/>
  <c r="L321" i="5"/>
  <c r="K345" i="5"/>
  <c r="L349" i="5"/>
  <c r="L357" i="5"/>
  <c r="K381" i="5"/>
  <c r="L411" i="5"/>
  <c r="K411" i="5"/>
  <c r="K63" i="5"/>
  <c r="K119" i="5"/>
  <c r="L19" i="5"/>
  <c r="L4" i="5"/>
  <c r="L6" i="5"/>
  <c r="L23" i="5"/>
  <c r="K74" i="5"/>
  <c r="L97" i="5"/>
  <c r="K101" i="5"/>
  <c r="L103" i="5"/>
  <c r="K107" i="5"/>
  <c r="K117" i="5"/>
  <c r="K140" i="5"/>
  <c r="K144" i="5"/>
  <c r="L146" i="5"/>
  <c r="K148" i="5"/>
  <c r="L165" i="5"/>
  <c r="L172" i="5"/>
  <c r="K176" i="5"/>
  <c r="L182" i="5"/>
  <c r="K184" i="5"/>
  <c r="L208" i="5"/>
  <c r="K212" i="5"/>
  <c r="L218" i="5"/>
  <c r="K220" i="5"/>
  <c r="K240" i="5"/>
  <c r="L250" i="5"/>
  <c r="L256" i="5"/>
  <c r="K262" i="5"/>
  <c r="K264" i="5"/>
  <c r="K279" i="5"/>
  <c r="K309" i="5"/>
  <c r="L313" i="5"/>
  <c r="K319" i="5"/>
  <c r="K330" i="5"/>
  <c r="L334" i="5"/>
  <c r="L342" i="5"/>
  <c r="K366" i="5"/>
  <c r="L370" i="5"/>
  <c r="L378" i="5"/>
  <c r="L388" i="5"/>
  <c r="L396" i="5"/>
  <c r="L424" i="5"/>
  <c r="L432" i="5"/>
  <c r="L453" i="5"/>
  <c r="K453" i="5"/>
  <c r="V8" i="5"/>
  <c r="V14" i="5"/>
  <c r="V20" i="5"/>
  <c r="V26" i="5"/>
  <c r="V32" i="5"/>
  <c r="V38" i="5"/>
  <c r="V44" i="5"/>
  <c r="V50" i="5"/>
  <c r="V56" i="5"/>
  <c r="V62" i="5"/>
  <c r="V68" i="5"/>
  <c r="V74" i="5"/>
  <c r="V80" i="5"/>
  <c r="V86" i="5"/>
  <c r="V92" i="5"/>
  <c r="V98" i="5"/>
  <c r="V104" i="5"/>
  <c r="V110" i="5"/>
  <c r="V116" i="5"/>
  <c r="V122" i="5"/>
  <c r="V128" i="5"/>
  <c r="V134" i="5"/>
  <c r="V140" i="5"/>
  <c r="V146" i="5"/>
  <c r="V152" i="5"/>
  <c r="V158" i="5"/>
  <c r="V164" i="5"/>
  <c r="V170" i="5"/>
  <c r="V176" i="5"/>
  <c r="V182" i="5"/>
  <c r="V188" i="5"/>
  <c r="V194" i="5"/>
  <c r="V200" i="5"/>
  <c r="V206" i="5"/>
  <c r="V212" i="5"/>
  <c r="V218" i="5"/>
  <c r="V224" i="5"/>
  <c r="V230" i="5"/>
  <c r="V236" i="5"/>
  <c r="V242" i="5"/>
  <c r="V248" i="5"/>
  <c r="V254" i="5"/>
  <c r="V260" i="5"/>
  <c r="V266" i="5"/>
  <c r="V272" i="5"/>
  <c r="V278" i="5"/>
  <c r="V284" i="5"/>
  <c r="V290" i="5"/>
  <c r="V296" i="5"/>
  <c r="V302" i="5"/>
  <c r="V308" i="5"/>
  <c r="V314" i="5"/>
  <c r="V320" i="5"/>
  <c r="V326" i="5"/>
  <c r="V332" i="5"/>
  <c r="V338" i="5"/>
  <c r="V344" i="5"/>
  <c r="V350" i="5"/>
  <c r="V356" i="5"/>
  <c r="V362" i="5"/>
  <c r="V368" i="5"/>
  <c r="V374" i="5"/>
  <c r="V380" i="5"/>
  <c r="V386" i="5"/>
  <c r="V392" i="5"/>
  <c r="V398" i="5"/>
  <c r="V404" i="5"/>
  <c r="V410" i="5"/>
  <c r="V416" i="5"/>
  <c r="V422" i="5"/>
  <c r="V428" i="5"/>
  <c r="V434" i="5"/>
  <c r="V440" i="5"/>
  <c r="V446" i="5"/>
  <c r="V452" i="5"/>
  <c r="V458" i="5"/>
  <c r="V464" i="5"/>
  <c r="V470" i="5"/>
  <c r="V476" i="5"/>
  <c r="V482" i="5"/>
  <c r="L430" i="5"/>
  <c r="V9" i="5"/>
  <c r="U9" i="5"/>
  <c r="V15" i="5"/>
  <c r="U15" i="5"/>
  <c r="V21" i="5"/>
  <c r="U21" i="5"/>
  <c r="V27" i="5"/>
  <c r="U27" i="5"/>
  <c r="V33" i="5"/>
  <c r="U33" i="5"/>
  <c r="V39" i="5"/>
  <c r="U39" i="5"/>
  <c r="V45" i="5"/>
  <c r="U45" i="5"/>
  <c r="V51" i="5"/>
  <c r="U51" i="5"/>
  <c r="V57" i="5"/>
  <c r="U57" i="5"/>
  <c r="V63" i="5"/>
  <c r="U63" i="5"/>
  <c r="V69" i="5"/>
  <c r="U69" i="5"/>
  <c r="V75" i="5"/>
  <c r="U75" i="5"/>
  <c r="V81" i="5"/>
  <c r="U81" i="5"/>
  <c r="V87" i="5"/>
  <c r="U87" i="5"/>
  <c r="V93" i="5"/>
  <c r="U93" i="5"/>
  <c r="V99" i="5"/>
  <c r="U99" i="5"/>
  <c r="V105" i="5"/>
  <c r="U105" i="5"/>
  <c r="V111" i="5"/>
  <c r="U111" i="5"/>
  <c r="V117" i="5"/>
  <c r="U117" i="5"/>
  <c r="V123" i="5"/>
  <c r="U123" i="5"/>
  <c r="V129" i="5"/>
  <c r="U129" i="5"/>
  <c r="V135" i="5"/>
  <c r="U135" i="5"/>
  <c r="V141" i="5"/>
  <c r="U141" i="5"/>
  <c r="V147" i="5"/>
  <c r="U147" i="5"/>
  <c r="V153" i="5"/>
  <c r="U153" i="5"/>
  <c r="V159" i="5"/>
  <c r="U159" i="5"/>
  <c r="V165" i="5"/>
  <c r="U165" i="5"/>
  <c r="V171" i="5"/>
  <c r="U171" i="5"/>
  <c r="V177" i="5"/>
  <c r="U177" i="5"/>
  <c r="V183" i="5"/>
  <c r="U183" i="5"/>
  <c r="V189" i="5"/>
  <c r="U189" i="5"/>
  <c r="V195" i="5"/>
  <c r="U195" i="5"/>
  <c r="V201" i="5"/>
  <c r="U201" i="5"/>
  <c r="V207" i="5"/>
  <c r="U207" i="5"/>
  <c r="V213" i="5"/>
  <c r="U213" i="5"/>
  <c r="V219" i="5"/>
  <c r="U219" i="5"/>
  <c r="V225" i="5"/>
  <c r="U225" i="5"/>
  <c r="V231" i="5"/>
  <c r="U231" i="5"/>
  <c r="V237" i="5"/>
  <c r="U237" i="5"/>
  <c r="V243" i="5"/>
  <c r="U243" i="5"/>
  <c r="V249" i="5"/>
  <c r="U249" i="5"/>
  <c r="V255" i="5"/>
  <c r="U255" i="5"/>
  <c r="V261" i="5"/>
  <c r="U261" i="5"/>
  <c r="V267" i="5"/>
  <c r="U267" i="5"/>
  <c r="V273" i="5"/>
  <c r="U273" i="5"/>
  <c r="V279" i="5"/>
  <c r="U279" i="5"/>
  <c r="V285" i="5"/>
  <c r="U285" i="5"/>
  <c r="V291" i="5"/>
  <c r="U291" i="5"/>
  <c r="V297" i="5"/>
  <c r="U297" i="5"/>
  <c r="V303" i="5"/>
  <c r="U303" i="5"/>
  <c r="V309" i="5"/>
  <c r="U309" i="5"/>
  <c r="V315" i="5"/>
  <c r="U315" i="5"/>
  <c r="V321" i="5"/>
  <c r="U321" i="5"/>
  <c r="V327" i="5"/>
  <c r="U327" i="5"/>
  <c r="V333" i="5"/>
  <c r="U333" i="5"/>
  <c r="V339" i="5"/>
  <c r="U339" i="5"/>
  <c r="V345" i="5"/>
  <c r="U345" i="5"/>
  <c r="V351" i="5"/>
  <c r="U351" i="5"/>
  <c r="V357" i="5"/>
  <c r="U357" i="5"/>
  <c r="V363" i="5"/>
  <c r="U363" i="5"/>
  <c r="V369" i="5"/>
  <c r="U369" i="5"/>
  <c r="V375" i="5"/>
  <c r="U375" i="5"/>
  <c r="V381" i="5"/>
  <c r="U381" i="5"/>
  <c r="V387" i="5"/>
  <c r="U387" i="5"/>
  <c r="V393" i="5"/>
  <c r="U393" i="5"/>
  <c r="V399" i="5"/>
  <c r="U399" i="5"/>
  <c r="V405" i="5"/>
  <c r="U405" i="5"/>
  <c r="V411" i="5"/>
  <c r="U411" i="5"/>
  <c r="V417" i="5"/>
  <c r="U417" i="5"/>
  <c r="V423" i="5"/>
  <c r="U423" i="5"/>
  <c r="V429" i="5"/>
  <c r="U429" i="5"/>
  <c r="V435" i="5"/>
  <c r="U435" i="5"/>
  <c r="V441" i="5"/>
  <c r="U441" i="5"/>
  <c r="V447" i="5"/>
  <c r="U447" i="5"/>
  <c r="V453" i="5"/>
  <c r="U453" i="5"/>
  <c r="V459" i="5"/>
  <c r="U459" i="5"/>
  <c r="V465" i="5"/>
  <c r="U465" i="5"/>
  <c r="V471" i="5"/>
  <c r="U471" i="5"/>
  <c r="V477" i="5"/>
  <c r="U477" i="5"/>
  <c r="V483" i="5"/>
  <c r="U483" i="5"/>
  <c r="L415" i="5"/>
  <c r="L423" i="5"/>
  <c r="L483" i="5"/>
  <c r="K483" i="5"/>
  <c r="L400" i="5"/>
  <c r="L408" i="5"/>
  <c r="L436" i="5"/>
  <c r="L385" i="5"/>
  <c r="L393" i="5"/>
  <c r="L421" i="5"/>
  <c r="L429" i="5"/>
  <c r="L406" i="5"/>
  <c r="L414" i="5"/>
  <c r="K438" i="5"/>
  <c r="L442" i="5"/>
  <c r="L456" i="5"/>
  <c r="K423" i="5"/>
  <c r="L427" i="5"/>
  <c r="L435" i="5"/>
  <c r="L448" i="5"/>
  <c r="L462" i="5"/>
  <c r="K462" i="5"/>
  <c r="K408" i="5"/>
  <c r="L420" i="5"/>
  <c r="K444" i="5"/>
  <c r="K393" i="5"/>
  <c r="L397" i="5"/>
  <c r="L405" i="5"/>
  <c r="K429" i="5"/>
  <c r="L433" i="5"/>
  <c r="L441" i="5"/>
  <c r="K450" i="5"/>
  <c r="L460" i="5"/>
  <c r="L418" i="5"/>
  <c r="L426" i="5"/>
  <c r="U6" i="5"/>
  <c r="U12" i="5"/>
  <c r="U18" i="5"/>
  <c r="U24" i="5"/>
  <c r="U30" i="5"/>
  <c r="U36" i="5"/>
  <c r="U42" i="5"/>
  <c r="U48" i="5"/>
  <c r="U54" i="5"/>
  <c r="U60" i="5"/>
  <c r="U66" i="5"/>
  <c r="U72" i="5"/>
  <c r="U78" i="5"/>
  <c r="U84" i="5"/>
  <c r="U90" i="5"/>
  <c r="U96" i="5"/>
  <c r="U102" i="5"/>
  <c r="U108" i="5"/>
  <c r="U114" i="5"/>
  <c r="U120" i="5"/>
  <c r="U126" i="5"/>
  <c r="U132" i="5"/>
  <c r="U138" i="5"/>
  <c r="U144" i="5"/>
  <c r="U150" i="5"/>
  <c r="U156" i="5"/>
  <c r="U162" i="5"/>
  <c r="U168" i="5"/>
  <c r="U174" i="5"/>
  <c r="U180" i="5"/>
  <c r="U186" i="5"/>
  <c r="U192" i="5"/>
  <c r="U198" i="5"/>
  <c r="U204" i="5"/>
  <c r="U210" i="5"/>
  <c r="U216" i="5"/>
  <c r="U222" i="5"/>
  <c r="U228" i="5"/>
  <c r="U234" i="5"/>
  <c r="U240" i="5"/>
  <c r="U246" i="5"/>
  <c r="U252" i="5"/>
  <c r="U258" i="5"/>
  <c r="U264" i="5"/>
  <c r="U270" i="5"/>
  <c r="U276" i="5"/>
  <c r="U282" i="5"/>
  <c r="U288" i="5"/>
  <c r="U294" i="5"/>
  <c r="U300" i="5"/>
  <c r="U306" i="5"/>
  <c r="U312" i="5"/>
  <c r="U318" i="5"/>
  <c r="U324" i="5"/>
  <c r="U330" i="5"/>
  <c r="U336" i="5"/>
  <c r="U342" i="5"/>
  <c r="U348" i="5"/>
  <c r="U354" i="5"/>
  <c r="U360" i="5"/>
  <c r="U366" i="5"/>
  <c r="U372" i="5"/>
  <c r="U378" i="5"/>
  <c r="U384" i="5"/>
  <c r="U390" i="5"/>
  <c r="U396" i="5"/>
  <c r="U402" i="5"/>
  <c r="U408" i="5"/>
  <c r="U414" i="5"/>
  <c r="U420" i="5"/>
  <c r="U426" i="5"/>
  <c r="U432" i="5"/>
  <c r="U438" i="5"/>
  <c r="U444" i="5"/>
  <c r="U450" i="5"/>
  <c r="U456" i="5"/>
  <c r="U462" i="5"/>
  <c r="U468" i="5"/>
  <c r="U474" i="5"/>
  <c r="U480" i="5"/>
  <c r="L466" i="5"/>
  <c r="L474" i="5"/>
  <c r="U7" i="5"/>
  <c r="U13" i="5"/>
  <c r="U19" i="5"/>
  <c r="U25" i="5"/>
  <c r="U31" i="5"/>
  <c r="U37" i="5"/>
  <c r="U43" i="5"/>
  <c r="U49" i="5"/>
  <c r="U55" i="5"/>
  <c r="U61" i="5"/>
  <c r="U67" i="5"/>
  <c r="U73" i="5"/>
  <c r="U79" i="5"/>
  <c r="U85" i="5"/>
  <c r="U91" i="5"/>
  <c r="U97" i="5"/>
  <c r="U103" i="5"/>
  <c r="U109" i="5"/>
  <c r="U115" i="5"/>
  <c r="U121" i="5"/>
  <c r="U127" i="5"/>
  <c r="U133" i="5"/>
  <c r="U139" i="5"/>
  <c r="U145" i="5"/>
  <c r="U151" i="5"/>
  <c r="U157" i="5"/>
  <c r="U163" i="5"/>
  <c r="U169" i="5"/>
  <c r="U175" i="5"/>
  <c r="U181" i="5"/>
  <c r="U187" i="5"/>
  <c r="U193" i="5"/>
  <c r="U199" i="5"/>
  <c r="U205" i="5"/>
  <c r="U211" i="5"/>
  <c r="U217" i="5"/>
  <c r="U223" i="5"/>
  <c r="U229" i="5"/>
  <c r="U235" i="5"/>
  <c r="U241" i="5"/>
  <c r="U247" i="5"/>
  <c r="U253" i="5"/>
  <c r="U259" i="5"/>
  <c r="U265" i="5"/>
  <c r="U271" i="5"/>
  <c r="U277" i="5"/>
  <c r="U283" i="5"/>
  <c r="U289" i="5"/>
  <c r="U295" i="5"/>
  <c r="U301" i="5"/>
  <c r="U307" i="5"/>
  <c r="U313" i="5"/>
  <c r="U319" i="5"/>
  <c r="U325" i="5"/>
  <c r="U331" i="5"/>
  <c r="U337" i="5"/>
  <c r="U343" i="5"/>
  <c r="U349" i="5"/>
  <c r="U355" i="5"/>
  <c r="U361" i="5"/>
  <c r="U367" i="5"/>
  <c r="U373" i="5"/>
  <c r="U379" i="5"/>
  <c r="U385" i="5"/>
  <c r="U391" i="5"/>
  <c r="U397" i="5"/>
  <c r="U403" i="5"/>
  <c r="U409" i="5"/>
  <c r="U415" i="5"/>
  <c r="U421" i="5"/>
  <c r="U427" i="5"/>
  <c r="U433" i="5"/>
  <c r="U439" i="5"/>
  <c r="U445" i="5"/>
  <c r="U451" i="5"/>
  <c r="U457" i="5"/>
  <c r="U463" i="5"/>
  <c r="U469" i="5"/>
  <c r="U475" i="5"/>
  <c r="U481" i="5"/>
  <c r="L451" i="5"/>
  <c r="L459" i="5"/>
  <c r="K468" i="5"/>
  <c r="K478" i="5"/>
  <c r="L480" i="5"/>
  <c r="U8" i="5"/>
  <c r="U14" i="5"/>
  <c r="U20" i="5"/>
  <c r="U26" i="5"/>
  <c r="U32" i="5"/>
  <c r="U38" i="5"/>
  <c r="U44" i="5"/>
  <c r="U50" i="5"/>
  <c r="U56" i="5"/>
  <c r="U62" i="5"/>
  <c r="U68" i="5"/>
  <c r="U74" i="5"/>
  <c r="U80" i="5"/>
  <c r="U86" i="5"/>
  <c r="U92" i="5"/>
  <c r="U98" i="5"/>
  <c r="U104" i="5"/>
  <c r="U110" i="5"/>
  <c r="U116" i="5"/>
  <c r="U122" i="5"/>
  <c r="U128" i="5"/>
  <c r="U134" i="5"/>
  <c r="U140" i="5"/>
  <c r="U146" i="5"/>
  <c r="U152" i="5"/>
  <c r="U158" i="5"/>
  <c r="U164" i="5"/>
  <c r="U170" i="5"/>
  <c r="U176" i="5"/>
  <c r="U182" i="5"/>
  <c r="U188" i="5"/>
  <c r="U194" i="5"/>
  <c r="U200" i="5"/>
  <c r="U206" i="5"/>
  <c r="U212" i="5"/>
  <c r="U218" i="5"/>
  <c r="U224" i="5"/>
  <c r="U230" i="5"/>
  <c r="U236" i="5"/>
  <c r="U242" i="5"/>
  <c r="U248" i="5"/>
  <c r="U254" i="5"/>
  <c r="U260" i="5"/>
  <c r="U266" i="5"/>
  <c r="U272" i="5"/>
  <c r="U278" i="5"/>
  <c r="U284" i="5"/>
  <c r="U290" i="5"/>
  <c r="U296" i="5"/>
  <c r="U302" i="5"/>
  <c r="U308" i="5"/>
  <c r="U314" i="5"/>
  <c r="U320" i="5"/>
  <c r="U326" i="5"/>
  <c r="U332" i="5"/>
  <c r="U338" i="5"/>
  <c r="U344" i="5"/>
  <c r="U350" i="5"/>
  <c r="U356" i="5"/>
  <c r="U362" i="5"/>
  <c r="U368" i="5"/>
  <c r="U374" i="5"/>
  <c r="U380" i="5"/>
  <c r="U386" i="5"/>
  <c r="U392" i="5"/>
  <c r="U398" i="5"/>
  <c r="U404" i="5"/>
  <c r="U410" i="5"/>
  <c r="U416" i="5"/>
  <c r="U422" i="5"/>
  <c r="U428" i="5"/>
  <c r="U434" i="5"/>
  <c r="U440" i="5"/>
  <c r="U446" i="5"/>
  <c r="U452" i="5"/>
  <c r="U458" i="5"/>
  <c r="U464" i="5"/>
  <c r="U470" i="5"/>
  <c r="U476" i="5"/>
  <c r="U482" i="5"/>
  <c r="L457" i="5"/>
  <c r="L465" i="5"/>
  <c r="L478" i="5"/>
  <c r="K474" i="5"/>
  <c r="L484" i="5"/>
  <c r="U3" i="5"/>
  <c r="L463" i="5"/>
  <c r="L471" i="5"/>
  <c r="U4" i="5"/>
  <c r="U10" i="5"/>
  <c r="U16" i="5"/>
  <c r="U22" i="5"/>
  <c r="U28" i="5"/>
  <c r="U34" i="5"/>
  <c r="U40" i="5"/>
  <c r="U46" i="5"/>
  <c r="U52" i="5"/>
  <c r="U58" i="5"/>
  <c r="U64" i="5"/>
  <c r="U70" i="5"/>
  <c r="U76" i="5"/>
  <c r="U82" i="5"/>
  <c r="U88" i="5"/>
  <c r="U94" i="5"/>
  <c r="U100" i="5"/>
  <c r="U106" i="5"/>
  <c r="U112" i="5"/>
  <c r="U118" i="5"/>
  <c r="U124" i="5"/>
  <c r="U130" i="5"/>
  <c r="U136" i="5"/>
  <c r="U142" i="5"/>
  <c r="U148" i="5"/>
  <c r="U154" i="5"/>
  <c r="U160" i="5"/>
  <c r="U166" i="5"/>
  <c r="U172" i="5"/>
  <c r="U178" i="5"/>
  <c r="U184" i="5"/>
  <c r="U190" i="5"/>
  <c r="U196" i="5"/>
  <c r="U202" i="5"/>
  <c r="U208" i="5"/>
  <c r="U214" i="5"/>
  <c r="U220" i="5"/>
  <c r="U226" i="5"/>
  <c r="U232" i="5"/>
  <c r="U238" i="5"/>
  <c r="U244" i="5"/>
  <c r="U250" i="5"/>
  <c r="U256" i="5"/>
  <c r="U262" i="5"/>
  <c r="U268" i="5"/>
  <c r="U274" i="5"/>
  <c r="U280" i="5"/>
  <c r="U286" i="5"/>
  <c r="U292" i="5"/>
  <c r="U298" i="5"/>
  <c r="U304" i="5"/>
  <c r="U310" i="5"/>
  <c r="U316" i="5"/>
  <c r="U322" i="5"/>
  <c r="U328" i="5"/>
  <c r="U334" i="5"/>
  <c r="U340" i="5"/>
  <c r="U346" i="5"/>
  <c r="U352" i="5"/>
  <c r="U358" i="5"/>
  <c r="U364" i="5"/>
  <c r="U370" i="5"/>
  <c r="U376" i="5"/>
  <c r="U382" i="5"/>
  <c r="U388" i="5"/>
  <c r="U394" i="5"/>
  <c r="U400" i="5"/>
  <c r="U406" i="5"/>
  <c r="U412" i="5"/>
  <c r="U418" i="5"/>
  <c r="U424" i="5"/>
  <c r="U430" i="5"/>
  <c r="U436" i="5"/>
  <c r="U442" i="5"/>
  <c r="U448" i="5"/>
  <c r="U454" i="5"/>
  <c r="U460" i="5"/>
  <c r="U466" i="5"/>
  <c r="U472" i="5"/>
  <c r="U478" i="5"/>
  <c r="U484" i="5"/>
  <c r="K465" i="5"/>
  <c r="L469" i="5"/>
  <c r="L477" i="5"/>
  <c r="L29" i="5"/>
  <c r="K34" i="5"/>
  <c r="K46" i="5"/>
  <c r="K55" i="5"/>
  <c r="K64" i="5"/>
  <c r="L75" i="5"/>
  <c r="L92" i="5"/>
  <c r="K94" i="5"/>
  <c r="K130" i="5"/>
  <c r="L198" i="5"/>
  <c r="K198" i="5"/>
  <c r="L341" i="5"/>
  <c r="K341" i="5"/>
  <c r="L377" i="5"/>
  <c r="K377" i="5"/>
  <c r="L413" i="5"/>
  <c r="K413" i="5"/>
  <c r="L449" i="5"/>
  <c r="K449" i="5"/>
  <c r="L41" i="5"/>
  <c r="K71" i="5"/>
  <c r="K75" i="5"/>
  <c r="L77" i="5"/>
  <c r="K79" i="5"/>
  <c r="L96" i="5"/>
  <c r="L113" i="5"/>
  <c r="K115" i="5"/>
  <c r="L132" i="5"/>
  <c r="L168" i="5"/>
  <c r="L183" i="5"/>
  <c r="K183" i="5"/>
  <c r="L219" i="5"/>
  <c r="K219" i="5"/>
  <c r="L204" i="5"/>
  <c r="K204" i="5"/>
  <c r="K43" i="5"/>
  <c r="K48" i="5"/>
  <c r="L50" i="5"/>
  <c r="K57" i="5"/>
  <c r="L59" i="5"/>
  <c r="K66" i="5"/>
  <c r="L68" i="5"/>
  <c r="K77" i="5"/>
  <c r="K81" i="5"/>
  <c r="L83" i="5"/>
  <c r="K85" i="5"/>
  <c r="L102" i="5"/>
  <c r="L119" i="5"/>
  <c r="K121" i="5"/>
  <c r="L138" i="5"/>
  <c r="L189" i="5"/>
  <c r="K189" i="5"/>
  <c r="L225" i="5"/>
  <c r="K225" i="5"/>
  <c r="L305" i="5"/>
  <c r="K305" i="5"/>
  <c r="K8" i="5"/>
  <c r="K11" i="5"/>
  <c r="K14" i="5"/>
  <c r="K17" i="5"/>
  <c r="K20" i="5"/>
  <c r="K23" i="5"/>
  <c r="K26" i="5"/>
  <c r="K29" i="5"/>
  <c r="L34" i="5"/>
  <c r="L38" i="5"/>
  <c r="L46" i="5"/>
  <c r="K52" i="5"/>
  <c r="L55" i="5"/>
  <c r="K61" i="5"/>
  <c r="L64" i="5"/>
  <c r="K70" i="5"/>
  <c r="L87" i="5"/>
  <c r="L104" i="5"/>
  <c r="K106" i="5"/>
  <c r="L174" i="5"/>
  <c r="K174" i="5"/>
  <c r="L210" i="5"/>
  <c r="K210" i="5"/>
  <c r="L231" i="5"/>
  <c r="L244" i="5"/>
  <c r="K5" i="5"/>
  <c r="L33" i="5"/>
  <c r="K41" i="5"/>
  <c r="L45" i="5"/>
  <c r="L72" i="5"/>
  <c r="K83" i="5"/>
  <c r="K87" i="5"/>
  <c r="L89" i="5"/>
  <c r="K91" i="5"/>
  <c r="L108" i="5"/>
  <c r="L125" i="5"/>
  <c r="K127" i="5"/>
  <c r="L144" i="5"/>
  <c r="L195" i="5"/>
  <c r="K195" i="5"/>
  <c r="K297" i="5"/>
  <c r="K31" i="5"/>
  <c r="L54" i="5"/>
  <c r="L63" i="5"/>
  <c r="K72" i="5"/>
  <c r="L180" i="5"/>
  <c r="K180" i="5"/>
  <c r="L216" i="5"/>
  <c r="K216" i="5"/>
  <c r="L150" i="5"/>
  <c r="L201" i="5"/>
  <c r="K201" i="5"/>
  <c r="K7" i="5"/>
  <c r="K10" i="5"/>
  <c r="K13" i="5"/>
  <c r="K16" i="5"/>
  <c r="K19" i="5"/>
  <c r="K22" i="5"/>
  <c r="K25" i="5"/>
  <c r="K28" i="5"/>
  <c r="K38" i="5"/>
  <c r="L42" i="5"/>
  <c r="K49" i="5"/>
  <c r="L52" i="5"/>
  <c r="K58" i="5"/>
  <c r="L61" i="5"/>
  <c r="K67" i="5"/>
  <c r="L70" i="5"/>
  <c r="K78" i="5"/>
  <c r="L80" i="5"/>
  <c r="K82" i="5"/>
  <c r="L99" i="5"/>
  <c r="L116" i="5"/>
  <c r="K118" i="5"/>
  <c r="L186" i="5"/>
  <c r="K186" i="5"/>
  <c r="L222" i="5"/>
  <c r="K222" i="5"/>
  <c r="L239" i="5"/>
  <c r="K4" i="5"/>
  <c r="K37" i="5"/>
  <c r="L84" i="5"/>
  <c r="K99" i="5"/>
  <c r="L101" i="5"/>
  <c r="K103" i="5"/>
  <c r="L120" i="5"/>
  <c r="K139" i="5"/>
  <c r="L156" i="5"/>
  <c r="L207" i="5"/>
  <c r="K207" i="5"/>
  <c r="L32" i="5"/>
  <c r="L40" i="5"/>
  <c r="L44" i="5"/>
  <c r="L51" i="5"/>
  <c r="L60" i="5"/>
  <c r="L69" i="5"/>
  <c r="K80" i="5"/>
  <c r="K84" i="5"/>
  <c r="L86" i="5"/>
  <c r="K88" i="5"/>
  <c r="L105" i="5"/>
  <c r="L122" i="5"/>
  <c r="K124" i="5"/>
  <c r="L141" i="5"/>
  <c r="L192" i="5"/>
  <c r="K192" i="5"/>
  <c r="L228" i="5"/>
  <c r="K228" i="5"/>
  <c r="K30" i="5"/>
  <c r="K35" i="5"/>
  <c r="L39" i="5"/>
  <c r="K51" i="5"/>
  <c r="L53" i="5"/>
  <c r="K60" i="5"/>
  <c r="L62" i="5"/>
  <c r="K69" i="5"/>
  <c r="L71" i="5"/>
  <c r="K73" i="5"/>
  <c r="L90" i="5"/>
  <c r="K109" i="5"/>
  <c r="L126" i="5"/>
  <c r="L162" i="5"/>
  <c r="L177" i="5"/>
  <c r="K177" i="5"/>
  <c r="L213" i="5"/>
  <c r="K213" i="5"/>
  <c r="L234" i="5"/>
  <c r="K234" i="5"/>
  <c r="K286" i="5"/>
  <c r="L290" i="5"/>
  <c r="K290" i="5"/>
  <c r="L326" i="5"/>
  <c r="K326" i="5"/>
  <c r="L362" i="5"/>
  <c r="K362" i="5"/>
  <c r="L398" i="5"/>
  <c r="K398" i="5"/>
  <c r="L434" i="5"/>
  <c r="K434" i="5"/>
  <c r="L470" i="5"/>
  <c r="K470" i="5"/>
  <c r="K231" i="5"/>
  <c r="K233" i="5"/>
  <c r="L243" i="5"/>
  <c r="L257" i="5"/>
  <c r="K257" i="5"/>
  <c r="L266" i="5"/>
  <c r="K266" i="5"/>
  <c r="L275" i="5"/>
  <c r="K275" i="5"/>
  <c r="L286" i="5"/>
  <c r="L294" i="5"/>
  <c r="K307" i="5"/>
  <c r="L311" i="5"/>
  <c r="K311" i="5"/>
  <c r="L347" i="5"/>
  <c r="K347" i="5"/>
  <c r="L383" i="5"/>
  <c r="K383" i="5"/>
  <c r="L419" i="5"/>
  <c r="K419" i="5"/>
  <c r="L455" i="5"/>
  <c r="K455" i="5"/>
  <c r="K230" i="5"/>
  <c r="K292" i="5"/>
  <c r="L296" i="5"/>
  <c r="K296" i="5"/>
  <c r="L307" i="5"/>
  <c r="L332" i="5"/>
  <c r="K332" i="5"/>
  <c r="L368" i="5"/>
  <c r="K368" i="5"/>
  <c r="L404" i="5"/>
  <c r="K404" i="5"/>
  <c r="L440" i="5"/>
  <c r="K440" i="5"/>
  <c r="L476" i="5"/>
  <c r="K476" i="5"/>
  <c r="K238" i="5"/>
  <c r="L241" i="5"/>
  <c r="K245" i="5"/>
  <c r="K250" i="5"/>
  <c r="L252" i="5"/>
  <c r="K259" i="5"/>
  <c r="L261" i="5"/>
  <c r="K268" i="5"/>
  <c r="L270" i="5"/>
  <c r="K277" i="5"/>
  <c r="L281" i="5"/>
  <c r="K281" i="5"/>
  <c r="L292" i="5"/>
  <c r="L300" i="5"/>
  <c r="L317" i="5"/>
  <c r="K317" i="5"/>
  <c r="L353" i="5"/>
  <c r="K353" i="5"/>
  <c r="L389" i="5"/>
  <c r="K389" i="5"/>
  <c r="L425" i="5"/>
  <c r="K425" i="5"/>
  <c r="L461" i="5"/>
  <c r="K461" i="5"/>
  <c r="L236" i="5"/>
  <c r="L248" i="5"/>
  <c r="L285" i="5"/>
  <c r="K298" i="5"/>
  <c r="L302" i="5"/>
  <c r="K302" i="5"/>
  <c r="L338" i="5"/>
  <c r="K338" i="5"/>
  <c r="L374" i="5"/>
  <c r="K374" i="5"/>
  <c r="L410" i="5"/>
  <c r="K410" i="5"/>
  <c r="L446" i="5"/>
  <c r="K446" i="5"/>
  <c r="L482" i="5"/>
  <c r="K482" i="5"/>
  <c r="L254" i="5"/>
  <c r="K254" i="5"/>
  <c r="L263" i="5"/>
  <c r="K263" i="5"/>
  <c r="L272" i="5"/>
  <c r="K272" i="5"/>
  <c r="K283" i="5"/>
  <c r="L287" i="5"/>
  <c r="K287" i="5"/>
  <c r="L298" i="5"/>
  <c r="L306" i="5"/>
  <c r="L323" i="5"/>
  <c r="K323" i="5"/>
  <c r="L359" i="5"/>
  <c r="K359" i="5"/>
  <c r="L395" i="5"/>
  <c r="K395" i="5"/>
  <c r="L431" i="5"/>
  <c r="K431" i="5"/>
  <c r="L467" i="5"/>
  <c r="K467" i="5"/>
  <c r="K242" i="5"/>
  <c r="K247" i="5"/>
  <c r="K304" i="5"/>
  <c r="L308" i="5"/>
  <c r="K308" i="5"/>
  <c r="L344" i="5"/>
  <c r="K344" i="5"/>
  <c r="L380" i="5"/>
  <c r="K380" i="5"/>
  <c r="L416" i="5"/>
  <c r="K416" i="5"/>
  <c r="L452" i="5"/>
  <c r="K452" i="5"/>
  <c r="L237" i="5"/>
  <c r="L245" i="5"/>
  <c r="L249" i="5"/>
  <c r="K256" i="5"/>
  <c r="L258" i="5"/>
  <c r="K265" i="5"/>
  <c r="L267" i="5"/>
  <c r="K274" i="5"/>
  <c r="L276" i="5"/>
  <c r="K289" i="5"/>
  <c r="L293" i="5"/>
  <c r="K293" i="5"/>
  <c r="L304" i="5"/>
  <c r="L312" i="5"/>
  <c r="L329" i="5"/>
  <c r="K329" i="5"/>
  <c r="L365" i="5"/>
  <c r="K365" i="5"/>
  <c r="L401" i="5"/>
  <c r="K401" i="5"/>
  <c r="L437" i="5"/>
  <c r="K437" i="5"/>
  <c r="L473" i="5"/>
  <c r="K473" i="5"/>
  <c r="L278" i="5"/>
  <c r="K278" i="5"/>
  <c r="L297" i="5"/>
  <c r="L314" i="5"/>
  <c r="K314" i="5"/>
  <c r="L350" i="5"/>
  <c r="K350" i="5"/>
  <c r="L386" i="5"/>
  <c r="K386" i="5"/>
  <c r="L422" i="5"/>
  <c r="K422" i="5"/>
  <c r="L458" i="5"/>
  <c r="K458" i="5"/>
  <c r="K239" i="5"/>
  <c r="K244" i="5"/>
  <c r="L251" i="5"/>
  <c r="K251" i="5"/>
  <c r="L260" i="5"/>
  <c r="K260" i="5"/>
  <c r="L269" i="5"/>
  <c r="K269" i="5"/>
  <c r="L282" i="5"/>
  <c r="K295" i="5"/>
  <c r="L299" i="5"/>
  <c r="K299" i="5"/>
  <c r="L310" i="5"/>
  <c r="L335" i="5"/>
  <c r="K335" i="5"/>
  <c r="L371" i="5"/>
  <c r="K371" i="5"/>
  <c r="L407" i="5"/>
  <c r="K407" i="5"/>
  <c r="L443" i="5"/>
  <c r="K443" i="5"/>
  <c r="L479" i="5"/>
  <c r="K479" i="5"/>
  <c r="L242" i="5"/>
  <c r="L246" i="5"/>
  <c r="K280" i="5"/>
  <c r="L284" i="5"/>
  <c r="K284" i="5"/>
  <c r="L295" i="5"/>
  <c r="L320" i="5"/>
  <c r="K320" i="5"/>
  <c r="L356" i="5"/>
  <c r="K356" i="5"/>
  <c r="L392" i="5"/>
  <c r="K392" i="5"/>
  <c r="L428" i="5"/>
  <c r="K428" i="5"/>
  <c r="L464" i="5"/>
  <c r="K464" i="5"/>
  <c r="K334" i="5"/>
  <c r="K337" i="5"/>
  <c r="K340" i="5"/>
  <c r="K343" i="5"/>
  <c r="K346" i="5"/>
  <c r="K349" i="5"/>
  <c r="K352" i="5"/>
  <c r="K355" i="5"/>
  <c r="K358" i="5"/>
  <c r="K361" i="5"/>
  <c r="K364" i="5"/>
  <c r="K367" i="5"/>
  <c r="K370" i="5"/>
  <c r="K373" i="5"/>
  <c r="K376" i="5"/>
  <c r="K379" i="5"/>
  <c r="K382" i="5"/>
  <c r="K385" i="5"/>
  <c r="K388" i="5"/>
  <c r="K391" i="5"/>
  <c r="K394" i="5"/>
  <c r="K397" i="5"/>
  <c r="K400" i="5"/>
  <c r="K403" i="5"/>
  <c r="K406" i="5"/>
  <c r="K409" i="5"/>
  <c r="K412" i="5"/>
  <c r="K415" i="5"/>
  <c r="K418" i="5"/>
  <c r="K421" i="5"/>
  <c r="K424" i="5"/>
  <c r="K427" i="5"/>
  <c r="K430" i="5"/>
  <c r="K433" i="5"/>
  <c r="K436" i="5"/>
  <c r="K439" i="5"/>
  <c r="K442" i="5"/>
  <c r="K445" i="5"/>
  <c r="K448" i="5"/>
  <c r="K451" i="5"/>
  <c r="K454" i="5"/>
  <c r="K457" i="5"/>
  <c r="K460" i="5"/>
  <c r="K463" i="5"/>
  <c r="K466" i="5"/>
  <c r="K469" i="5"/>
  <c r="K472" i="5"/>
  <c r="K475" i="5"/>
  <c r="K481" i="5"/>
  <c r="K484" i="5"/>
  <c r="V2" i="5" l="1"/>
  <c r="U2" i="5" l="1"/>
  <c r="M2" i="5"/>
  <c r="L2" i="5" l="1"/>
</calcChain>
</file>

<file path=xl/sharedStrings.xml><?xml version="1.0" encoding="utf-8"?>
<sst xmlns="http://schemas.openxmlformats.org/spreadsheetml/2006/main" count="33" uniqueCount="33">
  <si>
    <t>Offset</t>
  </si>
  <si>
    <t>S11 Re</t>
  </si>
  <si>
    <t>S11 Im</t>
  </si>
  <si>
    <t>S21 Re</t>
  </si>
  <si>
    <t>S21 Im</t>
  </si>
  <si>
    <t>Z11 Re</t>
  </si>
  <si>
    <t>Z11 Im</t>
  </si>
  <si>
    <t>Z12 Re</t>
  </si>
  <si>
    <t>Z12 Im</t>
  </si>
  <si>
    <t>L=Lcav</t>
  </si>
  <si>
    <t>Re[Vcav]</t>
  </si>
  <si>
    <t>Im[Vcav]</t>
  </si>
  <si>
    <t>Re[Vrad]</t>
  </si>
  <si>
    <t>Im[Vrad]</t>
  </si>
  <si>
    <t>|rho|</t>
  </si>
  <si>
    <t>arg(rho)</t>
  </si>
  <si>
    <t>Re(rho)</t>
  </si>
  <si>
    <t>Im(rho)</t>
  </si>
  <si>
    <t>#</t>
  </si>
  <si>
    <t>#"Run ID"</t>
  </si>
  <si>
    <t>S1,1 [Re]</t>
  </si>
  <si>
    <t>S1,1 [Im]</t>
  </si>
  <si>
    <t>#----------------------------------------------------------------</t>
  </si>
  <si>
    <t>CavFace_Int_e-field (f=9) (1)</t>
  </si>
  <si>
    <t>CavFace_Int_e-field (f=9) (1)_1</t>
  </si>
  <si>
    <t>RadFace_Int_e-field (f=9) (1)</t>
  </si>
  <si>
    <t>RadFace_Int_e-field (f=9) (1)_1</t>
  </si>
  <si>
    <t>S2,1 [Re]</t>
  </si>
  <si>
    <t>S2,1 [Im]</t>
  </si>
  <si>
    <t>Rself</t>
  </si>
  <si>
    <t>Xself</t>
  </si>
  <si>
    <t>Gself</t>
  </si>
  <si>
    <t>Bself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</si>
</sst>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0">
    <xf numFmtId="0" fontId="0" fillId="0" borderId="0" xfId="0"/>
    <xf numFmtId="0" fontId="2" fillId="3" borderId="0" xfId="2"/>
    <xf numFmtId="0" fontId="1" fillId="5" borderId="0" xfId="4" applyFont="1" applyAlignment="1">
      <alignment horizontal="center"/>
    </xf>
    <xf numFmtId="0" fontId="1" fillId="2" borderId="0" xfId="1" applyFont="1" applyAlignment="1">
      <alignment horizontal="center"/>
    </xf>
    <xf numFmtId="0" fontId="1" fillId="3" borderId="0" xfId="2" applyFont="1" applyAlignment="1">
      <alignment horizontal="center"/>
    </xf>
    <xf numFmtId="11" fontId="0" fillId="0" borderId="0" xfId="0" applyNumberFormat="1"/>
    <xf numFmtId="164" fontId="0" fillId="0" borderId="0" xfId="0" applyNumberFormat="1"/>
    <xf numFmtId="0" fontId="1" fillId="6" borderId="0" xfId="3" applyFont="1" applyFill="1" applyAlignment="1">
      <alignment horizontal="center"/>
    </xf>
    <xf numFmtId="0" fontId="0" fillId="6" borderId="0" xfId="0" applyFill="1"/>
    <xf numFmtId="0" fontId="0" fillId="7" borderId="0" xfId="0" applyFill="1"/>
  </cellXfs>
  <cellStyles count="5">
    <cellStyle name="60% - Accent1" xfId="1" builtinId="32"/>
    <cellStyle name="60% - Accent3" xfId="2" builtinId="40"/>
    <cellStyle name="60% - Accent4" xfId="3" builtinId="44"/>
    <cellStyle name="Accent6" xfId="4" builtinId="49"/>
    <cellStyle name="Normal" xfId="0" builtinId="0"/>
  </cellStyles>
  <dxfs count="8"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FD!$M$2:$M$22</c:f>
              <c:numCache>
                <c:formatCode>General</c:formatCode>
                <c:ptCount val="21"/>
                <c:pt idx="0">
                  <c:v>3.5163592928889702E-3</c:v>
                </c:pt>
                <c:pt idx="1">
                  <c:v>4.0528347338702796E-3</c:v>
                </c:pt>
                <c:pt idx="2">
                  <c:v>4.6522124971826303E-3</c:v>
                </c:pt>
                <c:pt idx="3">
                  <c:v>5.3349252005465897E-3</c:v>
                </c:pt>
                <c:pt idx="4">
                  <c:v>6.0859772076711401E-3</c:v>
                </c:pt>
                <c:pt idx="5">
                  <c:v>6.9025777474158098E-3</c:v>
                </c:pt>
                <c:pt idx="6">
                  <c:v>7.7575533107590803E-3</c:v>
                </c:pt>
                <c:pt idx="7">
                  <c:v>8.6082184281574495E-3</c:v>
                </c:pt>
                <c:pt idx="8">
                  <c:v>9.4014172615025492E-3</c:v>
                </c:pt>
                <c:pt idx="9">
                  <c:v>1.0052488226650899E-2</c:v>
                </c:pt>
                <c:pt idx="10">
                  <c:v>1.05308619279346E-2</c:v>
                </c:pt>
                <c:pt idx="11">
                  <c:v>1.07633504315965E-2</c:v>
                </c:pt>
                <c:pt idx="12">
                  <c:v>1.07488729157811E-2</c:v>
                </c:pt>
                <c:pt idx="13">
                  <c:v>1.0509635991582099E-2</c:v>
                </c:pt>
                <c:pt idx="14">
                  <c:v>1.0090328362452401E-2</c:v>
                </c:pt>
                <c:pt idx="15">
                  <c:v>9.5484989646725301E-3</c:v>
                </c:pt>
                <c:pt idx="16">
                  <c:v>8.9391793394454199E-3</c:v>
                </c:pt>
                <c:pt idx="17">
                  <c:v>8.3000354609956001E-3</c:v>
                </c:pt>
                <c:pt idx="18">
                  <c:v>7.6710717680883904E-3</c:v>
                </c:pt>
                <c:pt idx="19">
                  <c:v>7.0743439878124901E-3</c:v>
                </c:pt>
                <c:pt idx="20">
                  <c:v>6.5208848894051201E-3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9B-4D4B-B39C-1242559484A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FD!$N$2:$N$22</c:f>
              <c:numCache>
                <c:formatCode>General</c:formatCode>
                <c:ptCount val="21"/>
                <c:pt idx="0">
                  <c:v>-2.85054527975428E-3</c:v>
                </c:pt>
                <c:pt idx="1">
                  <c:v>-2.6654255098402702E-3</c:v>
                </c:pt>
                <c:pt idx="2">
                  <c:v>-2.5465674610751598E-3</c:v>
                </c:pt>
                <c:pt idx="3">
                  <c:v>-2.50324009929297E-3</c:v>
                </c:pt>
                <c:pt idx="4">
                  <c:v>-2.5471930474833099E-3</c:v>
                </c:pt>
                <c:pt idx="5">
                  <c:v>-2.7183414922902498E-3</c:v>
                </c:pt>
                <c:pt idx="6">
                  <c:v>-3.0495812664808001E-3</c:v>
                </c:pt>
                <c:pt idx="7">
                  <c:v>-3.56892416234762E-3</c:v>
                </c:pt>
                <c:pt idx="8">
                  <c:v>-4.2778519226684799E-3</c:v>
                </c:pt>
                <c:pt idx="9">
                  <c:v>-5.1673714134600297E-3</c:v>
                </c:pt>
                <c:pt idx="10">
                  <c:v>-6.20804148476719E-3</c:v>
                </c:pt>
                <c:pt idx="11">
                  <c:v>-7.3481574647403904E-3</c:v>
                </c:pt>
                <c:pt idx="12">
                  <c:v>-8.4863924877611793E-3</c:v>
                </c:pt>
                <c:pt idx="13">
                  <c:v>-9.5554709858479796E-3</c:v>
                </c:pt>
                <c:pt idx="14">
                  <c:v>-1.04980270970155E-2</c:v>
                </c:pt>
                <c:pt idx="15">
                  <c:v>-1.1282410321783801E-2</c:v>
                </c:pt>
                <c:pt idx="16">
                  <c:v>-1.1905681662144001E-2</c:v>
                </c:pt>
                <c:pt idx="17">
                  <c:v>-1.2375210927449301E-2</c:v>
                </c:pt>
                <c:pt idx="18">
                  <c:v>-1.2711001360740101E-2</c:v>
                </c:pt>
                <c:pt idx="19">
                  <c:v>-1.2936693861321799E-2</c:v>
                </c:pt>
                <c:pt idx="20">
                  <c:v>-1.30757508271779E-2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9B-4D4B-B39C-124255948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FD!$M$23:$M$43</c:f>
              <c:numCache>
                <c:formatCode>General</c:formatCode>
                <c:ptCount val="21"/>
                <c:pt idx="0">
                  <c:v>6.2290723089908203E-3</c:v>
                </c:pt>
                <c:pt idx="1">
                  <c:v>7.1550137235082004E-3</c:v>
                </c:pt>
                <c:pt idx="2">
                  <c:v>8.2099278428496795E-3</c:v>
                </c:pt>
                <c:pt idx="3">
                  <c:v>9.4031570728445105E-3</c:v>
                </c:pt>
                <c:pt idx="4">
                  <c:v>1.07312535113395E-2</c:v>
                </c:pt>
                <c:pt idx="5">
                  <c:v>1.2173622408891201E-2</c:v>
                </c:pt>
                <c:pt idx="6">
                  <c:v>1.3686434048329201E-2</c:v>
                </c:pt>
                <c:pt idx="7">
                  <c:v>1.5198680081095799E-2</c:v>
                </c:pt>
                <c:pt idx="8">
                  <c:v>1.6612407401911701E-2</c:v>
                </c:pt>
                <c:pt idx="9">
                  <c:v>1.7809893359239999E-2</c:v>
                </c:pt>
                <c:pt idx="10">
                  <c:v>1.8677839517690201E-2</c:v>
                </c:pt>
                <c:pt idx="11">
                  <c:v>1.9136670185838801E-2</c:v>
                </c:pt>
                <c:pt idx="12">
                  <c:v>1.9156231977342501E-2</c:v>
                </c:pt>
                <c:pt idx="13">
                  <c:v>1.87692909320702E-2</c:v>
                </c:pt>
                <c:pt idx="14">
                  <c:v>1.8052428255191801E-2</c:v>
                </c:pt>
                <c:pt idx="15">
                  <c:v>1.7105033050111199E-2</c:v>
                </c:pt>
                <c:pt idx="16">
                  <c:v>1.6025001444352802E-2</c:v>
                </c:pt>
                <c:pt idx="17">
                  <c:v>1.48956987823986E-2</c:v>
                </c:pt>
                <c:pt idx="18">
                  <c:v>1.3773383234529901E-2</c:v>
                </c:pt>
                <c:pt idx="19">
                  <c:v>1.27051428687542E-2</c:v>
                </c:pt>
                <c:pt idx="20">
                  <c:v>1.1710420012474E-2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4-4F8A-9E78-3B5319F72B4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FD!$N$23:$N$43</c:f>
              <c:numCache>
                <c:formatCode>General</c:formatCode>
                <c:ptCount val="21"/>
                <c:pt idx="0">
                  <c:v>1.1561627906203299E-3</c:v>
                </c:pt>
                <c:pt idx="1">
                  <c:v>1.4456352168239399E-3</c:v>
                </c:pt>
                <c:pt idx="2">
                  <c:v>1.6559666835824201E-3</c:v>
                </c:pt>
                <c:pt idx="3">
                  <c:v>1.7507423966592699E-3</c:v>
                </c:pt>
                <c:pt idx="4">
                  <c:v>1.6821214342312399E-3</c:v>
                </c:pt>
                <c:pt idx="5">
                  <c:v>1.39433381536777E-3</c:v>
                </c:pt>
                <c:pt idx="6">
                  <c:v>8.3022856998665501E-4</c:v>
                </c:pt>
                <c:pt idx="7">
                  <c:v>-5.8186429780535401E-5</c:v>
                </c:pt>
                <c:pt idx="8">
                  <c:v>-1.29697331319122E-3</c:v>
                </c:pt>
                <c:pt idx="9">
                  <c:v>-2.8734170107484898E-3</c:v>
                </c:pt>
                <c:pt idx="10">
                  <c:v>-4.7223169619087001E-3</c:v>
                </c:pt>
                <c:pt idx="11">
                  <c:v>-6.7282438971480001E-3</c:v>
                </c:pt>
                <c:pt idx="12">
                  <c:v>-8.7598278150861093E-3</c:v>
                </c:pt>
                <c:pt idx="13">
                  <c:v>-1.06788891598641E-2</c:v>
                </c:pt>
                <c:pt idx="14">
                  <c:v>-1.23831429069106E-2</c:v>
                </c:pt>
                <c:pt idx="15">
                  <c:v>-1.3809848591800599E-2</c:v>
                </c:pt>
                <c:pt idx="16">
                  <c:v>-1.4950567976847601E-2</c:v>
                </c:pt>
                <c:pt idx="17">
                  <c:v>-1.5818538512880499E-2</c:v>
                </c:pt>
                <c:pt idx="18">
                  <c:v>-1.6448118054333102E-2</c:v>
                </c:pt>
                <c:pt idx="19">
                  <c:v>-1.68790959695274E-2</c:v>
                </c:pt>
                <c:pt idx="20">
                  <c:v>-1.7152242190569201E-2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4-4F8A-9E78-3B5319F72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FD!$M$44:$M$64</c:f>
              <c:numCache>
                <c:formatCode>General</c:formatCode>
                <c:ptCount val="21"/>
                <c:pt idx="0">
                  <c:v>9.5482201759621993E-3</c:v>
                </c:pt>
                <c:pt idx="1">
                  <c:v>1.0964637811248901E-2</c:v>
                </c:pt>
                <c:pt idx="2">
                  <c:v>1.25784564899496E-2</c:v>
                </c:pt>
                <c:pt idx="3">
                  <c:v>1.44029472114439E-2</c:v>
                </c:pt>
                <c:pt idx="4">
                  <c:v>1.6437827024541E-2</c:v>
                </c:pt>
                <c:pt idx="5">
                  <c:v>1.86558526043323E-2</c:v>
                </c:pt>
                <c:pt idx="6">
                  <c:v>2.09917051551857E-2</c:v>
                </c:pt>
                <c:pt idx="7">
                  <c:v>2.33475910105218E-2</c:v>
                </c:pt>
                <c:pt idx="8">
                  <c:v>2.55755811099895E-2</c:v>
                </c:pt>
                <c:pt idx="9">
                  <c:v>2.7489853492707401E-2</c:v>
                </c:pt>
                <c:pt idx="10">
                  <c:v>2.8914225238392099E-2</c:v>
                </c:pt>
                <c:pt idx="11">
                  <c:v>2.97191440001764E-2</c:v>
                </c:pt>
                <c:pt idx="12">
                  <c:v>2.9842485758443799E-2</c:v>
                </c:pt>
                <c:pt idx="13">
                  <c:v>2.9328071266025199E-2</c:v>
                </c:pt>
                <c:pt idx="14">
                  <c:v>2.8284194243318898E-2</c:v>
                </c:pt>
                <c:pt idx="15">
                  <c:v>2.6861103514745702E-2</c:v>
                </c:pt>
                <c:pt idx="16">
                  <c:v>2.52123396801174E-2</c:v>
                </c:pt>
                <c:pt idx="17">
                  <c:v>2.3469101549152299E-2</c:v>
                </c:pt>
                <c:pt idx="18">
                  <c:v>2.1716923462035E-2</c:v>
                </c:pt>
                <c:pt idx="19">
                  <c:v>2.0047189274259102E-2</c:v>
                </c:pt>
                <c:pt idx="20">
                  <c:v>1.8488663077068E-2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F0-4DC1-AD3C-81D8E563E32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FD!$N$44:$N$64</c:f>
              <c:numCache>
                <c:formatCode>General</c:formatCode>
                <c:ptCount val="21"/>
                <c:pt idx="0">
                  <c:v>6.0959256570526704E-3</c:v>
                </c:pt>
                <c:pt idx="1">
                  <c:v>6.5659844841595497E-3</c:v>
                </c:pt>
                <c:pt idx="2">
                  <c:v>6.9176922919422599E-3</c:v>
                </c:pt>
                <c:pt idx="3">
                  <c:v>7.0957452911163997E-3</c:v>
                </c:pt>
                <c:pt idx="4">
                  <c:v>7.0294590778735601E-3</c:v>
                </c:pt>
                <c:pt idx="5">
                  <c:v>6.6333469714322498E-3</c:v>
                </c:pt>
                <c:pt idx="6">
                  <c:v>5.8136748494941404E-3</c:v>
                </c:pt>
                <c:pt idx="7">
                  <c:v>4.5038836490419298E-3</c:v>
                </c:pt>
                <c:pt idx="8">
                  <c:v>2.6427180644685499E-3</c:v>
                </c:pt>
                <c:pt idx="9">
                  <c:v>2.6714524246534998E-4</c:v>
                </c:pt>
                <c:pt idx="10">
                  <c:v>-2.56288847489955E-3</c:v>
                </c:pt>
                <c:pt idx="11">
                  <c:v>-5.6685707725388701E-3</c:v>
                </c:pt>
                <c:pt idx="12">
                  <c:v>-8.8238040114354196E-3</c:v>
                </c:pt>
                <c:pt idx="13">
                  <c:v>-1.1835343771831999E-2</c:v>
                </c:pt>
                <c:pt idx="14">
                  <c:v>-1.4533157148109099E-2</c:v>
                </c:pt>
                <c:pt idx="15">
                  <c:v>-1.6817864046816899E-2</c:v>
                </c:pt>
                <c:pt idx="16">
                  <c:v>-1.8656867877555001E-2</c:v>
                </c:pt>
                <c:pt idx="17">
                  <c:v>-2.0068901982585499E-2</c:v>
                </c:pt>
                <c:pt idx="18">
                  <c:v>-2.1107843856058101E-2</c:v>
                </c:pt>
                <c:pt idx="19">
                  <c:v>-2.1825943725832998E-2</c:v>
                </c:pt>
                <c:pt idx="20">
                  <c:v>-2.2291194108100501E-2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F0-4DC1-AD3C-81D8E563E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FD!$M$65:$M$85</c:f>
              <c:numCache>
                <c:formatCode>General</c:formatCode>
                <c:ptCount val="21"/>
                <c:pt idx="0">
                  <c:v>1.35916047197701E-2</c:v>
                </c:pt>
                <c:pt idx="1">
                  <c:v>1.55728560427561E-2</c:v>
                </c:pt>
                <c:pt idx="2">
                  <c:v>1.7845602847249599E-2</c:v>
                </c:pt>
                <c:pt idx="3">
                  <c:v>2.04265524944056E-2</c:v>
                </c:pt>
                <c:pt idx="4">
                  <c:v>2.3311988407472201E-2</c:v>
                </c:pt>
                <c:pt idx="5">
                  <c:v>2.6459779715993999E-2</c:v>
                </c:pt>
                <c:pt idx="6">
                  <c:v>2.9801323768558801E-2</c:v>
                </c:pt>
                <c:pt idx="7">
                  <c:v>3.3186551570408201E-2</c:v>
                </c:pt>
                <c:pt idx="8">
                  <c:v>3.6414586775973097E-2</c:v>
                </c:pt>
                <c:pt idx="9">
                  <c:v>3.92252356400302E-2</c:v>
                </c:pt>
                <c:pt idx="10">
                  <c:v>4.1370955109699299E-2</c:v>
                </c:pt>
                <c:pt idx="11">
                  <c:v>4.2640603740640999E-2</c:v>
                </c:pt>
                <c:pt idx="12">
                  <c:v>4.2952219893069001E-2</c:v>
                </c:pt>
                <c:pt idx="13">
                  <c:v>4.2334801104462298E-2</c:v>
                </c:pt>
                <c:pt idx="14">
                  <c:v>4.0935515508216301E-2</c:v>
                </c:pt>
                <c:pt idx="15">
                  <c:v>3.89624849358189E-2</c:v>
                </c:pt>
                <c:pt idx="16">
                  <c:v>3.6638170982707503E-2</c:v>
                </c:pt>
                <c:pt idx="17">
                  <c:v>3.4141713083179301E-2</c:v>
                </c:pt>
                <c:pt idx="18">
                  <c:v>3.1640459554393298E-2</c:v>
                </c:pt>
                <c:pt idx="19">
                  <c:v>2.92277407905038E-2</c:v>
                </c:pt>
                <c:pt idx="20">
                  <c:v>2.6968726009189401E-2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47-4330-933C-57E05B65909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FD!$N$65:$N$85</c:f>
              <c:numCache>
                <c:formatCode>General</c:formatCode>
                <c:ptCount val="21"/>
                <c:pt idx="0">
                  <c:v>1.22398625000935E-2</c:v>
                </c:pt>
                <c:pt idx="1">
                  <c:v>1.2906707931886301E-2</c:v>
                </c:pt>
                <c:pt idx="2">
                  <c:v>1.3420476856581201E-2</c:v>
                </c:pt>
                <c:pt idx="3">
                  <c:v>1.3701011312299199E-2</c:v>
                </c:pt>
                <c:pt idx="4">
                  <c:v>1.3648244827671E-2</c:v>
                </c:pt>
                <c:pt idx="5">
                  <c:v>1.31256185839065E-2</c:v>
                </c:pt>
                <c:pt idx="6">
                  <c:v>1.2027239626880201E-2</c:v>
                </c:pt>
                <c:pt idx="7">
                  <c:v>1.02373396444231E-2</c:v>
                </c:pt>
                <c:pt idx="8">
                  <c:v>7.6711477030707697E-3</c:v>
                </c:pt>
                <c:pt idx="9">
                  <c:v>4.3347287512936596E-3</c:v>
                </c:pt>
                <c:pt idx="10">
                  <c:v>3.4443328433336902E-4</c:v>
                </c:pt>
                <c:pt idx="11">
                  <c:v>-4.0614556980743304E-3</c:v>
                </c:pt>
                <c:pt idx="12">
                  <c:v>-8.5975638385946407E-3</c:v>
                </c:pt>
                <c:pt idx="13">
                  <c:v>-1.2964884743380299E-2</c:v>
                </c:pt>
                <c:pt idx="14">
                  <c:v>-1.6909376368041299E-2</c:v>
                </c:pt>
                <c:pt idx="15">
                  <c:v>-2.0278651523991598E-2</c:v>
                </c:pt>
                <c:pt idx="16">
                  <c:v>-2.30066015056919E-2</c:v>
                </c:pt>
                <c:pt idx="17">
                  <c:v>-2.51308957683226E-2</c:v>
                </c:pt>
                <c:pt idx="18">
                  <c:v>-2.6699041881415701E-2</c:v>
                </c:pt>
                <c:pt idx="19">
                  <c:v>-2.78021799956806E-2</c:v>
                </c:pt>
                <c:pt idx="20">
                  <c:v>-2.8535663716801201E-2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47-4330-933C-57E05B659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FD!$M$86:$M$106</c:f>
              <c:numCache>
                <c:formatCode>General</c:formatCode>
                <c:ptCount val="21"/>
                <c:pt idx="0">
                  <c:v>1.8182661245914299E-2</c:v>
                </c:pt>
                <c:pt idx="1">
                  <c:v>2.0818862892473901E-2</c:v>
                </c:pt>
                <c:pt idx="2">
                  <c:v>2.38484756028947E-2</c:v>
                </c:pt>
                <c:pt idx="3">
                  <c:v>2.72899969608499E-2</c:v>
                </c:pt>
                <c:pt idx="4">
                  <c:v>3.1143860926879201E-2</c:v>
                </c:pt>
                <c:pt idx="5">
                  <c:v>3.5378456572542703E-2</c:v>
                </c:pt>
                <c:pt idx="6">
                  <c:v>3.9877080203493703E-2</c:v>
                </c:pt>
                <c:pt idx="7">
                  <c:v>4.44649454997251E-2</c:v>
                </c:pt>
                <c:pt idx="8">
                  <c:v>4.8880624566059301E-2</c:v>
                </c:pt>
                <c:pt idx="9">
                  <c:v>5.27811618044969E-2</c:v>
                </c:pt>
                <c:pt idx="10">
                  <c:v>5.5830842170243998E-2</c:v>
                </c:pt>
                <c:pt idx="11">
                  <c:v>5.7740180858700099E-2</c:v>
                </c:pt>
                <c:pt idx="12">
                  <c:v>5.8361410525192003E-2</c:v>
                </c:pt>
                <c:pt idx="13">
                  <c:v>5.7710002240970198E-2</c:v>
                </c:pt>
                <c:pt idx="14">
                  <c:v>5.5975224226280498E-2</c:v>
                </c:pt>
                <c:pt idx="15">
                  <c:v>5.3417576102782E-2</c:v>
                </c:pt>
                <c:pt idx="16">
                  <c:v>5.0334436633139398E-2</c:v>
                </c:pt>
                <c:pt idx="17">
                  <c:v>4.6986899609768797E-2</c:v>
                </c:pt>
                <c:pt idx="18">
                  <c:v>4.35990270135641E-2</c:v>
                </c:pt>
                <c:pt idx="19">
                  <c:v>4.0314817305307997E-2</c:v>
                </c:pt>
                <c:pt idx="20">
                  <c:v>3.7215928760716499E-2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E-4D40-89E5-66592BBFA58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FD!$N$86:$N$106</c:f>
              <c:numCache>
                <c:formatCode>General</c:formatCode>
                <c:ptCount val="21"/>
                <c:pt idx="0">
                  <c:v>1.93691026137165E-2</c:v>
                </c:pt>
                <c:pt idx="1">
                  <c:v>2.0290409612225301E-2</c:v>
                </c:pt>
                <c:pt idx="2">
                  <c:v>2.10172760859457E-2</c:v>
                </c:pt>
                <c:pt idx="3">
                  <c:v>2.14340962999689E-2</c:v>
                </c:pt>
                <c:pt idx="4">
                  <c:v>2.14221306878245E-2</c:v>
                </c:pt>
                <c:pt idx="5">
                  <c:v>2.0817001683129201E-2</c:v>
                </c:pt>
                <c:pt idx="6">
                  <c:v>1.9447049021860102E-2</c:v>
                </c:pt>
                <c:pt idx="7">
                  <c:v>1.7149550773201301E-2</c:v>
                </c:pt>
                <c:pt idx="8">
                  <c:v>1.3808052344663599E-2</c:v>
                </c:pt>
                <c:pt idx="9">
                  <c:v>9.4380217884658807E-3</c:v>
                </c:pt>
                <c:pt idx="10">
                  <c:v>4.16012745662482E-3</c:v>
                </c:pt>
                <c:pt idx="11">
                  <c:v>-1.74113884764983E-3</c:v>
                </c:pt>
                <c:pt idx="12">
                  <c:v>-7.8780060675381208E-3</c:v>
                </c:pt>
                <c:pt idx="13">
                  <c:v>-1.38440873910041E-2</c:v>
                </c:pt>
                <c:pt idx="14">
                  <c:v>-1.9293642471658299E-2</c:v>
                </c:pt>
                <c:pt idx="15">
                  <c:v>-2.3984990310708301E-2</c:v>
                </c:pt>
                <c:pt idx="16">
                  <c:v>-2.78333803550736E-2</c:v>
                </c:pt>
                <c:pt idx="17">
                  <c:v>-3.0848440923306401E-2</c:v>
                </c:pt>
                <c:pt idx="18">
                  <c:v>-3.3098914837660497E-2</c:v>
                </c:pt>
                <c:pt idx="19">
                  <c:v>-3.4707524711227601E-2</c:v>
                </c:pt>
                <c:pt idx="20">
                  <c:v>-3.5786988642321001E-2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E-4D40-89E5-66592BBFA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FD!$M$107:$M$127</c:f>
              <c:numCache>
                <c:formatCode>General</c:formatCode>
                <c:ptCount val="21"/>
                <c:pt idx="0">
                  <c:v>2.3279342201930099E-2</c:v>
                </c:pt>
                <c:pt idx="1">
                  <c:v>2.6638413604324399E-2</c:v>
                </c:pt>
                <c:pt idx="2">
                  <c:v>3.0499579090427099E-2</c:v>
                </c:pt>
                <c:pt idx="3">
                  <c:v>3.4893590534099399E-2</c:v>
                </c:pt>
                <c:pt idx="4">
                  <c:v>3.9827175071637799E-2</c:v>
                </c:pt>
                <c:pt idx="5">
                  <c:v>4.52529499730253E-2</c:v>
                </c:pt>
                <c:pt idx="6">
                  <c:v>5.10516014456565E-2</c:v>
                </c:pt>
                <c:pt idx="7">
                  <c:v>5.7004993506276802E-2</c:v>
                </c:pt>
                <c:pt idx="8">
                  <c:v>6.2787107839816503E-2</c:v>
                </c:pt>
                <c:pt idx="9">
                  <c:v>6.7982457385318704E-2</c:v>
                </c:pt>
                <c:pt idx="10">
                  <c:v>7.21441935100193E-2</c:v>
                </c:pt>
                <c:pt idx="11">
                  <c:v>7.4887295978421503E-2</c:v>
                </c:pt>
                <c:pt idx="12">
                  <c:v>7.5985407752808001E-2</c:v>
                </c:pt>
                <c:pt idx="13">
                  <c:v>7.5430231892649593E-2</c:v>
                </c:pt>
                <c:pt idx="14">
                  <c:v>7.3409000090895293E-2</c:v>
                </c:pt>
                <c:pt idx="15">
                  <c:v>7.0268882202193295E-2</c:v>
                </c:pt>
                <c:pt idx="16">
                  <c:v>6.6378426255109799E-2</c:v>
                </c:pt>
                <c:pt idx="17">
                  <c:v>6.2089213157200597E-2</c:v>
                </c:pt>
                <c:pt idx="18">
                  <c:v>5.76988320298936E-2</c:v>
                </c:pt>
                <c:pt idx="19">
                  <c:v>5.3403849485715103E-2</c:v>
                </c:pt>
                <c:pt idx="20">
                  <c:v>4.9334324759466398E-2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A-44C6-8888-E7110CBBF7C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FD!$N$107:$N$127</c:f>
              <c:numCache>
                <c:formatCode>General</c:formatCode>
                <c:ptCount val="21"/>
                <c:pt idx="0">
                  <c:v>2.7464273475395901E-2</c:v>
                </c:pt>
                <c:pt idx="1">
                  <c:v>2.8685532091108901E-2</c:v>
                </c:pt>
                <c:pt idx="2">
                  <c:v>2.9664509175471601E-2</c:v>
                </c:pt>
                <c:pt idx="3">
                  <c:v>3.02773080824109E-2</c:v>
                </c:pt>
                <c:pt idx="4">
                  <c:v>3.0349522777826401E-2</c:v>
                </c:pt>
                <c:pt idx="5">
                  <c:v>2.9684994836413601E-2</c:v>
                </c:pt>
                <c:pt idx="6">
                  <c:v>2.8063853606988699E-2</c:v>
                </c:pt>
                <c:pt idx="7">
                  <c:v>2.5275357418094498E-2</c:v>
                </c:pt>
                <c:pt idx="8">
                  <c:v>2.1166832440888499E-2</c:v>
                </c:pt>
                <c:pt idx="9">
                  <c:v>1.57060374334352E-2</c:v>
                </c:pt>
                <c:pt idx="10">
                  <c:v>9.0353948122181404E-3</c:v>
                </c:pt>
                <c:pt idx="11">
                  <c:v>1.4878147311861299E-3</c:v>
                </c:pt>
                <c:pt idx="12">
                  <c:v>-6.4565955149443899E-3</c:v>
                </c:pt>
                <c:pt idx="13">
                  <c:v>-1.42657846476504E-2</c:v>
                </c:pt>
                <c:pt idx="14">
                  <c:v>-2.1476635890836999E-2</c:v>
                </c:pt>
                <c:pt idx="15">
                  <c:v>-2.7760305811444199E-2</c:v>
                </c:pt>
                <c:pt idx="16">
                  <c:v>-3.29644106900637E-2</c:v>
                </c:pt>
                <c:pt idx="17">
                  <c:v>-3.7078440380457198E-2</c:v>
                </c:pt>
                <c:pt idx="18">
                  <c:v>-4.0186873301414301E-2</c:v>
                </c:pt>
                <c:pt idx="19">
                  <c:v>-4.2435377813073903E-2</c:v>
                </c:pt>
                <c:pt idx="20">
                  <c:v>-4.3970775753216597E-2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AA-44C6-8888-E7110CBBF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FD!$M$128:$M$148</c:f>
              <c:numCache>
                <c:formatCode>General</c:formatCode>
                <c:ptCount val="21"/>
                <c:pt idx="0">
                  <c:v>2.8822341157510201E-2</c:v>
                </c:pt>
                <c:pt idx="1">
                  <c:v>3.2958696422684501E-2</c:v>
                </c:pt>
                <c:pt idx="2">
                  <c:v>3.77153512876423E-2</c:v>
                </c:pt>
                <c:pt idx="3">
                  <c:v>4.3134202843081199E-2</c:v>
                </c:pt>
                <c:pt idx="4">
                  <c:v>4.92268374241841E-2</c:v>
                </c:pt>
                <c:pt idx="5">
                  <c:v>5.5948323616085198E-2</c:v>
                </c:pt>
                <c:pt idx="6">
                  <c:v>6.3166300728618494E-2</c:v>
                </c:pt>
                <c:pt idx="7">
                  <c:v>7.0630900041507599E-2</c:v>
                </c:pt>
                <c:pt idx="8">
                  <c:v>7.7958567512405597E-2</c:v>
                </c:pt>
                <c:pt idx="9">
                  <c:v>8.46476536581445E-2</c:v>
                </c:pt>
                <c:pt idx="10">
                  <c:v>9.0142002492279896E-2</c:v>
                </c:pt>
                <c:pt idx="11">
                  <c:v>9.3940424641849499E-2</c:v>
                </c:pt>
                <c:pt idx="12">
                  <c:v>9.57187513032456E-2</c:v>
                </c:pt>
                <c:pt idx="13">
                  <c:v>9.5412356912926599E-2</c:v>
                </c:pt>
                <c:pt idx="14">
                  <c:v>9.3222351638862402E-2</c:v>
                </c:pt>
                <c:pt idx="15">
                  <c:v>8.9529673384899797E-2</c:v>
                </c:pt>
                <c:pt idx="16">
                  <c:v>8.4815366009979298E-2</c:v>
                </c:pt>
                <c:pt idx="17">
                  <c:v>7.9498119101891307E-2</c:v>
                </c:pt>
                <c:pt idx="18">
                  <c:v>7.3999716023618906E-2</c:v>
                </c:pt>
                <c:pt idx="19">
                  <c:v>6.8574919833217202E-2</c:v>
                </c:pt>
                <c:pt idx="20">
                  <c:v>6.3405196608500095E-2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B-4B0C-81DC-86C1EB7A064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FD!$N$128:$N$148</c:f>
              <c:numCache>
                <c:formatCode>General</c:formatCode>
                <c:ptCount val="21"/>
                <c:pt idx="0">
                  <c:v>3.6484681927014997E-2</c:v>
                </c:pt>
                <c:pt idx="1">
                  <c:v>3.8049617043118503E-2</c:v>
                </c:pt>
                <c:pt idx="2">
                  <c:v>3.9337382934049203E-2</c:v>
                </c:pt>
                <c:pt idx="3">
                  <c:v>4.0183177042863803E-2</c:v>
                </c:pt>
                <c:pt idx="4">
                  <c:v>4.03919560040083E-2</c:v>
                </c:pt>
                <c:pt idx="5">
                  <c:v>3.9720500756005202E-2</c:v>
                </c:pt>
                <c:pt idx="6">
                  <c:v>3.7896955562739497E-2</c:v>
                </c:pt>
                <c:pt idx="7">
                  <c:v>3.4653834347619997E-2</c:v>
                </c:pt>
                <c:pt idx="8">
                  <c:v>2.9784836460552098E-2</c:v>
                </c:pt>
                <c:pt idx="9">
                  <c:v>2.3219937915349001E-2</c:v>
                </c:pt>
                <c:pt idx="10">
                  <c:v>1.5095939989186499E-2</c:v>
                </c:pt>
                <c:pt idx="11">
                  <c:v>5.7865030048177496E-3</c:v>
                </c:pt>
                <c:pt idx="12">
                  <c:v>-4.1378375495440796E-3</c:v>
                </c:pt>
                <c:pt idx="13">
                  <c:v>-1.40193617299524E-2</c:v>
                </c:pt>
                <c:pt idx="14">
                  <c:v>-2.3251375840917798E-2</c:v>
                </c:pt>
                <c:pt idx="15">
                  <c:v>-3.1397964228321099E-2</c:v>
                </c:pt>
                <c:pt idx="16">
                  <c:v>-3.8214943588616102E-2</c:v>
                </c:pt>
                <c:pt idx="17">
                  <c:v>-4.3678800322937202E-2</c:v>
                </c:pt>
                <c:pt idx="18">
                  <c:v>-4.7842923779708897E-2</c:v>
                </c:pt>
                <c:pt idx="19">
                  <c:v>-5.0884038505570398E-2</c:v>
                </c:pt>
                <c:pt idx="20">
                  <c:v>-5.2999491251802699E-2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EB-4B0C-81DC-86C1EB7A0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FD!$M$149:$M$169</c:f>
              <c:numCache>
                <c:formatCode>General</c:formatCode>
                <c:ptCount val="21"/>
                <c:pt idx="0">
                  <c:v>3.4751199104268403E-2</c:v>
                </c:pt>
                <c:pt idx="1">
                  <c:v>3.97104051057557E-2</c:v>
                </c:pt>
                <c:pt idx="2">
                  <c:v>4.5410059564636798E-2</c:v>
                </c:pt>
                <c:pt idx="3">
                  <c:v>5.1910040878941799E-2</c:v>
                </c:pt>
                <c:pt idx="4">
                  <c:v>5.9232222033138798E-2</c:v>
                </c:pt>
                <c:pt idx="5">
                  <c:v>6.7334813792931797E-2</c:v>
                </c:pt>
                <c:pt idx="6">
                  <c:v>7.6077557907822904E-2</c:v>
                </c:pt>
                <c:pt idx="7">
                  <c:v>8.5184194938322105E-2</c:v>
                </c:pt>
                <c:pt idx="8">
                  <c:v>9.4218554520131101E-2</c:v>
                </c:pt>
                <c:pt idx="9">
                  <c:v>0.102594999402191</c:v>
                </c:pt>
                <c:pt idx="10">
                  <c:v>0.10964403568603499</c:v>
                </c:pt>
                <c:pt idx="11">
                  <c:v>0.114735299253271</c:v>
                </c:pt>
                <c:pt idx="12">
                  <c:v>0.11742534085893599</c:v>
                </c:pt>
                <c:pt idx="13">
                  <c:v>0.117570303965347</c:v>
                </c:pt>
                <c:pt idx="14">
                  <c:v>0.115350429495298</c:v>
                </c:pt>
                <c:pt idx="15">
                  <c:v>0.111198133295796</c:v>
                </c:pt>
                <c:pt idx="16">
                  <c:v>0.105674606993036</c:v>
                </c:pt>
                <c:pt idx="17">
                  <c:v>9.9329328398878106E-2</c:v>
                </c:pt>
                <c:pt idx="18">
                  <c:v>9.26487386548039E-2</c:v>
                </c:pt>
                <c:pt idx="19">
                  <c:v>8.5988513476559794E-2</c:v>
                </c:pt>
                <c:pt idx="20">
                  <c:v>7.9585560735094499E-2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2B-4CF1-80D9-8F92FE4F769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FD!$N$149:$N$169</c:f>
              <c:numCache>
                <c:formatCode>General</c:formatCode>
                <c:ptCount val="21"/>
                <c:pt idx="0">
                  <c:v>4.6378947746958901E-2</c:v>
                </c:pt>
                <c:pt idx="1">
                  <c:v>4.8338008494560297E-2</c:v>
                </c:pt>
                <c:pt idx="2">
                  <c:v>4.9970206641729902E-2</c:v>
                </c:pt>
                <c:pt idx="3">
                  <c:v>5.1103717421735903E-2</c:v>
                </c:pt>
                <c:pt idx="4">
                  <c:v>5.1504306638395697E-2</c:v>
                </c:pt>
                <c:pt idx="5">
                  <c:v>5.0884161188515298E-2</c:v>
                </c:pt>
                <c:pt idx="6">
                  <c:v>4.8917659290158101E-2</c:v>
                </c:pt>
                <c:pt idx="7">
                  <c:v>4.52760962434475E-2</c:v>
                </c:pt>
                <c:pt idx="8">
                  <c:v>3.9691199459940797E-2</c:v>
                </c:pt>
                <c:pt idx="9">
                  <c:v>3.2042395564080402E-2</c:v>
                </c:pt>
                <c:pt idx="10">
                  <c:v>2.2444867872688599E-2</c:v>
                </c:pt>
                <c:pt idx="11">
                  <c:v>1.1297816176801799E-2</c:v>
                </c:pt>
                <c:pt idx="12">
                  <c:v>-7.4632348337094496E-4</c:v>
                </c:pt>
                <c:pt idx="13">
                  <c:v>-1.2899974819856001E-2</c:v>
                </c:pt>
                <c:pt idx="14">
                  <c:v>-2.4406336691141398E-2</c:v>
                </c:pt>
                <c:pt idx="15">
                  <c:v>-3.4682995834055902E-2</c:v>
                </c:pt>
                <c:pt idx="16">
                  <c:v>-4.3390630243795997E-2</c:v>
                </c:pt>
                <c:pt idx="17">
                  <c:v>-5.0429263297487099E-2</c:v>
                </c:pt>
                <c:pt idx="18">
                  <c:v>-5.5876899147620403E-2</c:v>
                </c:pt>
                <c:pt idx="19">
                  <c:v>-5.9914783417512302E-2</c:v>
                </c:pt>
                <c:pt idx="20">
                  <c:v>-6.2765609742623393E-2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2B-4CF1-80D9-8F92FE4F7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FD!$M$170:$M$190</c:f>
              <c:numCache>
                <c:formatCode>General</c:formatCode>
                <c:ptCount val="21"/>
                <c:pt idx="0">
                  <c:v>4.0946876620167397E-2</c:v>
                </c:pt>
                <c:pt idx="1">
                  <c:v>4.67531520472768E-2</c:v>
                </c:pt>
                <c:pt idx="2">
                  <c:v>5.3427939824099699E-2</c:v>
                </c:pt>
                <c:pt idx="3">
                  <c:v>6.1046901202134199E-2</c:v>
                </c:pt>
                <c:pt idx="4">
                  <c:v>6.9644511974135695E-2</c:v>
                </c:pt>
                <c:pt idx="5">
                  <c:v>7.91878432559463E-2</c:v>
                </c:pt>
                <c:pt idx="6">
                  <c:v>8.9535289116626796E-2</c:v>
                </c:pt>
                <c:pt idx="7">
                  <c:v>0.100392530534859</c:v>
                </c:pt>
                <c:pt idx="8">
                  <c:v>0.111279980962684</c:v>
                </c:pt>
                <c:pt idx="9">
                  <c:v>0.121535269891672</c:v>
                </c:pt>
                <c:pt idx="10">
                  <c:v>0.13037636391552801</c:v>
                </c:pt>
                <c:pt idx="11">
                  <c:v>0.13703364401162299</c:v>
                </c:pt>
                <c:pt idx="12">
                  <c:v>0.14092181185880501</c:v>
                </c:pt>
                <c:pt idx="13">
                  <c:v>0.141786694445732</c:v>
                </c:pt>
                <c:pt idx="14">
                  <c:v>0.13975944194745399</c:v>
                </c:pt>
                <c:pt idx="15">
                  <c:v>0.13529780250375201</c:v>
                </c:pt>
                <c:pt idx="16">
                  <c:v>0.129032275976211</c:v>
                </c:pt>
                <c:pt idx="17">
                  <c:v>0.121643528748397</c:v>
                </c:pt>
                <c:pt idx="18">
                  <c:v>0.113722093962801</c:v>
                </c:pt>
                <c:pt idx="19">
                  <c:v>0.10572337879716701</c:v>
                </c:pt>
                <c:pt idx="20">
                  <c:v>9.7979098244393298E-2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B0-428D-BC0D-83CF9B3707B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FD!$N$170:$N$190</c:f>
              <c:numCache>
                <c:formatCode>General</c:formatCode>
                <c:ptCount val="21"/>
                <c:pt idx="0">
                  <c:v>5.7062602001364801E-2</c:v>
                </c:pt>
                <c:pt idx="1">
                  <c:v>5.9452130885711101E-2</c:v>
                </c:pt>
                <c:pt idx="2">
                  <c:v>6.1487700696668701E-2</c:v>
                </c:pt>
                <c:pt idx="3">
                  <c:v>6.2969952272289298E-2</c:v>
                </c:pt>
                <c:pt idx="4">
                  <c:v>6.36311346038545E-2</c:v>
                </c:pt>
                <c:pt idx="5">
                  <c:v>6.3141479311277907E-2</c:v>
                </c:pt>
                <c:pt idx="6">
                  <c:v>6.1121372908268898E-2</c:v>
                </c:pt>
                <c:pt idx="7">
                  <c:v>5.7177675384041698E-2</c:v>
                </c:pt>
                <c:pt idx="8">
                  <c:v>5.0971994808587898E-2</c:v>
                </c:pt>
                <c:pt idx="9">
                  <c:v>4.2318773505531301E-2</c:v>
                </c:pt>
                <c:pt idx="10">
                  <c:v>3.1291286268262997E-2</c:v>
                </c:pt>
                <c:pt idx="11">
                  <c:v>1.8291743737281201E-2</c:v>
                </c:pt>
                <c:pt idx="12">
                  <c:v>4.0369741496351702E-3</c:v>
                </c:pt>
                <c:pt idx="13">
                  <c:v>-1.0560345315143899E-2</c:v>
                </c:pt>
                <c:pt idx="14">
                  <c:v>-2.4580314331447601E-2</c:v>
                </c:pt>
                <c:pt idx="15">
                  <c:v>-3.7274592604631201E-2</c:v>
                </c:pt>
                <c:pt idx="16">
                  <c:v>-4.8174381902566003E-2</c:v>
                </c:pt>
                <c:pt idx="17">
                  <c:v>-5.70989838392554E-2</c:v>
                </c:pt>
                <c:pt idx="18">
                  <c:v>-6.4093846288755696E-2</c:v>
                </c:pt>
                <c:pt idx="19">
                  <c:v>-6.9347234117167103E-2</c:v>
                </c:pt>
                <c:pt idx="20">
                  <c:v>-7.3126051038248596E-2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B0-428D-BC0D-83CF9B370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FD!$M$191:$M$211</c:f>
              <c:numCache>
                <c:formatCode>General</c:formatCode>
                <c:ptCount val="21"/>
                <c:pt idx="0">
                  <c:v>4.6464301404361003E-2</c:v>
                </c:pt>
                <c:pt idx="1">
                  <c:v>5.29980722467902E-2</c:v>
                </c:pt>
                <c:pt idx="2">
                  <c:v>6.0475252165393303E-2</c:v>
                </c:pt>
                <c:pt idx="3">
                  <c:v>6.90032982387115E-2</c:v>
                </c:pt>
                <c:pt idx="4">
                  <c:v>7.8645768049527595E-2</c:v>
                </c:pt>
                <c:pt idx="5">
                  <c:v>8.93998881239466E-2</c:v>
                </c:pt>
                <c:pt idx="6">
                  <c:v>0.10115609411289</c:v>
                </c:pt>
                <c:pt idx="7">
                  <c:v>0.113656130895343</c:v>
                </c:pt>
                <c:pt idx="8">
                  <c:v>0.12645051421082701</c:v>
                </c:pt>
                <c:pt idx="9">
                  <c:v>0.13885529329170301</c:v>
                </c:pt>
                <c:pt idx="10">
                  <c:v>0.15003796011394199</c:v>
                </c:pt>
                <c:pt idx="11">
                  <c:v>0.15909863356939999</c:v>
                </c:pt>
                <c:pt idx="12">
                  <c:v>0.16525469346323399</c:v>
                </c:pt>
                <c:pt idx="13">
                  <c:v>0.16803563217890199</c:v>
                </c:pt>
                <c:pt idx="14">
                  <c:v>0.16736990297670501</c:v>
                </c:pt>
                <c:pt idx="15">
                  <c:v>0.163603503050814</c:v>
                </c:pt>
                <c:pt idx="16">
                  <c:v>0.15736649654142501</c:v>
                </c:pt>
                <c:pt idx="17">
                  <c:v>0.149429016777402</c:v>
                </c:pt>
                <c:pt idx="18">
                  <c:v>0.14051539024967799</c:v>
                </c:pt>
                <c:pt idx="19">
                  <c:v>0.131228901825683</c:v>
                </c:pt>
                <c:pt idx="20">
                  <c:v>0.12201818838543201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8-4458-8721-6C2F4D50929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FD!$N$191:$N$211</c:f>
              <c:numCache>
                <c:formatCode>General</c:formatCode>
                <c:ptCount val="21"/>
                <c:pt idx="0">
                  <c:v>6.7897890123038596E-2</c:v>
                </c:pt>
                <c:pt idx="1">
                  <c:v>7.0823826975463494E-2</c:v>
                </c:pt>
                <c:pt idx="2">
                  <c:v>7.3382681745332898E-2</c:v>
                </c:pt>
                <c:pt idx="3">
                  <c:v>7.5381963664928303E-2</c:v>
                </c:pt>
                <c:pt idx="4">
                  <c:v>7.6547889962737703E-2</c:v>
                </c:pt>
                <c:pt idx="5">
                  <c:v>7.6533462739039507E-2</c:v>
                </c:pt>
                <c:pt idx="6">
                  <c:v>7.4931410418677902E-2</c:v>
                </c:pt>
                <c:pt idx="7">
                  <c:v>7.1287948274712007E-2</c:v>
                </c:pt>
                <c:pt idx="8">
                  <c:v>6.5184022271715603E-2</c:v>
                </c:pt>
                <c:pt idx="9">
                  <c:v>5.63310209046805E-2</c:v>
                </c:pt>
                <c:pt idx="10">
                  <c:v>4.4670093149684599E-2</c:v>
                </c:pt>
                <c:pt idx="11">
                  <c:v>3.0492671720438801E-2</c:v>
                </c:pt>
                <c:pt idx="12">
                  <c:v>1.4450919766944299E-2</c:v>
                </c:pt>
                <c:pt idx="13">
                  <c:v>-2.5106957865462399E-3</c:v>
                </c:pt>
                <c:pt idx="14">
                  <c:v>-1.9319594420207899E-2</c:v>
                </c:pt>
                <c:pt idx="15">
                  <c:v>-3.5020295829249697E-2</c:v>
                </c:pt>
                <c:pt idx="16">
                  <c:v>-4.89072719068415E-2</c:v>
                </c:pt>
                <c:pt idx="17">
                  <c:v>-6.0612365347243603E-2</c:v>
                </c:pt>
                <c:pt idx="18">
                  <c:v>-7.0049889635409604E-2</c:v>
                </c:pt>
                <c:pt idx="19">
                  <c:v>-7.7358637458169496E-2</c:v>
                </c:pt>
                <c:pt idx="20">
                  <c:v>-8.2788272947019501E-2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8-4458-8721-6C2F4D509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FD!$M$212:$M$232</c:f>
              <c:numCache>
                <c:formatCode>General</c:formatCode>
                <c:ptCount val="21"/>
                <c:pt idx="0">
                  <c:v>5.2740635655651097E-2</c:v>
                </c:pt>
                <c:pt idx="1">
                  <c:v>6.0053802692838602E-2</c:v>
                </c:pt>
                <c:pt idx="2">
                  <c:v>6.8469186771236701E-2</c:v>
                </c:pt>
                <c:pt idx="3">
                  <c:v>7.8079943455827999E-2</c:v>
                </c:pt>
                <c:pt idx="4">
                  <c:v>8.8966907332480499E-2</c:v>
                </c:pt>
                <c:pt idx="5">
                  <c:v>0.101146332966128</c:v>
                </c:pt>
                <c:pt idx="6">
                  <c:v>0.11452625955913801</c:v>
                </c:pt>
                <c:pt idx="7">
                  <c:v>0.12885347477610901</c:v>
                </c:pt>
                <c:pt idx="8">
                  <c:v>0.14366188068403199</c:v>
                </c:pt>
                <c:pt idx="9">
                  <c:v>0.15824141397493899</c:v>
                </c:pt>
                <c:pt idx="10">
                  <c:v>0.17168403206973901</c:v>
                </c:pt>
                <c:pt idx="11">
                  <c:v>0.182945515264892</c:v>
                </c:pt>
                <c:pt idx="12">
                  <c:v>0.19108019204512799</c:v>
                </c:pt>
                <c:pt idx="13">
                  <c:v>0.19543654558447299</c:v>
                </c:pt>
                <c:pt idx="14">
                  <c:v>0.195790814904787</c:v>
                </c:pt>
                <c:pt idx="15">
                  <c:v>0.19242991860941899</c:v>
                </c:pt>
                <c:pt idx="16">
                  <c:v>0.185998438223379</c:v>
                </c:pt>
                <c:pt idx="17">
                  <c:v>0.17734901362080299</c:v>
                </c:pt>
                <c:pt idx="18">
                  <c:v>0.16731907666418</c:v>
                </c:pt>
                <c:pt idx="19">
                  <c:v>0.15666701227118299</c:v>
                </c:pt>
                <c:pt idx="20">
                  <c:v>0.145964046958282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12-495E-A071-372976A0761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FD!$N$212:$N$232</c:f>
              <c:numCache>
                <c:formatCode>General</c:formatCode>
                <c:ptCount val="21"/>
                <c:pt idx="0">
                  <c:v>7.9859309339492104E-2</c:v>
                </c:pt>
                <c:pt idx="1">
                  <c:v>8.3286283357438304E-2</c:v>
                </c:pt>
                <c:pt idx="2">
                  <c:v>8.6357002632477503E-2</c:v>
                </c:pt>
                <c:pt idx="3">
                  <c:v>8.8845225286168894E-2</c:v>
                </c:pt>
                <c:pt idx="4">
                  <c:v>9.0452466895756797E-2</c:v>
                </c:pt>
                <c:pt idx="5">
                  <c:v>9.0798454628759906E-2</c:v>
                </c:pt>
                <c:pt idx="6">
                  <c:v>8.9426390978132694E-2</c:v>
                </c:pt>
                <c:pt idx="7">
                  <c:v>8.5829802434279401E-2</c:v>
                </c:pt>
                <c:pt idx="8">
                  <c:v>7.9512745869645698E-2</c:v>
                </c:pt>
                <c:pt idx="9">
                  <c:v>7.0094759357188299E-2</c:v>
                </c:pt>
                <c:pt idx="10">
                  <c:v>5.7419301778479197E-2</c:v>
                </c:pt>
                <c:pt idx="11">
                  <c:v>4.1714181554336503E-2</c:v>
                </c:pt>
                <c:pt idx="12">
                  <c:v>2.3615836416153901E-2</c:v>
                </c:pt>
                <c:pt idx="13">
                  <c:v>4.1532855570574198E-3</c:v>
                </c:pt>
                <c:pt idx="14">
                  <c:v>-1.54875278582444E-2</c:v>
                </c:pt>
                <c:pt idx="15">
                  <c:v>-3.4142441994078898E-2</c:v>
                </c:pt>
                <c:pt idx="16">
                  <c:v>-5.0914334230473798E-2</c:v>
                </c:pt>
                <c:pt idx="17">
                  <c:v>-6.5263899409809104E-2</c:v>
                </c:pt>
                <c:pt idx="18">
                  <c:v>-7.7009658066807499E-2</c:v>
                </c:pt>
                <c:pt idx="19">
                  <c:v>-8.6239735588798605E-2</c:v>
                </c:pt>
                <c:pt idx="20">
                  <c:v>-9.3213526227382798E-2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12-495E-A071-372976A07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FD!$M$233:$M$253</c:f>
              <c:numCache>
                <c:formatCode>General</c:formatCode>
                <c:ptCount val="21"/>
                <c:pt idx="0">
                  <c:v>5.9298560099372601E-2</c:v>
                </c:pt>
                <c:pt idx="1">
                  <c:v>6.7433653260272702E-2</c:v>
                </c:pt>
                <c:pt idx="2">
                  <c:v>7.6804913443596398E-2</c:v>
                </c:pt>
                <c:pt idx="3">
                  <c:v>8.7512323221120195E-2</c:v>
                </c:pt>
                <c:pt idx="4">
                  <c:v>9.9655550159652301E-2</c:v>
                </c:pt>
                <c:pt idx="5">
                  <c:v>0.113270589691478</c:v>
                </c:pt>
                <c:pt idx="6">
                  <c:v>0.12828359678540599</c:v>
                </c:pt>
                <c:pt idx="7">
                  <c:v>0.14445622981248399</c:v>
                </c:pt>
                <c:pt idx="8">
                  <c:v>0.16132117124161</c:v>
                </c:pt>
                <c:pt idx="9">
                  <c:v>0.17814764403373801</c:v>
                </c:pt>
                <c:pt idx="10">
                  <c:v>0.193948985412283</c:v>
                </c:pt>
                <c:pt idx="11">
                  <c:v>0.207591474552282</c:v>
                </c:pt>
                <c:pt idx="12">
                  <c:v>0.21794536079430399</c:v>
                </c:pt>
                <c:pt idx="13">
                  <c:v>0.224174344114384</c:v>
                </c:pt>
                <c:pt idx="14">
                  <c:v>0.225881618515543</c:v>
                </c:pt>
                <c:pt idx="15">
                  <c:v>0.22324471908201499</c:v>
                </c:pt>
                <c:pt idx="16">
                  <c:v>0.216884561577291</c:v>
                </c:pt>
                <c:pt idx="17">
                  <c:v>0.20770674457079499</c:v>
                </c:pt>
                <c:pt idx="18">
                  <c:v>0.19668933059487201</c:v>
                </c:pt>
                <c:pt idx="19">
                  <c:v>0.18471980136994001</c:v>
                </c:pt>
                <c:pt idx="20">
                  <c:v>0.17249904952469799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D-4C82-927F-F7BBC06953C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FD!$N$233:$N$253</c:f>
              <c:numCache>
                <c:formatCode>General</c:formatCode>
                <c:ptCount val="21"/>
                <c:pt idx="0">
                  <c:v>9.2423641021617806E-2</c:v>
                </c:pt>
                <c:pt idx="1">
                  <c:v>9.6390376628303201E-2</c:v>
                </c:pt>
                <c:pt idx="2">
                  <c:v>0.100004003459992</c:v>
                </c:pt>
                <c:pt idx="3">
                  <c:v>0.10301287344685101</c:v>
                </c:pt>
                <c:pt idx="4">
                  <c:v>0.10509853334882099</c:v>
                </c:pt>
                <c:pt idx="5">
                  <c:v>0.10585150231459001</c:v>
                </c:pt>
                <c:pt idx="6">
                  <c:v>0.104778978601708</c:v>
                </c:pt>
                <c:pt idx="7">
                  <c:v>0.10130989769014399</c:v>
                </c:pt>
                <c:pt idx="8">
                  <c:v>9.4874548462969902E-2</c:v>
                </c:pt>
                <c:pt idx="9">
                  <c:v>8.5014408916724293E-2</c:v>
                </c:pt>
                <c:pt idx="10">
                  <c:v>7.1471004616617401E-2</c:v>
                </c:pt>
                <c:pt idx="11">
                  <c:v>5.4375919356265498E-2</c:v>
                </c:pt>
                <c:pt idx="12">
                  <c:v>3.43460216273122E-2</c:v>
                </c:pt>
                <c:pt idx="13">
                  <c:v>1.24177782099394E-2</c:v>
                </c:pt>
                <c:pt idx="14">
                  <c:v>-1.00864770673386E-2</c:v>
                </c:pt>
                <c:pt idx="15">
                  <c:v>-3.18332076813021E-2</c:v>
                </c:pt>
                <c:pt idx="16">
                  <c:v>-5.17094419186091E-2</c:v>
                </c:pt>
                <c:pt idx="17">
                  <c:v>-6.8986536786248304E-2</c:v>
                </c:pt>
                <c:pt idx="18">
                  <c:v>-8.3341871397185199E-2</c:v>
                </c:pt>
                <c:pt idx="19">
                  <c:v>-9.4798467406246006E-2</c:v>
                </c:pt>
                <c:pt idx="20">
                  <c:v>-0.103596588894894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CD-4C82-927F-F7BBC0695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FD!$M$254:$M$274</c:f>
              <c:numCache>
                <c:formatCode>General</c:formatCode>
                <c:ptCount val="21"/>
                <c:pt idx="0">
                  <c:v>6.5866924274523703E-2</c:v>
                </c:pt>
                <c:pt idx="1">
                  <c:v>7.4842876273567102E-2</c:v>
                </c:pt>
                <c:pt idx="2">
                  <c:v>8.5149728637560207E-2</c:v>
                </c:pt>
                <c:pt idx="3">
                  <c:v>9.6935203871320694E-2</c:v>
                </c:pt>
                <c:pt idx="4">
                  <c:v>0.11031849070920199</c:v>
                </c:pt>
                <c:pt idx="5">
                  <c:v>0.12535732554474899</c:v>
                </c:pt>
                <c:pt idx="6">
                  <c:v>0.14200362155246701</c:v>
                </c:pt>
                <c:pt idx="7">
                  <c:v>0.160036215473528</c:v>
                </c:pt>
                <c:pt idx="8">
                  <c:v>0.17899876720008201</c:v>
                </c:pt>
                <c:pt idx="9">
                  <c:v>0.19814775243133001</c:v>
                </c:pt>
                <c:pt idx="10">
                  <c:v>0.216449989511239</c:v>
                </c:pt>
                <c:pt idx="11">
                  <c:v>0.232664057837045</c:v>
                </c:pt>
                <c:pt idx="12">
                  <c:v>0.24550719181657499</c:v>
                </c:pt>
                <c:pt idx="13">
                  <c:v>0.25392926935819399</c:v>
                </c:pt>
                <c:pt idx="14">
                  <c:v>0.25734495548133302</c:v>
                </c:pt>
                <c:pt idx="15">
                  <c:v>0.25577766243015698</c:v>
                </c:pt>
                <c:pt idx="16">
                  <c:v>0.24979468360580101</c:v>
                </c:pt>
                <c:pt idx="17">
                  <c:v>0.24031927338746001</c:v>
                </c:pt>
                <c:pt idx="18">
                  <c:v>0.228446006417728</c:v>
                </c:pt>
                <c:pt idx="19">
                  <c:v>0.215202372780358</c:v>
                </c:pt>
                <c:pt idx="20">
                  <c:v>0.20144565490512101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A-43EE-97B8-0B625E19F3A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FD!$N$254:$N$274</c:f>
              <c:numCache>
                <c:formatCode>General</c:formatCode>
                <c:ptCount val="21"/>
                <c:pt idx="0">
                  <c:v>0.105500446912366</c:v>
                </c:pt>
                <c:pt idx="1">
                  <c:v>0.11004868709342</c:v>
                </c:pt>
                <c:pt idx="2">
                  <c:v>0.11423859550305999</c:v>
                </c:pt>
                <c:pt idx="3">
                  <c:v>0.11781836457653599</c:v>
                </c:pt>
                <c:pt idx="4">
                  <c:v>0.120448293702383</c:v>
                </c:pt>
                <c:pt idx="5">
                  <c:v>0.121695164582349</c:v>
                </c:pt>
                <c:pt idx="6">
                  <c:v>0.121015486877058</c:v>
                </c:pt>
                <c:pt idx="7">
                  <c:v>0.117797767170515</c:v>
                </c:pt>
                <c:pt idx="8">
                  <c:v>0.111396221470538</c:v>
                </c:pt>
                <c:pt idx="9">
                  <c:v>0.101257934116518</c:v>
                </c:pt>
                <c:pt idx="10">
                  <c:v>8.7020606911059506E-2</c:v>
                </c:pt>
                <c:pt idx="11">
                  <c:v>6.8706822896340503E-2</c:v>
                </c:pt>
                <c:pt idx="12">
                  <c:v>4.6869672275906701E-2</c:v>
                </c:pt>
                <c:pt idx="13">
                  <c:v>2.2541488366472899E-2</c:v>
                </c:pt>
                <c:pt idx="14">
                  <c:v>-2.8681788622842101E-3</c:v>
                </c:pt>
                <c:pt idx="15">
                  <c:v>-2.78426074377515E-2</c:v>
                </c:pt>
                <c:pt idx="16">
                  <c:v>-5.1048531492947101E-2</c:v>
                </c:pt>
                <c:pt idx="17">
                  <c:v>-7.15420520851206E-2</c:v>
                </c:pt>
                <c:pt idx="18">
                  <c:v>-8.8836010945526095E-2</c:v>
                </c:pt>
                <c:pt idx="19">
                  <c:v>-0.10283546786448</c:v>
                </c:pt>
                <c:pt idx="20">
                  <c:v>-0.11374727231092201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CA-43EE-97B8-0B625E19F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FD!$M$275:$M$295</c:f>
              <c:numCache>
                <c:formatCode>General</c:formatCode>
                <c:ptCount val="21"/>
                <c:pt idx="0">
                  <c:v>7.2367930003122305E-2</c:v>
                </c:pt>
                <c:pt idx="1">
                  <c:v>8.2142966799353206E-2</c:v>
                </c:pt>
                <c:pt idx="2">
                  <c:v>9.3366327884190803E-2</c:v>
                </c:pt>
                <c:pt idx="3">
                  <c:v>0.106203290372308</c:v>
                </c:pt>
                <c:pt idx="4">
                  <c:v>0.12079497662309099</c:v>
                </c:pt>
                <c:pt idx="5">
                  <c:v>0.137225008171591</c:v>
                </c:pt>
                <c:pt idx="6">
                  <c:v>0.155470240459125</c:v>
                </c:pt>
                <c:pt idx="7">
                  <c:v>0.17534000077450199</c:v>
                </c:pt>
                <c:pt idx="8">
                  <c:v>0.19639902446978399</c:v>
                </c:pt>
                <c:pt idx="9">
                  <c:v>0.21790821885605699</c:v>
                </c:pt>
                <c:pt idx="10">
                  <c:v>0.23881293334353201</c:v>
                </c:pt>
                <c:pt idx="11">
                  <c:v>0.257769068879389</c:v>
                </c:pt>
                <c:pt idx="12">
                  <c:v>0.27336130378685602</c:v>
                </c:pt>
                <c:pt idx="13">
                  <c:v>0.284335515960143</c:v>
                </c:pt>
                <c:pt idx="14">
                  <c:v>0.28988468306162801</c:v>
                </c:pt>
                <c:pt idx="15">
                  <c:v>0.28982224193144501</c:v>
                </c:pt>
                <c:pt idx="16">
                  <c:v>0.28461006512296899</c:v>
                </c:pt>
                <c:pt idx="17">
                  <c:v>0.27517081943099497</c:v>
                </c:pt>
                <c:pt idx="18">
                  <c:v>0.26267877122868399</c:v>
                </c:pt>
                <c:pt idx="19">
                  <c:v>0.24830716814408199</c:v>
                </c:pt>
                <c:pt idx="20">
                  <c:v>0.23307573220882799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73-4E3A-85C8-7C77968AAFF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FD!$N$275:$N$295</c:f>
              <c:numCache>
                <c:formatCode>General</c:formatCode>
                <c:ptCount val="21"/>
                <c:pt idx="0">
                  <c:v>0.119001328202884</c:v>
                </c:pt>
                <c:pt idx="1">
                  <c:v>0.12415898743012201</c:v>
                </c:pt>
                <c:pt idx="2">
                  <c:v>0.12896932755106899</c:v>
                </c:pt>
                <c:pt idx="3">
                  <c:v>0.13317016975374299</c:v>
                </c:pt>
                <c:pt idx="4">
                  <c:v>0.136407177658808</c:v>
                </c:pt>
                <c:pt idx="5">
                  <c:v>0.13822161627564999</c:v>
                </c:pt>
                <c:pt idx="6">
                  <c:v>0.13804980168786801</c:v>
                </c:pt>
                <c:pt idx="7">
                  <c:v>0.135221051114813</c:v>
                </c:pt>
                <c:pt idx="8">
                  <c:v>0.12903046224134301</c:v>
                </c:pt>
                <c:pt idx="9">
                  <c:v>0.11881826254927599</c:v>
                </c:pt>
                <c:pt idx="10">
                  <c:v>0.104114323389408</c:v>
                </c:pt>
                <c:pt idx="11">
                  <c:v>8.4837413532758602E-2</c:v>
                </c:pt>
                <c:pt idx="12">
                  <c:v>6.1412020344520701E-2</c:v>
                </c:pt>
                <c:pt idx="13">
                  <c:v>3.4841204300159599E-2</c:v>
                </c:pt>
                <c:pt idx="14">
                  <c:v>6.5877394893017098E-3</c:v>
                </c:pt>
                <c:pt idx="15">
                  <c:v>-2.16798226017509E-2</c:v>
                </c:pt>
                <c:pt idx="16">
                  <c:v>-4.8402741578771599E-2</c:v>
                </c:pt>
                <c:pt idx="17">
                  <c:v>-7.2396647968732103E-2</c:v>
                </c:pt>
                <c:pt idx="18">
                  <c:v>-9.2957364266869097E-2</c:v>
                </c:pt>
                <c:pt idx="19">
                  <c:v>-0.10986052064648</c:v>
                </c:pt>
                <c:pt idx="20">
                  <c:v>-0.123236951913683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73-4E3A-85C8-7C77968AA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FD!$M$296:$M$316</c:f>
              <c:numCache>
                <c:formatCode>General</c:formatCode>
                <c:ptCount val="21"/>
                <c:pt idx="0">
                  <c:v>7.8830906267834094E-2</c:v>
                </c:pt>
                <c:pt idx="1">
                  <c:v>8.9382020668404699E-2</c:v>
                </c:pt>
                <c:pt idx="2">
                  <c:v>0.10149412032883701</c:v>
                </c:pt>
                <c:pt idx="3">
                  <c:v>0.11534933772072201</c:v>
                </c:pt>
                <c:pt idx="4">
                  <c:v>0.13111695026549899</c:v>
                </c:pt>
                <c:pt idx="5">
                  <c:v>0.14889530434249201</c:v>
                </c:pt>
                <c:pt idx="6">
                  <c:v>0.16869666165907399</c:v>
                </c:pt>
                <c:pt idx="7">
                  <c:v>0.190363700458376</c:v>
                </c:pt>
                <c:pt idx="8">
                  <c:v>0.213497934605268</c:v>
                </c:pt>
                <c:pt idx="9">
                  <c:v>0.23744544146615801</c:v>
                </c:pt>
                <c:pt idx="10">
                  <c:v>0.26100509613270101</c:v>
                </c:pt>
                <c:pt idx="11">
                  <c:v>0.28283986701616498</c:v>
                </c:pt>
                <c:pt idx="12">
                  <c:v>0.30138435718019702</c:v>
                </c:pt>
                <c:pt idx="13">
                  <c:v>0.31519290138112299</c:v>
                </c:pt>
                <c:pt idx="14">
                  <c:v>0.32321737556158697</c:v>
                </c:pt>
                <c:pt idx="15">
                  <c:v>0.32506023766721598</c:v>
                </c:pt>
                <c:pt idx="16">
                  <c:v>0.32100185551841398</c:v>
                </c:pt>
                <c:pt idx="17">
                  <c:v>0.31193918539666898</c:v>
                </c:pt>
                <c:pt idx="18">
                  <c:v>0.29909514370297902</c:v>
                </c:pt>
                <c:pt idx="19">
                  <c:v>0.283773823949176</c:v>
                </c:pt>
                <c:pt idx="20">
                  <c:v>0.26706143620057698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6-43BB-8FA5-963E1C0C86C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FD!$N$296:$N$316</c:f>
              <c:numCache>
                <c:formatCode>General</c:formatCode>
                <c:ptCount val="21"/>
                <c:pt idx="0">
                  <c:v>0.13288134291832701</c:v>
                </c:pt>
                <c:pt idx="1">
                  <c:v>0.13867080183019201</c:v>
                </c:pt>
                <c:pt idx="2">
                  <c:v>0.144130195372459</c:v>
                </c:pt>
                <c:pt idx="3">
                  <c:v>0.14899144622655699</c:v>
                </c:pt>
                <c:pt idx="4">
                  <c:v>0.15288231849068601</c:v>
                </c:pt>
                <c:pt idx="5">
                  <c:v>0.15533479120828</c:v>
                </c:pt>
                <c:pt idx="6">
                  <c:v>0.15574957877691301</c:v>
                </c:pt>
                <c:pt idx="7">
                  <c:v>0.15342296582819001</c:v>
                </c:pt>
                <c:pt idx="8">
                  <c:v>0.147602656311005</c:v>
                </c:pt>
                <c:pt idx="9">
                  <c:v>0.13747045784143599</c:v>
                </c:pt>
                <c:pt idx="10">
                  <c:v>0.12250872198958</c:v>
                </c:pt>
                <c:pt idx="11">
                  <c:v>0.102471063106537</c:v>
                </c:pt>
                <c:pt idx="12">
                  <c:v>7.7673245535355998E-2</c:v>
                </c:pt>
                <c:pt idx="13">
                  <c:v>4.9039849922708302E-2</c:v>
                </c:pt>
                <c:pt idx="14">
                  <c:v>1.8046707946516201E-2</c:v>
                </c:pt>
                <c:pt idx="15">
                  <c:v>-1.3507622618218499E-2</c:v>
                </c:pt>
                <c:pt idx="16">
                  <c:v>-4.3859662080839801E-2</c:v>
                </c:pt>
                <c:pt idx="17">
                  <c:v>-7.1554226395608503E-2</c:v>
                </c:pt>
                <c:pt idx="18">
                  <c:v>-9.5665678658047301E-2</c:v>
                </c:pt>
                <c:pt idx="19">
                  <c:v>-0.115789795724116</c:v>
                </c:pt>
                <c:pt idx="20">
                  <c:v>-0.132052641794729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16-43BB-8FA5-963E1C0C8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FD!$M$317:$M$337</c:f>
              <c:numCache>
                <c:formatCode>General</c:formatCode>
                <c:ptCount val="21"/>
                <c:pt idx="0">
                  <c:v>8.5210392470887797E-2</c:v>
                </c:pt>
                <c:pt idx="1">
                  <c:v>9.6516563619084894E-2</c:v>
                </c:pt>
                <c:pt idx="2">
                  <c:v>0.109490995795546</c:v>
                </c:pt>
                <c:pt idx="3">
                  <c:v>0.124334442029259</c:v>
                </c:pt>
                <c:pt idx="4">
                  <c:v>0.14123713426187601</c:v>
                </c:pt>
                <c:pt idx="5">
                  <c:v>0.160325705655536</c:v>
                </c:pt>
                <c:pt idx="6">
                  <c:v>0.181643290380718</c:v>
                </c:pt>
                <c:pt idx="7">
                  <c:v>0.205075556332593</c:v>
                </c:pt>
                <c:pt idx="8">
                  <c:v>0.23024287895120399</c:v>
                </c:pt>
                <c:pt idx="9">
                  <c:v>0.25656993806855199</c:v>
                </c:pt>
                <c:pt idx="10">
                  <c:v>0.28280285491379498</c:v>
                </c:pt>
                <c:pt idx="11">
                  <c:v>0.30758562642378801</c:v>
                </c:pt>
                <c:pt idx="12">
                  <c:v>0.32924681483784701</c:v>
                </c:pt>
                <c:pt idx="13">
                  <c:v>0.34615303312164403</c:v>
                </c:pt>
                <c:pt idx="14">
                  <c:v>0.35701239923251199</c:v>
                </c:pt>
                <c:pt idx="15">
                  <c:v>0.36116741718356299</c:v>
                </c:pt>
                <c:pt idx="16">
                  <c:v>0.35870196632098</c:v>
                </c:pt>
                <c:pt idx="17">
                  <c:v>0.35041464780979498</c:v>
                </c:pt>
                <c:pt idx="18">
                  <c:v>0.33754670658640401</c:v>
                </c:pt>
                <c:pt idx="19">
                  <c:v>0.32150936415062897</c:v>
                </c:pt>
                <c:pt idx="20">
                  <c:v>0.30353143766769403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A2-43D3-9135-E5CDA99B5F9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FD!$N$317:$N$337</c:f>
              <c:numCache>
                <c:formatCode>General</c:formatCode>
                <c:ptCount val="21"/>
                <c:pt idx="0">
                  <c:v>0.147070164527598</c:v>
                </c:pt>
                <c:pt idx="1">
                  <c:v>0.15351414262858801</c:v>
                </c:pt>
                <c:pt idx="2">
                  <c:v>0.15965019407747899</c:v>
                </c:pt>
                <c:pt idx="3">
                  <c:v>0.16520531782332601</c:v>
                </c:pt>
                <c:pt idx="4">
                  <c:v>0.169798406982163</c:v>
                </c:pt>
                <c:pt idx="5">
                  <c:v>0.17294848008472</c:v>
                </c:pt>
                <c:pt idx="6">
                  <c:v>0.174033188617123</c:v>
                </c:pt>
                <c:pt idx="7">
                  <c:v>0.17232654993889099</c:v>
                </c:pt>
                <c:pt idx="8">
                  <c:v>0.16698288399689001</c:v>
                </c:pt>
                <c:pt idx="9">
                  <c:v>0.157127383798844</c:v>
                </c:pt>
                <c:pt idx="10">
                  <c:v>0.14212756268473201</c:v>
                </c:pt>
                <c:pt idx="11">
                  <c:v>0.121591944566216</c:v>
                </c:pt>
                <c:pt idx="12">
                  <c:v>9.5689389936414099E-2</c:v>
                </c:pt>
                <c:pt idx="13">
                  <c:v>6.5235015281514402E-2</c:v>
                </c:pt>
                <c:pt idx="14">
                  <c:v>3.1680017908053602E-2</c:v>
                </c:pt>
                <c:pt idx="15">
                  <c:v>-3.0960854739825101E-3</c:v>
                </c:pt>
                <c:pt idx="16">
                  <c:v>-3.7127279513345199E-2</c:v>
                </c:pt>
                <c:pt idx="17">
                  <c:v>-6.8701222884880397E-2</c:v>
                </c:pt>
                <c:pt idx="18">
                  <c:v>-9.6632632610783198E-2</c:v>
                </c:pt>
                <c:pt idx="19">
                  <c:v>-0.12030034449105401</c:v>
                </c:pt>
                <c:pt idx="20">
                  <c:v>-0.13972731092971799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A2-43D3-9135-E5CDA99B5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FD!$M$338:$M$358</c:f>
              <c:numCache>
                <c:formatCode>General</c:formatCode>
                <c:ptCount val="21"/>
                <c:pt idx="0">
                  <c:v>9.1523417560780099E-2</c:v>
                </c:pt>
                <c:pt idx="1">
                  <c:v>0.103560903779559</c:v>
                </c:pt>
                <c:pt idx="2">
                  <c:v>0.117370477762435</c:v>
                </c:pt>
                <c:pt idx="3">
                  <c:v>0.13317879468704999</c:v>
                </c:pt>
                <c:pt idx="4">
                  <c:v>0.151179773163236</c:v>
                </c:pt>
                <c:pt idx="5">
                  <c:v>0.171543650278111</c:v>
                </c:pt>
                <c:pt idx="6">
                  <c:v>0.19433991143232299</c:v>
                </c:pt>
                <c:pt idx="7">
                  <c:v>0.21948258930791201</c:v>
                </c:pt>
                <c:pt idx="8">
                  <c:v>0.24672865579456099</c:v>
                </c:pt>
                <c:pt idx="9">
                  <c:v>0.27530267927359903</c:v>
                </c:pt>
                <c:pt idx="10">
                  <c:v>0.30418468609244498</c:v>
                </c:pt>
                <c:pt idx="11">
                  <c:v>0.331936703550606</c:v>
                </c:pt>
                <c:pt idx="12">
                  <c:v>0.356823966250985</c:v>
                </c:pt>
                <c:pt idx="13">
                  <c:v>0.377022525859601</c:v>
                </c:pt>
                <c:pt idx="14">
                  <c:v>0.39100398205020198</c:v>
                </c:pt>
                <c:pt idx="15">
                  <c:v>0.39782941337993599</c:v>
                </c:pt>
                <c:pt idx="16">
                  <c:v>0.39736343195628598</c:v>
                </c:pt>
                <c:pt idx="17">
                  <c:v>0.39024764136643297</c:v>
                </c:pt>
                <c:pt idx="18">
                  <c:v>0.37770273247793101</c:v>
                </c:pt>
                <c:pt idx="19">
                  <c:v>0.361224135184398</c:v>
                </c:pt>
                <c:pt idx="20">
                  <c:v>0.342297874281218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1D-4961-A455-40F6638205E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FD!$N$338:$N$358</c:f>
              <c:numCache>
                <c:formatCode>General</c:formatCode>
                <c:ptCount val="21"/>
                <c:pt idx="0">
                  <c:v>0.161536266788119</c:v>
                </c:pt>
                <c:pt idx="1">
                  <c:v>0.16864736864478599</c:v>
                </c:pt>
                <c:pt idx="2">
                  <c:v>0.17548269150680099</c:v>
                </c:pt>
                <c:pt idx="3">
                  <c:v>0.18175264261499899</c:v>
                </c:pt>
                <c:pt idx="4">
                  <c:v>0.18708496398013499</c:v>
                </c:pt>
                <c:pt idx="5">
                  <c:v>0.190984860518597</c:v>
                </c:pt>
                <c:pt idx="6">
                  <c:v>0.19280151050163899</c:v>
                </c:pt>
                <c:pt idx="7">
                  <c:v>0.191771957750937</c:v>
                </c:pt>
                <c:pt idx="8">
                  <c:v>0.18700211856711699</c:v>
                </c:pt>
                <c:pt idx="9">
                  <c:v>0.17759318719389799</c:v>
                </c:pt>
                <c:pt idx="10">
                  <c:v>0.162743895161862</c:v>
                </c:pt>
                <c:pt idx="11">
                  <c:v>0.14194259106951301</c:v>
                </c:pt>
                <c:pt idx="12">
                  <c:v>0.115193293478907</c:v>
                </c:pt>
                <c:pt idx="13">
                  <c:v>8.3168092892125706E-2</c:v>
                </c:pt>
                <c:pt idx="14">
                  <c:v>4.7255136796643199E-2</c:v>
                </c:pt>
                <c:pt idx="15">
                  <c:v>9.3926514437268696E-3</c:v>
                </c:pt>
                <c:pt idx="16">
                  <c:v>-2.82942195446571E-2</c:v>
                </c:pt>
                <c:pt idx="17">
                  <c:v>-6.3851987481752706E-2</c:v>
                </c:pt>
                <c:pt idx="18">
                  <c:v>-9.5801968519931904E-2</c:v>
                </c:pt>
                <c:pt idx="19">
                  <c:v>-0.123281727817215</c:v>
                </c:pt>
                <c:pt idx="20">
                  <c:v>-0.14602079888924099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1D-4961-A455-40F663820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FD!$M$359:$M$379</c:f>
              <c:numCache>
                <c:formatCode>General</c:formatCode>
                <c:ptCount val="21"/>
                <c:pt idx="0">
                  <c:v>9.7626933903217403E-2</c:v>
                </c:pt>
                <c:pt idx="1">
                  <c:v>0.110388818123001</c:v>
                </c:pt>
                <c:pt idx="2">
                  <c:v>0.12501770758876601</c:v>
                </c:pt>
                <c:pt idx="3">
                  <c:v>0.14176451718500699</c:v>
                </c:pt>
                <c:pt idx="4">
                  <c:v>0.16083879135092699</c:v>
                </c:pt>
                <c:pt idx="5">
                  <c:v>0.18244553155739099</c:v>
                </c:pt>
                <c:pt idx="6">
                  <c:v>0.20668305078375601</c:v>
                </c:pt>
                <c:pt idx="7">
                  <c:v>0.233504776798031</c:v>
                </c:pt>
                <c:pt idx="8">
                  <c:v>0.26263377460525</c:v>
                </c:pt>
                <c:pt idx="9">
                  <c:v>0.29359768431250499</c:v>
                </c:pt>
                <c:pt idx="10">
                  <c:v>0.32521548078545398</c:v>
                </c:pt>
                <c:pt idx="11">
                  <c:v>0.35599834883460402</c:v>
                </c:pt>
                <c:pt idx="12">
                  <c:v>0.384171910333651</c:v>
                </c:pt>
                <c:pt idx="13">
                  <c:v>0.40779548406191202</c:v>
                </c:pt>
                <c:pt idx="14">
                  <c:v>0.42508706305517202</c:v>
                </c:pt>
                <c:pt idx="15">
                  <c:v>0.43484446499051499</c:v>
                </c:pt>
                <c:pt idx="16">
                  <c:v>0.43667082603665802</c:v>
                </c:pt>
                <c:pt idx="17">
                  <c:v>0.43103262943387899</c:v>
                </c:pt>
                <c:pt idx="18">
                  <c:v>0.41909131558080298</c:v>
                </c:pt>
                <c:pt idx="19">
                  <c:v>0.40239224519522498</c:v>
                </c:pt>
                <c:pt idx="20">
                  <c:v>0.38257150390238898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BF-46BC-A704-789FCDBF505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FD!$N$359:$N$379</c:f>
              <c:numCache>
                <c:formatCode>General</c:formatCode>
                <c:ptCount val="21"/>
                <c:pt idx="0">
                  <c:v>0.17613241288821399</c:v>
                </c:pt>
                <c:pt idx="1">
                  <c:v>0.183943790274851</c:v>
                </c:pt>
                <c:pt idx="2">
                  <c:v>0.191505505181262</c:v>
                </c:pt>
                <c:pt idx="3">
                  <c:v>0.198532434235526</c:v>
                </c:pt>
                <c:pt idx="4">
                  <c:v>0.20463847074013899</c:v>
                </c:pt>
                <c:pt idx="5">
                  <c:v>0.20932897137388001</c:v>
                </c:pt>
                <c:pt idx="6">
                  <c:v>0.21193670231919901</c:v>
                </c:pt>
                <c:pt idx="7">
                  <c:v>0.21167146380337401</c:v>
                </c:pt>
                <c:pt idx="8">
                  <c:v>0.207608509300231</c:v>
                </c:pt>
                <c:pt idx="9">
                  <c:v>0.19873091378642599</c:v>
                </c:pt>
                <c:pt idx="10">
                  <c:v>0.18413197947517801</c:v>
                </c:pt>
                <c:pt idx="11">
                  <c:v>0.16319682004505201</c:v>
                </c:pt>
                <c:pt idx="12">
                  <c:v>0.13575260027257899</c:v>
                </c:pt>
                <c:pt idx="13">
                  <c:v>0.102333975665214</c:v>
                </c:pt>
                <c:pt idx="14">
                  <c:v>6.4228246661325095E-2</c:v>
                </c:pt>
                <c:pt idx="15">
                  <c:v>2.33906927452497E-2</c:v>
                </c:pt>
                <c:pt idx="16">
                  <c:v>-1.7913582691232902E-2</c:v>
                </c:pt>
                <c:pt idx="17">
                  <c:v>-5.7490975143624799E-2</c:v>
                </c:pt>
                <c:pt idx="18">
                  <c:v>-9.3583656726014999E-2</c:v>
                </c:pt>
                <c:pt idx="19">
                  <c:v>-0.12507971713687899</c:v>
                </c:pt>
                <c:pt idx="20">
                  <c:v>-0.15147795800667199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BF-46BC-A704-789FCDBF5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FD!$M$380:$M$400</c:f>
              <c:numCache>
                <c:formatCode>General</c:formatCode>
                <c:ptCount val="21"/>
                <c:pt idx="0">
                  <c:v>0.103327403449075</c:v>
                </c:pt>
                <c:pt idx="1">
                  <c:v>0.116741117608179</c:v>
                </c:pt>
                <c:pt idx="2">
                  <c:v>0.132153273813126</c:v>
                </c:pt>
                <c:pt idx="3">
                  <c:v>0.14978023912761401</c:v>
                </c:pt>
                <c:pt idx="4">
                  <c:v>0.16987226525322</c:v>
                </c:pt>
                <c:pt idx="5">
                  <c:v>0.19264747835204801</c:v>
                </c:pt>
                <c:pt idx="6">
                  <c:v>0.21824709406402701</c:v>
                </c:pt>
                <c:pt idx="7">
                  <c:v>0.24668150780147499</c:v>
                </c:pt>
                <c:pt idx="8">
                  <c:v>0.27770628830148603</c:v>
                </c:pt>
                <c:pt idx="9">
                  <c:v>0.31077982829644202</c:v>
                </c:pt>
                <c:pt idx="10">
                  <c:v>0.34493603915952897</c:v>
                </c:pt>
                <c:pt idx="11">
                  <c:v>0.378741842365938</c:v>
                </c:pt>
                <c:pt idx="12">
                  <c:v>0.41035016776023098</c:v>
                </c:pt>
                <c:pt idx="13">
                  <c:v>0.43768077473160699</c:v>
                </c:pt>
                <c:pt idx="14">
                  <c:v>0.45875089725192503</c:v>
                </c:pt>
                <c:pt idx="15">
                  <c:v>0.47204920285525798</c:v>
                </c:pt>
                <c:pt idx="16">
                  <c:v>0.47687235605233902</c:v>
                </c:pt>
                <c:pt idx="17">
                  <c:v>0.47343015684982698</c:v>
                </c:pt>
                <c:pt idx="18">
                  <c:v>0.46275126262795102</c:v>
                </c:pt>
                <c:pt idx="19">
                  <c:v>0.44638365624013698</c:v>
                </c:pt>
                <c:pt idx="20">
                  <c:v>0.42607765244739998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28-4743-907E-7AE3B8BF70C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FD!$N$380:$N$400</c:f>
              <c:numCache>
                <c:formatCode>General</c:formatCode>
                <c:ptCount val="21"/>
                <c:pt idx="0">
                  <c:v>0.19085254059127299</c:v>
                </c:pt>
                <c:pt idx="1">
                  <c:v>0.199375594035818</c:v>
                </c:pt>
                <c:pt idx="2">
                  <c:v>0.207703159831157</c:v>
                </c:pt>
                <c:pt idx="3">
                  <c:v>0.215536892803569</c:v>
                </c:pt>
                <c:pt idx="4">
                  <c:v>0.222490395625561</c:v>
                </c:pt>
                <c:pt idx="5">
                  <c:v>0.228051102367236</c:v>
                </c:pt>
                <c:pt idx="6">
                  <c:v>0.231559298441849</c:v>
                </c:pt>
                <c:pt idx="7">
                  <c:v>0.23219293574809799</c:v>
                </c:pt>
                <c:pt idx="8">
                  <c:v>0.22900350441655501</c:v>
                </c:pt>
                <c:pt idx="9">
                  <c:v>0.220942376098369</c:v>
                </c:pt>
                <c:pt idx="10">
                  <c:v>0.20699973833490801</c:v>
                </c:pt>
                <c:pt idx="11">
                  <c:v>0.18637983025037699</c:v>
                </c:pt>
                <c:pt idx="12">
                  <c:v>0.15873662243191899</c:v>
                </c:pt>
                <c:pt idx="13">
                  <c:v>0.12441248513563501</c:v>
                </c:pt>
                <c:pt idx="14">
                  <c:v>8.4549201551774297E-2</c:v>
                </c:pt>
                <c:pt idx="15">
                  <c:v>4.1036272956804801E-2</c:v>
                </c:pt>
                <c:pt idx="16">
                  <c:v>-3.7526054948844702E-3</c:v>
                </c:pt>
                <c:pt idx="17">
                  <c:v>-4.7427523657062501E-2</c:v>
                </c:pt>
                <c:pt idx="18">
                  <c:v>-8.7925351366166096E-2</c:v>
                </c:pt>
                <c:pt idx="19">
                  <c:v>-0.12381764274087401</c:v>
                </c:pt>
                <c:pt idx="20">
                  <c:v>-0.15436568681025001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28-4743-907E-7AE3B8BF7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FD!$M$401:$M$421</c:f>
              <c:numCache>
                <c:formatCode>General</c:formatCode>
                <c:ptCount val="21"/>
                <c:pt idx="0">
                  <c:v>0.108955824325593</c:v>
                </c:pt>
                <c:pt idx="1">
                  <c:v>0.123046926368325</c:v>
                </c:pt>
                <c:pt idx="2">
                  <c:v>0.13920134264696901</c:v>
                </c:pt>
                <c:pt idx="3">
                  <c:v>0.15767598335227401</c:v>
                </c:pt>
                <c:pt idx="4">
                  <c:v>0.17874338634277201</c:v>
                </c:pt>
                <c:pt idx="5">
                  <c:v>0.20264926039655001</c:v>
                </c:pt>
                <c:pt idx="6">
                  <c:v>0.22956966968303799</c:v>
                </c:pt>
                <c:pt idx="7">
                  <c:v>0.25954205177662099</c:v>
                </c:pt>
                <c:pt idx="8">
                  <c:v>0.29240634098079499</c:v>
                </c:pt>
                <c:pt idx="9">
                  <c:v>0.32765557083219699</c:v>
                </c:pt>
                <c:pt idx="10">
                  <c:v>0.36437641758477401</c:v>
                </c:pt>
                <c:pt idx="11">
                  <c:v>0.40116346236911699</c:v>
                </c:pt>
                <c:pt idx="12">
                  <c:v>0.43615003605546698</c:v>
                </c:pt>
                <c:pt idx="13">
                  <c:v>0.467142509368348</c:v>
                </c:pt>
                <c:pt idx="14">
                  <c:v>0.49196273064024998</c:v>
                </c:pt>
                <c:pt idx="15">
                  <c:v>0.50882273214472995</c:v>
                </c:pt>
                <c:pt idx="16">
                  <c:v>0.51670637370380801</c:v>
                </c:pt>
                <c:pt idx="17">
                  <c:v>0.51557647300955101</c:v>
                </c:pt>
                <c:pt idx="18">
                  <c:v>0.50630519062027002</c:v>
                </c:pt>
                <c:pt idx="19">
                  <c:v>0.49041885900903898</c:v>
                </c:pt>
                <c:pt idx="20">
                  <c:v>0.46974426128729602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3-4BA6-BF6B-D1DD002CAE8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FD!$B$2:$B$22</c:f>
              <c:numCache>
                <c:formatCode>General</c:formatCode>
                <c:ptCount val="21"/>
                <c:pt idx="0">
                  <c:v>15</c:v>
                </c:pt>
                <c:pt idx="1">
                  <c:v>15.1</c:v>
                </c:pt>
                <c:pt idx="2">
                  <c:v>15.2</c:v>
                </c:pt>
                <c:pt idx="3">
                  <c:v>15.3</c:v>
                </c:pt>
                <c:pt idx="4">
                  <c:v>15.4</c:v>
                </c:pt>
                <c:pt idx="5">
                  <c:v>15.5</c:v>
                </c:pt>
                <c:pt idx="6">
                  <c:v>15.6</c:v>
                </c:pt>
                <c:pt idx="7">
                  <c:v>15.7</c:v>
                </c:pt>
                <c:pt idx="8">
                  <c:v>15.8</c:v>
                </c:pt>
                <c:pt idx="9">
                  <c:v>15.9</c:v>
                </c:pt>
                <c:pt idx="10">
                  <c:v>16</c:v>
                </c:pt>
                <c:pt idx="11">
                  <c:v>16.100000000000001</c:v>
                </c:pt>
                <c:pt idx="12">
                  <c:v>16.2</c:v>
                </c:pt>
                <c:pt idx="13">
                  <c:v>16.3</c:v>
                </c:pt>
                <c:pt idx="14">
                  <c:v>16.399999999999999</c:v>
                </c:pt>
                <c:pt idx="15">
                  <c:v>16.5</c:v>
                </c:pt>
                <c:pt idx="16">
                  <c:v>16.600000000000001</c:v>
                </c:pt>
                <c:pt idx="17">
                  <c:v>16.7</c:v>
                </c:pt>
                <c:pt idx="18">
                  <c:v>16.8</c:v>
                </c:pt>
                <c:pt idx="19">
                  <c:v>16.899999999999999</c:v>
                </c:pt>
                <c:pt idx="20">
                  <c:v>17</c:v>
                </c:pt>
              </c:numCache>
            </c:numRef>
          </c:xVal>
          <c:yVal>
            <c:numRef>
              <c:f>FD!$N$401:$N$421</c:f>
              <c:numCache>
                <c:formatCode>General</c:formatCode>
                <c:ptCount val="21"/>
                <c:pt idx="0">
                  <c:v>0.20555782577461201</c:v>
                </c:pt>
                <c:pt idx="1">
                  <c:v>0.214822322736194</c:v>
                </c:pt>
                <c:pt idx="2">
                  <c:v>0.22391068708328701</c:v>
                </c:pt>
                <c:pt idx="3">
                  <c:v>0.232543413428727</c:v>
                </c:pt>
                <c:pt idx="4">
                  <c:v>0.24033578811975101</c:v>
                </c:pt>
                <c:pt idx="5">
                  <c:v>0.246772639793187</c:v>
                </c:pt>
                <c:pt idx="6">
                  <c:v>0.25118577761004801</c:v>
                </c:pt>
                <c:pt idx="7">
                  <c:v>0.25274537583805301</c:v>
                </c:pt>
                <c:pt idx="8">
                  <c:v>0.25044748058358901</c:v>
                </c:pt>
                <c:pt idx="9">
                  <c:v>0.24319766806271001</c:v>
                </c:pt>
                <c:pt idx="10">
                  <c:v>0.22988705696943301</c:v>
                </c:pt>
                <c:pt idx="11">
                  <c:v>0.209588219792254</c:v>
                </c:pt>
                <c:pt idx="12">
                  <c:v>0.18178481528472701</c:v>
                </c:pt>
                <c:pt idx="13">
                  <c:v>0.146633325400785</c:v>
                </c:pt>
                <c:pt idx="14">
                  <c:v>0.10512903413069299</c:v>
                </c:pt>
                <c:pt idx="15">
                  <c:v>5.9085773613416E-2</c:v>
                </c:pt>
                <c:pt idx="16">
                  <c:v>1.09274685058625E-2</c:v>
                </c:pt>
                <c:pt idx="17">
                  <c:v>-3.6744830571354803E-2</c:v>
                </c:pt>
                <c:pt idx="18">
                  <c:v>-8.1591965072777606E-2</c:v>
                </c:pt>
                <c:pt idx="19">
                  <c:v>-0.121890161191996</c:v>
                </c:pt>
                <c:pt idx="20">
                  <c:v>-0.15664038986578399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E3-4BA6-BF6B-D1DD002CA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347535"/>
        <c:axId val="1816346575"/>
      </c:scatterChart>
      <c:valAx>
        <c:axId val="1816347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575"/>
        <c:crosses val="autoZero"/>
        <c:crossBetween val="midCat"/>
      </c:valAx>
      <c:valAx>
        <c:axId val="181634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75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</xdr:colOff>
      <xdr:row>0</xdr:row>
      <xdr:rowOff>166687</xdr:rowOff>
    </xdr:from>
    <xdr:to>
      <xdr:col>29</xdr:col>
      <xdr:colOff>352425</xdr:colOff>
      <xdr:row>20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21</xdr:row>
      <xdr:rowOff>0</xdr:rowOff>
    </xdr:from>
    <xdr:to>
      <xdr:col>29</xdr:col>
      <xdr:colOff>304800</xdr:colOff>
      <xdr:row>40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43</xdr:row>
      <xdr:rowOff>0</xdr:rowOff>
    </xdr:from>
    <xdr:to>
      <xdr:col>29</xdr:col>
      <xdr:colOff>304800</xdr:colOff>
      <xdr:row>62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64</xdr:row>
      <xdr:rowOff>0</xdr:rowOff>
    </xdr:from>
    <xdr:to>
      <xdr:col>29</xdr:col>
      <xdr:colOff>304800</xdr:colOff>
      <xdr:row>83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85</xdr:row>
      <xdr:rowOff>0</xdr:rowOff>
    </xdr:from>
    <xdr:to>
      <xdr:col>29</xdr:col>
      <xdr:colOff>304800</xdr:colOff>
      <xdr:row>104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105</xdr:row>
      <xdr:rowOff>0</xdr:rowOff>
    </xdr:from>
    <xdr:to>
      <xdr:col>29</xdr:col>
      <xdr:colOff>304800</xdr:colOff>
      <xdr:row>124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127</xdr:row>
      <xdr:rowOff>0</xdr:rowOff>
    </xdr:from>
    <xdr:to>
      <xdr:col>29</xdr:col>
      <xdr:colOff>304800</xdr:colOff>
      <xdr:row>146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0</xdr:colOff>
      <xdr:row>148</xdr:row>
      <xdr:rowOff>0</xdr:rowOff>
    </xdr:from>
    <xdr:to>
      <xdr:col>29</xdr:col>
      <xdr:colOff>304800</xdr:colOff>
      <xdr:row>167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0</xdr:colOff>
      <xdr:row>169</xdr:row>
      <xdr:rowOff>0</xdr:rowOff>
    </xdr:from>
    <xdr:to>
      <xdr:col>29</xdr:col>
      <xdr:colOff>304800</xdr:colOff>
      <xdr:row>188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190</xdr:row>
      <xdr:rowOff>0</xdr:rowOff>
    </xdr:from>
    <xdr:to>
      <xdr:col>29</xdr:col>
      <xdr:colOff>304800</xdr:colOff>
      <xdr:row>209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0</xdr:colOff>
      <xdr:row>211</xdr:row>
      <xdr:rowOff>0</xdr:rowOff>
    </xdr:from>
    <xdr:to>
      <xdr:col>29</xdr:col>
      <xdr:colOff>304800</xdr:colOff>
      <xdr:row>230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0</xdr:colOff>
      <xdr:row>232</xdr:row>
      <xdr:rowOff>0</xdr:rowOff>
    </xdr:from>
    <xdr:to>
      <xdr:col>29</xdr:col>
      <xdr:colOff>304800</xdr:colOff>
      <xdr:row>251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0</xdr:colOff>
      <xdr:row>252</xdr:row>
      <xdr:rowOff>0</xdr:rowOff>
    </xdr:from>
    <xdr:to>
      <xdr:col>29</xdr:col>
      <xdr:colOff>304800</xdr:colOff>
      <xdr:row>271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22</xdr:col>
      <xdr:colOff>0</xdr:colOff>
      <xdr:row>273</xdr:row>
      <xdr:rowOff>0</xdr:rowOff>
    </xdr:from>
    <xdr:to>
      <xdr:col>29</xdr:col>
      <xdr:colOff>304800</xdr:colOff>
      <xdr:row>292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22</xdr:col>
      <xdr:colOff>0</xdr:colOff>
      <xdr:row>295</xdr:row>
      <xdr:rowOff>0</xdr:rowOff>
    </xdr:from>
    <xdr:to>
      <xdr:col>29</xdr:col>
      <xdr:colOff>304800</xdr:colOff>
      <xdr:row>314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22</xdr:col>
      <xdr:colOff>0</xdr:colOff>
      <xdr:row>316</xdr:row>
      <xdr:rowOff>0</xdr:rowOff>
    </xdr:from>
    <xdr:to>
      <xdr:col>29</xdr:col>
      <xdr:colOff>304800</xdr:colOff>
      <xdr:row>335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22</xdr:col>
      <xdr:colOff>0</xdr:colOff>
      <xdr:row>337</xdr:row>
      <xdr:rowOff>0</xdr:rowOff>
    </xdr:from>
    <xdr:to>
      <xdr:col>29</xdr:col>
      <xdr:colOff>304800</xdr:colOff>
      <xdr:row>356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0</xdr:colOff>
      <xdr:row>358</xdr:row>
      <xdr:rowOff>0</xdr:rowOff>
    </xdr:from>
    <xdr:to>
      <xdr:col>29</xdr:col>
      <xdr:colOff>304800</xdr:colOff>
      <xdr:row>377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22</xdr:col>
      <xdr:colOff>0</xdr:colOff>
      <xdr:row>379</xdr:row>
      <xdr:rowOff>0</xdr:rowOff>
    </xdr:from>
    <xdr:to>
      <xdr:col>29</xdr:col>
      <xdr:colOff>304800</xdr:colOff>
      <xdr:row>398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37BD5A0A-9600-4E14-BE90-216FE796B8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22</xdr:col>
      <xdr:colOff>0</xdr:colOff>
      <xdr:row>400</xdr:row>
      <xdr:rowOff>0</xdr:rowOff>
    </xdr:from>
    <xdr:to>
      <xdr:col>29</xdr:col>
      <xdr:colOff>304800</xdr:colOff>
      <xdr:row>419</xdr:row>
      <xdr:rowOff>76200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ED14057-C056-4728-92F9-C02DFC0C4A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7D747-4EFE-429B-A0D7-419E02E40AA2}" name="Table1" displayName="Table1" ref="A1:V484" totalsRowShown="0">
  <autoFilter ref="A1:V484" xr:uid="{5E97D747-4EFE-429B-A0D7-419E02E40AA2}"/>
  <tableColumns count="22">
    <tableColumn id="1" xr3:uid="{2513BE9D-84CE-491D-9700-1D3C7CF44BB2}" name="Offset"/>
    <tableColumn id="2" xr3:uid="{EC79AD33-D5DD-4F26-8309-4295E723B99B}" name="L=Lcav"/>
    <tableColumn id="3" xr3:uid="{70889754-2CBD-45AB-A4FF-3DC3736E317E}" name="S11 Re"/>
    <tableColumn id="4" xr3:uid="{D19AC076-C630-4536-BC54-5D8BC2E026A5}" name="S11 Im"/>
    <tableColumn id="5" xr3:uid="{CBA55ED6-2C80-4532-AAE9-D40EA22E464E}" name="S21 Re"/>
    <tableColumn id="6" xr3:uid="{B3556530-43B7-4526-9EBD-1AEC51D1A915}" name="S21 Im"/>
    <tableColumn id="7" xr3:uid="{5A86BF7D-CCD8-46DD-8EC5-6F733D590E6D}" name="Z11 Re">
      <calculatedColumnFormula>IMREAL(IMDIV(IMSUM(IMPRODUCT(COMPLEX(1 + C2,D2),COMPLEX(1 - C2, - D2)),IMPRODUCT(COMPLEX(E2,F2),COMPLEX(E2,F2))),IMSUB(IMPRODUCT(COMPLEX(1 - C2, - D2),COMPLEX(1 - C2, - D2)),IMPRODUCT(COMPLEX(E2,F2),COMPLEX(E2,F2)))))</calculatedColumnFormula>
    </tableColumn>
    <tableColumn id="8" xr3:uid="{8B17F374-2141-46EF-A8DB-CDDC9202F717}" name="Z11 Im">
      <calculatedColumnFormula>IMAGINARY(IMDIV(IMSUM(IMPRODUCT(COMPLEX(1 + C2,D2),COMPLEX(1 - C2, - D2)),IMPRODUCT(COMPLEX(E2,F2),COMPLEX(E2,F2))),IMSUB(IMPRODUCT(COMPLEX(1 - C2, - D2),COMPLEX(1 - C2, - D2)),IMPRODUCT(COMPLEX(E2,F2),COMPLEX(E2,F2)))))</calculatedColumnFormula>
    </tableColumn>
    <tableColumn id="9" xr3:uid="{57EA0F02-E62E-4C16-B8CB-D7A47E7286F8}" name="Z12 Re">
      <calculatedColumnFormula>IMREAL(IMDIV(IMPRODUCT(COMPLEX(2,0),COMPLEX(E2,F2)),IMSUB(IMPRODUCT(COMPLEX(1 - C2, - D2),COMPLEX(1 - C2, - D2)),IMPRODUCT(COMPLEX(E2,F2),COMPLEX(E2,F2)))))</calculatedColumnFormula>
    </tableColumn>
    <tableColumn id="10" xr3:uid="{CB6902E8-4453-4E4E-B850-D7E90E4E8105}" name="Z12 Im">
      <calculatedColumnFormula>IMAGINARY(IMDIV(IMPRODUCT(COMPLEX(2,0),COMPLEX(E2,F2)),IMSUB(IMPRODUCT(COMPLEX(1 - C2, - D2),COMPLEX(1 - C2, - D2)),IMPRODUCT(COMPLEX(E2,F2),COMPLEX(E2,F2)))))</calculatedColumnFormula>
    </tableColumn>
    <tableColumn id="11" xr3:uid="{24C1BE14-2950-4619-B2EA-BB78C2CE76A7}" name="Rself" dataDxfId="7">
      <calculatedColumnFormula>IMREAL(IMSUB(COMPLEX(G2,H2),COMPLEX(I2,J2)))</calculatedColumnFormula>
    </tableColumn>
    <tableColumn id="12" xr3:uid="{686F1441-507A-49DD-AFE0-56BADB6F9068}" name="Xself" dataDxfId="6">
      <calculatedColumnFormula>IMAGINARY(IMSUB(COMPLEX(G2,H2),COMPLEX(I2,J2)))</calculatedColumnFormula>
    </tableColumn>
    <tableColumn id="13" xr3:uid="{77E17CA3-A747-4717-9C3A-D1A0CFB25085}" name="Gself" dataDxfId="5">
      <calculatedColumnFormula>IMREAL(IMDIV(IMSUB(IMPRODUCT(COMPLEX(1 - C2, - D2),COMPLEX(1 - C2, - D2)),IMPRODUCT(COMPLEX(E2,F2),COMPLEX(E2,F2))),IMPRODUCT(COMPLEX(2,0),COMPLEX(E2,F2))))</calculatedColumnFormula>
    </tableColumn>
    <tableColumn id="14" xr3:uid="{9374055B-1525-4D0A-9005-FE959CAFC7F4}" name="Bself" dataDxfId="4">
      <calculatedColumnFormula>IMAGINARY(IMDIV(IMSUB(IMPRODUCT(COMPLEX(1 - C2, - D2),COMPLEX(1 - C2, - D2)),IMPRODUCT(COMPLEX(E2,F2),COMPLEX(E2,F2))),IMPRODUCT(COMPLEX(2,0),COMPLEX(E2,F2))))</calculatedColumnFormula>
    </tableColumn>
    <tableColumn id="15" xr3:uid="{AAA615D7-8102-47CC-8330-7B7A5524380C}" name="Re[Vcav]"/>
    <tableColumn id="16" xr3:uid="{45531EEE-CB7B-4265-90DE-395C7FC277DF}" name="Im[Vcav]"/>
    <tableColumn id="17" xr3:uid="{7921AC3A-1DA2-42EF-A201-66E22041E5DB}" name="Re[Vrad]"/>
    <tableColumn id="18" xr3:uid="{ED01122A-BB3F-4B7C-B0B1-2591A1B2DADD}" name="Im[Vrad]"/>
    <tableColumn id="19" xr3:uid="{DEDA3FE3-CA31-44CA-B855-4F0E8FA609F4}" name="|rho|" dataDxfId="1">
      <calculatedColumnFormula>IMABS(COMPLEX(Q2,R2))/IMABS(COMPLEX(O2,P2))</calculatedColumnFormula>
    </tableColumn>
    <tableColumn id="20" xr3:uid="{8726D354-B8FF-4D2F-A2A9-D21714AE0420}" name="arg(rho)" dataDxfId="0">
      <calculatedColumnFormula>IMARGUMENT(IMDIV(COMPLEX(Q2,R2),COMPLEX(O2/B2,P2/B2)))/PI()*180</calculatedColumnFormula>
    </tableColumn>
    <tableColumn id="21" xr3:uid="{A6804CBD-F45A-4DD6-9569-7C118617F827}" name="Re(rho)" dataDxfId="3">
      <calculatedColumnFormula>S2*COS(T2/180*PI())</calculatedColumnFormula>
    </tableColumn>
    <tableColumn id="22" xr3:uid="{0F81E51C-E2FC-4AD5-9344-9497C0A26A05}" name="Im(rho)" dataDxfId="2">
      <calculatedColumnFormula>S2*SIN(T2/180*PI())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108"/>
  <sheetViews>
    <sheetView topLeftCell="A68" workbookViewId="0">
      <selection activeCell="G4" sqref="G4:J108"/>
    </sheetView>
  </sheetViews>
  <sheetFormatPr defaultRowHeight="15" x14ac:dyDescent="0.25"/>
  <sheetData>
    <row r="1" spans="1:10" x14ac:dyDescent="0.25">
      <c r="A1" t="s">
        <v>18</v>
      </c>
    </row>
    <row r="2" spans="1:10" x14ac:dyDescent="0.25">
      <c r="A2" t="s">
        <v>19</v>
      </c>
      <c r="B2" t="s">
        <v>20</v>
      </c>
      <c r="C2" t="s">
        <v>21</v>
      </c>
      <c r="D2" t="s">
        <v>27</v>
      </c>
      <c r="E2" t="s">
        <v>28</v>
      </c>
      <c r="G2" t="s">
        <v>23</v>
      </c>
      <c r="H2" t="s">
        <v>24</v>
      </c>
      <c r="I2" t="s">
        <v>25</v>
      </c>
      <c r="J2" t="s">
        <v>26</v>
      </c>
    </row>
    <row r="3" spans="1:10" x14ac:dyDescent="0.25">
      <c r="A3" t="s">
        <v>22</v>
      </c>
    </row>
    <row r="4" spans="1:10" x14ac:dyDescent="0.25">
      <c r="A4">
        <v>1</v>
      </c>
      <c r="B4">
        <v>-5.6924130983101999E-2</v>
      </c>
      <c r="C4">
        <v>-8.2814913458955003E-2</v>
      </c>
      <c r="D4">
        <v>0.94308876467057001</v>
      </c>
      <c r="E4">
        <v>-8.8360452673973994E-2</v>
      </c>
      <c r="G4">
        <v>7.9960876303146994E-2</v>
      </c>
      <c r="H4">
        <v>-5.3736285790637002E-2</v>
      </c>
      <c r="I4">
        <v>5.0187521164192998E-2</v>
      </c>
      <c r="J4">
        <v>-9.9909931608003003E-2</v>
      </c>
    </row>
    <row r="5" spans="1:10" x14ac:dyDescent="0.25">
      <c r="A5">
        <v>2</v>
      </c>
      <c r="B5">
        <v>-6.3500373881422004E-2</v>
      </c>
      <c r="C5">
        <v>-8.5397762986324996E-2</v>
      </c>
      <c r="D5">
        <v>0.93651705671727004</v>
      </c>
      <c r="E5">
        <v>-9.1048988729192995E-2</v>
      </c>
      <c r="G5">
        <v>8.2366638996601002E-2</v>
      </c>
      <c r="H5">
        <v>-5.9894686139174001E-2</v>
      </c>
      <c r="I5">
        <v>4.9054336111473001E-2</v>
      </c>
      <c r="J5">
        <v>-0.10738833198272001</v>
      </c>
    </row>
    <row r="6" spans="1:10" x14ac:dyDescent="0.25">
      <c r="A6">
        <v>3</v>
      </c>
      <c r="B6">
        <v>-7.0844790551311002E-2</v>
      </c>
      <c r="C6">
        <v>-8.7648714662728E-2</v>
      </c>
      <c r="D6">
        <v>0.92917327341994005</v>
      </c>
      <c r="E6">
        <v>-9.3405800206664003E-2</v>
      </c>
      <c r="G6">
        <v>8.4528546575373995E-2</v>
      </c>
      <c r="H6">
        <v>-6.6823246946560999E-2</v>
      </c>
      <c r="I6">
        <v>4.7200908293251999E-2</v>
      </c>
      <c r="J6">
        <v>-0.11539035860047001</v>
      </c>
    </row>
    <row r="7" spans="1:10" x14ac:dyDescent="0.25">
      <c r="A7">
        <v>4</v>
      </c>
      <c r="B7">
        <v>-7.8982790332580002E-2</v>
      </c>
      <c r="C7">
        <v>-8.9420626155248997E-2</v>
      </c>
      <c r="D7">
        <v>0.92103536022355004</v>
      </c>
      <c r="E7">
        <v>-9.5286044622759997E-2</v>
      </c>
      <c r="G7">
        <v>8.6250306423886994E-2</v>
      </c>
      <c r="H7">
        <v>-7.450955043568E-2</v>
      </c>
      <c r="I7">
        <v>4.4477760064744E-2</v>
      </c>
      <c r="J7">
        <v>-0.12386164517004999</v>
      </c>
    </row>
    <row r="8" spans="1:10" x14ac:dyDescent="0.25">
      <c r="A8">
        <v>5</v>
      </c>
      <c r="B8">
        <v>-8.7934532670223997E-2</v>
      </c>
      <c r="C8">
        <v>-9.0540773977270006E-2</v>
      </c>
      <c r="D8">
        <v>0.91208326472518997</v>
      </c>
      <c r="E8">
        <v>-9.6517212486250004E-2</v>
      </c>
      <c r="G8">
        <v>8.7361860028564997E-2</v>
      </c>
      <c r="H8">
        <v>-8.2968494494612993E-2</v>
      </c>
      <c r="I8">
        <v>4.0715175226299999E-2</v>
      </c>
      <c r="J8">
        <v>-0.13272637190761</v>
      </c>
    </row>
    <row r="9" spans="1:10" x14ac:dyDescent="0.25">
      <c r="A9">
        <v>6</v>
      </c>
      <c r="B9">
        <v>-9.7686499784507996E-2</v>
      </c>
      <c r="C9">
        <v>-9.0806758367780002E-2</v>
      </c>
      <c r="D9">
        <v>0.90233056665264999</v>
      </c>
      <c r="E9">
        <v>-9.6897036574672996E-2</v>
      </c>
      <c r="G9">
        <v>8.7671997576475993E-2</v>
      </c>
      <c r="H9">
        <v>-9.2188503735499999E-2</v>
      </c>
      <c r="I9">
        <v>3.5734584704022999E-2</v>
      </c>
      <c r="J9">
        <v>-0.14186175561320999</v>
      </c>
    </row>
    <row r="10" spans="1:10" x14ac:dyDescent="0.25">
      <c r="A10">
        <v>7</v>
      </c>
      <c r="B10">
        <v>-0.10817666574427</v>
      </c>
      <c r="C10">
        <v>-8.9990867400721999E-2</v>
      </c>
      <c r="D10">
        <v>0.89183937822686998</v>
      </c>
      <c r="E10">
        <v>-9.6197840462899004E-2</v>
      </c>
      <c r="G10">
        <v>8.6964008161965006E-2</v>
      </c>
      <c r="H10">
        <v>-0.10211085796008</v>
      </c>
      <c r="I10">
        <v>2.9360667125828001E-2</v>
      </c>
      <c r="J10">
        <v>-0.15108669473794001</v>
      </c>
    </row>
    <row r="11" spans="1:10" x14ac:dyDescent="0.25">
      <c r="A11">
        <v>8</v>
      </c>
      <c r="B11">
        <v>-0.11927887789445001</v>
      </c>
      <c r="C11">
        <v>-8.7850687750386E-2</v>
      </c>
      <c r="D11">
        <v>0.8807295280595</v>
      </c>
      <c r="E11">
        <v>-9.4171293464043002E-2</v>
      </c>
      <c r="G11">
        <v>8.5009935328464001E-2</v>
      </c>
      <c r="H11">
        <v>-0.11261963365516001</v>
      </c>
      <c r="I11">
        <v>2.1439976117861002E-2</v>
      </c>
      <c r="J11">
        <v>-0.16015368090796001</v>
      </c>
    </row>
    <row r="12" spans="1:10" x14ac:dyDescent="0.25">
      <c r="A12">
        <v>9</v>
      </c>
      <c r="B12">
        <v>-0.13078762350632001</v>
      </c>
      <c r="C12">
        <v>-8.4148293388929998E-2</v>
      </c>
      <c r="D12">
        <v>0.86921834673578002</v>
      </c>
      <c r="E12">
        <v>-9.0590258181088998E-2</v>
      </c>
      <c r="G12">
        <v>8.1582480132964999E-2</v>
      </c>
      <c r="H12">
        <v>-0.12352001825113</v>
      </c>
      <c r="I12">
        <v>1.186529028883E-2</v>
      </c>
      <c r="J12">
        <v>-0.16874358414328</v>
      </c>
    </row>
    <row r="13" spans="1:10" x14ac:dyDescent="0.25">
      <c r="A13">
        <v>10</v>
      </c>
      <c r="B13">
        <v>-0.14241039483696</v>
      </c>
      <c r="C13">
        <v>-7.8677876997154006E-2</v>
      </c>
      <c r="D13">
        <v>0.85759257104380004</v>
      </c>
      <c r="E13">
        <v>-8.5243468522291005E-2</v>
      </c>
      <c r="G13">
        <v>7.6486278382558004E-2</v>
      </c>
      <c r="H13">
        <v>-0.13453745722963001</v>
      </c>
      <c r="I13">
        <v>6.0739346943008E-4</v>
      </c>
      <c r="J13">
        <v>-0.17647617189293999</v>
      </c>
    </row>
    <row r="14" spans="1:10" x14ac:dyDescent="0.25">
      <c r="A14">
        <v>11</v>
      </c>
      <c r="B14">
        <v>-0.15376951324143001</v>
      </c>
      <c r="C14">
        <v>-7.1301289516986999E-2</v>
      </c>
      <c r="D14">
        <v>0.84622919981989997</v>
      </c>
      <c r="E14">
        <v>-7.7994190725525006E-2</v>
      </c>
      <c r="G14">
        <v>6.9588297904073004E-2</v>
      </c>
      <c r="H14">
        <v>-0.14531509683644001</v>
      </c>
      <c r="I14">
        <v>-1.2255164302901999E-2</v>
      </c>
      <c r="J14">
        <v>-0.18292950180053999</v>
      </c>
    </row>
    <row r="15" spans="1:10" x14ac:dyDescent="0.25">
      <c r="A15">
        <v>12</v>
      </c>
      <c r="B15">
        <v>-0.16442002389134999</v>
      </c>
      <c r="C15">
        <v>-6.1986040487881998E-2</v>
      </c>
      <c r="D15">
        <v>0.83557379773239004</v>
      </c>
      <c r="E15">
        <v>-6.8809387837934999E-2</v>
      </c>
      <c r="G15">
        <v>6.0856111871822001E-2</v>
      </c>
      <c r="H15">
        <v>-0.15543287349963</v>
      </c>
      <c r="I15">
        <v>-2.6508970605312002E-2</v>
      </c>
      <c r="J15">
        <v>-0.18767725149003001</v>
      </c>
    </row>
    <row r="16" spans="1:10" x14ac:dyDescent="0.25">
      <c r="A16">
        <v>13</v>
      </c>
      <c r="B16">
        <v>-0.17388858284818001</v>
      </c>
      <c r="C16">
        <v>-5.0836521487864002E-2</v>
      </c>
      <c r="D16">
        <v>0.82610038697095001</v>
      </c>
      <c r="E16">
        <v>-5.7791209505087003E-2</v>
      </c>
      <c r="G16">
        <v>5.0386311621343001E-2</v>
      </c>
      <c r="H16">
        <v>-0.16444409324395001</v>
      </c>
      <c r="I16">
        <v>-4.1800985097595E-2</v>
      </c>
      <c r="J16">
        <v>-0.19034188848118999</v>
      </c>
    </row>
    <row r="17" spans="1:10" x14ac:dyDescent="0.25">
      <c r="A17">
        <v>14</v>
      </c>
      <c r="B17">
        <v>-0.18172584115252999</v>
      </c>
      <c r="C17">
        <v>-3.8108950120469998E-2</v>
      </c>
      <c r="D17">
        <v>0.81825888648429002</v>
      </c>
      <c r="E17">
        <v>-4.5199058655667E-2</v>
      </c>
      <c r="G17">
        <v>3.8418061609900002E-2</v>
      </c>
      <c r="H17">
        <v>-0.1719202915487</v>
      </c>
      <c r="I17">
        <v>-5.7650714006796999E-2</v>
      </c>
      <c r="J17">
        <v>-0.19064995860091</v>
      </c>
    </row>
    <row r="18" spans="1:10" x14ac:dyDescent="0.25">
      <c r="A18">
        <v>15</v>
      </c>
      <c r="B18">
        <v>-0.18756721619757</v>
      </c>
      <c r="C18">
        <v>-2.4200666060164001E-2</v>
      </c>
      <c r="D18">
        <v>0.81241235074853002</v>
      </c>
      <c r="E18">
        <v>-3.1427039781265001E-2</v>
      </c>
      <c r="G18">
        <v>2.5325471535636E-2</v>
      </c>
      <c r="H18">
        <v>-0.17751758173078999</v>
      </c>
      <c r="I18">
        <v>-7.3495543436479002E-2</v>
      </c>
      <c r="J18">
        <v>-0.18848399366623</v>
      </c>
    </row>
    <row r="19" spans="1:10" x14ac:dyDescent="0.25">
      <c r="A19">
        <v>16</v>
      </c>
      <c r="B19">
        <v>-0.19118415775858999</v>
      </c>
      <c r="C19">
        <v>-9.6108876549946005E-3</v>
      </c>
      <c r="D19">
        <v>0.80879145016717002</v>
      </c>
      <c r="E19">
        <v>-1.6974359414857001E-2</v>
      </c>
      <c r="G19">
        <v>1.1579073151277E-2</v>
      </c>
      <c r="H19">
        <v>-0.18101659528698</v>
      </c>
      <c r="I19">
        <v>-8.8752500241754004E-2</v>
      </c>
      <c r="J19">
        <v>-0.18390542217253</v>
      </c>
    </row>
    <row r="20" spans="1:10" x14ac:dyDescent="0.25">
      <c r="A20">
        <v>17</v>
      </c>
      <c r="B20">
        <v>-0.19251455667674</v>
      </c>
      <c r="C20">
        <v>5.1176899517701999E-3</v>
      </c>
      <c r="D20">
        <v>0.80745458924593005</v>
      </c>
      <c r="E20">
        <v>-2.3925848841056998E-3</v>
      </c>
      <c r="G20">
        <v>-2.3088323548792998E-3</v>
      </c>
      <c r="H20">
        <v>-0.18235397216491001</v>
      </c>
      <c r="I20">
        <v>-0.10288936815231001</v>
      </c>
      <c r="J20">
        <v>-0.17715330073591001</v>
      </c>
    </row>
    <row r="21" spans="1:10" x14ac:dyDescent="0.25">
      <c r="A21">
        <v>18</v>
      </c>
      <c r="B21">
        <v>-0.19166270081461001</v>
      </c>
      <c r="C21">
        <v>1.9465720418053001E-2</v>
      </c>
      <c r="D21">
        <v>0.80830161033813996</v>
      </c>
      <c r="E21">
        <v>1.1811496888221E-2</v>
      </c>
      <c r="G21">
        <v>-1.5846556984548999E-2</v>
      </c>
      <c r="H21">
        <v>-0.18162815158918</v>
      </c>
      <c r="I21">
        <v>-0.11548584993159</v>
      </c>
      <c r="J21">
        <v>-0.16860611203268999</v>
      </c>
    </row>
    <row r="22" spans="1:10" x14ac:dyDescent="0.25">
      <c r="A22">
        <v>19</v>
      </c>
      <c r="B22">
        <v>-0.18887111896805001</v>
      </c>
      <c r="C22">
        <v>3.2993351688105001E-2</v>
      </c>
      <c r="D22">
        <v>0.81108912237649999</v>
      </c>
      <c r="E22">
        <v>2.5191894928164999E-2</v>
      </c>
      <c r="G22">
        <v>-2.8617221533099001E-2</v>
      </c>
      <c r="H22">
        <v>-0.17906470996408</v>
      </c>
      <c r="I22">
        <v>-0.12627061061346001</v>
      </c>
      <c r="J22">
        <v>-0.15872583177381</v>
      </c>
    </row>
    <row r="23" spans="1:10" x14ac:dyDescent="0.25">
      <c r="A23">
        <v>20</v>
      </c>
      <c r="B23">
        <v>-0.18447431537905001</v>
      </c>
      <c r="C23">
        <v>4.5375437614197003E-2</v>
      </c>
      <c r="D23">
        <v>0.81548469338859997</v>
      </c>
      <c r="E23">
        <v>3.7424943764882E-2</v>
      </c>
      <c r="G23">
        <v>-4.0311773904246E-2</v>
      </c>
      <c r="H23">
        <v>-0.17497858983900999</v>
      </c>
      <c r="I23">
        <v>-0.13512718923643999</v>
      </c>
      <c r="J23">
        <v>-0.14799657846063999</v>
      </c>
    </row>
    <row r="24" spans="1:10" x14ac:dyDescent="0.25">
      <c r="A24">
        <v>21</v>
      </c>
      <c r="B24">
        <v>-0.17884839877774</v>
      </c>
      <c r="C24">
        <v>5.6412510072410001E-2</v>
      </c>
      <c r="D24">
        <v>0.82110431744824997</v>
      </c>
      <c r="E24">
        <v>4.8307733907433002E-2</v>
      </c>
      <c r="G24">
        <v>-5.0739876317841999E-2</v>
      </c>
      <c r="H24">
        <v>-0.16972347965633999</v>
      </c>
      <c r="I24">
        <v>-0.14207741903928001</v>
      </c>
      <c r="J24">
        <v>-0.13687243394602999</v>
      </c>
    </row>
    <row r="25" spans="1:10" x14ac:dyDescent="0.25">
      <c r="A25">
        <v>22</v>
      </c>
      <c r="B25">
        <v>-6.0615509700407001E-2</v>
      </c>
      <c r="C25">
        <v>-8.8655421688765002E-2</v>
      </c>
      <c r="D25">
        <v>0.93937466906283995</v>
      </c>
      <c r="E25">
        <v>-9.4499301434954996E-2</v>
      </c>
      <c r="G25">
        <v>8.2025240480054995E-2</v>
      </c>
      <c r="H25">
        <v>-5.5054734748343E-2</v>
      </c>
      <c r="I25">
        <v>5.1450936922014003E-2</v>
      </c>
      <c r="J25">
        <v>-0.10218383331271</v>
      </c>
    </row>
    <row r="26" spans="1:10" x14ac:dyDescent="0.25">
      <c r="A26">
        <v>23</v>
      </c>
      <c r="B26">
        <v>-6.7542269009459005E-2</v>
      </c>
      <c r="C26">
        <v>-9.1389024607669997E-2</v>
      </c>
      <c r="D26">
        <v>0.93245615532919002</v>
      </c>
      <c r="E26">
        <v>-9.7347655565340002E-2</v>
      </c>
      <c r="G26">
        <v>8.4461195732519007E-2</v>
      </c>
      <c r="H26">
        <v>-6.1277884263156002E-2</v>
      </c>
      <c r="I26">
        <v>5.0326154370243001E-2</v>
      </c>
      <c r="J26">
        <v>-0.10974719763368</v>
      </c>
    </row>
    <row r="27" spans="1:10" x14ac:dyDescent="0.25">
      <c r="A27">
        <v>24</v>
      </c>
      <c r="B27">
        <v>-7.5247633456189997E-2</v>
      </c>
      <c r="C27">
        <v>-9.3771436311587006E-2</v>
      </c>
      <c r="D27">
        <v>0.92475203447524001</v>
      </c>
      <c r="E27">
        <v>-9.9848687663871005E-2</v>
      </c>
      <c r="G27">
        <v>8.6671817744335994E-2</v>
      </c>
      <c r="H27">
        <v>-6.8273231335929996E-2</v>
      </c>
      <c r="I27">
        <v>4.8485558683936003E-2</v>
      </c>
      <c r="J27">
        <v>-0.11781902442162</v>
      </c>
    </row>
    <row r="28" spans="1:10" x14ac:dyDescent="0.25">
      <c r="A28">
        <v>25</v>
      </c>
      <c r="B28">
        <v>-8.3770993060725996E-2</v>
      </c>
      <c r="C28">
        <v>-9.5661575085115996E-2</v>
      </c>
      <c r="D28">
        <v>0.91622899577385997</v>
      </c>
      <c r="E28">
        <v>-0.1018598293686</v>
      </c>
      <c r="G28">
        <v>8.8443744258630996E-2</v>
      </c>
      <c r="H28">
        <v>-7.6017350582956E-2</v>
      </c>
      <c r="I28">
        <v>4.5785906354544E-2</v>
      </c>
      <c r="J28">
        <v>-0.12635674532197</v>
      </c>
    </row>
    <row r="29" spans="1:10" x14ac:dyDescent="0.25">
      <c r="A29">
        <v>26</v>
      </c>
      <c r="B29">
        <v>-9.3134093137013998E-2</v>
      </c>
      <c r="C29">
        <v>-9.6885662956659999E-2</v>
      </c>
      <c r="D29">
        <v>0.90686580606200995</v>
      </c>
      <c r="E29">
        <v>-0.10320775440052</v>
      </c>
      <c r="G29">
        <v>8.9616975368488005E-2</v>
      </c>
      <c r="H29">
        <v>-8.4529504823348006E-2</v>
      </c>
      <c r="I29">
        <v>4.2062577464513001E-2</v>
      </c>
      <c r="J29">
        <v>-0.13528811621046999</v>
      </c>
    </row>
    <row r="30" spans="1:10" x14ac:dyDescent="0.25">
      <c r="A30">
        <v>27</v>
      </c>
      <c r="B30">
        <v>-0.1033248489369</v>
      </c>
      <c r="C30">
        <v>-9.7239837587187003E-2</v>
      </c>
      <c r="D30">
        <v>0.89667466421344</v>
      </c>
      <c r="E30">
        <v>-0.10368886026703</v>
      </c>
      <c r="G30">
        <v>9.0005162908669001E-2</v>
      </c>
      <c r="H30">
        <v>-9.3798996741004004E-2</v>
      </c>
      <c r="I30">
        <v>3.7142149907248997E-2</v>
      </c>
      <c r="J30">
        <v>-0.14449573297661</v>
      </c>
    </row>
    <row r="31" spans="1:10" x14ac:dyDescent="0.25">
      <c r="A31">
        <v>28</v>
      </c>
      <c r="B31">
        <v>-0.11428324686445</v>
      </c>
      <c r="C31">
        <v>-9.6494710468828002E-2</v>
      </c>
      <c r="D31">
        <v>0.88571550316919001</v>
      </c>
      <c r="E31">
        <v>-0.10307381548378999</v>
      </c>
      <c r="G31">
        <v>8.9399556611578002E-2</v>
      </c>
      <c r="H31">
        <v>-0.10377264943469</v>
      </c>
      <c r="I31">
        <v>3.0853779707111E-2</v>
      </c>
      <c r="J31">
        <v>-0.15380672306672</v>
      </c>
    </row>
    <row r="32" spans="1:10" x14ac:dyDescent="0.25">
      <c r="A32">
        <v>29</v>
      </c>
      <c r="B32">
        <v>-0.12588595802583999</v>
      </c>
      <c r="C32">
        <v>-9.4405467645443997E-2</v>
      </c>
      <c r="D32">
        <v>0.87411487081343997</v>
      </c>
      <c r="E32">
        <v>-0.10112292253691001</v>
      </c>
      <c r="G32">
        <v>8.7576194176102004E-2</v>
      </c>
      <c r="H32">
        <v>-0.11433878426089999</v>
      </c>
      <c r="I32">
        <v>2.3045851213876999E-2</v>
      </c>
      <c r="J32">
        <v>-0.16298336914016001</v>
      </c>
    </row>
    <row r="33" spans="1:10" x14ac:dyDescent="0.25">
      <c r="A33">
        <v>30</v>
      </c>
      <c r="B33">
        <v>-0.13793252230097</v>
      </c>
      <c r="C33">
        <v>-9.0730559558556995E-2</v>
      </c>
      <c r="D33">
        <v>0.86206474343626005</v>
      </c>
      <c r="E33">
        <v>-9.7582945234342994E-2</v>
      </c>
      <c r="G33">
        <v>8.4315669690955997E-2</v>
      </c>
      <c r="H33">
        <v>-0.1253178553007</v>
      </c>
      <c r="I33">
        <v>1.3610742116783E-2</v>
      </c>
      <c r="J33">
        <v>-0.17172551488023999</v>
      </c>
    </row>
    <row r="34" spans="1:10" x14ac:dyDescent="0.25">
      <c r="A34">
        <v>31</v>
      </c>
      <c r="B34">
        <v>-0.15013580793240999</v>
      </c>
      <c r="C34">
        <v>-8.5257861258685994E-2</v>
      </c>
      <c r="D34">
        <v>0.84985950283020995</v>
      </c>
      <c r="E34">
        <v>-9.2249969921859007E-2</v>
      </c>
      <c r="G34">
        <v>7.9421995434020995E-2</v>
      </c>
      <c r="H34">
        <v>-0.13644789694732001</v>
      </c>
      <c r="I34">
        <v>2.5112431442328E-3</v>
      </c>
      <c r="J34">
        <v>-0.17966675971494001</v>
      </c>
    </row>
    <row r="35" spans="1:10" x14ac:dyDescent="0.25">
      <c r="A35">
        <v>32</v>
      </c>
      <c r="B35">
        <v>-0.16212378470238001</v>
      </c>
      <c r="C35">
        <v>-7.7838288783819001E-2</v>
      </c>
      <c r="D35">
        <v>0.83786951667799003</v>
      </c>
      <c r="E35">
        <v>-8.4972323586971002E-2</v>
      </c>
      <c r="G35">
        <v>7.2759040195642999E-2</v>
      </c>
      <c r="H35">
        <v>-0.14739342775113001</v>
      </c>
      <c r="I35">
        <v>-1.0189816011247001E-2</v>
      </c>
      <c r="J35">
        <v>-0.18640201686328001</v>
      </c>
    </row>
    <row r="36" spans="1:10" x14ac:dyDescent="0.25">
      <c r="A36">
        <v>33</v>
      </c>
      <c r="B36">
        <v>-0.17345476108701999</v>
      </c>
      <c r="C36">
        <v>-6.8423269561655994E-2</v>
      </c>
      <c r="D36">
        <v>0.82653539715253999</v>
      </c>
      <c r="E36">
        <v>-7.5702987200321994E-2</v>
      </c>
      <c r="G36">
        <v>6.4279426270240997E-2</v>
      </c>
      <c r="H36">
        <v>-0.15775141858444999</v>
      </c>
      <c r="I36">
        <v>-2.4304011734538E-2</v>
      </c>
      <c r="J36">
        <v>-0.19151664187282999</v>
      </c>
    </row>
    <row r="37" spans="1:10" x14ac:dyDescent="0.25">
      <c r="A37">
        <v>34</v>
      </c>
      <c r="B37">
        <v>-0.18365302373223999</v>
      </c>
      <c r="C37">
        <v>-5.7096425153215002E-2</v>
      </c>
      <c r="D37">
        <v>0.81632986357590998</v>
      </c>
      <c r="E37">
        <v>-6.4523204890100994E-2</v>
      </c>
      <c r="G37">
        <v>5.4057545083531999E-2</v>
      </c>
      <c r="H37">
        <v>-0.16709074715767</v>
      </c>
      <c r="I37">
        <v>-3.9508659344627002E-2</v>
      </c>
      <c r="J37">
        <v>-0.19463531712615001</v>
      </c>
    </row>
    <row r="38" spans="1:10" x14ac:dyDescent="0.25">
      <c r="A38">
        <v>35</v>
      </c>
      <c r="B38">
        <v>-0.19225802960562</v>
      </c>
      <c r="C38">
        <v>-4.4090465709538999E-2</v>
      </c>
      <c r="D38">
        <v>0.80771990241891001</v>
      </c>
      <c r="E38">
        <v>-5.1669453035710002E-2</v>
      </c>
      <c r="G38">
        <v>4.2301720431180002E-2</v>
      </c>
      <c r="H38">
        <v>-0.17498963503459</v>
      </c>
      <c r="I38">
        <v>-5.5358946951129001E-2</v>
      </c>
      <c r="J38">
        <v>-0.19547295665516001</v>
      </c>
    </row>
    <row r="39" spans="1:10" x14ac:dyDescent="0.25">
      <c r="A39">
        <v>36</v>
      </c>
      <c r="B39">
        <v>-0.19888279867554001</v>
      </c>
      <c r="C39">
        <v>-2.9781436727616999E-2</v>
      </c>
      <c r="D39">
        <v>0.80108771287297997</v>
      </c>
      <c r="E39">
        <v>-3.7518354785841E-2</v>
      </c>
      <c r="G39">
        <v>2.9352602341065001E-2</v>
      </c>
      <c r="H39">
        <v>-0.18109529783354</v>
      </c>
      <c r="I39">
        <v>-7.1320233464269994E-2</v>
      </c>
      <c r="J39">
        <v>-0.19388532777403</v>
      </c>
    </row>
    <row r="40" spans="1:10" x14ac:dyDescent="0.25">
      <c r="A40">
        <v>37</v>
      </c>
      <c r="B40">
        <v>-0.20326709368088</v>
      </c>
      <c r="C40">
        <v>-1.4655475654170001E-2</v>
      </c>
      <c r="D40">
        <v>0.79669680005239996</v>
      </c>
      <c r="E40">
        <v>-2.2549639774428001E-2</v>
      </c>
      <c r="G40">
        <v>1.5650121892426001E-2</v>
      </c>
      <c r="H40">
        <v>-0.18516798390354</v>
      </c>
      <c r="I40">
        <v>-8.6829404560819001E-2</v>
      </c>
      <c r="J40">
        <v>-0.18989748261223999</v>
      </c>
    </row>
    <row r="41" spans="1:10" x14ac:dyDescent="0.25">
      <c r="A41">
        <v>38</v>
      </c>
      <c r="B41">
        <v>-0.20531054133422999</v>
      </c>
      <c r="C41">
        <v>7.4666396374165999E-4</v>
      </c>
      <c r="D41">
        <v>0.79464869290704998</v>
      </c>
      <c r="E41">
        <v>-7.3080592398723004E-3</v>
      </c>
      <c r="G41">
        <v>1.6858723725671999E-3</v>
      </c>
      <c r="H41">
        <v>-0.18711489687642999</v>
      </c>
      <c r="I41">
        <v>-0.10135709432659</v>
      </c>
      <c r="J41">
        <v>-0.18370258670417999</v>
      </c>
    </row>
    <row r="42" spans="1:10" x14ac:dyDescent="0.25">
      <c r="A42">
        <v>39</v>
      </c>
      <c r="B42">
        <v>-0.20507960479135001</v>
      </c>
      <c r="C42">
        <v>1.5891739376735999E-2</v>
      </c>
      <c r="D42">
        <v>0.79487319189991001</v>
      </c>
      <c r="E42">
        <v>7.6742129238553001E-3</v>
      </c>
      <c r="G42">
        <v>-1.2055235377885E-2</v>
      </c>
      <c r="H42">
        <v>-0.18699095338137001</v>
      </c>
      <c r="I42">
        <v>-0.11446749619011</v>
      </c>
      <c r="J42">
        <v>-0.17563878593957999</v>
      </c>
    </row>
    <row r="43" spans="1:10" x14ac:dyDescent="0.25">
      <c r="A43">
        <v>40</v>
      </c>
      <c r="B43">
        <v>-0.20278584669640001</v>
      </c>
      <c r="C43">
        <v>3.0313489343681999E-2</v>
      </c>
      <c r="D43">
        <v>0.79716037334365997</v>
      </c>
      <c r="E43">
        <v>2.1927119659208998E-2</v>
      </c>
      <c r="G43">
        <v>-2.5147909530691001E-2</v>
      </c>
      <c r="H43">
        <v>-0.18498627127004999</v>
      </c>
      <c r="I43">
        <v>-0.12586045518469</v>
      </c>
      <c r="J43">
        <v>-0.16613543993492999</v>
      </c>
    </row>
    <row r="44" spans="1:10" x14ac:dyDescent="0.25">
      <c r="A44">
        <v>41</v>
      </c>
      <c r="B44">
        <v>-0.19874408169527</v>
      </c>
      <c r="C44">
        <v>4.3651270701283003E-2</v>
      </c>
      <c r="D44">
        <v>0.80119583630656999</v>
      </c>
      <c r="E44">
        <v>3.5096524827821003E-2</v>
      </c>
      <c r="G44">
        <v>-3.7262346753310999E-2</v>
      </c>
      <c r="H44">
        <v>-0.18138718792469999</v>
      </c>
      <c r="I44">
        <v>-0.13538238373691</v>
      </c>
      <c r="J44">
        <v>-0.15565868107379999</v>
      </c>
    </row>
    <row r="45" spans="1:10" x14ac:dyDescent="0.25">
      <c r="A45">
        <v>42</v>
      </c>
      <c r="B45">
        <v>-0.19332391119112999</v>
      </c>
      <c r="C45">
        <v>5.5667852404196999E-2</v>
      </c>
      <c r="D45">
        <v>0.80660979586215997</v>
      </c>
      <c r="E45">
        <v>4.6944570904283001E-2</v>
      </c>
      <c r="G45">
        <v>-4.8181076449379003E-2</v>
      </c>
      <c r="H45">
        <v>-0.1765281560592</v>
      </c>
      <c r="I45">
        <v>-0.14301757695579001</v>
      </c>
      <c r="J45">
        <v>-0.14465821019384001</v>
      </c>
    </row>
    <row r="46" spans="1:10" x14ac:dyDescent="0.25">
      <c r="A46">
        <v>43</v>
      </c>
      <c r="B46">
        <v>-6.4281460217256003E-2</v>
      </c>
      <c r="C46">
        <v>-9.4398538496842002E-2</v>
      </c>
      <c r="D46">
        <v>0.9357176763717</v>
      </c>
      <c r="E46">
        <v>-0.10053654885648</v>
      </c>
      <c r="G46">
        <v>8.3688642172791997E-2</v>
      </c>
      <c r="H46">
        <v>-5.6103272809955002E-2</v>
      </c>
      <c r="I46">
        <v>5.2627001997105002E-2</v>
      </c>
      <c r="J46">
        <v>-0.10429226373637999</v>
      </c>
    </row>
    <row r="47" spans="1:10" x14ac:dyDescent="0.25">
      <c r="A47">
        <v>44</v>
      </c>
      <c r="B47">
        <v>-7.1551673476246996E-2</v>
      </c>
      <c r="C47">
        <v>-9.7279543659475998E-2</v>
      </c>
      <c r="D47">
        <v>0.92844670934811002</v>
      </c>
      <c r="E47">
        <v>-0.10354437989161</v>
      </c>
      <c r="G47">
        <v>8.6204218924236006E-2</v>
      </c>
      <c r="H47">
        <v>-6.2419857752652998E-2</v>
      </c>
      <c r="I47">
        <v>5.1506366217434998E-2</v>
      </c>
      <c r="J47">
        <v>-0.11194433655621</v>
      </c>
    </row>
    <row r="48" spans="1:10" x14ac:dyDescent="0.25">
      <c r="A48">
        <v>45</v>
      </c>
      <c r="B48">
        <v>-7.9640519225446002E-2</v>
      </c>
      <c r="C48">
        <v>-9.9795564711026005E-2</v>
      </c>
      <c r="D48">
        <v>0.92035868472669002</v>
      </c>
      <c r="E48">
        <v>-0.10618923679761</v>
      </c>
      <c r="G48">
        <v>8.8447440501312993E-2</v>
      </c>
      <c r="H48">
        <v>-6.9478869204740001E-2</v>
      </c>
      <c r="I48">
        <v>4.9666514929420001E-2</v>
      </c>
      <c r="J48">
        <v>-0.12011204631193</v>
      </c>
    </row>
    <row r="49" spans="1:10" x14ac:dyDescent="0.25">
      <c r="A49">
        <v>46</v>
      </c>
      <c r="B49">
        <v>-8.8573852625228003E-2</v>
      </c>
      <c r="C49">
        <v>-0.10180099764180001</v>
      </c>
      <c r="D49">
        <v>0.91142593474410005</v>
      </c>
      <c r="E49">
        <v>-0.10832633516494</v>
      </c>
      <c r="G49">
        <v>9.0259132580183005E-2</v>
      </c>
      <c r="H49">
        <v>-7.7285709257528007E-2</v>
      </c>
      <c r="I49">
        <v>4.6971126439894997E-2</v>
      </c>
      <c r="J49">
        <v>-0.12874160128312001</v>
      </c>
    </row>
    <row r="50" spans="1:10" x14ac:dyDescent="0.25">
      <c r="A50">
        <v>47</v>
      </c>
      <c r="B50">
        <v>-9.8374709746482006E-2</v>
      </c>
      <c r="C50">
        <v>-0.10311951955338</v>
      </c>
      <c r="D50">
        <v>0.90162534043346998</v>
      </c>
      <c r="E50">
        <v>-0.10977972577095001</v>
      </c>
      <c r="G50">
        <v>9.1476664562381002E-2</v>
      </c>
      <c r="H50">
        <v>-8.5855425828337995E-2</v>
      </c>
      <c r="I50">
        <v>4.3259066604797003E-2</v>
      </c>
      <c r="J50">
        <v>-0.13776376041821001</v>
      </c>
    </row>
    <row r="51" spans="1:10" x14ac:dyDescent="0.25">
      <c r="A51">
        <v>48</v>
      </c>
      <c r="B51">
        <v>-0.10903159781644001</v>
      </c>
      <c r="C51">
        <v>-0.1035441569017</v>
      </c>
      <c r="D51">
        <v>0.89096841900642998</v>
      </c>
      <c r="E51">
        <v>-0.11034261527571</v>
      </c>
      <c r="G51">
        <v>9.1920493690091004E-2</v>
      </c>
      <c r="H51">
        <v>-9.5180731980964994E-2</v>
      </c>
      <c r="I51">
        <v>3.8360326534337998E-2</v>
      </c>
      <c r="J51">
        <v>-0.14706461809512</v>
      </c>
    </row>
    <row r="52" spans="1:10" x14ac:dyDescent="0.25">
      <c r="A52">
        <v>49</v>
      </c>
      <c r="B52">
        <v>-0.12048479626402001</v>
      </c>
      <c r="C52">
        <v>-0.10284213976871</v>
      </c>
      <c r="D52">
        <v>0.87951505406503006</v>
      </c>
      <c r="E52">
        <v>-0.10978228783178</v>
      </c>
      <c r="G52">
        <v>9.1384165746591001E-2</v>
      </c>
      <c r="H52">
        <v>-0.10520833697354</v>
      </c>
      <c r="I52">
        <v>3.2107293066296998E-2</v>
      </c>
      <c r="J52">
        <v>-0.15647631778498</v>
      </c>
    </row>
    <row r="53" spans="1:10" x14ac:dyDescent="0.25">
      <c r="A53">
        <v>50</v>
      </c>
      <c r="B53">
        <v>-0.13261163577141</v>
      </c>
      <c r="C53">
        <v>-0.10076527111888001</v>
      </c>
      <c r="D53">
        <v>0.86738283344872003</v>
      </c>
      <c r="E53">
        <v>-0.10784899560779999</v>
      </c>
      <c r="G53">
        <v>8.9649656986192996E-2</v>
      </c>
      <c r="H53">
        <v>-0.11583184468271</v>
      </c>
      <c r="I53">
        <v>2.4351568720165001E-2</v>
      </c>
      <c r="J53">
        <v>-0.16577075871086999</v>
      </c>
    </row>
    <row r="54" spans="1:10" x14ac:dyDescent="0.25">
      <c r="A54">
        <v>51</v>
      </c>
      <c r="B54">
        <v>-0.14521152574474999</v>
      </c>
      <c r="C54">
        <v>-9.7067191863330002E-2</v>
      </c>
      <c r="D54">
        <v>0.85478130529999996</v>
      </c>
      <c r="E54">
        <v>-0.10429897022692</v>
      </c>
      <c r="G54">
        <v>8.6502497708873999E-2</v>
      </c>
      <c r="H54">
        <v>-0.12687956606492001</v>
      </c>
      <c r="I54">
        <v>1.4983739984654E-2</v>
      </c>
      <c r="J54">
        <v>-0.17465226232643999</v>
      </c>
    </row>
    <row r="55" spans="1:10" x14ac:dyDescent="0.25">
      <c r="A55">
        <v>52</v>
      </c>
      <c r="B55">
        <v>-0.1579986312777</v>
      </c>
      <c r="C55">
        <v>-9.1530049151458001E-2</v>
      </c>
      <c r="D55">
        <v>0.84199261201122</v>
      </c>
      <c r="E55">
        <v>-9.8912649742157993E-2</v>
      </c>
      <c r="G55">
        <v>8.1747915127490994E-2</v>
      </c>
      <c r="H55">
        <v>-0.13809916993325</v>
      </c>
      <c r="I55">
        <v>3.9626521572319997E-3</v>
      </c>
      <c r="J55">
        <v>-0.18276992066046999</v>
      </c>
    </row>
    <row r="56" spans="1:10" x14ac:dyDescent="0.25">
      <c r="A56">
        <v>53</v>
      </c>
      <c r="B56">
        <v>-0.17060038719126</v>
      </c>
      <c r="C56">
        <v>-8.3997401178714001E-2</v>
      </c>
      <c r="D56">
        <v>0.82938794132587002</v>
      </c>
      <c r="E56">
        <v>-9.1535712862405E-2</v>
      </c>
      <c r="G56">
        <v>7.5249694754304999E-2</v>
      </c>
      <c r="H56">
        <v>-0.1491695760799</v>
      </c>
      <c r="I56">
        <v>-8.6563559263242006E-3</v>
      </c>
      <c r="J56">
        <v>-0.18972803572902999</v>
      </c>
    </row>
    <row r="57" spans="1:10" x14ac:dyDescent="0.25">
      <c r="A57">
        <v>54</v>
      </c>
      <c r="B57">
        <v>-0.18257450660811</v>
      </c>
      <c r="C57">
        <v>-7.4410362489626E-2</v>
      </c>
      <c r="D57">
        <v>0.81741013839136001</v>
      </c>
      <c r="E57">
        <v>-8.2107738528622007E-2</v>
      </c>
      <c r="G57">
        <v>6.6952194598544998E-2</v>
      </c>
      <c r="H57">
        <v>-0.15970132074103999</v>
      </c>
      <c r="I57">
        <v>-2.2701403762858001E-2</v>
      </c>
      <c r="J57">
        <v>-0.19512182499788</v>
      </c>
    </row>
    <row r="58" spans="1:10" x14ac:dyDescent="0.25">
      <c r="A58">
        <v>55</v>
      </c>
      <c r="B58">
        <v>-0.19344027897320001</v>
      </c>
      <c r="C58">
        <v>-6.2839851123084003E-2</v>
      </c>
      <c r="D58">
        <v>0.80654116549960997</v>
      </c>
      <c r="E58">
        <v>-7.0700922376222997E-2</v>
      </c>
      <c r="G58">
        <v>5.6915160943808003E-2</v>
      </c>
      <c r="H58">
        <v>-0.16927291640509001</v>
      </c>
      <c r="I58">
        <v>-3.7870006566133999E-2</v>
      </c>
      <c r="J58">
        <v>-0.19857863328577</v>
      </c>
    </row>
    <row r="59" spans="1:10" x14ac:dyDescent="0.25">
      <c r="A59">
        <v>56</v>
      </c>
      <c r="B59">
        <v>-0.20272754512756</v>
      </c>
      <c r="C59">
        <v>-4.9504987793658001E-2</v>
      </c>
      <c r="D59">
        <v>0.79724939250516003</v>
      </c>
      <c r="E59">
        <v>-5.7533314988767001E-2</v>
      </c>
      <c r="G59">
        <v>4.532893346545E-2</v>
      </c>
      <c r="H59">
        <v>-0.17747619700003001</v>
      </c>
      <c r="I59">
        <v>-5.3740516822611002E-2</v>
      </c>
      <c r="J59">
        <v>-0.19981021218232001</v>
      </c>
    </row>
    <row r="60" spans="1:10" x14ac:dyDescent="0.25">
      <c r="A60">
        <v>57</v>
      </c>
      <c r="B60">
        <v>-0.21003279603835001</v>
      </c>
      <c r="C60">
        <v>-3.4769169201615997E-2</v>
      </c>
      <c r="D60">
        <v>0.78993892112830999</v>
      </c>
      <c r="E60">
        <v>-4.2964939107929999E-2</v>
      </c>
      <c r="G60">
        <v>3.2507337572418998E-2</v>
      </c>
      <c r="H60">
        <v>-0.18395075272665001</v>
      </c>
      <c r="I60">
        <v>-6.9802077635286994E-2</v>
      </c>
      <c r="J60">
        <v>-0.19865675008851</v>
      </c>
    </row>
    <row r="61" spans="1:10" x14ac:dyDescent="0.25">
      <c r="A61">
        <v>58</v>
      </c>
      <c r="B61">
        <v>-0.21507234818205001</v>
      </c>
      <c r="C61">
        <v>-1.911100647853E-2</v>
      </c>
      <c r="D61">
        <v>0.78489132100016001</v>
      </c>
      <c r="E61">
        <v>-2.7481806964802E-2</v>
      </c>
      <c r="G61">
        <v>1.8868925237232E-2</v>
      </c>
      <c r="H61">
        <v>-0.18845216268286</v>
      </c>
      <c r="I61">
        <v>-8.5504839352454995E-2</v>
      </c>
      <c r="J61">
        <v>-0.19511783880561001</v>
      </c>
    </row>
    <row r="62" spans="1:10" x14ac:dyDescent="0.25">
      <c r="A62">
        <v>59</v>
      </c>
      <c r="B62">
        <v>-0.21771915373275999</v>
      </c>
      <c r="C62">
        <v>-3.0721945212387001E-3</v>
      </c>
      <c r="D62">
        <v>0.78223914004785</v>
      </c>
      <c r="E62">
        <v>-1.1617972834486E-2</v>
      </c>
      <c r="G62">
        <v>4.8859612954588998E-3</v>
      </c>
      <c r="H62">
        <v>-0.19085704689176999</v>
      </c>
      <c r="I62">
        <v>-0.10032641065186</v>
      </c>
      <c r="J62">
        <v>-0.18935793565923001</v>
      </c>
    </row>
    <row r="63" spans="1:10" x14ac:dyDescent="0.25">
      <c r="A63">
        <v>60</v>
      </c>
      <c r="B63">
        <v>-0.21801262036023</v>
      </c>
      <c r="C63">
        <v>1.2803708370147E-2</v>
      </c>
      <c r="D63">
        <v>0.78194004890019997</v>
      </c>
      <c r="E63">
        <v>4.0802650359638998E-3</v>
      </c>
      <c r="G63">
        <v>-8.9650467743953993E-3</v>
      </c>
      <c r="H63">
        <v>-0.19120341948683001</v>
      </c>
      <c r="I63">
        <v>-0.11382483566124001</v>
      </c>
      <c r="J63">
        <v>-0.18168359253013999</v>
      </c>
    </row>
    <row r="64" spans="1:10" x14ac:dyDescent="0.25">
      <c r="A64">
        <v>61</v>
      </c>
      <c r="B64">
        <v>-0.21614170340722</v>
      </c>
      <c r="C64">
        <v>2.8030593716589999E-2</v>
      </c>
      <c r="D64">
        <v>0.78380654176817999</v>
      </c>
      <c r="E64">
        <v>1.9128152765937E-2</v>
      </c>
      <c r="G64">
        <v>-2.2257759825804E-2</v>
      </c>
      <c r="H64">
        <v>-0.18965326705168001</v>
      </c>
      <c r="I64">
        <v>-0.12568259158039</v>
      </c>
      <c r="J64">
        <v>-0.17249920061022</v>
      </c>
    </row>
    <row r="65" spans="1:10" x14ac:dyDescent="0.25">
      <c r="A65">
        <v>62</v>
      </c>
      <c r="B65">
        <v>-0.21240663848749</v>
      </c>
      <c r="C65">
        <v>4.2221105177282003E-2</v>
      </c>
      <c r="D65">
        <v>0.78753472764816002</v>
      </c>
      <c r="E65">
        <v>3.3136573079857998E-2</v>
      </c>
      <c r="G65">
        <v>-3.4652360295661003E-2</v>
      </c>
      <c r="H65">
        <v>-0.18646827419673001</v>
      </c>
      <c r="I65">
        <v>-0.13572123725608001</v>
      </c>
      <c r="J65">
        <v>-0.16225441418118</v>
      </c>
    </row>
    <row r="66" spans="1:10" x14ac:dyDescent="0.25">
      <c r="A66">
        <v>63</v>
      </c>
      <c r="B66">
        <v>-0.20717116603857</v>
      </c>
      <c r="C66">
        <v>5.5109058635900002E-2</v>
      </c>
      <c r="D66">
        <v>0.79276421728449997</v>
      </c>
      <c r="E66">
        <v>4.5835123351387001E-2</v>
      </c>
      <c r="G66">
        <v>-4.5913585776666002E-2</v>
      </c>
      <c r="H66">
        <v>-0.18196324205808001</v>
      </c>
      <c r="I66">
        <v>-0.14389710129550001</v>
      </c>
      <c r="J66">
        <v>-0.15139149085833001</v>
      </c>
    </row>
    <row r="67" spans="1:10" x14ac:dyDescent="0.25">
      <c r="A67">
        <v>64</v>
      </c>
      <c r="B67">
        <v>-6.7834974986562005E-2</v>
      </c>
      <c r="C67">
        <v>-0.10004896312228</v>
      </c>
      <c r="D67">
        <v>0.93217055340649002</v>
      </c>
      <c r="E67">
        <v>-0.10648648692469</v>
      </c>
      <c r="G67">
        <v>8.5413001293078994E-2</v>
      </c>
      <c r="H67">
        <v>-5.7164184187014001E-2</v>
      </c>
      <c r="I67">
        <v>5.3729160061688E-2</v>
      </c>
      <c r="J67">
        <v>-0.1061831918675</v>
      </c>
    </row>
    <row r="68" spans="1:10" x14ac:dyDescent="0.25">
      <c r="A68">
        <v>65</v>
      </c>
      <c r="B68">
        <v>-7.5400509468081994E-2</v>
      </c>
      <c r="C68">
        <v>-0.10306207369291</v>
      </c>
      <c r="D68">
        <v>0.92460191759059995</v>
      </c>
      <c r="E68">
        <v>-0.10963399523726999</v>
      </c>
      <c r="G68">
        <v>8.795811953563E-2</v>
      </c>
      <c r="H68">
        <v>-6.3513600061370995E-2</v>
      </c>
      <c r="I68">
        <v>5.2627311322241001E-2</v>
      </c>
      <c r="J68">
        <v>-0.11387963748351999</v>
      </c>
    </row>
    <row r="69" spans="1:10" x14ac:dyDescent="0.25">
      <c r="A69">
        <v>66</v>
      </c>
      <c r="B69">
        <v>-8.3825622230274996E-2</v>
      </c>
      <c r="C69">
        <v>-0.10570913974689999</v>
      </c>
      <c r="D69">
        <v>0.91617662932015997</v>
      </c>
      <c r="E69">
        <v>-0.11241929664153</v>
      </c>
      <c r="G69">
        <v>9.0255032550962996E-2</v>
      </c>
      <c r="H69">
        <v>-7.0626553113683002E-2</v>
      </c>
      <c r="I69">
        <v>5.0807462390264999E-2</v>
      </c>
      <c r="J69">
        <v>-0.12210186185784</v>
      </c>
    </row>
    <row r="70" spans="1:10" x14ac:dyDescent="0.25">
      <c r="A70">
        <v>67</v>
      </c>
      <c r="B70">
        <v>-9.3130985135827002E-2</v>
      </c>
      <c r="C70">
        <v>-0.10783702924598999</v>
      </c>
      <c r="D70">
        <v>0.90687051508857996</v>
      </c>
      <c r="E70">
        <v>-0.11468902846485</v>
      </c>
      <c r="G70">
        <v>9.2122139131619998E-2</v>
      </c>
      <c r="H70">
        <v>-7.8488905589370994E-2</v>
      </c>
      <c r="I70">
        <v>4.8138576755978997E-2</v>
      </c>
      <c r="J70">
        <v>-0.13079582976793</v>
      </c>
    </row>
    <row r="71" spans="1:10" x14ac:dyDescent="0.25">
      <c r="A71">
        <v>68</v>
      </c>
      <c r="B71">
        <v>-0.10333577798753001</v>
      </c>
      <c r="C71">
        <v>-0.10926383253292</v>
      </c>
      <c r="D71">
        <v>0.89666480883727995</v>
      </c>
      <c r="E71">
        <v>-0.11626130624912</v>
      </c>
      <c r="G71">
        <v>9.3402862572008E-2</v>
      </c>
      <c r="H71">
        <v>-8.7115649976348006E-2</v>
      </c>
      <c r="I71">
        <v>4.4462313011448998E-2</v>
      </c>
      <c r="J71">
        <v>-0.13988860628985</v>
      </c>
    </row>
    <row r="72" spans="1:10" x14ac:dyDescent="0.25">
      <c r="A72">
        <v>69</v>
      </c>
      <c r="B72">
        <v>-0.11442677658194</v>
      </c>
      <c r="C72">
        <v>-0.10977893589498</v>
      </c>
      <c r="D72">
        <v>0.88557120492758001</v>
      </c>
      <c r="E72">
        <v>-0.11692650422252</v>
      </c>
      <c r="G72">
        <v>9.3918267465790004E-2</v>
      </c>
      <c r="H72">
        <v>-9.6496166744621997E-2</v>
      </c>
      <c r="I72">
        <v>3.9613107329789003E-2</v>
      </c>
      <c r="J72">
        <v>-0.14926718328930999</v>
      </c>
    </row>
    <row r="73" spans="1:10" x14ac:dyDescent="0.25">
      <c r="A73">
        <v>70</v>
      </c>
      <c r="B73">
        <v>-0.12634550341028</v>
      </c>
      <c r="C73">
        <v>-0.10914604424665</v>
      </c>
      <c r="D73">
        <v>0.87365127125288999</v>
      </c>
      <c r="E73">
        <v>-0.11644672618109</v>
      </c>
      <c r="G73">
        <v>9.3468754888605995E-2</v>
      </c>
      <c r="H73">
        <v>-0.10658219221125</v>
      </c>
      <c r="I73">
        <v>3.3424129830906001E-2</v>
      </c>
      <c r="J73">
        <v>-0.15876889963567001</v>
      </c>
    </row>
    <row r="74" spans="1:10" x14ac:dyDescent="0.25">
      <c r="A74">
        <v>71</v>
      </c>
      <c r="B74">
        <v>-0.13896956494250001</v>
      </c>
      <c r="C74">
        <v>-0.10711317967634</v>
      </c>
      <c r="D74">
        <v>0.86102705360276</v>
      </c>
      <c r="E74">
        <v>-0.11456678193559</v>
      </c>
      <c r="G74">
        <v>9.1841155700076005E-2</v>
      </c>
      <c r="H74">
        <v>-0.11727229550276</v>
      </c>
      <c r="I74">
        <v>2.5748678348088999E-2</v>
      </c>
      <c r="J74">
        <v>-0.16817129799326</v>
      </c>
    </row>
    <row r="75" spans="1:10" x14ac:dyDescent="0.25">
      <c r="A75">
        <v>72</v>
      </c>
      <c r="B75">
        <v>-0.15210011190589001</v>
      </c>
      <c r="C75">
        <v>-0.10343046603257</v>
      </c>
      <c r="D75">
        <v>0.84789191916204998</v>
      </c>
      <c r="E75">
        <v>-0.11104207646104999</v>
      </c>
      <c r="G75">
        <v>8.8823205493811994E-2</v>
      </c>
      <c r="H75">
        <v>-0.12839994082848999</v>
      </c>
      <c r="I75">
        <v>1.6479331335051001E-2</v>
      </c>
      <c r="J75">
        <v>-0.17719101707462001</v>
      </c>
    </row>
    <row r="76" spans="1:10" x14ac:dyDescent="0.25">
      <c r="A76">
        <v>73</v>
      </c>
      <c r="B76">
        <v>-0.16545282107181</v>
      </c>
      <c r="C76">
        <v>-9.7873214378982998E-2</v>
      </c>
      <c r="D76">
        <v>0.83453646855818997</v>
      </c>
      <c r="E76">
        <v>-0.10564772554548001</v>
      </c>
      <c r="G76">
        <v>8.4223039035779004E-2</v>
      </c>
      <c r="H76">
        <v>-0.13972556916776999</v>
      </c>
      <c r="I76">
        <v>5.5688164509967997E-3</v>
      </c>
      <c r="J76">
        <v>-0.18548516488465999</v>
      </c>
    </row>
    <row r="77" spans="1:10" x14ac:dyDescent="0.25">
      <c r="A77">
        <v>74</v>
      </c>
      <c r="B77">
        <v>-0.17865697121735999</v>
      </c>
      <c r="C77">
        <v>-9.0276834409564993E-2</v>
      </c>
      <c r="D77">
        <v>0.82132706521940002</v>
      </c>
      <c r="E77">
        <v>-9.8219693139978997E-2</v>
      </c>
      <c r="G77">
        <v>7.7899802233880003E-2</v>
      </c>
      <c r="H77">
        <v>-0.15093724743140999</v>
      </c>
      <c r="I77">
        <v>-6.9369214186265002E-3</v>
      </c>
      <c r="J77">
        <v>-0.19267082204739999</v>
      </c>
    </row>
    <row r="78" spans="1:10" x14ac:dyDescent="0.25">
      <c r="A78">
        <v>75</v>
      </c>
      <c r="B78">
        <v>-0.19127068493117</v>
      </c>
      <c r="C78">
        <v>-8.0570959796293001E-2</v>
      </c>
      <c r="D78">
        <v>0.80870973192140005</v>
      </c>
      <c r="E78">
        <v>-8.868449453775E-2</v>
      </c>
      <c r="G78">
        <v>6.9791342468788001E-2</v>
      </c>
      <c r="H78">
        <v>-0.16166117187479001</v>
      </c>
      <c r="I78">
        <v>-2.0882927045857001E-2</v>
      </c>
      <c r="J78">
        <v>-0.19835193282981001</v>
      </c>
    </row>
    <row r="79" spans="1:10" x14ac:dyDescent="0.25">
      <c r="A79">
        <v>76</v>
      </c>
      <c r="B79">
        <v>-0.20280942469482999</v>
      </c>
      <c r="C79">
        <v>-6.8812442840880006E-2</v>
      </c>
      <c r="D79">
        <v>0.79716690411878</v>
      </c>
      <c r="E79">
        <v>-7.7100137413197004E-2</v>
      </c>
      <c r="G79">
        <v>5.9943287777694997E-2</v>
      </c>
      <c r="H79">
        <v>-0.17148793629167</v>
      </c>
      <c r="I79">
        <v>-3.5987203436314001E-2</v>
      </c>
      <c r="J79">
        <v>-0.20215914351052</v>
      </c>
    </row>
    <row r="80" spans="1:10" x14ac:dyDescent="0.25">
      <c r="A80">
        <v>77</v>
      </c>
      <c r="B80">
        <v>-0.21279332425639999</v>
      </c>
      <c r="C80">
        <v>-5.5205041365314997E-2</v>
      </c>
      <c r="D80">
        <v>0.78717589114898001</v>
      </c>
      <c r="E80">
        <v>-6.3672982939933995E-2</v>
      </c>
      <c r="G80">
        <v>4.8525183125097002E-2</v>
      </c>
      <c r="H80">
        <v>-0.18001098498264001</v>
      </c>
      <c r="I80">
        <v>-5.1850177558019003E-2</v>
      </c>
      <c r="J80">
        <v>-0.20379842187045999</v>
      </c>
    </row>
    <row r="81" spans="1:10" x14ac:dyDescent="0.25">
      <c r="A81">
        <v>78</v>
      </c>
      <c r="B81">
        <v>-0.22080279773354</v>
      </c>
      <c r="C81">
        <v>-4.0097396109163998E-2</v>
      </c>
      <c r="D81">
        <v>0.77916068974490005</v>
      </c>
      <c r="E81">
        <v>-4.8747017038220999E-2</v>
      </c>
      <c r="G81">
        <v>3.5829594093247999E-2</v>
      </c>
      <c r="H81">
        <v>-0.18687403208893999</v>
      </c>
      <c r="I81">
        <v>-6.7983260304507007E-2</v>
      </c>
      <c r="J81">
        <v>-0.20309429622961001</v>
      </c>
    </row>
    <row r="82" spans="1:10" x14ac:dyDescent="0.25">
      <c r="A82">
        <v>79</v>
      </c>
      <c r="B82">
        <v>-0.22653109969335999</v>
      </c>
      <c r="C82">
        <v>-2.3958119113163999E-2</v>
      </c>
      <c r="D82">
        <v>0.77343174787628999</v>
      </c>
      <c r="E82">
        <v>-3.2790297440136999E-2</v>
      </c>
      <c r="G82">
        <v>2.2250649495124002E-2</v>
      </c>
      <c r="H82">
        <v>-0.19181370444825999</v>
      </c>
      <c r="I82">
        <v>-8.3854193153825002E-2</v>
      </c>
      <c r="J82">
        <v>-0.20002184976498999</v>
      </c>
    </row>
    <row r="83" spans="1:10" x14ac:dyDescent="0.25">
      <c r="A83">
        <v>80</v>
      </c>
      <c r="B83">
        <v>-0.22982338237319</v>
      </c>
      <c r="C83">
        <v>-7.3286902216917003E-3</v>
      </c>
      <c r="D83">
        <v>0.77013479966526999</v>
      </c>
      <c r="E83">
        <v>-1.6348932839812001E-2</v>
      </c>
      <c r="G83">
        <v>8.2452739867800006E-3</v>
      </c>
      <c r="H83">
        <v>-0.19469600277516</v>
      </c>
      <c r="I83">
        <v>-9.8943768341458002E-2</v>
      </c>
      <c r="J83">
        <v>-0.19471814856024</v>
      </c>
    </row>
    <row r="84" spans="1:10" x14ac:dyDescent="0.25">
      <c r="A84">
        <v>81</v>
      </c>
      <c r="B84">
        <v>-0.23069085667483999</v>
      </c>
      <c r="C84">
        <v>9.2390988693296008E-3</v>
      </c>
      <c r="D84">
        <v>0.76926174560754002</v>
      </c>
      <c r="E84" s="5">
        <v>2.7546007860757001E-5</v>
      </c>
      <c r="G84">
        <v>-5.7198336619429004E-3</v>
      </c>
      <c r="H84">
        <v>-0.19552803746215999</v>
      </c>
      <c r="I84">
        <v>-0.11280565526727999</v>
      </c>
      <c r="J84">
        <v>-0.18745933273761001</v>
      </c>
    </row>
    <row r="85" spans="1:10" x14ac:dyDescent="0.25">
      <c r="A85">
        <v>82</v>
      </c>
      <c r="B85">
        <v>-0.22929769976305001</v>
      </c>
      <c r="C85">
        <v>2.5240693473923999E-2</v>
      </c>
      <c r="D85">
        <v>0.77064773021095001</v>
      </c>
      <c r="E85">
        <v>1.5838501580961999E-2</v>
      </c>
      <c r="G85">
        <v>-1.9217151955551001E-2</v>
      </c>
      <c r="H85">
        <v>-0.19444593212483999</v>
      </c>
      <c r="I85">
        <v>-0.12510659813749</v>
      </c>
      <c r="J85">
        <v>-0.17862386742451999</v>
      </c>
    </row>
    <row r="86" spans="1:10" x14ac:dyDescent="0.25">
      <c r="A86">
        <v>83</v>
      </c>
      <c r="B86">
        <v>-0.22592663431699</v>
      </c>
      <c r="C86">
        <v>4.0263474491286998E-2</v>
      </c>
      <c r="D86">
        <v>0.77401346904040003</v>
      </c>
      <c r="E86">
        <v>3.0663472046298001E-2</v>
      </c>
      <c r="G86">
        <v>-3.1896309162845998E-2</v>
      </c>
      <c r="H86">
        <v>-0.19168670179882999</v>
      </c>
      <c r="I86">
        <v>-0.13564474821365999</v>
      </c>
      <c r="J86">
        <v>-0.16864282130269001</v>
      </c>
    </row>
    <row r="87" spans="1:10" x14ac:dyDescent="0.25">
      <c r="A87">
        <v>84</v>
      </c>
      <c r="B87">
        <v>-0.22093438729699</v>
      </c>
      <c r="C87">
        <v>5.4012962240813998E-2</v>
      </c>
      <c r="D87">
        <v>0.77900222284426002</v>
      </c>
      <c r="E87">
        <v>4.4214080265974003E-2</v>
      </c>
      <c r="G87">
        <v>-4.3505317534244997E-2</v>
      </c>
      <c r="H87">
        <v>-0.18754584482041001</v>
      </c>
      <c r="I87">
        <v>-0.14435285107061999</v>
      </c>
      <c r="J87">
        <v>-0.15795126259058001</v>
      </c>
    </row>
    <row r="88" spans="1:10" x14ac:dyDescent="0.25">
      <c r="A88">
        <v>85</v>
      </c>
      <c r="B88">
        <v>-7.0970118311390995E-2</v>
      </c>
      <c r="C88">
        <v>-0.10540567492473001</v>
      </c>
      <c r="D88">
        <v>0.92901074234804004</v>
      </c>
      <c r="E88">
        <v>-0.11210970695212</v>
      </c>
      <c r="G88">
        <v>8.6562662262278003E-2</v>
      </c>
      <c r="H88">
        <v>-5.7669196776208999E-2</v>
      </c>
      <c r="I88">
        <v>5.4715299304876001E-2</v>
      </c>
      <c r="J88">
        <v>-0.10755719939074999</v>
      </c>
    </row>
    <row r="89" spans="1:10" x14ac:dyDescent="0.25">
      <c r="A89">
        <v>86</v>
      </c>
      <c r="B89">
        <v>-7.8896985427149999E-2</v>
      </c>
      <c r="C89">
        <v>-0.10859727384426</v>
      </c>
      <c r="D89">
        <v>0.92108393540987998</v>
      </c>
      <c r="E89">
        <v>-0.11544902245329999</v>
      </c>
      <c r="G89">
        <v>8.9156480277593E-2</v>
      </c>
      <c r="H89">
        <v>-6.4078003409914E-2</v>
      </c>
      <c r="I89">
        <v>5.3635225526836999E-2</v>
      </c>
      <c r="J89">
        <v>-0.1153587289029</v>
      </c>
    </row>
    <row r="90" spans="1:10" x14ac:dyDescent="0.25">
      <c r="A90">
        <v>87</v>
      </c>
      <c r="B90">
        <v>-8.7689859922145993E-2</v>
      </c>
      <c r="C90">
        <v>-0.11139778538181</v>
      </c>
      <c r="D90">
        <v>0.91229040860572996</v>
      </c>
      <c r="E90">
        <v>-0.11839820473415</v>
      </c>
      <c r="G90">
        <v>9.1504517806488994E-2</v>
      </c>
      <c r="H90">
        <v>-7.1238935933300995E-2</v>
      </c>
      <c r="I90">
        <v>5.1835090843352999E-2</v>
      </c>
      <c r="J90">
        <v>-0.1236720775131</v>
      </c>
    </row>
    <row r="91" spans="1:10" x14ac:dyDescent="0.25">
      <c r="A91">
        <v>88</v>
      </c>
      <c r="B91">
        <v>-9.7394161701781001E-2</v>
      </c>
      <c r="C91">
        <v>-0.11366251619577999</v>
      </c>
      <c r="D91">
        <v>0.90258552632892997</v>
      </c>
      <c r="E91">
        <v>-0.12081493917217</v>
      </c>
      <c r="G91">
        <v>9.3424025361072999E-2</v>
      </c>
      <c r="H91">
        <v>-7.9147315523539E-2</v>
      </c>
      <c r="I91">
        <v>4.9187246665395E-2</v>
      </c>
      <c r="J91">
        <v>-0.13245882731419001</v>
      </c>
    </row>
    <row r="92" spans="1:10" x14ac:dyDescent="0.25">
      <c r="A92">
        <v>89</v>
      </c>
      <c r="B92">
        <v>-0.10803355818649001</v>
      </c>
      <c r="C92">
        <v>-0.1152061894967</v>
      </c>
      <c r="D92">
        <v>0.89194708616338003</v>
      </c>
      <c r="E92">
        <v>-0.12251587785368</v>
      </c>
      <c r="G92">
        <v>9.4763086980373001E-2</v>
      </c>
      <c r="H92">
        <v>-8.7823229893380997E-2</v>
      </c>
      <c r="I92">
        <v>4.5533959782535001E-2</v>
      </c>
      <c r="J92">
        <v>-0.14165042455867</v>
      </c>
    </row>
    <row r="93" spans="1:10" x14ac:dyDescent="0.25">
      <c r="A93">
        <v>90</v>
      </c>
      <c r="B93">
        <v>-0.11959861801788001</v>
      </c>
      <c r="C93">
        <v>-0.11581222149023</v>
      </c>
      <c r="D93">
        <v>0.88038128577885999</v>
      </c>
      <c r="E93">
        <v>-0.12328150308788</v>
      </c>
      <c r="G93">
        <v>9.5343940206312996E-2</v>
      </c>
      <c r="H93">
        <v>-9.7259217128202999E-2</v>
      </c>
      <c r="I93">
        <v>4.0707113106013999E-2</v>
      </c>
      <c r="J93">
        <v>-0.15113820719907001</v>
      </c>
    </row>
    <row r="94" spans="1:10" x14ac:dyDescent="0.25">
      <c r="A94">
        <v>91</v>
      </c>
      <c r="B94">
        <v>-0.13202952027272999</v>
      </c>
      <c r="C94">
        <v>-0.11523767479843</v>
      </c>
      <c r="D94">
        <v>0.86794953345963999</v>
      </c>
      <c r="E94">
        <v>-0.12287037222202001</v>
      </c>
      <c r="G94">
        <v>9.4968903940548993E-2</v>
      </c>
      <c r="H94">
        <v>-0.10740884851220001</v>
      </c>
      <c r="I94">
        <v>3.4542566631625998E-2</v>
      </c>
      <c r="J94">
        <v>-0.16076060079407001</v>
      </c>
    </row>
    <row r="95" spans="1:10" x14ac:dyDescent="0.25">
      <c r="A95">
        <v>92</v>
      </c>
      <c r="B95">
        <v>-0.14520335260459</v>
      </c>
      <c r="C95">
        <v>-0.11322278838709</v>
      </c>
      <c r="D95">
        <v>0.85477474827305999</v>
      </c>
      <c r="E95">
        <v>-0.12102269029309</v>
      </c>
      <c r="G95">
        <v>9.3424606899959003E-2</v>
      </c>
      <c r="H95">
        <v>-0.11817258901461</v>
      </c>
      <c r="I95">
        <v>2.6892075554700998E-2</v>
      </c>
      <c r="J95">
        <v>-0.17029857371922</v>
      </c>
    </row>
    <row r="96" spans="1:10" x14ac:dyDescent="0.25">
      <c r="A96">
        <v>93</v>
      </c>
      <c r="B96">
        <v>-0.15891918140257</v>
      </c>
      <c r="C96">
        <v>-0.10950835117718</v>
      </c>
      <c r="D96">
        <v>0.84105788058150999</v>
      </c>
      <c r="E96">
        <v>-0.11747923898404999</v>
      </c>
      <c r="G96">
        <v>9.0498996871269999E-2</v>
      </c>
      <c r="H96">
        <v>-0.12938868614884</v>
      </c>
      <c r="I96">
        <v>1.7644377802344E-2</v>
      </c>
      <c r="J96">
        <v>-0.17947161522336999</v>
      </c>
    </row>
    <row r="97" spans="1:10" x14ac:dyDescent="0.25">
      <c r="A97">
        <v>94</v>
      </c>
      <c r="B97">
        <v>-0.17288824144393999</v>
      </c>
      <c r="C97">
        <v>-0.10386103168654</v>
      </c>
      <c r="D97">
        <v>0.82708751770315003</v>
      </c>
      <c r="E97">
        <v>-0.1120049749615</v>
      </c>
      <c r="G97">
        <v>8.6000203919312998E-2</v>
      </c>
      <c r="H97">
        <v>-0.14082331041568999</v>
      </c>
      <c r="I97">
        <v>6.7499446802008999E-3</v>
      </c>
      <c r="J97">
        <v>-0.18794201960852</v>
      </c>
    </row>
    <row r="98" spans="1:10" x14ac:dyDescent="0.25">
      <c r="A98">
        <v>95</v>
      </c>
      <c r="B98">
        <v>-0.18673420580639999</v>
      </c>
      <c r="C98">
        <v>-9.6106846729480999E-2</v>
      </c>
      <c r="D98">
        <v>0.81323831940637004</v>
      </c>
      <c r="E98">
        <v>-0.10442633907185001</v>
      </c>
      <c r="G98">
        <v>7.9783336512783007E-2</v>
      </c>
      <c r="H98">
        <v>-0.15216935330716999</v>
      </c>
      <c r="I98">
        <v>-5.7533749258125997E-3</v>
      </c>
      <c r="J98">
        <v>-0.19533070336853001</v>
      </c>
    </row>
    <row r="99" spans="1:10" x14ac:dyDescent="0.25">
      <c r="A99">
        <v>96</v>
      </c>
      <c r="B99">
        <v>-0.20000400839332</v>
      </c>
      <c r="C99">
        <v>-8.6165756052363998E-2</v>
      </c>
      <c r="D99">
        <v>0.79996680986321</v>
      </c>
      <c r="E99">
        <v>-9.4667397520416002E-2</v>
      </c>
      <c r="G99">
        <v>7.1780975553648999E-2</v>
      </c>
      <c r="H99">
        <v>-0.16305833177098999</v>
      </c>
      <c r="I99">
        <v>-1.9716239161163999E-2</v>
      </c>
      <c r="J99">
        <v>-0.20124002675241001</v>
      </c>
    </row>
    <row r="100" spans="1:10" x14ac:dyDescent="0.25">
      <c r="A100">
        <v>97</v>
      </c>
      <c r="B100">
        <v>-0.21220102617252001</v>
      </c>
      <c r="C100">
        <v>-7.4086793107391996E-2</v>
      </c>
      <c r="D100">
        <v>0.78776613796938</v>
      </c>
      <c r="E100">
        <v>-8.2777092830030999E-2</v>
      </c>
      <c r="G100">
        <v>6.2030407149689E-2</v>
      </c>
      <c r="H100">
        <v>-0.17308525424016999</v>
      </c>
      <c r="I100">
        <v>-3.4867252392969998E-2</v>
      </c>
      <c r="J100">
        <v>-0.20530042748112001</v>
      </c>
    </row>
    <row r="101" spans="1:10" x14ac:dyDescent="0.25">
      <c r="A101">
        <v>98</v>
      </c>
      <c r="B101">
        <v>-0.22282960353035999</v>
      </c>
      <c r="C101">
        <v>-6.0067780792297999E-2</v>
      </c>
      <c r="D101">
        <v>0.77713496285330996</v>
      </c>
      <c r="E101">
        <v>-6.8948629568099995E-2</v>
      </c>
      <c r="G101">
        <v>5.0689825643875003E-2</v>
      </c>
      <c r="H101">
        <v>-0.18184466819865999</v>
      </c>
      <c r="I101">
        <v>-5.0818607172904998E-2</v>
      </c>
      <c r="J101">
        <v>-0.20721187396679999</v>
      </c>
    </row>
    <row r="102" spans="1:10" x14ac:dyDescent="0.25">
      <c r="A102">
        <v>99</v>
      </c>
      <c r="B102">
        <v>-0.23145088741433001</v>
      </c>
      <c r="C102">
        <v>-4.4456686082511E-2</v>
      </c>
      <c r="D102">
        <v>0.76851041835685996</v>
      </c>
      <c r="E102">
        <v>-5.3531439459353E-2</v>
      </c>
      <c r="G102">
        <v>3.8040307851969997E-2</v>
      </c>
      <c r="H102">
        <v>-0.18897568941878001</v>
      </c>
      <c r="I102">
        <v>-6.7089021161196E-2</v>
      </c>
      <c r="J102">
        <v>-0.20678972435623999</v>
      </c>
    </row>
    <row r="103" spans="1:10" x14ac:dyDescent="0.25">
      <c r="A103">
        <v>100</v>
      </c>
      <c r="B103">
        <v>-0.23773796055193</v>
      </c>
      <c r="C103">
        <v>-2.7726542125460999E-2</v>
      </c>
      <c r="D103">
        <v>0.76221985390146996</v>
      </c>
      <c r="E103">
        <v>-3.6998459341889001E-2</v>
      </c>
      <c r="G103">
        <v>2.4466062161070001E-2</v>
      </c>
      <c r="H103">
        <v>-0.19421027972169999</v>
      </c>
      <c r="I103">
        <v>-8.3150892223921996E-2</v>
      </c>
      <c r="J103">
        <v>-0.20399640530777</v>
      </c>
    </row>
    <row r="104" spans="1:10" x14ac:dyDescent="0.25">
      <c r="A104">
        <v>101</v>
      </c>
      <c r="B104">
        <v>-0.24151645709871999</v>
      </c>
      <c r="C104">
        <v>-1.0426278122598E-2</v>
      </c>
      <c r="D104">
        <v>0.75843791714774</v>
      </c>
      <c r="E104">
        <v>-1.9899729743858001E-2</v>
      </c>
      <c r="G104">
        <v>1.0413674080357E-2</v>
      </c>
      <c r="H104">
        <v>-0.19740126282317</v>
      </c>
      <c r="I104">
        <v>-9.8487839004404998E-2</v>
      </c>
      <c r="J104">
        <v>-0.19895064289820999</v>
      </c>
    </row>
    <row r="105" spans="1:10" x14ac:dyDescent="0.25">
      <c r="A105">
        <v>102</v>
      </c>
      <c r="B105">
        <v>-0.24278001308870001</v>
      </c>
      <c r="C105">
        <v>6.8829035153985998E-3</v>
      </c>
      <c r="D105">
        <v>0.75717123697336997</v>
      </c>
      <c r="E105">
        <v>-2.7935114372236E-3</v>
      </c>
      <c r="G105">
        <v>-3.6587705678014998E-3</v>
      </c>
      <c r="H105">
        <v>-0.19853143923460001</v>
      </c>
      <c r="I105">
        <v>-0.11265377202121001</v>
      </c>
      <c r="J105">
        <v>-0.19191109682436999</v>
      </c>
    </row>
    <row r="106" spans="1:10" x14ac:dyDescent="0.25">
      <c r="A106">
        <v>103</v>
      </c>
      <c r="B106">
        <v>-0.24166813945876001</v>
      </c>
      <c r="C106">
        <v>2.3722915920214999E-2</v>
      </c>
      <c r="D106">
        <v>0.75827765935836</v>
      </c>
      <c r="E106">
        <v>1.3839301060022E-2</v>
      </c>
      <c r="G106">
        <v>-1.7359172773356E-2</v>
      </c>
      <c r="H106">
        <v>-0.19770864771718999</v>
      </c>
      <c r="I106">
        <v>-0.12533455745951999</v>
      </c>
      <c r="J106">
        <v>-0.18321071761120999</v>
      </c>
    </row>
    <row r="107" spans="1:10" x14ac:dyDescent="0.25">
      <c r="A107">
        <v>104</v>
      </c>
      <c r="B107">
        <v>-0.23847420899635</v>
      </c>
      <c r="C107">
        <v>3.9541594516268E-2</v>
      </c>
      <c r="D107">
        <v>0.76146859019473001</v>
      </c>
      <c r="E107">
        <v>2.9445801107196998E-2</v>
      </c>
      <c r="G107">
        <v>-3.0235552412462001E-2</v>
      </c>
      <c r="H107">
        <v>-0.19519471145490999</v>
      </c>
      <c r="I107">
        <v>-0.13622717557481001</v>
      </c>
      <c r="J107">
        <v>-0.17333794386307</v>
      </c>
    </row>
    <row r="108" spans="1:10" x14ac:dyDescent="0.25">
      <c r="A108">
        <v>105</v>
      </c>
      <c r="B108">
        <v>-0.23356115709815001</v>
      </c>
      <c r="C108">
        <v>5.4067654750977003E-2</v>
      </c>
      <c r="D108">
        <v>0.76637885351777002</v>
      </c>
      <c r="E108">
        <v>4.3755847276250003E-2</v>
      </c>
      <c r="G108">
        <v>-4.2064715142185002E-2</v>
      </c>
      <c r="H108">
        <v>-0.19127173860961999</v>
      </c>
      <c r="I108">
        <v>-0.14529003042404001</v>
      </c>
      <c r="J108">
        <v>-0.16271035405559001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0A462-76AA-4B0D-9C47-01D39BDAF6CD}">
  <dimension ref="A1:V564"/>
  <sheetViews>
    <sheetView tabSelected="1" topLeftCell="A151" zoomScale="85" zoomScaleNormal="85" workbookViewId="0">
      <selection activeCell="T265" sqref="T265"/>
    </sheetView>
  </sheetViews>
  <sheetFormatPr defaultRowHeight="15" x14ac:dyDescent="0.25"/>
  <cols>
    <col min="2" max="2" width="9.140625" style="6"/>
    <col min="3" max="14" width="9.140625" customWidth="1"/>
    <col min="15" max="16" width="10.85546875" customWidth="1"/>
    <col min="17" max="18" width="11.140625" customWidth="1"/>
    <col min="20" max="20" width="10.42578125" customWidth="1"/>
    <col min="21" max="22" width="9.85546875" customWidth="1"/>
  </cols>
  <sheetData>
    <row r="1" spans="1:22" x14ac:dyDescent="0.25">
      <c r="A1" s="2" t="s">
        <v>0</v>
      </c>
      <c r="B1" s="2" t="s">
        <v>9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7" t="s">
        <v>29</v>
      </c>
      <c r="L1" s="7" t="s">
        <v>30</v>
      </c>
      <c r="M1" s="7" t="s">
        <v>31</v>
      </c>
      <c r="N1" s="7" t="s">
        <v>32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s="9" t="s">
        <v>16</v>
      </c>
      <c r="V1" s="9" t="s">
        <v>17</v>
      </c>
    </row>
    <row r="2" spans="1:22" x14ac:dyDescent="0.25">
      <c r="A2">
        <v>0.6</v>
      </c>
      <c r="B2">
        <v>15</v>
      </c>
      <c r="C2">
        <v>-1.7536038672991E-3</v>
      </c>
      <c r="D2">
        <v>2.3040344604320002E-3</v>
      </c>
      <c r="E2">
        <v>0.99823938350121999</v>
      </c>
      <c r="F2">
        <v>5.3650976537749002E-4</v>
      </c>
      <c r="G2">
        <f t="shared" ref="G2" si="0">IMREAL(IMDIV(IMSUM(IMPRODUCT(COMPLEX(1 + C2,D2),COMPLEX(1 - C2, - D2)),IMPRODUCT(COMPLEX(E2,F2),COMPLEX(E2,F2))),IMSUB(IMPRODUCT(COMPLEX(1 - C2, - D2),COMPLEX(1 - C2, - D2)),IMPRODUCT(COMPLEX(E2,F2),COMPLEX(E2,F2)))))</f>
        <v>171.61016287858601</v>
      </c>
      <c r="H2">
        <f t="shared" ref="H2" si="1">IMAGINARY(IMDIV(IMSUM(IMPRODUCT(COMPLEX(1 + C2,D2),COMPLEX(1 - C2, - D2)),IMPRODUCT(COMPLEX(E2,F2),COMPLEX(E2,F2))),IMSUB(IMPRODUCT(COMPLEX(1 - C2, - D2),COMPLEX(1 - C2, - D2)),IMPRODUCT(COMPLEX(E2,F2),COMPLEX(E2,F2)))))</f>
        <v>139.11708073104001</v>
      </c>
      <c r="I2">
        <f t="shared" ref="I2" si="2">IMREAL(IMDIV(IMPRODUCT(COMPLEX(2,0),COMPLEX(E2,F2)),IMSUB(IMPRODUCT(COMPLEX(1 - C2, - D2),COMPLEX(1 - C2, - D2)),IMPRODUCT(COMPLEX(E2,F2),COMPLEX(E2,F2)))))</f>
        <v>171.610160153301</v>
      </c>
      <c r="J2">
        <f t="shared" ref="J2" si="3">IMAGINARY(IMDIV(IMPRODUCT(COMPLEX(2,0),COMPLEX(E2,F2)),IMSUB(IMPRODUCT(COMPLEX(1 - C2, - D2),COMPLEX(1 - C2, - D2)),IMPRODUCT(COMPLEX(E2,F2),COMPLEX(E2,F2)))))</f>
        <v>139.11619696318499</v>
      </c>
      <c r="K2" s="8">
        <f>IMREAL(IMSUB(COMPLEX(G2,H2),COMPLEX(I2,J2)))</f>
        <v>2.7252850145487198E-6</v>
      </c>
      <c r="L2" s="8">
        <f>IMAGINARY(IMSUB(COMPLEX(G2,H2),COMPLEX(I2,J2)))</f>
        <v>8.8376785501509403E-4</v>
      </c>
      <c r="M2" s="8">
        <f t="shared" ref="M2" si="4">IMREAL(IMDIV(IMSUB(IMPRODUCT(COMPLEX(1 - C2, - D2),COMPLEX(1 - C2, - D2)),IMPRODUCT(COMPLEX(E2,F2),COMPLEX(E2,F2))),IMPRODUCT(COMPLEX(2,0),COMPLEX(E2,F2))))</f>
        <v>3.5163592928889702E-3</v>
      </c>
      <c r="N2" s="8">
        <f t="shared" ref="N2" si="5">IMAGINARY(IMDIV(IMSUB(IMPRODUCT(COMPLEX(1 - C2, - D2),COMPLEX(1 - C2, - D2)),IMPRODUCT(COMPLEX(E2,F2),COMPLEX(E2,F2))),IMPRODUCT(COMPLEX(2,0),COMPLEX(E2,F2))))</f>
        <v>-2.85054527975428E-3</v>
      </c>
      <c r="O2">
        <v>1.5062330908599E-2</v>
      </c>
      <c r="P2">
        <v>-1.0881598472802999E-2</v>
      </c>
      <c r="Q2">
        <v>9.0417144991441004E-3</v>
      </c>
      <c r="R2">
        <v>-1.9909196619552001E-2</v>
      </c>
      <c r="S2">
        <f>IMABS(COMPLEX(Q2,R2))/IMABS(COMPLEX(O2,P2))</f>
        <v>1.1767516472939421</v>
      </c>
      <c r="T2">
        <f t="shared" ref="T2:T65" si="6">IMARGUMENT(IMDIV(COMPLEX(Q2,R2),COMPLEX(O2/B2,P2/B2)))/PI()*180</f>
        <v>-29.729165760172471</v>
      </c>
      <c r="U2" s="9">
        <f>S2*COS(T2/180*PI())</f>
        <v>1.0218666474271052</v>
      </c>
      <c r="V2" s="9">
        <f>S2*SIN(T2/180*PI())</f>
        <v>-0.58355204933672777</v>
      </c>
    </row>
    <row r="3" spans="1:22" x14ac:dyDescent="0.25">
      <c r="A3">
        <v>0.6</v>
      </c>
      <c r="B3" s="1">
        <v>15.1</v>
      </c>
      <c r="C3">
        <v>-2.0200324943544E-3</v>
      </c>
      <c r="D3">
        <v>2.1930182651928999E-3</v>
      </c>
      <c r="E3">
        <v>0.99797187247244001</v>
      </c>
      <c r="F3">
        <v>4.6163677433810999E-4</v>
      </c>
      <c r="G3">
        <f t="shared" ref="G3:G66" si="7">IMREAL(IMDIV(IMSUM(IMPRODUCT(COMPLEX(1 + C3,D3),COMPLEX(1 - C3, - D3)),IMPRODUCT(COMPLEX(E3,F3),COMPLEX(E3,F3))),IMSUB(IMPRODUCT(COMPLEX(1 - C3, - D3),COMPLEX(1 - C3, - D3)),IMPRODUCT(COMPLEX(E3,F3),COMPLEX(E3,F3)))))</f>
        <v>172.24144775212301</v>
      </c>
      <c r="H3">
        <f t="shared" ref="H3:H66" si="8">IMAGINARY(IMDIV(IMSUM(IMPRODUCT(COMPLEX(1 + C3,D3),COMPLEX(1 - C3, - D3)),IMPRODUCT(COMPLEX(E3,F3),COMPLEX(E3,F3))),IMSUB(IMPRODUCT(COMPLEX(1 - C3, - D3),COMPLEX(1 - C3, - D3)),IMPRODUCT(COMPLEX(E3,F3),COMPLEX(E3,F3)))))</f>
        <v>113.278798316148</v>
      </c>
      <c r="I3">
        <f t="shared" ref="I3:I66" si="9">IMREAL(IMDIV(IMPRODUCT(COMPLEX(2,0),COMPLEX(E3,F3)),IMSUB(IMPRODUCT(COMPLEX(1 - C3, - D3),COMPLEX(1 - C3, - D3)),IMPRODUCT(COMPLEX(E3,F3),COMPLEX(E3,F3)))))</f>
        <v>172.24144445401899</v>
      </c>
      <c r="J3">
        <f t="shared" ref="J3:J66" si="10">IMAGINARY(IMDIV(IMPRODUCT(COMPLEX(2,0),COMPLEX(E3,F3)),IMSUB(IMPRODUCT(COMPLEX(1 - C3, - D3),COMPLEX(1 - C3, - D3)),IMPRODUCT(COMPLEX(E3,F3),COMPLEX(E3,F3)))))</f>
        <v>113.277932619043</v>
      </c>
      <c r="K3" s="8">
        <f t="shared" ref="K3:K66" si="11">IMREAL(IMSUB(COMPLEX(G3,H3),COMPLEX(I3,J3)))</f>
        <v>3.2981040192225902E-6</v>
      </c>
      <c r="L3" s="8">
        <f t="shared" ref="L3:L66" si="12">IMAGINARY(IMSUB(COMPLEX(G3,H3),COMPLEX(I3,J3)))</f>
        <v>8.6569710499873097E-4</v>
      </c>
      <c r="M3" s="8">
        <f t="shared" ref="M3:M66" si="13">IMREAL(IMDIV(IMSUB(IMPRODUCT(COMPLEX(1 - C3, - D3),COMPLEX(1 - C3, - D3)),IMPRODUCT(COMPLEX(E3,F3),COMPLEX(E3,F3))),IMPRODUCT(COMPLEX(2,0),COMPLEX(E3,F3))))</f>
        <v>4.0528347338702796E-3</v>
      </c>
      <c r="N3" s="8">
        <f t="shared" ref="N3:N66" si="14">IMAGINARY(IMDIV(IMSUB(IMPRODUCT(COMPLEX(1 - C3, - D3),COMPLEX(1 - C3, - D3)),IMPRODUCT(COMPLEX(E3,F3),COMPLEX(E3,F3))),IMPRODUCT(COMPLEX(2,0),COMPLEX(E3,F3))))</f>
        <v>-2.6654255098402702E-3</v>
      </c>
      <c r="O3">
        <v>1.5528658613810999E-2</v>
      </c>
      <c r="P3">
        <v>-1.2472069853444999E-2</v>
      </c>
      <c r="Q3">
        <v>8.5940047800350996E-3</v>
      </c>
      <c r="R3">
        <v>-2.1809990462183002E-2</v>
      </c>
      <c r="S3">
        <f t="shared" ref="S3:S66" si="15">IMABS(COMPLEX(Q3,R3))/IMABS(COMPLEX(O3,P3))</f>
        <v>1.176982861869905</v>
      </c>
      <c r="T3">
        <f t="shared" ref="T3:T66" si="16">IMARGUMENT(IMDIV(COMPLEX(Q3,R3),COMPLEX(O3/B3,P3/B3)))/PI()*180</f>
        <v>-29.723384928389375</v>
      </c>
      <c r="U3" s="9">
        <f t="shared" ref="U3:U66" si="17">S3*COS(T3/180*PI())</f>
        <v>1.0221263129408658</v>
      </c>
      <c r="V3" s="9">
        <f t="shared" ref="V3:V66" si="18">S3*SIN(T3/180*PI())</f>
        <v>-0.58356358482121162</v>
      </c>
    </row>
    <row r="4" spans="1:22" x14ac:dyDescent="0.25">
      <c r="A4">
        <v>0.6</v>
      </c>
      <c r="B4" s="1">
        <v>15.2</v>
      </c>
      <c r="C4">
        <v>-2.3186268521947998E-3</v>
      </c>
      <c r="D4">
        <v>2.1116017876312001E-3</v>
      </c>
      <c r="E4">
        <v>0.99767400076818002</v>
      </c>
      <c r="F4">
        <v>4.2316197787346002E-4</v>
      </c>
      <c r="G4">
        <f t="shared" si="7"/>
        <v>165.39384952258499</v>
      </c>
      <c r="H4">
        <f t="shared" si="8"/>
        <v>90.535528128950901</v>
      </c>
      <c r="I4">
        <f t="shared" si="9"/>
        <v>165.39384654909699</v>
      </c>
      <c r="J4">
        <f t="shared" si="10"/>
        <v>90.534683903424096</v>
      </c>
      <c r="K4" s="8">
        <f t="shared" si="11"/>
        <v>2.9734879944953701E-6</v>
      </c>
      <c r="L4" s="8">
        <f t="shared" si="12"/>
        <v>8.44225526805076E-4</v>
      </c>
      <c r="M4" s="8">
        <f t="shared" si="13"/>
        <v>4.6522124971826303E-3</v>
      </c>
      <c r="N4" s="8">
        <f t="shared" si="14"/>
        <v>-2.5465674610751598E-3</v>
      </c>
      <c r="O4">
        <v>1.5876926393320001E-2</v>
      </c>
      <c r="P4">
        <v>-1.431148924259E-2</v>
      </c>
      <c r="Q4">
        <v>7.8603701426261992E-3</v>
      </c>
      <c r="R4">
        <v>-2.3844226304700001E-2</v>
      </c>
      <c r="S4">
        <f t="shared" si="15"/>
        <v>1.1745632763555665</v>
      </c>
      <c r="T4">
        <f t="shared" si="16"/>
        <v>-29.72337980356798</v>
      </c>
      <c r="U4" s="9">
        <f t="shared" si="17"/>
        <v>1.0200251262607216</v>
      </c>
      <c r="V4" s="9">
        <f t="shared" si="18"/>
        <v>-0.58236383126008251</v>
      </c>
    </row>
    <row r="5" spans="1:22" x14ac:dyDescent="0.25">
      <c r="A5">
        <v>0.6</v>
      </c>
      <c r="B5" s="1">
        <v>15.3</v>
      </c>
      <c r="C5">
        <v>-2.6552806766386998E-3</v>
      </c>
      <c r="D5">
        <v>2.0652461685606001E-3</v>
      </c>
      <c r="E5">
        <v>0.99733145110885002</v>
      </c>
      <c r="F5">
        <v>4.2469770001127001E-4</v>
      </c>
      <c r="G5">
        <f t="shared" si="7"/>
        <v>153.621891141737</v>
      </c>
      <c r="H5">
        <f t="shared" si="8"/>
        <v>72.082892414327205</v>
      </c>
      <c r="I5">
        <f t="shared" si="9"/>
        <v>153.621885180449</v>
      </c>
      <c r="J5">
        <f t="shared" si="10"/>
        <v>72.082072129761301</v>
      </c>
      <c r="K5" s="8">
        <f t="shared" si="11"/>
        <v>5.9612879965698102E-6</v>
      </c>
      <c r="L5" s="8">
        <f t="shared" si="12"/>
        <v>8.2028456590421705E-4</v>
      </c>
      <c r="M5" s="8">
        <f t="shared" si="13"/>
        <v>5.3349252005465897E-3</v>
      </c>
      <c r="N5" s="8">
        <f t="shared" si="14"/>
        <v>-2.50324009929297E-3</v>
      </c>
      <c r="O5">
        <v>1.6018855596349E-2</v>
      </c>
      <c r="P5">
        <v>-1.638616977198E-2</v>
      </c>
      <c r="Q5">
        <v>6.7826250467740998E-3</v>
      </c>
      <c r="R5">
        <v>-2.5988382416320999E-2</v>
      </c>
      <c r="S5">
        <f t="shared" si="15"/>
        <v>1.1720949904154616</v>
      </c>
      <c r="T5">
        <f t="shared" si="16"/>
        <v>-29.72341100999741</v>
      </c>
      <c r="U5" s="9">
        <f t="shared" si="17"/>
        <v>1.0178812779876989</v>
      </c>
      <c r="V5" s="9">
        <f t="shared" si="18"/>
        <v>-0.58114057720929257</v>
      </c>
    </row>
    <row r="6" spans="1:22" x14ac:dyDescent="0.25">
      <c r="A6">
        <v>0.6</v>
      </c>
      <c r="B6" s="1">
        <v>15.4</v>
      </c>
      <c r="C6">
        <v>-3.0293112825969001E-3</v>
      </c>
      <c r="D6">
        <v>2.0658618583086E-3</v>
      </c>
      <c r="E6">
        <v>0.99695859517305996</v>
      </c>
      <c r="F6">
        <v>4.6590751615362998E-4</v>
      </c>
      <c r="G6">
        <f t="shared" si="7"/>
        <v>139.819743147775</v>
      </c>
      <c r="H6">
        <f t="shared" si="8"/>
        <v>58.5202212266489</v>
      </c>
      <c r="I6">
        <f t="shared" si="9"/>
        <v>139.81973774094101</v>
      </c>
      <c r="J6">
        <f t="shared" si="10"/>
        <v>58.519421240315097</v>
      </c>
      <c r="K6" s="8">
        <f t="shared" si="11"/>
        <v>5.4068339920831898E-6</v>
      </c>
      <c r="L6" s="8">
        <f t="shared" si="12"/>
        <v>7.99986333802849E-4</v>
      </c>
      <c r="M6" s="8">
        <f t="shared" si="13"/>
        <v>6.0859772076711401E-3</v>
      </c>
      <c r="N6" s="8">
        <f t="shared" si="14"/>
        <v>-2.5471930474833099E-3</v>
      </c>
      <c r="O6">
        <v>1.5873339916317002E-2</v>
      </c>
      <c r="P6">
        <v>-1.8691054874456998E-2</v>
      </c>
      <c r="Q6">
        <v>5.2836038451243E-3</v>
      </c>
      <c r="R6">
        <v>-2.8188755312780998E-2</v>
      </c>
      <c r="S6">
        <f t="shared" si="15"/>
        <v>1.1695575594428043</v>
      </c>
      <c r="T6">
        <f t="shared" si="16"/>
        <v>-29.723366664443059</v>
      </c>
      <c r="U6" s="9">
        <f t="shared" si="17"/>
        <v>1.0156781481656179</v>
      </c>
      <c r="V6" s="9">
        <f t="shared" si="18"/>
        <v>-0.57988169844259607</v>
      </c>
    </row>
    <row r="7" spans="1:22" x14ac:dyDescent="0.25">
      <c r="A7">
        <v>0.6</v>
      </c>
      <c r="B7" s="1">
        <v>15.5</v>
      </c>
      <c r="C7">
        <v>-3.4347787883079999E-3</v>
      </c>
      <c r="D7">
        <v>2.1286539982717E-3</v>
      </c>
      <c r="E7">
        <v>0.99655229979059001</v>
      </c>
      <c r="F7">
        <v>5.7103116912571002E-4</v>
      </c>
      <c r="G7">
        <f t="shared" si="7"/>
        <v>125.421696792567</v>
      </c>
      <c r="H7">
        <f t="shared" si="8"/>
        <v>49.393773581350899</v>
      </c>
      <c r="I7">
        <f t="shared" si="9"/>
        <v>125.421690938373</v>
      </c>
      <c r="J7">
        <f t="shared" si="10"/>
        <v>49.392994760345303</v>
      </c>
      <c r="K7" s="8">
        <f t="shared" si="11"/>
        <v>5.8541940006762203E-6</v>
      </c>
      <c r="L7" s="8">
        <f t="shared" si="12"/>
        <v>7.7882100559634204E-4</v>
      </c>
      <c r="M7" s="8">
        <f t="shared" si="13"/>
        <v>6.9025777474158098E-3</v>
      </c>
      <c r="N7" s="8">
        <f t="shared" si="14"/>
        <v>-2.7183414922902498E-3</v>
      </c>
      <c r="O7">
        <v>1.5340784588589999E-2</v>
      </c>
      <c r="P7">
        <v>-2.1187938717579E-2</v>
      </c>
      <c r="Q7">
        <v>3.287879934621E-3</v>
      </c>
      <c r="R7">
        <v>-3.0351737101191999E-2</v>
      </c>
      <c r="S7">
        <f t="shared" si="15"/>
        <v>1.1670879488029797</v>
      </c>
      <c r="T7">
        <f t="shared" si="16"/>
        <v>-29.723299896627783</v>
      </c>
      <c r="U7" s="9">
        <f t="shared" si="17"/>
        <v>1.013534140043852</v>
      </c>
      <c r="V7" s="9">
        <f t="shared" si="18"/>
        <v>-0.57865605259663189</v>
      </c>
    </row>
    <row r="8" spans="1:22" x14ac:dyDescent="0.25">
      <c r="A8">
        <v>0.6</v>
      </c>
      <c r="B8">
        <v>15.6</v>
      </c>
      <c r="C8">
        <v>-3.8589846790080999E-3</v>
      </c>
      <c r="D8">
        <v>2.2696022091586001E-3</v>
      </c>
      <c r="E8">
        <v>0.99612682652091999</v>
      </c>
      <c r="F8">
        <v>7.5647072027688E-4</v>
      </c>
      <c r="G8">
        <f t="shared" si="7"/>
        <v>111.652284677005</v>
      </c>
      <c r="H8">
        <f t="shared" si="8"/>
        <v>43.892520149108499</v>
      </c>
      <c r="I8">
        <f t="shared" si="9"/>
        <v>111.652278154958</v>
      </c>
      <c r="J8">
        <f t="shared" si="10"/>
        <v>43.8917635730621</v>
      </c>
      <c r="K8" s="8">
        <f t="shared" si="11"/>
        <v>6.5220470020221902E-6</v>
      </c>
      <c r="L8" s="8">
        <f t="shared" si="12"/>
        <v>7.5657604639900499E-4</v>
      </c>
      <c r="M8" s="8">
        <f t="shared" si="13"/>
        <v>7.7575533107590803E-3</v>
      </c>
      <c r="N8" s="8">
        <f t="shared" si="14"/>
        <v>-3.0495812664808001E-3</v>
      </c>
      <c r="O8">
        <v>1.4323336737815001E-2</v>
      </c>
      <c r="P8">
        <v>-2.3799556826709999E-2</v>
      </c>
      <c r="Q8">
        <v>7.4376645303590001E-4</v>
      </c>
      <c r="R8">
        <v>-3.2340715573047997E-2</v>
      </c>
      <c r="S8">
        <f t="shared" si="15"/>
        <v>1.1645947844955851</v>
      </c>
      <c r="T8">
        <f t="shared" si="16"/>
        <v>-29.723431544714391</v>
      </c>
      <c r="U8" s="9">
        <f t="shared" si="17"/>
        <v>1.0113676747293909</v>
      </c>
      <c r="V8" s="9">
        <f t="shared" si="18"/>
        <v>-0.57742223596496789</v>
      </c>
    </row>
    <row r="9" spans="1:22" x14ac:dyDescent="0.25">
      <c r="A9">
        <v>0.6</v>
      </c>
      <c r="B9">
        <v>15.7</v>
      </c>
      <c r="C9">
        <v>-4.2812484457372003E-3</v>
      </c>
      <c r="D9">
        <v>2.5020908086166999E-3</v>
      </c>
      <c r="E9">
        <v>0.99570365734182997</v>
      </c>
      <c r="F9">
        <v>1.0363194793699001E-3</v>
      </c>
      <c r="G9">
        <f t="shared" si="7"/>
        <v>99.128897253542604</v>
      </c>
      <c r="H9">
        <f t="shared" si="8"/>
        <v>41.099073340338997</v>
      </c>
      <c r="I9">
        <f t="shared" si="9"/>
        <v>99.128890243512402</v>
      </c>
      <c r="J9">
        <f t="shared" si="10"/>
        <v>41.098340444005402</v>
      </c>
      <c r="K9" s="8">
        <f t="shared" si="11"/>
        <v>7.0100302025366503E-6</v>
      </c>
      <c r="L9" s="8">
        <f t="shared" si="12"/>
        <v>7.3289633359507899E-4</v>
      </c>
      <c r="M9" s="8">
        <f t="shared" si="13"/>
        <v>8.6082184281574495E-3</v>
      </c>
      <c r="N9" s="8">
        <f t="shared" si="14"/>
        <v>-3.56892416234762E-3</v>
      </c>
      <c r="O9">
        <v>1.2738381113334E-2</v>
      </c>
      <c r="P9">
        <v>-2.6398264586423002E-2</v>
      </c>
      <c r="Q9">
        <v>-2.3547994824458002E-3</v>
      </c>
      <c r="R9">
        <v>-3.3980193979833997E-2</v>
      </c>
      <c r="S9">
        <f t="shared" si="15"/>
        <v>1.1620787068832075</v>
      </c>
      <c r="T9">
        <f t="shared" si="16"/>
        <v>-29.723666937400992</v>
      </c>
      <c r="U9" s="9">
        <f t="shared" si="17"/>
        <v>1.0091802732651369</v>
      </c>
      <c r="V9" s="9">
        <f t="shared" si="18"/>
        <v>-0.57617887590908023</v>
      </c>
    </row>
    <row r="10" spans="1:22" x14ac:dyDescent="0.25">
      <c r="A10">
        <v>0.6</v>
      </c>
      <c r="B10">
        <v>15.8</v>
      </c>
      <c r="C10">
        <v>-4.6733324179027E-3</v>
      </c>
      <c r="D10">
        <v>2.8324116612859999E-3</v>
      </c>
      <c r="E10">
        <v>0.99530690822219003</v>
      </c>
      <c r="F10">
        <v>1.4055095122060999E-3</v>
      </c>
      <c r="G10">
        <f t="shared" si="7"/>
        <v>88.121775901961698</v>
      </c>
      <c r="H10">
        <f t="shared" si="8"/>
        <v>40.098058141566497</v>
      </c>
      <c r="I10">
        <f t="shared" si="9"/>
        <v>88.121766531211705</v>
      </c>
      <c r="J10">
        <f t="shared" si="10"/>
        <v>40.0973446767577</v>
      </c>
      <c r="K10" s="8">
        <f t="shared" si="11"/>
        <v>9.3707499928541404E-6</v>
      </c>
      <c r="L10" s="8">
        <f t="shared" si="12"/>
        <v>7.1346480879697105E-4</v>
      </c>
      <c r="M10" s="8">
        <f t="shared" si="13"/>
        <v>9.4014172615025492E-3</v>
      </c>
      <c r="N10" s="8">
        <f t="shared" si="14"/>
        <v>-4.2778519226684799E-3</v>
      </c>
      <c r="O10">
        <v>1.0547734891652999E-2</v>
      </c>
      <c r="P10">
        <v>-2.8811136219607E-2</v>
      </c>
      <c r="Q10">
        <v>-5.9427207574057001E-3</v>
      </c>
      <c r="R10">
        <v>-3.5076029336886E-2</v>
      </c>
      <c r="S10">
        <f t="shared" si="15"/>
        <v>1.1595336136425531</v>
      </c>
      <c r="T10">
        <f t="shared" si="16"/>
        <v>-29.723605821957584</v>
      </c>
      <c r="U10" s="9">
        <f t="shared" si="17"/>
        <v>1.0069706593728154</v>
      </c>
      <c r="V10" s="9">
        <f t="shared" si="18"/>
        <v>-0.57491590022301131</v>
      </c>
    </row>
    <row r="11" spans="1:22" x14ac:dyDescent="0.25">
      <c r="A11">
        <v>0.6</v>
      </c>
      <c r="B11">
        <v>15.9</v>
      </c>
      <c r="C11">
        <v>-5.0025975415178003E-3</v>
      </c>
      <c r="D11">
        <v>3.2554534046872999E-3</v>
      </c>
      <c r="E11">
        <v>0.99498726732800002</v>
      </c>
      <c r="F11">
        <v>1.8603539051342999E-3</v>
      </c>
      <c r="G11">
        <f t="shared" si="7"/>
        <v>78.686142011369498</v>
      </c>
      <c r="H11">
        <f t="shared" si="8"/>
        <v>40.448444226331397</v>
      </c>
      <c r="I11">
        <f t="shared" si="9"/>
        <v>78.6861374303612</v>
      </c>
      <c r="J11">
        <f t="shared" si="10"/>
        <v>40.447746669851099</v>
      </c>
      <c r="K11" s="8">
        <f t="shared" si="11"/>
        <v>4.5810082980324296E-6</v>
      </c>
      <c r="L11" s="8">
        <f t="shared" si="12"/>
        <v>6.9755648029712304E-4</v>
      </c>
      <c r="M11" s="8">
        <f t="shared" si="13"/>
        <v>1.0052488226650899E-2</v>
      </c>
      <c r="N11" s="8">
        <f t="shared" si="14"/>
        <v>-5.1673714134600297E-3</v>
      </c>
      <c r="O11">
        <v>7.7836567520262996E-3</v>
      </c>
      <c r="P11">
        <v>-3.0835865166984999E-2</v>
      </c>
      <c r="Q11">
        <v>-9.8687488834452997E-3</v>
      </c>
      <c r="R11">
        <v>-3.5448523297135E-2</v>
      </c>
      <c r="S11">
        <f t="shared" si="15"/>
        <v>1.1570138269713715</v>
      </c>
      <c r="T11">
        <f t="shared" si="16"/>
        <v>-29.723809345441467</v>
      </c>
      <c r="U11" s="9">
        <f t="shared" si="17"/>
        <v>1.004780370048143</v>
      </c>
      <c r="V11" s="9">
        <f t="shared" si="18"/>
        <v>-0.57367011754914987</v>
      </c>
    </row>
    <row r="12" spans="1:22" x14ac:dyDescent="0.25">
      <c r="A12">
        <v>0.6</v>
      </c>
      <c r="B12">
        <v>16</v>
      </c>
      <c r="C12">
        <v>-5.2382304351826E-3</v>
      </c>
      <c r="D12">
        <v>3.7516523278777998E-3</v>
      </c>
      <c r="E12">
        <v>0.99474360326150002</v>
      </c>
      <c r="F12">
        <v>2.3914913704858E-3</v>
      </c>
      <c r="G12">
        <f t="shared" si="7"/>
        <v>70.469389205789696</v>
      </c>
      <c r="H12">
        <f t="shared" si="8"/>
        <v>41.543038265266198</v>
      </c>
      <c r="I12">
        <f t="shared" si="9"/>
        <v>70.469380585077502</v>
      </c>
      <c r="J12">
        <f t="shared" si="10"/>
        <v>41.542358172747399</v>
      </c>
      <c r="K12" s="8">
        <f t="shared" si="11"/>
        <v>8.6207121938741693E-6</v>
      </c>
      <c r="L12" s="8">
        <f t="shared" si="12"/>
        <v>6.8009251879885802E-4</v>
      </c>
      <c r="M12" s="8">
        <f t="shared" si="13"/>
        <v>1.05308619279346E-2</v>
      </c>
      <c r="N12" s="8">
        <f t="shared" si="14"/>
        <v>-6.20804148476719E-3</v>
      </c>
      <c r="O12">
        <v>4.5652514166861996E-3</v>
      </c>
      <c r="P12">
        <v>-3.2283482521446999E-2</v>
      </c>
      <c r="Q12">
        <v>-1.3902108400642E-2</v>
      </c>
      <c r="R12">
        <v>-3.4979674012539999E-2</v>
      </c>
      <c r="S12">
        <f t="shared" si="15"/>
        <v>1.1544669246932038</v>
      </c>
      <c r="T12">
        <f t="shared" si="16"/>
        <v>-29.72345637344689</v>
      </c>
      <c r="U12" s="9">
        <f t="shared" si="17"/>
        <v>1.0025721013438873</v>
      </c>
      <c r="V12" s="9">
        <f t="shared" si="18"/>
        <v>-0.57240113715600316</v>
      </c>
    </row>
    <row r="13" spans="1:22" x14ac:dyDescent="0.25">
      <c r="A13">
        <v>0.6</v>
      </c>
      <c r="B13">
        <v>16.100000000000001</v>
      </c>
      <c r="C13">
        <v>-5.3588554565623999E-3</v>
      </c>
      <c r="D13">
        <v>4.2891856508554E-3</v>
      </c>
      <c r="E13">
        <v>0.99462660495966004</v>
      </c>
      <c r="F13">
        <v>2.9804377087823001E-3</v>
      </c>
      <c r="G13">
        <f t="shared" si="7"/>
        <v>63.371564159998499</v>
      </c>
      <c r="H13">
        <f t="shared" si="8"/>
        <v>43.264523279845598</v>
      </c>
      <c r="I13">
        <f t="shared" si="9"/>
        <v>63.371557318368097</v>
      </c>
      <c r="J13">
        <f t="shared" si="10"/>
        <v>43.263868896640297</v>
      </c>
      <c r="K13" s="8">
        <f t="shared" si="11"/>
        <v>6.8416304017660002E-6</v>
      </c>
      <c r="L13" s="8">
        <f t="shared" si="12"/>
        <v>6.5438320530120098E-4</v>
      </c>
      <c r="M13" s="8">
        <f t="shared" si="13"/>
        <v>1.07633504315965E-2</v>
      </c>
      <c r="N13" s="8">
        <f t="shared" si="14"/>
        <v>-7.3481574647403904E-3</v>
      </c>
      <c r="O13">
        <v>1.0901567171913999E-3</v>
      </c>
      <c r="P13">
        <v>-3.3020833353464001E-2</v>
      </c>
      <c r="Q13">
        <v>-1.7769719421119001E-2</v>
      </c>
      <c r="R13">
        <v>-3.3655828763142E-2</v>
      </c>
      <c r="S13">
        <f t="shared" si="15"/>
        <v>1.1519439145464805</v>
      </c>
      <c r="T13">
        <f t="shared" si="16"/>
        <v>-29.724198964139017</v>
      </c>
      <c r="U13" s="9">
        <f t="shared" si="17"/>
        <v>1.0003736445976263</v>
      </c>
      <c r="V13" s="9">
        <f t="shared" si="18"/>
        <v>-0.57116315834893538</v>
      </c>
    </row>
    <row r="14" spans="1:22" x14ac:dyDescent="0.25">
      <c r="A14">
        <v>0.6</v>
      </c>
      <c r="B14">
        <v>16.2</v>
      </c>
      <c r="C14">
        <v>-5.3579195365472997E-3</v>
      </c>
      <c r="D14">
        <v>4.8293115489227E-3</v>
      </c>
      <c r="E14">
        <v>0.9946311295268</v>
      </c>
      <c r="F14">
        <v>3.5664559921418002E-3</v>
      </c>
      <c r="G14">
        <f t="shared" si="7"/>
        <v>57.309866457069901</v>
      </c>
      <c r="H14">
        <f t="shared" si="8"/>
        <v>45.2476057826253</v>
      </c>
      <c r="I14">
        <f t="shared" si="9"/>
        <v>57.309861380279003</v>
      </c>
      <c r="J14">
        <f t="shared" si="10"/>
        <v>45.246974348183898</v>
      </c>
      <c r="K14" s="8">
        <f t="shared" si="11"/>
        <v>5.0767908987836597E-6</v>
      </c>
      <c r="L14" s="8">
        <f t="shared" si="12"/>
        <v>6.3143444140223404E-4</v>
      </c>
      <c r="M14" s="8">
        <f t="shared" si="13"/>
        <v>1.07488729157811E-2</v>
      </c>
      <c r="N14" s="8">
        <f t="shared" si="14"/>
        <v>-8.4863924877611793E-3</v>
      </c>
      <c r="O14">
        <v>-2.4048783662863E-3</v>
      </c>
      <c r="P14">
        <v>-3.3009947780773E-2</v>
      </c>
      <c r="Q14">
        <v>-2.1213472859251001E-2</v>
      </c>
      <c r="R14">
        <v>-3.1578957229865E-2</v>
      </c>
      <c r="S14">
        <f t="shared" si="15"/>
        <v>1.1494134068061652</v>
      </c>
      <c r="T14">
        <f t="shared" si="16"/>
        <v>-29.724801312234455</v>
      </c>
      <c r="U14" s="9">
        <f t="shared" si="17"/>
        <v>0.99817010407260609</v>
      </c>
      <c r="V14" s="9">
        <f t="shared" si="18"/>
        <v>-0.56991896185461122</v>
      </c>
    </row>
    <row r="15" spans="1:22" x14ac:dyDescent="0.25">
      <c r="A15">
        <v>0.6</v>
      </c>
      <c r="B15">
        <v>16.3</v>
      </c>
      <c r="C15">
        <v>-5.2452123158222E-3</v>
      </c>
      <c r="D15">
        <v>5.3355484967412999E-3</v>
      </c>
      <c r="E15">
        <v>0.99474563394929005</v>
      </c>
      <c r="F15">
        <v>4.1200763486840004E-3</v>
      </c>
      <c r="G15">
        <f t="shared" si="7"/>
        <v>52.089929703787</v>
      </c>
      <c r="H15">
        <f t="shared" si="8"/>
        <v>47.361312920264197</v>
      </c>
      <c r="I15">
        <f t="shared" si="9"/>
        <v>52.0899254962466</v>
      </c>
      <c r="J15">
        <f t="shared" si="10"/>
        <v>47.360705178851497</v>
      </c>
      <c r="K15" s="8">
        <f t="shared" si="11"/>
        <v>4.2075403996477698E-6</v>
      </c>
      <c r="L15" s="8">
        <f t="shared" si="12"/>
        <v>6.0774141270059101E-4</v>
      </c>
      <c r="M15" s="8">
        <f t="shared" si="13"/>
        <v>1.0509635991582099E-2</v>
      </c>
      <c r="N15" s="8">
        <f t="shared" si="14"/>
        <v>-9.5554709858479796E-3</v>
      </c>
      <c r="O15">
        <v>-5.6936444292258999E-3</v>
      </c>
      <c r="P15">
        <v>-3.231058871919E-2</v>
      </c>
      <c r="Q15">
        <v>-2.4044969715641001E-2</v>
      </c>
      <c r="R15">
        <v>-2.8942401122425999E-2</v>
      </c>
      <c r="S15">
        <f t="shared" si="15"/>
        <v>1.1468835630418321</v>
      </c>
      <c r="T15">
        <f t="shared" si="16"/>
        <v>-29.725524825984277</v>
      </c>
      <c r="U15" s="9">
        <f t="shared" si="17"/>
        <v>0.99596596382143265</v>
      </c>
      <c r="V15" s="9">
        <f t="shared" si="18"/>
        <v>-0.56867715453038292</v>
      </c>
    </row>
    <row r="16" spans="1:22" x14ac:dyDescent="0.25">
      <c r="A16">
        <v>0.6</v>
      </c>
      <c r="B16">
        <v>16.399999999999999</v>
      </c>
      <c r="C16">
        <v>-5.0426115635493996E-3</v>
      </c>
      <c r="D16">
        <v>5.7804005197002999E-3</v>
      </c>
      <c r="E16">
        <v>0.99494871915796002</v>
      </c>
      <c r="F16">
        <v>4.6122086411414997E-3</v>
      </c>
      <c r="G16">
        <f t="shared" si="7"/>
        <v>47.590662149442302</v>
      </c>
      <c r="H16">
        <f t="shared" si="8"/>
        <v>49.514138163638201</v>
      </c>
      <c r="I16">
        <f t="shared" si="9"/>
        <v>47.590658155956497</v>
      </c>
      <c r="J16">
        <f t="shared" si="10"/>
        <v>49.513554062834302</v>
      </c>
      <c r="K16" s="8">
        <f t="shared" si="11"/>
        <v>3.9934858051538E-6</v>
      </c>
      <c r="L16" s="8">
        <f t="shared" si="12"/>
        <v>5.8410080389847995E-4</v>
      </c>
      <c r="M16" s="8">
        <f t="shared" si="13"/>
        <v>1.0090328362452401E-2</v>
      </c>
      <c r="N16" s="8">
        <f t="shared" si="14"/>
        <v>-1.04980270970155E-2</v>
      </c>
      <c r="O16">
        <v>-8.6069611454446995E-3</v>
      </c>
      <c r="P16">
        <v>-3.1058202649676001E-2</v>
      </c>
      <c r="Q16">
        <v>-2.6176662198129998E-2</v>
      </c>
      <c r="R16">
        <v>-2.5980352914637E-2</v>
      </c>
      <c r="S16">
        <f t="shared" si="15"/>
        <v>1.1443463013022046</v>
      </c>
      <c r="T16">
        <f t="shared" si="16"/>
        <v>-29.726340809360352</v>
      </c>
      <c r="U16" s="9">
        <f t="shared" si="17"/>
        <v>0.99375449751054512</v>
      </c>
      <c r="V16" s="9">
        <f t="shared" si="18"/>
        <v>-0.56743321719969841</v>
      </c>
    </row>
    <row r="17" spans="1:22" x14ac:dyDescent="0.25">
      <c r="A17">
        <v>0.6</v>
      </c>
      <c r="B17">
        <v>16.5</v>
      </c>
      <c r="C17">
        <v>-4.7776300435114997E-3</v>
      </c>
      <c r="D17">
        <v>6.1486832737392997E-3</v>
      </c>
      <c r="E17">
        <v>0.99521181983128004</v>
      </c>
      <c r="F17">
        <v>5.0264014275580998E-3</v>
      </c>
      <c r="G17">
        <f t="shared" si="7"/>
        <v>43.706907079910799</v>
      </c>
      <c r="H17">
        <f t="shared" si="8"/>
        <v>51.644197013726497</v>
      </c>
      <c r="I17">
        <f t="shared" si="9"/>
        <v>43.706902119704303</v>
      </c>
      <c r="J17">
        <f t="shared" si="10"/>
        <v>51.6436358670598</v>
      </c>
      <c r="K17" s="8">
        <f t="shared" si="11"/>
        <v>4.96020649620732E-6</v>
      </c>
      <c r="L17" s="8">
        <f t="shared" si="12"/>
        <v>5.6114666669770897E-4</v>
      </c>
      <c r="M17" s="8">
        <f t="shared" si="13"/>
        <v>9.5484989646725301E-3</v>
      </c>
      <c r="N17" s="8">
        <f t="shared" si="14"/>
        <v>-1.1282410321783801E-2</v>
      </c>
      <c r="O17">
        <v>-1.1051381773772E-2</v>
      </c>
      <c r="P17">
        <v>-2.942237401927E-2</v>
      </c>
      <c r="Q17">
        <v>-2.7616412281030001E-2</v>
      </c>
      <c r="R17">
        <v>-2.2916274667193998E-2</v>
      </c>
      <c r="S17">
        <f t="shared" si="15"/>
        <v>1.1418035263966673</v>
      </c>
      <c r="T17">
        <f t="shared" si="16"/>
        <v>-29.727141144607646</v>
      </c>
      <c r="U17" s="9">
        <f t="shared" si="17"/>
        <v>0.991538433850915</v>
      </c>
      <c r="V17" s="9">
        <f t="shared" si="18"/>
        <v>-0.56618621237923072</v>
      </c>
    </row>
    <row r="18" spans="1:22" x14ac:dyDescent="0.25">
      <c r="A18">
        <v>0.6</v>
      </c>
      <c r="B18">
        <v>16.600000000000001</v>
      </c>
      <c r="C18">
        <v>-4.4772181176810002E-3</v>
      </c>
      <c r="D18">
        <v>6.4367539768048999E-3</v>
      </c>
      <c r="E18">
        <v>0.99550794378964003</v>
      </c>
      <c r="F18">
        <v>5.3627790040211001E-3</v>
      </c>
      <c r="G18">
        <f t="shared" si="7"/>
        <v>40.329403194012897</v>
      </c>
      <c r="H18">
        <f t="shared" si="8"/>
        <v>53.713404018464402</v>
      </c>
      <c r="I18">
        <f t="shared" si="9"/>
        <v>40.329396063273499</v>
      </c>
      <c r="J18">
        <f t="shared" si="10"/>
        <v>53.712867023165103</v>
      </c>
      <c r="K18" s="8">
        <f t="shared" si="11"/>
        <v>7.1307393980646296E-6</v>
      </c>
      <c r="L18" s="8">
        <f t="shared" si="12"/>
        <v>5.3699529929929202E-4</v>
      </c>
      <c r="M18" s="8">
        <f t="shared" si="13"/>
        <v>8.9391793394454199E-3</v>
      </c>
      <c r="N18" s="8">
        <f t="shared" si="14"/>
        <v>-1.1905681662144001E-2</v>
      </c>
      <c r="O18">
        <v>-1.3004803004447001E-2</v>
      </c>
      <c r="P18">
        <v>-2.7568605985655002E-2</v>
      </c>
      <c r="Q18">
        <v>-2.8440594690896E-2</v>
      </c>
      <c r="R18">
        <v>-1.9928046335814999E-2</v>
      </c>
      <c r="S18">
        <f t="shared" si="15"/>
        <v>1.139276275976371</v>
      </c>
      <c r="T18">
        <f t="shared" si="16"/>
        <v>-29.72701980006056</v>
      </c>
      <c r="U18" s="9">
        <f t="shared" si="17"/>
        <v>0.9893449743306364</v>
      </c>
      <c r="V18" s="9">
        <f t="shared" si="18"/>
        <v>-0.56493092920223498</v>
      </c>
    </row>
    <row r="19" spans="1:22" x14ac:dyDescent="0.25">
      <c r="A19">
        <v>0.6</v>
      </c>
      <c r="B19">
        <v>16.7</v>
      </c>
      <c r="C19">
        <v>-4.1638225768740999E-3</v>
      </c>
      <c r="D19">
        <v>6.6494192044125999E-3</v>
      </c>
      <c r="E19">
        <v>0.99582251774028996</v>
      </c>
      <c r="F19">
        <v>5.6232254510360001E-3</v>
      </c>
      <c r="G19">
        <f t="shared" si="7"/>
        <v>37.381418732914497</v>
      </c>
      <c r="H19">
        <f t="shared" si="8"/>
        <v>55.735559357202703</v>
      </c>
      <c r="I19">
        <f t="shared" si="9"/>
        <v>37.381412166300201</v>
      </c>
      <c r="J19">
        <f t="shared" si="10"/>
        <v>55.735046253452303</v>
      </c>
      <c r="K19" s="8">
        <f t="shared" si="11"/>
        <v>6.56661429587757E-6</v>
      </c>
      <c r="L19" s="8">
        <f t="shared" si="12"/>
        <v>5.1310375040003497E-4</v>
      </c>
      <c r="M19" s="8">
        <f t="shared" si="13"/>
        <v>8.3000354609956001E-3</v>
      </c>
      <c r="N19" s="8">
        <f t="shared" si="14"/>
        <v>-1.2375210927449301E-2</v>
      </c>
      <c r="O19">
        <v>-1.4497578156527999E-2</v>
      </c>
      <c r="P19">
        <v>-2.5636347448136001E-2</v>
      </c>
      <c r="Q19">
        <v>-2.8761268496040999E-2</v>
      </c>
      <c r="R19">
        <v>-1.7134342897936E-2</v>
      </c>
      <c r="S19">
        <f t="shared" si="15"/>
        <v>1.1367189721044166</v>
      </c>
      <c r="T19">
        <f t="shared" si="16"/>
        <v>-29.727359230065009</v>
      </c>
      <c r="U19" s="9">
        <f t="shared" si="17"/>
        <v>0.98712087810558813</v>
      </c>
      <c r="V19" s="9">
        <f t="shared" si="18"/>
        <v>-0.56366869129850916</v>
      </c>
    </row>
    <row r="20" spans="1:22" x14ac:dyDescent="0.25">
      <c r="A20">
        <v>0.6</v>
      </c>
      <c r="B20">
        <v>16.8</v>
      </c>
      <c r="C20">
        <v>-3.8539477470460998E-3</v>
      </c>
      <c r="D20">
        <v>6.7961270496184004E-3</v>
      </c>
      <c r="E20">
        <v>0.99613237446113001</v>
      </c>
      <c r="F20">
        <v>5.8173948505943996E-3</v>
      </c>
      <c r="G20">
        <f t="shared" si="7"/>
        <v>34.8028799505406</v>
      </c>
      <c r="H20">
        <f t="shared" si="8"/>
        <v>57.669011307715401</v>
      </c>
      <c r="I20">
        <f t="shared" si="9"/>
        <v>34.8028733510819</v>
      </c>
      <c r="J20">
        <f t="shared" si="10"/>
        <v>57.6685219350396</v>
      </c>
      <c r="K20" s="8">
        <f t="shared" si="11"/>
        <v>6.5994587004070101E-6</v>
      </c>
      <c r="L20" s="8">
        <f t="shared" si="12"/>
        <v>4.8937267580129195E-4</v>
      </c>
      <c r="M20" s="8">
        <f t="shared" si="13"/>
        <v>7.6710717680883904E-3</v>
      </c>
      <c r="N20" s="8">
        <f t="shared" si="14"/>
        <v>-1.2711001360740101E-2</v>
      </c>
      <c r="O20">
        <v>-1.5586898685017E-2</v>
      </c>
      <c r="P20">
        <v>-2.3725665954747E-2</v>
      </c>
      <c r="Q20">
        <v>-2.8695423833773E-2</v>
      </c>
      <c r="R20">
        <v>-1.4600875931222E-2</v>
      </c>
      <c r="S20">
        <f t="shared" si="15"/>
        <v>1.1341718869066253</v>
      </c>
      <c r="T20">
        <f t="shared" si="16"/>
        <v>-29.728529340195461</v>
      </c>
      <c r="U20" s="9">
        <f t="shared" si="17"/>
        <v>0.98489751668114378</v>
      </c>
      <c r="V20" s="9">
        <f t="shared" si="18"/>
        <v>-0.56242577348895639</v>
      </c>
    </row>
    <row r="21" spans="1:22" x14ac:dyDescent="0.25">
      <c r="A21">
        <v>0.6</v>
      </c>
      <c r="B21">
        <v>16.899999999999999</v>
      </c>
      <c r="C21">
        <v>-3.5583599763281001E-3</v>
      </c>
      <c r="D21">
        <v>6.8881021596423004E-3</v>
      </c>
      <c r="E21">
        <v>0.99642619931621002</v>
      </c>
      <c r="F21">
        <v>5.9569954686741998E-3</v>
      </c>
      <c r="G21">
        <f t="shared" si="7"/>
        <v>32.540030995803299</v>
      </c>
      <c r="H21">
        <f t="shared" si="8"/>
        <v>59.505675214245301</v>
      </c>
      <c r="I21">
        <f t="shared" si="9"/>
        <v>32.540023492134999</v>
      </c>
      <c r="J21">
        <f t="shared" si="10"/>
        <v>59.505209653812301</v>
      </c>
      <c r="K21" s="8">
        <f t="shared" si="11"/>
        <v>7.5036683000462298E-6</v>
      </c>
      <c r="L21" s="8">
        <f t="shared" si="12"/>
        <v>4.65560432999723E-4</v>
      </c>
      <c r="M21" s="8">
        <f t="shared" si="13"/>
        <v>7.0743439878124901E-3</v>
      </c>
      <c r="N21" s="8">
        <f t="shared" si="14"/>
        <v>-1.2936693861321799E-2</v>
      </c>
      <c r="O21">
        <v>-1.6342378510358E-2</v>
      </c>
      <c r="P21">
        <v>-2.1903465027486E-2</v>
      </c>
      <c r="Q21">
        <v>-2.8351253533873001E-2</v>
      </c>
      <c r="R21">
        <v>-1.2352968492586E-2</v>
      </c>
      <c r="S21">
        <f t="shared" si="15"/>
        <v>1.1316314630471032</v>
      </c>
      <c r="T21">
        <f t="shared" si="16"/>
        <v>-29.729726078866857</v>
      </c>
      <c r="U21" s="9">
        <f t="shared" si="17"/>
        <v>0.98267973015798804</v>
      </c>
      <c r="V21" s="9">
        <f t="shared" si="18"/>
        <v>-0.56118652522557155</v>
      </c>
    </row>
    <row r="22" spans="1:22" x14ac:dyDescent="0.25">
      <c r="A22">
        <v>0.6</v>
      </c>
      <c r="B22">
        <v>17</v>
      </c>
      <c r="C22">
        <v>-3.2831977020614999E-3</v>
      </c>
      <c r="D22">
        <v>6.9363563386577003E-3</v>
      </c>
      <c r="E22">
        <v>0.99669888859999001</v>
      </c>
      <c r="F22">
        <v>6.0539641559142002E-3</v>
      </c>
      <c r="G22">
        <f t="shared" si="7"/>
        <v>30.5431957766775</v>
      </c>
      <c r="H22">
        <f t="shared" si="8"/>
        <v>61.245979139592698</v>
      </c>
      <c r="I22">
        <f t="shared" si="9"/>
        <v>30.5431870144076</v>
      </c>
      <c r="J22">
        <f t="shared" si="10"/>
        <v>61.245537935683998</v>
      </c>
      <c r="K22" s="8">
        <f t="shared" si="11"/>
        <v>8.7622698998757204E-6</v>
      </c>
      <c r="L22" s="8">
        <f t="shared" si="12"/>
        <v>4.4120390870006098E-4</v>
      </c>
      <c r="M22" s="8">
        <f t="shared" si="13"/>
        <v>6.5208848894051201E-3</v>
      </c>
      <c r="N22" s="8">
        <f t="shared" si="14"/>
        <v>-1.30757508271779E-2</v>
      </c>
      <c r="O22">
        <v>-1.6831904386241998E-2</v>
      </c>
      <c r="P22">
        <v>-2.0207309820589998E-2</v>
      </c>
      <c r="Q22">
        <v>-2.7818418661116999E-2</v>
      </c>
      <c r="R22">
        <v>-1.0387658420038E-2</v>
      </c>
      <c r="S22">
        <f t="shared" si="15"/>
        <v>1.129105318065253</v>
      </c>
      <c r="T22">
        <f t="shared" si="16"/>
        <v>-29.730912085621448</v>
      </c>
      <c r="U22" s="9">
        <f t="shared" si="17"/>
        <v>0.98047449998053771</v>
      </c>
      <c r="V22" s="9">
        <f t="shared" si="18"/>
        <v>-0.5599540821988449</v>
      </c>
    </row>
    <row r="23" spans="1:22" x14ac:dyDescent="0.25">
      <c r="A23">
        <v>0.8</v>
      </c>
      <c r="B23">
        <v>15</v>
      </c>
      <c r="C23">
        <v>-3.0985365946558001E-3</v>
      </c>
      <c r="D23">
        <v>3.4296482184855001E-4</v>
      </c>
      <c r="E23">
        <v>0.996888136132</v>
      </c>
      <c r="F23">
        <v>-1.4919417867752E-3</v>
      </c>
      <c r="G23">
        <f t="shared" si="7"/>
        <v>155.191193552274</v>
      </c>
      <c r="H23">
        <f t="shared" si="8"/>
        <v>-28.803737190959399</v>
      </c>
      <c r="I23">
        <f t="shared" si="9"/>
        <v>155.19118773032901</v>
      </c>
      <c r="J23">
        <f t="shared" si="10"/>
        <v>-28.8046546557187</v>
      </c>
      <c r="K23" s="8">
        <f t="shared" si="11"/>
        <v>5.8219449954322002E-6</v>
      </c>
      <c r="L23" s="8">
        <f t="shared" si="12"/>
        <v>9.1746475930065696E-4</v>
      </c>
      <c r="M23" s="8">
        <f t="shared" si="13"/>
        <v>6.2290723089908203E-3</v>
      </c>
      <c r="N23" s="8">
        <f t="shared" si="14"/>
        <v>1.1561627906203299E-3</v>
      </c>
      <c r="O23">
        <v>1.9969054148175E-2</v>
      </c>
      <c r="P23">
        <v>-1.4387313417848E-2</v>
      </c>
      <c r="Q23">
        <v>1.2030418888704E-2</v>
      </c>
      <c r="R23">
        <v>-2.6404555048657002E-2</v>
      </c>
      <c r="S23">
        <f t="shared" si="15"/>
        <v>1.1789322103888478</v>
      </c>
      <c r="T23">
        <f t="shared" si="16"/>
        <v>-29.733072093588572</v>
      </c>
      <c r="U23" s="9">
        <f t="shared" si="17"/>
        <v>1.0237203413138953</v>
      </c>
      <c r="V23" s="9">
        <f t="shared" si="18"/>
        <v>-0.58470318921012909</v>
      </c>
    </row>
    <row r="24" spans="1:22" x14ac:dyDescent="0.25">
      <c r="A24">
        <v>0.8</v>
      </c>
      <c r="B24" s="1">
        <v>15.1</v>
      </c>
      <c r="C24">
        <v>-3.5593982660848998E-3</v>
      </c>
      <c r="D24">
        <v>1.8191665566396001E-4</v>
      </c>
      <c r="E24">
        <v>0.99642884752736005</v>
      </c>
      <c r="F24">
        <v>-1.6172408357728999E-3</v>
      </c>
      <c r="G24">
        <f t="shared" si="7"/>
        <v>134.28051397882899</v>
      </c>
      <c r="H24">
        <f t="shared" si="8"/>
        <v>-27.129814637282099</v>
      </c>
      <c r="I24">
        <f t="shared" si="9"/>
        <v>134.28050891094699</v>
      </c>
      <c r="J24">
        <f t="shared" si="10"/>
        <v>-27.130714225873799</v>
      </c>
      <c r="K24" s="8">
        <f t="shared" si="11"/>
        <v>5.0678820002758601E-6</v>
      </c>
      <c r="L24" s="8">
        <f t="shared" si="12"/>
        <v>8.9958859170025096E-4</v>
      </c>
      <c r="M24" s="8">
        <f t="shared" si="13"/>
        <v>7.1550137235082004E-3</v>
      </c>
      <c r="N24" s="8">
        <f t="shared" si="14"/>
        <v>1.4456352168239399E-3</v>
      </c>
      <c r="O24">
        <v>2.0617913225655999E-2</v>
      </c>
      <c r="P24">
        <v>-1.6506009323049999E-2</v>
      </c>
      <c r="Q24">
        <v>1.1436281783028E-2</v>
      </c>
      <c r="R24">
        <v>-2.8895851853959001E-2</v>
      </c>
      <c r="S24">
        <f t="shared" si="15"/>
        <v>1.1766510726302499</v>
      </c>
      <c r="T24">
        <f t="shared" si="16"/>
        <v>-29.727942448792135</v>
      </c>
      <c r="U24" s="9">
        <f t="shared" si="17"/>
        <v>1.021791768493636</v>
      </c>
      <c r="V24" s="9">
        <f t="shared" si="18"/>
        <v>-0.58348035833313661</v>
      </c>
    </row>
    <row r="25" spans="1:22" x14ac:dyDescent="0.25">
      <c r="A25">
        <v>0.8</v>
      </c>
      <c r="B25" s="1">
        <v>15.2</v>
      </c>
      <c r="C25">
        <v>-4.0828520388025997E-3</v>
      </c>
      <c r="D25" s="5">
        <v>5.9647970191566001E-5</v>
      </c>
      <c r="E25">
        <v>0.99590512184808</v>
      </c>
      <c r="F25">
        <v>-1.7020730904728999E-3</v>
      </c>
      <c r="G25">
        <f t="shared" si="7"/>
        <v>117.04200906391701</v>
      </c>
      <c r="H25">
        <f t="shared" si="8"/>
        <v>-23.6068368375334</v>
      </c>
      <c r="I25">
        <f t="shared" si="9"/>
        <v>117.042003826753</v>
      </c>
      <c r="J25">
        <f t="shared" si="10"/>
        <v>-23.607717707973698</v>
      </c>
      <c r="K25" s="8">
        <f t="shared" si="11"/>
        <v>5.2371640038018103E-6</v>
      </c>
      <c r="L25" s="8">
        <f t="shared" si="12"/>
        <v>8.8087044029805405E-4</v>
      </c>
      <c r="M25" s="8">
        <f t="shared" si="13"/>
        <v>8.2099278428496795E-3</v>
      </c>
      <c r="N25" s="8">
        <f t="shared" si="14"/>
        <v>1.6559666835824201E-3</v>
      </c>
      <c r="O25">
        <v>2.1087070261119001E-2</v>
      </c>
      <c r="P25">
        <v>-1.8922077223555E-2</v>
      </c>
      <c r="Q25">
        <v>1.0484606065571E-2</v>
      </c>
      <c r="R25">
        <v>-3.1571940346031002E-2</v>
      </c>
      <c r="S25">
        <f t="shared" si="15"/>
        <v>1.1741905069908019</v>
      </c>
      <c r="T25">
        <f t="shared" si="16"/>
        <v>-29.726778750995287</v>
      </c>
      <c r="U25" s="9">
        <f t="shared" si="17"/>
        <v>1.0196668641372963</v>
      </c>
      <c r="V25" s="9">
        <f t="shared" si="18"/>
        <v>-0.5822394978767147</v>
      </c>
    </row>
    <row r="26" spans="1:22" x14ac:dyDescent="0.25">
      <c r="A26">
        <v>0.8</v>
      </c>
      <c r="B26" s="1">
        <v>15.3</v>
      </c>
      <c r="C26">
        <v>-4.6738715767371004E-3</v>
      </c>
      <c r="D26" s="5">
        <v>-5.6130570599255002E-6</v>
      </c>
      <c r="E26">
        <v>0.99531319242356997</v>
      </c>
      <c r="F26">
        <v>-1.7287443496197001E-3</v>
      </c>
      <c r="G26">
        <f t="shared" si="7"/>
        <v>102.784204047684</v>
      </c>
      <c r="H26">
        <f t="shared" si="8"/>
        <v>-19.136184876953799</v>
      </c>
      <c r="I26">
        <f t="shared" si="9"/>
        <v>102.784198321951</v>
      </c>
      <c r="J26">
        <f t="shared" si="10"/>
        <v>-19.1370464531057</v>
      </c>
      <c r="K26" s="8">
        <f t="shared" si="11"/>
        <v>5.7257330041693396E-6</v>
      </c>
      <c r="L26" s="8">
        <f t="shared" si="12"/>
        <v>8.6157615190174397E-4</v>
      </c>
      <c r="M26" s="8">
        <f t="shared" si="13"/>
        <v>9.4031570728445105E-3</v>
      </c>
      <c r="N26" s="8">
        <f t="shared" si="14"/>
        <v>1.7507423966592699E-3</v>
      </c>
      <c r="O26">
        <v>2.1288943424615001E-2</v>
      </c>
      <c r="P26">
        <v>-2.1651796342075001E-2</v>
      </c>
      <c r="Q26">
        <v>9.0823813900597003E-3</v>
      </c>
      <c r="R26">
        <v>-3.4400433096312001E-2</v>
      </c>
      <c r="S26">
        <f t="shared" si="15"/>
        <v>1.1717262132735364</v>
      </c>
      <c r="T26">
        <f t="shared" si="16"/>
        <v>-29.726141060580105</v>
      </c>
      <c r="U26" s="9">
        <f t="shared" si="17"/>
        <v>1.0175333383789604</v>
      </c>
      <c r="V26" s="9">
        <f t="shared" si="18"/>
        <v>-0.58100621697165078</v>
      </c>
    </row>
    <row r="27" spans="1:22" x14ac:dyDescent="0.25">
      <c r="A27">
        <v>0.8</v>
      </c>
      <c r="B27" s="1">
        <v>15.4</v>
      </c>
      <c r="C27">
        <v>-5.3307323402029998E-3</v>
      </c>
      <c r="D27" s="5">
        <v>9.6636032185143003E-6</v>
      </c>
      <c r="E27">
        <v>0.99465534458535998</v>
      </c>
      <c r="F27">
        <v>-1.6738299429157001E-3</v>
      </c>
      <c r="G27">
        <f t="shared" si="7"/>
        <v>90.951053327719507</v>
      </c>
      <c r="H27">
        <f t="shared" si="8"/>
        <v>-14.255713227822699</v>
      </c>
      <c r="I27">
        <f t="shared" si="9"/>
        <v>90.951047074686002</v>
      </c>
      <c r="J27">
        <f t="shared" si="10"/>
        <v>-14.2565549857192</v>
      </c>
      <c r="K27" s="8">
        <f t="shared" si="11"/>
        <v>6.2530335043220501E-6</v>
      </c>
      <c r="L27" s="8">
        <f t="shared" si="12"/>
        <v>8.41757896500539E-4</v>
      </c>
      <c r="M27" s="8">
        <f t="shared" si="13"/>
        <v>1.07312535113395E-2</v>
      </c>
      <c r="N27" s="8">
        <f t="shared" si="14"/>
        <v>1.6821214342312399E-3</v>
      </c>
      <c r="O27">
        <v>2.1115379988551002E-2</v>
      </c>
      <c r="P27">
        <v>-2.4686106251465001E-2</v>
      </c>
      <c r="Q27">
        <v>7.1278166299959004E-3</v>
      </c>
      <c r="R27">
        <v>-3.7307787360980997E-2</v>
      </c>
      <c r="S27">
        <f t="shared" si="15"/>
        <v>1.1692412811215731</v>
      </c>
      <c r="T27">
        <f t="shared" si="16"/>
        <v>-29.725921684119278</v>
      </c>
      <c r="U27" s="9">
        <f t="shared" si="17"/>
        <v>1.0153776298041204</v>
      </c>
      <c r="V27" s="9">
        <f t="shared" si="18"/>
        <v>-0.57977016340286458</v>
      </c>
    </row>
    <row r="28" spans="1:22" x14ac:dyDescent="0.25">
      <c r="A28">
        <v>0.8</v>
      </c>
      <c r="B28" s="1">
        <v>15.5</v>
      </c>
      <c r="C28">
        <v>-6.0433099908145998E-3</v>
      </c>
      <c r="D28">
        <v>1.3273996459902001E-4</v>
      </c>
      <c r="E28">
        <v>0.99394237005746</v>
      </c>
      <c r="F28">
        <v>-1.5101932797295999E-3</v>
      </c>
      <c r="G28">
        <f t="shared" si="7"/>
        <v>81.081138167316496</v>
      </c>
      <c r="H28">
        <f t="shared" si="8"/>
        <v>-9.2859922490412607</v>
      </c>
      <c r="I28">
        <f t="shared" si="9"/>
        <v>81.081131682110893</v>
      </c>
      <c r="J28">
        <f t="shared" si="10"/>
        <v>-9.2868137268725697</v>
      </c>
      <c r="K28" s="8">
        <f t="shared" si="11"/>
        <v>6.48520560275756E-6</v>
      </c>
      <c r="L28" s="8">
        <f t="shared" si="12"/>
        <v>8.2147783130892495E-4</v>
      </c>
      <c r="M28" s="8">
        <f t="shared" si="13"/>
        <v>1.2173622408891201E-2</v>
      </c>
      <c r="N28" s="8">
        <f t="shared" si="14"/>
        <v>1.39433381536777E-3</v>
      </c>
      <c r="O28">
        <v>2.0440024865536002E-2</v>
      </c>
      <c r="P28">
        <v>-2.7977075102167001E-2</v>
      </c>
      <c r="Q28">
        <v>4.5245717255767998E-3</v>
      </c>
      <c r="R28">
        <v>-4.0172518671522002E-2</v>
      </c>
      <c r="S28">
        <f t="shared" si="15"/>
        <v>1.1667643606737497</v>
      </c>
      <c r="T28">
        <f t="shared" si="16"/>
        <v>-29.725770356821169</v>
      </c>
      <c r="U28" s="9">
        <f t="shared" si="17"/>
        <v>1.0132281820962914</v>
      </c>
      <c r="V28" s="9">
        <f t="shared" si="18"/>
        <v>-0.57853930233327144</v>
      </c>
    </row>
    <row r="29" spans="1:22" x14ac:dyDescent="0.25">
      <c r="A29">
        <v>0.8</v>
      </c>
      <c r="B29">
        <v>15.6</v>
      </c>
      <c r="C29">
        <v>-6.7901096518531E-3</v>
      </c>
      <c r="D29">
        <v>3.9176058329845002E-4</v>
      </c>
      <c r="E29">
        <v>0.99319635225203995</v>
      </c>
      <c r="F29">
        <v>-1.21066789943E-3</v>
      </c>
      <c r="G29">
        <f t="shared" si="7"/>
        <v>72.797183794992307</v>
      </c>
      <c r="H29">
        <f t="shared" si="8"/>
        <v>-4.4151259994808001</v>
      </c>
      <c r="I29">
        <f t="shared" si="9"/>
        <v>72.797177667855493</v>
      </c>
      <c r="J29">
        <f t="shared" si="10"/>
        <v>-4.4159272240548502</v>
      </c>
      <c r="K29" s="8">
        <f t="shared" si="11"/>
        <v>6.1271368139159702E-6</v>
      </c>
      <c r="L29" s="8">
        <f t="shared" si="12"/>
        <v>8.0122457405007496E-4</v>
      </c>
      <c r="M29" s="8">
        <f t="shared" si="13"/>
        <v>1.3686434048329201E-2</v>
      </c>
      <c r="N29" s="8">
        <f t="shared" si="14"/>
        <v>8.3022856998665501E-4</v>
      </c>
      <c r="O29">
        <v>1.9133290999730001E-2</v>
      </c>
      <c r="P29">
        <v>-3.1424196876932001E-2</v>
      </c>
      <c r="Q29">
        <v>1.2036493195892999E-3</v>
      </c>
      <c r="R29">
        <v>-4.2818532518688002E-2</v>
      </c>
      <c r="S29">
        <f t="shared" si="15"/>
        <v>1.1642977757988984</v>
      </c>
      <c r="T29">
        <f t="shared" si="16"/>
        <v>-29.725847066186788</v>
      </c>
      <c r="U29" s="9">
        <f t="shared" si="17"/>
        <v>1.011085405696929</v>
      </c>
      <c r="V29" s="9">
        <f t="shared" si="18"/>
        <v>-0.57731760159979395</v>
      </c>
    </row>
    <row r="30" spans="1:22" x14ac:dyDescent="0.25">
      <c r="A30">
        <v>0.8</v>
      </c>
      <c r="B30">
        <v>15.7</v>
      </c>
      <c r="C30">
        <v>-7.5356470687529004E-3</v>
      </c>
      <c r="D30">
        <v>8.1051717421919004E-4</v>
      </c>
      <c r="E30">
        <v>0.99245159549998996</v>
      </c>
      <c r="F30">
        <v>-7.5311618416171004E-4</v>
      </c>
      <c r="G30">
        <f t="shared" si="7"/>
        <v>65.794228577112094</v>
      </c>
      <c r="H30">
        <f t="shared" si="8"/>
        <v>0.25266757579632898</v>
      </c>
      <c r="I30">
        <f t="shared" si="9"/>
        <v>65.794222809604506</v>
      </c>
      <c r="J30">
        <f t="shared" si="10"/>
        <v>0.251885749620959</v>
      </c>
      <c r="K30" s="8">
        <f t="shared" si="11"/>
        <v>5.7675075879615204E-6</v>
      </c>
      <c r="L30" s="8">
        <f t="shared" si="12"/>
        <v>7.81826175369982E-4</v>
      </c>
      <c r="M30" s="8">
        <f t="shared" si="13"/>
        <v>1.5198680081095799E-2</v>
      </c>
      <c r="N30" s="8">
        <f t="shared" si="14"/>
        <v>-5.8186429780535401E-5</v>
      </c>
      <c r="O30">
        <v>1.7086237393619998E-2</v>
      </c>
      <c r="P30">
        <v>-3.4865177607400002E-2</v>
      </c>
      <c r="Q30">
        <v>-2.8465584777473E-3</v>
      </c>
      <c r="R30">
        <v>-4.5019589724256001E-2</v>
      </c>
      <c r="S30">
        <f t="shared" si="15"/>
        <v>1.1618134160865725</v>
      </c>
      <c r="T30">
        <f t="shared" si="16"/>
        <v>-29.725859711988658</v>
      </c>
      <c r="U30" s="9">
        <f t="shared" si="17"/>
        <v>1.0089278409068352</v>
      </c>
      <c r="V30" s="9">
        <f t="shared" si="18"/>
        <v>-0.57608595334535206</v>
      </c>
    </row>
    <row r="31" spans="1:22" x14ac:dyDescent="0.25">
      <c r="A31">
        <v>0.8</v>
      </c>
      <c r="B31">
        <v>15.8</v>
      </c>
      <c r="C31">
        <v>-8.231591749943E-3</v>
      </c>
      <c r="D31">
        <v>1.400991721099E-3</v>
      </c>
      <c r="E31">
        <v>0.99175523008530997</v>
      </c>
      <c r="F31">
        <v>-1.2519644786326001E-4</v>
      </c>
      <c r="G31">
        <f t="shared" si="7"/>
        <v>59.831286201598701</v>
      </c>
      <c r="H31">
        <f t="shared" si="8"/>
        <v>4.6719448192247501</v>
      </c>
      <c r="I31">
        <f t="shared" si="9"/>
        <v>59.831280194796697</v>
      </c>
      <c r="J31">
        <f t="shared" si="10"/>
        <v>4.6711817155283599</v>
      </c>
      <c r="K31" s="8">
        <f t="shared" si="11"/>
        <v>6.0068020033554603E-6</v>
      </c>
      <c r="L31" s="8">
        <f t="shared" si="12"/>
        <v>7.6310369639021004E-4</v>
      </c>
      <c r="M31" s="8">
        <f t="shared" si="13"/>
        <v>1.6612407401911701E-2</v>
      </c>
      <c r="N31" s="8">
        <f t="shared" si="14"/>
        <v>-1.29697331319122E-3</v>
      </c>
      <c r="O31">
        <v>1.4244025059019E-2</v>
      </c>
      <c r="P31">
        <v>-3.8076549170398002E-2</v>
      </c>
      <c r="Q31">
        <v>-7.5478527021915999E-3</v>
      </c>
      <c r="R31">
        <v>-4.6521515252951999E-2</v>
      </c>
      <c r="S31">
        <f t="shared" si="15"/>
        <v>1.1593026668518922</v>
      </c>
      <c r="T31">
        <f t="shared" si="16"/>
        <v>-29.725893772441342</v>
      </c>
      <c r="U31" s="9">
        <f t="shared" si="17"/>
        <v>1.0067471449455976</v>
      </c>
      <c r="V31" s="9">
        <f t="shared" si="18"/>
        <v>-0.57484159514930477</v>
      </c>
    </row>
    <row r="32" spans="1:22" x14ac:dyDescent="0.25">
      <c r="A32">
        <v>0.8</v>
      </c>
      <c r="B32">
        <v>15.9</v>
      </c>
      <c r="C32">
        <v>-8.8212929346830997E-3</v>
      </c>
      <c r="D32">
        <v>2.1554686463230001E-3</v>
      </c>
      <c r="E32">
        <v>0.99116461406598</v>
      </c>
      <c r="F32">
        <v>6.6755561303943997E-4</v>
      </c>
      <c r="G32">
        <f t="shared" si="7"/>
        <v>54.724104088283703</v>
      </c>
      <c r="H32">
        <f t="shared" si="8"/>
        <v>8.8298340546768195</v>
      </c>
      <c r="I32">
        <f t="shared" si="9"/>
        <v>54.724097595217103</v>
      </c>
      <c r="J32">
        <f t="shared" si="10"/>
        <v>8.8290900880872698</v>
      </c>
      <c r="K32" s="8">
        <f t="shared" si="11"/>
        <v>6.4930665999440896E-6</v>
      </c>
      <c r="L32" s="8">
        <f t="shared" si="12"/>
        <v>7.4396658954967198E-4</v>
      </c>
      <c r="M32" s="8">
        <f t="shared" si="13"/>
        <v>1.7809893359239999E-2</v>
      </c>
      <c r="N32" s="8">
        <f t="shared" si="14"/>
        <v>-2.8734170107484898E-3</v>
      </c>
      <c r="O32">
        <v>1.064193838743E-2</v>
      </c>
      <c r="P32">
        <v>-4.0795792136539E-2</v>
      </c>
      <c r="Q32">
        <v>-1.2709796916821E-2</v>
      </c>
      <c r="R32">
        <v>-4.7086612810213001E-2</v>
      </c>
      <c r="S32">
        <f t="shared" si="15"/>
        <v>1.1567996173966744</v>
      </c>
      <c r="T32">
        <f t="shared" si="16"/>
        <v>-29.725797690910692</v>
      </c>
      <c r="U32" s="9">
        <f t="shared" si="17"/>
        <v>1.0045744398865761</v>
      </c>
      <c r="V32" s="9">
        <f t="shared" si="18"/>
        <v>-0.57359877051442831</v>
      </c>
    </row>
    <row r="33" spans="1:22" x14ac:dyDescent="0.25">
      <c r="A33">
        <v>0.8</v>
      </c>
      <c r="B33">
        <v>16</v>
      </c>
      <c r="C33">
        <v>-9.2505343855363992E-3</v>
      </c>
      <c r="D33">
        <v>3.041808484188E-3</v>
      </c>
      <c r="E33">
        <v>0.99073473160295999</v>
      </c>
      <c r="F33">
        <v>1.5936165604215E-3</v>
      </c>
      <c r="G33">
        <f t="shared" si="7"/>
        <v>50.3226185368719</v>
      </c>
      <c r="H33">
        <f t="shared" si="8"/>
        <v>12.723786778767501</v>
      </c>
      <c r="I33">
        <f t="shared" si="9"/>
        <v>50.322611694137997</v>
      </c>
      <c r="J33">
        <f t="shared" si="10"/>
        <v>12.723062672516299</v>
      </c>
      <c r="K33" s="8">
        <f t="shared" si="11"/>
        <v>6.84273390305634E-6</v>
      </c>
      <c r="L33" s="8">
        <f t="shared" si="12"/>
        <v>7.2410625120156202E-4</v>
      </c>
      <c r="M33" s="8">
        <f t="shared" si="13"/>
        <v>1.8677839517690201E-2</v>
      </c>
      <c r="N33" s="8">
        <f t="shared" si="14"/>
        <v>-4.7223169619087001E-3</v>
      </c>
      <c r="O33">
        <v>6.4290658971991E-3</v>
      </c>
      <c r="P33">
        <v>-4.2772677643099E-2</v>
      </c>
      <c r="Q33">
        <v>-1.8036878975087999E-2</v>
      </c>
      <c r="R33">
        <v>-4.6555407902281999E-2</v>
      </c>
      <c r="S33">
        <f t="shared" si="15"/>
        <v>1.1543043487851723</v>
      </c>
      <c r="T33">
        <f t="shared" si="16"/>
        <v>-29.725784674149146</v>
      </c>
      <c r="U33" s="9">
        <f t="shared" si="17"/>
        <v>1.0024076578363692</v>
      </c>
      <c r="V33" s="9">
        <f t="shared" si="18"/>
        <v>-0.57236126453086023</v>
      </c>
    </row>
    <row r="34" spans="1:22" x14ac:dyDescent="0.25">
      <c r="A34">
        <v>0.8</v>
      </c>
      <c r="B34">
        <v>16.100000000000001</v>
      </c>
      <c r="C34">
        <v>-9.4804114022261996E-3</v>
      </c>
      <c r="D34">
        <v>4.0055606301509002E-3</v>
      </c>
      <c r="E34">
        <v>0.99050320449801998</v>
      </c>
      <c r="F34">
        <v>2.5957890666399E-3</v>
      </c>
      <c r="G34">
        <f t="shared" si="7"/>
        <v>46.506774805003801</v>
      </c>
      <c r="H34">
        <f t="shared" si="8"/>
        <v>16.351975465143401</v>
      </c>
      <c r="I34">
        <f t="shared" si="9"/>
        <v>46.506767109762599</v>
      </c>
      <c r="J34">
        <f t="shared" si="10"/>
        <v>16.3512705681628</v>
      </c>
      <c r="K34" s="8">
        <f t="shared" si="11"/>
        <v>7.6952412015884908E-6</v>
      </c>
      <c r="L34" s="8">
        <f t="shared" si="12"/>
        <v>7.0489698060072204E-4</v>
      </c>
      <c r="M34" s="8">
        <f t="shared" si="13"/>
        <v>1.9136670185838801E-2</v>
      </c>
      <c r="N34" s="8">
        <f t="shared" si="14"/>
        <v>-6.7282438971480001E-3</v>
      </c>
      <c r="O34">
        <v>1.8567687469355E-3</v>
      </c>
      <c r="P34">
        <v>-4.3829397749807E-2</v>
      </c>
      <c r="Q34">
        <v>-2.3174232729029E-2</v>
      </c>
      <c r="R34">
        <v>-4.4899537587860999E-2</v>
      </c>
      <c r="S34">
        <f t="shared" si="15"/>
        <v>1.1517857401151608</v>
      </c>
      <c r="T34">
        <f t="shared" si="16"/>
        <v>-29.725654148293067</v>
      </c>
      <c r="U34" s="9">
        <f t="shared" si="17"/>
        <v>1.0002217778207587</v>
      </c>
      <c r="V34" s="9">
        <f t="shared" si="18"/>
        <v>-0.57111013500524521</v>
      </c>
    </row>
    <row r="35" spans="1:22" x14ac:dyDescent="0.25">
      <c r="A35">
        <v>0.8</v>
      </c>
      <c r="B35">
        <v>16.2</v>
      </c>
      <c r="C35">
        <v>-9.4976307463637E-3</v>
      </c>
      <c r="D35">
        <v>4.9802492310330997E-3</v>
      </c>
      <c r="E35">
        <v>0.99048596646164999</v>
      </c>
      <c r="F35">
        <v>3.6140889573064001E-3</v>
      </c>
      <c r="G35">
        <f t="shared" si="7"/>
        <v>43.1742538705819</v>
      </c>
      <c r="H35">
        <f t="shared" si="8"/>
        <v>19.743551241839199</v>
      </c>
      <c r="I35">
        <f t="shared" si="9"/>
        <v>43.174246135728602</v>
      </c>
      <c r="J35">
        <f t="shared" si="10"/>
        <v>19.742868150816602</v>
      </c>
      <c r="K35" s="8">
        <f t="shared" si="11"/>
        <v>7.7348532983023705E-6</v>
      </c>
      <c r="L35" s="8">
        <f t="shared" si="12"/>
        <v>6.8309102259789299E-4</v>
      </c>
      <c r="M35" s="8">
        <f t="shared" si="13"/>
        <v>1.9156231977342501E-2</v>
      </c>
      <c r="N35" s="8">
        <f t="shared" si="14"/>
        <v>-8.7598278150861093E-3</v>
      </c>
      <c r="O35">
        <v>-2.7666038728015002E-3</v>
      </c>
      <c r="P35">
        <v>-4.3902535793501E-2</v>
      </c>
      <c r="Q35">
        <v>-2.7779981025848E-2</v>
      </c>
      <c r="R35">
        <v>-4.2239821072171002E-2</v>
      </c>
      <c r="S35">
        <f t="shared" si="15"/>
        <v>1.149275752788079</v>
      </c>
      <c r="T35">
        <f t="shared" si="16"/>
        <v>-29.725994100585844</v>
      </c>
      <c r="U35" s="9">
        <f t="shared" si="17"/>
        <v>0.99803869957159286</v>
      </c>
      <c r="V35" s="9">
        <f t="shared" si="18"/>
        <v>-0.56987148560359602</v>
      </c>
    </row>
    <row r="36" spans="1:22" x14ac:dyDescent="0.25">
      <c r="A36">
        <v>0.8</v>
      </c>
      <c r="B36">
        <v>16.3</v>
      </c>
      <c r="C36">
        <v>-9.3168135630432008E-3</v>
      </c>
      <c r="D36">
        <v>5.9013989826886002E-3</v>
      </c>
      <c r="E36">
        <v>0.99066671608233003</v>
      </c>
      <c r="F36">
        <v>4.5796254606682001E-3</v>
      </c>
      <c r="G36">
        <f t="shared" si="7"/>
        <v>40.2493890494002</v>
      </c>
      <c r="H36">
        <f t="shared" si="8"/>
        <v>22.9007631275093</v>
      </c>
      <c r="I36">
        <f t="shared" si="9"/>
        <v>40.249381250937098</v>
      </c>
      <c r="J36">
        <f t="shared" si="10"/>
        <v>22.900102230151798</v>
      </c>
      <c r="K36" s="8">
        <f t="shared" si="11"/>
        <v>7.7984631019489808E-6</v>
      </c>
      <c r="L36" s="8">
        <f t="shared" si="12"/>
        <v>6.6089735750196599E-4</v>
      </c>
      <c r="M36" s="8">
        <f t="shared" si="13"/>
        <v>1.87692909320702E-2</v>
      </c>
      <c r="N36" s="8">
        <f t="shared" si="14"/>
        <v>-1.06788891598641E-2</v>
      </c>
      <c r="O36">
        <v>-7.1438739621495001E-3</v>
      </c>
      <c r="P36">
        <v>-4.3061373931665002E-2</v>
      </c>
      <c r="Q36">
        <v>-3.1600206334513999E-2</v>
      </c>
      <c r="R36">
        <v>-3.8820453882166997E-2</v>
      </c>
      <c r="S36">
        <f t="shared" si="15"/>
        <v>1.146759439926665</v>
      </c>
      <c r="T36">
        <f t="shared" si="16"/>
        <v>-29.726339097795304</v>
      </c>
      <c r="U36" s="9">
        <f t="shared" si="17"/>
        <v>0.99585009287073067</v>
      </c>
      <c r="V36" s="9">
        <f t="shared" si="18"/>
        <v>-0.56862976143557209</v>
      </c>
    </row>
    <row r="37" spans="1:22" x14ac:dyDescent="0.25">
      <c r="A37">
        <v>0.8</v>
      </c>
      <c r="B37">
        <v>16.399999999999999</v>
      </c>
      <c r="C37">
        <v>-8.9744975089388994E-3</v>
      </c>
      <c r="D37">
        <v>6.7194281525520998E-3</v>
      </c>
      <c r="E37">
        <v>0.99100906779953002</v>
      </c>
      <c r="F37">
        <v>5.4427557550361001E-3</v>
      </c>
      <c r="G37">
        <f t="shared" si="7"/>
        <v>37.669473553717701</v>
      </c>
      <c r="H37">
        <f t="shared" si="8"/>
        <v>25.840174775449398</v>
      </c>
      <c r="I37">
        <f t="shared" si="9"/>
        <v>37.669465743787299</v>
      </c>
      <c r="J37">
        <f t="shared" si="10"/>
        <v>25.839536429019699</v>
      </c>
      <c r="K37" s="8">
        <f t="shared" si="11"/>
        <v>7.8099304019474403E-6</v>
      </c>
      <c r="L37" s="8">
        <f t="shared" si="12"/>
        <v>6.3834642969951005E-4</v>
      </c>
      <c r="M37" s="8">
        <f t="shared" si="13"/>
        <v>1.8052428255191801E-2</v>
      </c>
      <c r="N37" s="8">
        <f t="shared" si="14"/>
        <v>-1.23831429069106E-2</v>
      </c>
      <c r="O37">
        <v>-1.1046219144878E-2</v>
      </c>
      <c r="P37">
        <v>-4.1474975609452E-2</v>
      </c>
      <c r="Q37">
        <v>-3.4508651751893001E-2</v>
      </c>
      <c r="R37">
        <v>-3.4944507139064003E-2</v>
      </c>
      <c r="S37">
        <f t="shared" si="15"/>
        <v>1.1442424225098375</v>
      </c>
      <c r="T37">
        <f t="shared" si="16"/>
        <v>-29.726792946244071</v>
      </c>
      <c r="U37" s="9">
        <f t="shared" si="17"/>
        <v>0.99365981139144122</v>
      </c>
      <c r="V37" s="9">
        <f t="shared" si="18"/>
        <v>-0.56738954933687935</v>
      </c>
    </row>
    <row r="38" spans="1:22" x14ac:dyDescent="0.25">
      <c r="A38">
        <v>0.8</v>
      </c>
      <c r="B38">
        <v>16.5</v>
      </c>
      <c r="C38">
        <v>-8.5180719185670006E-3</v>
      </c>
      <c r="D38">
        <v>7.4058137233505997E-3</v>
      </c>
      <c r="E38">
        <v>0.99146528658926003</v>
      </c>
      <c r="F38">
        <v>6.1702078609524999E-3</v>
      </c>
      <c r="G38">
        <f t="shared" si="7"/>
        <v>35.392606314157597</v>
      </c>
      <c r="H38">
        <f t="shared" si="8"/>
        <v>28.575039352982198</v>
      </c>
      <c r="I38">
        <f t="shared" si="9"/>
        <v>35.3925983750322</v>
      </c>
      <c r="J38">
        <f t="shared" si="10"/>
        <v>28.574421540005499</v>
      </c>
      <c r="K38" s="8">
        <f t="shared" si="11"/>
        <v>7.93912539620578E-6</v>
      </c>
      <c r="L38" s="8">
        <f t="shared" si="12"/>
        <v>6.1781297669938296E-4</v>
      </c>
      <c r="M38" s="8">
        <f t="shared" si="13"/>
        <v>1.7105033050111199E-2</v>
      </c>
      <c r="N38" s="8">
        <f t="shared" si="14"/>
        <v>-1.3809848591800599E-2</v>
      </c>
      <c r="O38">
        <v>-1.4341564380562E-2</v>
      </c>
      <c r="P38">
        <v>-3.9362444913715003E-2</v>
      </c>
      <c r="Q38">
        <v>-3.6504070076381998E-2</v>
      </c>
      <c r="R38">
        <v>-3.0906411504464999E-2</v>
      </c>
      <c r="S38">
        <f t="shared" si="15"/>
        <v>1.141710072211747</v>
      </c>
      <c r="T38">
        <f t="shared" si="16"/>
        <v>-29.727831123738209</v>
      </c>
      <c r="U38" s="9">
        <f t="shared" si="17"/>
        <v>0.99145046078455734</v>
      </c>
      <c r="V38" s="9">
        <f t="shared" si="18"/>
        <v>-0.56615181073616772</v>
      </c>
    </row>
    <row r="39" spans="1:22" x14ac:dyDescent="0.25">
      <c r="A39">
        <v>0.8</v>
      </c>
      <c r="B39">
        <v>16.600000000000001</v>
      </c>
      <c r="C39">
        <v>-7.9948166776652001E-3</v>
      </c>
      <c r="D39">
        <v>7.9523620643283006E-3</v>
      </c>
      <c r="E39">
        <v>0.99198822563021005</v>
      </c>
      <c r="F39">
        <v>6.7606728515932002E-3</v>
      </c>
      <c r="G39">
        <f t="shared" si="7"/>
        <v>33.363174975893202</v>
      </c>
      <c r="H39">
        <f t="shared" si="8"/>
        <v>31.126851641498401</v>
      </c>
      <c r="I39">
        <f t="shared" si="9"/>
        <v>33.363166852014899</v>
      </c>
      <c r="J39">
        <f t="shared" si="10"/>
        <v>31.126255786999199</v>
      </c>
      <c r="K39" s="8">
        <f t="shared" si="11"/>
        <v>8.1238783025128197E-6</v>
      </c>
      <c r="L39" s="8">
        <f t="shared" si="12"/>
        <v>5.9585449920263002E-4</v>
      </c>
      <c r="M39" s="8">
        <f t="shared" si="13"/>
        <v>1.6025001444352802E-2</v>
      </c>
      <c r="N39" s="8">
        <f t="shared" si="14"/>
        <v>-1.4950567976847601E-2</v>
      </c>
      <c r="O39">
        <v>-1.6993663796330001E-2</v>
      </c>
      <c r="P39">
        <v>-3.694219310454E-2</v>
      </c>
      <c r="Q39">
        <v>-3.7680247981326E-2</v>
      </c>
      <c r="R39">
        <v>-2.694547495905E-2</v>
      </c>
      <c r="S39">
        <f t="shared" si="15"/>
        <v>1.1391927653194878</v>
      </c>
      <c r="T39">
        <f t="shared" si="16"/>
        <v>-29.728352595208712</v>
      </c>
      <c r="U39" s="9">
        <f t="shared" si="17"/>
        <v>0.98925931332505457</v>
      </c>
      <c r="V39" s="9">
        <f t="shared" si="18"/>
        <v>-0.56491253088943161</v>
      </c>
    </row>
    <row r="40" spans="1:22" x14ac:dyDescent="0.25">
      <c r="A40">
        <v>0.8</v>
      </c>
      <c r="B40">
        <v>16.7</v>
      </c>
      <c r="C40">
        <v>-7.4448336620241001E-3</v>
      </c>
      <c r="D40">
        <v>8.3660530439187003E-3</v>
      </c>
      <c r="E40">
        <v>0.99253703765917001</v>
      </c>
      <c r="F40">
        <v>7.2184952656196002E-3</v>
      </c>
      <c r="G40">
        <f t="shared" si="7"/>
        <v>31.551472999547599</v>
      </c>
      <c r="H40">
        <f t="shared" si="8"/>
        <v>33.506759695147899</v>
      </c>
      <c r="I40">
        <f t="shared" si="9"/>
        <v>31.5514642643572</v>
      </c>
      <c r="J40">
        <f t="shared" si="10"/>
        <v>33.5061859060458</v>
      </c>
      <c r="K40" s="8">
        <f t="shared" si="11"/>
        <v>8.7351903985677399E-6</v>
      </c>
      <c r="L40" s="8">
        <f t="shared" si="12"/>
        <v>5.7378910209848798E-4</v>
      </c>
      <c r="M40" s="8">
        <f t="shared" si="13"/>
        <v>1.48956987823986E-2</v>
      </c>
      <c r="N40" s="8">
        <f t="shared" si="14"/>
        <v>-1.5818538512880499E-2</v>
      </c>
      <c r="O40">
        <v>-1.9034174675635E-2</v>
      </c>
      <c r="P40">
        <v>-3.4399402409713002E-2</v>
      </c>
      <c r="Q40">
        <v>-3.8178026031794002E-2</v>
      </c>
      <c r="R40">
        <v>-2.3225803209230001E-2</v>
      </c>
      <c r="S40">
        <f t="shared" si="15"/>
        <v>1.1366789280528711</v>
      </c>
      <c r="T40">
        <f t="shared" si="16"/>
        <v>-29.728527611420809</v>
      </c>
      <c r="U40" s="9">
        <f t="shared" si="17"/>
        <v>0.98707460986874829</v>
      </c>
      <c r="V40" s="9">
        <f t="shared" si="18"/>
        <v>-0.56366896316178561</v>
      </c>
    </row>
    <row r="41" spans="1:22" x14ac:dyDescent="0.25">
      <c r="A41">
        <v>0.8</v>
      </c>
      <c r="B41">
        <v>16.8</v>
      </c>
      <c r="C41">
        <v>-6.8979789300932003E-3</v>
      </c>
      <c r="D41">
        <v>8.6626138168814006E-3</v>
      </c>
      <c r="E41">
        <v>0.99308641840647005</v>
      </c>
      <c r="F41">
        <v>7.5601730163707996E-3</v>
      </c>
      <c r="G41">
        <f t="shared" si="7"/>
        <v>29.926097211857599</v>
      </c>
      <c r="H41">
        <f t="shared" si="8"/>
        <v>35.7381654478014</v>
      </c>
      <c r="I41">
        <f t="shared" si="9"/>
        <v>29.926089714315999</v>
      </c>
      <c r="J41">
        <f t="shared" si="10"/>
        <v>35.737614218968098</v>
      </c>
      <c r="K41" s="8">
        <f t="shared" si="11"/>
        <v>7.4975415991218597E-6</v>
      </c>
      <c r="L41" s="8">
        <f t="shared" si="12"/>
        <v>5.5122883330227502E-4</v>
      </c>
      <c r="M41" s="8">
        <f t="shared" si="13"/>
        <v>1.3773383234529901E-2</v>
      </c>
      <c r="N41" s="8">
        <f t="shared" si="14"/>
        <v>-1.6448118054333102E-2</v>
      </c>
      <c r="O41">
        <v>-2.0535741218324001E-2</v>
      </c>
      <c r="P41">
        <v>-3.1871998828893001E-2</v>
      </c>
      <c r="Q41">
        <v>-3.8151335052391003E-2</v>
      </c>
      <c r="R41">
        <v>-1.9839819126413999E-2</v>
      </c>
      <c r="S41">
        <f t="shared" si="15"/>
        <v>1.1341620403851178</v>
      </c>
      <c r="T41">
        <f t="shared" si="16"/>
        <v>-29.729777317105615</v>
      </c>
      <c r="U41" s="9">
        <f t="shared" si="17"/>
        <v>0.98487671561730517</v>
      </c>
      <c r="V41" s="9">
        <f t="shared" si="18"/>
        <v>-0.56244234272092575</v>
      </c>
    </row>
    <row r="42" spans="1:22" x14ac:dyDescent="0.25">
      <c r="A42">
        <v>0.8</v>
      </c>
      <c r="B42">
        <v>16.899999999999999</v>
      </c>
      <c r="C42">
        <v>-6.3741035114173996E-3</v>
      </c>
      <c r="D42">
        <v>8.8614624919133005E-3</v>
      </c>
      <c r="E42">
        <v>0.99360951207943005</v>
      </c>
      <c r="F42">
        <v>7.8040043448726996E-3</v>
      </c>
      <c r="G42">
        <f t="shared" si="7"/>
        <v>28.4661616688938</v>
      </c>
      <c r="H42">
        <f t="shared" si="8"/>
        <v>37.818516783641599</v>
      </c>
      <c r="I42">
        <f t="shared" si="9"/>
        <v>28.466153756183299</v>
      </c>
      <c r="J42">
        <f t="shared" si="10"/>
        <v>37.817988046052903</v>
      </c>
      <c r="K42" s="8">
        <f t="shared" si="11"/>
        <v>7.9127105010456893E-6</v>
      </c>
      <c r="L42" s="8">
        <f t="shared" si="12"/>
        <v>5.2873758869509402E-4</v>
      </c>
      <c r="M42" s="8">
        <f t="shared" si="13"/>
        <v>1.27051428687542E-2</v>
      </c>
      <c r="N42" s="8">
        <f t="shared" si="14"/>
        <v>-1.68790959695274E-2</v>
      </c>
      <c r="O42">
        <v>-2.1588744387406999E-2</v>
      </c>
      <c r="P42">
        <v>-2.9451124946359999E-2</v>
      </c>
      <c r="Q42">
        <v>-3.7743450662645998E-2</v>
      </c>
      <c r="R42">
        <v>-1.6825452489314999E-2</v>
      </c>
      <c r="S42">
        <f t="shared" si="15"/>
        <v>1.1316549596924332</v>
      </c>
      <c r="T42">
        <f t="shared" si="16"/>
        <v>-29.730648954701859</v>
      </c>
      <c r="U42" s="9">
        <f t="shared" si="17"/>
        <v>0.98269109457092418</v>
      </c>
      <c r="V42" s="9">
        <f t="shared" si="18"/>
        <v>-0.56121400592597626</v>
      </c>
    </row>
    <row r="43" spans="1:22" x14ac:dyDescent="0.25">
      <c r="A43">
        <v>0.8</v>
      </c>
      <c r="B43">
        <v>17</v>
      </c>
      <c r="C43">
        <v>-5.8848173947590003E-3</v>
      </c>
      <c r="D43">
        <v>8.9818262330979993E-3</v>
      </c>
      <c r="E43">
        <v>0.99409813041756001</v>
      </c>
      <c r="F43">
        <v>7.9700349040932005E-3</v>
      </c>
      <c r="G43">
        <f t="shared" si="7"/>
        <v>27.149358161076702</v>
      </c>
      <c r="H43">
        <f t="shared" si="8"/>
        <v>39.766135501415803</v>
      </c>
      <c r="I43">
        <f t="shared" si="9"/>
        <v>27.149349890846999</v>
      </c>
      <c r="J43">
        <f t="shared" si="10"/>
        <v>39.765629597253998</v>
      </c>
      <c r="K43" s="8">
        <f t="shared" si="11"/>
        <v>8.2702297028447396E-6</v>
      </c>
      <c r="L43" s="8">
        <f t="shared" si="12"/>
        <v>5.0590416180540398E-4</v>
      </c>
      <c r="M43" s="8">
        <f t="shared" si="13"/>
        <v>1.1710420012474E-2</v>
      </c>
      <c r="N43" s="8">
        <f t="shared" si="14"/>
        <v>-1.7152242190569201E-2</v>
      </c>
      <c r="O43">
        <v>-2.2281750954459001E-2</v>
      </c>
      <c r="P43">
        <v>-2.7190542004786E-2</v>
      </c>
      <c r="Q43">
        <v>-3.7073899391663001E-2</v>
      </c>
      <c r="R43">
        <v>-1.4183004132382E-2</v>
      </c>
      <c r="S43">
        <f t="shared" si="15"/>
        <v>1.1291532718593347</v>
      </c>
      <c r="T43">
        <f t="shared" si="16"/>
        <v>-29.731644465716148</v>
      </c>
      <c r="U43" s="9">
        <f t="shared" si="17"/>
        <v>0.98050898336698078</v>
      </c>
      <c r="V43" s="9">
        <f t="shared" si="18"/>
        <v>-0.55999039713846022</v>
      </c>
    </row>
    <row r="44" spans="1:22" x14ac:dyDescent="0.25">
      <c r="A44">
        <v>1</v>
      </c>
      <c r="B44">
        <v>15</v>
      </c>
      <c r="C44">
        <v>-4.7576440806379001E-3</v>
      </c>
      <c r="D44">
        <v>-2.0535425774554999E-3</v>
      </c>
      <c r="E44">
        <v>0.99523641972235999</v>
      </c>
      <c r="F44">
        <v>-3.9845101773056998E-3</v>
      </c>
      <c r="G44">
        <f t="shared" si="7"/>
        <v>74.404335481731806</v>
      </c>
      <c r="H44">
        <f t="shared" si="8"/>
        <v>-47.501425207171103</v>
      </c>
      <c r="I44">
        <f t="shared" si="9"/>
        <v>74.404333445790797</v>
      </c>
      <c r="J44">
        <f t="shared" si="10"/>
        <v>-47.502390695802298</v>
      </c>
      <c r="K44" s="8">
        <f t="shared" si="11"/>
        <v>2.0359410086712202E-6</v>
      </c>
      <c r="L44" s="8">
        <f t="shared" si="12"/>
        <v>9.6548863119494399E-4</v>
      </c>
      <c r="M44" s="8">
        <f t="shared" si="13"/>
        <v>9.5482201759621993E-3</v>
      </c>
      <c r="N44" s="8">
        <f t="shared" si="14"/>
        <v>6.0959256570526704E-3</v>
      </c>
      <c r="O44">
        <v>2.4664432061209999E-2</v>
      </c>
      <c r="P44">
        <v>-1.7639178095181E-2</v>
      </c>
      <c r="Q44">
        <v>1.4981895519524E-2</v>
      </c>
      <c r="R44">
        <v>-3.257294629008E-2</v>
      </c>
      <c r="S44">
        <f t="shared" si="15"/>
        <v>1.1823834859601263</v>
      </c>
      <c r="T44">
        <f t="shared" si="16"/>
        <v>-29.728895478807416</v>
      </c>
      <c r="U44" s="9">
        <f t="shared" si="17"/>
        <v>1.0267599849038849</v>
      </c>
      <c r="V44" s="9">
        <f t="shared" si="18"/>
        <v>-0.58634003894616837</v>
      </c>
    </row>
    <row r="45" spans="1:22" x14ac:dyDescent="0.25">
      <c r="A45">
        <v>1</v>
      </c>
      <c r="B45" s="1">
        <v>15.1</v>
      </c>
      <c r="C45">
        <v>-5.4620415780321004E-3</v>
      </c>
      <c r="D45">
        <v>-2.2969724631050998E-3</v>
      </c>
      <c r="E45">
        <v>0.99453591505766004</v>
      </c>
      <c r="F45">
        <v>-4.1975001932754996E-3</v>
      </c>
      <c r="G45">
        <f t="shared" si="7"/>
        <v>67.129572091664997</v>
      </c>
      <c r="H45">
        <f t="shared" si="8"/>
        <v>-40.198437584478697</v>
      </c>
      <c r="I45">
        <f t="shared" si="9"/>
        <v>67.129571972985104</v>
      </c>
      <c r="J45">
        <f t="shared" si="10"/>
        <v>-40.199387849427502</v>
      </c>
      <c r="K45" s="8">
        <f t="shared" si="11"/>
        <v>1.18679892580076E-7</v>
      </c>
      <c r="L45" s="8">
        <f t="shared" si="12"/>
        <v>9.50264948805568E-4</v>
      </c>
      <c r="M45" s="8">
        <f t="shared" si="13"/>
        <v>1.0964637811248901E-2</v>
      </c>
      <c r="N45" s="8">
        <f t="shared" si="14"/>
        <v>6.5659844841595497E-3</v>
      </c>
      <c r="O45">
        <v>2.5428401340969999E-2</v>
      </c>
      <c r="P45">
        <v>-2.0200237656660999E-2</v>
      </c>
      <c r="Q45">
        <v>1.425847282688E-2</v>
      </c>
      <c r="R45">
        <v>-3.5632836853269997E-2</v>
      </c>
      <c r="S45">
        <f t="shared" si="15"/>
        <v>1.1818081897908104</v>
      </c>
      <c r="T45">
        <f t="shared" si="16"/>
        <v>-29.727679001030726</v>
      </c>
      <c r="U45" s="9">
        <f t="shared" si="17"/>
        <v>1.026272850949113</v>
      </c>
      <c r="V45" s="9">
        <f t="shared" si="18"/>
        <v>-0.58603296226527379</v>
      </c>
    </row>
    <row r="46" spans="1:22" x14ac:dyDescent="0.25">
      <c r="A46">
        <v>1</v>
      </c>
      <c r="B46" s="1">
        <v>15.2</v>
      </c>
      <c r="C46">
        <v>-6.2615525092061001E-3</v>
      </c>
      <c r="D46">
        <v>-2.4823021187610002E-3</v>
      </c>
      <c r="E46">
        <v>0.99373814936340998</v>
      </c>
      <c r="F46">
        <v>-4.3490582653434003E-3</v>
      </c>
      <c r="G46">
        <f t="shared" si="7"/>
        <v>61.0391234449488</v>
      </c>
      <c r="H46">
        <f t="shared" si="8"/>
        <v>-33.568358617460902</v>
      </c>
      <c r="I46">
        <f t="shared" si="9"/>
        <v>61.039124167079102</v>
      </c>
      <c r="J46">
        <f t="shared" si="10"/>
        <v>-33.569291994999197</v>
      </c>
      <c r="K46" s="8">
        <f t="shared" si="11"/>
        <v>-7.2213030222201301E-7</v>
      </c>
      <c r="L46" s="8">
        <f t="shared" si="12"/>
        <v>9.33377538295588E-4</v>
      </c>
      <c r="M46" s="8">
        <f t="shared" si="13"/>
        <v>1.25784564899496E-2</v>
      </c>
      <c r="N46" s="8">
        <f t="shared" si="14"/>
        <v>6.9176922919422599E-3</v>
      </c>
      <c r="O46">
        <v>2.6024597055734001E-2</v>
      </c>
      <c r="P46">
        <v>-2.3145855611880001E-2</v>
      </c>
      <c r="Q46">
        <v>1.3117091016594E-2</v>
      </c>
      <c r="R46">
        <v>-3.8923909311534999E-2</v>
      </c>
      <c r="S46">
        <f t="shared" si="15"/>
        <v>1.1793477347297858</v>
      </c>
      <c r="T46">
        <f t="shared" si="16"/>
        <v>-29.727159125109779</v>
      </c>
      <c r="U46" s="9">
        <f t="shared" si="17"/>
        <v>1.0241415175896249</v>
      </c>
      <c r="V46" s="9">
        <f t="shared" si="18"/>
        <v>-0.58480358357443152</v>
      </c>
    </row>
    <row r="47" spans="1:22" x14ac:dyDescent="0.25">
      <c r="A47">
        <v>1</v>
      </c>
      <c r="B47" s="1">
        <v>15.3</v>
      </c>
      <c r="C47">
        <v>-7.1632512229491E-3</v>
      </c>
      <c r="D47">
        <v>-2.5798571496845001E-3</v>
      </c>
      <c r="E47">
        <v>0.99283855444112001</v>
      </c>
      <c r="F47">
        <v>-4.4146236782855999E-3</v>
      </c>
      <c r="G47">
        <f t="shared" si="7"/>
        <v>55.8698783027411</v>
      </c>
      <c r="H47">
        <f t="shared" si="8"/>
        <v>-27.5238962868066</v>
      </c>
      <c r="I47">
        <f t="shared" si="9"/>
        <v>55.869880047161402</v>
      </c>
      <c r="J47">
        <f t="shared" si="10"/>
        <v>-27.524813667642398</v>
      </c>
      <c r="K47" s="8">
        <f t="shared" si="11"/>
        <v>-1.7444203024297201E-6</v>
      </c>
      <c r="L47" s="8">
        <f t="shared" si="12"/>
        <v>9.1738083579784302E-4</v>
      </c>
      <c r="M47" s="8">
        <f t="shared" si="13"/>
        <v>1.44029472114439E-2</v>
      </c>
      <c r="N47" s="8">
        <f t="shared" si="14"/>
        <v>7.0957452911163997E-3</v>
      </c>
      <c r="O47">
        <v>2.6300711780463001E-2</v>
      </c>
      <c r="P47">
        <v>-2.647000078964E-2</v>
      </c>
      <c r="Q47">
        <v>1.1432672661802999E-2</v>
      </c>
      <c r="R47">
        <v>-4.2401432755817002E-2</v>
      </c>
      <c r="S47">
        <f t="shared" si="15"/>
        <v>1.176899772210978</v>
      </c>
      <c r="T47">
        <f t="shared" si="16"/>
        <v>-29.726413195734072</v>
      </c>
      <c r="U47" s="9">
        <f t="shared" si="17"/>
        <v>1.0220233129789933</v>
      </c>
      <c r="V47" s="9">
        <f t="shared" si="18"/>
        <v>-0.58357640592958737</v>
      </c>
    </row>
    <row r="48" spans="1:22" x14ac:dyDescent="0.25">
      <c r="A48">
        <v>1</v>
      </c>
      <c r="B48" s="1">
        <v>15.4</v>
      </c>
      <c r="C48">
        <v>-8.1656261659969007E-3</v>
      </c>
      <c r="D48">
        <v>-2.5561385416308E-3</v>
      </c>
      <c r="E48">
        <v>0.99183758979472003</v>
      </c>
      <c r="F48">
        <v>-4.3589982088756002E-3</v>
      </c>
      <c r="G48">
        <f t="shared" si="7"/>
        <v>51.4300110864963</v>
      </c>
      <c r="H48">
        <f t="shared" si="8"/>
        <v>-21.992588028487699</v>
      </c>
      <c r="I48">
        <f t="shared" si="9"/>
        <v>51.430013507045103</v>
      </c>
      <c r="J48">
        <f t="shared" si="10"/>
        <v>-21.9934894546899</v>
      </c>
      <c r="K48" s="8">
        <f t="shared" si="11"/>
        <v>-2.42054880317255E-6</v>
      </c>
      <c r="L48" s="8">
        <f t="shared" si="12"/>
        <v>9.0142620220135005E-4</v>
      </c>
      <c r="M48" s="8">
        <f t="shared" si="13"/>
        <v>1.6437827024541E-2</v>
      </c>
      <c r="N48" s="8">
        <f t="shared" si="14"/>
        <v>7.0294590778735601E-3</v>
      </c>
      <c r="O48">
        <v>2.6129064722726001E-2</v>
      </c>
      <c r="P48">
        <v>-3.0165646214175001E-2</v>
      </c>
      <c r="Q48">
        <v>9.0820022328938002E-3</v>
      </c>
      <c r="R48">
        <v>-4.5981735346676003E-2</v>
      </c>
      <c r="S48">
        <f t="shared" si="15"/>
        <v>1.1744359258050336</v>
      </c>
      <c r="T48">
        <f t="shared" si="16"/>
        <v>-29.725789668174727</v>
      </c>
      <c r="U48" s="9">
        <f t="shared" si="17"/>
        <v>1.0198900388043517</v>
      </c>
      <c r="V48" s="9">
        <f t="shared" si="18"/>
        <v>-0.58234358635532713</v>
      </c>
    </row>
    <row r="49" spans="1:22" x14ac:dyDescent="0.25">
      <c r="A49">
        <v>1</v>
      </c>
      <c r="B49" s="1">
        <v>15.5</v>
      </c>
      <c r="C49">
        <v>-9.2546275958274998E-3</v>
      </c>
      <c r="D49">
        <v>-2.3707015149313001E-3</v>
      </c>
      <c r="E49">
        <v>0.99074968404371</v>
      </c>
      <c r="F49">
        <v>-4.1404022365326004E-3</v>
      </c>
      <c r="G49">
        <f t="shared" si="7"/>
        <v>47.586343657865498</v>
      </c>
      <c r="H49">
        <f t="shared" si="8"/>
        <v>-16.919100253354699</v>
      </c>
      <c r="I49">
        <f t="shared" si="9"/>
        <v>47.586346596635103</v>
      </c>
      <c r="J49">
        <f t="shared" si="10"/>
        <v>-16.919985099207501</v>
      </c>
      <c r="K49" s="8">
        <f t="shared" si="11"/>
        <v>-2.9387696045546401E-6</v>
      </c>
      <c r="L49" s="8">
        <f t="shared" si="12"/>
        <v>8.8484585280213001E-4</v>
      </c>
      <c r="M49" s="8">
        <f t="shared" si="13"/>
        <v>1.86558526043323E-2</v>
      </c>
      <c r="N49" s="8">
        <f t="shared" si="14"/>
        <v>6.6333469714322498E-3</v>
      </c>
      <c r="O49">
        <v>2.5358857611644001E-2</v>
      </c>
      <c r="P49">
        <v>-3.4179867666212997E-2</v>
      </c>
      <c r="Q49">
        <v>5.9468899563136996E-3</v>
      </c>
      <c r="R49">
        <v>-4.9523470307999001E-2</v>
      </c>
      <c r="S49">
        <f t="shared" si="15"/>
        <v>1.1719808793839053</v>
      </c>
      <c r="T49">
        <f t="shared" si="16"/>
        <v>-29.725180254893736</v>
      </c>
      <c r="U49" s="9">
        <f t="shared" si="17"/>
        <v>1.0177642367944437</v>
      </c>
      <c r="V49" s="9">
        <f t="shared" si="18"/>
        <v>-0.58111542738400557</v>
      </c>
    </row>
    <row r="50" spans="1:22" x14ac:dyDescent="0.25">
      <c r="A50">
        <v>1</v>
      </c>
      <c r="B50">
        <v>15.6</v>
      </c>
      <c r="C50">
        <v>-1.0399242294116E-2</v>
      </c>
      <c r="D50">
        <v>-1.9809749127642998E-3</v>
      </c>
      <c r="E50">
        <v>0.98960909291546995</v>
      </c>
      <c r="F50">
        <v>-3.7123362168475001E-3</v>
      </c>
      <c r="G50">
        <f t="shared" si="7"/>
        <v>44.244242121683001</v>
      </c>
      <c r="H50">
        <f t="shared" si="8"/>
        <v>-12.2526251390314</v>
      </c>
      <c r="I50">
        <f t="shared" si="9"/>
        <v>44.244247038663403</v>
      </c>
      <c r="J50">
        <f t="shared" si="10"/>
        <v>-12.2534908118191</v>
      </c>
      <c r="K50" s="8">
        <f t="shared" si="11"/>
        <v>-4.9169804015036797E-6</v>
      </c>
      <c r="L50" s="8">
        <f t="shared" si="12"/>
        <v>8.6567278770033297E-4</v>
      </c>
      <c r="M50" s="8">
        <f t="shared" si="13"/>
        <v>2.09917051551857E-2</v>
      </c>
      <c r="N50" s="8">
        <f t="shared" si="14"/>
        <v>5.8136748494941404E-3</v>
      </c>
      <c r="O50">
        <v>2.3835088315984E-2</v>
      </c>
      <c r="P50">
        <v>-3.8399357328412001E-2</v>
      </c>
      <c r="Q50">
        <v>1.9404468788663E-3</v>
      </c>
      <c r="R50">
        <v>-5.2818431470169999E-2</v>
      </c>
      <c r="S50">
        <f t="shared" si="15"/>
        <v>1.1694573073396408</v>
      </c>
      <c r="T50">
        <f t="shared" si="16"/>
        <v>-29.724538755817353</v>
      </c>
      <c r="U50" s="9">
        <f t="shared" si="17"/>
        <v>1.0155792245429691</v>
      </c>
      <c r="V50" s="9">
        <f t="shared" si="18"/>
        <v>-0.5798527678357539</v>
      </c>
    </row>
    <row r="51" spans="1:22" x14ac:dyDescent="0.25">
      <c r="A51">
        <v>1</v>
      </c>
      <c r="B51">
        <v>15.7</v>
      </c>
      <c r="C51">
        <v>-1.1547927438326E-2</v>
      </c>
      <c r="D51">
        <v>-1.3501855754677E-3</v>
      </c>
      <c r="E51">
        <v>0.98845986348867998</v>
      </c>
      <c r="F51">
        <v>-3.0501166824342999E-3</v>
      </c>
      <c r="G51">
        <f t="shared" si="7"/>
        <v>41.294297750429301</v>
      </c>
      <c r="H51">
        <f t="shared" si="8"/>
        <v>-7.9650568091691696</v>
      </c>
      <c r="I51">
        <f t="shared" si="9"/>
        <v>41.294302368310099</v>
      </c>
      <c r="J51">
        <f t="shared" si="10"/>
        <v>-7.9659067674866302</v>
      </c>
      <c r="K51" s="8">
        <f t="shared" si="11"/>
        <v>-4.6178807977525998E-6</v>
      </c>
      <c r="L51" s="8">
        <f t="shared" si="12"/>
        <v>8.4995831746059703E-4</v>
      </c>
      <c r="M51" s="8">
        <f t="shared" si="13"/>
        <v>2.33475910105218E-2</v>
      </c>
      <c r="N51" s="8">
        <f t="shared" si="14"/>
        <v>4.5038836490419298E-3</v>
      </c>
      <c r="O51">
        <v>2.1418924523109999E-2</v>
      </c>
      <c r="P51">
        <v>-4.2631768323130002E-2</v>
      </c>
      <c r="Q51">
        <v>-2.9607313430954998E-3</v>
      </c>
      <c r="R51">
        <v>-5.5597937251655002E-2</v>
      </c>
      <c r="S51">
        <f t="shared" si="15"/>
        <v>1.1669836365293325</v>
      </c>
      <c r="T51">
        <f t="shared" si="16"/>
        <v>-29.723996957757425</v>
      </c>
      <c r="U51" s="9">
        <f t="shared" si="17"/>
        <v>1.0134365127581317</v>
      </c>
      <c r="V51" s="9">
        <f t="shared" si="18"/>
        <v>-0.57861666285707858</v>
      </c>
    </row>
    <row r="52" spans="1:22" x14ac:dyDescent="0.25">
      <c r="A52">
        <v>1</v>
      </c>
      <c r="B52">
        <v>15.8</v>
      </c>
      <c r="C52">
        <v>-1.2629119316169999E-2</v>
      </c>
      <c r="D52">
        <v>-4.5806056710811003E-4</v>
      </c>
      <c r="E52">
        <v>0.98737304794590997</v>
      </c>
      <c r="F52">
        <v>-2.1180769290457999E-3</v>
      </c>
      <c r="G52">
        <f t="shared" si="7"/>
        <v>38.686734454142403</v>
      </c>
      <c r="H52">
        <f t="shared" si="8"/>
        <v>-3.99666026594159</v>
      </c>
      <c r="I52">
        <f t="shared" si="9"/>
        <v>38.686736226683102</v>
      </c>
      <c r="J52">
        <f t="shared" si="10"/>
        <v>-3.9974902717519201</v>
      </c>
      <c r="K52" s="8">
        <f t="shared" si="11"/>
        <v>-1.77254069910759E-6</v>
      </c>
      <c r="L52" s="8">
        <f t="shared" si="12"/>
        <v>8.3000581033010302E-4</v>
      </c>
      <c r="M52" s="8">
        <f t="shared" si="13"/>
        <v>2.55755811099895E-2</v>
      </c>
      <c r="N52" s="8">
        <f t="shared" si="14"/>
        <v>2.6427180644685499E-3</v>
      </c>
      <c r="O52">
        <v>1.8036689290951001E-2</v>
      </c>
      <c r="P52">
        <v>-4.6613449501678998E-2</v>
      </c>
      <c r="Q52">
        <v>-8.6731951980857994E-3</v>
      </c>
      <c r="R52">
        <v>-5.7552414635798001E-2</v>
      </c>
      <c r="S52">
        <f t="shared" si="15"/>
        <v>1.1644797254318089</v>
      </c>
      <c r="T52">
        <f t="shared" si="16"/>
        <v>-29.723565375502826</v>
      </c>
      <c r="U52" s="9">
        <f t="shared" si="17"/>
        <v>1.0112664055170024</v>
      </c>
      <c r="V52" s="9">
        <f t="shared" si="18"/>
        <v>-0.57736755019178432</v>
      </c>
    </row>
    <row r="53" spans="1:22" x14ac:dyDescent="0.25">
      <c r="A53">
        <v>1</v>
      </c>
      <c r="B53">
        <v>15.9</v>
      </c>
      <c r="C53">
        <v>-1.3557844595334999E-2</v>
      </c>
      <c r="D53">
        <v>6.8716376742030002E-4</v>
      </c>
      <c r="E53">
        <v>0.98644067409494995</v>
      </c>
      <c r="F53">
        <v>-9.468135478013E-4</v>
      </c>
      <c r="G53">
        <f t="shared" si="7"/>
        <v>36.373623180154397</v>
      </c>
      <c r="H53">
        <f t="shared" si="8"/>
        <v>-0.35266035339350998</v>
      </c>
      <c r="I53">
        <f t="shared" si="9"/>
        <v>36.373623106970399</v>
      </c>
      <c r="J53">
        <f t="shared" si="10"/>
        <v>-0.35347734271601799</v>
      </c>
      <c r="K53" s="8">
        <f t="shared" si="11"/>
        <v>7.3183997528758495E-8</v>
      </c>
      <c r="L53" s="8">
        <f t="shared" si="12"/>
        <v>8.1698932250801005E-4</v>
      </c>
      <c r="M53" s="8">
        <f t="shared" si="13"/>
        <v>2.7489853492707401E-2</v>
      </c>
      <c r="N53" s="8">
        <f t="shared" si="14"/>
        <v>2.6714524246534998E-4</v>
      </c>
      <c r="O53">
        <v>1.3720147316856E-2</v>
      </c>
      <c r="P53">
        <v>-5.0034672163667998E-2</v>
      </c>
      <c r="Q53">
        <v>-1.4980163218769001E-2</v>
      </c>
      <c r="R53">
        <v>-5.8392161863855999E-2</v>
      </c>
      <c r="S53">
        <f t="shared" si="15"/>
        <v>1.1619334038787184</v>
      </c>
      <c r="T53">
        <f t="shared" si="16"/>
        <v>-29.722899111209337</v>
      </c>
      <c r="U53" s="9">
        <f t="shared" si="17"/>
        <v>1.0090618086162098</v>
      </c>
      <c r="V53" s="9">
        <f t="shared" si="18"/>
        <v>-0.57609330966551642</v>
      </c>
    </row>
    <row r="54" spans="1:22" x14ac:dyDescent="0.25">
      <c r="A54">
        <v>1</v>
      </c>
      <c r="B54">
        <v>16</v>
      </c>
      <c r="C54">
        <v>-1.4250928668734999E-2</v>
      </c>
      <c r="D54">
        <v>2.0410032100857999E-3</v>
      </c>
      <c r="E54">
        <v>0.98574567359855003</v>
      </c>
      <c r="F54">
        <v>4.4967464006948001E-4</v>
      </c>
      <c r="G54">
        <f t="shared" si="7"/>
        <v>34.315449857837798</v>
      </c>
      <c r="H54">
        <f t="shared" si="8"/>
        <v>3.0424358105680001</v>
      </c>
      <c r="I54">
        <f t="shared" si="9"/>
        <v>34.315448792053203</v>
      </c>
      <c r="J54">
        <f t="shared" si="10"/>
        <v>3.0416401440832601</v>
      </c>
      <c r="K54" s="8">
        <f t="shared" si="11"/>
        <v>1.0657845948003299E-6</v>
      </c>
      <c r="L54" s="8">
        <f t="shared" si="12"/>
        <v>7.9566648473994295E-4</v>
      </c>
      <c r="M54" s="8">
        <f t="shared" si="13"/>
        <v>2.8914225238392099E-2</v>
      </c>
      <c r="N54" s="8">
        <f t="shared" si="14"/>
        <v>-2.56288847489955E-3</v>
      </c>
      <c r="O54">
        <v>8.6340125023865993E-3</v>
      </c>
      <c r="P54">
        <v>-5.2579991491603001E-2</v>
      </c>
      <c r="Q54">
        <v>-2.1532752086527999E-2</v>
      </c>
      <c r="R54">
        <v>-5.7906461617703998E-2</v>
      </c>
      <c r="S54">
        <f t="shared" si="15"/>
        <v>1.1594515029571817</v>
      </c>
      <c r="T54">
        <f t="shared" si="16"/>
        <v>-29.72301330397941</v>
      </c>
      <c r="U54" s="9">
        <f t="shared" si="17"/>
        <v>1.0069052971654755</v>
      </c>
      <c r="V54" s="9">
        <f t="shared" si="18"/>
        <v>-0.57486477562099159</v>
      </c>
    </row>
    <row r="55" spans="1:22" x14ac:dyDescent="0.25">
      <c r="A55">
        <v>1</v>
      </c>
      <c r="B55">
        <v>16.100000000000001</v>
      </c>
      <c r="C55">
        <v>-1.4646089348138E-2</v>
      </c>
      <c r="D55">
        <v>3.5247194971956999E-3</v>
      </c>
      <c r="E55">
        <v>0.98534684803997996</v>
      </c>
      <c r="F55">
        <v>1.9793446982652001E-3</v>
      </c>
      <c r="G55">
        <f t="shared" si="7"/>
        <v>32.467160150298199</v>
      </c>
      <c r="H55">
        <f t="shared" si="8"/>
        <v>6.1934940729683801</v>
      </c>
      <c r="I55">
        <f t="shared" si="9"/>
        <v>32.467157216031502</v>
      </c>
      <c r="J55">
        <f t="shared" si="10"/>
        <v>6.1927213805730199</v>
      </c>
      <c r="K55" s="8">
        <f t="shared" si="11"/>
        <v>2.9342666962861598E-6</v>
      </c>
      <c r="L55" s="8">
        <f t="shared" si="12"/>
        <v>7.7269239536015299E-4</v>
      </c>
      <c r="M55" s="8">
        <f t="shared" si="13"/>
        <v>2.97191440001764E-2</v>
      </c>
      <c r="N55" s="8">
        <f t="shared" si="14"/>
        <v>-5.6685707725388701E-3</v>
      </c>
      <c r="O55">
        <v>3.0691824858226002E-3</v>
      </c>
      <c r="P55">
        <v>-5.4028413271436003E-2</v>
      </c>
      <c r="Q55">
        <v>-2.7907491195927E-2</v>
      </c>
      <c r="R55">
        <v>-5.6043356730503001E-2</v>
      </c>
      <c r="S55">
        <f t="shared" si="15"/>
        <v>1.1569212838713849</v>
      </c>
      <c r="T55">
        <f t="shared" si="16"/>
        <v>-29.722880777855256</v>
      </c>
      <c r="U55" s="9">
        <f t="shared" si="17"/>
        <v>1.0047092996001408</v>
      </c>
      <c r="V55" s="9">
        <f t="shared" si="18"/>
        <v>-0.5736079500596275</v>
      </c>
    </row>
    <row r="56" spans="1:22" x14ac:dyDescent="0.25">
      <c r="A56">
        <v>1</v>
      </c>
      <c r="B56">
        <v>16.2</v>
      </c>
      <c r="C56">
        <v>-1.4717711959966E-2</v>
      </c>
      <c r="D56">
        <v>5.0388020446907001E-3</v>
      </c>
      <c r="E56">
        <v>0.98527692087435004</v>
      </c>
      <c r="F56">
        <v>3.5275936422654E-3</v>
      </c>
      <c r="G56">
        <f t="shared" si="7"/>
        <v>30.815217174717901</v>
      </c>
      <c r="H56">
        <f t="shared" si="8"/>
        <v>9.1121754968672501</v>
      </c>
      <c r="I56">
        <f t="shared" si="9"/>
        <v>30.815215062069701</v>
      </c>
      <c r="J56">
        <f t="shared" si="10"/>
        <v>9.1114198890419509</v>
      </c>
      <c r="K56" s="8">
        <f t="shared" si="11"/>
        <v>2.1126482003808199E-6</v>
      </c>
      <c r="L56" s="8">
        <f t="shared" si="12"/>
        <v>7.5560782529926495E-4</v>
      </c>
      <c r="M56" s="8">
        <f t="shared" si="13"/>
        <v>2.9842485758443799E-2</v>
      </c>
      <c r="N56" s="8">
        <f t="shared" si="14"/>
        <v>-8.8238040114354196E-3</v>
      </c>
      <c r="O56">
        <v>-2.6066825283402001E-3</v>
      </c>
      <c r="P56">
        <v>-5.428494059623E-2</v>
      </c>
      <c r="Q56">
        <v>-3.3682814807884001E-2</v>
      </c>
      <c r="R56">
        <v>-5.2928061557419998E-2</v>
      </c>
      <c r="S56">
        <f t="shared" si="15"/>
        <v>1.1543651051087127</v>
      </c>
      <c r="T56">
        <f t="shared" si="16"/>
        <v>-29.723063298297497</v>
      </c>
      <c r="U56" s="9">
        <f t="shared" si="17"/>
        <v>1.0024876048667644</v>
      </c>
      <c r="V56" s="9">
        <f t="shared" si="18"/>
        <v>-0.57234377604823095</v>
      </c>
    </row>
    <row r="57" spans="1:22" x14ac:dyDescent="0.25">
      <c r="A57">
        <v>1</v>
      </c>
      <c r="B57">
        <v>16.3</v>
      </c>
      <c r="C57">
        <v>-1.4482777829203E-2</v>
      </c>
      <c r="D57">
        <v>6.4843712018193E-3</v>
      </c>
      <c r="E57">
        <v>0.98551176264058005</v>
      </c>
      <c r="F57">
        <v>5.0112218921888E-3</v>
      </c>
      <c r="G57">
        <f t="shared" si="7"/>
        <v>29.321882830663199</v>
      </c>
      <c r="H57">
        <f t="shared" si="8"/>
        <v>11.8335821242338</v>
      </c>
      <c r="I57">
        <f t="shared" si="9"/>
        <v>29.321880643437002</v>
      </c>
      <c r="J57">
        <f t="shared" si="10"/>
        <v>11.8328455459572</v>
      </c>
      <c r="K57" s="8">
        <f t="shared" si="11"/>
        <v>2.1872261974920102E-6</v>
      </c>
      <c r="L57" s="8">
        <f t="shared" si="12"/>
        <v>7.3657827659978604E-4</v>
      </c>
      <c r="M57" s="8">
        <f t="shared" si="13"/>
        <v>2.9328071266025199E-2</v>
      </c>
      <c r="N57" s="8">
        <f t="shared" si="14"/>
        <v>-1.1835343771831999E-2</v>
      </c>
      <c r="O57">
        <v>-8.0302498820317997E-3</v>
      </c>
      <c r="P57">
        <v>-5.3407981683839999E-2</v>
      </c>
      <c r="Q57">
        <v>-3.8534712600428997E-2</v>
      </c>
      <c r="R57">
        <v>-4.8839051111409001E-2</v>
      </c>
      <c r="S57">
        <f t="shared" si="15"/>
        <v>1.151873627180277</v>
      </c>
      <c r="T57">
        <f t="shared" si="16"/>
        <v>-29.723192626037584</v>
      </c>
      <c r="U57" s="9">
        <f t="shared" si="17"/>
        <v>1.0003226365836653</v>
      </c>
      <c r="V57" s="9">
        <f t="shared" si="18"/>
        <v>-0.57111073858906913</v>
      </c>
    </row>
    <row r="58" spans="1:22" x14ac:dyDescent="0.25">
      <c r="A58">
        <v>1</v>
      </c>
      <c r="B58">
        <v>16.399999999999999</v>
      </c>
      <c r="C58">
        <v>-1.3992661349584001E-2</v>
      </c>
      <c r="D58">
        <v>7.7826462924382002E-3</v>
      </c>
      <c r="E58">
        <v>0.98600192700722999</v>
      </c>
      <c r="F58">
        <v>6.3474936630156997E-3</v>
      </c>
      <c r="G58">
        <f t="shared" si="7"/>
        <v>27.970692526566999</v>
      </c>
      <c r="H58">
        <f t="shared" si="8"/>
        <v>14.3727882385227</v>
      </c>
      <c r="I58">
        <f t="shared" si="9"/>
        <v>27.9706903356578</v>
      </c>
      <c r="J58">
        <f t="shared" si="10"/>
        <v>14.3720706586942</v>
      </c>
      <c r="K58" s="8">
        <f t="shared" si="11"/>
        <v>2.1909091998395499E-6</v>
      </c>
      <c r="L58" s="8">
        <f t="shared" si="12"/>
        <v>7.17579828499737E-4</v>
      </c>
      <c r="M58" s="8">
        <f t="shared" si="13"/>
        <v>2.8284194243318898E-2</v>
      </c>
      <c r="N58" s="8">
        <f t="shared" si="14"/>
        <v>-1.4533157148109099E-2</v>
      </c>
      <c r="O58">
        <v>-1.2911012151921E-2</v>
      </c>
      <c r="P58">
        <v>-5.1593516845234999E-2</v>
      </c>
      <c r="Q58">
        <v>-4.2287072124887998E-2</v>
      </c>
      <c r="R58">
        <v>-4.4138339584010998E-2</v>
      </c>
      <c r="S58">
        <f t="shared" si="15"/>
        <v>1.1493212522956111</v>
      </c>
      <c r="T58">
        <f t="shared" si="16"/>
        <v>-29.723442132603711</v>
      </c>
      <c r="U58" s="9">
        <f t="shared" si="17"/>
        <v>0.99810359387593384</v>
      </c>
      <c r="V58" s="9">
        <f t="shared" si="18"/>
        <v>-0.56984959144523095</v>
      </c>
    </row>
    <row r="59" spans="1:22" x14ac:dyDescent="0.25">
      <c r="A59">
        <v>1</v>
      </c>
      <c r="B59">
        <v>16.5</v>
      </c>
      <c r="C59">
        <v>-1.3317502970101E-2</v>
      </c>
      <c r="D59">
        <v>8.8857510051909994E-3</v>
      </c>
      <c r="E59">
        <v>0.98667682065624995</v>
      </c>
      <c r="F59">
        <v>7.4883331213836998E-3</v>
      </c>
      <c r="G59">
        <f t="shared" si="7"/>
        <v>26.7445149505435</v>
      </c>
      <c r="H59">
        <f t="shared" si="8"/>
        <v>16.7455646361676</v>
      </c>
      <c r="I59">
        <f t="shared" si="9"/>
        <v>26.744512600546699</v>
      </c>
      <c r="J59">
        <f t="shared" si="10"/>
        <v>16.744865923600699</v>
      </c>
      <c r="K59" s="8">
        <f t="shared" si="11"/>
        <v>2.3499968015983099E-6</v>
      </c>
      <c r="L59" s="8">
        <f t="shared" si="12"/>
        <v>6.9871256690134899E-4</v>
      </c>
      <c r="M59" s="8">
        <f t="shared" si="13"/>
        <v>2.6861103514745702E-2</v>
      </c>
      <c r="N59" s="8">
        <f t="shared" si="14"/>
        <v>-1.6817864046816899E-2</v>
      </c>
      <c r="O59">
        <v>-1.7072621897428999E-2</v>
      </c>
      <c r="P59">
        <v>-4.9097719630662999E-2</v>
      </c>
      <c r="Q59">
        <v>-4.4919072551721E-2</v>
      </c>
      <c r="R59">
        <v>-3.9188471480136003E-2</v>
      </c>
      <c r="S59">
        <f t="shared" si="15"/>
        <v>1.1467748074290591</v>
      </c>
      <c r="T59">
        <f t="shared" si="16"/>
        <v>-29.723815351305451</v>
      </c>
      <c r="U59" s="9">
        <f t="shared" si="17"/>
        <v>0.99588848426061283</v>
      </c>
      <c r="V59" s="9">
        <f t="shared" si="18"/>
        <v>-0.56859351550211557</v>
      </c>
    </row>
    <row r="60" spans="1:22" x14ac:dyDescent="0.25">
      <c r="A60">
        <v>1</v>
      </c>
      <c r="B60">
        <v>16.600000000000001</v>
      </c>
      <c r="C60">
        <v>-1.2529568913954001E-2</v>
      </c>
      <c r="D60">
        <v>9.7769294229213995E-3</v>
      </c>
      <c r="E60">
        <v>0.98746380831824998</v>
      </c>
      <c r="F60">
        <v>8.4168583298971002E-3</v>
      </c>
      <c r="G60">
        <f t="shared" si="7"/>
        <v>25.629050568659199</v>
      </c>
      <c r="H60">
        <f t="shared" si="8"/>
        <v>18.9659075117182</v>
      </c>
      <c r="I60">
        <f t="shared" si="9"/>
        <v>25.6290477197172</v>
      </c>
      <c r="J60">
        <f t="shared" si="10"/>
        <v>18.965227471982502</v>
      </c>
      <c r="K60" s="8">
        <f t="shared" si="11"/>
        <v>2.8489419996446898E-6</v>
      </c>
      <c r="L60" s="8">
        <f t="shared" si="12"/>
        <v>6.8003973569830101E-4</v>
      </c>
      <c r="M60" s="8">
        <f t="shared" si="13"/>
        <v>2.52123396801174E-2</v>
      </c>
      <c r="N60" s="8">
        <f t="shared" si="14"/>
        <v>-1.8656867877555001E-2</v>
      </c>
      <c r="O60">
        <v>-2.0453075741011999E-2</v>
      </c>
      <c r="P60">
        <v>-4.6185635299658002E-2</v>
      </c>
      <c r="Q60">
        <v>-4.6528533404613999E-2</v>
      </c>
      <c r="R60">
        <v>-3.4290990447896998E-2</v>
      </c>
      <c r="S60">
        <f t="shared" si="15"/>
        <v>1.1442763557848363</v>
      </c>
      <c r="T60">
        <f t="shared" si="16"/>
        <v>-29.724298906908448</v>
      </c>
      <c r="U60" s="9">
        <f t="shared" si="17"/>
        <v>0.99371397684140039</v>
      </c>
      <c r="V60" s="9">
        <f t="shared" si="18"/>
        <v>-0.56736312061877459</v>
      </c>
    </row>
    <row r="61" spans="1:22" x14ac:dyDescent="0.25">
      <c r="A61">
        <v>1</v>
      </c>
      <c r="B61">
        <v>16.7</v>
      </c>
      <c r="C61">
        <v>-1.1691542433149E-2</v>
      </c>
      <c r="D61">
        <v>1.0463552134856001E-2</v>
      </c>
      <c r="E61">
        <v>0.98830051450982004</v>
      </c>
      <c r="F61">
        <v>9.1406371664112009E-3</v>
      </c>
      <c r="G61">
        <f t="shared" si="7"/>
        <v>24.6121019006527</v>
      </c>
      <c r="H61">
        <f t="shared" si="8"/>
        <v>21.046963071880398</v>
      </c>
      <c r="I61">
        <f t="shared" si="9"/>
        <v>24.612098366639401</v>
      </c>
      <c r="J61">
        <f t="shared" si="10"/>
        <v>21.046301609431602</v>
      </c>
      <c r="K61" s="8">
        <f t="shared" si="11"/>
        <v>3.53401329888925E-6</v>
      </c>
      <c r="L61" s="8">
        <f t="shared" si="12"/>
        <v>6.6146244879661297E-4</v>
      </c>
      <c r="M61" s="8">
        <f t="shared" si="13"/>
        <v>2.3469101549152299E-2</v>
      </c>
      <c r="N61" s="8">
        <f t="shared" si="14"/>
        <v>-2.0068901982585499E-2</v>
      </c>
      <c r="O61">
        <v>-2.3081003082108E-2</v>
      </c>
      <c r="P61">
        <v>-4.3091471890040998E-2</v>
      </c>
      <c r="Q61">
        <v>-4.7279931419738998E-2</v>
      </c>
      <c r="R61">
        <v>-2.9659049096998E-2</v>
      </c>
      <c r="S61">
        <f t="shared" si="15"/>
        <v>1.1417454459198983</v>
      </c>
      <c r="T61">
        <f t="shared" si="16"/>
        <v>-29.724895728937955</v>
      </c>
      <c r="U61" s="9">
        <f t="shared" si="17"/>
        <v>0.99151018384455658</v>
      </c>
      <c r="V61" s="9">
        <f t="shared" si="18"/>
        <v>-0.56611855526149391</v>
      </c>
    </row>
    <row r="62" spans="1:22" x14ac:dyDescent="0.25">
      <c r="A62">
        <v>1</v>
      </c>
      <c r="B62">
        <v>16.8</v>
      </c>
      <c r="C62">
        <v>-1.0851224598277E-2</v>
      </c>
      <c r="D62">
        <v>1.0967901814089E-2</v>
      </c>
      <c r="E62">
        <v>0.98915222254788004</v>
      </c>
      <c r="F62">
        <v>9.6866678758755001E-3</v>
      </c>
      <c r="G62">
        <f t="shared" si="7"/>
        <v>23.6782930969867</v>
      </c>
      <c r="H62">
        <f t="shared" si="8"/>
        <v>23.014846995349199</v>
      </c>
      <c r="I62">
        <f t="shared" si="9"/>
        <v>23.678295230944698</v>
      </c>
      <c r="J62">
        <f t="shared" si="10"/>
        <v>23.014206380851402</v>
      </c>
      <c r="K62" s="8">
        <f t="shared" si="11"/>
        <v>-2.13395799875116E-6</v>
      </c>
      <c r="L62" s="8">
        <f t="shared" si="12"/>
        <v>6.4061449779728697E-4</v>
      </c>
      <c r="M62" s="8">
        <f t="shared" si="13"/>
        <v>2.1716923462035E-2</v>
      </c>
      <c r="N62" s="8">
        <f t="shared" si="14"/>
        <v>-2.1107843856058101E-2</v>
      </c>
      <c r="O62">
        <v>-2.5036352444969E-2</v>
      </c>
      <c r="P62">
        <v>-3.9987440477114999E-2</v>
      </c>
      <c r="Q62">
        <v>-4.7357494329742997E-2</v>
      </c>
      <c r="R62">
        <v>-2.5416934192566E-2</v>
      </c>
      <c r="S62">
        <f t="shared" si="15"/>
        <v>1.139228189283797</v>
      </c>
      <c r="T62">
        <f t="shared" si="16"/>
        <v>-29.726483111489763</v>
      </c>
      <c r="U62" s="9">
        <f t="shared" si="17"/>
        <v>0.98930850738561182</v>
      </c>
      <c r="V62" s="9">
        <f t="shared" si="18"/>
        <v>-0.56489781772749981</v>
      </c>
    </row>
    <row r="63" spans="1:22" x14ac:dyDescent="0.25">
      <c r="A63">
        <v>1</v>
      </c>
      <c r="B63">
        <v>16.899999999999999</v>
      </c>
      <c r="C63">
        <v>-1.0041063613463999E-2</v>
      </c>
      <c r="D63">
        <v>1.131827289578E-2</v>
      </c>
      <c r="E63">
        <v>0.98996195458729996</v>
      </c>
      <c r="F63">
        <v>1.0074100397463001E-2</v>
      </c>
      <c r="G63">
        <f t="shared" si="7"/>
        <v>22.8259862592476</v>
      </c>
      <c r="H63">
        <f t="shared" si="8"/>
        <v>24.8519229896682</v>
      </c>
      <c r="I63">
        <f t="shared" si="9"/>
        <v>22.8259881553351</v>
      </c>
      <c r="J63">
        <f t="shared" si="10"/>
        <v>24.8513009055374</v>
      </c>
      <c r="K63" s="8">
        <f t="shared" si="11"/>
        <v>-1.8960875003415399E-6</v>
      </c>
      <c r="L63" s="8">
        <f t="shared" si="12"/>
        <v>6.2208413080000501E-4</v>
      </c>
      <c r="M63" s="8">
        <f t="shared" si="13"/>
        <v>2.0047189274259102E-2</v>
      </c>
      <c r="N63" s="8">
        <f t="shared" si="14"/>
        <v>-2.1825943725832998E-2</v>
      </c>
      <c r="O63">
        <v>-2.6427952901558999E-2</v>
      </c>
      <c r="P63">
        <v>-3.6997609081093001E-2</v>
      </c>
      <c r="Q63">
        <v>-4.6941493534237003E-2</v>
      </c>
      <c r="R63">
        <v>-2.1624112554386E-2</v>
      </c>
      <c r="S63">
        <f t="shared" si="15"/>
        <v>1.1367057043814546</v>
      </c>
      <c r="T63">
        <f t="shared" si="16"/>
        <v>-29.727527406117616</v>
      </c>
      <c r="U63" s="9">
        <f t="shared" si="17"/>
        <v>0.98710770200371756</v>
      </c>
      <c r="V63" s="9">
        <f t="shared" si="18"/>
        <v>-0.5636650095741963</v>
      </c>
    </row>
    <row r="64" spans="1:22" x14ac:dyDescent="0.25">
      <c r="A64">
        <v>1</v>
      </c>
      <c r="B64">
        <v>17</v>
      </c>
      <c r="C64">
        <v>-9.2806496681345999E-3</v>
      </c>
      <c r="D64">
        <v>1.1544137055383E-2</v>
      </c>
      <c r="E64">
        <v>0.99071992697915001</v>
      </c>
      <c r="F64">
        <v>1.0337858946840001E-2</v>
      </c>
      <c r="G64">
        <f t="shared" si="7"/>
        <v>22.043693060356599</v>
      </c>
      <c r="H64">
        <f t="shared" si="8"/>
        <v>26.577984821284499</v>
      </c>
      <c r="I64">
        <f t="shared" si="9"/>
        <v>22.043693712456399</v>
      </c>
      <c r="J64">
        <f t="shared" si="10"/>
        <v>26.577381682797501</v>
      </c>
      <c r="K64" s="8">
        <f t="shared" si="11"/>
        <v>-6.52099799935968E-7</v>
      </c>
      <c r="L64" s="8">
        <f t="shared" si="12"/>
        <v>6.0313848699777904E-4</v>
      </c>
      <c r="M64" s="8">
        <f t="shared" si="13"/>
        <v>1.8488663077068E-2</v>
      </c>
      <c r="N64" s="8">
        <f t="shared" si="14"/>
        <v>-2.2291194108100501E-2</v>
      </c>
      <c r="O64">
        <v>-2.7362079659807002E-2</v>
      </c>
      <c r="P64">
        <v>-3.4192349829940002E-2</v>
      </c>
      <c r="Q64">
        <v>-4.6180256548960998E-2</v>
      </c>
      <c r="R64">
        <v>-1.8287297168109999E-2</v>
      </c>
      <c r="S64">
        <f t="shared" si="15"/>
        <v>1.1341918811470109</v>
      </c>
      <c r="T64">
        <f t="shared" si="16"/>
        <v>-29.728339301416192</v>
      </c>
      <c r="U64" s="9">
        <f t="shared" si="17"/>
        <v>0.98491674485626068</v>
      </c>
      <c r="V64" s="9">
        <f t="shared" si="18"/>
        <v>-0.56243242168419028</v>
      </c>
    </row>
    <row r="65" spans="1:22" x14ac:dyDescent="0.25">
      <c r="A65">
        <v>1.2</v>
      </c>
      <c r="B65">
        <v>15</v>
      </c>
      <c r="C65">
        <v>-6.7891973277925998E-3</v>
      </c>
      <c r="D65">
        <v>-5.0147001302233004E-3</v>
      </c>
      <c r="E65">
        <v>0.99321576956234003</v>
      </c>
      <c r="F65">
        <v>-7.0600183460999997E-3</v>
      </c>
      <c r="G65">
        <f t="shared" si="7"/>
        <v>40.627015278700597</v>
      </c>
      <c r="H65">
        <f t="shared" si="8"/>
        <v>-36.585468364900898</v>
      </c>
      <c r="I65">
        <f t="shared" si="9"/>
        <v>40.627018807962401</v>
      </c>
      <c r="J65">
        <f t="shared" si="10"/>
        <v>-36.586491017859998</v>
      </c>
      <c r="K65" s="8">
        <f t="shared" si="11"/>
        <v>-3.52926180369195E-6</v>
      </c>
      <c r="L65" s="8">
        <f t="shared" si="12"/>
        <v>1.0226529591008701E-3</v>
      </c>
      <c r="M65" s="8">
        <f t="shared" si="13"/>
        <v>1.35916047197701E-2</v>
      </c>
      <c r="N65" s="8">
        <f t="shared" si="14"/>
        <v>1.22398625000935E-2</v>
      </c>
      <c r="O65">
        <v>2.9302071292599999E-2</v>
      </c>
      <c r="P65">
        <v>-2.0944879489108E-2</v>
      </c>
      <c r="Q65">
        <v>1.7839528039462999E-2</v>
      </c>
      <c r="R65">
        <v>-3.8750105897776999E-2</v>
      </c>
      <c r="S65">
        <f t="shared" si="15"/>
        <v>1.184388144667561</v>
      </c>
      <c r="T65">
        <f t="shared" si="16"/>
        <v>-29.723029581994712</v>
      </c>
      <c r="U65" s="9">
        <f t="shared" si="17"/>
        <v>1.0285609189237348</v>
      </c>
      <c r="V65" s="9">
        <f t="shared" si="18"/>
        <v>-0.58722884235349815</v>
      </c>
    </row>
    <row r="66" spans="1:22" x14ac:dyDescent="0.25">
      <c r="A66">
        <v>1.2</v>
      </c>
      <c r="B66" s="1">
        <v>15.1</v>
      </c>
      <c r="C66">
        <v>-7.7686173064311003E-3</v>
      </c>
      <c r="D66">
        <v>-5.3449381795967E-3</v>
      </c>
      <c r="E66">
        <v>0.99223450958778003</v>
      </c>
      <c r="F66">
        <v>-7.3625380299786004E-3</v>
      </c>
      <c r="G66">
        <f t="shared" si="7"/>
        <v>38.0664162803889</v>
      </c>
      <c r="H66">
        <f t="shared" si="8"/>
        <v>-31.548255443864001</v>
      </c>
      <c r="I66">
        <f t="shared" si="9"/>
        <v>38.066418861504999</v>
      </c>
      <c r="J66">
        <f t="shared" si="10"/>
        <v>-31.549264239608199</v>
      </c>
      <c r="K66" s="8">
        <f t="shared" si="11"/>
        <v>-2.5811160995203902E-6</v>
      </c>
      <c r="L66" s="8">
        <f t="shared" si="12"/>
        <v>1.00879574419821E-3</v>
      </c>
      <c r="M66" s="8">
        <f t="shared" si="13"/>
        <v>1.55728560427561E-2</v>
      </c>
      <c r="N66" s="8">
        <f t="shared" si="14"/>
        <v>1.2906707931886301E-2</v>
      </c>
      <c r="O66">
        <v>3.0266445352739001E-2</v>
      </c>
      <c r="P66">
        <v>-2.3964195210026001E-2</v>
      </c>
      <c r="Q66">
        <v>1.7024006367314E-2</v>
      </c>
      <c r="R66">
        <v>-4.2327613361425001E-2</v>
      </c>
      <c r="S66">
        <f t="shared" si="15"/>
        <v>1.181788055523894</v>
      </c>
      <c r="T66">
        <f t="shared" si="16"/>
        <v>-29.718916644969017</v>
      </c>
      <c r="U66" s="9">
        <f t="shared" si="17"/>
        <v>1.0263449761547769</v>
      </c>
      <c r="V66" s="9">
        <f t="shared" si="18"/>
        <v>-0.58586602401982379</v>
      </c>
    </row>
    <row r="67" spans="1:22" x14ac:dyDescent="0.25">
      <c r="A67">
        <v>1.2</v>
      </c>
      <c r="B67" s="1">
        <v>15.2</v>
      </c>
      <c r="C67">
        <v>-8.8892370491784993E-3</v>
      </c>
      <c r="D67">
        <v>-5.5968988459333003E-3</v>
      </c>
      <c r="E67">
        <v>0.99111354293887</v>
      </c>
      <c r="F67">
        <v>-7.5865959396961002E-3</v>
      </c>
      <c r="G67">
        <f t="shared" ref="G67:G130" si="19">IMREAL(IMDIV(IMSUM(IMPRODUCT(COMPLEX(1 + C67,D67),COMPLEX(1 - C67, - D67)),IMPRODUCT(COMPLEX(E67,F67),COMPLEX(E67,F67))),IMSUB(IMPRODUCT(COMPLEX(1 - C67, - D67),COMPLEX(1 - C67, - D67)),IMPRODUCT(COMPLEX(E67,F67),COMPLEX(E67,F67)))))</f>
        <v>35.793232644240199</v>
      </c>
      <c r="H67">
        <f t="shared" ref="H67:H130" si="20">IMAGINARY(IMDIV(IMSUM(IMPRODUCT(COMPLEX(1 + C67,D67),COMPLEX(1 - C67, - D67)),IMPRODUCT(COMPLEX(E67,F67),COMPLEX(E67,F67))),IMSUB(IMPRODUCT(COMPLEX(1 - C67, - D67),COMPLEX(1 - C67, - D67)),IMPRODUCT(COMPLEX(E67,F67),COMPLEX(E67,F67)))))</f>
        <v>-26.916688260268</v>
      </c>
      <c r="I67">
        <f t="shared" ref="I67:I130" si="21">IMREAL(IMDIV(IMPRODUCT(COMPLEX(2,0),COMPLEX(E67,F67)),IMSUB(IMPRODUCT(COMPLEX(1 - C67, - D67),COMPLEX(1 - C67, - D67)),IMPRODUCT(COMPLEX(E67,F67),COMPLEX(E67,F67)))))</f>
        <v>35.7932350239508</v>
      </c>
      <c r="J67">
        <f t="shared" ref="J67:J130" si="22">IMAGINARY(IMDIV(IMPRODUCT(COMPLEX(2,0),COMPLEX(E67,F67)),IMSUB(IMPRODUCT(COMPLEX(1 - C67, - D67),COMPLEX(1 - C67, - D67)),IMPRODUCT(COMPLEX(E67,F67),COMPLEX(E67,F67)))))</f>
        <v>-26.917683105064601</v>
      </c>
      <c r="K67" s="8">
        <f t="shared" ref="K67:K130" si="23">IMREAL(IMSUB(COMPLEX(G67,H67),COMPLEX(I67,J67)))</f>
        <v>-2.3797106010192701E-6</v>
      </c>
      <c r="L67" s="8">
        <f t="shared" ref="L67:L130" si="24">IMAGINARY(IMSUB(COMPLEX(G67,H67),COMPLEX(I67,J67)))</f>
        <v>9.9484479660105806E-4</v>
      </c>
      <c r="M67" s="8">
        <f t="shared" ref="M67:M130" si="25">IMREAL(IMDIV(IMSUB(IMPRODUCT(COMPLEX(1 - C67, - D67),COMPLEX(1 - C67, - D67)),IMPRODUCT(COMPLEX(E67,F67),COMPLEX(E67,F67))),IMPRODUCT(COMPLEX(2,0),COMPLEX(E67,F67))))</f>
        <v>1.7845602847249599E-2</v>
      </c>
      <c r="N67" s="8">
        <f t="shared" ref="N67:N130" si="26">IMAGINARY(IMDIV(IMSUB(IMPRODUCT(COMPLEX(1 - C67, - D67),COMPLEX(1 - C67, - D67)),IMPRODUCT(COMPLEX(E67,F67),COMPLEX(E67,F67))),IMPRODUCT(COMPLEX(2,0),COMPLEX(E67,F67))))</f>
        <v>1.3420476856581201E-2</v>
      </c>
      <c r="O67">
        <v>3.0982995851622001E-2</v>
      </c>
      <c r="P67">
        <v>-2.7414865198897E-2</v>
      </c>
      <c r="Q67">
        <v>1.5705387048695001E-2</v>
      </c>
      <c r="R67">
        <v>-4.6190161883937E-2</v>
      </c>
      <c r="S67">
        <f t="shared" ref="S67:S130" si="27">IMABS(COMPLEX(Q67,R67))/IMABS(COMPLEX(O67,P67))</f>
        <v>1.1792740329331672</v>
      </c>
      <c r="T67">
        <f t="shared" ref="T67:T130" si="28">IMARGUMENT(IMDIV(COMPLEX(Q67,R67),COMPLEX(O67/B67,P67/B67)))/PI()*180</f>
        <v>-29.717599213286523</v>
      </c>
      <c r="U67" s="9">
        <f t="shared" ref="U67:U130" si="29">S67*COS(T67/180*PI())</f>
        <v>1.0241750704606034</v>
      </c>
      <c r="V67" s="9">
        <f t="shared" ref="V67:V130" si="30">S67*SIN(T67/180*PI())</f>
        <v>-0.58459615958153111</v>
      </c>
    </row>
    <row r="68" spans="1:22" x14ac:dyDescent="0.25">
      <c r="A68">
        <v>1.2</v>
      </c>
      <c r="B68" s="1">
        <v>15.3</v>
      </c>
      <c r="C68">
        <v>-1.0157124239861001E-2</v>
      </c>
      <c r="D68">
        <v>-5.7312385752372004E-3</v>
      </c>
      <c r="E68">
        <v>0.98984578019424996</v>
      </c>
      <c r="F68">
        <v>-7.6934075128970002E-3</v>
      </c>
      <c r="G68">
        <f t="shared" si="19"/>
        <v>33.765028566967104</v>
      </c>
      <c r="H68">
        <f t="shared" si="20"/>
        <v>-22.646750178290802</v>
      </c>
      <c r="I68">
        <f t="shared" si="21"/>
        <v>33.765030981703603</v>
      </c>
      <c r="J68">
        <f t="shared" si="22"/>
        <v>-22.647731258965798</v>
      </c>
      <c r="K68" s="8">
        <f t="shared" si="23"/>
        <v>-2.41473649964519E-6</v>
      </c>
      <c r="L68" s="8">
        <f t="shared" si="24"/>
        <v>9.8108067499680395E-4</v>
      </c>
      <c r="M68" s="8">
        <f t="shared" si="25"/>
        <v>2.04265524944056E-2</v>
      </c>
      <c r="N68" s="8">
        <f t="shared" si="26"/>
        <v>1.3701011312299199E-2</v>
      </c>
      <c r="O68">
        <v>3.1332843894167003E-2</v>
      </c>
      <c r="P68">
        <v>-3.1316236971016001E-2</v>
      </c>
      <c r="Q68">
        <v>1.3754852781990999E-2</v>
      </c>
      <c r="R68">
        <v>-5.0284743132854998E-2</v>
      </c>
      <c r="S68">
        <f t="shared" si="27"/>
        <v>1.1768067214173026</v>
      </c>
      <c r="T68">
        <f t="shared" si="28"/>
        <v>-29.716774079074462</v>
      </c>
      <c r="U68" s="9">
        <f t="shared" si="29"/>
        <v>1.0220406627456977</v>
      </c>
      <c r="V68" s="9">
        <f t="shared" si="30"/>
        <v>-0.58335833178868335</v>
      </c>
    </row>
    <row r="69" spans="1:22" x14ac:dyDescent="0.25">
      <c r="A69">
        <v>1.2</v>
      </c>
      <c r="B69" s="1">
        <v>15.4</v>
      </c>
      <c r="C69">
        <v>-1.1568555449032E-2</v>
      </c>
      <c r="D69">
        <v>-5.6990142483184002E-3</v>
      </c>
      <c r="E69">
        <v>0.98843491066458</v>
      </c>
      <c r="F69">
        <v>-7.6357615263244003E-3</v>
      </c>
      <c r="G69">
        <f t="shared" si="19"/>
        <v>31.9463330429816</v>
      </c>
      <c r="H69">
        <f t="shared" si="20"/>
        <v>-18.702344430354199</v>
      </c>
      <c r="I69">
        <f t="shared" si="21"/>
        <v>31.946335713777199</v>
      </c>
      <c r="J69">
        <f t="shared" si="22"/>
        <v>-18.7033127997287</v>
      </c>
      <c r="K69" s="8">
        <f t="shared" si="23"/>
        <v>-2.6707955989024901E-6</v>
      </c>
      <c r="L69" s="8">
        <f t="shared" si="24"/>
        <v>9.6836937450106597E-4</v>
      </c>
      <c r="M69" s="8">
        <f t="shared" si="25"/>
        <v>2.3311988407472201E-2</v>
      </c>
      <c r="N69" s="8">
        <f t="shared" si="26"/>
        <v>1.3648244827671E-2</v>
      </c>
      <c r="O69">
        <v>3.1167843028684E-2</v>
      </c>
      <c r="P69">
        <v>-3.5658374065397E-2</v>
      </c>
      <c r="Q69">
        <v>1.1030530255884E-2</v>
      </c>
      <c r="R69">
        <v>-5.4510920434585997E-2</v>
      </c>
      <c r="S69">
        <f t="shared" si="27"/>
        <v>1.1743233734629266</v>
      </c>
      <c r="T69">
        <f t="shared" si="28"/>
        <v>-29.716078426055955</v>
      </c>
      <c r="U69" s="9">
        <f t="shared" si="29"/>
        <v>1.0198909765440549</v>
      </c>
      <c r="V69" s="9">
        <f t="shared" si="30"/>
        <v>-0.58211492114990693</v>
      </c>
    </row>
    <row r="70" spans="1:22" x14ac:dyDescent="0.25">
      <c r="A70">
        <v>1.2</v>
      </c>
      <c r="B70" s="1">
        <v>15.5</v>
      </c>
      <c r="C70">
        <v>-1.3104227884359001E-2</v>
      </c>
      <c r="D70">
        <v>-5.4434147179767004E-3</v>
      </c>
      <c r="E70">
        <v>0.98690681087231003</v>
      </c>
      <c r="F70">
        <v>-7.3408931985221998E-3</v>
      </c>
      <c r="G70">
        <f t="shared" si="19"/>
        <v>30.329802092187801</v>
      </c>
      <c r="H70">
        <f t="shared" si="20"/>
        <v>-15.044433452871999</v>
      </c>
      <c r="I70">
        <f t="shared" si="21"/>
        <v>30.329808511626101</v>
      </c>
      <c r="J70">
        <f t="shared" si="22"/>
        <v>-15.045382180785399</v>
      </c>
      <c r="K70" s="8">
        <f t="shared" si="23"/>
        <v>-6.4194383000426603E-6</v>
      </c>
      <c r="L70" s="8">
        <f t="shared" si="24"/>
        <v>9.48727913399949E-4</v>
      </c>
      <c r="M70" s="8">
        <f t="shared" si="25"/>
        <v>2.6459779715993999E-2</v>
      </c>
      <c r="N70" s="8">
        <f t="shared" si="26"/>
        <v>1.31256185839065E-2</v>
      </c>
      <c r="O70">
        <v>3.0316569055433999E-2</v>
      </c>
      <c r="P70">
        <v>-4.0382048463486003E-2</v>
      </c>
      <c r="Q70">
        <v>7.3973856852942999E-3</v>
      </c>
      <c r="R70">
        <v>-5.8705834190503001E-2</v>
      </c>
      <c r="S70">
        <f t="shared" si="27"/>
        <v>1.1717868267063778</v>
      </c>
      <c r="T70">
        <f t="shared" si="28"/>
        <v>-29.71530281835037</v>
      </c>
      <c r="U70" s="9">
        <f t="shared" si="29"/>
        <v>1.0176958677744523</v>
      </c>
      <c r="V70" s="9">
        <f t="shared" si="30"/>
        <v>-0.58084377241854557</v>
      </c>
    </row>
    <row r="71" spans="1:22" x14ac:dyDescent="0.25">
      <c r="A71">
        <v>1.2</v>
      </c>
      <c r="B71">
        <v>15.6</v>
      </c>
      <c r="C71">
        <v>-1.4722104271303001E-2</v>
      </c>
      <c r="D71">
        <v>-4.9050106858980003E-3</v>
      </c>
      <c r="E71">
        <v>0.98528881173413996</v>
      </c>
      <c r="F71">
        <v>-6.7709079571925002E-3</v>
      </c>
      <c r="G71">
        <f t="shared" si="19"/>
        <v>28.8556206820776</v>
      </c>
      <c r="H71">
        <f t="shared" si="20"/>
        <v>-11.6446417131231</v>
      </c>
      <c r="I71">
        <f t="shared" si="21"/>
        <v>28.855627010428702</v>
      </c>
      <c r="J71">
        <f t="shared" si="22"/>
        <v>-11.6455746507627</v>
      </c>
      <c r="K71" s="8">
        <f t="shared" si="23"/>
        <v>-6.3283511018141797E-6</v>
      </c>
      <c r="L71" s="8">
        <f t="shared" si="24"/>
        <v>9.3293763960034003E-4</v>
      </c>
      <c r="M71" s="8">
        <f t="shared" si="25"/>
        <v>2.9801323768558801E-2</v>
      </c>
      <c r="N71" s="8">
        <f t="shared" si="26"/>
        <v>1.2027239626880201E-2</v>
      </c>
      <c r="O71">
        <v>2.8590149235127999E-2</v>
      </c>
      <c r="P71">
        <v>-4.5356872055131003E-2</v>
      </c>
      <c r="Q71">
        <v>2.7452889048978999E-3</v>
      </c>
      <c r="R71">
        <v>-6.2632482938852999E-2</v>
      </c>
      <c r="S71">
        <f t="shared" si="27"/>
        <v>1.1692960879554721</v>
      </c>
      <c r="T71">
        <f t="shared" si="28"/>
        <v>-29.715013784480107</v>
      </c>
      <c r="U71" s="9">
        <f t="shared" si="29"/>
        <v>1.0155355871553076</v>
      </c>
      <c r="V71" s="9">
        <f t="shared" si="30"/>
        <v>-0.579604013555027</v>
      </c>
    </row>
    <row r="72" spans="1:22" x14ac:dyDescent="0.25">
      <c r="A72">
        <v>1.2</v>
      </c>
      <c r="B72">
        <v>15.7</v>
      </c>
      <c r="C72">
        <v>-1.6352499398256001E-2</v>
      </c>
      <c r="D72">
        <v>-4.0314532730800004E-3</v>
      </c>
      <c r="E72">
        <v>0.98365745596890997</v>
      </c>
      <c r="F72">
        <v>-5.8737208617417004E-3</v>
      </c>
      <c r="G72">
        <f t="shared" si="19"/>
        <v>27.514434784137201</v>
      </c>
      <c r="H72">
        <f t="shared" si="20"/>
        <v>-8.4866938986475606</v>
      </c>
      <c r="I72">
        <f t="shared" si="21"/>
        <v>27.51444061027</v>
      </c>
      <c r="J72">
        <f t="shared" si="22"/>
        <v>-8.4876150224901803</v>
      </c>
      <c r="K72" s="8">
        <f t="shared" si="23"/>
        <v>-5.8261327993136496E-6</v>
      </c>
      <c r="L72" s="8">
        <f t="shared" si="24"/>
        <v>9.2112384261966397E-4</v>
      </c>
      <c r="M72" s="8">
        <f t="shared" si="25"/>
        <v>3.3186551570408201E-2</v>
      </c>
      <c r="N72" s="8">
        <f t="shared" si="26"/>
        <v>1.02373396444231E-2</v>
      </c>
      <c r="O72">
        <v>2.5830482553892E-2</v>
      </c>
      <c r="P72">
        <v>-5.0368110167433998E-2</v>
      </c>
      <c r="Q72">
        <v>-2.9547723665062E-3</v>
      </c>
      <c r="R72">
        <v>-6.5982801043776004E-2</v>
      </c>
      <c r="S72">
        <f t="shared" si="27"/>
        <v>1.1668328394068435</v>
      </c>
      <c r="T72">
        <f t="shared" si="28"/>
        <v>-29.714342679576138</v>
      </c>
      <c r="U72" s="9">
        <f t="shared" si="29"/>
        <v>1.0134030262401015</v>
      </c>
      <c r="V72" s="9">
        <f t="shared" si="30"/>
        <v>-0.5783711451357515</v>
      </c>
    </row>
    <row r="73" spans="1:22" x14ac:dyDescent="0.25">
      <c r="A73">
        <v>1.2</v>
      </c>
      <c r="B73">
        <v>15.8</v>
      </c>
      <c r="C73">
        <v>-1.7897738391375002E-2</v>
      </c>
      <c r="D73">
        <v>-2.7920848077806E-3</v>
      </c>
      <c r="E73">
        <v>0.98210619245230002</v>
      </c>
      <c r="F73">
        <v>-4.6065087201462998E-3</v>
      </c>
      <c r="G73">
        <f t="shared" si="19"/>
        <v>26.294611588110499</v>
      </c>
      <c r="H73">
        <f t="shared" si="20"/>
        <v>-5.5383529772598603</v>
      </c>
      <c r="I73">
        <f t="shared" si="21"/>
        <v>26.294614376556599</v>
      </c>
      <c r="J73">
        <f t="shared" si="22"/>
        <v>-5.5392601849033003</v>
      </c>
      <c r="K73" s="8">
        <f t="shared" si="23"/>
        <v>-2.78844609979956E-6</v>
      </c>
      <c r="L73" s="8">
        <f t="shared" si="24"/>
        <v>9.0720764343998905E-4</v>
      </c>
      <c r="M73" s="8">
        <f t="shared" si="25"/>
        <v>3.6414586775973097E-2</v>
      </c>
      <c r="N73" s="8">
        <f t="shared" si="26"/>
        <v>7.6711477030707697E-3</v>
      </c>
      <c r="O73">
        <v>2.1944493583428999E-2</v>
      </c>
      <c r="P73">
        <v>-5.5116677100509E-2</v>
      </c>
      <c r="Q73">
        <v>-9.6182281513478001E-3</v>
      </c>
      <c r="R73">
        <v>-6.8400711888868995E-2</v>
      </c>
      <c r="S73">
        <f t="shared" si="27"/>
        <v>1.1643337256837754</v>
      </c>
      <c r="T73">
        <f t="shared" si="28"/>
        <v>-29.714002629996774</v>
      </c>
      <c r="U73" s="9">
        <f t="shared" si="29"/>
        <v>1.0112359525810186</v>
      </c>
      <c r="V73" s="9">
        <f t="shared" si="30"/>
        <v>-0.5771263925451865</v>
      </c>
    </row>
    <row r="74" spans="1:22" x14ac:dyDescent="0.25">
      <c r="A74">
        <v>1.2</v>
      </c>
      <c r="B74">
        <v>15.9</v>
      </c>
      <c r="C74">
        <v>-1.9240780489889E-2</v>
      </c>
      <c r="D74">
        <v>-1.1942150760877999E-3</v>
      </c>
      <c r="E74">
        <v>0.98076104927461005</v>
      </c>
      <c r="F74">
        <v>-2.9746874610857999E-3</v>
      </c>
      <c r="G74">
        <f t="shared" si="19"/>
        <v>25.186212083494802</v>
      </c>
      <c r="H74">
        <f t="shared" si="20"/>
        <v>-2.78240483815933</v>
      </c>
      <c r="I74">
        <f t="shared" si="21"/>
        <v>25.186213790893898</v>
      </c>
      <c r="J74">
        <f t="shared" si="22"/>
        <v>-2.7832950720173799</v>
      </c>
      <c r="K74" s="8">
        <f t="shared" si="23"/>
        <v>-1.70739909677309E-6</v>
      </c>
      <c r="L74" s="8">
        <f t="shared" si="24"/>
        <v>8.90233858049871E-4</v>
      </c>
      <c r="M74" s="8">
        <f t="shared" si="25"/>
        <v>3.92252356400302E-2</v>
      </c>
      <c r="N74" s="8">
        <f t="shared" si="26"/>
        <v>4.3347287512936596E-3</v>
      </c>
      <c r="O74">
        <v>1.6955698743674998E-2</v>
      </c>
      <c r="P74">
        <v>-5.9241424138634001E-2</v>
      </c>
      <c r="Q74">
        <v>-1.7006714681259999E-2</v>
      </c>
      <c r="R74">
        <v>-6.9541546133648005E-2</v>
      </c>
      <c r="S74">
        <f t="shared" si="27"/>
        <v>1.1618097978837667</v>
      </c>
      <c r="T74">
        <f t="shared" si="28"/>
        <v>-29.714070878472373</v>
      </c>
      <c r="U74" s="9">
        <f t="shared" si="29"/>
        <v>1.0090432090711383</v>
      </c>
      <c r="V74" s="9">
        <f t="shared" si="30"/>
        <v>-0.57587655681242833</v>
      </c>
    </row>
    <row r="75" spans="1:22" x14ac:dyDescent="0.25">
      <c r="A75">
        <v>1.2</v>
      </c>
      <c r="B75">
        <v>16</v>
      </c>
      <c r="C75">
        <v>-2.0264701448943E-2</v>
      </c>
      <c r="D75">
        <v>7.0539694090600996E-4</v>
      </c>
      <c r="E75">
        <v>0.97973211413531003</v>
      </c>
      <c r="F75">
        <v>-1.035296025441E-3</v>
      </c>
      <c r="G75">
        <f t="shared" si="19"/>
        <v>24.169872872825199</v>
      </c>
      <c r="H75">
        <f t="shared" si="20"/>
        <v>-0.200355569102936</v>
      </c>
      <c r="I75">
        <f t="shared" si="21"/>
        <v>24.1698720381209</v>
      </c>
      <c r="J75">
        <f t="shared" si="22"/>
        <v>-0.20122591769836801</v>
      </c>
      <c r="K75" s="8">
        <f t="shared" si="23"/>
        <v>8.3470429856902197E-7</v>
      </c>
      <c r="L75" s="8">
        <f t="shared" si="24"/>
        <v>8.7034859543200205E-4</v>
      </c>
      <c r="M75" s="8">
        <f t="shared" si="25"/>
        <v>4.1370955109699299E-2</v>
      </c>
      <c r="N75" s="8">
        <f t="shared" si="26"/>
        <v>3.4443328433336902E-4</v>
      </c>
      <c r="O75">
        <v>1.1038960708118E-2</v>
      </c>
      <c r="P75">
        <v>-6.2382055421616997E-2</v>
      </c>
      <c r="Q75">
        <v>-2.4731805012397998E-2</v>
      </c>
      <c r="R75">
        <v>-6.9153917956668004E-2</v>
      </c>
      <c r="S75">
        <f t="shared" si="27"/>
        <v>1.1593041765945051</v>
      </c>
      <c r="T75">
        <f t="shared" si="28"/>
        <v>-29.713809036558274</v>
      </c>
      <c r="U75" s="9">
        <f t="shared" si="29"/>
        <v>1.0068696784679945</v>
      </c>
      <c r="V75" s="9">
        <f t="shared" si="30"/>
        <v>-0.57462998916800467</v>
      </c>
    </row>
    <row r="76" spans="1:22" x14ac:dyDescent="0.25">
      <c r="A76">
        <v>1.2</v>
      </c>
      <c r="B76">
        <v>16.100000000000001</v>
      </c>
      <c r="C76">
        <v>-2.0878409441301E-2</v>
      </c>
      <c r="D76">
        <v>2.8016709897494998E-3</v>
      </c>
      <c r="E76">
        <v>0.97912033533404996</v>
      </c>
      <c r="F76">
        <v>1.092710044544E-3</v>
      </c>
      <c r="G76">
        <f t="shared" si="19"/>
        <v>23.240976644538399</v>
      </c>
      <c r="H76">
        <f t="shared" si="20"/>
        <v>2.21452382791994</v>
      </c>
      <c r="I76">
        <f t="shared" si="21"/>
        <v>23.240976747063399</v>
      </c>
      <c r="J76">
        <f t="shared" si="22"/>
        <v>2.2136693469986599</v>
      </c>
      <c r="K76" s="8">
        <f t="shared" si="23"/>
        <v>-1.02525000045262E-7</v>
      </c>
      <c r="L76" s="8">
        <f t="shared" si="24"/>
        <v>8.5448092128004305E-4</v>
      </c>
      <c r="M76" s="8">
        <f t="shared" si="25"/>
        <v>4.2640603740640999E-2</v>
      </c>
      <c r="N76" s="8">
        <f t="shared" si="26"/>
        <v>-4.0614556980743304E-3</v>
      </c>
      <c r="O76">
        <v>4.5184740945063999E-3</v>
      </c>
      <c r="P76">
        <v>-6.4260813110180004E-2</v>
      </c>
      <c r="Q76">
        <v>-3.2306913195361997E-2</v>
      </c>
      <c r="R76">
        <v>-6.7153041720986004E-2</v>
      </c>
      <c r="S76">
        <f t="shared" si="27"/>
        <v>1.1567969219678897</v>
      </c>
      <c r="T76">
        <f t="shared" si="28"/>
        <v>-29.714030203325621</v>
      </c>
      <c r="U76" s="9">
        <f t="shared" si="29"/>
        <v>1.0046898842114884</v>
      </c>
      <c r="V76" s="9">
        <f t="shared" si="30"/>
        <v>-0.57339110146346883</v>
      </c>
    </row>
    <row r="77" spans="1:22" x14ac:dyDescent="0.25">
      <c r="A77">
        <v>1.2</v>
      </c>
      <c r="B77">
        <v>16.2</v>
      </c>
      <c r="C77">
        <v>-2.1039988968630002E-2</v>
      </c>
      <c r="D77">
        <v>4.9584784671817999E-3</v>
      </c>
      <c r="E77">
        <v>0.97895643727065995</v>
      </c>
      <c r="F77">
        <v>3.2819329219831001E-3</v>
      </c>
      <c r="G77">
        <f t="shared" si="19"/>
        <v>22.384807732193799</v>
      </c>
      <c r="H77">
        <f t="shared" si="20"/>
        <v>4.4815101624537901</v>
      </c>
      <c r="I77">
        <f t="shared" si="21"/>
        <v>22.384806648014798</v>
      </c>
      <c r="J77">
        <f t="shared" si="22"/>
        <v>4.4806718872744504</v>
      </c>
      <c r="K77" s="8">
        <f t="shared" si="23"/>
        <v>1.0841790007987099E-6</v>
      </c>
      <c r="L77" s="8">
        <f t="shared" si="24"/>
        <v>8.38275179339654E-4</v>
      </c>
      <c r="M77" s="8">
        <f t="shared" si="25"/>
        <v>4.2952219893069001E-2</v>
      </c>
      <c r="N77" s="8">
        <f t="shared" si="26"/>
        <v>-8.5975638385946407E-3</v>
      </c>
      <c r="O77">
        <v>-2.1884059416290001E-3</v>
      </c>
      <c r="P77">
        <v>-6.4748616197445999E-2</v>
      </c>
      <c r="Q77">
        <v>-3.9239344065883003E-2</v>
      </c>
      <c r="R77">
        <v>-6.3658965884555996E-2</v>
      </c>
      <c r="S77">
        <f t="shared" si="27"/>
        <v>1.1542836827629619</v>
      </c>
      <c r="T77">
        <f t="shared" si="28"/>
        <v>-29.713878253567319</v>
      </c>
      <c r="U77" s="9">
        <f t="shared" si="29"/>
        <v>1.0025086277573456</v>
      </c>
      <c r="V77" s="9">
        <f t="shared" si="30"/>
        <v>-0.57214270209879448</v>
      </c>
    </row>
    <row r="78" spans="1:22" x14ac:dyDescent="0.25">
      <c r="A78">
        <v>1.2</v>
      </c>
      <c r="B78">
        <v>16.3</v>
      </c>
      <c r="C78">
        <v>-2.0765751730205E-2</v>
      </c>
      <c r="D78">
        <v>7.0367758168614E-3</v>
      </c>
      <c r="E78">
        <v>0.97922999557189006</v>
      </c>
      <c r="F78">
        <v>5.3963334399642999E-3</v>
      </c>
      <c r="G78">
        <f t="shared" si="19"/>
        <v>21.5958240268282</v>
      </c>
      <c r="H78">
        <f t="shared" si="20"/>
        <v>6.61446534105088</v>
      </c>
      <c r="I78">
        <f t="shared" si="21"/>
        <v>21.595822573241399</v>
      </c>
      <c r="J78">
        <f t="shared" si="22"/>
        <v>6.6136451169260999</v>
      </c>
      <c r="K78" s="8">
        <f t="shared" si="23"/>
        <v>1.45358680114782E-6</v>
      </c>
      <c r="L78" s="8">
        <f t="shared" si="24"/>
        <v>8.2022412478011098E-4</v>
      </c>
      <c r="M78" s="8">
        <f t="shared" si="25"/>
        <v>4.2334801104462298E-2</v>
      </c>
      <c r="N78" s="8">
        <f t="shared" si="26"/>
        <v>-1.2964884743380299E-2</v>
      </c>
      <c r="O78">
        <v>-8.6532495201926997E-3</v>
      </c>
      <c r="P78">
        <v>-6.3896853098175999E-2</v>
      </c>
      <c r="Q78">
        <v>-4.5134226511987001E-2</v>
      </c>
      <c r="R78">
        <v>-5.8976900989145001E-2</v>
      </c>
      <c r="S78">
        <f t="shared" si="27"/>
        <v>1.1517589119439464</v>
      </c>
      <c r="T78">
        <f t="shared" si="28"/>
        <v>-29.713965268878194</v>
      </c>
      <c r="U78" s="9">
        <f t="shared" si="29"/>
        <v>1.0003149683050205</v>
      </c>
      <c r="V78" s="9">
        <f t="shared" si="30"/>
        <v>-0.57089277051582021</v>
      </c>
    </row>
    <row r="79" spans="1:22" x14ac:dyDescent="0.25">
      <c r="A79">
        <v>1.2</v>
      </c>
      <c r="B79">
        <v>16.399999999999999</v>
      </c>
      <c r="C79">
        <v>-2.0121650612274E-2</v>
      </c>
      <c r="D79">
        <v>8.9222091764370997E-3</v>
      </c>
      <c r="E79">
        <v>0.97987319135880002</v>
      </c>
      <c r="F79">
        <v>7.3150883052152003E-3</v>
      </c>
      <c r="G79">
        <f t="shared" si="19"/>
        <v>20.8679714596271</v>
      </c>
      <c r="H79">
        <f t="shared" si="20"/>
        <v>8.6208086226648799</v>
      </c>
      <c r="I79">
        <f t="shared" si="21"/>
        <v>20.8679695263199</v>
      </c>
      <c r="J79">
        <f t="shared" si="22"/>
        <v>8.6200050586033399</v>
      </c>
      <c r="K79" s="8">
        <f t="shared" si="23"/>
        <v>1.93330719966411E-6</v>
      </c>
      <c r="L79" s="8">
        <f t="shared" si="24"/>
        <v>8.0356406154003001E-4</v>
      </c>
      <c r="M79" s="8">
        <f t="shared" si="25"/>
        <v>4.0935515508216301E-2</v>
      </c>
      <c r="N79" s="8">
        <f t="shared" si="26"/>
        <v>-1.6909376368041299E-2</v>
      </c>
      <c r="O79">
        <v>-1.4524467356104E-2</v>
      </c>
      <c r="P79">
        <v>-6.1907708482141999E-2</v>
      </c>
      <c r="Q79">
        <v>-4.9763078484018002E-2</v>
      </c>
      <c r="R79">
        <v>-5.3518090202724002E-2</v>
      </c>
      <c r="S79">
        <f t="shared" si="27"/>
        <v>1.1492458666777376</v>
      </c>
      <c r="T79">
        <f t="shared" si="28"/>
        <v>-29.714167842173278</v>
      </c>
      <c r="U79" s="9">
        <f t="shared" si="29"/>
        <v>0.99813034750335949</v>
      </c>
      <c r="V79" s="9">
        <f t="shared" si="30"/>
        <v>-0.56965065739335996</v>
      </c>
    </row>
    <row r="80" spans="1:22" x14ac:dyDescent="0.25">
      <c r="A80">
        <v>1.2</v>
      </c>
      <c r="B80">
        <v>16.5</v>
      </c>
      <c r="C80">
        <v>-1.9202799554376E-2</v>
      </c>
      <c r="D80">
        <v>1.0541835304406E-2</v>
      </c>
      <c r="E80">
        <v>0.98079140949525001</v>
      </c>
      <c r="F80">
        <v>8.9677119215994007E-3</v>
      </c>
      <c r="G80">
        <f t="shared" si="19"/>
        <v>20.195154062966601</v>
      </c>
      <c r="H80">
        <f t="shared" si="20"/>
        <v>10.5116784074295</v>
      </c>
      <c r="I80">
        <f t="shared" si="21"/>
        <v>20.195151786954199</v>
      </c>
      <c r="J80">
        <f t="shared" si="22"/>
        <v>10.510891341667801</v>
      </c>
      <c r="K80" s="8">
        <f t="shared" si="23"/>
        <v>2.27601240254671E-6</v>
      </c>
      <c r="L80" s="8">
        <f t="shared" si="24"/>
        <v>7.8706576169906796E-4</v>
      </c>
      <c r="M80" s="8">
        <f t="shared" si="25"/>
        <v>3.89624849358189E-2</v>
      </c>
      <c r="N80" s="8">
        <f t="shared" si="26"/>
        <v>-2.0278651523991598E-2</v>
      </c>
      <c r="O80">
        <v>-1.9578443406536999E-2</v>
      </c>
      <c r="P80">
        <v>-5.9075498059432997E-2</v>
      </c>
      <c r="Q80">
        <v>-5.3077535666078E-2</v>
      </c>
      <c r="R80">
        <v>-4.7706744100679002E-2</v>
      </c>
      <c r="S80">
        <f t="shared" si="27"/>
        <v>1.1467188333154077</v>
      </c>
      <c r="T80">
        <f t="shared" si="28"/>
        <v>-29.714489270795362</v>
      </c>
      <c r="U80" s="9">
        <f t="shared" si="29"/>
        <v>0.99593240763094892</v>
      </c>
      <c r="V80" s="9">
        <f t="shared" si="30"/>
        <v>-0.56840366123967845</v>
      </c>
    </row>
    <row r="81" spans="1:22" x14ac:dyDescent="0.25">
      <c r="A81">
        <v>1.2</v>
      </c>
      <c r="B81">
        <v>16.600000000000001</v>
      </c>
      <c r="C81">
        <v>-1.8110140026496E-2</v>
      </c>
      <c r="D81">
        <v>1.1866178674548001E-2</v>
      </c>
      <c r="E81">
        <v>0.98188110411611995</v>
      </c>
      <c r="F81">
        <v>1.0317596056712E-2</v>
      </c>
      <c r="G81">
        <f t="shared" si="19"/>
        <v>19.575239111403398</v>
      </c>
      <c r="H81">
        <f t="shared" si="20"/>
        <v>12.2928627563742</v>
      </c>
      <c r="I81">
        <f t="shared" si="21"/>
        <v>19.575235332990101</v>
      </c>
      <c r="J81">
        <f t="shared" si="22"/>
        <v>12.2920884587499</v>
      </c>
      <c r="K81" s="8">
        <f t="shared" si="23"/>
        <v>3.77841329779471E-6</v>
      </c>
      <c r="L81" s="8">
        <f t="shared" si="24"/>
        <v>7.7429762430014605E-4</v>
      </c>
      <c r="M81" s="8">
        <f t="shared" si="25"/>
        <v>3.6638170982707503E-2</v>
      </c>
      <c r="N81" s="8">
        <f t="shared" si="26"/>
        <v>-2.30066015056919E-2</v>
      </c>
      <c r="O81">
        <v>-2.3724576199795001E-2</v>
      </c>
      <c r="P81">
        <v>-5.5711415966653001E-2</v>
      </c>
      <c r="Q81">
        <v>-5.5172245626515001E-2</v>
      </c>
      <c r="R81">
        <v>-4.1905837018823E-2</v>
      </c>
      <c r="S81">
        <f t="shared" si="27"/>
        <v>1.1441718378524421</v>
      </c>
      <c r="T81">
        <f t="shared" si="28"/>
        <v>-29.715055780302947</v>
      </c>
      <c r="U81" s="9">
        <f t="shared" si="29"/>
        <v>0.99371471866741723</v>
      </c>
      <c r="V81" s="9">
        <f t="shared" si="30"/>
        <v>-0.56715099615390874</v>
      </c>
    </row>
    <row r="82" spans="1:22" x14ac:dyDescent="0.25">
      <c r="A82">
        <v>1.2</v>
      </c>
      <c r="B82">
        <v>16.7</v>
      </c>
      <c r="C82">
        <v>-1.6933766737697999E-2</v>
      </c>
      <c r="D82">
        <v>1.2901093046015E-2</v>
      </c>
      <c r="E82">
        <v>0.98306562113329998</v>
      </c>
      <c r="F82">
        <v>1.1389774849322E-2</v>
      </c>
      <c r="G82">
        <f t="shared" si="19"/>
        <v>18.996973775810702</v>
      </c>
      <c r="H82">
        <f t="shared" si="20"/>
        <v>13.9839724171442</v>
      </c>
      <c r="I82">
        <f t="shared" si="21"/>
        <v>18.996974040766901</v>
      </c>
      <c r="J82">
        <f t="shared" si="22"/>
        <v>13.9832167580147</v>
      </c>
      <c r="K82" s="8">
        <f t="shared" si="23"/>
        <v>-2.6495619920296999E-7</v>
      </c>
      <c r="L82" s="8">
        <f t="shared" si="24"/>
        <v>7.5565912949926396E-4</v>
      </c>
      <c r="M82" s="8">
        <f t="shared" si="25"/>
        <v>3.4141713083179301E-2</v>
      </c>
      <c r="N82" s="8">
        <f t="shared" si="26"/>
        <v>-2.51308957683226E-2</v>
      </c>
      <c r="O82">
        <v>-2.6980608530758999E-2</v>
      </c>
      <c r="P82">
        <v>-5.2088608323166002E-2</v>
      </c>
      <c r="Q82">
        <v>-5.6228518502872998E-2</v>
      </c>
      <c r="R82">
        <v>-3.6376783330026002E-2</v>
      </c>
      <c r="S82">
        <f t="shared" si="27"/>
        <v>1.1416256648672909</v>
      </c>
      <c r="T82">
        <f t="shared" si="28"/>
        <v>-29.716299354258105</v>
      </c>
      <c r="U82" s="9">
        <f t="shared" si="29"/>
        <v>0.9914910815955319</v>
      </c>
      <c r="V82" s="9">
        <f t="shared" si="30"/>
        <v>-0.56591041146121912</v>
      </c>
    </row>
    <row r="83" spans="1:22" x14ac:dyDescent="0.25">
      <c r="A83">
        <v>1.2</v>
      </c>
      <c r="B83">
        <v>16.8</v>
      </c>
      <c r="C83">
        <v>-1.5743524936488999E-2</v>
      </c>
      <c r="D83">
        <v>1.3674229350813E-2</v>
      </c>
      <c r="E83">
        <v>0.98425646509203002</v>
      </c>
      <c r="F83">
        <v>1.2195326475934999E-2</v>
      </c>
      <c r="G83">
        <f t="shared" si="19"/>
        <v>18.460468412903399</v>
      </c>
      <c r="H83">
        <f t="shared" si="20"/>
        <v>15.578162810677799</v>
      </c>
      <c r="I83">
        <f t="shared" si="21"/>
        <v>18.460468954705799</v>
      </c>
      <c r="J83">
        <f t="shared" si="22"/>
        <v>15.577423359637301</v>
      </c>
      <c r="K83" s="8">
        <f t="shared" si="23"/>
        <v>-5.4180240027790205E-7</v>
      </c>
      <c r="L83" s="8">
        <f t="shared" si="24"/>
        <v>7.3945104049855104E-4</v>
      </c>
      <c r="M83" s="8">
        <f t="shared" si="25"/>
        <v>3.1640459554393298E-2</v>
      </c>
      <c r="N83" s="8">
        <f t="shared" si="26"/>
        <v>-2.6699041881415701E-2</v>
      </c>
      <c r="O83">
        <v>-2.9433357073338998E-2</v>
      </c>
      <c r="P83">
        <v>-4.8425415194205998E-2</v>
      </c>
      <c r="Q83">
        <v>-5.6462143799356997E-2</v>
      </c>
      <c r="R83">
        <v>-3.1286401113328997E-2</v>
      </c>
      <c r="S83">
        <f t="shared" si="27"/>
        <v>1.1390915037270519</v>
      </c>
      <c r="T83">
        <f t="shared" si="28"/>
        <v>-29.717027797426674</v>
      </c>
      <c r="U83" s="9">
        <f t="shared" si="29"/>
        <v>0.98928300769527999</v>
      </c>
      <c r="V83" s="9">
        <f t="shared" si="30"/>
        <v>-0.56466679072576687</v>
      </c>
    </row>
    <row r="84" spans="1:22" x14ac:dyDescent="0.25">
      <c r="A84">
        <v>1.2</v>
      </c>
      <c r="B84">
        <v>16.899999999999999</v>
      </c>
      <c r="C84">
        <v>-1.4588255292875E-2</v>
      </c>
      <c r="D84">
        <v>1.4224382719476E-2</v>
      </c>
      <c r="E84">
        <v>0.98541211197748002</v>
      </c>
      <c r="F84">
        <v>1.2777650341431E-2</v>
      </c>
      <c r="G84">
        <f t="shared" si="19"/>
        <v>17.961740220941</v>
      </c>
      <c r="H84">
        <f t="shared" si="20"/>
        <v>17.086394060752301</v>
      </c>
      <c r="I84">
        <f t="shared" si="21"/>
        <v>17.9617409278341</v>
      </c>
      <c r="J84">
        <f t="shared" si="22"/>
        <v>17.085670695207401</v>
      </c>
      <c r="K84" s="8">
        <f t="shared" si="23"/>
        <v>-7.0689310049942801E-7</v>
      </c>
      <c r="L84" s="8">
        <f t="shared" si="24"/>
        <v>7.23365544899934E-4</v>
      </c>
      <c r="M84" s="8">
        <f t="shared" si="25"/>
        <v>2.92277407905038E-2</v>
      </c>
      <c r="N84" s="8">
        <f t="shared" si="26"/>
        <v>-2.78021799956806E-2</v>
      </c>
      <c r="O84">
        <v>-3.1201469877714001E-2</v>
      </c>
      <c r="P84">
        <v>-4.4870651615809998E-2</v>
      </c>
      <c r="Q84">
        <v>-5.6079786056079002E-2</v>
      </c>
      <c r="R84">
        <v>-2.6711188429506001E-2</v>
      </c>
      <c r="S84">
        <f t="shared" si="27"/>
        <v>1.1365654626815012</v>
      </c>
      <c r="T84">
        <f t="shared" si="28"/>
        <v>-29.717827746217477</v>
      </c>
      <c r="U84" s="9">
        <f t="shared" si="29"/>
        <v>0.98708131453812442</v>
      </c>
      <c r="V84" s="9">
        <f t="shared" si="30"/>
        <v>-0.56342837117960531</v>
      </c>
    </row>
    <row r="85" spans="1:22" x14ac:dyDescent="0.25">
      <c r="A85">
        <v>1.2</v>
      </c>
      <c r="B85">
        <v>17</v>
      </c>
      <c r="C85">
        <v>-1.3498241074304E-2</v>
      </c>
      <c r="D85">
        <v>1.4592466963952999E-2</v>
      </c>
      <c r="E85">
        <v>0.98649783228303001</v>
      </c>
      <c r="F85">
        <v>1.3183395830045999E-2</v>
      </c>
      <c r="G85">
        <f t="shared" si="19"/>
        <v>17.494027787953598</v>
      </c>
      <c r="H85">
        <f t="shared" si="20"/>
        <v>18.511169288112001</v>
      </c>
      <c r="I85">
        <f t="shared" si="21"/>
        <v>17.494026321001499</v>
      </c>
      <c r="J85">
        <f t="shared" si="22"/>
        <v>18.5104647501283</v>
      </c>
      <c r="K85" s="8">
        <f t="shared" si="23"/>
        <v>1.46695209934933E-6</v>
      </c>
      <c r="L85" s="8">
        <f t="shared" si="24"/>
        <v>7.0453798370095899E-4</v>
      </c>
      <c r="M85" s="8">
        <f t="shared" si="25"/>
        <v>2.6968726009189401E-2</v>
      </c>
      <c r="N85" s="8">
        <f t="shared" si="26"/>
        <v>-2.8535663716801201E-2</v>
      </c>
      <c r="O85">
        <v>-3.2412008109624003E-2</v>
      </c>
      <c r="P85">
        <v>-4.1517555984627003E-2</v>
      </c>
      <c r="Q85">
        <v>-5.5262787129398999E-2</v>
      </c>
      <c r="R85">
        <v>-2.2669092596755001E-2</v>
      </c>
      <c r="S85">
        <f t="shared" si="27"/>
        <v>1.1340485472634576</v>
      </c>
      <c r="T85">
        <f t="shared" si="28"/>
        <v>-29.717780428184525</v>
      </c>
      <c r="U85" s="9">
        <f t="shared" si="29"/>
        <v>0.98489589488850815</v>
      </c>
      <c r="V85" s="9">
        <f t="shared" si="30"/>
        <v>-0.56217985003210791</v>
      </c>
    </row>
    <row r="86" spans="1:22" x14ac:dyDescent="0.25">
      <c r="A86">
        <v>1.4</v>
      </c>
      <c r="B86">
        <v>15</v>
      </c>
      <c r="C86">
        <v>-9.1033177591960009E-3</v>
      </c>
      <c r="D86">
        <v>-8.4240916015217993E-3</v>
      </c>
      <c r="E86">
        <v>0.99090155613152997</v>
      </c>
      <c r="F86">
        <v>-1.0595840220738E-2</v>
      </c>
      <c r="G86">
        <f t="shared" si="19"/>
        <v>25.762819397854098</v>
      </c>
      <c r="H86">
        <f t="shared" si="20"/>
        <v>-27.4427935416922</v>
      </c>
      <c r="I86">
        <f t="shared" si="21"/>
        <v>25.762823013906601</v>
      </c>
      <c r="J86">
        <f t="shared" si="22"/>
        <v>-27.443879409429002</v>
      </c>
      <c r="K86" s="8">
        <f t="shared" si="23"/>
        <v>-3.6160525027639799E-6</v>
      </c>
      <c r="L86" s="8">
        <f t="shared" si="24"/>
        <v>1.0858677368013E-3</v>
      </c>
      <c r="M86" s="8">
        <f t="shared" si="25"/>
        <v>1.8182661245914299E-2</v>
      </c>
      <c r="N86" s="8">
        <f t="shared" si="26"/>
        <v>1.93691026137165E-2</v>
      </c>
      <c r="O86">
        <v>3.3859592329325998E-2</v>
      </c>
      <c r="P86">
        <v>-2.4116238404984999E-2</v>
      </c>
      <c r="Q86">
        <v>2.0669012029674E-2</v>
      </c>
      <c r="R86">
        <v>-4.4671780200985001E-2</v>
      </c>
      <c r="S86">
        <f t="shared" si="27"/>
        <v>1.1840678831033593</v>
      </c>
      <c r="T86">
        <f t="shared" si="28"/>
        <v>-29.710592590404435</v>
      </c>
      <c r="U86" s="9">
        <f t="shared" si="29"/>
        <v>1.0284102024250514</v>
      </c>
      <c r="V86" s="9">
        <f t="shared" si="30"/>
        <v>-0.58684683465529164</v>
      </c>
    </row>
    <row r="87" spans="1:22" x14ac:dyDescent="0.25">
      <c r="A87">
        <v>1.4</v>
      </c>
      <c r="B87" s="1">
        <v>15.1</v>
      </c>
      <c r="C87">
        <v>-1.0404668573273001E-2</v>
      </c>
      <c r="D87">
        <v>-8.8618325817118003E-3</v>
      </c>
      <c r="E87">
        <v>0.98960030790239994</v>
      </c>
      <c r="F87">
        <v>-1.1010636880826E-2</v>
      </c>
      <c r="G87">
        <f t="shared" si="19"/>
        <v>24.634037258693098</v>
      </c>
      <c r="H87">
        <f t="shared" si="20"/>
        <v>-24.0076710807075</v>
      </c>
      <c r="I87">
        <f t="shared" si="21"/>
        <v>24.634040901254799</v>
      </c>
      <c r="J87">
        <f t="shared" si="22"/>
        <v>-24.0087454762701</v>
      </c>
      <c r="K87" s="8">
        <f t="shared" si="23"/>
        <v>-3.6425617011559599E-6</v>
      </c>
      <c r="L87" s="8">
        <f t="shared" si="24"/>
        <v>1.07439556260047E-3</v>
      </c>
      <c r="M87" s="8">
        <f t="shared" si="25"/>
        <v>2.0818862892473901E-2</v>
      </c>
      <c r="N87" s="8">
        <f t="shared" si="26"/>
        <v>2.0290409612225301E-2</v>
      </c>
      <c r="O87">
        <v>3.4973103019262999E-2</v>
      </c>
      <c r="P87">
        <v>-2.7558511862456E-2</v>
      </c>
      <c r="Q87">
        <v>1.9753988519294E-2</v>
      </c>
      <c r="R87">
        <v>-4.8757580183941003E-2</v>
      </c>
      <c r="S87">
        <f t="shared" si="27"/>
        <v>1.1814874542377767</v>
      </c>
      <c r="T87">
        <f t="shared" si="28"/>
        <v>-29.707002583173477</v>
      </c>
      <c r="U87" s="9">
        <f t="shared" si="29"/>
        <v>1.0262056851690438</v>
      </c>
      <c r="V87" s="9">
        <f t="shared" si="30"/>
        <v>-0.58550362616126983</v>
      </c>
    </row>
    <row r="88" spans="1:22" x14ac:dyDescent="0.25">
      <c r="A88">
        <v>1.4</v>
      </c>
      <c r="B88" s="1">
        <v>15.2</v>
      </c>
      <c r="C88">
        <v>-1.1892515349104999E-2</v>
      </c>
      <c r="D88">
        <v>-9.1975114963513006E-3</v>
      </c>
      <c r="E88">
        <v>0.98811142041044997</v>
      </c>
      <c r="F88">
        <v>-1.1325070814166E-2</v>
      </c>
      <c r="G88">
        <f t="shared" si="19"/>
        <v>23.601233439161302</v>
      </c>
      <c r="H88">
        <f t="shared" si="20"/>
        <v>-20.798324520488901</v>
      </c>
      <c r="I88">
        <f t="shared" si="21"/>
        <v>23.601236538656501</v>
      </c>
      <c r="J88">
        <f t="shared" si="22"/>
        <v>-20.7993882947573</v>
      </c>
      <c r="K88" s="8">
        <f t="shared" si="23"/>
        <v>-3.0994951991658598E-6</v>
      </c>
      <c r="L88" s="8">
        <f t="shared" si="24"/>
        <v>1.0637742683989901E-3</v>
      </c>
      <c r="M88" s="8">
        <f t="shared" si="25"/>
        <v>2.38484756028947E-2</v>
      </c>
      <c r="N88" s="8">
        <f t="shared" si="26"/>
        <v>2.10172760859457E-2</v>
      </c>
      <c r="O88">
        <v>3.5810490866687E-2</v>
      </c>
      <c r="P88">
        <v>-3.1489788270511E-2</v>
      </c>
      <c r="Q88">
        <v>1.8274310688333999E-2</v>
      </c>
      <c r="R88">
        <v>-5.3169743186587001E-2</v>
      </c>
      <c r="S88">
        <f t="shared" si="27"/>
        <v>1.1790040167028715</v>
      </c>
      <c r="T88">
        <f t="shared" si="28"/>
        <v>-29.705648371029294</v>
      </c>
      <c r="U88" s="9">
        <f t="shared" si="29"/>
        <v>1.0240624527339952</v>
      </c>
      <c r="V88" s="9">
        <f t="shared" si="30"/>
        <v>-0.58424871784364119</v>
      </c>
    </row>
    <row r="89" spans="1:22" x14ac:dyDescent="0.25">
      <c r="A89">
        <v>1.4</v>
      </c>
      <c r="B89" s="1">
        <v>15.3</v>
      </c>
      <c r="C89">
        <v>-1.3575095624204E-2</v>
      </c>
      <c r="D89">
        <v>-9.3801228746046E-3</v>
      </c>
      <c r="E89">
        <v>0.98643133010275996</v>
      </c>
      <c r="F89">
        <v>-1.1478307570819E-2</v>
      </c>
      <c r="G89">
        <f t="shared" si="19"/>
        <v>22.663011256260098</v>
      </c>
      <c r="H89">
        <f t="shared" si="20"/>
        <v>-17.7989257145714</v>
      </c>
      <c r="I89">
        <f t="shared" si="21"/>
        <v>22.663015569696199</v>
      </c>
      <c r="J89">
        <f t="shared" si="22"/>
        <v>-17.799974799023801</v>
      </c>
      <c r="K89" s="8">
        <f t="shared" si="23"/>
        <v>-4.3134361007446404E-6</v>
      </c>
      <c r="L89" s="8">
        <f t="shared" si="24"/>
        <v>1.04908445240071E-3</v>
      </c>
      <c r="M89" s="8">
        <f t="shared" si="25"/>
        <v>2.72899969608499E-2</v>
      </c>
      <c r="N89" s="8">
        <f t="shared" si="26"/>
        <v>2.14340962999689E-2</v>
      </c>
      <c r="O89">
        <v>3.6242641484430002E-2</v>
      </c>
      <c r="P89">
        <v>-3.5933535056641E-2</v>
      </c>
      <c r="Q89">
        <v>1.6087715749945001E-2</v>
      </c>
      <c r="R89">
        <v>-5.7849774064009998E-2</v>
      </c>
      <c r="S89">
        <f t="shared" si="27"/>
        <v>1.1765070399309929</v>
      </c>
      <c r="T89">
        <f t="shared" si="28"/>
        <v>-29.704409805608666</v>
      </c>
      <c r="U89" s="9">
        <f t="shared" si="29"/>
        <v>1.0219062247347923</v>
      </c>
      <c r="V89" s="9">
        <f t="shared" si="30"/>
        <v>-0.58298926478578572</v>
      </c>
    </row>
    <row r="90" spans="1:22" x14ac:dyDescent="0.25">
      <c r="A90">
        <v>1.4</v>
      </c>
      <c r="B90" s="1">
        <v>15.4</v>
      </c>
      <c r="C90">
        <v>-1.5448024323653E-2</v>
      </c>
      <c r="D90">
        <v>-9.3464898257163004E-3</v>
      </c>
      <c r="E90">
        <v>0.98456199462198002</v>
      </c>
      <c r="F90">
        <v>-1.1421161971054999E-2</v>
      </c>
      <c r="G90">
        <f t="shared" si="19"/>
        <v>21.796480476610402</v>
      </c>
      <c r="H90">
        <f t="shared" si="20"/>
        <v>-14.9915541452332</v>
      </c>
      <c r="I90">
        <f t="shared" si="21"/>
        <v>21.796486562106999</v>
      </c>
      <c r="J90">
        <f t="shared" si="22"/>
        <v>-14.9925914697968</v>
      </c>
      <c r="K90" s="8">
        <f t="shared" si="23"/>
        <v>-6.0854965973078404E-6</v>
      </c>
      <c r="L90" s="8">
        <f t="shared" si="24"/>
        <v>1.0373245635992799E-3</v>
      </c>
      <c r="M90" s="8">
        <f t="shared" si="25"/>
        <v>3.1143860926879201E-2</v>
      </c>
      <c r="N90" s="8">
        <f t="shared" si="26"/>
        <v>2.14221306878245E-2</v>
      </c>
      <c r="O90">
        <v>3.6102547807630003E-2</v>
      </c>
      <c r="P90">
        <v>-4.0881116915019E-2</v>
      </c>
      <c r="Q90">
        <v>1.3032911795194E-2</v>
      </c>
      <c r="R90">
        <v>-6.2688925089201999E-2</v>
      </c>
      <c r="S90">
        <f t="shared" si="27"/>
        <v>1.1739793935887377</v>
      </c>
      <c r="T90">
        <f t="shared" si="28"/>
        <v>-29.703674385324831</v>
      </c>
      <c r="U90" s="9">
        <f t="shared" si="29"/>
        <v>1.0197181946597027</v>
      </c>
      <c r="V90" s="9">
        <f t="shared" si="30"/>
        <v>-0.58172366296286848</v>
      </c>
    </row>
    <row r="91" spans="1:22" x14ac:dyDescent="0.25">
      <c r="A91">
        <v>1.4</v>
      </c>
      <c r="B91" s="1">
        <v>15.5</v>
      </c>
      <c r="C91">
        <v>-1.7487523804103001E-2</v>
      </c>
      <c r="D91">
        <v>-9.0228349719803994E-3</v>
      </c>
      <c r="E91">
        <v>0.98251773563491995</v>
      </c>
      <c r="F91">
        <v>-1.1074264182713E-2</v>
      </c>
      <c r="G91">
        <f t="shared" si="19"/>
        <v>20.996327944386302</v>
      </c>
      <c r="H91">
        <f t="shared" si="20"/>
        <v>-12.3534044492582</v>
      </c>
      <c r="I91">
        <f t="shared" si="21"/>
        <v>20.996331626180002</v>
      </c>
      <c r="J91">
        <f t="shared" si="22"/>
        <v>-12.3544301573898</v>
      </c>
      <c r="K91" s="8">
        <f t="shared" si="23"/>
        <v>-3.6817937001387699E-6</v>
      </c>
      <c r="L91" s="8">
        <f t="shared" si="24"/>
        <v>1.0257081315998601E-3</v>
      </c>
      <c r="M91" s="8">
        <f t="shared" si="25"/>
        <v>3.5378456572542703E-2</v>
      </c>
      <c r="N91" s="8">
        <f t="shared" si="26"/>
        <v>2.0817001683129201E-2</v>
      </c>
      <c r="O91">
        <v>3.5192152754701E-2</v>
      </c>
      <c r="P91">
        <v>-4.6266669181512003E-2</v>
      </c>
      <c r="Q91">
        <v>8.9533899792632998E-3</v>
      </c>
      <c r="R91">
        <v>-6.7506743459798998E-2</v>
      </c>
      <c r="S91">
        <f t="shared" si="27"/>
        <v>1.1714767527434022</v>
      </c>
      <c r="T91">
        <f t="shared" si="28"/>
        <v>-29.702950244017678</v>
      </c>
      <c r="U91" s="9">
        <f t="shared" si="29"/>
        <v>1.0175517379224839</v>
      </c>
      <c r="V91" s="9">
        <f t="shared" si="30"/>
        <v>-0.58047070801993028</v>
      </c>
    </row>
    <row r="92" spans="1:22" x14ac:dyDescent="0.25">
      <c r="A92">
        <v>1.4</v>
      </c>
      <c r="B92">
        <v>15.6</v>
      </c>
      <c r="C92">
        <v>-1.9641078041704001E-2</v>
      </c>
      <c r="D92">
        <v>-8.3313623305472009E-3</v>
      </c>
      <c r="E92">
        <v>0.98036459502768003</v>
      </c>
      <c r="F92">
        <v>-1.0360485488038E-2</v>
      </c>
      <c r="G92">
        <f t="shared" si="19"/>
        <v>20.258939105076099</v>
      </c>
      <c r="H92">
        <f t="shared" si="20"/>
        <v>-9.8787623766373596</v>
      </c>
      <c r="I92">
        <f t="shared" si="21"/>
        <v>20.258942970928199</v>
      </c>
      <c r="J92">
        <f t="shared" si="22"/>
        <v>-9.8797769314161492</v>
      </c>
      <c r="K92" s="8">
        <f t="shared" si="23"/>
        <v>-3.8658521006595896E-6</v>
      </c>
      <c r="L92" s="8">
        <f t="shared" si="24"/>
        <v>1.01455477878964E-3</v>
      </c>
      <c r="M92" s="8">
        <f t="shared" si="25"/>
        <v>3.9877080203493703E-2</v>
      </c>
      <c r="N92" s="8">
        <f t="shared" si="26"/>
        <v>1.9447049021860102E-2</v>
      </c>
      <c r="O92">
        <v>3.3309395097699999E-2</v>
      </c>
      <c r="P92">
        <v>-5.1951851715732002E-2</v>
      </c>
      <c r="Q92">
        <v>3.7300792373504998E-3</v>
      </c>
      <c r="R92">
        <v>-7.2045938789368005E-2</v>
      </c>
      <c r="S92">
        <f t="shared" si="27"/>
        <v>1.1689964734448135</v>
      </c>
      <c r="T92">
        <f t="shared" si="28"/>
        <v>-29.702562430762818</v>
      </c>
      <c r="U92" s="9">
        <f t="shared" si="29"/>
        <v>1.0154012730813899</v>
      </c>
      <c r="V92" s="9">
        <f t="shared" si="30"/>
        <v>-0.57923484835695382</v>
      </c>
    </row>
    <row r="93" spans="1:22" x14ac:dyDescent="0.25">
      <c r="A93">
        <v>1.4</v>
      </c>
      <c r="B93">
        <v>15.7</v>
      </c>
      <c r="C93">
        <v>-2.1820700403811E-2</v>
      </c>
      <c r="D93">
        <v>-7.2022549007256997E-3</v>
      </c>
      <c r="E93">
        <v>0.97818444323392995</v>
      </c>
      <c r="F93">
        <v>-9.2074671254724003E-3</v>
      </c>
      <c r="G93">
        <f t="shared" si="19"/>
        <v>19.577397073209202</v>
      </c>
      <c r="H93">
        <f t="shared" si="20"/>
        <v>-7.5497460332770103</v>
      </c>
      <c r="I93">
        <f t="shared" si="21"/>
        <v>19.577400650231699</v>
      </c>
      <c r="J93">
        <f t="shared" si="22"/>
        <v>-7.5507486332245204</v>
      </c>
      <c r="K93" s="8">
        <f t="shared" si="23"/>
        <v>-3.5770224968700901E-6</v>
      </c>
      <c r="L93" s="8">
        <f t="shared" si="24"/>
        <v>1.0025999475100601E-3</v>
      </c>
      <c r="M93" s="8">
        <f t="shared" si="25"/>
        <v>4.44649454997251E-2</v>
      </c>
      <c r="N93" s="8">
        <f t="shared" si="26"/>
        <v>1.7149550773201301E-2</v>
      </c>
      <c r="O93">
        <v>3.0267906445099999E-2</v>
      </c>
      <c r="P93">
        <v>-5.7701596290865999E-2</v>
      </c>
      <c r="Q93">
        <v>-2.6827338862122001E-3</v>
      </c>
      <c r="R93">
        <v>-7.5963660138340994E-2</v>
      </c>
      <c r="S93">
        <f t="shared" si="27"/>
        <v>1.1665570012771824</v>
      </c>
      <c r="T93">
        <f t="shared" si="28"/>
        <v>-29.70229094447815</v>
      </c>
      <c r="U93" s="9">
        <f t="shared" si="29"/>
        <v>1.0132850636014794</v>
      </c>
      <c r="V93" s="9">
        <f t="shared" si="30"/>
        <v>-0.57802129468641372</v>
      </c>
    </row>
    <row r="94" spans="1:22" x14ac:dyDescent="0.25">
      <c r="A94">
        <v>1.4</v>
      </c>
      <c r="B94">
        <v>15.8</v>
      </c>
      <c r="C94">
        <v>-2.3901897280968001E-2</v>
      </c>
      <c r="D94">
        <v>-5.5920648028143002E-3</v>
      </c>
      <c r="E94">
        <v>0.97609814269492001</v>
      </c>
      <c r="F94">
        <v>-7.5633649536535003E-3</v>
      </c>
      <c r="G94">
        <f t="shared" si="19"/>
        <v>18.946140785932698</v>
      </c>
      <c r="H94">
        <f t="shared" si="20"/>
        <v>-5.3510187435528804</v>
      </c>
      <c r="I94">
        <f t="shared" si="21"/>
        <v>18.946141777425701</v>
      </c>
      <c r="J94">
        <f t="shared" si="22"/>
        <v>-5.3520043926313301</v>
      </c>
      <c r="K94" s="8">
        <f t="shared" si="23"/>
        <v>-9.9149300325507305E-7</v>
      </c>
      <c r="L94" s="8">
        <f t="shared" si="24"/>
        <v>9.8564907844966897E-4</v>
      </c>
      <c r="M94" s="8">
        <f t="shared" si="25"/>
        <v>4.8880624566059301E-2</v>
      </c>
      <c r="N94" s="8">
        <f t="shared" si="26"/>
        <v>1.3808052344663599E-2</v>
      </c>
      <c r="O94">
        <v>2.5957157521483001E-2</v>
      </c>
      <c r="P94">
        <v>-6.3191090579722997E-2</v>
      </c>
      <c r="Q94">
        <v>-1.02016166609E-2</v>
      </c>
      <c r="R94">
        <v>-7.8865682731976E-2</v>
      </c>
      <c r="S94">
        <f t="shared" si="27"/>
        <v>1.1640663675915413</v>
      </c>
      <c r="T94">
        <f t="shared" si="28"/>
        <v>-29.702035789580201</v>
      </c>
      <c r="U94" s="9">
        <f t="shared" si="29"/>
        <v>1.0111242386265094</v>
      </c>
      <c r="V94" s="9">
        <f t="shared" si="30"/>
        <v>-0.57678269930687698</v>
      </c>
    </row>
    <row r="95" spans="1:22" x14ac:dyDescent="0.25">
      <c r="A95">
        <v>1.4</v>
      </c>
      <c r="B95">
        <v>15.9</v>
      </c>
      <c r="C95">
        <v>-2.5733247201502E-2</v>
      </c>
      <c r="D95">
        <v>-3.5046680970266999E-3</v>
      </c>
      <c r="E95">
        <v>0.97426755583126001</v>
      </c>
      <c r="F95">
        <v>-5.4528122532453002E-3</v>
      </c>
      <c r="G95">
        <f t="shared" si="19"/>
        <v>18.359127892645699</v>
      </c>
      <c r="H95">
        <f t="shared" si="20"/>
        <v>-3.2818991345472099</v>
      </c>
      <c r="I95">
        <f t="shared" si="21"/>
        <v>18.359129242976302</v>
      </c>
      <c r="J95">
        <f t="shared" si="22"/>
        <v>-3.2828732049189</v>
      </c>
      <c r="K95" s="8">
        <f t="shared" si="23"/>
        <v>-1.35033060288947E-6</v>
      </c>
      <c r="L95" s="8">
        <f t="shared" si="24"/>
        <v>9.7407037169006095E-4</v>
      </c>
      <c r="M95" s="8">
        <f t="shared" si="25"/>
        <v>5.27811618044969E-2</v>
      </c>
      <c r="N95" s="8">
        <f t="shared" si="26"/>
        <v>9.4380217884658807E-3</v>
      </c>
      <c r="O95">
        <v>2.0387057521394001E-2</v>
      </c>
      <c r="P95">
        <v>-6.8021758934786E-2</v>
      </c>
      <c r="Q95">
        <v>-1.8579475275243E-2</v>
      </c>
      <c r="R95">
        <v>-8.0363006852904997E-2</v>
      </c>
      <c r="S95">
        <f t="shared" si="27"/>
        <v>1.1615459850291878</v>
      </c>
      <c r="T95">
        <f t="shared" si="28"/>
        <v>-29.701939225829392</v>
      </c>
      <c r="U95" s="9">
        <f t="shared" si="29"/>
        <v>1.0089359692529385</v>
      </c>
      <c r="V95" s="9">
        <f t="shared" si="30"/>
        <v>-0.57553217571657944</v>
      </c>
    </row>
    <row r="96" spans="1:22" x14ac:dyDescent="0.25">
      <c r="A96">
        <v>1.4</v>
      </c>
      <c r="B96">
        <v>16</v>
      </c>
      <c r="C96">
        <v>-2.7160619831383001E-2</v>
      </c>
      <c r="D96">
        <v>-1.0067978540091E-3</v>
      </c>
      <c r="E96">
        <v>0.97283782032738997</v>
      </c>
      <c r="F96">
        <v>-2.9290152692145999E-3</v>
      </c>
      <c r="G96">
        <f t="shared" si="19"/>
        <v>17.812349095657702</v>
      </c>
      <c r="H96">
        <f t="shared" si="20"/>
        <v>-1.3262917182873699</v>
      </c>
      <c r="I96">
        <f t="shared" si="21"/>
        <v>17.8123492394678</v>
      </c>
      <c r="J96">
        <f t="shared" si="22"/>
        <v>-1.32725282760635</v>
      </c>
      <c r="K96" s="8">
        <f t="shared" si="23"/>
        <v>-1.4381009805219899E-7</v>
      </c>
      <c r="L96" s="8">
        <f t="shared" si="24"/>
        <v>9.6110931898008001E-4</v>
      </c>
      <c r="M96" s="8">
        <f t="shared" si="25"/>
        <v>5.5830842170243998E-2</v>
      </c>
      <c r="N96" s="8">
        <f t="shared" si="26"/>
        <v>4.16012745662482E-3</v>
      </c>
      <c r="O96">
        <v>1.3732443868987001E-2</v>
      </c>
      <c r="P96">
        <v>-7.178178983097E-2</v>
      </c>
      <c r="Q96">
        <v>-2.7398649489179999E-2</v>
      </c>
      <c r="R96">
        <v>-8.0155259977028007E-2</v>
      </c>
      <c r="S96">
        <f t="shared" si="27"/>
        <v>1.1590655838218118</v>
      </c>
      <c r="T96">
        <f t="shared" si="28"/>
        <v>-29.701732021315486</v>
      </c>
      <c r="U96" s="9">
        <f t="shared" si="29"/>
        <v>1.0067835330953776</v>
      </c>
      <c r="V96" s="9">
        <f t="shared" si="30"/>
        <v>-0.57429952558589659</v>
      </c>
    </row>
    <row r="97" spans="1:22" x14ac:dyDescent="0.25">
      <c r="A97">
        <v>1.4</v>
      </c>
      <c r="B97">
        <v>16.100000000000001</v>
      </c>
      <c r="C97">
        <v>-2.8059398548328E-2</v>
      </c>
      <c r="D97">
        <v>1.771348506678E-3</v>
      </c>
      <c r="E97">
        <v>0.97193810331063002</v>
      </c>
      <c r="F97">
        <v>-1.2506070409508001E-4</v>
      </c>
      <c r="G97">
        <f t="shared" si="19"/>
        <v>17.303228435455502</v>
      </c>
      <c r="H97">
        <f t="shared" si="20"/>
        <v>0.52272216251253301</v>
      </c>
      <c r="I97">
        <f t="shared" si="21"/>
        <v>17.303228085478001</v>
      </c>
      <c r="J97">
        <f t="shared" si="22"/>
        <v>0.52177395639092095</v>
      </c>
      <c r="K97" s="8">
        <f t="shared" si="23"/>
        <v>3.49977501201693E-7</v>
      </c>
      <c r="L97" s="8">
        <f t="shared" si="24"/>
        <v>9.4820612161206097E-4</v>
      </c>
      <c r="M97" s="8">
        <f t="shared" si="25"/>
        <v>5.7740180858700099E-2</v>
      </c>
      <c r="N97" s="8">
        <f t="shared" si="26"/>
        <v>-1.74113884764983E-3</v>
      </c>
      <c r="O97">
        <v>6.3392176135596999E-3</v>
      </c>
      <c r="P97">
        <v>-7.4148199455088007E-2</v>
      </c>
      <c r="Q97">
        <v>-3.6122087891289997E-2</v>
      </c>
      <c r="R97">
        <v>-7.8121115869430005E-2</v>
      </c>
      <c r="S97">
        <f t="shared" si="27"/>
        <v>1.1565384931123717</v>
      </c>
      <c r="T97">
        <f t="shared" si="28"/>
        <v>-29.701703098943113</v>
      </c>
      <c r="U97" s="9">
        <f t="shared" si="29"/>
        <v>1.0045887495845276</v>
      </c>
      <c r="V97" s="9">
        <f t="shared" si="30"/>
        <v>-0.57304688312461027</v>
      </c>
    </row>
    <row r="98" spans="1:22" x14ac:dyDescent="0.25">
      <c r="A98">
        <v>1.4</v>
      </c>
      <c r="B98">
        <v>16.2</v>
      </c>
      <c r="C98">
        <v>-2.8365285160102002E-2</v>
      </c>
      <c r="D98">
        <v>4.6555586670845002E-3</v>
      </c>
      <c r="E98">
        <v>0.97163054653053005</v>
      </c>
      <c r="F98">
        <v>2.7834163219217002E-3</v>
      </c>
      <c r="G98">
        <f t="shared" si="19"/>
        <v>16.827982171420501</v>
      </c>
      <c r="H98">
        <f t="shared" si="20"/>
        <v>2.2724873431805799</v>
      </c>
      <c r="I98">
        <f t="shared" si="21"/>
        <v>16.827980963495499</v>
      </c>
      <c r="J98">
        <f t="shared" si="22"/>
        <v>2.2715512689263799</v>
      </c>
      <c r="K98" s="8">
        <f t="shared" si="23"/>
        <v>1.2079250026886299E-6</v>
      </c>
      <c r="L98" s="8">
        <f t="shared" si="24"/>
        <v>9.3607425419994805E-4</v>
      </c>
      <c r="M98" s="8">
        <f t="shared" si="25"/>
        <v>5.8361410525192003E-2</v>
      </c>
      <c r="N98" s="8">
        <f t="shared" si="26"/>
        <v>-7.8780060675381208E-3</v>
      </c>
      <c r="O98">
        <v>-1.333553468762E-3</v>
      </c>
      <c r="P98">
        <v>-7.4948445559412005E-2</v>
      </c>
      <c r="Q98">
        <v>-4.4192313577539E-2</v>
      </c>
      <c r="R98">
        <v>-7.4365854788627006E-2</v>
      </c>
      <c r="S98">
        <f t="shared" si="27"/>
        <v>1.1540204337151436</v>
      </c>
      <c r="T98">
        <f t="shared" si="28"/>
        <v>-29.701775953304619</v>
      </c>
      <c r="U98" s="9">
        <f t="shared" si="29"/>
        <v>1.0024007938509365</v>
      </c>
      <c r="V98" s="9">
        <f t="shared" si="30"/>
        <v>-0.57180049835506463</v>
      </c>
    </row>
    <row r="99" spans="1:22" x14ac:dyDescent="0.25">
      <c r="A99">
        <v>1.4</v>
      </c>
      <c r="B99">
        <v>16.3</v>
      </c>
      <c r="C99">
        <v>-2.8088905076996001E-2</v>
      </c>
      <c r="D99">
        <v>7.4627212080893004E-3</v>
      </c>
      <c r="E99">
        <v>0.97191011373931002</v>
      </c>
      <c r="F99">
        <v>5.6165061126283002E-3</v>
      </c>
      <c r="G99">
        <f t="shared" si="19"/>
        <v>16.385096941824099</v>
      </c>
      <c r="H99">
        <f t="shared" si="20"/>
        <v>3.9315540237887898</v>
      </c>
      <c r="I99">
        <f t="shared" si="21"/>
        <v>16.385097303360102</v>
      </c>
      <c r="J99">
        <f t="shared" si="22"/>
        <v>3.9306309161219199</v>
      </c>
      <c r="K99" s="8">
        <f t="shared" si="23"/>
        <v>-3.6153600291299902E-7</v>
      </c>
      <c r="L99" s="8">
        <f t="shared" si="24"/>
        <v>9.2310766686987101E-4</v>
      </c>
      <c r="M99" s="8">
        <f t="shared" si="25"/>
        <v>5.7710002240970198E-2</v>
      </c>
      <c r="N99" s="8">
        <f t="shared" si="26"/>
        <v>-1.38440873910041E-2</v>
      </c>
      <c r="O99">
        <v>-8.8019288742940006E-3</v>
      </c>
      <c r="P99">
        <v>-7.4212366897996998E-2</v>
      </c>
      <c r="Q99">
        <v>-5.1145657836826001E-2</v>
      </c>
      <c r="R99">
        <v>-6.9204582224877007E-2</v>
      </c>
      <c r="S99">
        <f t="shared" si="27"/>
        <v>1.1514826121210229</v>
      </c>
      <c r="T99">
        <f t="shared" si="28"/>
        <v>-29.702314528146918</v>
      </c>
      <c r="U99" s="9">
        <f t="shared" si="29"/>
        <v>1.0001910379173562</v>
      </c>
      <c r="V99" s="9">
        <f t="shared" si="30"/>
        <v>-0.57055244604405642</v>
      </c>
    </row>
    <row r="100" spans="1:22" x14ac:dyDescent="0.25">
      <c r="A100">
        <v>1.4</v>
      </c>
      <c r="B100">
        <v>16.399999999999999</v>
      </c>
      <c r="C100">
        <v>-2.7307946289939999E-2</v>
      </c>
      <c r="D100">
        <v>1.0036881529844E-2</v>
      </c>
      <c r="E100">
        <v>0.97268627602881996</v>
      </c>
      <c r="F100">
        <v>8.2200929004462991E-3</v>
      </c>
      <c r="G100">
        <f t="shared" si="19"/>
        <v>15.9679659503688</v>
      </c>
      <c r="H100">
        <f t="shared" si="20"/>
        <v>5.5047753415353604</v>
      </c>
      <c r="I100">
        <f t="shared" si="21"/>
        <v>15.967963886706499</v>
      </c>
      <c r="J100">
        <f t="shared" si="22"/>
        <v>5.5038669427218299</v>
      </c>
      <c r="K100" s="8">
        <f t="shared" si="23"/>
        <v>2.0636623005998398E-6</v>
      </c>
      <c r="L100" s="8">
        <f t="shared" si="24"/>
        <v>9.0839881353055297E-4</v>
      </c>
      <c r="M100" s="8">
        <f t="shared" si="25"/>
        <v>5.5975224226280498E-2</v>
      </c>
      <c r="N100" s="8">
        <f t="shared" si="26"/>
        <v>-1.9293642471658299E-2</v>
      </c>
      <c r="O100">
        <v>-1.5655198239212999E-2</v>
      </c>
      <c r="P100">
        <v>-7.2143099732301999E-2</v>
      </c>
      <c r="Q100">
        <v>-5.6695608031959999E-2</v>
      </c>
      <c r="R100">
        <v>-6.3087328371646004E-2</v>
      </c>
      <c r="S100">
        <f t="shared" si="27"/>
        <v>1.1489750581347953</v>
      </c>
      <c r="T100">
        <f t="shared" si="28"/>
        <v>-29.702070803895115</v>
      </c>
      <c r="U100" s="9">
        <f t="shared" si="29"/>
        <v>0.99801536940667002</v>
      </c>
      <c r="V100" s="9">
        <f t="shared" si="30"/>
        <v>-0.5693057233542661</v>
      </c>
    </row>
    <row r="101" spans="1:22" x14ac:dyDescent="0.25">
      <c r="A101">
        <v>1.4</v>
      </c>
      <c r="B101">
        <v>16.5</v>
      </c>
      <c r="C101">
        <v>-2.6142120610681999E-2</v>
      </c>
      <c r="D101">
        <v>1.2273501242962E-2</v>
      </c>
      <c r="E101">
        <v>0.97384948603764998</v>
      </c>
      <c r="F101">
        <v>1.0477717324552001E-2</v>
      </c>
      <c r="G101">
        <f t="shared" si="19"/>
        <v>15.579467380988699</v>
      </c>
      <c r="H101">
        <f t="shared" si="20"/>
        <v>6.99622266115946</v>
      </c>
      <c r="I101">
        <f t="shared" si="21"/>
        <v>15.5794639905147</v>
      </c>
      <c r="J101">
        <f t="shared" si="22"/>
        <v>6.9953247623877797</v>
      </c>
      <c r="K101" s="8">
        <f t="shared" si="23"/>
        <v>3.3904739993317898E-6</v>
      </c>
      <c r="L101" s="8">
        <f t="shared" si="24"/>
        <v>8.9789877168033904E-4</v>
      </c>
      <c r="M101" s="8">
        <f t="shared" si="25"/>
        <v>5.3417576102782E-2</v>
      </c>
      <c r="N101" s="8">
        <f t="shared" si="26"/>
        <v>-2.3984990310708301E-2</v>
      </c>
      <c r="O101">
        <v>-2.1617211001763E-2</v>
      </c>
      <c r="P101">
        <v>-6.9061535517434006E-2</v>
      </c>
      <c r="Q101">
        <v>-6.0756786645881002E-2</v>
      </c>
      <c r="R101">
        <v>-5.6491684267525002E-2</v>
      </c>
      <c r="S101">
        <f t="shared" si="27"/>
        <v>1.146426901450988</v>
      </c>
      <c r="T101">
        <f t="shared" si="28"/>
        <v>-29.702469685955798</v>
      </c>
      <c r="U101" s="9">
        <f t="shared" si="29"/>
        <v>0.99579805120892895</v>
      </c>
      <c r="V101" s="9">
        <f t="shared" si="30"/>
        <v>-0.5680500696056755</v>
      </c>
    </row>
    <row r="102" spans="1:22" x14ac:dyDescent="0.25">
      <c r="A102">
        <v>1.4</v>
      </c>
      <c r="B102">
        <v>16.600000000000001</v>
      </c>
      <c r="C102">
        <v>-2.4723841949777999E-2</v>
      </c>
      <c r="D102">
        <v>1.4124877746246999E-2</v>
      </c>
      <c r="E102">
        <v>0.97526679766378999</v>
      </c>
      <c r="F102">
        <v>1.2354580232669001E-2</v>
      </c>
      <c r="G102">
        <f t="shared" si="19"/>
        <v>15.214814592072001</v>
      </c>
      <c r="H102">
        <f t="shared" si="20"/>
        <v>8.4142029848720803</v>
      </c>
      <c r="I102">
        <f t="shared" si="21"/>
        <v>15.214810695355499</v>
      </c>
      <c r="J102">
        <f t="shared" si="22"/>
        <v>8.4133178285234003</v>
      </c>
      <c r="K102" s="8">
        <f t="shared" si="23"/>
        <v>3.8967165014725003E-6</v>
      </c>
      <c r="L102" s="8">
        <f t="shared" si="24"/>
        <v>8.8515634868002702E-4</v>
      </c>
      <c r="M102" s="8">
        <f t="shared" si="25"/>
        <v>5.0334436633139398E-2</v>
      </c>
      <c r="N102" s="8">
        <f t="shared" si="26"/>
        <v>-2.78333803550736E-2</v>
      </c>
      <c r="O102">
        <v>-2.6562229244446001E-2</v>
      </c>
      <c r="P102">
        <v>-6.5313595384985004E-2</v>
      </c>
      <c r="Q102">
        <v>-6.3411751611708006E-2</v>
      </c>
      <c r="R102">
        <v>-4.9839456651138002E-2</v>
      </c>
      <c r="S102">
        <f t="shared" si="27"/>
        <v>1.1438899497526183</v>
      </c>
      <c r="T102">
        <f t="shared" si="28"/>
        <v>-29.702904968748651</v>
      </c>
      <c r="U102" s="9">
        <f t="shared" si="29"/>
        <v>0.99359012317305329</v>
      </c>
      <c r="V102" s="9">
        <f t="shared" si="30"/>
        <v>-0.56680056834657844</v>
      </c>
    </row>
    <row r="103" spans="1:22" x14ac:dyDescent="0.25">
      <c r="A103">
        <v>1.4</v>
      </c>
      <c r="B103">
        <v>16.7</v>
      </c>
      <c r="C103">
        <v>-2.3174014903384998E-2</v>
      </c>
      <c r="D103">
        <v>1.5591136930235E-2</v>
      </c>
      <c r="E103">
        <v>0.97682315549786003</v>
      </c>
      <c r="F103">
        <v>1.3851226762552E-2</v>
      </c>
      <c r="G103">
        <f t="shared" si="19"/>
        <v>14.872119839062</v>
      </c>
      <c r="H103">
        <f t="shared" si="20"/>
        <v>9.76490405516358</v>
      </c>
      <c r="I103">
        <f t="shared" si="21"/>
        <v>14.8721191810852</v>
      </c>
      <c r="J103">
        <f t="shared" si="22"/>
        <v>9.7640340982765306</v>
      </c>
      <c r="K103" s="8">
        <f t="shared" si="23"/>
        <v>6.5797680015577995E-7</v>
      </c>
      <c r="L103" s="8">
        <f t="shared" si="24"/>
        <v>8.6995688704938302E-4</v>
      </c>
      <c r="M103" s="8">
        <f t="shared" si="25"/>
        <v>4.6986899609768797E-2</v>
      </c>
      <c r="N103" s="8">
        <f t="shared" si="26"/>
        <v>-3.0848440923306401E-2</v>
      </c>
      <c r="O103">
        <v>-3.0489862023436998E-2</v>
      </c>
      <c r="P103">
        <v>-6.1217502879569001E-2</v>
      </c>
      <c r="Q103">
        <v>-6.4849392726692004E-2</v>
      </c>
      <c r="R103">
        <v>-4.3445555522572003E-2</v>
      </c>
      <c r="S103">
        <f t="shared" si="27"/>
        <v>1.1413544282345751</v>
      </c>
      <c r="T103">
        <f t="shared" si="28"/>
        <v>-29.704108466223676</v>
      </c>
      <c r="U103" s="9">
        <f t="shared" si="29"/>
        <v>0.99137587350188938</v>
      </c>
      <c r="V103" s="9">
        <f t="shared" si="30"/>
        <v>-0.56556503453541029</v>
      </c>
    </row>
    <row r="104" spans="1:22" x14ac:dyDescent="0.25">
      <c r="A104">
        <v>1.4</v>
      </c>
      <c r="B104">
        <v>16.8</v>
      </c>
      <c r="C104">
        <v>-2.1589247289142001E-2</v>
      </c>
      <c r="D104">
        <v>1.6703927633781E-2</v>
      </c>
      <c r="E104">
        <v>0.97840823594083004</v>
      </c>
      <c r="F104">
        <v>1.4989813257705001E-2</v>
      </c>
      <c r="G104">
        <f t="shared" si="19"/>
        <v>14.5504054106182</v>
      </c>
      <c r="H104">
        <f t="shared" si="20"/>
        <v>11.0470350399628</v>
      </c>
      <c r="I104">
        <f t="shared" si="21"/>
        <v>14.5504048867809</v>
      </c>
      <c r="J104">
        <f t="shared" si="22"/>
        <v>11.0461779812473</v>
      </c>
      <c r="K104" s="8">
        <f t="shared" si="23"/>
        <v>5.2383730064775602E-7</v>
      </c>
      <c r="L104" s="8">
        <f t="shared" si="24"/>
        <v>8.5705871549990298E-4</v>
      </c>
      <c r="M104" s="8">
        <f t="shared" si="25"/>
        <v>4.35990270135641E-2</v>
      </c>
      <c r="N104" s="8">
        <f t="shared" si="26"/>
        <v>-3.3098914837660497E-2</v>
      </c>
      <c r="O104">
        <v>-3.3486277447733998E-2</v>
      </c>
      <c r="P104">
        <v>-5.7032351064949E-2</v>
      </c>
      <c r="Q104">
        <v>-6.5307544631662995E-2</v>
      </c>
      <c r="R104">
        <v>-3.7517276793253999E-2</v>
      </c>
      <c r="S104">
        <f t="shared" si="27"/>
        <v>1.1388106674562699</v>
      </c>
      <c r="T104">
        <f t="shared" si="28"/>
        <v>-29.70476506324972</v>
      </c>
      <c r="U104" s="9">
        <f t="shared" si="29"/>
        <v>0.98915990623287497</v>
      </c>
      <c r="V104" s="9">
        <f t="shared" si="30"/>
        <v>-0.56431588336105243</v>
      </c>
    </row>
    <row r="105" spans="1:22" x14ac:dyDescent="0.25">
      <c r="A105">
        <v>1.4</v>
      </c>
      <c r="B105">
        <v>16.899999999999999</v>
      </c>
      <c r="C105">
        <v>-2.0038626222060998E-2</v>
      </c>
      <c r="D105">
        <v>1.7511930749722002E-2</v>
      </c>
      <c r="E105">
        <v>0.97995438018382997</v>
      </c>
      <c r="F105">
        <v>1.5828121755911001E-2</v>
      </c>
      <c r="G105">
        <f t="shared" si="19"/>
        <v>14.246040944060599</v>
      </c>
      <c r="H105">
        <f t="shared" si="20"/>
        <v>12.265432310734599</v>
      </c>
      <c r="I105">
        <f t="shared" si="21"/>
        <v>14.246038156061401</v>
      </c>
      <c r="J105">
        <f t="shared" si="22"/>
        <v>12.264590400946499</v>
      </c>
      <c r="K105" s="8">
        <f t="shared" si="23"/>
        <v>2.7879991986168298E-6</v>
      </c>
      <c r="L105" s="8">
        <f t="shared" si="24"/>
        <v>8.4190978810028095E-4</v>
      </c>
      <c r="M105" s="8">
        <f t="shared" si="25"/>
        <v>4.0314817305307997E-2</v>
      </c>
      <c r="N105" s="8">
        <f t="shared" si="26"/>
        <v>-3.4707524711227601E-2</v>
      </c>
      <c r="O105">
        <v>-3.5679066280514003E-2</v>
      </c>
      <c r="P105">
        <v>-5.2937835875603002E-2</v>
      </c>
      <c r="Q105">
        <v>-6.5021603376964998E-2</v>
      </c>
      <c r="R105">
        <v>-3.2158364051551001E-2</v>
      </c>
      <c r="S105">
        <f t="shared" si="27"/>
        <v>1.1362881779618339</v>
      </c>
      <c r="T105">
        <f t="shared" si="28"/>
        <v>-29.704736342377284</v>
      </c>
      <c r="U105" s="9">
        <f t="shared" si="29"/>
        <v>0.98696917856083377</v>
      </c>
      <c r="V105" s="9">
        <f t="shared" si="30"/>
        <v>-0.56306541711134883</v>
      </c>
    </row>
    <row r="106" spans="1:22" x14ac:dyDescent="0.25">
      <c r="A106">
        <v>1.4</v>
      </c>
      <c r="B106">
        <v>17</v>
      </c>
      <c r="C106">
        <v>-1.8566657644219001E-2</v>
      </c>
      <c r="D106">
        <v>1.8068343242118999E-2</v>
      </c>
      <c r="E106">
        <v>0.98142594077237999</v>
      </c>
      <c r="F106">
        <v>1.6412507192611E-2</v>
      </c>
      <c r="G106">
        <f t="shared" si="19"/>
        <v>13.9608595834328</v>
      </c>
      <c r="H106">
        <f t="shared" si="20"/>
        <v>13.425644449094699</v>
      </c>
      <c r="I106">
        <f t="shared" si="21"/>
        <v>13.9608565680828</v>
      </c>
      <c r="J106">
        <f t="shared" si="22"/>
        <v>13.424816525509501</v>
      </c>
      <c r="K106" s="8">
        <f t="shared" si="23"/>
        <v>3.0153499999130401E-6</v>
      </c>
      <c r="L106" s="8">
        <f t="shared" si="24"/>
        <v>8.2792358519867505E-4</v>
      </c>
      <c r="M106" s="8">
        <f t="shared" si="25"/>
        <v>3.7215928760716499E-2</v>
      </c>
      <c r="N106" s="8">
        <f t="shared" si="26"/>
        <v>-3.5786988642321001E-2</v>
      </c>
      <c r="O106">
        <v>-3.720858327979E-2</v>
      </c>
      <c r="P106">
        <v>-4.9051541428202998E-2</v>
      </c>
      <c r="Q106">
        <v>-6.4200346585543994E-2</v>
      </c>
      <c r="R106">
        <v>-2.7399702043336999E-2</v>
      </c>
      <c r="S106">
        <f t="shared" si="27"/>
        <v>1.1337638804366867</v>
      </c>
      <c r="T106">
        <f t="shared" si="28"/>
        <v>-29.70543650025078</v>
      </c>
      <c r="U106" s="9">
        <f t="shared" si="29"/>
        <v>0.98476973209261198</v>
      </c>
      <c r="V106" s="9">
        <f t="shared" si="30"/>
        <v>-0.56182658475467206</v>
      </c>
    </row>
    <row r="107" spans="1:22" x14ac:dyDescent="0.25">
      <c r="A107">
        <v>1.6</v>
      </c>
      <c r="B107">
        <v>15</v>
      </c>
      <c r="C107">
        <v>-1.1694148299982001E-2</v>
      </c>
      <c r="D107">
        <v>-1.2260037012449E-2</v>
      </c>
      <c r="E107">
        <v>0.98831772093273995</v>
      </c>
      <c r="F107">
        <v>-1.4571039203262999E-2</v>
      </c>
      <c r="G107">
        <f t="shared" si="19"/>
        <v>17.9594813406807</v>
      </c>
      <c r="H107">
        <f t="shared" si="20"/>
        <v>-21.186913420761801</v>
      </c>
      <c r="I107">
        <f t="shared" si="21"/>
        <v>17.9594886104191</v>
      </c>
      <c r="J107">
        <f t="shared" si="22"/>
        <v>-21.1880689065997</v>
      </c>
      <c r="K107" s="8">
        <f t="shared" si="23"/>
        <v>-7.2697384005948598E-6</v>
      </c>
      <c r="L107" s="8">
        <f t="shared" si="24"/>
        <v>1.1554858378986E-3</v>
      </c>
      <c r="M107" s="8">
        <f t="shared" si="25"/>
        <v>2.3279342201930099E-2</v>
      </c>
      <c r="N107" s="8">
        <f t="shared" si="26"/>
        <v>2.7464273475395901E-2</v>
      </c>
      <c r="O107">
        <v>3.8266744521808997E-2</v>
      </c>
      <c r="P107">
        <v>-2.7157435124932999E-2</v>
      </c>
      <c r="Q107">
        <v>2.3424887605182E-2</v>
      </c>
      <c r="R107">
        <v>-5.0369360507277999E-2</v>
      </c>
      <c r="S107">
        <f t="shared" si="27"/>
        <v>1.1838260602902837</v>
      </c>
      <c r="T107">
        <f t="shared" si="28"/>
        <v>-29.695789479734259</v>
      </c>
      <c r="U107" s="9">
        <f t="shared" si="29"/>
        <v>1.0283517238997901</v>
      </c>
      <c r="V107" s="9">
        <f t="shared" si="30"/>
        <v>-0.58646131413311819</v>
      </c>
    </row>
    <row r="108" spans="1:22" x14ac:dyDescent="0.25">
      <c r="A108">
        <v>1.6</v>
      </c>
      <c r="B108" s="1">
        <v>15.1</v>
      </c>
      <c r="C108">
        <v>-1.3347916540597001E-2</v>
      </c>
      <c r="D108">
        <v>-1.2817710505937999E-2</v>
      </c>
      <c r="E108">
        <v>0.98666344744247003</v>
      </c>
      <c r="F108">
        <v>-1.5113132954184001E-2</v>
      </c>
      <c r="G108">
        <f t="shared" si="19"/>
        <v>17.382717269979199</v>
      </c>
      <c r="H108">
        <f t="shared" si="20"/>
        <v>-18.7174104825156</v>
      </c>
      <c r="I108">
        <f t="shared" si="21"/>
        <v>17.3827242691553</v>
      </c>
      <c r="J108">
        <f t="shared" si="22"/>
        <v>-18.7185581791855</v>
      </c>
      <c r="K108" s="8">
        <f t="shared" si="23"/>
        <v>-6.9991761009191603E-6</v>
      </c>
      <c r="L108" s="8">
        <f t="shared" si="24"/>
        <v>1.1476966699E-3</v>
      </c>
      <c r="M108" s="8">
        <f t="shared" si="25"/>
        <v>2.6638413604324399E-2</v>
      </c>
      <c r="N108" s="8">
        <f t="shared" si="26"/>
        <v>2.8685532091108901E-2</v>
      </c>
      <c r="O108">
        <v>3.9525336411905997E-2</v>
      </c>
      <c r="P108">
        <v>-3.0991774949567001E-2</v>
      </c>
      <c r="Q108">
        <v>2.2423786010029999E-2</v>
      </c>
      <c r="R108">
        <v>-5.4926799130585E-2</v>
      </c>
      <c r="S108">
        <f t="shared" si="27"/>
        <v>1.1811941235834076</v>
      </c>
      <c r="T108">
        <f t="shared" si="28"/>
        <v>-29.69237574914764</v>
      </c>
      <c r="U108" s="9">
        <f t="shared" si="29"/>
        <v>1.0261003072608548</v>
      </c>
      <c r="V108" s="9">
        <f t="shared" si="30"/>
        <v>-0.58509633140804596</v>
      </c>
    </row>
    <row r="109" spans="1:22" x14ac:dyDescent="0.25">
      <c r="A109">
        <v>1.6</v>
      </c>
      <c r="B109" s="1">
        <v>15.2</v>
      </c>
      <c r="C109">
        <v>-1.5236679096367001E-2</v>
      </c>
      <c r="D109">
        <v>-1.3248662767121999E-2</v>
      </c>
      <c r="E109">
        <v>0.98477385664737005</v>
      </c>
      <c r="F109">
        <v>-1.5525181848834E-2</v>
      </c>
      <c r="G109">
        <f t="shared" si="19"/>
        <v>16.8486587312001</v>
      </c>
      <c r="H109">
        <f t="shared" si="20"/>
        <v>-16.386215321853701</v>
      </c>
      <c r="I109">
        <f t="shared" si="21"/>
        <v>16.848665294656801</v>
      </c>
      <c r="J109">
        <f t="shared" si="22"/>
        <v>-16.387353567927399</v>
      </c>
      <c r="K109" s="8">
        <f t="shared" si="23"/>
        <v>-6.5634567008032701E-6</v>
      </c>
      <c r="L109" s="8">
        <f t="shared" si="24"/>
        <v>1.1382460736975E-3</v>
      </c>
      <c r="M109" s="8">
        <f t="shared" si="25"/>
        <v>3.0499579090427099E-2</v>
      </c>
      <c r="N109" s="8">
        <f t="shared" si="26"/>
        <v>2.9664509175471601E-2</v>
      </c>
      <c r="O109">
        <v>4.048362540317E-2</v>
      </c>
      <c r="P109">
        <v>-3.5365767525669001E-2</v>
      </c>
      <c r="Q109">
        <v>2.0805472001768001E-2</v>
      </c>
      <c r="R109">
        <v>-5.9848812820445997E-2</v>
      </c>
      <c r="S109">
        <f t="shared" si="27"/>
        <v>1.1787064696699885</v>
      </c>
      <c r="T109">
        <f t="shared" si="28"/>
        <v>-29.690940651312477</v>
      </c>
      <c r="U109" s="9">
        <f t="shared" si="29"/>
        <v>1.0239539125122656</v>
      </c>
      <c r="V109" s="9">
        <f t="shared" si="30"/>
        <v>-0.58383844228751391</v>
      </c>
    </row>
    <row r="110" spans="1:22" x14ac:dyDescent="0.25">
      <c r="A110">
        <v>1.6</v>
      </c>
      <c r="B110" s="1">
        <v>15.3</v>
      </c>
      <c r="C110">
        <v>-1.7370982343682E-2</v>
      </c>
      <c r="D110">
        <v>-1.3490056893723E-2</v>
      </c>
      <c r="E110">
        <v>0.98263950056299998</v>
      </c>
      <c r="F110">
        <v>-1.5751120625838999E-2</v>
      </c>
      <c r="G110">
        <f t="shared" si="19"/>
        <v>16.349124098483902</v>
      </c>
      <c r="H110">
        <f t="shared" si="20"/>
        <v>-14.185075515937401</v>
      </c>
      <c r="I110">
        <f t="shared" si="21"/>
        <v>16.349130617990401</v>
      </c>
      <c r="J110">
        <f t="shared" si="22"/>
        <v>-14.1862060345074</v>
      </c>
      <c r="K110" s="8">
        <f t="shared" si="23"/>
        <v>-6.5195064991030398E-6</v>
      </c>
      <c r="L110" s="8">
        <f t="shared" si="24"/>
        <v>1.1305185699992399E-3</v>
      </c>
      <c r="M110" s="8">
        <f t="shared" si="25"/>
        <v>3.4893590534099399E-2</v>
      </c>
      <c r="N110" s="8">
        <f t="shared" si="26"/>
        <v>3.02773080824109E-2</v>
      </c>
      <c r="O110">
        <v>4.1001520126318997E-2</v>
      </c>
      <c r="P110">
        <v>-4.0308061093779997E-2</v>
      </c>
      <c r="Q110">
        <v>1.8412465587673999E-2</v>
      </c>
      <c r="R110">
        <v>-6.5074267331706001E-2</v>
      </c>
      <c r="S110">
        <f t="shared" si="27"/>
        <v>1.1762247871483966</v>
      </c>
      <c r="T110">
        <f t="shared" si="28"/>
        <v>-29.690024995095989</v>
      </c>
      <c r="U110" s="9">
        <f t="shared" si="29"/>
        <v>1.0218073611509793</v>
      </c>
      <c r="V110" s="9">
        <f t="shared" si="30"/>
        <v>-0.58259288238010898</v>
      </c>
    </row>
    <row r="111" spans="1:22" x14ac:dyDescent="0.25">
      <c r="A111">
        <v>1.6</v>
      </c>
      <c r="B111" s="1">
        <v>15.4</v>
      </c>
      <c r="C111">
        <v>-1.9746593920916999E-2</v>
      </c>
      <c r="D111">
        <v>-1.3463660040295001E-2</v>
      </c>
      <c r="E111">
        <v>0.98026174502533003</v>
      </c>
      <c r="F111">
        <v>-1.5705449177465001E-2</v>
      </c>
      <c r="G111">
        <f t="shared" si="19"/>
        <v>15.8844983270786</v>
      </c>
      <c r="H111">
        <f t="shared" si="20"/>
        <v>-12.103355710286699</v>
      </c>
      <c r="I111">
        <f t="shared" si="21"/>
        <v>15.884503752921599</v>
      </c>
      <c r="J111">
        <f t="shared" si="22"/>
        <v>-12.104476594099999</v>
      </c>
      <c r="K111" s="8">
        <f t="shared" si="23"/>
        <v>-5.4258429997844402E-6</v>
      </c>
      <c r="L111" s="8">
        <f t="shared" si="24"/>
        <v>1.12088381330011E-3</v>
      </c>
      <c r="M111" s="8">
        <f t="shared" si="25"/>
        <v>3.9827175071637799E-2</v>
      </c>
      <c r="N111" s="8">
        <f t="shared" si="26"/>
        <v>3.0349522777826401E-2</v>
      </c>
      <c r="O111">
        <v>4.0897971949142999E-2</v>
      </c>
      <c r="P111">
        <v>-4.5808634417512997E-2</v>
      </c>
      <c r="Q111">
        <v>1.5070636209386E-2</v>
      </c>
      <c r="R111">
        <v>-7.0483595312460998E-2</v>
      </c>
      <c r="S111">
        <f t="shared" si="27"/>
        <v>1.1737152491552083</v>
      </c>
      <c r="T111">
        <f t="shared" si="28"/>
        <v>-29.689380504418143</v>
      </c>
      <c r="U111" s="9">
        <f t="shared" si="29"/>
        <v>1.0196338201700705</v>
      </c>
      <c r="V111" s="9">
        <f t="shared" si="30"/>
        <v>-0.58133842025524241</v>
      </c>
    </row>
    <row r="112" spans="1:22" x14ac:dyDescent="0.25">
      <c r="A112">
        <v>1.6</v>
      </c>
      <c r="B112" s="1">
        <v>15.5</v>
      </c>
      <c r="C112">
        <v>-2.2335611373903001E-2</v>
      </c>
      <c r="D112">
        <v>-1.3078315431342E-2</v>
      </c>
      <c r="E112">
        <v>0.97767060082558999</v>
      </c>
      <c r="F112">
        <v>-1.5300966648738999E-2</v>
      </c>
      <c r="G112">
        <f t="shared" si="19"/>
        <v>15.449811706300499</v>
      </c>
      <c r="H112">
        <f t="shared" si="20"/>
        <v>-10.133646966152901</v>
      </c>
      <c r="I112">
        <f t="shared" si="21"/>
        <v>15.4498160474221</v>
      </c>
      <c r="J112">
        <f t="shared" si="22"/>
        <v>-10.134758283485301</v>
      </c>
      <c r="K112" s="8">
        <f t="shared" si="23"/>
        <v>-4.3411216008593101E-6</v>
      </c>
      <c r="L112" s="8">
        <f t="shared" si="24"/>
        <v>1.1113173324002201E-3</v>
      </c>
      <c r="M112" s="8">
        <f t="shared" si="25"/>
        <v>4.52529499730253E-2</v>
      </c>
      <c r="N112" s="8">
        <f t="shared" si="26"/>
        <v>2.9684994836413601E-2</v>
      </c>
      <c r="O112">
        <v>3.9961899499428001E-2</v>
      </c>
      <c r="P112">
        <v>-5.1802534713117E-2</v>
      </c>
      <c r="Q112">
        <v>1.0609701989906E-2</v>
      </c>
      <c r="R112">
        <v>-7.5888226285235005E-2</v>
      </c>
      <c r="S112">
        <f t="shared" si="27"/>
        <v>1.1712046618884897</v>
      </c>
      <c r="T112">
        <f t="shared" si="28"/>
        <v>-29.68881973549658</v>
      </c>
      <c r="U112" s="9">
        <f t="shared" si="29"/>
        <v>1.0174584919320337</v>
      </c>
      <c r="V112" s="9">
        <f t="shared" si="30"/>
        <v>-0.58008497414148152</v>
      </c>
    </row>
    <row r="113" spans="1:22" x14ac:dyDescent="0.25">
      <c r="A113">
        <v>1.6</v>
      </c>
      <c r="B113">
        <v>15.6</v>
      </c>
      <c r="C113">
        <v>-2.5075706404725E-2</v>
      </c>
      <c r="D113">
        <v>-1.2237006294086E-2</v>
      </c>
      <c r="E113">
        <v>0.97492828247033003</v>
      </c>
      <c r="F113">
        <v>-1.4441205873179E-2</v>
      </c>
      <c r="G113">
        <f t="shared" si="19"/>
        <v>15.0424009273602</v>
      </c>
      <c r="H113">
        <f t="shared" si="20"/>
        <v>-8.26793973082723</v>
      </c>
      <c r="I113">
        <f t="shared" si="21"/>
        <v>15.0424041364089</v>
      </c>
      <c r="J113">
        <f t="shared" si="22"/>
        <v>-8.2690418248820308</v>
      </c>
      <c r="K113" s="8">
        <f t="shared" si="23"/>
        <v>-3.2090486996594298E-6</v>
      </c>
      <c r="L113" s="8">
        <f t="shared" si="24"/>
        <v>1.1020940548007699E-3</v>
      </c>
      <c r="M113" s="8">
        <f t="shared" si="25"/>
        <v>5.10516014456565E-2</v>
      </c>
      <c r="N113" s="8">
        <f t="shared" si="26"/>
        <v>2.8063853606988699E-2</v>
      </c>
      <c r="O113">
        <v>3.7968691477162003E-2</v>
      </c>
      <c r="P113">
        <v>-5.8144778826682002E-2</v>
      </c>
      <c r="Q113">
        <v>4.8927905240960003E-3</v>
      </c>
      <c r="R113">
        <v>-8.1011627494391003E-2</v>
      </c>
      <c r="S113">
        <f t="shared" si="27"/>
        <v>1.1687045337863347</v>
      </c>
      <c r="T113">
        <f t="shared" si="28"/>
        <v>-29.688394679523451</v>
      </c>
      <c r="U113" s="9">
        <f t="shared" si="29"/>
        <v>1.0152908544204866</v>
      </c>
      <c r="V113" s="9">
        <f t="shared" si="30"/>
        <v>-0.57883915574436762</v>
      </c>
    </row>
    <row r="114" spans="1:22" x14ac:dyDescent="0.25">
      <c r="A114">
        <v>1.6</v>
      </c>
      <c r="B114">
        <v>15.7</v>
      </c>
      <c r="C114">
        <v>-2.7861282079323001E-2</v>
      </c>
      <c r="D114">
        <v>-1.0851159488157999E-2</v>
      </c>
      <c r="E114">
        <v>0.97214103729515</v>
      </c>
      <c r="F114">
        <v>-1.3037727468509E-2</v>
      </c>
      <c r="G114">
        <f t="shared" si="19"/>
        <v>14.6602186245612</v>
      </c>
      <c r="H114">
        <f t="shared" si="20"/>
        <v>-6.4990798151198099</v>
      </c>
      <c r="I114">
        <f t="shared" si="21"/>
        <v>14.660220979511401</v>
      </c>
      <c r="J114">
        <f t="shared" si="22"/>
        <v>-6.5001730952674901</v>
      </c>
      <c r="K114" s="8">
        <f t="shared" si="23"/>
        <v>-2.3549502010666899E-6</v>
      </c>
      <c r="L114" s="8">
        <f t="shared" si="24"/>
        <v>1.09328014768018E-3</v>
      </c>
      <c r="M114" s="8">
        <f t="shared" si="25"/>
        <v>5.7004993506276802E-2</v>
      </c>
      <c r="N114" s="8">
        <f t="shared" si="26"/>
        <v>2.5275357418094498E-2</v>
      </c>
      <c r="O114">
        <v>3.4712916096369999E-2</v>
      </c>
      <c r="P114">
        <v>-6.4589174395033006E-2</v>
      </c>
      <c r="Q114">
        <v>-2.1378862460702999E-3</v>
      </c>
      <c r="R114">
        <v>-8.5489407735776998E-2</v>
      </c>
      <c r="S114">
        <f t="shared" si="27"/>
        <v>1.1662407838429178</v>
      </c>
      <c r="T114">
        <f t="shared" si="28"/>
        <v>-29.687970474165979</v>
      </c>
      <c r="U114" s="9">
        <f t="shared" si="29"/>
        <v>1.0131547929041773</v>
      </c>
      <c r="V114" s="9">
        <f t="shared" si="30"/>
        <v>-0.5776114018211872</v>
      </c>
    </row>
    <row r="115" spans="1:22" x14ac:dyDescent="0.25">
      <c r="A115">
        <v>1.6</v>
      </c>
      <c r="B115">
        <v>15.8</v>
      </c>
      <c r="C115">
        <v>-3.0541390492947001E-2</v>
      </c>
      <c r="D115">
        <v>-8.8623451247833007E-3</v>
      </c>
      <c r="E115">
        <v>0.96945991904314999</v>
      </c>
      <c r="F115">
        <v>-1.103164446112E-2</v>
      </c>
      <c r="G115">
        <f t="shared" si="19"/>
        <v>14.3014676133173</v>
      </c>
      <c r="H115">
        <f t="shared" si="20"/>
        <v>-4.8202364459426104</v>
      </c>
      <c r="I115">
        <f t="shared" si="21"/>
        <v>14.3014694445462</v>
      </c>
      <c r="J115">
        <f t="shared" si="22"/>
        <v>-4.8213210929143502</v>
      </c>
      <c r="K115" s="8">
        <f t="shared" si="23"/>
        <v>-1.83122890007326E-6</v>
      </c>
      <c r="L115" s="8">
        <f t="shared" si="24"/>
        <v>1.08464697173982E-3</v>
      </c>
      <c r="M115" s="8">
        <f t="shared" si="25"/>
        <v>6.2787107839816503E-2</v>
      </c>
      <c r="N115" s="8">
        <f t="shared" si="26"/>
        <v>2.1166832440888499E-2</v>
      </c>
      <c r="O115">
        <v>3.0062199715349E-2</v>
      </c>
      <c r="P115">
        <v>-7.0789952538452994E-2</v>
      </c>
      <c r="Q115">
        <v>-1.0408679191854999E-2</v>
      </c>
      <c r="R115">
        <v>-8.8894332845367005E-2</v>
      </c>
      <c r="S115">
        <f t="shared" si="27"/>
        <v>1.163738281620228</v>
      </c>
      <c r="T115">
        <f t="shared" si="28"/>
        <v>-29.687738949034507</v>
      </c>
      <c r="U115" s="9">
        <f t="shared" si="29"/>
        <v>1.0109831093756882</v>
      </c>
      <c r="V115" s="9">
        <f t="shared" si="30"/>
        <v>-0.57636788656678839</v>
      </c>
    </row>
    <row r="116" spans="1:22" x14ac:dyDescent="0.25">
      <c r="A116">
        <v>1.6</v>
      </c>
      <c r="B116">
        <v>15.9</v>
      </c>
      <c r="C116">
        <v>-3.2930381937062998E-2</v>
      </c>
      <c r="D116">
        <v>-6.2676925430206996E-3</v>
      </c>
      <c r="E116">
        <v>0.96707015805662999</v>
      </c>
      <c r="F116">
        <v>-8.4196203370280002E-3</v>
      </c>
      <c r="G116">
        <f t="shared" si="19"/>
        <v>13.964326867525701</v>
      </c>
      <c r="H116">
        <f t="shared" si="20"/>
        <v>-3.2251131368962902</v>
      </c>
      <c r="I116">
        <f t="shared" si="21"/>
        <v>13.9643282952185</v>
      </c>
      <c r="J116">
        <f t="shared" si="22"/>
        <v>-3.22618909896664</v>
      </c>
      <c r="K116" s="8">
        <f t="shared" si="23"/>
        <v>-1.42769279953825E-6</v>
      </c>
      <c r="L116" s="8">
        <f t="shared" si="24"/>
        <v>1.07596207034977E-3</v>
      </c>
      <c r="M116" s="8">
        <f t="shared" si="25"/>
        <v>6.7982457385318704E-2</v>
      </c>
      <c r="N116" s="8">
        <f t="shared" si="26"/>
        <v>1.57060374334352E-2</v>
      </c>
      <c r="O116">
        <v>2.4008811879458001E-2</v>
      </c>
      <c r="P116">
        <v>-7.6315075903834004E-2</v>
      </c>
      <c r="Q116">
        <v>-1.9670573149564E-2</v>
      </c>
      <c r="R116">
        <v>-9.0796175318064998E-2</v>
      </c>
      <c r="S116">
        <f t="shared" si="27"/>
        <v>1.1612438655692285</v>
      </c>
      <c r="T116">
        <f t="shared" si="28"/>
        <v>-29.687594690160811</v>
      </c>
      <c r="U116" s="9">
        <f t="shared" si="29"/>
        <v>1.0088175646211741</v>
      </c>
      <c r="V116" s="9">
        <f t="shared" si="30"/>
        <v>-0.57512993021922221</v>
      </c>
    </row>
    <row r="117" spans="1:22" x14ac:dyDescent="0.25">
      <c r="A117">
        <v>1.6</v>
      </c>
      <c r="B117">
        <v>16</v>
      </c>
      <c r="C117">
        <v>-3.4834724455006003E-2</v>
      </c>
      <c r="D117">
        <v>-3.1401496629500001E-3</v>
      </c>
      <c r="E117">
        <v>0.96516498812540996</v>
      </c>
      <c r="F117">
        <v>-5.2743298837968E-3</v>
      </c>
      <c r="G117">
        <f t="shared" si="19"/>
        <v>13.6470706228612</v>
      </c>
      <c r="H117">
        <f t="shared" si="20"/>
        <v>-1.7081027566096301</v>
      </c>
      <c r="I117">
        <f t="shared" si="21"/>
        <v>13.6470716178319</v>
      </c>
      <c r="J117">
        <f t="shared" si="22"/>
        <v>-1.70916984581168</v>
      </c>
      <c r="K117" s="8">
        <f t="shared" si="23"/>
        <v>-9.9497069960818905E-7</v>
      </c>
      <c r="L117" s="8">
        <f t="shared" si="24"/>
        <v>1.0670892020499E-3</v>
      </c>
      <c r="M117" s="8">
        <f t="shared" si="25"/>
        <v>7.21441935100193E-2</v>
      </c>
      <c r="N117" s="8">
        <f t="shared" si="26"/>
        <v>9.0353948122181404E-3</v>
      </c>
      <c r="O117">
        <v>1.6722353507843998E-2</v>
      </c>
      <c r="P117">
        <v>-8.0717322998635002E-2</v>
      </c>
      <c r="Q117">
        <v>-2.9489453187497999E-2</v>
      </c>
      <c r="R117">
        <v>-9.0850708889488999E-2</v>
      </c>
      <c r="S117">
        <f t="shared" si="27"/>
        <v>1.158745235395088</v>
      </c>
      <c r="T117">
        <f t="shared" si="28"/>
        <v>-29.687530249864871</v>
      </c>
      <c r="U117" s="9">
        <f t="shared" si="29"/>
        <v>1.0066475531765864</v>
      </c>
      <c r="V117" s="9">
        <f t="shared" si="30"/>
        <v>-0.57389130001630928</v>
      </c>
    </row>
    <row r="118" spans="1:22" x14ac:dyDescent="0.25">
      <c r="A118">
        <v>1.6</v>
      </c>
      <c r="B118">
        <v>16.100000000000001</v>
      </c>
      <c r="C118">
        <v>-3.6092112154222998E-2</v>
      </c>
      <c r="D118">
        <v>3.6801794971459998E-4</v>
      </c>
      <c r="E118">
        <v>0.96390656732411995</v>
      </c>
      <c r="F118">
        <v>-1.7476180302132E-3</v>
      </c>
      <c r="G118">
        <f t="shared" si="19"/>
        <v>13.3481306187243</v>
      </c>
      <c r="H118">
        <f t="shared" si="20"/>
        <v>-0.26413463922707597</v>
      </c>
      <c r="I118">
        <f t="shared" si="21"/>
        <v>13.348131077442901</v>
      </c>
      <c r="J118">
        <f t="shared" si="22"/>
        <v>-0.26519245743023601</v>
      </c>
      <c r="K118" s="8">
        <f t="shared" si="23"/>
        <v>-4.5871860088198002E-7</v>
      </c>
      <c r="L118" s="8">
        <f t="shared" si="24"/>
        <v>1.0578182031600299E-3</v>
      </c>
      <c r="M118" s="8">
        <f t="shared" si="25"/>
        <v>7.4887295978421503E-2</v>
      </c>
      <c r="N118" s="8">
        <f t="shared" si="26"/>
        <v>1.4878147311861299E-3</v>
      </c>
      <c r="O118">
        <v>8.5555697471602007E-3</v>
      </c>
      <c r="P118">
        <v>-8.3621263071984003E-2</v>
      </c>
      <c r="Q118">
        <v>-3.9292156985332997E-2</v>
      </c>
      <c r="R118">
        <v>-8.8894975723439004E-2</v>
      </c>
      <c r="S118">
        <f t="shared" si="27"/>
        <v>1.1562462476100313</v>
      </c>
      <c r="T118">
        <f t="shared" si="28"/>
        <v>-29.687534660001035</v>
      </c>
      <c r="U118" s="9">
        <f t="shared" si="29"/>
        <v>1.0044765401380689</v>
      </c>
      <c r="V118" s="9">
        <f t="shared" si="30"/>
        <v>-0.572653704628314</v>
      </c>
    </row>
    <row r="119" spans="1:22" x14ac:dyDescent="0.25">
      <c r="A119">
        <v>1.6</v>
      </c>
      <c r="B119">
        <v>16.2</v>
      </c>
      <c r="C119">
        <v>-3.6609905977829003E-2</v>
      </c>
      <c r="D119">
        <v>4.0458155389371002E-3</v>
      </c>
      <c r="E119">
        <v>0.96338754595780995</v>
      </c>
      <c r="F119">
        <v>1.9495131518761999E-3</v>
      </c>
      <c r="G119">
        <f t="shared" si="19"/>
        <v>13.066082563221601</v>
      </c>
      <c r="H119">
        <f t="shared" si="20"/>
        <v>1.1112930199573099</v>
      </c>
      <c r="I119">
        <f t="shared" si="21"/>
        <v>13.066082387811701</v>
      </c>
      <c r="J119">
        <f t="shared" si="22"/>
        <v>1.11024486724455</v>
      </c>
      <c r="K119" s="8">
        <f t="shared" si="23"/>
        <v>1.7540989993847199E-7</v>
      </c>
      <c r="L119" s="8">
        <f t="shared" si="24"/>
        <v>1.04815271275993E-3</v>
      </c>
      <c r="M119" s="8">
        <f t="shared" si="25"/>
        <v>7.5985407752808001E-2</v>
      </c>
      <c r="N119" s="8">
        <f t="shared" si="26"/>
        <v>-6.4565955149443899E-3</v>
      </c>
      <c r="O119" s="5">
        <v>-2.9573686452089998E-6</v>
      </c>
      <c r="P119">
        <v>-8.4814988986961007E-2</v>
      </c>
      <c r="Q119">
        <v>-4.8466383249089001E-2</v>
      </c>
      <c r="R119">
        <v>-8.5006472277007999E-2</v>
      </c>
      <c r="S119">
        <f t="shared" si="27"/>
        <v>1.1537157898781865</v>
      </c>
      <c r="T119">
        <f t="shared" si="28"/>
        <v>-29.687599795728019</v>
      </c>
      <c r="U119" s="9">
        <f t="shared" si="29"/>
        <v>1.0022775825061796</v>
      </c>
      <c r="V119" s="9">
        <f t="shared" si="30"/>
        <v>-0.57140158506939409</v>
      </c>
    </row>
    <row r="120" spans="1:22" x14ac:dyDescent="0.25">
      <c r="A120">
        <v>1.6</v>
      </c>
      <c r="B120">
        <v>16.3</v>
      </c>
      <c r="C120">
        <v>-3.6386433119826998E-2</v>
      </c>
      <c r="D120">
        <v>7.6640580803906998E-3</v>
      </c>
      <c r="E120">
        <v>0.96360761781506998</v>
      </c>
      <c r="F120">
        <v>5.5856415096509002E-3</v>
      </c>
      <c r="G120">
        <f t="shared" si="19"/>
        <v>12.7994683939492</v>
      </c>
      <c r="H120">
        <f t="shared" si="20"/>
        <v>2.4217454488067198</v>
      </c>
      <c r="I120">
        <f t="shared" si="21"/>
        <v>12.7994664993701</v>
      </c>
      <c r="J120">
        <f t="shared" si="22"/>
        <v>2.42070623546131</v>
      </c>
      <c r="K120" s="8">
        <f t="shared" si="23"/>
        <v>1.8945790998259301E-6</v>
      </c>
      <c r="L120" s="8">
        <f t="shared" si="24"/>
        <v>1.0392133454097999E-3</v>
      </c>
      <c r="M120" s="8">
        <f t="shared" si="25"/>
        <v>7.5430231892649593E-2</v>
      </c>
      <c r="N120" s="8">
        <f t="shared" si="26"/>
        <v>-1.42657846476504E-2</v>
      </c>
      <c r="O120">
        <v>-8.4233213500271992E-3</v>
      </c>
      <c r="P120">
        <v>-8.4293191850225005E-2</v>
      </c>
      <c r="Q120">
        <v>-5.6483752181472002E-2</v>
      </c>
      <c r="R120">
        <v>-7.9497233348575003E-2</v>
      </c>
      <c r="S120">
        <f t="shared" si="27"/>
        <v>1.1511853498462417</v>
      </c>
      <c r="T120">
        <f t="shared" si="28"/>
        <v>-29.687700822349608</v>
      </c>
      <c r="U120" s="9">
        <f t="shared" si="29"/>
        <v>1.0000782859491046</v>
      </c>
      <c r="V120" s="9">
        <f t="shared" si="30"/>
        <v>-0.57015009574121345</v>
      </c>
    </row>
    <row r="121" spans="1:22" x14ac:dyDescent="0.25">
      <c r="A121">
        <v>1.6</v>
      </c>
      <c r="B121">
        <v>16.399999999999999</v>
      </c>
      <c r="C121">
        <v>-3.5505791177712999E-2</v>
      </c>
      <c r="D121">
        <v>1.1020777829926999E-2</v>
      </c>
      <c r="E121">
        <v>0.96449033554439001</v>
      </c>
      <c r="F121">
        <v>8.9622646158186003E-3</v>
      </c>
      <c r="G121">
        <f t="shared" si="19"/>
        <v>12.548275092149099</v>
      </c>
      <c r="H121">
        <f t="shared" si="20"/>
        <v>3.6721692564747901</v>
      </c>
      <c r="I121">
        <f t="shared" si="21"/>
        <v>12.548274214880699</v>
      </c>
      <c r="J121">
        <f t="shared" si="22"/>
        <v>3.6711399969715099</v>
      </c>
      <c r="K121" s="8">
        <f t="shared" si="23"/>
        <v>8.7726840014568097E-7</v>
      </c>
      <c r="L121" s="8">
        <f t="shared" si="24"/>
        <v>1.02925950328014E-3</v>
      </c>
      <c r="M121" s="8">
        <f t="shared" si="25"/>
        <v>7.3409000090895293E-2</v>
      </c>
      <c r="N121" s="8">
        <f t="shared" si="26"/>
        <v>-2.1476635890836999E-2</v>
      </c>
      <c r="O121">
        <v>-1.6237187741588999E-2</v>
      </c>
      <c r="P121">
        <v>-8.2249379205092996E-2</v>
      </c>
      <c r="Q121">
        <v>-6.2995434985382001E-2</v>
      </c>
      <c r="R121">
        <v>-7.2837466869393006E-2</v>
      </c>
      <c r="S121">
        <f t="shared" si="27"/>
        <v>1.1486623946000938</v>
      </c>
      <c r="T121">
        <f t="shared" si="28"/>
        <v>-29.688367721077626</v>
      </c>
      <c r="U121" s="9">
        <f t="shared" si="29"/>
        <v>0.99787987740233397</v>
      </c>
      <c r="V121" s="9">
        <f t="shared" si="30"/>
        <v>-0.56891216109688192</v>
      </c>
    </row>
    <row r="122" spans="1:22" x14ac:dyDescent="0.25">
      <c r="A122">
        <v>1.6</v>
      </c>
      <c r="B122">
        <v>16.5</v>
      </c>
      <c r="C122">
        <v>-3.4110008368119997E-2</v>
      </c>
      <c r="D122">
        <v>1.3972953584529E-2</v>
      </c>
      <c r="E122">
        <v>0.96588066071468004</v>
      </c>
      <c r="F122">
        <v>1.1932226824875001E-2</v>
      </c>
      <c r="G122">
        <f t="shared" si="19"/>
        <v>12.309844027719301</v>
      </c>
      <c r="H122">
        <f t="shared" si="20"/>
        <v>4.8641251115011404</v>
      </c>
      <c r="I122">
        <f t="shared" si="21"/>
        <v>12.3098404033938</v>
      </c>
      <c r="J122">
        <f t="shared" si="22"/>
        <v>4.8631047396626803</v>
      </c>
      <c r="K122" s="8">
        <f t="shared" si="23"/>
        <v>3.6243255010504101E-6</v>
      </c>
      <c r="L122" s="8">
        <f t="shared" si="24"/>
        <v>1.0203718384600401E-3</v>
      </c>
      <c r="M122" s="8">
        <f t="shared" si="25"/>
        <v>7.0268882202193295E-2</v>
      </c>
      <c r="N122" s="8">
        <f t="shared" si="26"/>
        <v>-2.7760305811444199E-2</v>
      </c>
      <c r="O122">
        <v>-2.3115494678131E-2</v>
      </c>
      <c r="P122">
        <v>-7.9015895839992994E-2</v>
      </c>
      <c r="Q122">
        <v>-6.7869917309013997E-2</v>
      </c>
      <c r="R122">
        <v>-6.5553361940003996E-2</v>
      </c>
      <c r="S122">
        <f t="shared" si="27"/>
        <v>1.1461368452637135</v>
      </c>
      <c r="T122">
        <f t="shared" si="28"/>
        <v>-29.688262886257991</v>
      </c>
      <c r="U122" s="9">
        <f t="shared" si="29"/>
        <v>0.99568689031620083</v>
      </c>
      <c r="V122" s="9">
        <f t="shared" si="30"/>
        <v>-0.56765947937430883</v>
      </c>
    </row>
    <row r="123" spans="1:22" x14ac:dyDescent="0.25">
      <c r="A123">
        <v>1.6</v>
      </c>
      <c r="B123">
        <v>16.600000000000001</v>
      </c>
      <c r="C123">
        <v>-3.2363024539114001E-2</v>
      </c>
      <c r="D123">
        <v>1.644810885794E-2</v>
      </c>
      <c r="E123">
        <v>0.96762639992429</v>
      </c>
      <c r="F123">
        <v>1.4426252426922999E-2</v>
      </c>
      <c r="G123">
        <f t="shared" si="19"/>
        <v>12.084743659880701</v>
      </c>
      <c r="H123">
        <f t="shared" si="20"/>
        <v>6.0024534990103202</v>
      </c>
      <c r="I123">
        <f t="shared" si="21"/>
        <v>12.0847393940755</v>
      </c>
      <c r="J123">
        <f t="shared" si="22"/>
        <v>6.0014425611367797</v>
      </c>
      <c r="K123" s="8">
        <f t="shared" si="23"/>
        <v>4.2658052006316902E-6</v>
      </c>
      <c r="L123" s="8">
        <f t="shared" si="24"/>
        <v>1.0109378735405599E-3</v>
      </c>
      <c r="M123" s="8">
        <f t="shared" si="25"/>
        <v>6.6378426255109799E-2</v>
      </c>
      <c r="N123" s="8">
        <f t="shared" si="26"/>
        <v>-3.29644106900637E-2</v>
      </c>
      <c r="O123">
        <v>-2.8889385876257001E-2</v>
      </c>
      <c r="P123">
        <v>-7.4970044030221006E-2</v>
      </c>
      <c r="Q123">
        <v>-7.1164987202693999E-2</v>
      </c>
      <c r="R123">
        <v>-5.8118127179775998E-2</v>
      </c>
      <c r="S123">
        <f t="shared" si="27"/>
        <v>1.1436034980493743</v>
      </c>
      <c r="T123">
        <f t="shared" si="28"/>
        <v>-29.68865165106574</v>
      </c>
      <c r="U123" s="9">
        <f t="shared" si="29"/>
        <v>0.99348224480491043</v>
      </c>
      <c r="V123" s="9">
        <f t="shared" si="30"/>
        <v>-0.56641150236216187</v>
      </c>
    </row>
    <row r="124" spans="1:22" x14ac:dyDescent="0.25">
      <c r="A124">
        <v>1.6</v>
      </c>
      <c r="B124">
        <v>16.7</v>
      </c>
      <c r="C124">
        <v>-3.0419657520704E-2</v>
      </c>
      <c r="D124">
        <v>1.8435410775432998E-2</v>
      </c>
      <c r="E124">
        <v>0.96957510663883995</v>
      </c>
      <c r="F124">
        <v>1.6433759317914999E-2</v>
      </c>
      <c r="G124">
        <f t="shared" si="19"/>
        <v>11.872013923183999</v>
      </c>
      <c r="H124">
        <f t="shared" si="20"/>
        <v>7.0907299171031504</v>
      </c>
      <c r="I124">
        <f t="shared" si="21"/>
        <v>11.8720123069159</v>
      </c>
      <c r="J124">
        <f t="shared" si="22"/>
        <v>7.08972908713669</v>
      </c>
      <c r="K124" s="8">
        <f t="shared" si="23"/>
        <v>1.6162680989140199E-6</v>
      </c>
      <c r="L124" s="8">
        <f t="shared" si="24"/>
        <v>1.0008299664603401E-3</v>
      </c>
      <c r="M124" s="8">
        <f t="shared" si="25"/>
        <v>6.2089213157200597E-2</v>
      </c>
      <c r="N124" s="8">
        <f t="shared" si="26"/>
        <v>-3.7078440380457198E-2</v>
      </c>
      <c r="O124">
        <v>-3.3533422972851001E-2</v>
      </c>
      <c r="P124">
        <v>-7.0469728353732997E-2</v>
      </c>
      <c r="Q124">
        <v>-7.3067815731620994E-2</v>
      </c>
      <c r="R124">
        <v>-5.0901781145756997E-2</v>
      </c>
      <c r="S124">
        <f t="shared" si="27"/>
        <v>1.1410594185684271</v>
      </c>
      <c r="T124">
        <f t="shared" si="28"/>
        <v>-29.689775859029741</v>
      </c>
      <c r="U124" s="9">
        <f t="shared" si="29"/>
        <v>0.99126103847512581</v>
      </c>
      <c r="V124" s="9">
        <f t="shared" si="30"/>
        <v>-0.56517090362555999</v>
      </c>
    </row>
    <row r="125" spans="1:22" x14ac:dyDescent="0.25">
      <c r="A125">
        <v>1.6</v>
      </c>
      <c r="B125">
        <v>16.8</v>
      </c>
      <c r="C125">
        <v>-2.8407274817963998E-2</v>
      </c>
      <c r="D125">
        <v>1.9967147922271999E-2</v>
      </c>
      <c r="E125">
        <v>0.97158731540881005</v>
      </c>
      <c r="F125">
        <v>1.7984013688542001E-2</v>
      </c>
      <c r="G125">
        <f t="shared" si="19"/>
        <v>11.670146982678901</v>
      </c>
      <c r="H125">
        <f t="shared" si="20"/>
        <v>8.1291742835897995</v>
      </c>
      <c r="I125">
        <f t="shared" si="21"/>
        <v>11.670145260997399</v>
      </c>
      <c r="J125">
        <f t="shared" si="22"/>
        <v>8.1281827120836994</v>
      </c>
      <c r="K125" s="8">
        <f t="shared" si="23"/>
        <v>1.7216815013654201E-6</v>
      </c>
      <c r="L125" s="8">
        <f t="shared" si="24"/>
        <v>9.9157150610018597E-4</v>
      </c>
      <c r="M125" s="8">
        <f t="shared" si="25"/>
        <v>5.76988320298936E-2</v>
      </c>
      <c r="N125" s="8">
        <f t="shared" si="26"/>
        <v>-4.0186873301414301E-2</v>
      </c>
      <c r="O125">
        <v>-3.7124141341182998E-2</v>
      </c>
      <c r="P125">
        <v>-6.5810834890009995E-2</v>
      </c>
      <c r="Q125">
        <v>-7.3830833080325994E-2</v>
      </c>
      <c r="R125">
        <v>-4.4155455109029997E-2</v>
      </c>
      <c r="S125">
        <f t="shared" si="27"/>
        <v>1.1385341894464933</v>
      </c>
      <c r="T125">
        <f t="shared" si="28"/>
        <v>-29.690427578319166</v>
      </c>
      <c r="U125" s="9">
        <f t="shared" si="29"/>
        <v>0.98906090719595896</v>
      </c>
      <c r="V125" s="9">
        <f t="shared" si="30"/>
        <v>-0.56393139866059083</v>
      </c>
    </row>
    <row r="126" spans="1:22" x14ac:dyDescent="0.25">
      <c r="A126">
        <v>1.6</v>
      </c>
      <c r="B126">
        <v>16.899999999999999</v>
      </c>
      <c r="C126">
        <v>-2.6419508223975999E-2</v>
      </c>
      <c r="D126">
        <v>2.1100315617581002E-2</v>
      </c>
      <c r="E126">
        <v>0.97357505670416999</v>
      </c>
      <c r="F126">
        <v>1.9139876839323999E-2</v>
      </c>
      <c r="G126">
        <f t="shared" si="19"/>
        <v>11.4779559027514</v>
      </c>
      <c r="H126">
        <f t="shared" si="20"/>
        <v>9.1215085264928994</v>
      </c>
      <c r="I126">
        <f t="shared" si="21"/>
        <v>11.477954146045001</v>
      </c>
      <c r="J126">
        <f t="shared" si="22"/>
        <v>9.1205283027180108</v>
      </c>
      <c r="K126" s="8">
        <f t="shared" si="23"/>
        <v>1.75670639990244E-6</v>
      </c>
      <c r="L126" s="8">
        <f t="shared" si="24"/>
        <v>9.8022377488860002E-4</v>
      </c>
      <c r="M126" s="8">
        <f t="shared" si="25"/>
        <v>5.3403849485715103E-2</v>
      </c>
      <c r="N126" s="8">
        <f t="shared" si="26"/>
        <v>-4.2435377813073903E-2</v>
      </c>
      <c r="O126">
        <v>-3.9793527322530997E-2</v>
      </c>
      <c r="P126">
        <v>-6.1210729054946997E-2</v>
      </c>
      <c r="Q126">
        <v>-7.3713211265155995E-2</v>
      </c>
      <c r="R126">
        <v>-3.8015758877218003E-2</v>
      </c>
      <c r="S126">
        <f t="shared" si="27"/>
        <v>1.136010964338138</v>
      </c>
      <c r="T126">
        <f t="shared" si="28"/>
        <v>-29.69052294606924</v>
      </c>
      <c r="U126" s="9">
        <f t="shared" si="29"/>
        <v>0.98686800894152493</v>
      </c>
      <c r="V126" s="9">
        <f t="shared" si="30"/>
        <v>-0.56268325372651384</v>
      </c>
    </row>
    <row r="127" spans="1:22" x14ac:dyDescent="0.25">
      <c r="A127">
        <v>1.6</v>
      </c>
      <c r="B127">
        <v>17</v>
      </c>
      <c r="C127">
        <v>-2.4518795450024E-2</v>
      </c>
      <c r="D127">
        <v>2.190048096536E-2</v>
      </c>
      <c r="E127">
        <v>0.97547595325287995</v>
      </c>
      <c r="F127">
        <v>1.9959772509702E-2</v>
      </c>
      <c r="G127">
        <f t="shared" si="19"/>
        <v>11.2962880493483</v>
      </c>
      <c r="H127">
        <f t="shared" si="20"/>
        <v>10.0691425090143</v>
      </c>
      <c r="I127">
        <f t="shared" si="21"/>
        <v>11.296286365286701</v>
      </c>
      <c r="J127">
        <f t="shared" si="22"/>
        <v>10.0681721506046</v>
      </c>
      <c r="K127" s="8">
        <f t="shared" si="23"/>
        <v>1.6840615995050699E-6</v>
      </c>
      <c r="L127" s="8">
        <f t="shared" si="24"/>
        <v>9.7035840970072197E-4</v>
      </c>
      <c r="M127" s="8">
        <f t="shared" si="25"/>
        <v>4.9334324759466398E-2</v>
      </c>
      <c r="N127" s="8">
        <f t="shared" si="26"/>
        <v>-4.3970775753216597E-2</v>
      </c>
      <c r="O127">
        <v>-4.1692499452360997E-2</v>
      </c>
      <c r="P127">
        <v>-5.6811500403184001E-2</v>
      </c>
      <c r="Q127">
        <v>-7.2950599653200998E-2</v>
      </c>
      <c r="R127">
        <v>-3.2532789014132001E-2</v>
      </c>
      <c r="S127">
        <f t="shared" si="27"/>
        <v>1.1334989140393297</v>
      </c>
      <c r="T127">
        <f t="shared" si="28"/>
        <v>-29.691222878091054</v>
      </c>
      <c r="U127" s="9">
        <f t="shared" si="29"/>
        <v>0.98467889837039879</v>
      </c>
      <c r="V127" s="9">
        <f t="shared" si="30"/>
        <v>-0.56145102656634038</v>
      </c>
    </row>
    <row r="128" spans="1:22" x14ac:dyDescent="0.25">
      <c r="A128">
        <v>1.8</v>
      </c>
      <c r="B128">
        <v>15</v>
      </c>
      <c r="C128">
        <v>-1.453287780797E-2</v>
      </c>
      <c r="D128">
        <v>-1.6484753913438999E-2</v>
      </c>
      <c r="E128">
        <v>0.98548133222734002</v>
      </c>
      <c r="F128">
        <v>-1.8959458225555999E-2</v>
      </c>
      <c r="G128">
        <f t="shared" si="19"/>
        <v>13.3321912390976</v>
      </c>
      <c r="H128">
        <f t="shared" si="20"/>
        <v>-16.875291508996199</v>
      </c>
      <c r="I128">
        <f t="shared" si="21"/>
        <v>13.332199875070099</v>
      </c>
      <c r="J128">
        <f t="shared" si="22"/>
        <v>-16.876528841675199</v>
      </c>
      <c r="K128" s="8">
        <f t="shared" si="23"/>
        <v>-8.6359724988938103E-6</v>
      </c>
      <c r="L128" s="8">
        <f t="shared" si="24"/>
        <v>1.2373326790005E-3</v>
      </c>
      <c r="M128" s="8">
        <f t="shared" si="25"/>
        <v>2.8822341157510201E-2</v>
      </c>
      <c r="N128" s="8">
        <f t="shared" si="26"/>
        <v>3.6484681927014997E-2</v>
      </c>
      <c r="O128">
        <v>4.2512690264607002E-2</v>
      </c>
      <c r="P128">
        <v>-3.0062696133243999E-2</v>
      </c>
      <c r="Q128">
        <v>2.6096282355803E-2</v>
      </c>
      <c r="R128">
        <v>-5.5824379190297001E-2</v>
      </c>
      <c r="S128">
        <f t="shared" si="27"/>
        <v>1.1835034884860307</v>
      </c>
      <c r="T128">
        <f t="shared" si="28"/>
        <v>-29.67936816849047</v>
      </c>
      <c r="U128" s="9">
        <f t="shared" si="29"/>
        <v>1.0282395113957088</v>
      </c>
      <c r="V128" s="9">
        <f t="shared" si="30"/>
        <v>-0.58600683823938271</v>
      </c>
    </row>
    <row r="129" spans="1:22" x14ac:dyDescent="0.25">
      <c r="A129">
        <v>1.8</v>
      </c>
      <c r="B129" s="1">
        <v>15.1</v>
      </c>
      <c r="C129">
        <v>-1.6563906304704001E-2</v>
      </c>
      <c r="D129">
        <v>-1.7173842624432001E-2</v>
      </c>
      <c r="E129">
        <v>0.98344903490410995</v>
      </c>
      <c r="F129">
        <v>-1.9639314026974001E-2</v>
      </c>
      <c r="G129">
        <f t="shared" si="19"/>
        <v>13.006329326661501</v>
      </c>
      <c r="H129">
        <f t="shared" si="20"/>
        <v>-15.0141109623553</v>
      </c>
      <c r="I129">
        <f t="shared" si="21"/>
        <v>13.006337316829599</v>
      </c>
      <c r="J129">
        <f t="shared" si="22"/>
        <v>-15.015343680230499</v>
      </c>
      <c r="K129" s="8">
        <f t="shared" si="23"/>
        <v>-7.9901680987148893E-6</v>
      </c>
      <c r="L129" s="8">
        <f t="shared" si="24"/>
        <v>1.23271787519919E-3</v>
      </c>
      <c r="M129" s="8">
        <f t="shared" si="25"/>
        <v>3.2958696422684501E-2</v>
      </c>
      <c r="N129" s="8">
        <f t="shared" si="26"/>
        <v>3.8049617043118503E-2</v>
      </c>
      <c r="O129">
        <v>4.3910035662612E-2</v>
      </c>
      <c r="P129">
        <v>-3.4258067063890001E-2</v>
      </c>
      <c r="Q129">
        <v>2.5021874634397E-2</v>
      </c>
      <c r="R129">
        <v>-6.0819059209833999E-2</v>
      </c>
      <c r="S129">
        <f t="shared" si="27"/>
        <v>1.1808516287065265</v>
      </c>
      <c r="T129">
        <f t="shared" si="28"/>
        <v>-29.676083373085586</v>
      </c>
      <c r="U129" s="9">
        <f t="shared" si="29"/>
        <v>1.0259690685446086</v>
      </c>
      <c r="V129" s="9">
        <f t="shared" si="30"/>
        <v>-0.58463496252667313</v>
      </c>
    </row>
    <row r="130" spans="1:22" x14ac:dyDescent="0.25">
      <c r="A130">
        <v>1.8</v>
      </c>
      <c r="B130" s="1">
        <v>15.2</v>
      </c>
      <c r="C130">
        <v>-1.8880672720708001E-2</v>
      </c>
      <c r="D130">
        <v>-1.7711096482236E-2</v>
      </c>
      <c r="E130">
        <v>0.98113035250703995</v>
      </c>
      <c r="F130">
        <v>-2.0169498099476001E-2</v>
      </c>
      <c r="G130">
        <f t="shared" si="19"/>
        <v>12.6992885933103</v>
      </c>
      <c r="H130">
        <f t="shared" si="20"/>
        <v>-13.244227574657</v>
      </c>
      <c r="I130">
        <f t="shared" si="21"/>
        <v>12.6992956168012</v>
      </c>
      <c r="J130">
        <f t="shared" si="22"/>
        <v>-13.2454567600563</v>
      </c>
      <c r="K130" s="8">
        <f t="shared" si="23"/>
        <v>-7.0234908999822201E-6</v>
      </c>
      <c r="L130" s="8">
        <f t="shared" si="24"/>
        <v>1.22918539929984E-3</v>
      </c>
      <c r="M130" s="8">
        <f t="shared" si="25"/>
        <v>3.77153512876423E-2</v>
      </c>
      <c r="N130" s="8">
        <f t="shared" si="26"/>
        <v>3.9337382934049203E-2</v>
      </c>
      <c r="O130">
        <v>4.4988195219333997E-2</v>
      </c>
      <c r="P130">
        <v>-3.9039478833909999E-2</v>
      </c>
      <c r="Q130">
        <v>2.3284612934658E-2</v>
      </c>
      <c r="R130">
        <v>-6.6213527256961002E-2</v>
      </c>
      <c r="S130">
        <f t="shared" si="27"/>
        <v>1.1783439717741417</v>
      </c>
      <c r="T130">
        <f t="shared" si="28"/>
        <v>-29.674777038271294</v>
      </c>
      <c r="U130" s="9">
        <f t="shared" si="29"/>
        <v>1.0238036212841604</v>
      </c>
      <c r="V130" s="9">
        <f t="shared" si="30"/>
        <v>-0.58337008910459154</v>
      </c>
    </row>
    <row r="131" spans="1:22" x14ac:dyDescent="0.25">
      <c r="A131">
        <v>1.8</v>
      </c>
      <c r="B131" s="1">
        <v>15.3</v>
      </c>
      <c r="C131">
        <v>-2.1496146736065001E-2</v>
      </c>
      <c r="D131">
        <v>-1.8021685477729001E-2</v>
      </c>
      <c r="E131">
        <v>0.97851356984903004</v>
      </c>
      <c r="F131">
        <v>-2.0467623286446E-2</v>
      </c>
      <c r="G131">
        <f t="shared" ref="G131:G194" si="31">IMREAL(IMDIV(IMSUM(IMPRODUCT(COMPLEX(1 + C131,D131),COMPLEX(1 - C131, - D131)),IMPRODUCT(COMPLEX(E131,F131),COMPLEX(E131,F131))),IMSUB(IMPRODUCT(COMPLEX(1 - C131, - D131),COMPLEX(1 - C131, - D131)),IMPRODUCT(COMPLEX(E131,F131),COMPLEX(E131,F131)))))</f>
        <v>12.411831051092999</v>
      </c>
      <c r="H131">
        <f t="shared" ref="H131:H194" si="32">IMAGINARY(IMDIV(IMSUM(IMPRODUCT(COMPLEX(1 + C131,D131),COMPLEX(1 - C131, - D131)),IMPRODUCT(COMPLEX(E131,F131),COMPLEX(E131,F131))),IMSUB(IMPRODUCT(COMPLEX(1 - C131, - D131),COMPLEX(1 - C131, - D131)),IMPRODUCT(COMPLEX(E131,F131),COMPLEX(E131,F131)))))</f>
        <v>-11.561458791503901</v>
      </c>
      <c r="I131">
        <f t="shared" ref="I131:I194" si="33">IMREAL(IMDIV(IMPRODUCT(COMPLEX(2,0),COMPLEX(E131,F131)),IMSUB(IMPRODUCT(COMPLEX(1 - C131, - D131),COMPLEX(1 - C131, - D131)),IMPRODUCT(COMPLEX(E131,F131),COMPLEX(E131,F131)))))</f>
        <v>12.4118374049908</v>
      </c>
      <c r="J131">
        <f t="shared" ref="J131:J194" si="34">IMAGINARY(IMDIV(IMPRODUCT(COMPLEX(2,0),COMPLEX(E131,F131)),IMSUB(IMPRODUCT(COMPLEX(1 - C131, - D131),COMPLEX(1 - C131, - D131)),IMPRODUCT(COMPLEX(E131,F131),COMPLEX(E131,F131)))))</f>
        <v>-11.5626817466962</v>
      </c>
      <c r="K131" s="8">
        <f t="shared" ref="K131:K194" si="35">IMREAL(IMSUB(COMPLEX(G131,H131),COMPLEX(I131,J131)))</f>
        <v>-6.35389780079265E-6</v>
      </c>
      <c r="L131" s="8">
        <f t="shared" ref="L131:L194" si="36">IMAGINARY(IMSUB(COMPLEX(G131,H131),COMPLEX(I131,J131)))</f>
        <v>1.2229551922988699E-3</v>
      </c>
      <c r="M131" s="8">
        <f t="shared" ref="M131:M194" si="37">IMREAL(IMDIV(IMSUB(IMPRODUCT(COMPLEX(1 - C131, - D131),COMPLEX(1 - C131, - D131)),IMPRODUCT(COMPLEX(E131,F131),COMPLEX(E131,F131))),IMPRODUCT(COMPLEX(2,0),COMPLEX(E131,F131))))</f>
        <v>4.3134202843081199E-2</v>
      </c>
      <c r="N131" s="8">
        <f t="shared" ref="N131:N194" si="38">IMAGINARY(IMDIV(IMSUB(IMPRODUCT(COMPLEX(1 - C131, - D131),COMPLEX(1 - C131, - D131)),IMPRODUCT(COMPLEX(E131,F131),COMPLEX(E131,F131))),IMPRODUCT(COMPLEX(2,0),COMPLEX(E131,F131))))</f>
        <v>4.0183177042863803E-2</v>
      </c>
      <c r="O131">
        <v>4.5597535585209001E-2</v>
      </c>
      <c r="P131">
        <v>-4.4436716276357001E-2</v>
      </c>
      <c r="Q131">
        <v>2.0716251072657999E-2</v>
      </c>
      <c r="R131">
        <v>-7.1939664582749002E-2</v>
      </c>
      <c r="S131">
        <f t="shared" ref="S131:S194" si="39">IMABS(COMPLEX(Q131,R131))/IMABS(COMPLEX(O131,P131))</f>
        <v>1.1758143163935622</v>
      </c>
      <c r="T131">
        <f t="shared" ref="T131:T194" si="40">IMARGUMENT(IMDIV(COMPLEX(Q131,R131),COMPLEX(O131/B131,P131/B131)))/PI()*180</f>
        <v>-29.674022644675631</v>
      </c>
      <c r="U131" s="9">
        <f t="shared" ref="U131:U194" si="41">S131*COS(T131/180*PI())</f>
        <v>1.0216133958158924</v>
      </c>
      <c r="V131" s="9">
        <f t="shared" ref="V131:V194" si="42">S131*SIN(T131/180*PI())</f>
        <v>-0.58210426568234386</v>
      </c>
    </row>
    <row r="132" spans="1:22" x14ac:dyDescent="0.25">
      <c r="A132">
        <v>1.8</v>
      </c>
      <c r="B132" s="1">
        <v>15.4</v>
      </c>
      <c r="C132">
        <v>-2.4406539852617998E-2</v>
      </c>
      <c r="D132">
        <v>-1.8012645061922E-2</v>
      </c>
      <c r="E132">
        <v>0.97560187739716997</v>
      </c>
      <c r="F132">
        <v>-2.0446535508551002E-2</v>
      </c>
      <c r="G132">
        <f t="shared" si="31"/>
        <v>12.140405430033899</v>
      </c>
      <c r="H132">
        <f t="shared" si="32"/>
        <v>-9.9603198518680092</v>
      </c>
      <c r="I132">
        <f t="shared" si="33"/>
        <v>12.1404111195759</v>
      </c>
      <c r="J132">
        <f t="shared" si="34"/>
        <v>-9.9615367850458494</v>
      </c>
      <c r="K132" s="8">
        <f t="shared" si="35"/>
        <v>-5.68954200019789E-6</v>
      </c>
      <c r="L132" s="8">
        <f t="shared" si="36"/>
        <v>1.2169331778402201E-3</v>
      </c>
      <c r="M132" s="8">
        <f t="shared" si="37"/>
        <v>4.92268374241841E-2</v>
      </c>
      <c r="N132" s="8">
        <f t="shared" si="38"/>
        <v>4.03919560040083E-2</v>
      </c>
      <c r="O132">
        <v>4.5545548517005999E-2</v>
      </c>
      <c r="P132">
        <v>-5.0441138898204001E-2</v>
      </c>
      <c r="Q132">
        <v>1.7132128375882998E-2</v>
      </c>
      <c r="R132">
        <v>-7.7876923338596998E-2</v>
      </c>
      <c r="S132">
        <f t="shared" si="39"/>
        <v>1.1733058251086745</v>
      </c>
      <c r="T132">
        <f t="shared" si="40"/>
        <v>-29.673423601712102</v>
      </c>
      <c r="U132" s="9">
        <f t="shared" si="41"/>
        <v>1.0194399509768952</v>
      </c>
      <c r="V132" s="9">
        <f t="shared" si="42"/>
        <v>-0.58085174148501373</v>
      </c>
    </row>
    <row r="133" spans="1:22" x14ac:dyDescent="0.25">
      <c r="A133">
        <v>1.8</v>
      </c>
      <c r="B133" s="1">
        <v>15.5</v>
      </c>
      <c r="C133">
        <v>-2.7580619736622999E-2</v>
      </c>
      <c r="D133">
        <v>-1.7575365155322001E-2</v>
      </c>
      <c r="E133">
        <v>0.97242637515926</v>
      </c>
      <c r="F133">
        <v>-1.9997728430852998E-2</v>
      </c>
      <c r="G133">
        <f t="shared" si="31"/>
        <v>11.883835030394</v>
      </c>
      <c r="H133">
        <f t="shared" si="32"/>
        <v>-8.4357185699861805</v>
      </c>
      <c r="I133">
        <f t="shared" si="33"/>
        <v>11.883839994773201</v>
      </c>
      <c r="J133">
        <f t="shared" si="34"/>
        <v>-8.4369297413751791</v>
      </c>
      <c r="K133" s="8">
        <f t="shared" si="35"/>
        <v>-4.9643792010556396E-6</v>
      </c>
      <c r="L133" s="8">
        <f t="shared" si="36"/>
        <v>1.21117138899862E-3</v>
      </c>
      <c r="M133" s="8">
        <f t="shared" si="37"/>
        <v>5.5948323616085198E-2</v>
      </c>
      <c r="N133" s="8">
        <f t="shared" si="38"/>
        <v>3.9720500756005202E-2</v>
      </c>
      <c r="O133">
        <v>4.4608241943975002E-2</v>
      </c>
      <c r="P133">
        <v>-5.6987789132073002E-2</v>
      </c>
      <c r="Q133">
        <v>1.2348557539758E-2</v>
      </c>
      <c r="R133">
        <v>-8.3828426889589996E-2</v>
      </c>
      <c r="S133">
        <f t="shared" si="39"/>
        <v>1.1708216663036632</v>
      </c>
      <c r="T133">
        <f t="shared" si="40"/>
        <v>-29.672884561627697</v>
      </c>
      <c r="U133" s="9">
        <f t="shared" si="41"/>
        <v>1.0172870147361379</v>
      </c>
      <c r="V133" s="9">
        <f t="shared" si="42"/>
        <v>-0.57961237386319098</v>
      </c>
    </row>
    <row r="134" spans="1:22" x14ac:dyDescent="0.25">
      <c r="A134">
        <v>1.8</v>
      </c>
      <c r="B134">
        <v>15.6</v>
      </c>
      <c r="C134">
        <v>-3.0947272188234998E-2</v>
      </c>
      <c r="D134">
        <v>-1.6593454056548999E-2</v>
      </c>
      <c r="E134">
        <v>0.96905830916116997</v>
      </c>
      <c r="F134">
        <v>-1.9004956185165001E-2</v>
      </c>
      <c r="G134">
        <f t="shared" si="31"/>
        <v>11.6410626513912</v>
      </c>
      <c r="H134">
        <f t="shared" si="32"/>
        <v>-6.9829137921585804</v>
      </c>
      <c r="I134">
        <f t="shared" si="33"/>
        <v>11.641066895879501</v>
      </c>
      <c r="J134">
        <f t="shared" si="34"/>
        <v>-6.9841195347402598</v>
      </c>
      <c r="K134" s="8">
        <f t="shared" si="35"/>
        <v>-4.2444883003867096E-6</v>
      </c>
      <c r="L134" s="8">
        <f t="shared" si="36"/>
        <v>1.2057425816793799E-3</v>
      </c>
      <c r="M134" s="8">
        <f t="shared" si="37"/>
        <v>6.3166300728618494E-2</v>
      </c>
      <c r="N134" s="8">
        <f t="shared" si="38"/>
        <v>3.7896955562739497E-2</v>
      </c>
      <c r="O134">
        <v>4.2546345539880001E-2</v>
      </c>
      <c r="P134">
        <v>-6.3930081621299997E-2</v>
      </c>
      <c r="Q134">
        <v>6.2147377721916003E-3</v>
      </c>
      <c r="R134">
        <v>-8.9506156426823996E-2</v>
      </c>
      <c r="S134">
        <f t="shared" si="39"/>
        <v>1.1683490565412948</v>
      </c>
      <c r="T134">
        <f t="shared" si="40"/>
        <v>-29.672429927029444</v>
      </c>
      <c r="U134" s="9">
        <f t="shared" si="41"/>
        <v>1.0151432378469769</v>
      </c>
      <c r="V134" s="9">
        <f t="shared" si="42"/>
        <v>-0.5783802594958527</v>
      </c>
    </row>
    <row r="135" spans="1:22" x14ac:dyDescent="0.25">
      <c r="A135">
        <v>1.8</v>
      </c>
      <c r="B135">
        <v>15.7</v>
      </c>
      <c r="C135">
        <v>-3.4384824450631998E-2</v>
      </c>
      <c r="D135">
        <v>-1.4958744893187E-2</v>
      </c>
      <c r="E135">
        <v>0.96561960685189996</v>
      </c>
      <c r="F135">
        <v>-1.7360013885300001E-2</v>
      </c>
      <c r="G135">
        <f t="shared" si="31"/>
        <v>11.4111957679161</v>
      </c>
      <c r="H135">
        <f t="shared" si="32"/>
        <v>-5.5975077898593701</v>
      </c>
      <c r="I135">
        <f t="shared" si="33"/>
        <v>11.411199425074001</v>
      </c>
      <c r="J135">
        <f t="shared" si="34"/>
        <v>-5.5987084173043398</v>
      </c>
      <c r="K135" s="8">
        <f t="shared" si="35"/>
        <v>-3.65715790096033E-6</v>
      </c>
      <c r="L135" s="8">
        <f t="shared" si="36"/>
        <v>1.2006274449696301E-3</v>
      </c>
      <c r="M135" s="8">
        <f t="shared" si="37"/>
        <v>7.0630900041507599E-2</v>
      </c>
      <c r="N135" s="8">
        <f t="shared" si="38"/>
        <v>3.4653834347619997E-2</v>
      </c>
      <c r="O135">
        <v>3.9138922457549997E-2</v>
      </c>
      <c r="P135">
        <v>-7.1019726371639003E-2</v>
      </c>
      <c r="Q135">
        <v>-1.3414427060578001E-3</v>
      </c>
      <c r="R135">
        <v>-9.4529135925902993E-2</v>
      </c>
      <c r="S135">
        <f t="shared" si="39"/>
        <v>1.1658423944227756</v>
      </c>
      <c r="T135">
        <f t="shared" si="40"/>
        <v>-29.672146645917461</v>
      </c>
      <c r="U135" s="9">
        <f t="shared" si="41"/>
        <v>1.0129681282491607</v>
      </c>
      <c r="V135" s="9">
        <f t="shared" si="42"/>
        <v>-0.57713435158966453</v>
      </c>
    </row>
    <row r="136" spans="1:22" x14ac:dyDescent="0.25">
      <c r="A136">
        <v>1.8</v>
      </c>
      <c r="B136">
        <v>15.8</v>
      </c>
      <c r="C136">
        <v>-3.7717615565884002E-2</v>
      </c>
      <c r="D136">
        <v>-1.2595961189348999E-2</v>
      </c>
      <c r="E136">
        <v>0.96228590358890997</v>
      </c>
      <c r="F136">
        <v>-1.4987320662241E-2</v>
      </c>
      <c r="G136">
        <f t="shared" si="31"/>
        <v>11.1934222781728</v>
      </c>
      <c r="H136">
        <f t="shared" si="32"/>
        <v>-4.2753624726149102</v>
      </c>
      <c r="I136">
        <f t="shared" si="33"/>
        <v>11.1934254673876</v>
      </c>
      <c r="J136">
        <f t="shared" si="34"/>
        <v>-4.2765581464341897</v>
      </c>
      <c r="K136" s="8">
        <f t="shared" si="35"/>
        <v>-3.1892147998036101E-6</v>
      </c>
      <c r="L136" s="8">
        <f t="shared" si="36"/>
        <v>1.19567381927954E-3</v>
      </c>
      <c r="M136" s="8">
        <f t="shared" si="37"/>
        <v>7.7958567512405597E-2</v>
      </c>
      <c r="N136" s="8">
        <f t="shared" si="38"/>
        <v>2.9784836460552098E-2</v>
      </c>
      <c r="O136">
        <v>3.4228173177130998E-2</v>
      </c>
      <c r="P136">
        <v>-7.7889663505091994E-2</v>
      </c>
      <c r="Q136">
        <v>-1.0258538958308E-2</v>
      </c>
      <c r="R136">
        <v>-9.8445270047513994E-2</v>
      </c>
      <c r="S136">
        <f t="shared" si="39"/>
        <v>1.1633751552196945</v>
      </c>
      <c r="T136">
        <f t="shared" si="40"/>
        <v>-29.671881190504532</v>
      </c>
      <c r="U136" s="9">
        <f t="shared" si="41"/>
        <v>1.0108270807558486</v>
      </c>
      <c r="V136" s="9">
        <f t="shared" si="42"/>
        <v>-0.57590829529800791</v>
      </c>
    </row>
    <row r="137" spans="1:22" x14ac:dyDescent="0.25">
      <c r="A137">
        <v>1.8</v>
      </c>
      <c r="B137">
        <v>15.9</v>
      </c>
      <c r="C137">
        <v>-4.0726624977674E-2</v>
      </c>
      <c r="D137">
        <v>-9.4923325235388E-3</v>
      </c>
      <c r="E137">
        <v>0.95927600099276999</v>
      </c>
      <c r="F137">
        <v>-1.1873862557979E-2</v>
      </c>
      <c r="G137">
        <f t="shared" si="31"/>
        <v>10.9869339396997</v>
      </c>
      <c r="H137">
        <f t="shared" si="32"/>
        <v>-3.0126669942189701</v>
      </c>
      <c r="I137">
        <f t="shared" si="33"/>
        <v>10.986936670596901</v>
      </c>
      <c r="J137">
        <f t="shared" si="34"/>
        <v>-3.0138577544208802</v>
      </c>
      <c r="K137" s="8">
        <f t="shared" si="35"/>
        <v>-2.73089720081998E-6</v>
      </c>
      <c r="L137" s="8">
        <f t="shared" si="36"/>
        <v>1.1907602019101101E-3</v>
      </c>
      <c r="M137" s="8">
        <f t="shared" si="37"/>
        <v>8.46476536581445E-2</v>
      </c>
      <c r="N137" s="8">
        <f t="shared" si="38"/>
        <v>2.3219937915349001E-2</v>
      </c>
      <c r="O137">
        <v>2.7790774432375001E-2</v>
      </c>
      <c r="P137">
        <v>-8.4093401904260998E-2</v>
      </c>
      <c r="Q137">
        <v>-2.0294449476852001E-2</v>
      </c>
      <c r="R137">
        <v>-0.10079145141116</v>
      </c>
      <c r="S137">
        <f t="shared" si="39"/>
        <v>1.1608710862545601</v>
      </c>
      <c r="T137">
        <f t="shared" si="40"/>
        <v>-29.67177085394707</v>
      </c>
      <c r="U137" s="9">
        <f t="shared" si="41"/>
        <v>1.0086524655840066</v>
      </c>
      <c r="V137" s="9">
        <f t="shared" si="42"/>
        <v>-0.5746667578459248</v>
      </c>
    </row>
    <row r="138" spans="1:22" x14ac:dyDescent="0.25">
      <c r="A138">
        <v>1.8</v>
      </c>
      <c r="B138">
        <v>16</v>
      </c>
      <c r="C138">
        <v>-4.3178634498306001E-2</v>
      </c>
      <c r="D138">
        <v>-5.7226345365843003E-3</v>
      </c>
      <c r="E138">
        <v>0.95682295947583995</v>
      </c>
      <c r="F138">
        <v>-8.0942650449215992E-3</v>
      </c>
      <c r="G138">
        <f t="shared" si="31"/>
        <v>10.7909653690963</v>
      </c>
      <c r="H138">
        <f t="shared" si="32"/>
        <v>-1.8059606282737599</v>
      </c>
      <c r="I138">
        <f t="shared" si="33"/>
        <v>10.7909675722352</v>
      </c>
      <c r="J138">
        <f t="shared" si="34"/>
        <v>-1.8071464399703301</v>
      </c>
      <c r="K138" s="8">
        <f t="shared" si="35"/>
        <v>-2.20313889975898E-6</v>
      </c>
      <c r="L138" s="8">
        <f t="shared" si="36"/>
        <v>1.18581169657017E-3</v>
      </c>
      <c r="M138" s="8">
        <f t="shared" si="37"/>
        <v>9.0142002492279896E-2</v>
      </c>
      <c r="N138" s="8">
        <f t="shared" si="38"/>
        <v>1.5095939989186499E-2</v>
      </c>
      <c r="O138">
        <v>1.9979951850847999E-2</v>
      </c>
      <c r="P138">
        <v>-8.9148144797829995E-2</v>
      </c>
      <c r="Q138">
        <v>-3.1010188502144001E-2</v>
      </c>
      <c r="R138">
        <v>-0.10118171904152</v>
      </c>
      <c r="S138">
        <f t="shared" si="39"/>
        <v>1.1583566358057023</v>
      </c>
      <c r="T138">
        <f t="shared" si="40"/>
        <v>-29.671688826322139</v>
      </c>
      <c r="U138" s="9">
        <f t="shared" si="41"/>
        <v>1.0064685420893762</v>
      </c>
      <c r="V138" s="9">
        <f t="shared" si="42"/>
        <v>-0.57342058691643571</v>
      </c>
    </row>
    <row r="139" spans="1:22" x14ac:dyDescent="0.25">
      <c r="A139">
        <v>1.8</v>
      </c>
      <c r="B139">
        <v>16.100000000000001</v>
      </c>
      <c r="C139">
        <v>-4.4870689426299001E-2</v>
      </c>
      <c r="D139">
        <v>-1.4564747802108E-3</v>
      </c>
      <c r="E139">
        <v>0.95512955980240999</v>
      </c>
      <c r="F139">
        <v>-3.8176978842624E-3</v>
      </c>
      <c r="G139">
        <f t="shared" si="31"/>
        <v>10.6048055569246</v>
      </c>
      <c r="H139">
        <f t="shared" si="32"/>
        <v>-0.65204986322368796</v>
      </c>
      <c r="I139">
        <f t="shared" si="33"/>
        <v>10.6048070753801</v>
      </c>
      <c r="J139">
        <f t="shared" si="34"/>
        <v>-0.65323047283588798</v>
      </c>
      <c r="K139" s="8">
        <f t="shared" si="35"/>
        <v>-1.5184555000047299E-6</v>
      </c>
      <c r="L139" s="8">
        <f t="shared" si="36"/>
        <v>1.1806096122000101E-3</v>
      </c>
      <c r="M139" s="8">
        <f t="shared" si="37"/>
        <v>9.3940424641849499E-2</v>
      </c>
      <c r="N139" s="8">
        <f t="shared" si="38"/>
        <v>5.7865030048177496E-3</v>
      </c>
      <c r="O139">
        <v>1.1145535295755E-2</v>
      </c>
      <c r="P139">
        <v>-9.2634855071672004E-2</v>
      </c>
      <c r="Q139">
        <v>-4.1810324374790001E-2</v>
      </c>
      <c r="R139">
        <v>-9.9409286978026007E-2</v>
      </c>
      <c r="S139">
        <f t="shared" si="39"/>
        <v>1.1558468415466923</v>
      </c>
      <c r="T139">
        <f t="shared" si="40"/>
        <v>-29.671693766735551</v>
      </c>
      <c r="U139" s="9">
        <f t="shared" si="41"/>
        <v>1.0042877921886397</v>
      </c>
      <c r="V139" s="9">
        <f t="shared" si="42"/>
        <v>-0.57217825157404545</v>
      </c>
    </row>
    <row r="140" spans="1:22" x14ac:dyDescent="0.25">
      <c r="A140">
        <v>1.8</v>
      </c>
      <c r="B140">
        <v>16.2</v>
      </c>
      <c r="C140">
        <v>-4.5676270308432999E-2</v>
      </c>
      <c r="D140">
        <v>3.0616864671319001E-3</v>
      </c>
      <c r="E140">
        <v>0.95432228815176001</v>
      </c>
      <c r="F140">
        <v>7.1168429080139997E-4</v>
      </c>
      <c r="G140">
        <f t="shared" si="31"/>
        <v>10.4277861132163</v>
      </c>
      <c r="H140">
        <f t="shared" si="32"/>
        <v>0.45195906468735902</v>
      </c>
      <c r="I140">
        <f t="shared" si="33"/>
        <v>10.427786773074599</v>
      </c>
      <c r="J140">
        <f t="shared" si="34"/>
        <v>0.45078406352762401</v>
      </c>
      <c r="K140" s="8">
        <f t="shared" si="35"/>
        <v>-6.5985829955650399E-7</v>
      </c>
      <c r="L140" s="8">
        <f t="shared" si="36"/>
        <v>1.1750011597350099E-3</v>
      </c>
      <c r="M140" s="8">
        <f t="shared" si="37"/>
        <v>9.57187513032456E-2</v>
      </c>
      <c r="N140" s="8">
        <f t="shared" si="38"/>
        <v>-4.1378375495440796E-3</v>
      </c>
      <c r="O140">
        <v>1.7918800000892999E-3</v>
      </c>
      <c r="P140">
        <v>-9.4293701941884994E-2</v>
      </c>
      <c r="Q140">
        <v>-5.2039696283099998E-2</v>
      </c>
      <c r="R140">
        <v>-9.5514604857094995E-2</v>
      </c>
      <c r="S140">
        <f t="shared" si="39"/>
        <v>1.1533277824157058</v>
      </c>
      <c r="T140">
        <f t="shared" si="40"/>
        <v>-29.67176398162503</v>
      </c>
      <c r="U140" s="9">
        <f t="shared" si="41"/>
        <v>1.002098342039198</v>
      </c>
      <c r="V140" s="9">
        <f t="shared" si="42"/>
        <v>-0.57093247111564782</v>
      </c>
    </row>
    <row r="141" spans="1:22" x14ac:dyDescent="0.25">
      <c r="A141">
        <v>1.8</v>
      </c>
      <c r="B141">
        <v>16.3</v>
      </c>
      <c r="C141">
        <v>-4.5574308408758001E-2</v>
      </c>
      <c r="D141">
        <v>7.5572019470505E-3</v>
      </c>
      <c r="E141">
        <v>0.95442236819177995</v>
      </c>
      <c r="F141">
        <v>5.2187035659343999E-3</v>
      </c>
      <c r="G141">
        <f t="shared" si="31"/>
        <v>10.259326930179601</v>
      </c>
      <c r="H141">
        <f t="shared" si="32"/>
        <v>1.50861771899487</v>
      </c>
      <c r="I141">
        <f t="shared" si="33"/>
        <v>10.259326635625699</v>
      </c>
      <c r="J141">
        <f t="shared" si="34"/>
        <v>1.5074484675169599</v>
      </c>
      <c r="K141" s="8">
        <f t="shared" si="35"/>
        <v>2.94553901269978E-7</v>
      </c>
      <c r="L141" s="8">
        <f t="shared" si="36"/>
        <v>1.16925147791003E-3</v>
      </c>
      <c r="M141" s="8">
        <f t="shared" si="37"/>
        <v>9.5412356912926599E-2</v>
      </c>
      <c r="N141" s="8">
        <f t="shared" si="38"/>
        <v>-1.40193617299524E-2</v>
      </c>
      <c r="O141">
        <v>-7.5147186938555001E-3</v>
      </c>
      <c r="P141">
        <v>-9.4081025663071999E-2</v>
      </c>
      <c r="Q141">
        <v>-6.1110883452379999E-2</v>
      </c>
      <c r="R141">
        <v>-8.9791400234661006E-2</v>
      </c>
      <c r="S141">
        <f t="shared" si="39"/>
        <v>1.1508094018681219</v>
      </c>
      <c r="T141">
        <f t="shared" si="40"/>
        <v>-29.671901639763082</v>
      </c>
      <c r="U141" s="9">
        <f t="shared" si="41"/>
        <v>0.99990881396563336</v>
      </c>
      <c r="V141" s="9">
        <f t="shared" si="42"/>
        <v>-0.56968819821188554</v>
      </c>
    </row>
    <row r="142" spans="1:22" x14ac:dyDescent="0.25">
      <c r="A142">
        <v>1.8</v>
      </c>
      <c r="B142">
        <v>16.399999999999999</v>
      </c>
      <c r="C142">
        <v>-4.4648362932421998E-2</v>
      </c>
      <c r="D142">
        <v>1.177850470009E-2</v>
      </c>
      <c r="E142">
        <v>0.95534416260652999</v>
      </c>
      <c r="F142">
        <v>9.4497300789558002E-3</v>
      </c>
      <c r="G142">
        <f t="shared" si="31"/>
        <v>10.098801548454</v>
      </c>
      <c r="H142">
        <f t="shared" si="32"/>
        <v>2.5199913800917901</v>
      </c>
      <c r="I142">
        <f t="shared" si="33"/>
        <v>10.098799167020699</v>
      </c>
      <c r="J142">
        <f t="shared" si="34"/>
        <v>2.5188269856567</v>
      </c>
      <c r="K142" s="8">
        <f t="shared" si="35"/>
        <v>2.3814333012239798E-6</v>
      </c>
      <c r="L142" s="8">
        <f t="shared" si="36"/>
        <v>1.1643944350900901E-3</v>
      </c>
      <c r="M142" s="8">
        <f t="shared" si="37"/>
        <v>9.3222351638862402E-2</v>
      </c>
      <c r="N142" s="8">
        <f t="shared" si="38"/>
        <v>-2.3251375840917798E-2</v>
      </c>
      <c r="O142">
        <v>-1.6255655309174999E-2</v>
      </c>
      <c r="P142">
        <v>-9.2169497771820999E-2</v>
      </c>
      <c r="Q142">
        <v>-6.8611693593553999E-2</v>
      </c>
      <c r="R142">
        <v>-8.2718566191347001E-2</v>
      </c>
      <c r="S142">
        <f t="shared" si="39"/>
        <v>1.1482880956318611</v>
      </c>
      <c r="T142">
        <f t="shared" si="40"/>
        <v>-29.672106738798977</v>
      </c>
      <c r="U142" s="9">
        <f t="shared" si="41"/>
        <v>0.99771608072950768</v>
      </c>
      <c r="V142" s="9">
        <f t="shared" si="42"/>
        <v>-0.56844364085069721</v>
      </c>
    </row>
    <row r="143" spans="1:22" x14ac:dyDescent="0.25">
      <c r="A143">
        <v>1.8</v>
      </c>
      <c r="B143">
        <v>16.5</v>
      </c>
      <c r="C143">
        <v>-4.3058083641063997E-2</v>
      </c>
      <c r="D143">
        <v>1.5538959794739999E-2</v>
      </c>
      <c r="E143">
        <v>0.95693521047153995</v>
      </c>
      <c r="F143">
        <v>1.3223358084348E-2</v>
      </c>
      <c r="G143">
        <f t="shared" si="31"/>
        <v>9.9462023092930902</v>
      </c>
      <c r="H143">
        <f t="shared" si="32"/>
        <v>3.48928000523187</v>
      </c>
      <c r="I143">
        <f t="shared" si="33"/>
        <v>9.9462002968526804</v>
      </c>
      <c r="J143">
        <f t="shared" si="34"/>
        <v>3.48812219816462</v>
      </c>
      <c r="K143" s="8">
        <f t="shared" si="35"/>
        <v>2.0124404098709201E-6</v>
      </c>
      <c r="L143" s="8">
        <f t="shared" si="36"/>
        <v>1.1578070672499899E-3</v>
      </c>
      <c r="M143" s="8">
        <f t="shared" si="37"/>
        <v>8.9529673384899797E-2</v>
      </c>
      <c r="N143" s="8">
        <f t="shared" si="38"/>
        <v>-3.1397964228321099E-2</v>
      </c>
      <c r="O143">
        <v>-2.4045976451483E-2</v>
      </c>
      <c r="P143">
        <v>-8.8889360697827005E-2</v>
      </c>
      <c r="Q143">
        <v>-7.4355690728420007E-2</v>
      </c>
      <c r="R143">
        <v>-7.4851790523362993E-2</v>
      </c>
      <c r="S143">
        <f t="shared" si="39"/>
        <v>1.1457560976548182</v>
      </c>
      <c r="T143">
        <f t="shared" si="40"/>
        <v>-29.672381398679363</v>
      </c>
      <c r="U143" s="9">
        <f t="shared" si="41"/>
        <v>0.99551337806328355</v>
      </c>
      <c r="V143" s="9">
        <f t="shared" si="42"/>
        <v>-0.5671949835904998</v>
      </c>
    </row>
    <row r="144" spans="1:22" x14ac:dyDescent="0.25">
      <c r="A144">
        <v>1.8</v>
      </c>
      <c r="B144">
        <v>16.600000000000001</v>
      </c>
      <c r="C144">
        <v>-4.0997407193268998E-2</v>
      </c>
      <c r="D144">
        <v>1.8733721568680001E-2</v>
      </c>
      <c r="E144">
        <v>0.95899144177533002</v>
      </c>
      <c r="F144">
        <v>1.6426457598713001E-2</v>
      </c>
      <c r="G144">
        <f t="shared" si="31"/>
        <v>9.8006847839327396</v>
      </c>
      <c r="H144">
        <f t="shared" si="32"/>
        <v>4.4170097736088101</v>
      </c>
      <c r="I144">
        <f t="shared" si="33"/>
        <v>9.8006805392731806</v>
      </c>
      <c r="J144">
        <f t="shared" si="34"/>
        <v>4.4158561302948902</v>
      </c>
      <c r="K144" s="8">
        <f t="shared" si="35"/>
        <v>4.2446595589495903E-6</v>
      </c>
      <c r="L144" s="8">
        <f t="shared" si="36"/>
        <v>1.1536433139198699E-3</v>
      </c>
      <c r="M144" s="8">
        <f t="shared" si="37"/>
        <v>8.4815366009979298E-2</v>
      </c>
      <c r="N144" s="8">
        <f t="shared" si="38"/>
        <v>-3.8214943588616102E-2</v>
      </c>
      <c r="O144">
        <v>-3.0669938549709001E-2</v>
      </c>
      <c r="P144">
        <v>-8.4639188467426005E-2</v>
      </c>
      <c r="Q144">
        <v>-7.8366551709306995E-2</v>
      </c>
      <c r="R144">
        <v>-6.6715615971289999E-2</v>
      </c>
      <c r="S144">
        <f t="shared" si="39"/>
        <v>1.143229686103385</v>
      </c>
      <c r="T144">
        <f t="shared" si="40"/>
        <v>-29.672789204363404</v>
      </c>
      <c r="U144" s="9">
        <f t="shared" si="41"/>
        <v>0.99331422608356101</v>
      </c>
      <c r="V144" s="9">
        <f t="shared" si="42"/>
        <v>-0.56595137904952619</v>
      </c>
    </row>
    <row r="145" spans="1:22" x14ac:dyDescent="0.25">
      <c r="A145">
        <v>1.8</v>
      </c>
      <c r="B145">
        <v>16.7</v>
      </c>
      <c r="C145">
        <v>-3.8647762909761997E-2</v>
      </c>
      <c r="D145">
        <v>2.1341638760829999E-2</v>
      </c>
      <c r="E145">
        <v>0.96134413434142996</v>
      </c>
      <c r="F145">
        <v>1.9046030331859001E-2</v>
      </c>
      <c r="G145">
        <f t="shared" si="31"/>
        <v>9.6621517708067302</v>
      </c>
      <c r="H145">
        <f t="shared" si="32"/>
        <v>5.3098404356814797</v>
      </c>
      <c r="I145">
        <f t="shared" si="33"/>
        <v>9.6621490368847098</v>
      </c>
      <c r="J145">
        <f t="shared" si="34"/>
        <v>5.3086926236787804</v>
      </c>
      <c r="K145" s="8">
        <f t="shared" si="35"/>
        <v>2.7339220203259599E-6</v>
      </c>
      <c r="L145" s="8">
        <f t="shared" si="36"/>
        <v>1.14781200269931E-3</v>
      </c>
      <c r="M145" s="8">
        <f t="shared" si="37"/>
        <v>7.9498119101891307E-2</v>
      </c>
      <c r="N145" s="8">
        <f t="shared" si="38"/>
        <v>-4.3678800322937202E-2</v>
      </c>
      <c r="O145">
        <v>-3.6082110749967998E-2</v>
      </c>
      <c r="P145">
        <v>-7.9789897145451996E-2</v>
      </c>
      <c r="Q145">
        <v>-8.0822857799250997E-2</v>
      </c>
      <c r="R145">
        <v>-5.8706154035648002E-2</v>
      </c>
      <c r="S145">
        <f t="shared" si="39"/>
        <v>1.1407412372754986</v>
      </c>
      <c r="T145">
        <f t="shared" si="40"/>
        <v>-29.673851745890481</v>
      </c>
      <c r="U145" s="9">
        <f t="shared" si="41"/>
        <v>0.99114162290838304</v>
      </c>
      <c r="V145" s="9">
        <f t="shared" si="42"/>
        <v>-0.56473786287035155</v>
      </c>
    </row>
    <row r="146" spans="1:22" x14ac:dyDescent="0.25">
      <c r="A146">
        <v>1.8</v>
      </c>
      <c r="B146">
        <v>16.8</v>
      </c>
      <c r="C146">
        <v>-3.6186348661235997E-2</v>
      </c>
      <c r="D146">
        <v>2.3376589398809999E-2</v>
      </c>
      <c r="E146">
        <v>0.96380486166236001</v>
      </c>
      <c r="F146">
        <v>2.1091388679865999E-2</v>
      </c>
      <c r="G146">
        <f t="shared" si="31"/>
        <v>9.5300272124411407</v>
      </c>
      <c r="H146">
        <f t="shared" si="32"/>
        <v>6.1625746013849598</v>
      </c>
      <c r="I146">
        <f t="shared" si="33"/>
        <v>9.5300241231346803</v>
      </c>
      <c r="J146">
        <f t="shared" si="34"/>
        <v>6.1614319924740402</v>
      </c>
      <c r="K146" s="8">
        <f t="shared" si="35"/>
        <v>3.0893064604242698E-6</v>
      </c>
      <c r="L146" s="8">
        <f t="shared" si="36"/>
        <v>1.14260891091966E-3</v>
      </c>
      <c r="M146" s="8">
        <f t="shared" si="37"/>
        <v>7.3999716023618906E-2</v>
      </c>
      <c r="N146" s="8">
        <f t="shared" si="38"/>
        <v>-4.7842923779708897E-2</v>
      </c>
      <c r="O146">
        <v>-4.0314745902808001E-2</v>
      </c>
      <c r="P146">
        <v>-7.4714959292394995E-2</v>
      </c>
      <c r="Q146">
        <v>-8.1970173666182006E-2</v>
      </c>
      <c r="R146">
        <v>-5.1171184588440999E-2</v>
      </c>
      <c r="S146">
        <f t="shared" si="39"/>
        <v>1.1382093954369863</v>
      </c>
      <c r="T146">
        <f t="shared" si="40"/>
        <v>-29.674432286930532</v>
      </c>
      <c r="U146" s="9">
        <f t="shared" si="41"/>
        <v>0.98893610356815287</v>
      </c>
      <c r="V146" s="9">
        <f t="shared" si="42"/>
        <v>-0.5634944639661239</v>
      </c>
    </row>
    <row r="147" spans="1:22" x14ac:dyDescent="0.25">
      <c r="A147">
        <v>1.8</v>
      </c>
      <c r="B147">
        <v>16.899999999999999</v>
      </c>
      <c r="C147">
        <v>-3.3729863801132E-2</v>
      </c>
      <c r="D147">
        <v>2.4908207108126999E-2</v>
      </c>
      <c r="E147">
        <v>0.96626255730413002</v>
      </c>
      <c r="F147">
        <v>2.2630590936581998E-2</v>
      </c>
      <c r="G147">
        <f t="shared" si="31"/>
        <v>9.4045134798265799</v>
      </c>
      <c r="H147">
        <f t="shared" si="32"/>
        <v>6.9794845481368402</v>
      </c>
      <c r="I147">
        <f t="shared" si="33"/>
        <v>9.4045109872617498</v>
      </c>
      <c r="J147">
        <f t="shared" si="34"/>
        <v>6.9783457328970302</v>
      </c>
      <c r="K147" s="8">
        <f t="shared" si="35"/>
        <v>2.49256483009219E-6</v>
      </c>
      <c r="L147" s="8">
        <f t="shared" si="36"/>
        <v>1.1388152398099599E-3</v>
      </c>
      <c r="M147" s="8">
        <f t="shared" si="37"/>
        <v>6.8574919833217202E-2</v>
      </c>
      <c r="N147" s="8">
        <f t="shared" si="38"/>
        <v>-5.0884038505570398E-2</v>
      </c>
      <c r="O147">
        <v>-4.3509748653117998E-2</v>
      </c>
      <c r="P147">
        <v>-6.9650142150583003E-2</v>
      </c>
      <c r="Q147">
        <v>-8.2094777919056006E-2</v>
      </c>
      <c r="R147">
        <v>-4.4262506496090002E-2</v>
      </c>
      <c r="S147">
        <f t="shared" si="39"/>
        <v>1.1356936603467791</v>
      </c>
      <c r="T147">
        <f t="shared" si="40"/>
        <v>-29.67546501033976</v>
      </c>
      <c r="U147" s="9">
        <f t="shared" si="41"/>
        <v>0.98674016641637718</v>
      </c>
      <c r="V147" s="9">
        <f t="shared" si="42"/>
        <v>-0.56226678199271696</v>
      </c>
    </row>
    <row r="148" spans="1:22" x14ac:dyDescent="0.25">
      <c r="A148">
        <v>1.8</v>
      </c>
      <c r="B148">
        <v>17</v>
      </c>
      <c r="C148">
        <v>-3.1361554119557003E-2</v>
      </c>
      <c r="D148">
        <v>2.6014228447090001E-2</v>
      </c>
      <c r="E148">
        <v>0.96863014587935004</v>
      </c>
      <c r="F148">
        <v>2.3746114937572001E-2</v>
      </c>
      <c r="G148">
        <f t="shared" si="31"/>
        <v>9.2844756114330291</v>
      </c>
      <c r="H148">
        <f t="shared" si="32"/>
        <v>7.76189120261082</v>
      </c>
      <c r="I148">
        <f t="shared" si="33"/>
        <v>9.2844727475143198</v>
      </c>
      <c r="J148">
        <f t="shared" si="34"/>
        <v>7.7607571379018196</v>
      </c>
      <c r="K148" s="8">
        <f t="shared" si="35"/>
        <v>2.8639187092949202E-6</v>
      </c>
      <c r="L148" s="8">
        <f t="shared" si="36"/>
        <v>1.1340647090003499E-3</v>
      </c>
      <c r="M148" s="8">
        <f t="shared" si="37"/>
        <v>6.3405196608500095E-2</v>
      </c>
      <c r="N148" s="8">
        <f t="shared" si="38"/>
        <v>-5.2999491251802699E-2</v>
      </c>
      <c r="O148">
        <v>-4.582710564649E-2</v>
      </c>
      <c r="P148">
        <v>-6.4767440829778006E-2</v>
      </c>
      <c r="Q148">
        <v>-8.1455848070442996E-2</v>
      </c>
      <c r="R148">
        <v>-3.8055917757894998E-2</v>
      </c>
      <c r="S148">
        <f t="shared" si="39"/>
        <v>1.1331792022247507</v>
      </c>
      <c r="T148">
        <f t="shared" si="40"/>
        <v>-29.676317409675228</v>
      </c>
      <c r="U148" s="9">
        <f t="shared" si="41"/>
        <v>0.98454714904385299</v>
      </c>
      <c r="V148" s="9">
        <f t="shared" si="42"/>
        <v>-0.56103655465962599</v>
      </c>
    </row>
    <row r="149" spans="1:22" x14ac:dyDescent="0.25">
      <c r="A149">
        <v>2</v>
      </c>
      <c r="B149">
        <v>15</v>
      </c>
      <c r="C149">
        <v>-1.7597447518047E-2</v>
      </c>
      <c r="D149">
        <v>-2.1065220699924999E-2</v>
      </c>
      <c r="E149">
        <v>0.98241686685594998</v>
      </c>
      <c r="F149">
        <v>-2.3720313805977E-2</v>
      </c>
      <c r="G149">
        <f t="shared" si="31"/>
        <v>10.3467589361007</v>
      </c>
      <c r="H149">
        <f t="shared" si="32"/>
        <v>-13.807468087390401</v>
      </c>
      <c r="I149">
        <f t="shared" si="33"/>
        <v>10.346767855575401</v>
      </c>
      <c r="J149">
        <f t="shared" si="34"/>
        <v>-13.808795612600999</v>
      </c>
      <c r="K149" s="8">
        <f t="shared" si="35"/>
        <v>-8.9194747001641906E-6</v>
      </c>
      <c r="L149" s="8">
        <f t="shared" si="36"/>
        <v>1.32752521059842E-3</v>
      </c>
      <c r="M149" s="8">
        <f t="shared" si="37"/>
        <v>3.4751199104268403E-2</v>
      </c>
      <c r="N149" s="8">
        <f t="shared" si="38"/>
        <v>4.6378947746958901E-2</v>
      </c>
      <c r="O149">
        <v>4.6591028428193001E-2</v>
      </c>
      <c r="P149">
        <v>-3.2840005441001997E-2</v>
      </c>
      <c r="Q149">
        <v>2.8675796138625E-2</v>
      </c>
      <c r="R149">
        <v>-6.1049434525812997E-2</v>
      </c>
      <c r="S149">
        <f t="shared" si="39"/>
        <v>1.1832769380909611</v>
      </c>
      <c r="T149">
        <f t="shared" si="40"/>
        <v>-29.661524351631609</v>
      </c>
      <c r="U149" s="9">
        <f t="shared" si="41"/>
        <v>1.0282250994589535</v>
      </c>
      <c r="V149" s="9">
        <f t="shared" si="42"/>
        <v>-0.58557446756202203</v>
      </c>
    </row>
    <row r="150" spans="1:22" x14ac:dyDescent="0.25">
      <c r="A150">
        <v>2</v>
      </c>
      <c r="B150" s="1">
        <v>15.1</v>
      </c>
      <c r="C150">
        <v>-2.0024748287031002E-2</v>
      </c>
      <c r="D150">
        <v>-2.1894263504731001E-2</v>
      </c>
      <c r="E150">
        <v>0.97998423088036002</v>
      </c>
      <c r="F150">
        <v>-2.4554209243509002E-2</v>
      </c>
      <c r="G150">
        <f t="shared" si="31"/>
        <v>10.1470781305072</v>
      </c>
      <c r="H150">
        <f t="shared" si="32"/>
        <v>-12.350340846042601</v>
      </c>
      <c r="I150">
        <f t="shared" si="33"/>
        <v>10.147084388871701</v>
      </c>
      <c r="J150">
        <f t="shared" si="34"/>
        <v>-12.3516708046176</v>
      </c>
      <c r="K150" s="8">
        <f t="shared" si="35"/>
        <v>-6.2583645004110596E-6</v>
      </c>
      <c r="L150" s="8">
        <f t="shared" si="36"/>
        <v>1.3299585749990701E-3</v>
      </c>
      <c r="M150" s="8">
        <f t="shared" si="37"/>
        <v>3.97104051057557E-2</v>
      </c>
      <c r="N150" s="8">
        <f t="shared" si="38"/>
        <v>4.8338008494560297E-2</v>
      </c>
      <c r="O150">
        <v>4.8118325311119002E-2</v>
      </c>
      <c r="P150">
        <v>-3.7364835722522E-2</v>
      </c>
      <c r="Q150">
        <v>2.7537910501774999E-2</v>
      </c>
      <c r="R150">
        <v>-6.6444732402656997E-2</v>
      </c>
      <c r="S150">
        <f t="shared" si="39"/>
        <v>1.180609554652102</v>
      </c>
      <c r="T150">
        <f t="shared" si="40"/>
        <v>-29.658468709284325</v>
      </c>
      <c r="U150" s="9">
        <f t="shared" si="41"/>
        <v>1.0259383966166158</v>
      </c>
      <c r="V150" s="9">
        <f t="shared" si="42"/>
        <v>-0.58419973201257291</v>
      </c>
    </row>
    <row r="151" spans="1:22" x14ac:dyDescent="0.25">
      <c r="A151">
        <v>2</v>
      </c>
      <c r="B151" s="1">
        <v>15.2</v>
      </c>
      <c r="C151">
        <v>-2.2789664463188E-2</v>
      </c>
      <c r="D151">
        <v>-2.2546688392360001E-2</v>
      </c>
      <c r="E151">
        <v>0.97721837193854</v>
      </c>
      <c r="F151">
        <v>-2.5201024468294999E-2</v>
      </c>
      <c r="G151">
        <f t="shared" si="31"/>
        <v>9.9603172565640605</v>
      </c>
      <c r="H151">
        <f t="shared" si="32"/>
        <v>-10.9592266320356</v>
      </c>
      <c r="I151">
        <f t="shared" si="33"/>
        <v>9.9603230360994299</v>
      </c>
      <c r="J151">
        <f t="shared" si="34"/>
        <v>-10.960553787070401</v>
      </c>
      <c r="K151" s="8">
        <f t="shared" si="35"/>
        <v>-5.7795353693990103E-6</v>
      </c>
      <c r="L151" s="8">
        <f t="shared" si="36"/>
        <v>1.3271550348008499E-3</v>
      </c>
      <c r="M151" s="8">
        <f t="shared" si="37"/>
        <v>4.5410059564636798E-2</v>
      </c>
      <c r="N151" s="8">
        <f t="shared" si="38"/>
        <v>4.9970206641729902E-2</v>
      </c>
      <c r="O151">
        <v>4.9308898549398003E-2</v>
      </c>
      <c r="P151">
        <v>-4.2512530823145003E-2</v>
      </c>
      <c r="Q151">
        <v>2.5698803305724001E-2</v>
      </c>
      <c r="R151">
        <v>-7.2267557557430001E-2</v>
      </c>
      <c r="S151">
        <f t="shared" si="39"/>
        <v>1.1781077552139392</v>
      </c>
      <c r="T151">
        <f t="shared" si="40"/>
        <v>-29.657445422777872</v>
      </c>
      <c r="U151" s="9">
        <f t="shared" si="41"/>
        <v>1.0237747682338587</v>
      </c>
      <c r="V151" s="9">
        <f t="shared" si="42"/>
        <v>-0.58294348510205996</v>
      </c>
    </row>
    <row r="152" spans="1:22" x14ac:dyDescent="0.25">
      <c r="A152">
        <v>2</v>
      </c>
      <c r="B152" s="1">
        <v>15.3</v>
      </c>
      <c r="C152">
        <v>-2.5908058229568001E-2</v>
      </c>
      <c r="D152">
        <v>-2.2935850368732E-2</v>
      </c>
      <c r="E152">
        <v>0.97409950052872996</v>
      </c>
      <c r="F152">
        <v>-2.5584588486408998E-2</v>
      </c>
      <c r="G152">
        <f t="shared" si="31"/>
        <v>9.7828197045391398</v>
      </c>
      <c r="H152">
        <f t="shared" si="32"/>
        <v>-9.6295433535584394</v>
      </c>
      <c r="I152">
        <f t="shared" si="33"/>
        <v>9.7828252378344605</v>
      </c>
      <c r="J152">
        <f t="shared" si="34"/>
        <v>-9.6308677102839102</v>
      </c>
      <c r="K152" s="8">
        <f t="shared" si="35"/>
        <v>-5.5332953206033204E-6</v>
      </c>
      <c r="L152" s="8">
        <f t="shared" si="36"/>
        <v>1.32435672547082E-3</v>
      </c>
      <c r="M152" s="8">
        <f t="shared" si="37"/>
        <v>5.1910040878941799E-2</v>
      </c>
      <c r="N152" s="8">
        <f t="shared" si="38"/>
        <v>5.1103717421735903E-2</v>
      </c>
      <c r="O152">
        <v>5.0008271718126003E-2</v>
      </c>
      <c r="P152">
        <v>-4.8317206062502997E-2</v>
      </c>
      <c r="Q152">
        <v>2.2983456896874001E-2</v>
      </c>
      <c r="R152">
        <v>-7.8451107980228002E-2</v>
      </c>
      <c r="S152">
        <f t="shared" si="39"/>
        <v>1.1756131928918074</v>
      </c>
      <c r="T152">
        <f t="shared" si="40"/>
        <v>-29.656556475159494</v>
      </c>
      <c r="U152" s="9">
        <f t="shared" si="41"/>
        <v>1.0216160205512337</v>
      </c>
      <c r="V152" s="9">
        <f t="shared" si="42"/>
        <v>-0.581693291911065</v>
      </c>
    </row>
    <row r="153" spans="1:22" x14ac:dyDescent="0.25">
      <c r="A153">
        <v>2</v>
      </c>
      <c r="B153" s="1">
        <v>15.4</v>
      </c>
      <c r="C153">
        <v>-2.9376703515756001E-2</v>
      </c>
      <c r="D153">
        <v>-2.2954301060590002E-2</v>
      </c>
      <c r="E153">
        <v>0.97063008298618003</v>
      </c>
      <c r="F153">
        <v>-2.5598574237376999E-2</v>
      </c>
      <c r="G153">
        <f t="shared" si="31"/>
        <v>9.6138209522003208</v>
      </c>
      <c r="H153">
        <f t="shared" si="32"/>
        <v>-8.3582063558142892</v>
      </c>
      <c r="I153">
        <f t="shared" si="33"/>
        <v>9.6138260934640805</v>
      </c>
      <c r="J153">
        <f t="shared" si="34"/>
        <v>-8.3595284811189305</v>
      </c>
      <c r="K153" s="8">
        <f t="shared" si="35"/>
        <v>-5.1412637596115499E-6</v>
      </c>
      <c r="L153" s="8">
        <f t="shared" si="36"/>
        <v>1.32212530464138E-3</v>
      </c>
      <c r="M153" s="8">
        <f t="shared" si="37"/>
        <v>5.9232222033138798E-2</v>
      </c>
      <c r="N153" s="8">
        <f t="shared" si="38"/>
        <v>5.1504306638395697E-2</v>
      </c>
      <c r="O153">
        <v>5.0016653978140001E-2</v>
      </c>
      <c r="P153">
        <v>-5.4773385710455001E-2</v>
      </c>
      <c r="Q153">
        <v>1.9196686528337999E-2</v>
      </c>
      <c r="R153">
        <v>-8.4871512297602994E-2</v>
      </c>
      <c r="S153">
        <f t="shared" si="39"/>
        <v>1.173125094615892</v>
      </c>
      <c r="T153">
        <f t="shared" si="40"/>
        <v>-29.655952130463174</v>
      </c>
      <c r="U153" s="9">
        <f t="shared" si="41"/>
        <v>1.0194599684330961</v>
      </c>
      <c r="V153" s="9">
        <f t="shared" si="42"/>
        <v>-0.58045142809707706</v>
      </c>
    </row>
    <row r="154" spans="1:22" x14ac:dyDescent="0.25">
      <c r="A154">
        <v>2</v>
      </c>
      <c r="B154" s="1">
        <v>15.5</v>
      </c>
      <c r="C154">
        <v>-3.3161680048439002E-2</v>
      </c>
      <c r="D154">
        <v>-2.2476439911828999E-2</v>
      </c>
      <c r="E154">
        <v>0.96684437915054999</v>
      </c>
      <c r="F154">
        <v>-2.5116796962587E-2</v>
      </c>
      <c r="G154">
        <f t="shared" si="31"/>
        <v>9.4529166725090192</v>
      </c>
      <c r="H154">
        <f t="shared" si="32"/>
        <v>-7.14214621138753</v>
      </c>
      <c r="I154">
        <f t="shared" si="33"/>
        <v>9.4529214449517909</v>
      </c>
      <c r="J154">
        <f t="shared" si="34"/>
        <v>-7.1434663796128497</v>
      </c>
      <c r="K154" s="8">
        <f t="shared" si="35"/>
        <v>-4.7724427716389098E-6</v>
      </c>
      <c r="L154" s="8">
        <f t="shared" si="36"/>
        <v>1.3201682253196601E-3</v>
      </c>
      <c r="M154" s="8">
        <f t="shared" si="37"/>
        <v>6.7334813792931797E-2</v>
      </c>
      <c r="N154" s="8">
        <f t="shared" si="38"/>
        <v>5.0884161188515298E-2</v>
      </c>
      <c r="O154">
        <v>4.9100517859901001E-2</v>
      </c>
      <c r="P154">
        <v>-6.1817409937204998E-2</v>
      </c>
      <c r="Q154">
        <v>1.4144818881942E-2</v>
      </c>
      <c r="R154">
        <v>-9.1327188186038993E-2</v>
      </c>
      <c r="S154">
        <f t="shared" si="39"/>
        <v>1.170644390355092</v>
      </c>
      <c r="T154">
        <f t="shared" si="40"/>
        <v>-29.655460963850082</v>
      </c>
      <c r="U154" s="9">
        <f t="shared" si="41"/>
        <v>1.0173091716191542</v>
      </c>
      <c r="V154" s="9">
        <f t="shared" si="42"/>
        <v>-0.57921527777623005</v>
      </c>
    </row>
    <row r="155" spans="1:22" x14ac:dyDescent="0.25">
      <c r="A155">
        <v>2</v>
      </c>
      <c r="B155">
        <v>15.6</v>
      </c>
      <c r="C155">
        <v>-3.7184297968393003E-2</v>
      </c>
      <c r="D155">
        <v>-2.1366838957865002E-2</v>
      </c>
      <c r="E155">
        <v>0.96282103183359002</v>
      </c>
      <c r="F155">
        <v>-2.4003884088941E-2</v>
      </c>
      <c r="G155">
        <f t="shared" si="31"/>
        <v>9.2995981232406901</v>
      </c>
      <c r="H155">
        <f t="shared" si="32"/>
        <v>-5.9783001869527501</v>
      </c>
      <c r="I155">
        <f t="shared" si="33"/>
        <v>9.2996025266194309</v>
      </c>
      <c r="J155">
        <f t="shared" si="34"/>
        <v>-5.9796187001986301</v>
      </c>
      <c r="K155" s="8">
        <f t="shared" si="35"/>
        <v>-4.4033787407471403E-6</v>
      </c>
      <c r="L155" s="8">
        <f t="shared" si="36"/>
        <v>1.31851324587995E-3</v>
      </c>
      <c r="M155" s="8">
        <f t="shared" si="37"/>
        <v>7.6077557907822904E-2</v>
      </c>
      <c r="N155" s="8">
        <f t="shared" si="38"/>
        <v>4.8917659290158101E-2</v>
      </c>
      <c r="O155">
        <v>4.7009755806595999E-2</v>
      </c>
      <c r="P155">
        <v>-6.9305202336560998E-2</v>
      </c>
      <c r="Q155">
        <v>7.6650022780864E-3</v>
      </c>
      <c r="R155">
        <v>-9.7523411901498006E-2</v>
      </c>
      <c r="S155">
        <f t="shared" si="39"/>
        <v>1.1681275856273317</v>
      </c>
      <c r="T155">
        <f t="shared" si="40"/>
        <v>-29.655054523267992</v>
      </c>
      <c r="U155" s="9">
        <f t="shared" si="41"/>
        <v>1.0151261269753169</v>
      </c>
      <c r="V155" s="9">
        <f t="shared" si="42"/>
        <v>-0.57796280385127863</v>
      </c>
    </row>
    <row r="156" spans="1:22" x14ac:dyDescent="0.25">
      <c r="A156">
        <v>2</v>
      </c>
      <c r="B156">
        <v>15.7</v>
      </c>
      <c r="C156">
        <v>-4.1308679457593998E-2</v>
      </c>
      <c r="D156">
        <v>-1.9497579130614999E-2</v>
      </c>
      <c r="E156">
        <v>0.95869591699616996</v>
      </c>
      <c r="F156">
        <v>-2.2131861661952999E-2</v>
      </c>
      <c r="G156">
        <f t="shared" si="31"/>
        <v>9.1534137178522705</v>
      </c>
      <c r="H156">
        <f t="shared" si="32"/>
        <v>-4.8637992580566696</v>
      </c>
      <c r="I156">
        <f t="shared" si="33"/>
        <v>9.1534177509200507</v>
      </c>
      <c r="J156">
        <f t="shared" si="34"/>
        <v>-4.8651163909831698</v>
      </c>
      <c r="K156" s="8">
        <f t="shared" si="35"/>
        <v>-4.0330677801847497E-6</v>
      </c>
      <c r="L156" s="8">
        <f t="shared" si="36"/>
        <v>1.3171329265002599E-3</v>
      </c>
      <c r="M156" s="8">
        <f t="shared" si="37"/>
        <v>8.5184194938322105E-2</v>
      </c>
      <c r="N156" s="8">
        <f t="shared" si="38"/>
        <v>4.52760962434475E-2</v>
      </c>
      <c r="O156">
        <v>4.3504251486751001E-2</v>
      </c>
      <c r="P156">
        <v>-7.6981164392925003E-2</v>
      </c>
      <c r="Q156">
        <v>-3.2861050264629E-4</v>
      </c>
      <c r="R156">
        <v>-0.10306824055004001</v>
      </c>
      <c r="S156">
        <f t="shared" si="39"/>
        <v>1.165626067828617</v>
      </c>
      <c r="T156">
        <f t="shared" si="40"/>
        <v>-29.654704182788869</v>
      </c>
      <c r="U156" s="9">
        <f t="shared" si="41"/>
        <v>1.0129557846295174</v>
      </c>
      <c r="V156" s="9">
        <f t="shared" si="42"/>
        <v>-0.57671891627308558</v>
      </c>
    </row>
    <row r="157" spans="1:22" x14ac:dyDescent="0.25">
      <c r="A157">
        <v>2</v>
      </c>
      <c r="B157">
        <v>15.8</v>
      </c>
      <c r="C157">
        <v>-4.5336821833115E-2</v>
      </c>
      <c r="D157">
        <v>-1.6775330689572002E-2</v>
      </c>
      <c r="E157">
        <v>0.95466696916280003</v>
      </c>
      <c r="F157">
        <v>-1.9407271587795E-2</v>
      </c>
      <c r="G157">
        <f t="shared" si="31"/>
        <v>9.0139459699655191</v>
      </c>
      <c r="H157">
        <f t="shared" si="32"/>
        <v>-3.79596657004705</v>
      </c>
      <c r="I157">
        <f t="shared" si="33"/>
        <v>9.0139495972252703</v>
      </c>
      <c r="J157">
        <f t="shared" si="34"/>
        <v>-3.7972825332283899</v>
      </c>
      <c r="K157" s="8">
        <f t="shared" si="35"/>
        <v>-3.6272597512265701E-6</v>
      </c>
      <c r="L157" s="8">
        <f t="shared" si="36"/>
        <v>1.31596318133997E-3</v>
      </c>
      <c r="M157" s="8">
        <f t="shared" si="37"/>
        <v>9.4218554520131101E-2</v>
      </c>
      <c r="N157" s="8">
        <f t="shared" si="38"/>
        <v>3.9691199459940797E-2</v>
      </c>
      <c r="O157">
        <v>3.8411054133964E-2</v>
      </c>
      <c r="P157">
        <v>-8.4477372772867002E-2</v>
      </c>
      <c r="Q157">
        <v>-9.7896222547029007E-3</v>
      </c>
      <c r="R157">
        <v>-0.10749364228020999</v>
      </c>
      <c r="S157">
        <f t="shared" si="39"/>
        <v>1.1631306883338135</v>
      </c>
      <c r="T157">
        <f t="shared" si="40"/>
        <v>-29.654504998289436</v>
      </c>
      <c r="U157" s="9">
        <f t="shared" si="41"/>
        <v>1.0107892432431711</v>
      </c>
      <c r="V157" s="9">
        <f t="shared" si="42"/>
        <v>-0.57548075892056405</v>
      </c>
    </row>
    <row r="158" spans="1:22" x14ac:dyDescent="0.25">
      <c r="A158">
        <v>2</v>
      </c>
      <c r="B158">
        <v>15.9</v>
      </c>
      <c r="C158">
        <v>-4.9018616242670003E-2</v>
      </c>
      <c r="D158">
        <v>-1.3174633097164001E-2</v>
      </c>
      <c r="E158">
        <v>0.95098422007117001</v>
      </c>
      <c r="F158">
        <v>-1.580458010737E-2</v>
      </c>
      <c r="G158">
        <f t="shared" si="31"/>
        <v>8.8807977341142195</v>
      </c>
      <c r="H158">
        <f t="shared" si="32"/>
        <v>-2.7723303020164898</v>
      </c>
      <c r="I158">
        <f t="shared" si="33"/>
        <v>8.8808008814140997</v>
      </c>
      <c r="J158">
        <f t="shared" si="34"/>
        <v>-2.7736452695181502</v>
      </c>
      <c r="K158" s="8">
        <f t="shared" si="35"/>
        <v>-3.1472998802684098E-6</v>
      </c>
      <c r="L158" s="8">
        <f t="shared" si="36"/>
        <v>1.3149675016603799E-3</v>
      </c>
      <c r="M158" s="8">
        <f t="shared" si="37"/>
        <v>0.102594999402191</v>
      </c>
      <c r="N158" s="8">
        <f t="shared" si="38"/>
        <v>3.2042395564080402E-2</v>
      </c>
      <c r="O158">
        <v>3.1683369326834999E-2</v>
      </c>
      <c r="P158">
        <v>-9.1329231236145003E-2</v>
      </c>
      <c r="Q158">
        <v>-2.0488514230861E-2</v>
      </c>
      <c r="R158">
        <v>-0.11030971509484</v>
      </c>
      <c r="S158">
        <f t="shared" si="39"/>
        <v>1.1606254268730016</v>
      </c>
      <c r="T158">
        <f t="shared" si="40"/>
        <v>-29.654366718304384</v>
      </c>
      <c r="U158" s="9">
        <f t="shared" si="41"/>
        <v>1.0086134951650261</v>
      </c>
      <c r="V158" s="9">
        <f t="shared" si="42"/>
        <v>-0.57423879952083268</v>
      </c>
    </row>
    <row r="159" spans="1:22" x14ac:dyDescent="0.25">
      <c r="A159">
        <v>2</v>
      </c>
      <c r="B159">
        <v>16</v>
      </c>
      <c r="C159">
        <v>-5.208228681813E-2</v>
      </c>
      <c r="D159">
        <v>-8.7675626531786999E-3</v>
      </c>
      <c r="E159">
        <v>0.94791938726419001</v>
      </c>
      <c r="F159">
        <v>-1.1395749676655E-2</v>
      </c>
      <c r="G159">
        <f t="shared" si="31"/>
        <v>8.7536022534503299</v>
      </c>
      <c r="H159">
        <f t="shared" si="32"/>
        <v>-1.7906073985720401</v>
      </c>
      <c r="I159">
        <f t="shared" si="33"/>
        <v>8.7536048173252095</v>
      </c>
      <c r="J159">
        <f t="shared" si="34"/>
        <v>-1.7919214876146501</v>
      </c>
      <c r="K159" s="8">
        <f t="shared" si="35"/>
        <v>-2.5638748795131501E-6</v>
      </c>
      <c r="L159" s="8">
        <f t="shared" si="36"/>
        <v>1.31408904260999E-3</v>
      </c>
      <c r="M159" s="8">
        <f t="shared" si="37"/>
        <v>0.10964403568603499</v>
      </c>
      <c r="N159" s="8">
        <f t="shared" si="38"/>
        <v>2.2444867872688599E-2</v>
      </c>
      <c r="O159">
        <v>2.3454943748623999E-2</v>
      </c>
      <c r="P159">
        <v>-9.7030029446592003E-2</v>
      </c>
      <c r="Q159">
        <v>-3.1992179357259003E-2</v>
      </c>
      <c r="R159">
        <v>-0.11109477524891</v>
      </c>
      <c r="S159">
        <f t="shared" si="39"/>
        <v>1.1581254181920404</v>
      </c>
      <c r="T159">
        <f t="shared" si="40"/>
        <v>-29.654266380680959</v>
      </c>
      <c r="U159" s="9">
        <f t="shared" si="41"/>
        <v>1.0064419264543021</v>
      </c>
      <c r="V159" s="9">
        <f t="shared" si="42"/>
        <v>-0.57300011600124623</v>
      </c>
    </row>
    <row r="160" spans="1:22" x14ac:dyDescent="0.25">
      <c r="A160">
        <v>2</v>
      </c>
      <c r="B160">
        <v>16.100000000000001</v>
      </c>
      <c r="C160">
        <v>-5.4282970455593001E-2</v>
      </c>
      <c r="D160">
        <v>-3.7354565500820999E-3</v>
      </c>
      <c r="E160">
        <v>0.94571721800643005</v>
      </c>
      <c r="F160">
        <v>-6.3617285515789003E-3</v>
      </c>
      <c r="G160">
        <f t="shared" si="31"/>
        <v>8.63201523101392</v>
      </c>
      <c r="H160">
        <f t="shared" si="32"/>
        <v>-0.84866889031483805</v>
      </c>
      <c r="I160">
        <f t="shared" si="33"/>
        <v>8.6320170495676294</v>
      </c>
      <c r="J160">
        <f t="shared" si="34"/>
        <v>-0.84998202380384102</v>
      </c>
      <c r="K160" s="8">
        <f t="shared" si="35"/>
        <v>-1.8185537093984301E-6</v>
      </c>
      <c r="L160" s="8">
        <f t="shared" si="36"/>
        <v>1.31313348900297E-3</v>
      </c>
      <c r="M160" s="8">
        <f t="shared" si="37"/>
        <v>0.114735299253271</v>
      </c>
      <c r="N160" s="8">
        <f t="shared" si="38"/>
        <v>1.1297816176801799E-2</v>
      </c>
      <c r="O160">
        <v>1.4063592184064E-2</v>
      </c>
      <c r="P160">
        <v>-0.10112416912507</v>
      </c>
      <c r="Q160">
        <v>-4.3695540996344998E-2</v>
      </c>
      <c r="R160">
        <v>-0.10959725035439</v>
      </c>
      <c r="S160">
        <f t="shared" si="39"/>
        <v>1.1556285105132713</v>
      </c>
      <c r="T160">
        <f t="shared" si="40"/>
        <v>-29.654255894436162</v>
      </c>
      <c r="U160" s="9">
        <f t="shared" si="41"/>
        <v>1.0042721516233899</v>
      </c>
      <c r="V160" s="9">
        <f t="shared" si="42"/>
        <v>-0.57176454925506637</v>
      </c>
    </row>
    <row r="161" spans="1:22" x14ac:dyDescent="0.25">
      <c r="A161">
        <v>2</v>
      </c>
      <c r="B161">
        <v>16.2</v>
      </c>
      <c r="C161">
        <v>-5.5455912177459002E-2</v>
      </c>
      <c r="D161">
        <v>1.6488946061722E-3</v>
      </c>
      <c r="E161">
        <v>0.94454244597486003</v>
      </c>
      <c r="F161">
        <v>-9.7498376599285E-4</v>
      </c>
      <c r="G161">
        <f t="shared" si="31"/>
        <v>8.5157044751165394</v>
      </c>
      <c r="H161">
        <f t="shared" si="32"/>
        <v>5.5435443026068197E-2</v>
      </c>
      <c r="I161">
        <f t="shared" si="33"/>
        <v>8.5157053753777099</v>
      </c>
      <c r="J161">
        <f t="shared" si="34"/>
        <v>5.4123503944071401E-2</v>
      </c>
      <c r="K161" s="8">
        <f t="shared" si="35"/>
        <v>-9.0026117050001599E-7</v>
      </c>
      <c r="L161" s="8">
        <f t="shared" si="36"/>
        <v>1.3119390819968E-3</v>
      </c>
      <c r="M161" s="8">
        <f t="shared" si="37"/>
        <v>0.11742534085893599</v>
      </c>
      <c r="N161" s="8">
        <f t="shared" si="38"/>
        <v>-7.4632348337094496E-4</v>
      </c>
      <c r="O161">
        <v>4.0172651501779004E-3</v>
      </c>
      <c r="P161">
        <v>-0.10330953106765001</v>
      </c>
      <c r="Q161">
        <v>-5.4913550841559002E-2</v>
      </c>
      <c r="R161">
        <v>-0.10581483639569</v>
      </c>
      <c r="S161">
        <f t="shared" si="39"/>
        <v>1.153090386915014</v>
      </c>
      <c r="T161">
        <f t="shared" si="40"/>
        <v>-29.654322777713446</v>
      </c>
      <c r="U161" s="9">
        <f t="shared" si="41"/>
        <v>1.0020657882088635</v>
      </c>
      <c r="V161" s="9">
        <f t="shared" si="42"/>
        <v>-0.57050994425791191</v>
      </c>
    </row>
    <row r="162" spans="1:22" x14ac:dyDescent="0.25">
      <c r="A162">
        <v>2</v>
      </c>
      <c r="B162">
        <v>16.3</v>
      </c>
      <c r="C162">
        <v>-5.5553688090465E-2</v>
      </c>
      <c r="D162">
        <v>7.0680813453614004E-3</v>
      </c>
      <c r="E162">
        <v>0.94444262159306003</v>
      </c>
      <c r="F162">
        <v>4.4467883505715997E-3</v>
      </c>
      <c r="G162">
        <f t="shared" si="31"/>
        <v>8.4043709233278996</v>
      </c>
      <c r="H162">
        <f t="shared" si="32"/>
        <v>0.92344972662272595</v>
      </c>
      <c r="I162">
        <f t="shared" si="33"/>
        <v>8.4043707959670506</v>
      </c>
      <c r="J162">
        <f t="shared" si="34"/>
        <v>0.92213907754005098</v>
      </c>
      <c r="K162" s="8">
        <f t="shared" si="35"/>
        <v>1.2736084897824201E-7</v>
      </c>
      <c r="L162" s="8">
        <f t="shared" si="36"/>
        <v>1.31064908267498E-3</v>
      </c>
      <c r="M162" s="8">
        <f t="shared" si="37"/>
        <v>0.117570303965347</v>
      </c>
      <c r="N162" s="8">
        <f t="shared" si="38"/>
        <v>-1.2899974819856001E-2</v>
      </c>
      <c r="O162">
        <v>-6.0941220832579999E-3</v>
      </c>
      <c r="P162">
        <v>-0.10349167179380001</v>
      </c>
      <c r="Q162">
        <v>-6.5008197065390003E-2</v>
      </c>
      <c r="R162">
        <v>-0.1000104832507</v>
      </c>
      <c r="S162">
        <f t="shared" si="39"/>
        <v>1.1505814234357701</v>
      </c>
      <c r="T162">
        <f t="shared" si="40"/>
        <v>-29.6544457414082</v>
      </c>
      <c r="U162" s="9">
        <f t="shared" si="41"/>
        <v>0.99988421142130279</v>
      </c>
      <c r="V162" s="9">
        <f t="shared" si="42"/>
        <v>-0.56927074025096558</v>
      </c>
    </row>
    <row r="163" spans="1:22" x14ac:dyDescent="0.25">
      <c r="A163">
        <v>2</v>
      </c>
      <c r="B163">
        <v>16.399999999999999</v>
      </c>
      <c r="C163">
        <v>-5.4651555301704999E-2</v>
      </c>
      <c r="D163">
        <v>1.2220284126931E-2</v>
      </c>
      <c r="E163">
        <v>0.94534264781069999</v>
      </c>
      <c r="F163">
        <v>9.6014667278990998E-3</v>
      </c>
      <c r="G163">
        <f t="shared" si="31"/>
        <v>8.2977629470750305</v>
      </c>
      <c r="H163">
        <f t="shared" si="32"/>
        <v>1.7569852989228101</v>
      </c>
      <c r="I163">
        <f t="shared" si="33"/>
        <v>8.2977617631859193</v>
      </c>
      <c r="J163">
        <f t="shared" si="34"/>
        <v>1.75567588487783</v>
      </c>
      <c r="K163" s="8">
        <f t="shared" si="35"/>
        <v>1.1838891111892699E-6</v>
      </c>
      <c r="L163" s="8">
        <f t="shared" si="36"/>
        <v>1.3094140449800801E-3</v>
      </c>
      <c r="M163" s="8">
        <f t="shared" si="37"/>
        <v>0.115350429495298</v>
      </c>
      <c r="N163" s="8">
        <f t="shared" si="38"/>
        <v>-2.4406336691141398E-2</v>
      </c>
      <c r="O163">
        <v>-1.5708915995091999E-2</v>
      </c>
      <c r="P163">
        <v>-0.10181553210418</v>
      </c>
      <c r="Q163">
        <v>-7.3505563705578994E-2</v>
      </c>
      <c r="R163">
        <v>-9.2656182555894001E-2</v>
      </c>
      <c r="S163">
        <f t="shared" si="39"/>
        <v>1.148044870294139</v>
      </c>
      <c r="T163">
        <f t="shared" si="40"/>
        <v>-29.654612645922292</v>
      </c>
      <c r="U163" s="9">
        <f t="shared" si="41"/>
        <v>0.9976782282557134</v>
      </c>
      <c r="V163" s="9">
        <f t="shared" si="42"/>
        <v>-0.56801864148391035</v>
      </c>
    </row>
    <row r="164" spans="1:22" x14ac:dyDescent="0.25">
      <c r="A164">
        <v>2</v>
      </c>
      <c r="B164">
        <v>16.5</v>
      </c>
      <c r="C164">
        <v>-5.2920189898686E-2</v>
      </c>
      <c r="D164">
        <v>1.6870234789122002E-2</v>
      </c>
      <c r="E164">
        <v>0.94707205502892</v>
      </c>
      <c r="F164">
        <v>1.4253718462201E-2</v>
      </c>
      <c r="G164">
        <f t="shared" si="31"/>
        <v>8.1956585350995894</v>
      </c>
      <c r="H164">
        <f t="shared" si="32"/>
        <v>2.5575554554979401</v>
      </c>
      <c r="I164">
        <f t="shared" si="33"/>
        <v>8.1956563691047606</v>
      </c>
      <c r="J164">
        <f t="shared" si="34"/>
        <v>2.5562471894279502</v>
      </c>
      <c r="K164" s="8">
        <f t="shared" si="35"/>
        <v>2.1659948288288399E-6</v>
      </c>
      <c r="L164" s="8">
        <f t="shared" si="36"/>
        <v>1.3082660699899099E-3</v>
      </c>
      <c r="M164" s="8">
        <f t="shared" si="37"/>
        <v>0.111198133295796</v>
      </c>
      <c r="N164" s="8">
        <f t="shared" si="38"/>
        <v>-3.4682995834055902E-2</v>
      </c>
      <c r="O164">
        <v>-2.4388685385143001E-2</v>
      </c>
      <c r="P164">
        <v>-9.8593490675205994E-2</v>
      </c>
      <c r="Q164">
        <v>-8.0160773963934007E-2</v>
      </c>
      <c r="R164">
        <v>-8.4327184563092003E-2</v>
      </c>
      <c r="S164">
        <f t="shared" si="39"/>
        <v>1.1455487458093057</v>
      </c>
      <c r="T164">
        <f t="shared" si="40"/>
        <v>-29.654911899107795</v>
      </c>
      <c r="U164" s="9">
        <f t="shared" si="41"/>
        <v>0.99550607656279966</v>
      </c>
      <c r="V164" s="9">
        <f t="shared" si="42"/>
        <v>-0.56678883241628397</v>
      </c>
    </row>
    <row r="165" spans="1:22" x14ac:dyDescent="0.25">
      <c r="A165">
        <v>2</v>
      </c>
      <c r="B165">
        <v>16.600000000000001</v>
      </c>
      <c r="C165">
        <v>-5.0580014827073E-2</v>
      </c>
      <c r="D165">
        <v>2.0874848556665999E-2</v>
      </c>
      <c r="E165">
        <v>0.94940765766798996</v>
      </c>
      <c r="F165">
        <v>1.8258953413945001E-2</v>
      </c>
      <c r="G165">
        <f t="shared" si="31"/>
        <v>8.0977565538058993</v>
      </c>
      <c r="H165">
        <f t="shared" si="32"/>
        <v>3.3262937570862401</v>
      </c>
      <c r="I165">
        <f t="shared" si="33"/>
        <v>8.0977521007710198</v>
      </c>
      <c r="J165">
        <f t="shared" si="34"/>
        <v>3.3249857956286002</v>
      </c>
      <c r="K165" s="8">
        <f t="shared" si="35"/>
        <v>4.4530348795035496E-6</v>
      </c>
      <c r="L165" s="8">
        <f t="shared" si="36"/>
        <v>1.30796145763989E-3</v>
      </c>
      <c r="M165" s="8">
        <f t="shared" si="37"/>
        <v>0.105674606993036</v>
      </c>
      <c r="N165" s="8">
        <f t="shared" si="38"/>
        <v>-4.3390630243795997E-2</v>
      </c>
      <c r="O165">
        <v>-3.1867771230655997E-2</v>
      </c>
      <c r="P165">
        <v>-9.4239645899868996E-2</v>
      </c>
      <c r="Q165">
        <v>-8.4952514513444002E-2</v>
      </c>
      <c r="R165">
        <v>-7.5587444939808998E-2</v>
      </c>
      <c r="S165">
        <f t="shared" si="39"/>
        <v>1.1430398929181171</v>
      </c>
      <c r="T165">
        <f t="shared" si="40"/>
        <v>-29.655242886528598</v>
      </c>
      <c r="U165" s="9">
        <f t="shared" si="41"/>
        <v>0.99332256328125834</v>
      </c>
      <c r="V165" s="9">
        <f t="shared" si="42"/>
        <v>-0.56555325308816939</v>
      </c>
    </row>
    <row r="166" spans="1:22" x14ac:dyDescent="0.25">
      <c r="A166">
        <v>2</v>
      </c>
      <c r="B166">
        <v>16.7</v>
      </c>
      <c r="C166">
        <v>-4.7855885638761003E-2</v>
      </c>
      <c r="D166">
        <v>2.4182108912721E-2</v>
      </c>
      <c r="E166">
        <v>0.95213320835296</v>
      </c>
      <c r="F166">
        <v>2.1566161717002999E-2</v>
      </c>
      <c r="G166">
        <f t="shared" si="31"/>
        <v>8.0043488088872508</v>
      </c>
      <c r="H166">
        <f t="shared" si="32"/>
        <v>4.0650948992972697</v>
      </c>
      <c r="I166">
        <f t="shared" si="33"/>
        <v>8.0043450666733804</v>
      </c>
      <c r="J166">
        <f t="shared" si="34"/>
        <v>4.0637869136722502</v>
      </c>
      <c r="K166" s="8">
        <f t="shared" si="35"/>
        <v>3.74221387033913E-6</v>
      </c>
      <c r="L166" s="8">
        <f t="shared" si="36"/>
        <v>1.30798562501955E-3</v>
      </c>
      <c r="M166" s="8">
        <f t="shared" si="37"/>
        <v>9.9329328398878106E-2</v>
      </c>
      <c r="N166" s="8">
        <f t="shared" si="38"/>
        <v>-5.0429263297487099E-2</v>
      </c>
      <c r="O166">
        <v>-3.8048949346649999E-2</v>
      </c>
      <c r="P166">
        <v>-8.9172584894804993E-2</v>
      </c>
      <c r="Q166">
        <v>-8.8032137295080998E-2</v>
      </c>
      <c r="R166">
        <v>-6.6908372742847999E-2</v>
      </c>
      <c r="S166">
        <f t="shared" si="39"/>
        <v>1.1405053825961908</v>
      </c>
      <c r="T166">
        <f t="shared" si="40"/>
        <v>-29.656134102300609</v>
      </c>
      <c r="U166" s="9">
        <f t="shared" si="41"/>
        <v>0.99111124988053956</v>
      </c>
      <c r="V166" s="9">
        <f t="shared" si="42"/>
        <v>-0.56431464458324887</v>
      </c>
    </row>
    <row r="167" spans="1:22" x14ac:dyDescent="0.25">
      <c r="A167">
        <v>2</v>
      </c>
      <c r="B167">
        <v>16.8</v>
      </c>
      <c r="C167">
        <v>-4.4945223299371E-2</v>
      </c>
      <c r="D167">
        <v>2.6810593195473999E-2</v>
      </c>
      <c r="E167">
        <v>0.95504253069239997</v>
      </c>
      <c r="F167">
        <v>2.4195308882881999E-2</v>
      </c>
      <c r="G167">
        <f t="shared" si="31"/>
        <v>7.9146299908549196</v>
      </c>
      <c r="H167">
        <f t="shared" si="32"/>
        <v>4.7746563449857202</v>
      </c>
      <c r="I167">
        <f t="shared" si="33"/>
        <v>7.9146255777698098</v>
      </c>
      <c r="J167">
        <f t="shared" si="34"/>
        <v>4.7733486890519004</v>
      </c>
      <c r="K167" s="8">
        <f t="shared" si="35"/>
        <v>4.4130851097889903E-6</v>
      </c>
      <c r="L167" s="8">
        <f t="shared" si="36"/>
        <v>1.30765593381987E-3</v>
      </c>
      <c r="M167" s="8">
        <f t="shared" si="37"/>
        <v>9.26487386548039E-2</v>
      </c>
      <c r="N167" s="8">
        <f t="shared" si="38"/>
        <v>-5.5876899147620403E-2</v>
      </c>
      <c r="O167">
        <v>-4.2967930708186997E-2</v>
      </c>
      <c r="P167">
        <v>-8.3758962461080999E-2</v>
      </c>
      <c r="Q167">
        <v>-8.9654194833090006E-2</v>
      </c>
      <c r="R167">
        <v>-5.8636082112209997E-2</v>
      </c>
      <c r="S167">
        <f t="shared" si="39"/>
        <v>1.1379819017613126</v>
      </c>
      <c r="T167">
        <f t="shared" si="40"/>
        <v>-29.656714054358286</v>
      </c>
      <c r="U167" s="9">
        <f t="shared" si="41"/>
        <v>0.98891261887744519</v>
      </c>
      <c r="V167" s="9">
        <f t="shared" si="42"/>
        <v>-0.56307605255528903</v>
      </c>
    </row>
    <row r="168" spans="1:22" x14ac:dyDescent="0.25">
      <c r="A168">
        <v>2</v>
      </c>
      <c r="B168">
        <v>16.899999999999999</v>
      </c>
      <c r="C168">
        <v>-4.2002533682527002E-2</v>
      </c>
      <c r="D168">
        <v>2.8824602323004999E-2</v>
      </c>
      <c r="E168">
        <v>0.95798404622273003</v>
      </c>
      <c r="F168">
        <v>2.6209595012522E-2</v>
      </c>
      <c r="G168">
        <f t="shared" si="31"/>
        <v>7.8286680025455304</v>
      </c>
      <c r="H168">
        <f t="shared" si="32"/>
        <v>5.45613664965546</v>
      </c>
      <c r="I168">
        <f t="shared" si="33"/>
        <v>7.8286630020504298</v>
      </c>
      <c r="J168">
        <f t="shared" si="34"/>
        <v>5.4548291306885401</v>
      </c>
      <c r="K168" s="8">
        <f t="shared" si="35"/>
        <v>5.0004951006599202E-6</v>
      </c>
      <c r="L168" s="8">
        <f t="shared" si="36"/>
        <v>1.3075189669198299E-3</v>
      </c>
      <c r="M168" s="8">
        <f t="shared" si="37"/>
        <v>8.5988513476559794E-2</v>
      </c>
      <c r="N168" s="8">
        <f t="shared" si="38"/>
        <v>-5.9914783417512302E-2</v>
      </c>
      <c r="O168">
        <v>-4.6743674831827002E-2</v>
      </c>
      <c r="P168">
        <v>-7.8285813312301E-2</v>
      </c>
      <c r="Q168">
        <v>-9.0106875629981001E-2</v>
      </c>
      <c r="R168">
        <v>-5.0983381547023997E-2</v>
      </c>
      <c r="S168">
        <f t="shared" si="39"/>
        <v>1.1354617406036689</v>
      </c>
      <c r="T168">
        <f t="shared" si="40"/>
        <v>-29.657377332138218</v>
      </c>
      <c r="U168" s="9">
        <f t="shared" si="41"/>
        <v>0.98671608076356576</v>
      </c>
      <c r="V168" s="9">
        <f t="shared" si="42"/>
        <v>-0.56184049367885724</v>
      </c>
    </row>
    <row r="169" spans="1:22" x14ac:dyDescent="0.25">
      <c r="A169">
        <v>2</v>
      </c>
      <c r="B169">
        <v>17</v>
      </c>
      <c r="C169">
        <v>-3.9137252292449999E-2</v>
      </c>
      <c r="D169">
        <v>3.0310409388109999E-2</v>
      </c>
      <c r="E169">
        <v>0.96085281072553996</v>
      </c>
      <c r="F169">
        <v>2.7692016943045E-2</v>
      </c>
      <c r="G169">
        <f t="shared" si="31"/>
        <v>7.74677555392402</v>
      </c>
      <c r="H169">
        <f t="shared" si="32"/>
        <v>6.1108456909888398</v>
      </c>
      <c r="I169">
        <f t="shared" si="33"/>
        <v>7.7467722994256798</v>
      </c>
      <c r="J169">
        <f t="shared" si="34"/>
        <v>6.1095364840007402</v>
      </c>
      <c r="K169" s="8">
        <f t="shared" si="35"/>
        <v>3.2544983401550098E-6</v>
      </c>
      <c r="L169" s="8">
        <f t="shared" si="36"/>
        <v>1.3092069880995499E-3</v>
      </c>
      <c r="M169" s="8">
        <f t="shared" si="37"/>
        <v>7.9585560735094499E-2</v>
      </c>
      <c r="N169" s="8">
        <f t="shared" si="38"/>
        <v>-6.2765609742623393E-2</v>
      </c>
      <c r="O169">
        <v>-4.9537330847481E-2</v>
      </c>
      <c r="P169">
        <v>-7.2957115873915998E-2</v>
      </c>
      <c r="Q169">
        <v>-8.9671191457625005E-2</v>
      </c>
      <c r="R169">
        <v>-4.4056016382625997E-2</v>
      </c>
      <c r="S169">
        <f t="shared" si="39"/>
        <v>1.1329436166055937</v>
      </c>
      <c r="T169">
        <f t="shared" si="40"/>
        <v>-29.658616738470329</v>
      </c>
      <c r="U169" s="9">
        <f t="shared" si="41"/>
        <v>0.98451570453608761</v>
      </c>
      <c r="V169" s="9">
        <f t="shared" si="42"/>
        <v>-0.56061579172297094</v>
      </c>
    </row>
    <row r="170" spans="1:22" x14ac:dyDescent="0.25">
      <c r="A170">
        <v>2.2000000000000002</v>
      </c>
      <c r="B170">
        <v>15</v>
      </c>
      <c r="C170">
        <v>-2.0837559371907999E-2</v>
      </c>
      <c r="D170">
        <v>-2.5950086420062E-2</v>
      </c>
      <c r="E170">
        <v>0.97917810262933003</v>
      </c>
      <c r="F170">
        <v>-2.8803948604277999E-2</v>
      </c>
      <c r="G170">
        <f t="shared" si="31"/>
        <v>8.3009515422980495</v>
      </c>
      <c r="H170">
        <f t="shared" si="32"/>
        <v>-11.566597232424799</v>
      </c>
      <c r="I170">
        <f t="shared" si="33"/>
        <v>8.30096140931769</v>
      </c>
      <c r="J170">
        <f t="shared" si="34"/>
        <v>-11.568024138263301</v>
      </c>
      <c r="K170" s="8">
        <f t="shared" si="35"/>
        <v>-9.8670196404526695E-6</v>
      </c>
      <c r="L170" s="8">
        <f t="shared" si="36"/>
        <v>1.4269058385014701E-3</v>
      </c>
      <c r="M170" s="8">
        <f t="shared" si="37"/>
        <v>4.0946876620167397E-2</v>
      </c>
      <c r="N170" s="8">
        <f t="shared" si="38"/>
        <v>5.7062602001364801E-2</v>
      </c>
      <c r="O170">
        <v>5.0492234823460998E-2</v>
      </c>
      <c r="P170">
        <v>-3.5454694404964002E-2</v>
      </c>
      <c r="Q170">
        <v>3.1163658804363999E-2</v>
      </c>
      <c r="R170">
        <v>-6.5980120949892002E-2</v>
      </c>
      <c r="S170">
        <f t="shared" si="39"/>
        <v>1.1827105552361417</v>
      </c>
      <c r="T170">
        <f t="shared" si="40"/>
        <v>-29.641941846510118</v>
      </c>
      <c r="U170" s="9">
        <f t="shared" si="41"/>
        <v>1.0279329144698179</v>
      </c>
      <c r="V170" s="9">
        <f t="shared" si="42"/>
        <v>-0.58494288679884676</v>
      </c>
    </row>
    <row r="171" spans="1:22" x14ac:dyDescent="0.25">
      <c r="A171">
        <v>2.2000000000000002</v>
      </c>
      <c r="B171" s="1">
        <v>15.1</v>
      </c>
      <c r="C171">
        <v>-2.3672701764242E-2</v>
      </c>
      <c r="D171">
        <v>-2.6928172415598001E-2</v>
      </c>
      <c r="E171">
        <v>0.97633614655475998</v>
      </c>
      <c r="F171">
        <v>-2.9791758554042001E-2</v>
      </c>
      <c r="G171">
        <f t="shared" si="31"/>
        <v>8.1730312567876204</v>
      </c>
      <c r="H171">
        <f t="shared" si="32"/>
        <v>-10.3915468268781</v>
      </c>
      <c r="I171">
        <f t="shared" si="33"/>
        <v>8.1730377309275308</v>
      </c>
      <c r="J171">
        <f t="shared" si="34"/>
        <v>-10.3929786043433</v>
      </c>
      <c r="K171" s="8">
        <f t="shared" si="35"/>
        <v>-6.4741399103951397E-6</v>
      </c>
      <c r="L171" s="8">
        <f t="shared" si="36"/>
        <v>1.4317774651999599E-3</v>
      </c>
      <c r="M171" s="8">
        <f t="shared" si="37"/>
        <v>4.67531520472768E-2</v>
      </c>
      <c r="N171" s="8">
        <f t="shared" si="38"/>
        <v>5.9452130885711101E-2</v>
      </c>
      <c r="O171">
        <v>5.2142993519672998E-2</v>
      </c>
      <c r="P171">
        <v>-4.0273634662864002E-2</v>
      </c>
      <c r="Q171">
        <v>2.9977420762915E-2</v>
      </c>
      <c r="R171">
        <v>-7.1735344525162004E-2</v>
      </c>
      <c r="S171">
        <f t="shared" si="39"/>
        <v>1.1800386091678832</v>
      </c>
      <c r="T171">
        <f t="shared" si="40"/>
        <v>-29.639092880450356</v>
      </c>
      <c r="U171" s="9">
        <f t="shared" si="41"/>
        <v>1.0256396562761576</v>
      </c>
      <c r="V171" s="9">
        <f t="shared" si="42"/>
        <v>-0.58357040243709868</v>
      </c>
    </row>
    <row r="172" spans="1:22" x14ac:dyDescent="0.25">
      <c r="A172">
        <v>2.2000000000000002</v>
      </c>
      <c r="B172" s="1">
        <v>15.2</v>
      </c>
      <c r="C172">
        <v>-2.6897362527196E-2</v>
      </c>
      <c r="D172">
        <v>-2.7705691164406E-2</v>
      </c>
      <c r="E172">
        <v>0.97311001423490995</v>
      </c>
      <c r="F172">
        <v>-3.0572075774104E-2</v>
      </c>
      <c r="G172">
        <f t="shared" si="31"/>
        <v>8.0520919820088608</v>
      </c>
      <c r="H172">
        <f t="shared" si="32"/>
        <v>-9.2653470206278605</v>
      </c>
      <c r="I172">
        <f t="shared" si="33"/>
        <v>8.0520977243895295</v>
      </c>
      <c r="J172">
        <f t="shared" si="34"/>
        <v>-9.2667801994166403</v>
      </c>
      <c r="K172" s="8">
        <f t="shared" si="35"/>
        <v>-5.7423806687495497E-6</v>
      </c>
      <c r="L172" s="8">
        <f t="shared" si="36"/>
        <v>1.4331787887798E-3</v>
      </c>
      <c r="M172" s="8">
        <f t="shared" si="37"/>
        <v>5.3427939824099699E-2</v>
      </c>
      <c r="N172" s="8">
        <f t="shared" si="38"/>
        <v>6.1487700696668701E-2</v>
      </c>
      <c r="O172">
        <v>5.3446701322511003E-2</v>
      </c>
      <c r="P172">
        <v>-4.5749346830153997E-2</v>
      </c>
      <c r="Q172">
        <v>2.8060440704264E-2</v>
      </c>
      <c r="R172">
        <v>-7.7944831981295995E-2</v>
      </c>
      <c r="S172">
        <f t="shared" si="39"/>
        <v>1.1775171174700705</v>
      </c>
      <c r="T172">
        <f t="shared" si="40"/>
        <v>-29.638039076009584</v>
      </c>
      <c r="U172" s="9">
        <f t="shared" si="41"/>
        <v>1.0234587924516461</v>
      </c>
      <c r="V172" s="9">
        <f t="shared" si="42"/>
        <v>-0.58230461280024415</v>
      </c>
    </row>
    <row r="173" spans="1:22" x14ac:dyDescent="0.25">
      <c r="A173">
        <v>2.2000000000000002</v>
      </c>
      <c r="B173" s="1">
        <v>15.3</v>
      </c>
      <c r="C173">
        <v>-3.0530169141129E-2</v>
      </c>
      <c r="D173">
        <v>-2.8185029399802001E-2</v>
      </c>
      <c r="E173">
        <v>0.96947633518705001</v>
      </c>
      <c r="F173">
        <v>-3.1054472438048999E-2</v>
      </c>
      <c r="G173">
        <f t="shared" si="31"/>
        <v>7.9364722044035103</v>
      </c>
      <c r="H173">
        <f t="shared" si="32"/>
        <v>-8.1850514266022092</v>
      </c>
      <c r="I173">
        <f t="shared" si="33"/>
        <v>7.9364775149585398</v>
      </c>
      <c r="J173">
        <f t="shared" si="34"/>
        <v>-8.1864861358362493</v>
      </c>
      <c r="K173" s="8">
        <f t="shared" si="35"/>
        <v>-5.3105550295029502E-6</v>
      </c>
      <c r="L173" s="8">
        <f t="shared" si="36"/>
        <v>1.4347092340401E-3</v>
      </c>
      <c r="M173" s="8">
        <f t="shared" si="37"/>
        <v>6.1046901202134199E-2</v>
      </c>
      <c r="N173" s="8">
        <f t="shared" si="38"/>
        <v>6.2969952272289298E-2</v>
      </c>
      <c r="O173">
        <v>5.4242857886719002E-2</v>
      </c>
      <c r="P173">
        <v>-5.1916903861131E-2</v>
      </c>
      <c r="Q173">
        <v>2.5231304665394999E-2</v>
      </c>
      <c r="R173">
        <v>-8.4540599948451006E-2</v>
      </c>
      <c r="S173">
        <f t="shared" si="39"/>
        <v>1.175018699285642</v>
      </c>
      <c r="T173">
        <f t="shared" si="40"/>
        <v>-29.637311223671187</v>
      </c>
      <c r="U173" s="9">
        <f t="shared" si="41"/>
        <v>1.0212946317795357</v>
      </c>
      <c r="V173" s="9">
        <f t="shared" si="42"/>
        <v>-0.58105612359670056</v>
      </c>
    </row>
    <row r="174" spans="1:22" x14ac:dyDescent="0.25">
      <c r="A174">
        <v>2.2000000000000002</v>
      </c>
      <c r="B174" s="1">
        <v>15.4</v>
      </c>
      <c r="C174">
        <v>-3.4568952258332002E-2</v>
      </c>
      <c r="D174">
        <v>-2.8245363758428E-2</v>
      </c>
      <c r="E174">
        <v>0.96543694931413004</v>
      </c>
      <c r="F174">
        <v>-3.1118393371224001E-2</v>
      </c>
      <c r="G174">
        <f t="shared" si="31"/>
        <v>7.8258547345857803</v>
      </c>
      <c r="H174">
        <f t="shared" si="32"/>
        <v>-7.1487081520976901</v>
      </c>
      <c r="I174">
        <f t="shared" si="33"/>
        <v>7.8258597489155903</v>
      </c>
      <c r="J174">
        <f t="shared" si="34"/>
        <v>-7.15014465546213</v>
      </c>
      <c r="K174" s="8">
        <f t="shared" si="35"/>
        <v>-5.0143298100380198E-6</v>
      </c>
      <c r="L174" s="8">
        <f t="shared" si="36"/>
        <v>1.4365033644398999E-3</v>
      </c>
      <c r="M174" s="8">
        <f t="shared" si="37"/>
        <v>6.9644511974135695E-2</v>
      </c>
      <c r="N174" s="8">
        <f t="shared" si="38"/>
        <v>6.36311346038545E-2</v>
      </c>
      <c r="O174">
        <v>5.4326982244127998E-2</v>
      </c>
      <c r="P174">
        <v>-5.8772822163536999E-2</v>
      </c>
      <c r="Q174">
        <v>2.1289393488111E-2</v>
      </c>
      <c r="R174">
        <v>-9.1397506427325997E-2</v>
      </c>
      <c r="S174">
        <f t="shared" si="39"/>
        <v>1.172534191187613</v>
      </c>
      <c r="T174">
        <f t="shared" si="40"/>
        <v>-29.636712602422467</v>
      </c>
      <c r="U174" s="9">
        <f t="shared" si="41"/>
        <v>1.019141222133916</v>
      </c>
      <c r="V174" s="9">
        <f t="shared" si="42"/>
        <v>-0.57981686664961574</v>
      </c>
    </row>
    <row r="175" spans="1:22" x14ac:dyDescent="0.25">
      <c r="A175">
        <v>2.2000000000000002</v>
      </c>
      <c r="B175" s="1">
        <v>15.5</v>
      </c>
      <c r="C175">
        <v>-3.8978222624451997E-2</v>
      </c>
      <c r="D175">
        <v>-2.7745228786675E-2</v>
      </c>
      <c r="E175">
        <v>0.96102718316338998</v>
      </c>
      <c r="F175">
        <v>-3.0622504677564E-2</v>
      </c>
      <c r="G175">
        <f t="shared" si="31"/>
        <v>7.7199438393079802</v>
      </c>
      <c r="H175">
        <f t="shared" si="32"/>
        <v>-6.1541650048452796</v>
      </c>
      <c r="I175">
        <f t="shared" si="33"/>
        <v>7.7199486118526899</v>
      </c>
      <c r="J175">
        <f t="shared" si="34"/>
        <v>-6.1556036320363203</v>
      </c>
      <c r="K175" s="8">
        <f t="shared" si="35"/>
        <v>-4.7725447096524897E-6</v>
      </c>
      <c r="L175" s="8">
        <f t="shared" si="36"/>
        <v>1.43862719104071E-3</v>
      </c>
      <c r="M175" s="8">
        <f t="shared" si="37"/>
        <v>7.91878432559463E-2</v>
      </c>
      <c r="N175" s="8">
        <f t="shared" si="38"/>
        <v>6.3141479311277907E-2</v>
      </c>
      <c r="O175">
        <v>5.3459826962318997E-2</v>
      </c>
      <c r="P175">
        <v>-6.6257460863551998E-2</v>
      </c>
      <c r="Q175">
        <v>1.6032671278942999E-2</v>
      </c>
      <c r="R175">
        <v>-9.8313622051070998E-2</v>
      </c>
      <c r="S175">
        <f t="shared" si="39"/>
        <v>1.1700484564179519</v>
      </c>
      <c r="T175">
        <f t="shared" si="40"/>
        <v>-29.63624026812851</v>
      </c>
      <c r="U175" s="9">
        <f t="shared" si="41"/>
        <v>1.0169854452445304</v>
      </c>
      <c r="V175" s="9">
        <f t="shared" si="42"/>
        <v>-0.57857928974930983</v>
      </c>
    </row>
    <row r="176" spans="1:22" x14ac:dyDescent="0.25">
      <c r="A176">
        <v>2.2000000000000002</v>
      </c>
      <c r="B176">
        <v>15.6</v>
      </c>
      <c r="C176">
        <v>-4.3673640281325997E-2</v>
      </c>
      <c r="D176">
        <v>-2.6531123141248999E-2</v>
      </c>
      <c r="E176">
        <v>0.95633129459747002</v>
      </c>
      <c r="F176">
        <v>-2.9413357583446001E-2</v>
      </c>
      <c r="G176">
        <f t="shared" si="31"/>
        <v>7.6184702863967804</v>
      </c>
      <c r="H176">
        <f t="shared" si="32"/>
        <v>-5.1993199080024102</v>
      </c>
      <c r="I176">
        <f t="shared" si="33"/>
        <v>7.6184748306292303</v>
      </c>
      <c r="J176">
        <f t="shared" si="34"/>
        <v>-5.2007610151188803</v>
      </c>
      <c r="K176" s="8">
        <f t="shared" si="35"/>
        <v>-4.5442324498878903E-6</v>
      </c>
      <c r="L176" s="8">
        <f t="shared" si="36"/>
        <v>1.44110711647016E-3</v>
      </c>
      <c r="M176" s="8">
        <f t="shared" si="37"/>
        <v>8.9535289116626796E-2</v>
      </c>
      <c r="N176" s="8">
        <f t="shared" si="38"/>
        <v>6.1121372908268898E-2</v>
      </c>
      <c r="O176">
        <v>5.1381187647756003E-2</v>
      </c>
      <c r="P176">
        <v>-7.4228202699631998E-2</v>
      </c>
      <c r="Q176">
        <v>9.2879453395168007E-3</v>
      </c>
      <c r="R176">
        <v>-0.10499274680056001</v>
      </c>
      <c r="S176">
        <f t="shared" si="39"/>
        <v>1.1675544075800928</v>
      </c>
      <c r="T176">
        <f t="shared" si="40"/>
        <v>-29.635822923490021</v>
      </c>
      <c r="U176" s="9">
        <f t="shared" si="41"/>
        <v>1.0148218674442584</v>
      </c>
      <c r="V176" s="9">
        <f t="shared" si="42"/>
        <v>-0.57733861122970953</v>
      </c>
    </row>
    <row r="177" spans="1:22" x14ac:dyDescent="0.25">
      <c r="A177">
        <v>2.2000000000000002</v>
      </c>
      <c r="B177">
        <v>15.7</v>
      </c>
      <c r="C177">
        <v>-4.8507993172422E-2</v>
      </c>
      <c r="D177">
        <v>-2.4455679885518E-2</v>
      </c>
      <c r="E177">
        <v>0.95149642755283004</v>
      </c>
      <c r="F177">
        <v>-2.7343549719876001E-2</v>
      </c>
      <c r="G177">
        <f t="shared" si="31"/>
        <v>7.5211922167154901</v>
      </c>
      <c r="H177">
        <f t="shared" si="32"/>
        <v>-4.2821868423410399</v>
      </c>
      <c r="I177">
        <f t="shared" si="33"/>
        <v>7.5211965120031099</v>
      </c>
      <c r="J177">
        <f t="shared" si="34"/>
        <v>-4.2836307678645102</v>
      </c>
      <c r="K177" s="8">
        <f t="shared" si="35"/>
        <v>-4.2952876198043597E-6</v>
      </c>
      <c r="L177" s="8">
        <f t="shared" si="36"/>
        <v>1.4439255234703901E-3</v>
      </c>
      <c r="M177" s="8">
        <f t="shared" si="37"/>
        <v>0.100392530534859</v>
      </c>
      <c r="N177" s="8">
        <f t="shared" si="38"/>
        <v>5.7177675384041698E-2</v>
      </c>
      <c r="O177">
        <v>4.7841082350499997E-2</v>
      </c>
      <c r="P177">
        <v>-8.2435550764888996E-2</v>
      </c>
      <c r="Q177">
        <v>9.5557061066070005E-4</v>
      </c>
      <c r="R177">
        <v>-0.11103913582508</v>
      </c>
      <c r="S177">
        <f t="shared" si="39"/>
        <v>1.1650492595739379</v>
      </c>
      <c r="T177">
        <f t="shared" si="40"/>
        <v>-29.635475275448503</v>
      </c>
      <c r="U177" s="9">
        <f t="shared" si="41"/>
        <v>1.0126479235629742</v>
      </c>
      <c r="V177" s="9">
        <f t="shared" si="42"/>
        <v>-0.57609370777450564</v>
      </c>
    </row>
    <row r="178" spans="1:22" x14ac:dyDescent="0.25">
      <c r="A178">
        <v>2.2000000000000002</v>
      </c>
      <c r="B178">
        <v>15.8</v>
      </c>
      <c r="C178">
        <v>-5.3264595799731002E-2</v>
      </c>
      <c r="D178">
        <v>-2.1406470123364999E-2</v>
      </c>
      <c r="E178">
        <v>0.94673917040894995</v>
      </c>
      <c r="F178">
        <v>-2.4300606415163E-2</v>
      </c>
      <c r="G178">
        <f t="shared" si="31"/>
        <v>7.4278826872166697</v>
      </c>
      <c r="H178">
        <f t="shared" si="32"/>
        <v>-3.40090974536297</v>
      </c>
      <c r="I178">
        <f t="shared" si="33"/>
        <v>7.4278866643074899</v>
      </c>
      <c r="J178">
        <f t="shared" si="34"/>
        <v>-3.40235680502879</v>
      </c>
      <c r="K178" s="8">
        <f t="shared" si="35"/>
        <v>-3.9770908202285699E-6</v>
      </c>
      <c r="L178" s="8">
        <f t="shared" si="36"/>
        <v>1.44705966582004E-3</v>
      </c>
      <c r="M178" s="8">
        <f t="shared" si="37"/>
        <v>0.111279980962684</v>
      </c>
      <c r="N178" s="8">
        <f t="shared" si="38"/>
        <v>5.0971994808587898E-2</v>
      </c>
      <c r="O178">
        <v>4.2648419222985998E-2</v>
      </c>
      <c r="P178">
        <v>-9.0511505849207002E-2</v>
      </c>
      <c r="Q178">
        <v>-8.9356329187091008E-3</v>
      </c>
      <c r="R178">
        <v>-0.11597581955281</v>
      </c>
      <c r="S178">
        <f t="shared" si="39"/>
        <v>1.1625434128868322</v>
      </c>
      <c r="T178">
        <f t="shared" si="40"/>
        <v>-29.635286824874314</v>
      </c>
      <c r="U178" s="9">
        <f t="shared" si="41"/>
        <v>1.0104717600922313</v>
      </c>
      <c r="V178" s="9">
        <f t="shared" si="42"/>
        <v>-0.57485129285987679</v>
      </c>
    </row>
    <row r="179" spans="1:22" x14ac:dyDescent="0.25">
      <c r="A179">
        <v>2.2000000000000002</v>
      </c>
      <c r="B179">
        <v>15.9</v>
      </c>
      <c r="C179">
        <v>-5.7666029311242997E-2</v>
      </c>
      <c r="D179">
        <v>-1.7342235212600001E-2</v>
      </c>
      <c r="E179">
        <v>0.94233687828432</v>
      </c>
      <c r="F179">
        <v>-2.0243266917228001E-2</v>
      </c>
      <c r="G179">
        <f t="shared" si="31"/>
        <v>7.3383292715477797</v>
      </c>
      <c r="H179">
        <f t="shared" si="32"/>
        <v>-2.5537686075572199</v>
      </c>
      <c r="I179">
        <f t="shared" si="33"/>
        <v>7.3383328293260801</v>
      </c>
      <c r="J179">
        <f t="shared" si="34"/>
        <v>-2.5552191161401701</v>
      </c>
      <c r="K179" s="8">
        <f t="shared" si="35"/>
        <v>-3.5577783004114798E-6</v>
      </c>
      <c r="L179" s="8">
        <f t="shared" si="36"/>
        <v>1.4505085829501501E-3</v>
      </c>
      <c r="M179" s="8">
        <f t="shared" si="37"/>
        <v>0.121535269891672</v>
      </c>
      <c r="N179" s="8">
        <f t="shared" si="38"/>
        <v>4.2318773505531301E-2</v>
      </c>
      <c r="O179">
        <v>3.5732022787667003E-2</v>
      </c>
      <c r="P179">
        <v>-9.7982702579608005E-2</v>
      </c>
      <c r="Q179">
        <v>-2.0175855356915001E-2</v>
      </c>
      <c r="R179">
        <v>-0.11929434732199</v>
      </c>
      <c r="S179">
        <f t="shared" si="39"/>
        <v>1.1600631584066154</v>
      </c>
      <c r="T179">
        <f t="shared" si="40"/>
        <v>-29.635147226543722</v>
      </c>
      <c r="U179" s="9">
        <f t="shared" si="41"/>
        <v>1.0083173439171766</v>
      </c>
      <c r="V179" s="9">
        <f t="shared" si="42"/>
        <v>-0.57362240668242925</v>
      </c>
    </row>
    <row r="180" spans="1:22" x14ac:dyDescent="0.25">
      <c r="A180">
        <v>2.2000000000000002</v>
      </c>
      <c r="B180">
        <v>16</v>
      </c>
      <c r="C180">
        <v>-6.1404597029530002E-2</v>
      </c>
      <c r="D180">
        <v>-1.2326856359958E-2</v>
      </c>
      <c r="E180">
        <v>0.93859716879118005</v>
      </c>
      <c r="F180">
        <v>-1.5235298343268E-2</v>
      </c>
      <c r="G180">
        <f t="shared" si="31"/>
        <v>7.2523384564534803</v>
      </c>
      <c r="H180">
        <f t="shared" si="32"/>
        <v>-1.73916107518712</v>
      </c>
      <c r="I180">
        <f t="shared" si="33"/>
        <v>7.2523414541116802</v>
      </c>
      <c r="J180">
        <f t="shared" si="34"/>
        <v>-1.7406152905355701</v>
      </c>
      <c r="K180" s="8">
        <f t="shared" si="35"/>
        <v>-2.99765819988806E-6</v>
      </c>
      <c r="L180" s="8">
        <f t="shared" si="36"/>
        <v>1.4542153484500299E-3</v>
      </c>
      <c r="M180" s="8">
        <f t="shared" si="37"/>
        <v>0.13037636391552801</v>
      </c>
      <c r="N180" s="8">
        <f t="shared" si="38"/>
        <v>3.1291286268262997E-2</v>
      </c>
      <c r="O180">
        <v>2.7202275081278999E-2</v>
      </c>
      <c r="P180">
        <v>-0.10433159997109</v>
      </c>
      <c r="Q180">
        <v>-3.2348120461692997E-2</v>
      </c>
      <c r="R180">
        <v>-0.12054177209237001</v>
      </c>
      <c r="S180">
        <f t="shared" si="39"/>
        <v>1.1575523817887168</v>
      </c>
      <c r="T180">
        <f t="shared" si="40"/>
        <v>-29.635084191740649</v>
      </c>
      <c r="U180" s="9">
        <f t="shared" si="41"/>
        <v>1.0061356272704163</v>
      </c>
      <c r="V180" s="9">
        <f t="shared" si="42"/>
        <v>-0.57237978311772786</v>
      </c>
    </row>
    <row r="181" spans="1:22" x14ac:dyDescent="0.25">
      <c r="A181">
        <v>2.2000000000000002</v>
      </c>
      <c r="B181">
        <v>16.100000000000001</v>
      </c>
      <c r="C181">
        <v>-6.4193457562997006E-2</v>
      </c>
      <c r="D181">
        <v>-6.5460797891730002E-3</v>
      </c>
      <c r="E181">
        <v>0.93580672603822002</v>
      </c>
      <c r="F181">
        <v>-9.4620241923972E-3</v>
      </c>
      <c r="G181">
        <f t="shared" si="31"/>
        <v>7.1697264660038798</v>
      </c>
      <c r="H181">
        <f t="shared" si="32"/>
        <v>-0.95558320663723595</v>
      </c>
      <c r="I181">
        <f t="shared" si="33"/>
        <v>7.16972868348231</v>
      </c>
      <c r="J181">
        <f t="shared" si="34"/>
        <v>-0.95704117547198297</v>
      </c>
      <c r="K181" s="8">
        <f t="shared" si="35"/>
        <v>-2.2174784302109199E-6</v>
      </c>
      <c r="L181" s="8">
        <f t="shared" si="36"/>
        <v>1.45796883474703E-3</v>
      </c>
      <c r="M181" s="8">
        <f t="shared" si="37"/>
        <v>0.13703364401162299</v>
      </c>
      <c r="N181" s="8">
        <f t="shared" si="38"/>
        <v>1.8291743737281201E-2</v>
      </c>
      <c r="O181">
        <v>1.7372930858073E-2</v>
      </c>
      <c r="P181">
        <v>-0.10906759618316</v>
      </c>
      <c r="Q181">
        <v>-4.4851567585524998E-2</v>
      </c>
      <c r="R181">
        <v>-0.1194225917143</v>
      </c>
      <c r="S181">
        <f t="shared" si="39"/>
        <v>1.1550557024340133</v>
      </c>
      <c r="T181">
        <f t="shared" si="40"/>
        <v>-29.635061649857999</v>
      </c>
      <c r="U181" s="9">
        <f t="shared" si="41"/>
        <v>1.0039657574834322</v>
      </c>
      <c r="V181" s="9">
        <f t="shared" si="42"/>
        <v>-0.57114484461128612</v>
      </c>
    </row>
    <row r="182" spans="1:22" x14ac:dyDescent="0.25">
      <c r="A182">
        <v>2.2000000000000002</v>
      </c>
      <c r="B182">
        <v>16.2</v>
      </c>
      <c r="C182">
        <v>-6.5825703117646003E-2</v>
      </c>
      <c r="D182">
        <v>-2.9356444074272997E-4</v>
      </c>
      <c r="E182">
        <v>0.93417245185122</v>
      </c>
      <c r="F182">
        <v>-3.2167798021965001E-3</v>
      </c>
      <c r="G182">
        <f t="shared" si="31"/>
        <v>7.0903137232828701</v>
      </c>
      <c r="H182">
        <f t="shared" si="32"/>
        <v>-0.20165399093486899</v>
      </c>
      <c r="I182">
        <f t="shared" si="33"/>
        <v>7.0903149370647798</v>
      </c>
      <c r="J182">
        <f t="shared" si="34"/>
        <v>-0.20311559818987801</v>
      </c>
      <c r="K182" s="8">
        <f t="shared" si="35"/>
        <v>-1.2137819096480499E-6</v>
      </c>
      <c r="L182" s="8">
        <f t="shared" si="36"/>
        <v>1.4616072550090199E-3</v>
      </c>
      <c r="M182" s="8">
        <f t="shared" si="37"/>
        <v>0.14092181185880501</v>
      </c>
      <c r="N182" s="8">
        <f t="shared" si="38"/>
        <v>4.0369741496351702E-3</v>
      </c>
      <c r="O182">
        <v>6.7430381833125004E-3</v>
      </c>
      <c r="P182">
        <v>-0.11184459717542999</v>
      </c>
      <c r="Q182">
        <v>-5.6984429934035997E-2</v>
      </c>
      <c r="R182">
        <v>-0.11588439830969</v>
      </c>
      <c r="S182">
        <f t="shared" si="39"/>
        <v>1.1525201651091521</v>
      </c>
      <c r="T182">
        <f t="shared" si="40"/>
        <v>-29.635115766378362</v>
      </c>
      <c r="U182" s="9">
        <f t="shared" si="41"/>
        <v>1.0017613491796409</v>
      </c>
      <c r="V182" s="9">
        <f t="shared" si="42"/>
        <v>-0.56989203387397214</v>
      </c>
    </row>
    <row r="183" spans="1:22" x14ac:dyDescent="0.25">
      <c r="A183">
        <v>2.2000000000000002</v>
      </c>
      <c r="B183">
        <v>16.3</v>
      </c>
      <c r="C183">
        <v>-6.6219931193526996E-2</v>
      </c>
      <c r="D183">
        <v>6.0757662864746997E-3</v>
      </c>
      <c r="E183">
        <v>0.93377592878179005</v>
      </c>
      <c r="F183">
        <v>3.1452312212567001E-3</v>
      </c>
      <c r="G183">
        <f t="shared" si="31"/>
        <v>7.0139391420547001</v>
      </c>
      <c r="H183">
        <f t="shared" si="32"/>
        <v>0.52386704067690903</v>
      </c>
      <c r="I183">
        <f t="shared" si="33"/>
        <v>7.0139392190557501</v>
      </c>
      <c r="J183">
        <f t="shared" si="34"/>
        <v>0.52240177022400003</v>
      </c>
      <c r="K183" s="8">
        <f t="shared" si="35"/>
        <v>-7.7001049980651701E-8</v>
      </c>
      <c r="L183" s="8">
        <f t="shared" si="36"/>
        <v>1.4652704529090101E-3</v>
      </c>
      <c r="M183" s="8">
        <f t="shared" si="37"/>
        <v>0.141786694445732</v>
      </c>
      <c r="N183" s="8">
        <f t="shared" si="38"/>
        <v>-1.0560345315143899E-2</v>
      </c>
      <c r="O183">
        <v>-4.0859594528341999E-3</v>
      </c>
      <c r="P183">
        <v>-0.11251882836392001</v>
      </c>
      <c r="Q183">
        <v>-6.8067991730174998E-2</v>
      </c>
      <c r="R183">
        <v>-0.11014728496018</v>
      </c>
      <c r="S183">
        <f t="shared" si="39"/>
        <v>1.1500035308301957</v>
      </c>
      <c r="T183">
        <f t="shared" si="40"/>
        <v>-29.635224527652852</v>
      </c>
      <c r="U183" s="9">
        <f t="shared" si="41"/>
        <v>0.9995728312733182</v>
      </c>
      <c r="V183" s="9">
        <f t="shared" si="42"/>
        <v>-0.56864951938971975</v>
      </c>
    </row>
    <row r="184" spans="1:22" x14ac:dyDescent="0.25">
      <c r="A184">
        <v>2.2000000000000002</v>
      </c>
      <c r="B184">
        <v>16.399999999999999</v>
      </c>
      <c r="C184">
        <v>-6.5433489889984001E-2</v>
      </c>
      <c r="D184">
        <v>1.2210890312101E-2</v>
      </c>
      <c r="E184">
        <v>0.93455999242471</v>
      </c>
      <c r="F184">
        <v>9.2727419581038004E-3</v>
      </c>
      <c r="G184">
        <f t="shared" si="31"/>
        <v>6.9404679697288101</v>
      </c>
      <c r="H184">
        <f t="shared" si="32"/>
        <v>1.22212977349479</v>
      </c>
      <c r="I184">
        <f t="shared" si="33"/>
        <v>6.9404668690709297</v>
      </c>
      <c r="J184">
        <f t="shared" si="34"/>
        <v>1.2206606929133399</v>
      </c>
      <c r="K184" s="8">
        <f t="shared" si="35"/>
        <v>1.1006578803929299E-6</v>
      </c>
      <c r="L184" s="8">
        <f t="shared" si="36"/>
        <v>1.46908058145012E-3</v>
      </c>
      <c r="M184" s="8">
        <f t="shared" si="37"/>
        <v>0.13975944194745399</v>
      </c>
      <c r="N184" s="8">
        <f t="shared" si="38"/>
        <v>-2.4580314331447601E-2</v>
      </c>
      <c r="O184">
        <v>-1.4518120851055E-2</v>
      </c>
      <c r="P184">
        <v>-0.1111903137256</v>
      </c>
      <c r="Q184">
        <v>-7.7569835964267003E-2</v>
      </c>
      <c r="R184">
        <v>-0.10266088498078001</v>
      </c>
      <c r="S184">
        <f t="shared" si="39"/>
        <v>1.1474779058881504</v>
      </c>
      <c r="T184">
        <f t="shared" si="40"/>
        <v>-29.635409028355756</v>
      </c>
      <c r="U184" s="9">
        <f t="shared" si="41"/>
        <v>0.99737575344025531</v>
      </c>
      <c r="V184" s="9">
        <f t="shared" si="42"/>
        <v>-0.56740386934787268</v>
      </c>
    </row>
    <row r="185" spans="1:22" x14ac:dyDescent="0.25">
      <c r="A185">
        <v>2.2000000000000002</v>
      </c>
      <c r="B185">
        <v>16.5</v>
      </c>
      <c r="C185">
        <v>-6.3639153085113004E-2</v>
      </c>
      <c r="D185">
        <v>1.7824528743885001E-2</v>
      </c>
      <c r="E185">
        <v>0.93634965559825001</v>
      </c>
      <c r="F185">
        <v>1.4877266931479E-2</v>
      </c>
      <c r="G185">
        <f t="shared" si="31"/>
        <v>6.8696939006730702</v>
      </c>
      <c r="H185">
        <f t="shared" si="32"/>
        <v>1.89407580843642</v>
      </c>
      <c r="I185">
        <f t="shared" si="33"/>
        <v>6.8696904766032301</v>
      </c>
      <c r="J185">
        <f t="shared" si="34"/>
        <v>1.8926021642384001</v>
      </c>
      <c r="K185" s="8">
        <f t="shared" si="35"/>
        <v>3.4240698401077898E-6</v>
      </c>
      <c r="L185" s="8">
        <f t="shared" si="36"/>
        <v>1.4736441980198699E-3</v>
      </c>
      <c r="M185" s="8">
        <f t="shared" si="37"/>
        <v>0.13529780250375201</v>
      </c>
      <c r="N185" s="8">
        <f t="shared" si="38"/>
        <v>-3.7274592604631201E-2</v>
      </c>
      <c r="O185">
        <v>-2.4066143279835001E-2</v>
      </c>
      <c r="P185">
        <v>-0.10815200974605001</v>
      </c>
      <c r="Q185">
        <v>-8.5180555939774E-2</v>
      </c>
      <c r="R185">
        <v>-9.4004427041742999E-2</v>
      </c>
      <c r="S185">
        <f t="shared" si="39"/>
        <v>1.14494197046261</v>
      </c>
      <c r="T185">
        <f t="shared" si="40"/>
        <v>-29.635631622248503</v>
      </c>
      <c r="U185" s="9">
        <f t="shared" si="41"/>
        <v>0.99516934548428471</v>
      </c>
      <c r="V185" s="9">
        <f t="shared" si="42"/>
        <v>-0.56615376845445853</v>
      </c>
    </row>
    <row r="186" spans="1:22" x14ac:dyDescent="0.25">
      <c r="A186">
        <v>2.2000000000000002</v>
      </c>
      <c r="B186">
        <v>16.600000000000001</v>
      </c>
      <c r="C186">
        <v>-6.1077636784348001E-2</v>
      </c>
      <c r="D186">
        <v>2.2728657360328999E-2</v>
      </c>
      <c r="E186">
        <v>0.93891175468792998</v>
      </c>
      <c r="F186">
        <v>1.9771282761733001E-2</v>
      </c>
      <c r="G186">
        <f t="shared" si="31"/>
        <v>6.8018797885851301</v>
      </c>
      <c r="H186">
        <f t="shared" si="32"/>
        <v>2.5409689312944699</v>
      </c>
      <c r="I186">
        <f t="shared" si="33"/>
        <v>6.8018766708392597</v>
      </c>
      <c r="J186">
        <f t="shared" si="34"/>
        <v>2.5394902315415799</v>
      </c>
      <c r="K186" s="8">
        <f t="shared" si="35"/>
        <v>3.1177458703624001E-6</v>
      </c>
      <c r="L186" s="8">
        <f t="shared" si="36"/>
        <v>1.47869975288994E-3</v>
      </c>
      <c r="M186" s="8">
        <f t="shared" si="37"/>
        <v>0.129032275976211</v>
      </c>
      <c r="N186" s="8">
        <f t="shared" si="38"/>
        <v>-4.8174381902566003E-2</v>
      </c>
      <c r="O186">
        <v>-3.2409773179486998E-2</v>
      </c>
      <c r="P186">
        <v>-0.10381017416971999</v>
      </c>
      <c r="Q186">
        <v>-9.0825464521614996E-2</v>
      </c>
      <c r="R186">
        <v>-8.4770611452774994E-2</v>
      </c>
      <c r="S186">
        <f t="shared" si="39"/>
        <v>1.1424088010151363</v>
      </c>
      <c r="T186">
        <f t="shared" si="40"/>
        <v>-29.63639113033047</v>
      </c>
      <c r="U186" s="9">
        <f t="shared" si="41"/>
        <v>0.99296005768159767</v>
      </c>
      <c r="V186" s="9">
        <f t="shared" si="42"/>
        <v>-0.56491432313741141</v>
      </c>
    </row>
    <row r="187" spans="1:22" x14ac:dyDescent="0.25">
      <c r="A187">
        <v>2.2000000000000002</v>
      </c>
      <c r="B187">
        <v>16.7</v>
      </c>
      <c r="C187">
        <v>-5.8006258625744003E-2</v>
      </c>
      <c r="D187">
        <v>2.6838686217813001E-2</v>
      </c>
      <c r="E187">
        <v>0.94198132319768002</v>
      </c>
      <c r="F187">
        <v>2.3871836307650999E-2</v>
      </c>
      <c r="G187">
        <f t="shared" si="31"/>
        <v>6.73648021965443</v>
      </c>
      <c r="H187">
        <f t="shared" si="32"/>
        <v>3.1635583179915301</v>
      </c>
      <c r="I187">
        <f t="shared" si="33"/>
        <v>6.7364762111133496</v>
      </c>
      <c r="J187">
        <f t="shared" si="34"/>
        <v>3.1620748778792702</v>
      </c>
      <c r="K187" s="8">
        <f t="shared" si="35"/>
        <v>4.0085410804024903E-6</v>
      </c>
      <c r="L187" s="8">
        <f t="shared" si="36"/>
        <v>1.48344011225987E-3</v>
      </c>
      <c r="M187" s="8">
        <f t="shared" si="37"/>
        <v>0.121643528748397</v>
      </c>
      <c r="N187" s="8">
        <f t="shared" si="38"/>
        <v>-5.70989838392554E-2</v>
      </c>
      <c r="O187">
        <v>-3.9406320558321002E-2</v>
      </c>
      <c r="P187">
        <v>-9.8602494366159005E-2</v>
      </c>
      <c r="Q187">
        <v>-9.4622851892814996E-2</v>
      </c>
      <c r="R187">
        <v>-7.5479739617786007E-2</v>
      </c>
      <c r="S187">
        <f t="shared" si="39"/>
        <v>1.1398942806267796</v>
      </c>
      <c r="T187">
        <f t="shared" si="40"/>
        <v>-29.636935735427699</v>
      </c>
      <c r="U187" s="9">
        <f t="shared" si="41"/>
        <v>0.99076912643950166</v>
      </c>
      <c r="V187" s="9">
        <f t="shared" si="42"/>
        <v>-0.56368032527306633</v>
      </c>
    </row>
    <row r="188" spans="1:22" x14ac:dyDescent="0.25">
      <c r="A188">
        <v>2.2000000000000002</v>
      </c>
      <c r="B188">
        <v>16.8</v>
      </c>
      <c r="C188">
        <v>-5.4659326169318997E-2</v>
      </c>
      <c r="D188">
        <v>3.0156572424231001E-2</v>
      </c>
      <c r="E188">
        <v>0.94532663831733998</v>
      </c>
      <c r="F188">
        <v>2.7179778436152002E-2</v>
      </c>
      <c r="G188">
        <f t="shared" si="31"/>
        <v>6.6735484440859496</v>
      </c>
      <c r="H188">
        <f t="shared" si="32"/>
        <v>3.76270196126156</v>
      </c>
      <c r="I188">
        <f t="shared" si="33"/>
        <v>6.6735436416473704</v>
      </c>
      <c r="J188">
        <f t="shared" si="34"/>
        <v>3.76121354667425</v>
      </c>
      <c r="K188" s="8">
        <f t="shared" si="35"/>
        <v>4.8024385792544396E-6</v>
      </c>
      <c r="L188" s="8">
        <f t="shared" si="36"/>
        <v>1.4884145873099699E-3</v>
      </c>
      <c r="M188" s="8">
        <f t="shared" si="37"/>
        <v>0.113722093962801</v>
      </c>
      <c r="N188" s="8">
        <f t="shared" si="38"/>
        <v>-6.4093846288755696E-2</v>
      </c>
      <c r="O188">
        <v>-4.5058622025946002E-2</v>
      </c>
      <c r="P188">
        <v>-9.2926837140494004E-2</v>
      </c>
      <c r="Q188">
        <v>-9.6810655703248996E-2</v>
      </c>
      <c r="R188">
        <v>-6.6522416500537002E-2</v>
      </c>
      <c r="S188">
        <f t="shared" si="39"/>
        <v>1.1373825172470757</v>
      </c>
      <c r="T188">
        <f t="shared" si="40"/>
        <v>-29.637561588403674</v>
      </c>
      <c r="U188" s="9">
        <f t="shared" si="41"/>
        <v>0.98857981748374879</v>
      </c>
      <c r="V188" s="9">
        <f t="shared" si="42"/>
        <v>-0.56244905102870646</v>
      </c>
    </row>
    <row r="189" spans="1:22" x14ac:dyDescent="0.25">
      <c r="A189">
        <v>2.2000000000000002</v>
      </c>
      <c r="B189">
        <v>16.899999999999999</v>
      </c>
      <c r="C189">
        <v>-5.1226524080489999E-2</v>
      </c>
      <c r="D189">
        <v>3.2742760389163003E-2</v>
      </c>
      <c r="E189">
        <v>0.94876285721642994</v>
      </c>
      <c r="F189">
        <v>2.9752898346940001E-2</v>
      </c>
      <c r="G189">
        <f t="shared" si="31"/>
        <v>6.6133059192585701</v>
      </c>
      <c r="H189">
        <f t="shared" si="32"/>
        <v>4.3393648251154904</v>
      </c>
      <c r="I189">
        <f t="shared" si="33"/>
        <v>6.6133028447282101</v>
      </c>
      <c r="J189">
        <f t="shared" si="34"/>
        <v>4.33786988156099</v>
      </c>
      <c r="K189" s="8">
        <f t="shared" si="35"/>
        <v>3.0745303600809801E-6</v>
      </c>
      <c r="L189" s="8">
        <f t="shared" si="36"/>
        <v>1.4949435545004201E-3</v>
      </c>
      <c r="M189" s="8">
        <f t="shared" si="37"/>
        <v>0.10572337879716701</v>
      </c>
      <c r="N189" s="8">
        <f t="shared" si="38"/>
        <v>-6.9347234117167103E-2</v>
      </c>
      <c r="O189">
        <v>-4.9469487002817003E-2</v>
      </c>
      <c r="P189">
        <v>-8.7105222891117995E-2</v>
      </c>
      <c r="Q189">
        <v>-9.7682162941891998E-2</v>
      </c>
      <c r="R189">
        <v>-5.8155964058160002E-2</v>
      </c>
      <c r="S189">
        <f t="shared" si="39"/>
        <v>1.134875442860207</v>
      </c>
      <c r="T189">
        <f t="shared" si="40"/>
        <v>-29.638709788694506</v>
      </c>
      <c r="U189" s="9">
        <f t="shared" si="41"/>
        <v>0.98638949455144342</v>
      </c>
      <c r="V189" s="9">
        <f t="shared" si="42"/>
        <v>-0.56122904045113242</v>
      </c>
    </row>
    <row r="190" spans="1:22" x14ac:dyDescent="0.25">
      <c r="A190">
        <v>2.2000000000000002</v>
      </c>
      <c r="B190">
        <v>17</v>
      </c>
      <c r="C190">
        <v>-4.7846987309685E-2</v>
      </c>
      <c r="D190">
        <v>3.4689233365113002E-2</v>
      </c>
      <c r="E190">
        <v>0.95213969504526996</v>
      </c>
      <c r="F190">
        <v>3.1688993163774E-2</v>
      </c>
      <c r="G190">
        <f t="shared" si="31"/>
        <v>6.5549639839406204</v>
      </c>
      <c r="H190">
        <f t="shared" si="32"/>
        <v>4.8937508009634101</v>
      </c>
      <c r="I190">
        <f t="shared" si="33"/>
        <v>6.55495957547397</v>
      </c>
      <c r="J190">
        <f t="shared" si="34"/>
        <v>4.8922506642603798</v>
      </c>
      <c r="K190" s="8">
        <f t="shared" si="35"/>
        <v>4.4084666503962896E-6</v>
      </c>
      <c r="L190" s="8">
        <f t="shared" si="36"/>
        <v>1.50013670303029E-3</v>
      </c>
      <c r="M190" s="8">
        <f t="shared" si="37"/>
        <v>9.7979098244393298E-2</v>
      </c>
      <c r="N190" s="8">
        <f t="shared" si="38"/>
        <v>-7.3126051038248596E-2</v>
      </c>
      <c r="O190">
        <v>-5.2794985143056999E-2</v>
      </c>
      <c r="P190">
        <v>-8.1374335894043998E-2</v>
      </c>
      <c r="Q190">
        <v>-9.7530467074666005E-2</v>
      </c>
      <c r="R190">
        <v>-5.0523485407319997E-2</v>
      </c>
      <c r="S190">
        <f t="shared" si="39"/>
        <v>1.1323650209976845</v>
      </c>
      <c r="T190">
        <f t="shared" si="40"/>
        <v>-29.639422935447509</v>
      </c>
      <c r="U190" s="9">
        <f t="shared" si="41"/>
        <v>0.98420056362485975</v>
      </c>
      <c r="V190" s="9">
        <f t="shared" si="42"/>
        <v>-0.55999981369603591</v>
      </c>
    </row>
    <row r="191" spans="1:22" x14ac:dyDescent="0.25">
      <c r="A191">
        <v>2.4</v>
      </c>
      <c r="B191">
        <v>15</v>
      </c>
      <c r="C191">
        <v>-2.3803877902902001E-2</v>
      </c>
      <c r="D191">
        <v>-3.0833512618463999E-2</v>
      </c>
      <c r="E191">
        <v>0.97624053516278997</v>
      </c>
      <c r="F191">
        <v>-3.3946454109399997E-2</v>
      </c>
      <c r="G191">
        <f t="shared" si="31"/>
        <v>6.8641983477776298</v>
      </c>
      <c r="H191">
        <f t="shared" si="32"/>
        <v>-10.0290745023235</v>
      </c>
      <c r="I191">
        <f t="shared" si="33"/>
        <v>6.8642229762513001</v>
      </c>
      <c r="J191">
        <f t="shared" si="34"/>
        <v>-10.0306309001733</v>
      </c>
      <c r="K191" s="8">
        <f t="shared" si="35"/>
        <v>-2.4628473670240701E-5</v>
      </c>
      <c r="L191" s="8">
        <f t="shared" si="36"/>
        <v>1.55639784980011E-3</v>
      </c>
      <c r="M191" s="8">
        <f t="shared" si="37"/>
        <v>4.6464301404361003E-2</v>
      </c>
      <c r="N191" s="8">
        <f t="shared" si="38"/>
        <v>6.7897890123038596E-2</v>
      </c>
      <c r="O191">
        <v>5.4496949397032E-2</v>
      </c>
      <c r="P191">
        <v>-3.7604943577309001E-2</v>
      </c>
      <c r="Q191">
        <v>3.3693480320448999E-2</v>
      </c>
      <c r="R191">
        <v>-6.9763524240543995E-2</v>
      </c>
      <c r="S191">
        <f t="shared" si="39"/>
        <v>1.1700852786603553</v>
      </c>
      <c r="T191">
        <f t="shared" si="40"/>
        <v>-29.613855732121799</v>
      </c>
      <c r="U191" s="9">
        <f t="shared" si="41"/>
        <v>1.0172434215665664</v>
      </c>
      <c r="V191" s="9">
        <f t="shared" si="42"/>
        <v>-0.57820012159911038</v>
      </c>
    </row>
    <row r="192" spans="1:22" x14ac:dyDescent="0.25">
      <c r="A192">
        <v>2.4</v>
      </c>
      <c r="B192" s="1">
        <v>15.1</v>
      </c>
      <c r="C192">
        <v>-2.6998613851759001E-2</v>
      </c>
      <c r="D192">
        <v>-3.2005233607466002E-2</v>
      </c>
      <c r="E192">
        <v>0.97304705599444996</v>
      </c>
      <c r="F192">
        <v>-3.5130604677839003E-2</v>
      </c>
      <c r="G192">
        <f t="shared" si="31"/>
        <v>6.7730556510990096</v>
      </c>
      <c r="H192">
        <f t="shared" si="32"/>
        <v>-9.0496253168804905</v>
      </c>
      <c r="I192">
        <f t="shared" si="33"/>
        <v>6.7730809273135302</v>
      </c>
      <c r="J192">
        <f t="shared" si="34"/>
        <v>-9.0511879272347997</v>
      </c>
      <c r="K192" s="8">
        <f t="shared" si="35"/>
        <v>-2.5276214520531001E-5</v>
      </c>
      <c r="L192" s="8">
        <f t="shared" si="36"/>
        <v>1.56261035430916E-3</v>
      </c>
      <c r="M192" s="8">
        <f t="shared" si="37"/>
        <v>5.29980722467902E-2</v>
      </c>
      <c r="N192" s="8">
        <f t="shared" si="38"/>
        <v>7.0823826975463494E-2</v>
      </c>
      <c r="O192">
        <v>5.6271513707028001E-2</v>
      </c>
      <c r="P192">
        <v>-4.2600372634790003E-2</v>
      </c>
      <c r="Q192">
        <v>3.2569418611805998E-2</v>
      </c>
      <c r="R192">
        <v>-7.5776364828242002E-2</v>
      </c>
      <c r="S192">
        <f t="shared" si="39"/>
        <v>1.1686228507660574</v>
      </c>
      <c r="T192">
        <f t="shared" si="40"/>
        <v>-29.613938914830605</v>
      </c>
      <c r="U192" s="9">
        <f t="shared" si="41"/>
        <v>1.0159711842606407</v>
      </c>
      <c r="V192" s="9">
        <f t="shared" si="42"/>
        <v>-0.57747893475400303</v>
      </c>
    </row>
    <row r="193" spans="1:22" x14ac:dyDescent="0.25">
      <c r="A193">
        <v>2.4</v>
      </c>
      <c r="B193" s="1">
        <v>15.2</v>
      </c>
      <c r="C193">
        <v>-3.0606452247447E-2</v>
      </c>
      <c r="D193">
        <v>-3.2956447118743001E-2</v>
      </c>
      <c r="E193">
        <v>0.96944033989272005</v>
      </c>
      <c r="F193">
        <v>-3.6095195738728998E-2</v>
      </c>
      <c r="G193">
        <f t="shared" si="31"/>
        <v>6.6880319760429998</v>
      </c>
      <c r="H193">
        <f t="shared" si="32"/>
        <v>-8.1139424532844799</v>
      </c>
      <c r="I193">
        <f t="shared" si="33"/>
        <v>6.6880578343225201</v>
      </c>
      <c r="J193">
        <f t="shared" si="34"/>
        <v>-8.1155117502977703</v>
      </c>
      <c r="K193" s="8">
        <f t="shared" si="35"/>
        <v>-2.5858279520285501E-5</v>
      </c>
      <c r="L193" s="8">
        <f t="shared" si="36"/>
        <v>1.5692970132903401E-3</v>
      </c>
      <c r="M193" s="8">
        <f t="shared" si="37"/>
        <v>6.0475252165393303E-2</v>
      </c>
      <c r="N193" s="8">
        <f t="shared" si="38"/>
        <v>7.3382681745332898E-2</v>
      </c>
      <c r="O193">
        <v>5.7750225028607001E-2</v>
      </c>
      <c r="P193">
        <v>-4.8279451016581001E-2</v>
      </c>
      <c r="Q193">
        <v>3.0730401432059001E-2</v>
      </c>
      <c r="R193">
        <v>-8.2232652144022006E-2</v>
      </c>
      <c r="S193">
        <f t="shared" si="39"/>
        <v>1.1662520463882984</v>
      </c>
      <c r="T193">
        <f t="shared" si="40"/>
        <v>-29.613471045660123</v>
      </c>
      <c r="U193" s="9">
        <f t="shared" si="41"/>
        <v>1.013914772837025</v>
      </c>
      <c r="V193" s="9">
        <f t="shared" si="42"/>
        <v>-0.57629911428678893</v>
      </c>
    </row>
    <row r="194" spans="1:22" x14ac:dyDescent="0.25">
      <c r="A194">
        <v>2.4</v>
      </c>
      <c r="B194" s="1">
        <v>15.3</v>
      </c>
      <c r="C194">
        <v>-3.4660122517973999E-2</v>
      </c>
      <c r="D194">
        <v>-3.3595605762293E-2</v>
      </c>
      <c r="E194">
        <v>0.96538755101003004</v>
      </c>
      <c r="F194">
        <v>-3.6748948181764003E-2</v>
      </c>
      <c r="G194">
        <f t="shared" si="31"/>
        <v>6.6070196301377599</v>
      </c>
      <c r="H194">
        <f t="shared" si="32"/>
        <v>-7.2162247391410999</v>
      </c>
      <c r="I194">
        <f t="shared" si="33"/>
        <v>6.6070459520417604</v>
      </c>
      <c r="J194">
        <f t="shared" si="34"/>
        <v>-7.2178013312690004</v>
      </c>
      <c r="K194" s="8">
        <f t="shared" si="35"/>
        <v>-2.6321904000425899E-5</v>
      </c>
      <c r="L194" s="8">
        <f t="shared" si="36"/>
        <v>1.57659212790051E-3</v>
      </c>
      <c r="M194" s="8">
        <f t="shared" si="37"/>
        <v>6.90032982387115E-2</v>
      </c>
      <c r="N194" s="8">
        <f t="shared" si="38"/>
        <v>7.5381963664928303E-2</v>
      </c>
      <c r="O194">
        <v>5.8744199098596003E-2</v>
      </c>
      <c r="P194">
        <v>-5.4663920947163998E-2</v>
      </c>
      <c r="Q194">
        <v>2.8001194904125001E-2</v>
      </c>
      <c r="R194">
        <v>-8.9092130928437999E-2</v>
      </c>
      <c r="S194">
        <f t="shared" si="39"/>
        <v>1.1638175478725206</v>
      </c>
      <c r="T194">
        <f t="shared" si="40"/>
        <v>-29.612876551106403</v>
      </c>
      <c r="U194" s="9">
        <f t="shared" si="41"/>
        <v>1.0118042385831001</v>
      </c>
      <c r="V194" s="9">
        <f t="shared" si="42"/>
        <v>-0.57508561755731613</v>
      </c>
    </row>
    <row r="195" spans="1:22" x14ac:dyDescent="0.25">
      <c r="A195">
        <v>2.4</v>
      </c>
      <c r="B195" s="1">
        <v>15.4</v>
      </c>
      <c r="C195">
        <v>-3.9166618913142999E-2</v>
      </c>
      <c r="D195">
        <v>-3.3799563147799E-2</v>
      </c>
      <c r="E195">
        <v>0.96088149628831998</v>
      </c>
      <c r="F195">
        <v>-3.6968797843459002E-2</v>
      </c>
      <c r="G195">
        <f t="shared" ref="G195:G258" si="43">IMREAL(IMDIV(IMSUM(IMPRODUCT(COMPLEX(1 + C195,D195),COMPLEX(1 - C195, - D195)),IMPRODUCT(COMPLEX(E195,F195),COMPLEX(E195,F195))),IMSUB(IMPRODUCT(COMPLEX(1 - C195, - D195),COMPLEX(1 - C195, - D195)),IMPRODUCT(COMPLEX(E195,F195),COMPLEX(E195,F195)))))</f>
        <v>6.5294454070457002</v>
      </c>
      <c r="H195">
        <f t="shared" ref="H195:H258" si="44">IMAGINARY(IMDIV(IMSUM(IMPRODUCT(COMPLEX(1 + C195,D195),COMPLEX(1 - C195, - D195)),IMPRODUCT(COMPLEX(E195,F195),COMPLEX(E195,F195))),IMSUB(IMPRODUCT(COMPLEX(1 - C195, - D195),COMPLEX(1 - C195, - D195)),IMPRODUCT(COMPLEX(E195,F195),COMPLEX(E195,F195)))))</f>
        <v>-6.3537135881835702</v>
      </c>
      <c r="I195">
        <f t="shared" ref="I195:I258" si="45">IMREAL(IMDIV(IMPRODUCT(COMPLEX(2,0),COMPLEX(E195,F195)),IMSUB(IMPRODUCT(COMPLEX(1 - C195, - D195),COMPLEX(1 - C195, - D195)),IMPRODUCT(COMPLEX(E195,F195),COMPLEX(E195,F195)))))</f>
        <v>6.52947197489231</v>
      </c>
      <c r="J195">
        <f t="shared" ref="J195:J258" si="46">IMAGINARY(IMDIV(IMPRODUCT(COMPLEX(2,0),COMPLEX(E195,F195)),IMSUB(IMPRODUCT(COMPLEX(1 - C195, - D195),COMPLEX(1 - C195, - D195)),IMPRODUCT(COMPLEX(E195,F195),COMPLEX(E195,F195)))))</f>
        <v>-6.3552981253113803</v>
      </c>
      <c r="K195" s="8">
        <f t="shared" ref="K195:K258" si="47">IMREAL(IMSUB(COMPLEX(G195,H195),COMPLEX(I195,J195)))</f>
        <v>-2.6567846609815101E-5</v>
      </c>
      <c r="L195" s="8">
        <f t="shared" ref="L195:L258" si="48">IMAGINARY(IMSUB(COMPLEX(G195,H195),COMPLEX(I195,J195)))</f>
        <v>1.5845371278100399E-3</v>
      </c>
      <c r="M195" s="8">
        <f t="shared" ref="M195:M258" si="49">IMREAL(IMDIV(IMSUB(IMPRODUCT(COMPLEX(1 - C195, - D195),COMPLEX(1 - C195, - D195)),IMPRODUCT(COMPLEX(E195,F195),COMPLEX(E195,F195))),IMPRODUCT(COMPLEX(2,0),COMPLEX(E195,F195))))</f>
        <v>7.8645768049527595E-2</v>
      </c>
      <c r="N195" s="8">
        <f t="shared" ref="N195:N258" si="50">IMAGINARY(IMDIV(IMSUB(IMPRODUCT(COMPLEX(1 - C195, - D195),COMPLEX(1 - C195, - D195)),IMPRODUCT(COMPLEX(E195,F195),COMPLEX(E195,F195))),IMPRODUCT(COMPLEX(2,0),COMPLEX(E195,F195))))</f>
        <v>7.6547889962737703E-2</v>
      </c>
      <c r="O195">
        <v>5.9054945817827997E-2</v>
      </c>
      <c r="P195">
        <v>-6.1762319060433002E-2</v>
      </c>
      <c r="Q195">
        <v>2.4183525084241E-2</v>
      </c>
      <c r="R195">
        <v>-9.6251066168729998E-2</v>
      </c>
      <c r="S195">
        <f t="shared" ref="S195:S258" si="51">IMABS(COMPLEX(Q195,R195))/IMABS(COMPLEX(O195,P195))</f>
        <v>1.1613830717472933</v>
      </c>
      <c r="T195">
        <f t="shared" ref="T195:T258" si="52">IMARGUMENT(IMDIV(COMPLEX(Q195,R195),COMPLEX(O195/B195,P195/B195)))/PI()*180</f>
        <v>-29.612404187670862</v>
      </c>
      <c r="U195" s="9">
        <f t="shared" ref="U195:U258" si="53">S195*COS(T195/180*PI())</f>
        <v>1.0096924754598877</v>
      </c>
      <c r="V195" s="9">
        <f t="shared" ref="V195:V258" si="54">S195*SIN(T195/180*PI())</f>
        <v>-0.57387432800297167</v>
      </c>
    </row>
    <row r="196" spans="1:22" x14ac:dyDescent="0.25">
      <c r="A196">
        <v>2.4</v>
      </c>
      <c r="B196" s="1">
        <v>15.5</v>
      </c>
      <c r="C196">
        <v>-4.4098831931464001E-2</v>
      </c>
      <c r="D196">
        <v>-3.3420870061191002E-2</v>
      </c>
      <c r="E196">
        <v>0.95594908897021003</v>
      </c>
      <c r="F196">
        <v>-3.6607299023215002E-2</v>
      </c>
      <c r="G196">
        <f t="shared" si="43"/>
        <v>6.4549738027099099</v>
      </c>
      <c r="H196">
        <f t="shared" si="44"/>
        <v>-5.5244039936841798</v>
      </c>
      <c r="I196">
        <f t="shared" si="45"/>
        <v>6.4550003007301804</v>
      </c>
      <c r="J196">
        <f t="shared" si="46"/>
        <v>-5.5259971277759696</v>
      </c>
      <c r="K196" s="8">
        <f t="shared" si="47"/>
        <v>-2.6498020270437899E-5</v>
      </c>
      <c r="L196" s="8">
        <f t="shared" si="48"/>
        <v>1.59313409178985E-3</v>
      </c>
      <c r="M196" s="8">
        <f t="shared" si="49"/>
        <v>8.93998881239466E-2</v>
      </c>
      <c r="N196" s="8">
        <f t="shared" si="50"/>
        <v>7.6533462739039507E-2</v>
      </c>
      <c r="O196">
        <v>5.8449887255755999E-2</v>
      </c>
      <c r="P196">
        <v>-6.9532316648917E-2</v>
      </c>
      <c r="Q196">
        <v>1.9073997668577002E-2</v>
      </c>
      <c r="R196">
        <v>-0.10353084413582</v>
      </c>
      <c r="S196">
        <f t="shared" si="51"/>
        <v>1.1589405887240225</v>
      </c>
      <c r="T196">
        <f t="shared" si="52"/>
        <v>-29.612074760086017</v>
      </c>
      <c r="U196" s="9">
        <f t="shared" si="53"/>
        <v>1.0075723026831149</v>
      </c>
      <c r="V196" s="9">
        <f t="shared" si="54"/>
        <v>-0.57266163050952645</v>
      </c>
    </row>
    <row r="197" spans="1:22" x14ac:dyDescent="0.25">
      <c r="A197">
        <v>2.4</v>
      </c>
      <c r="B197">
        <v>15.6</v>
      </c>
      <c r="C197">
        <v>-4.9381481532690001E-2</v>
      </c>
      <c r="D197">
        <v>-3.2295854650277997E-2</v>
      </c>
      <c r="E197">
        <v>0.95066652223462</v>
      </c>
      <c r="F197">
        <v>-3.5504191456032001E-2</v>
      </c>
      <c r="G197">
        <f t="shared" si="43"/>
        <v>6.3831601587679403</v>
      </c>
      <c r="H197">
        <f t="shared" si="44"/>
        <v>-4.7267436122120197</v>
      </c>
      <c r="I197">
        <f t="shared" si="45"/>
        <v>6.38318673323987</v>
      </c>
      <c r="J197">
        <f t="shared" si="46"/>
        <v>-4.7283476994838498</v>
      </c>
      <c r="K197" s="8">
        <f t="shared" si="47"/>
        <v>-2.6574471929663402E-5</v>
      </c>
      <c r="L197" s="8">
        <f t="shared" si="48"/>
        <v>1.6040872718301501E-3</v>
      </c>
      <c r="M197" s="8">
        <f t="shared" si="49"/>
        <v>0.10115609411289</v>
      </c>
      <c r="N197" s="8">
        <f t="shared" si="50"/>
        <v>7.4931410418677902E-2</v>
      </c>
      <c r="O197">
        <v>5.6670852139109003E-2</v>
      </c>
      <c r="P197">
        <v>-7.7855152967059998E-2</v>
      </c>
      <c r="Q197">
        <v>1.2489680204298E-2</v>
      </c>
      <c r="R197">
        <v>-0.11066395391540999</v>
      </c>
      <c r="S197">
        <f t="shared" si="51"/>
        <v>1.1564964269199494</v>
      </c>
      <c r="T197">
        <f t="shared" si="52"/>
        <v>-29.611685207629833</v>
      </c>
      <c r="U197" s="9">
        <f t="shared" si="53"/>
        <v>1.0054512561373199</v>
      </c>
      <c r="V197" s="9">
        <f t="shared" si="54"/>
        <v>-0.57144707279895612</v>
      </c>
    </row>
    <row r="198" spans="1:22" x14ac:dyDescent="0.25">
      <c r="A198">
        <v>2.4</v>
      </c>
      <c r="B198">
        <v>15.7</v>
      </c>
      <c r="C198">
        <v>-5.4876034510311998E-2</v>
      </c>
      <c r="D198">
        <v>-3.0260526168277999E-2</v>
      </c>
      <c r="E198">
        <v>0.94516978432428</v>
      </c>
      <c r="F198">
        <v>-3.3488140344380003E-2</v>
      </c>
      <c r="G198">
        <f t="shared" si="43"/>
        <v>6.3143135491597704</v>
      </c>
      <c r="H198">
        <f t="shared" si="44"/>
        <v>-3.9588965656770201</v>
      </c>
      <c r="I198">
        <f t="shared" si="45"/>
        <v>6.3143390622398003</v>
      </c>
      <c r="J198">
        <f t="shared" si="46"/>
        <v>-3.9605102946223001</v>
      </c>
      <c r="K198" s="8">
        <f t="shared" si="47"/>
        <v>-2.5513080029959701E-5</v>
      </c>
      <c r="L198" s="8">
        <f t="shared" si="48"/>
        <v>1.6137289452799999E-3</v>
      </c>
      <c r="M198" s="8">
        <f t="shared" si="49"/>
        <v>0.113656130895343</v>
      </c>
      <c r="N198" s="8">
        <f t="shared" si="50"/>
        <v>7.1287948274712007E-2</v>
      </c>
      <c r="O198">
        <v>5.3458346824646001E-2</v>
      </c>
      <c r="P198">
        <v>-8.6512375400023003E-2</v>
      </c>
      <c r="Q198">
        <v>4.3034898859851999E-3</v>
      </c>
      <c r="R198">
        <v>-0.11728452321114</v>
      </c>
      <c r="S198">
        <f t="shared" si="51"/>
        <v>1.1540555046723602</v>
      </c>
      <c r="T198">
        <f t="shared" si="52"/>
        <v>-29.611649212373852</v>
      </c>
      <c r="U198" s="9">
        <f t="shared" si="53"/>
        <v>1.0033294908009536</v>
      </c>
      <c r="V198" s="9">
        <f t="shared" si="54"/>
        <v>-0.57024033595815993</v>
      </c>
    </row>
    <row r="199" spans="1:22" x14ac:dyDescent="0.25">
      <c r="A199">
        <v>2.4</v>
      </c>
      <c r="B199">
        <v>15.8</v>
      </c>
      <c r="C199">
        <v>-6.0371673393403998E-2</v>
      </c>
      <c r="D199">
        <v>-2.7177715905538E-2</v>
      </c>
      <c r="E199">
        <v>0.93966330761368</v>
      </c>
      <c r="F199">
        <v>-3.0421286370844E-2</v>
      </c>
      <c r="G199">
        <f t="shared" si="43"/>
        <v>6.2479395333377097</v>
      </c>
      <c r="H199">
        <f t="shared" si="44"/>
        <v>-3.2191413051054201</v>
      </c>
      <c r="I199">
        <f t="shared" si="45"/>
        <v>6.2479596535777802</v>
      </c>
      <c r="J199">
        <f t="shared" si="46"/>
        <v>-3.2207630293426099</v>
      </c>
      <c r="K199" s="8">
        <f t="shared" si="47"/>
        <v>-2.0120240070475899E-5</v>
      </c>
      <c r="L199" s="8">
        <f t="shared" si="48"/>
        <v>1.6217242371898699E-3</v>
      </c>
      <c r="M199" s="8">
        <f t="shared" si="49"/>
        <v>0.12645051421082701</v>
      </c>
      <c r="N199" s="8">
        <f t="shared" si="50"/>
        <v>6.5184022271715603E-2</v>
      </c>
      <c r="O199">
        <v>4.8596846439443002E-2</v>
      </c>
      <c r="P199">
        <v>-9.5173348032875998E-2</v>
      </c>
      <c r="Q199">
        <v>-5.5009394207382999E-3</v>
      </c>
      <c r="R199">
        <v>-0.12294157046659</v>
      </c>
      <c r="S199">
        <f t="shared" si="51"/>
        <v>1.1516148145106448</v>
      </c>
      <c r="T199">
        <f t="shared" si="52"/>
        <v>-29.611446981233009</v>
      </c>
      <c r="U199" s="9">
        <f t="shared" si="53"/>
        <v>1.0012095766924611</v>
      </c>
      <c r="V199" s="9">
        <f t="shared" si="54"/>
        <v>-0.5690308115908046</v>
      </c>
    </row>
    <row r="200" spans="1:22" x14ac:dyDescent="0.25">
      <c r="A200">
        <v>2.4</v>
      </c>
      <c r="B200">
        <v>15.9</v>
      </c>
      <c r="C200">
        <v>-6.5588387018722993E-2</v>
      </c>
      <c r="D200">
        <v>-2.2972738445379001E-2</v>
      </c>
      <c r="E200">
        <v>0.93444066289645999</v>
      </c>
      <c r="F200">
        <v>-2.6235553248887E-2</v>
      </c>
      <c r="G200">
        <f t="shared" si="43"/>
        <v>6.1839785067639301</v>
      </c>
      <c r="H200">
        <f t="shared" si="44"/>
        <v>-2.5071011700559098</v>
      </c>
      <c r="I200">
        <f t="shared" si="45"/>
        <v>6.1839956928776099</v>
      </c>
      <c r="J200">
        <f t="shared" si="46"/>
        <v>-2.5087325257247399</v>
      </c>
      <c r="K200" s="8">
        <f t="shared" si="47"/>
        <v>-1.7186113679734701E-5</v>
      </c>
      <c r="L200" s="8">
        <f t="shared" si="48"/>
        <v>1.6313556688300999E-3</v>
      </c>
      <c r="M200" s="8">
        <f t="shared" si="49"/>
        <v>0.13885529329170301</v>
      </c>
      <c r="N200" s="8">
        <f t="shared" si="50"/>
        <v>5.63310209046805E-2</v>
      </c>
      <c r="O200">
        <v>4.1968502003650002E-2</v>
      </c>
      <c r="P200">
        <v>-0.10339691895726</v>
      </c>
      <c r="Q200">
        <v>-1.6781083329199999E-2</v>
      </c>
      <c r="R200">
        <v>-0.12713133584844999</v>
      </c>
      <c r="S200">
        <f t="shared" si="51"/>
        <v>1.1491562493281957</v>
      </c>
      <c r="T200">
        <f t="shared" si="52"/>
        <v>-29.611545503429792</v>
      </c>
      <c r="U200" s="9">
        <f t="shared" si="53"/>
        <v>0.99907113301280448</v>
      </c>
      <c r="V200" s="9">
        <f t="shared" si="54"/>
        <v>-0.56781771419229021</v>
      </c>
    </row>
    <row r="201" spans="1:22" x14ac:dyDescent="0.25">
      <c r="A201">
        <v>2.4</v>
      </c>
      <c r="B201">
        <v>16</v>
      </c>
      <c r="C201">
        <v>-7.0200476153986002E-2</v>
      </c>
      <c r="D201">
        <v>-1.7669942087843001E-2</v>
      </c>
      <c r="E201">
        <v>0.92982099819610997</v>
      </c>
      <c r="F201">
        <v>-2.0951634462835E-2</v>
      </c>
      <c r="G201">
        <f t="shared" si="43"/>
        <v>6.1222840192017003</v>
      </c>
      <c r="H201">
        <f t="shared" si="44"/>
        <v>-1.8211218937105</v>
      </c>
      <c r="I201">
        <f t="shared" si="45"/>
        <v>6.1222974485436996</v>
      </c>
      <c r="J201">
        <f t="shared" si="46"/>
        <v>-1.8227627002448801</v>
      </c>
      <c r="K201" s="8">
        <f t="shared" si="47"/>
        <v>-1.3429341999327E-5</v>
      </c>
      <c r="L201" s="8">
        <f t="shared" si="48"/>
        <v>1.6408065343800301E-3</v>
      </c>
      <c r="M201" s="8">
        <f t="shared" si="49"/>
        <v>0.15003796011394199</v>
      </c>
      <c r="N201" s="8">
        <f t="shared" si="50"/>
        <v>4.4670093149684599E-2</v>
      </c>
      <c r="O201">
        <v>3.3610989370132002E-2</v>
      </c>
      <c r="P201">
        <v>-0.11067131623928</v>
      </c>
      <c r="Q201">
        <v>-2.9199249962718998E-2</v>
      </c>
      <c r="R201">
        <v>-0.12937481647234</v>
      </c>
      <c r="S201">
        <f t="shared" si="51"/>
        <v>1.1466882523679525</v>
      </c>
      <c r="T201">
        <f t="shared" si="52"/>
        <v>-29.61186828399218</v>
      </c>
      <c r="U201" s="9">
        <f t="shared" si="53"/>
        <v>0.99692227586564375</v>
      </c>
      <c r="V201" s="9">
        <f t="shared" si="54"/>
        <v>-0.56660385102956567</v>
      </c>
    </row>
    <row r="202" spans="1:22" x14ac:dyDescent="0.25">
      <c r="A202">
        <v>2.4</v>
      </c>
      <c r="B202">
        <v>16.100000000000001</v>
      </c>
      <c r="C202">
        <v>-7.3881978126471001E-2</v>
      </c>
      <c r="D202">
        <v>-1.1418691801322999E-2</v>
      </c>
      <c r="E202">
        <v>0.92613100564244999</v>
      </c>
      <c r="F202">
        <v>-1.4723041841686E-2</v>
      </c>
      <c r="G202">
        <f t="shared" si="43"/>
        <v>6.0626976224964899</v>
      </c>
      <c r="H202">
        <f t="shared" si="44"/>
        <v>-1.16031967547889</v>
      </c>
      <c r="I202">
        <f t="shared" si="45"/>
        <v>6.0627068439604797</v>
      </c>
      <c r="J202">
        <f t="shared" si="46"/>
        <v>-1.1619718245380399</v>
      </c>
      <c r="K202" s="8">
        <f t="shared" si="47"/>
        <v>-9.2214639897392203E-6</v>
      </c>
      <c r="L202" s="8">
        <f t="shared" si="48"/>
        <v>1.6521490591498999E-3</v>
      </c>
      <c r="M202" s="8">
        <f t="shared" si="49"/>
        <v>0.15909863356939999</v>
      </c>
      <c r="N202" s="8">
        <f t="shared" si="50"/>
        <v>3.0492671720438801E-2</v>
      </c>
      <c r="O202">
        <v>2.3758943054143E-2</v>
      </c>
      <c r="P202">
        <v>-0.11648173539551999</v>
      </c>
      <c r="Q202">
        <v>-4.2222305895179002E-2</v>
      </c>
      <c r="R202">
        <v>-0.12930547274379001</v>
      </c>
      <c r="S202">
        <f t="shared" si="51"/>
        <v>1.1442146183496156</v>
      </c>
      <c r="T202">
        <f t="shared" si="52"/>
        <v>-29.612047098668249</v>
      </c>
      <c r="U202" s="9">
        <f t="shared" si="53"/>
        <v>0.99476995225937825</v>
      </c>
      <c r="V202" s="9">
        <f t="shared" si="54"/>
        <v>-0.56538467871603193</v>
      </c>
    </row>
    <row r="203" spans="1:22" x14ac:dyDescent="0.25">
      <c r="A203">
        <v>2.4</v>
      </c>
      <c r="B203">
        <v>16.2</v>
      </c>
      <c r="C203">
        <v>-7.6366664973830004E-2</v>
      </c>
      <c r="D203">
        <v>-4.4915828724518001E-3</v>
      </c>
      <c r="E203">
        <v>0.92363892161987005</v>
      </c>
      <c r="F203">
        <v>-7.8178820732928006E-3</v>
      </c>
      <c r="G203">
        <f t="shared" si="43"/>
        <v>6.0053377434761002</v>
      </c>
      <c r="H203">
        <f t="shared" si="44"/>
        <v>-0.52348221673494</v>
      </c>
      <c r="I203">
        <f t="shared" si="45"/>
        <v>6.0053433028009104</v>
      </c>
      <c r="J203">
        <f t="shared" si="46"/>
        <v>-0.52514535244374005</v>
      </c>
      <c r="K203" s="8">
        <f t="shared" si="47"/>
        <v>-5.5593248102780998E-6</v>
      </c>
      <c r="L203" s="8">
        <f t="shared" si="48"/>
        <v>1.6631357088000599E-3</v>
      </c>
      <c r="M203" s="8">
        <f t="shared" si="49"/>
        <v>0.16525469346323399</v>
      </c>
      <c r="N203" s="8">
        <f t="shared" si="50"/>
        <v>1.4450919766944299E-2</v>
      </c>
      <c r="O203">
        <v>1.2840616708270001E-2</v>
      </c>
      <c r="P203">
        <v>-0.12040860171886</v>
      </c>
      <c r="Q203">
        <v>-5.5184944689926997E-2</v>
      </c>
      <c r="R203">
        <v>-0.1267623161268</v>
      </c>
      <c r="S203">
        <f t="shared" si="51"/>
        <v>1.1417300131728545</v>
      </c>
      <c r="T203">
        <f t="shared" si="52"/>
        <v>-29.612641486970706</v>
      </c>
      <c r="U203" s="9">
        <f t="shared" si="53"/>
        <v>0.99260400611126631</v>
      </c>
      <c r="V203" s="9">
        <f t="shared" si="54"/>
        <v>-0.56416727132256783</v>
      </c>
    </row>
    <row r="204" spans="1:22" x14ac:dyDescent="0.25">
      <c r="A204">
        <v>2.4</v>
      </c>
      <c r="B204">
        <v>16.3</v>
      </c>
      <c r="C204">
        <v>-7.7503133565168997E-2</v>
      </c>
      <c r="D204">
        <v>2.7494176489478001E-3</v>
      </c>
      <c r="E204">
        <v>0.92248935380315</v>
      </c>
      <c r="F204">
        <v>-5.9275670599256004E-4</v>
      </c>
      <c r="G204">
        <f t="shared" si="43"/>
        <v>5.9497914336478699</v>
      </c>
      <c r="H204">
        <f t="shared" si="44"/>
        <v>9.0569584450107696E-2</v>
      </c>
      <c r="I204">
        <f t="shared" si="45"/>
        <v>5.9497904698739399</v>
      </c>
      <c r="J204">
        <f t="shared" si="46"/>
        <v>8.8898489384926394E-2</v>
      </c>
      <c r="K204" s="8">
        <f t="shared" si="47"/>
        <v>9.6377392999613697E-7</v>
      </c>
      <c r="L204" s="8">
        <f t="shared" si="48"/>
        <v>1.6710950651813001E-3</v>
      </c>
      <c r="M204" s="8">
        <f t="shared" si="49"/>
        <v>0.16803563217890199</v>
      </c>
      <c r="N204" s="8">
        <f t="shared" si="50"/>
        <v>-2.5106957865462399E-3</v>
      </c>
      <c r="O204">
        <v>1.4261619251518E-3</v>
      </c>
      <c r="P204">
        <v>-0.1222127128376</v>
      </c>
      <c r="Q204">
        <v>-6.7387434734057006E-2</v>
      </c>
      <c r="R204">
        <v>-0.12184927125015001</v>
      </c>
      <c r="S204">
        <f t="shared" si="51"/>
        <v>1.1392631197748559</v>
      </c>
      <c r="T204">
        <f t="shared" si="52"/>
        <v>-29.612900881590168</v>
      </c>
      <c r="U204" s="9">
        <f t="shared" si="53"/>
        <v>0.9904567750667117</v>
      </c>
      <c r="V204" s="9">
        <f t="shared" si="54"/>
        <v>-0.56295278026099771</v>
      </c>
    </row>
    <row r="205" spans="1:22" x14ac:dyDescent="0.25">
      <c r="A205">
        <v>2.4</v>
      </c>
      <c r="B205">
        <v>16.399999999999999</v>
      </c>
      <c r="C205">
        <v>-7.7284260655751003E-2</v>
      </c>
      <c r="D205">
        <v>9.9155592369170997E-3</v>
      </c>
      <c r="E205">
        <v>0.92269681933322001</v>
      </c>
      <c r="F205">
        <v>6.5539588307621998E-3</v>
      </c>
      <c r="G205">
        <f t="shared" si="43"/>
        <v>5.8962339627042804</v>
      </c>
      <c r="H205">
        <f t="shared" si="44"/>
        <v>0.68228539567523505</v>
      </c>
      <c r="I205">
        <f t="shared" si="45"/>
        <v>5.8962273277707897</v>
      </c>
      <c r="J205">
        <f t="shared" si="46"/>
        <v>0.68060456841952499</v>
      </c>
      <c r="K205" s="8">
        <f t="shared" si="47"/>
        <v>6.6349334906235E-6</v>
      </c>
      <c r="L205" s="8">
        <f t="shared" si="48"/>
        <v>1.6808272557100601E-3</v>
      </c>
      <c r="M205" s="8">
        <f t="shared" si="49"/>
        <v>0.16736990297670501</v>
      </c>
      <c r="N205" s="8">
        <f t="shared" si="50"/>
        <v>-1.9319594420207899E-2</v>
      </c>
      <c r="O205">
        <v>-9.8723731697030002E-3</v>
      </c>
      <c r="P205">
        <v>-0.12188299866445</v>
      </c>
      <c r="Q205">
        <v>-7.8222784987131005E-2</v>
      </c>
      <c r="R205">
        <v>-0.11491026182525001</v>
      </c>
      <c r="S205">
        <f t="shared" si="51"/>
        <v>1.1367790902530517</v>
      </c>
      <c r="T205">
        <f t="shared" si="52"/>
        <v>-29.613488667577865</v>
      </c>
      <c r="U205" s="9">
        <f t="shared" si="53"/>
        <v>0.9882914376344859</v>
      </c>
      <c r="V205" s="9">
        <f t="shared" si="54"/>
        <v>-0.56173546650974149</v>
      </c>
    </row>
    <row r="206" spans="1:22" x14ac:dyDescent="0.25">
      <c r="A206">
        <v>2.4</v>
      </c>
      <c r="B206">
        <v>16.5</v>
      </c>
      <c r="C206">
        <v>-7.5839917743662E-2</v>
      </c>
      <c r="D206">
        <v>1.6656725044459999E-2</v>
      </c>
      <c r="E206">
        <v>0.92413105891542002</v>
      </c>
      <c r="F206">
        <v>1.3278398858998E-2</v>
      </c>
      <c r="G206">
        <f t="shared" si="43"/>
        <v>5.8445537078547201</v>
      </c>
      <c r="H206">
        <f t="shared" si="44"/>
        <v>1.25274794221846</v>
      </c>
      <c r="I206">
        <f t="shared" si="45"/>
        <v>5.8445420493617002</v>
      </c>
      <c r="J206">
        <f t="shared" si="46"/>
        <v>1.25105873491941</v>
      </c>
      <c r="K206" s="8">
        <f t="shared" si="47"/>
        <v>1.16584930198727E-5</v>
      </c>
      <c r="L206" s="8">
        <f t="shared" si="48"/>
        <v>1.68920729904998E-3</v>
      </c>
      <c r="M206" s="8">
        <f t="shared" si="49"/>
        <v>0.163603503050814</v>
      </c>
      <c r="N206" s="8">
        <f t="shared" si="50"/>
        <v>-3.5020295829249697E-2</v>
      </c>
      <c r="O206">
        <v>-2.0503659526491001E-2</v>
      </c>
      <c r="P206">
        <v>-0.11962382651181</v>
      </c>
      <c r="Q206">
        <v>-8.7270172699041998E-2</v>
      </c>
      <c r="R206">
        <v>-0.10647103217928</v>
      </c>
      <c r="S206">
        <f t="shared" si="51"/>
        <v>1.134290238830203</v>
      </c>
      <c r="T206">
        <f t="shared" si="52"/>
        <v>-29.614091741539607</v>
      </c>
      <c r="U206" s="9">
        <f t="shared" si="53"/>
        <v>0.98612178368993475</v>
      </c>
      <c r="V206" s="9">
        <f t="shared" si="54"/>
        <v>-0.560515988743997</v>
      </c>
    </row>
    <row r="207" spans="1:22" x14ac:dyDescent="0.25">
      <c r="A207">
        <v>2.4</v>
      </c>
      <c r="B207">
        <v>16.600000000000001</v>
      </c>
      <c r="C207">
        <v>-7.3398128553014003E-2</v>
      </c>
      <c r="D207">
        <v>2.2712299099440999E-2</v>
      </c>
      <c r="E207">
        <v>0.92656877249240999</v>
      </c>
      <c r="F207">
        <v>1.9315370711075999E-2</v>
      </c>
      <c r="G207">
        <f t="shared" si="43"/>
        <v>5.7948918301247998</v>
      </c>
      <c r="H207">
        <f t="shared" si="44"/>
        <v>1.8026643394055299</v>
      </c>
      <c r="I207">
        <f t="shared" si="45"/>
        <v>5.7948781652891599</v>
      </c>
      <c r="J207">
        <f t="shared" si="46"/>
        <v>1.8009658238925701</v>
      </c>
      <c r="K207" s="8">
        <f t="shared" si="47"/>
        <v>1.36648356399149E-5</v>
      </c>
      <c r="L207" s="8">
        <f t="shared" si="48"/>
        <v>1.69851551295985E-3</v>
      </c>
      <c r="M207" s="8">
        <f t="shared" si="49"/>
        <v>0.15736649654142501</v>
      </c>
      <c r="N207" s="8">
        <f t="shared" si="50"/>
        <v>-4.89072719068415E-2</v>
      </c>
      <c r="O207">
        <v>-3.0056856644698999E-2</v>
      </c>
      <c r="P207">
        <v>-0.11579287729694999</v>
      </c>
      <c r="Q207">
        <v>-9.4337047562724E-2</v>
      </c>
      <c r="R207">
        <v>-9.7123186503129996E-2</v>
      </c>
      <c r="S207">
        <f t="shared" si="51"/>
        <v>1.1317967158244568</v>
      </c>
      <c r="T207">
        <f t="shared" si="52"/>
        <v>-29.614919621805161</v>
      </c>
      <c r="U207" s="9">
        <f t="shared" si="53"/>
        <v>0.98394589974112801</v>
      </c>
      <c r="V207" s="9">
        <f t="shared" si="54"/>
        <v>-0.55929801745907193</v>
      </c>
    </row>
    <row r="208" spans="1:22" x14ac:dyDescent="0.25">
      <c r="A208">
        <v>2.4</v>
      </c>
      <c r="B208">
        <v>16.7</v>
      </c>
      <c r="C208">
        <v>-7.0232261836860002E-2</v>
      </c>
      <c r="D208">
        <v>2.7931265802362E-2</v>
      </c>
      <c r="E208">
        <v>0.92972566758913999</v>
      </c>
      <c r="F208">
        <v>2.4519126353537E-2</v>
      </c>
      <c r="G208">
        <f t="shared" si="43"/>
        <v>5.7466492655245096</v>
      </c>
      <c r="H208">
        <f t="shared" si="44"/>
        <v>2.3326918695908598</v>
      </c>
      <c r="I208">
        <f t="shared" si="45"/>
        <v>5.7466311406441504</v>
      </c>
      <c r="J208">
        <f t="shared" si="46"/>
        <v>2.3309857330550701</v>
      </c>
      <c r="K208" s="8">
        <f t="shared" si="47"/>
        <v>1.8124880359238201E-5</v>
      </c>
      <c r="L208" s="8">
        <f t="shared" si="48"/>
        <v>1.70613653578977E-3</v>
      </c>
      <c r="M208" s="8">
        <f t="shared" si="49"/>
        <v>0.149429016777402</v>
      </c>
      <c r="N208" s="8">
        <f t="shared" si="50"/>
        <v>-6.0612365347243603E-2</v>
      </c>
      <c r="O208">
        <v>-3.8293965902968997E-2</v>
      </c>
      <c r="P208">
        <v>-0.11082048740492</v>
      </c>
      <c r="Q208">
        <v>-9.9443053413145993E-2</v>
      </c>
      <c r="R208">
        <v>-8.7430010570635999E-2</v>
      </c>
      <c r="S208">
        <f t="shared" si="51"/>
        <v>1.1293112275760151</v>
      </c>
      <c r="T208">
        <f t="shared" si="52"/>
        <v>-29.615604155817319</v>
      </c>
      <c r="U208" s="9">
        <f t="shared" si="53"/>
        <v>0.98177843253299013</v>
      </c>
      <c r="V208" s="9">
        <f t="shared" si="54"/>
        <v>-0.5580814977602383</v>
      </c>
    </row>
    <row r="209" spans="1:22" x14ac:dyDescent="0.25">
      <c r="A209">
        <v>2.4</v>
      </c>
      <c r="B209">
        <v>16.8</v>
      </c>
      <c r="C209">
        <v>-6.6612625735468001E-2</v>
      </c>
      <c r="D209">
        <v>3.2265391785144003E-2</v>
      </c>
      <c r="E209">
        <v>0.93333637895039001</v>
      </c>
      <c r="F209">
        <v>2.8835857027937999E-2</v>
      </c>
      <c r="G209">
        <f t="shared" si="43"/>
        <v>5.7000828873278202</v>
      </c>
      <c r="H209">
        <f t="shared" si="44"/>
        <v>2.8433153057818399</v>
      </c>
      <c r="I209">
        <f t="shared" si="45"/>
        <v>5.70006032966403</v>
      </c>
      <c r="J209">
        <f t="shared" si="46"/>
        <v>2.8416004559974302</v>
      </c>
      <c r="K209" s="8">
        <f t="shared" si="47"/>
        <v>2.2557663790223601E-5</v>
      </c>
      <c r="L209" s="8">
        <f t="shared" si="48"/>
        <v>1.71484978440972E-3</v>
      </c>
      <c r="M209" s="8">
        <f t="shared" si="49"/>
        <v>0.14051539024967799</v>
      </c>
      <c r="N209" s="8">
        <f t="shared" si="50"/>
        <v>-7.0049889635409604E-2</v>
      </c>
      <c r="O209">
        <v>-4.5137746159834999E-2</v>
      </c>
      <c r="P209">
        <v>-0.10513125219665</v>
      </c>
      <c r="Q209">
        <v>-0.10276238891309</v>
      </c>
      <c r="R209">
        <v>-7.7852400720406001E-2</v>
      </c>
      <c r="S209">
        <f t="shared" si="51"/>
        <v>1.1268346232378448</v>
      </c>
      <c r="T209">
        <f t="shared" si="52"/>
        <v>-29.616464820135995</v>
      </c>
      <c r="U209" s="9">
        <f t="shared" si="53"/>
        <v>0.9796170059503051</v>
      </c>
      <c r="V209" s="9">
        <f t="shared" si="54"/>
        <v>-0.55687232807936815</v>
      </c>
    </row>
    <row r="210" spans="1:22" x14ac:dyDescent="0.25">
      <c r="A210">
        <v>2.4</v>
      </c>
      <c r="B210">
        <v>16.899999999999999</v>
      </c>
      <c r="C210">
        <v>-6.2773715353309001E-2</v>
      </c>
      <c r="D210">
        <v>3.5745099445375003E-2</v>
      </c>
      <c r="E210">
        <v>0.93717046471135002</v>
      </c>
      <c r="F210">
        <v>3.2299979908008002E-2</v>
      </c>
      <c r="G210">
        <f t="shared" si="43"/>
        <v>5.6551308815625099</v>
      </c>
      <c r="H210">
        <f t="shared" si="44"/>
        <v>3.3353731194212801</v>
      </c>
      <c r="I210">
        <f t="shared" si="45"/>
        <v>5.6551059382676598</v>
      </c>
      <c r="J210">
        <f t="shared" si="46"/>
        <v>3.33365046860715</v>
      </c>
      <c r="K210" s="8">
        <f t="shared" si="47"/>
        <v>2.4943294850032802E-5</v>
      </c>
      <c r="L210" s="8">
        <f t="shared" si="48"/>
        <v>1.7226508141301401E-3</v>
      </c>
      <c r="M210" s="8">
        <f t="shared" si="49"/>
        <v>0.131228901825683</v>
      </c>
      <c r="N210" s="8">
        <f t="shared" si="50"/>
        <v>-7.7358637458169496E-2</v>
      </c>
      <c r="O210">
        <v>-5.0636714421449999E-2</v>
      </c>
      <c r="P210">
        <v>-9.9095707422847998E-2</v>
      </c>
      <c r="Q210">
        <v>-0.10455909950238</v>
      </c>
      <c r="R210">
        <v>-6.8724729857182004E-2</v>
      </c>
      <c r="S210">
        <f t="shared" si="51"/>
        <v>1.1243591404170079</v>
      </c>
      <c r="T210">
        <f t="shared" si="52"/>
        <v>-29.61734797497267</v>
      </c>
      <c r="U210" s="9">
        <f t="shared" si="53"/>
        <v>0.97745637278590081</v>
      </c>
      <c r="V210" s="9">
        <f t="shared" si="54"/>
        <v>-0.55566403153299671</v>
      </c>
    </row>
    <row r="211" spans="1:22" x14ac:dyDescent="0.25">
      <c r="A211">
        <v>2.4</v>
      </c>
      <c r="B211">
        <v>17</v>
      </c>
      <c r="C211">
        <v>-5.889959814746E-2</v>
      </c>
      <c r="D211">
        <v>3.8450811878012997E-2</v>
      </c>
      <c r="E211">
        <v>0.94104790262875004</v>
      </c>
      <c r="F211">
        <v>3.4985765877920003E-2</v>
      </c>
      <c r="G211">
        <f t="shared" si="43"/>
        <v>5.6120322776193303</v>
      </c>
      <c r="H211">
        <f t="shared" si="44"/>
        <v>3.8094316201670302</v>
      </c>
      <c r="I211">
        <f t="shared" si="45"/>
        <v>5.6120090291817002</v>
      </c>
      <c r="J211">
        <f t="shared" si="46"/>
        <v>3.8076990114082201</v>
      </c>
      <c r="K211" s="8">
        <f t="shared" si="47"/>
        <v>2.32484376301301E-5</v>
      </c>
      <c r="L211" s="8">
        <f t="shared" si="48"/>
        <v>1.7326087588100899E-3</v>
      </c>
      <c r="M211" s="8">
        <f t="shared" si="49"/>
        <v>0.12201818838543201</v>
      </c>
      <c r="N211" s="8">
        <f t="shared" si="50"/>
        <v>-8.2788272947019501E-2</v>
      </c>
      <c r="O211">
        <v>-5.4914796392569E-2</v>
      </c>
      <c r="P211">
        <v>-9.3000312551779998E-2</v>
      </c>
      <c r="Q211">
        <v>-0.10512660055533</v>
      </c>
      <c r="R211">
        <v>-6.0256134036971998E-2</v>
      </c>
      <c r="S211">
        <f t="shared" si="51"/>
        <v>1.1219200926458937</v>
      </c>
      <c r="T211">
        <f t="shared" si="52"/>
        <v>-29.618675211072244</v>
      </c>
      <c r="U211" s="9">
        <f t="shared" si="53"/>
        <v>0.97532315388952717</v>
      </c>
      <c r="V211" s="9">
        <f t="shared" si="54"/>
        <v>-0.55448123482184353</v>
      </c>
    </row>
    <row r="212" spans="1:22" x14ac:dyDescent="0.25">
      <c r="A212">
        <v>2.6</v>
      </c>
      <c r="B212">
        <v>15</v>
      </c>
      <c r="C212">
        <v>-2.7173256051521998E-2</v>
      </c>
      <c r="D212">
        <v>-3.6189526902159E-2</v>
      </c>
      <c r="E212">
        <v>0.97283608907487995</v>
      </c>
      <c r="F212">
        <v>-3.950665319715E-2</v>
      </c>
      <c r="G212">
        <f t="shared" si="43"/>
        <v>5.7582797607732701</v>
      </c>
      <c r="H212">
        <f t="shared" si="44"/>
        <v>-8.7174786418188202</v>
      </c>
      <c r="I212">
        <f t="shared" si="45"/>
        <v>5.7582871841002197</v>
      </c>
      <c r="J212">
        <f t="shared" si="46"/>
        <v>-8.7191371849046</v>
      </c>
      <c r="K212" s="8">
        <f t="shared" si="47"/>
        <v>-7.4233269495849203E-6</v>
      </c>
      <c r="L212" s="8">
        <f t="shared" si="48"/>
        <v>1.65854308577984E-3</v>
      </c>
      <c r="M212" s="8">
        <f t="shared" si="49"/>
        <v>5.2740635655651097E-2</v>
      </c>
      <c r="N212" s="8">
        <f t="shared" si="50"/>
        <v>7.9859309339492104E-2</v>
      </c>
      <c r="O212">
        <v>5.8102150712170002E-2</v>
      </c>
      <c r="P212">
        <v>-3.984803976055E-2</v>
      </c>
      <c r="Q212">
        <v>3.6019235415240998E-2</v>
      </c>
      <c r="R212">
        <v>-7.3974424279418E-2</v>
      </c>
      <c r="S212">
        <f t="shared" si="51"/>
        <v>1.1678246022441325</v>
      </c>
      <c r="T212">
        <f t="shared" si="52"/>
        <v>-29.594475440246114</v>
      </c>
      <c r="U212" s="9">
        <f t="shared" si="53"/>
        <v>1.0154731851644063</v>
      </c>
      <c r="V212" s="9">
        <f t="shared" si="54"/>
        <v>-0.57673955284748912</v>
      </c>
    </row>
    <row r="213" spans="1:22" x14ac:dyDescent="0.25">
      <c r="A213">
        <v>2.6</v>
      </c>
      <c r="B213" s="1">
        <v>15.1</v>
      </c>
      <c r="C213">
        <v>-3.0745981079788001E-2</v>
      </c>
      <c r="D213">
        <v>-3.7516928712936E-2</v>
      </c>
      <c r="E213">
        <v>0.96926624202246003</v>
      </c>
      <c r="F213">
        <v>-4.0858195276085002E-2</v>
      </c>
      <c r="G213">
        <f t="shared" si="43"/>
        <v>5.6960393694073197</v>
      </c>
      <c r="H213">
        <f t="shared" si="44"/>
        <v>-7.8979572108039999</v>
      </c>
      <c r="I213">
        <f t="shared" si="45"/>
        <v>5.6960482718777197</v>
      </c>
      <c r="J213">
        <f t="shared" si="46"/>
        <v>-7.89962781900282</v>
      </c>
      <c r="K213" s="8">
        <f t="shared" si="47"/>
        <v>-8.9024703999740495E-6</v>
      </c>
      <c r="L213" s="8">
        <f t="shared" si="48"/>
        <v>1.67060819882003E-3</v>
      </c>
      <c r="M213" s="8">
        <f t="shared" si="49"/>
        <v>6.0053802692838602E-2</v>
      </c>
      <c r="N213" s="8">
        <f t="shared" si="50"/>
        <v>8.3286283357438304E-2</v>
      </c>
      <c r="O213">
        <v>5.9981947373743003E-2</v>
      </c>
      <c r="P213">
        <v>-4.5038506459406998E-2</v>
      </c>
      <c r="Q213">
        <v>3.4889940344790003E-2</v>
      </c>
      <c r="R213">
        <v>-8.0231434964543005E-2</v>
      </c>
      <c r="S213">
        <f t="shared" si="51"/>
        <v>1.1663901406152877</v>
      </c>
      <c r="T213">
        <f t="shared" si="52"/>
        <v>-29.595703694022024</v>
      </c>
      <c r="U213" s="9">
        <f t="shared" si="53"/>
        <v>1.014213511084463</v>
      </c>
      <c r="V213" s="9">
        <f t="shared" si="54"/>
        <v>-0.57605287435987729</v>
      </c>
    </row>
    <row r="214" spans="1:22" x14ac:dyDescent="0.25">
      <c r="A214">
        <v>2.6</v>
      </c>
      <c r="B214" s="1">
        <v>15.2</v>
      </c>
      <c r="C214">
        <v>-3.4795579534133002E-2</v>
      </c>
      <c r="D214">
        <v>-3.8616199224001002E-2</v>
      </c>
      <c r="E214">
        <v>0.96521865609907997</v>
      </c>
      <c r="F214">
        <v>-4.1979324870228998E-2</v>
      </c>
      <c r="G214">
        <f t="shared" si="43"/>
        <v>5.6373734811031797</v>
      </c>
      <c r="H214">
        <f t="shared" si="44"/>
        <v>-7.1084881400784301</v>
      </c>
      <c r="I214">
        <f t="shared" si="45"/>
        <v>5.6373834264542904</v>
      </c>
      <c r="J214">
        <f t="shared" si="46"/>
        <v>-7.1101696742089802</v>
      </c>
      <c r="K214" s="8">
        <f t="shared" si="47"/>
        <v>-9.9453511106517601E-6</v>
      </c>
      <c r="L214" s="8">
        <f t="shared" si="48"/>
        <v>1.6815341305500601E-3</v>
      </c>
      <c r="M214" s="8">
        <f t="shared" si="49"/>
        <v>6.8469186771236701E-2</v>
      </c>
      <c r="N214" s="8">
        <f t="shared" si="50"/>
        <v>8.6357002632477503E-2</v>
      </c>
      <c r="O214">
        <v>6.1572158145407001E-2</v>
      </c>
      <c r="P214">
        <v>-5.0951402110825002E-2</v>
      </c>
      <c r="Q214">
        <v>3.3032144297805002E-2</v>
      </c>
      <c r="R214">
        <v>-8.6973587690995002E-2</v>
      </c>
      <c r="S214">
        <f t="shared" si="51"/>
        <v>1.1641054639261996</v>
      </c>
      <c r="T214">
        <f t="shared" si="52"/>
        <v>-29.595466856832587</v>
      </c>
      <c r="U214" s="9">
        <f t="shared" si="53"/>
        <v>1.0122292881662025</v>
      </c>
      <c r="V214" s="9">
        <f t="shared" si="54"/>
        <v>-0.57492034171820305</v>
      </c>
    </row>
    <row r="215" spans="1:22" x14ac:dyDescent="0.25">
      <c r="A215">
        <v>2.6</v>
      </c>
      <c r="B215" s="1">
        <v>15.3</v>
      </c>
      <c r="C215">
        <v>-3.9342238146408998E-2</v>
      </c>
      <c r="D215">
        <v>-3.937973811289E-2</v>
      </c>
      <c r="E215">
        <v>0.96067311767893004</v>
      </c>
      <c r="F215">
        <v>-4.2764922752817E-2</v>
      </c>
      <c r="G215">
        <f t="shared" si="43"/>
        <v>5.58113409187039</v>
      </c>
      <c r="H215">
        <f t="shared" si="44"/>
        <v>-6.3489530776143503</v>
      </c>
      <c r="I215">
        <f t="shared" si="45"/>
        <v>5.5811446345186804</v>
      </c>
      <c r="J215">
        <f t="shared" si="46"/>
        <v>-6.3506456390945702</v>
      </c>
      <c r="K215" s="8">
        <f t="shared" si="47"/>
        <v>-1.0542648290368099E-5</v>
      </c>
      <c r="L215" s="8">
        <f t="shared" si="48"/>
        <v>1.6925614802199001E-3</v>
      </c>
      <c r="M215" s="8">
        <f t="shared" si="49"/>
        <v>7.8079943455827999E-2</v>
      </c>
      <c r="N215" s="8">
        <f t="shared" si="50"/>
        <v>8.8845225286168894E-2</v>
      </c>
      <c r="O215">
        <v>6.2679612783531E-2</v>
      </c>
      <c r="P215">
        <v>-5.7595644844444002E-2</v>
      </c>
      <c r="Q215">
        <v>3.0271851751153E-2</v>
      </c>
      <c r="R215">
        <v>-9.4142248359054007E-2</v>
      </c>
      <c r="S215">
        <f t="shared" si="51"/>
        <v>1.1617202990882209</v>
      </c>
      <c r="T215">
        <f t="shared" si="52"/>
        <v>-29.594998073706098</v>
      </c>
      <c r="U215" s="9">
        <f t="shared" si="53"/>
        <v>1.0101600004449263</v>
      </c>
      <c r="V215" s="9">
        <f t="shared" si="54"/>
        <v>-0.57373410811518966</v>
      </c>
    </row>
    <row r="216" spans="1:22" x14ac:dyDescent="0.25">
      <c r="A216">
        <v>2.6</v>
      </c>
      <c r="B216" s="1">
        <v>15.4</v>
      </c>
      <c r="C216">
        <v>-4.4394821084451003E-2</v>
      </c>
      <c r="D216">
        <v>-3.9673998796004001E-2</v>
      </c>
      <c r="E216">
        <v>0.95562101957254997</v>
      </c>
      <c r="F216">
        <v>-4.3082021727798001E-2</v>
      </c>
      <c r="G216">
        <f t="shared" si="43"/>
        <v>5.52699652586334</v>
      </c>
      <c r="H216">
        <f t="shared" si="44"/>
        <v>-5.6175927266488097</v>
      </c>
      <c r="I216">
        <f t="shared" si="45"/>
        <v>5.5270073497067598</v>
      </c>
      <c r="J216">
        <f t="shared" si="46"/>
        <v>-5.6192967061746799</v>
      </c>
      <c r="K216" s="8">
        <f t="shared" si="47"/>
        <v>-1.0823843419771599E-5</v>
      </c>
      <c r="L216" s="8">
        <f t="shared" si="48"/>
        <v>1.7039795258702E-3</v>
      </c>
      <c r="M216" s="8">
        <f t="shared" si="49"/>
        <v>8.8966907332480499E-2</v>
      </c>
      <c r="N216" s="8">
        <f t="shared" si="50"/>
        <v>9.0452466895756797E-2</v>
      </c>
      <c r="O216">
        <v>6.3103916662518994E-2</v>
      </c>
      <c r="P216">
        <v>-6.4980637835141006E-2</v>
      </c>
      <c r="Q216">
        <v>2.6409419674007999E-2</v>
      </c>
      <c r="R216">
        <v>-0.10163490157303</v>
      </c>
      <c r="S216">
        <f t="shared" si="51"/>
        <v>1.1593177588515649</v>
      </c>
      <c r="T216">
        <f t="shared" si="52"/>
        <v>-29.59460107381712</v>
      </c>
      <c r="U216" s="9">
        <f t="shared" si="53"/>
        <v>1.0080748674311419</v>
      </c>
      <c r="V216" s="9">
        <f t="shared" si="54"/>
        <v>-0.57254059038840266</v>
      </c>
    </row>
    <row r="217" spans="1:22" x14ac:dyDescent="0.25">
      <c r="A217">
        <v>2.6</v>
      </c>
      <c r="B217" s="1">
        <v>15.5</v>
      </c>
      <c r="C217">
        <v>-4.9927809699564001E-2</v>
      </c>
      <c r="D217">
        <v>-3.9339580030812997E-2</v>
      </c>
      <c r="E217">
        <v>0.95008799807615996</v>
      </c>
      <c r="F217">
        <v>-4.2771436931492997E-2</v>
      </c>
      <c r="G217">
        <f t="shared" si="43"/>
        <v>5.4747746056497997</v>
      </c>
      <c r="H217">
        <f t="shared" si="44"/>
        <v>-4.9129660704586096</v>
      </c>
      <c r="I217">
        <f t="shared" si="45"/>
        <v>5.4747854538071703</v>
      </c>
      <c r="J217">
        <f t="shared" si="46"/>
        <v>-4.9146819667320498</v>
      </c>
      <c r="K217" s="8">
        <f t="shared" si="47"/>
        <v>-1.08481573706243E-5</v>
      </c>
      <c r="L217" s="8">
        <f t="shared" si="48"/>
        <v>1.71589627344026E-3</v>
      </c>
      <c r="M217" s="8">
        <f t="shared" si="49"/>
        <v>0.101146332966128</v>
      </c>
      <c r="N217" s="8">
        <f t="shared" si="50"/>
        <v>9.0798454628759906E-2</v>
      </c>
      <c r="O217">
        <v>6.2610931886784002E-2</v>
      </c>
      <c r="P217">
        <v>-7.3068459430799995E-2</v>
      </c>
      <c r="Q217">
        <v>2.1238216914596E-2</v>
      </c>
      <c r="R217">
        <v>-0.10927829112236</v>
      </c>
      <c r="S217">
        <f t="shared" si="51"/>
        <v>1.1569105516251159</v>
      </c>
      <c r="T217">
        <f t="shared" si="52"/>
        <v>-29.594308204277507</v>
      </c>
      <c r="U217" s="9">
        <f t="shared" si="53"/>
        <v>1.005984621395499</v>
      </c>
      <c r="V217" s="9">
        <f t="shared" si="54"/>
        <v>-0.57134662506860456</v>
      </c>
    </row>
    <row r="218" spans="1:22" x14ac:dyDescent="0.25">
      <c r="A218">
        <v>2.6</v>
      </c>
      <c r="B218">
        <v>15.6</v>
      </c>
      <c r="C218">
        <v>-5.5865691072328E-2</v>
      </c>
      <c r="D218">
        <v>-3.8198501772436E-2</v>
      </c>
      <c r="E218">
        <v>0.94414956390150995</v>
      </c>
      <c r="F218">
        <v>-4.1655244782349998E-2</v>
      </c>
      <c r="G218">
        <f t="shared" si="43"/>
        <v>5.4243438646064996</v>
      </c>
      <c r="H218">
        <f t="shared" si="44"/>
        <v>-4.2338107087149304</v>
      </c>
      <c r="I218">
        <f t="shared" si="45"/>
        <v>5.4243544792260003</v>
      </c>
      <c r="J218">
        <f t="shared" si="46"/>
        <v>-4.2355390486909803</v>
      </c>
      <c r="K218" s="8">
        <f t="shared" si="47"/>
        <v>-1.06146195006929E-5</v>
      </c>
      <c r="L218" s="8">
        <f t="shared" si="48"/>
        <v>1.7283399760499301E-3</v>
      </c>
      <c r="M218" s="8">
        <f t="shared" si="49"/>
        <v>0.11452625955913801</v>
      </c>
      <c r="N218" s="8">
        <f t="shared" si="50"/>
        <v>8.9426390978132694E-2</v>
      </c>
      <c r="O218">
        <v>6.0940439281549998E-2</v>
      </c>
      <c r="P218">
        <v>-8.1749096280007996E-2</v>
      </c>
      <c r="Q218">
        <v>1.4567987063152999E-2</v>
      </c>
      <c r="R218">
        <v>-0.11681204004637</v>
      </c>
      <c r="S218">
        <f t="shared" si="51"/>
        <v>1.1544954574842006</v>
      </c>
      <c r="T218">
        <f t="shared" si="52"/>
        <v>-29.594118571662062</v>
      </c>
      <c r="U218" s="9">
        <f t="shared" si="53"/>
        <v>1.0038864778317087</v>
      </c>
      <c r="V218" s="9">
        <f t="shared" si="54"/>
        <v>-0.57015059499951382</v>
      </c>
    </row>
    <row r="219" spans="1:22" x14ac:dyDescent="0.25">
      <c r="A219">
        <v>2.6</v>
      </c>
      <c r="B219">
        <v>15.7</v>
      </c>
      <c r="C219">
        <v>-6.2067059580773999E-2</v>
      </c>
      <c r="D219">
        <v>-3.6070148969827999E-2</v>
      </c>
      <c r="E219">
        <v>0.93794707452581005</v>
      </c>
      <c r="F219">
        <v>-3.9552749642795003E-2</v>
      </c>
      <c r="G219">
        <f t="shared" si="43"/>
        <v>5.37561026800826</v>
      </c>
      <c r="H219">
        <f t="shared" si="44"/>
        <v>-3.5789804358848101</v>
      </c>
      <c r="I219">
        <f t="shared" si="45"/>
        <v>5.3756203670650002</v>
      </c>
      <c r="J219">
        <f t="shared" si="46"/>
        <v>-3.5807217063301602</v>
      </c>
      <c r="K219" s="8">
        <f t="shared" si="47"/>
        <v>-1.00990567402093E-5</v>
      </c>
      <c r="L219" s="8">
        <f t="shared" si="48"/>
        <v>1.7412704453501099E-3</v>
      </c>
      <c r="M219" s="8">
        <f t="shared" si="49"/>
        <v>0.12885347477610901</v>
      </c>
      <c r="N219" s="8">
        <f t="shared" si="50"/>
        <v>8.5829802434279401E-2</v>
      </c>
      <c r="O219">
        <v>5.7828494080108997E-2</v>
      </c>
      <c r="P219">
        <v>-9.0816657231211004E-2</v>
      </c>
      <c r="Q219">
        <v>6.2611151858954E-3</v>
      </c>
      <c r="R219">
        <v>-0.12387940955794</v>
      </c>
      <c r="S219">
        <f t="shared" si="51"/>
        <v>1.1520668550687907</v>
      </c>
      <c r="T219">
        <f t="shared" si="52"/>
        <v>-29.594006980739653</v>
      </c>
      <c r="U219" s="9">
        <f t="shared" si="53"/>
        <v>1.0017758053227628</v>
      </c>
      <c r="V219" s="9">
        <f t="shared" si="54"/>
        <v>-0.56894927227128445</v>
      </c>
    </row>
    <row r="220" spans="1:22" x14ac:dyDescent="0.25">
      <c r="A220">
        <v>2.6</v>
      </c>
      <c r="B220">
        <v>15.8</v>
      </c>
      <c r="C220">
        <v>-6.8313423119551006E-2</v>
      </c>
      <c r="D220">
        <v>-3.2798007577332998E-2</v>
      </c>
      <c r="E220">
        <v>0.93169900523273996</v>
      </c>
      <c r="F220">
        <v>-3.6307248101502002E-2</v>
      </c>
      <c r="G220">
        <f t="shared" si="43"/>
        <v>5.3284953220245797</v>
      </c>
      <c r="H220">
        <f t="shared" si="44"/>
        <v>-2.9474204510396702</v>
      </c>
      <c r="I220">
        <f t="shared" si="45"/>
        <v>5.3285046147875201</v>
      </c>
      <c r="J220">
        <f t="shared" si="46"/>
        <v>-2.9491750440931401</v>
      </c>
      <c r="K220" s="8">
        <f t="shared" si="47"/>
        <v>-9.2927629404826496E-6</v>
      </c>
      <c r="L220" s="8">
        <f t="shared" si="48"/>
        <v>1.7545930534699199E-3</v>
      </c>
      <c r="M220" s="8">
        <f t="shared" si="49"/>
        <v>0.14366188068403199</v>
      </c>
      <c r="N220" s="8">
        <f t="shared" si="50"/>
        <v>7.9512745869645698E-2</v>
      </c>
      <c r="O220">
        <v>5.3045418167521001E-2</v>
      </c>
      <c r="P220">
        <v>-9.9951135208321995E-2</v>
      </c>
      <c r="Q220">
        <v>-3.7196136027648E-3</v>
      </c>
      <c r="R220">
        <v>-0.13003405227039999</v>
      </c>
      <c r="S220">
        <f t="shared" si="51"/>
        <v>1.1496379541972492</v>
      </c>
      <c r="T220">
        <f t="shared" si="52"/>
        <v>-29.593990752140414</v>
      </c>
      <c r="U220" s="9">
        <f t="shared" si="53"/>
        <v>0.99966392366318435</v>
      </c>
      <c r="V220" s="9">
        <f t="shared" si="54"/>
        <v>-0.5677494742024547</v>
      </c>
    </row>
    <row r="221" spans="1:22" x14ac:dyDescent="0.25">
      <c r="A221">
        <v>2.6</v>
      </c>
      <c r="B221">
        <v>15.9</v>
      </c>
      <c r="C221">
        <v>-7.4310358503047E-2</v>
      </c>
      <c r="D221">
        <v>-2.8286294201388E-2</v>
      </c>
      <c r="E221">
        <v>0.92570237003329003</v>
      </c>
      <c r="F221">
        <v>-3.1826951276086E-2</v>
      </c>
      <c r="G221">
        <f t="shared" si="43"/>
        <v>5.2828715670744701</v>
      </c>
      <c r="H221">
        <f t="shared" si="44"/>
        <v>-2.3383394576837602</v>
      </c>
      <c r="I221">
        <f t="shared" si="45"/>
        <v>5.2828810652955998</v>
      </c>
      <c r="J221">
        <f t="shared" si="46"/>
        <v>-2.3401097581394699</v>
      </c>
      <c r="K221" s="8">
        <f t="shared" si="47"/>
        <v>-9.4982211296113001E-6</v>
      </c>
      <c r="L221" s="8">
        <f t="shared" si="48"/>
        <v>1.7703004557096901E-3</v>
      </c>
      <c r="M221" s="8">
        <f t="shared" si="49"/>
        <v>0.15824141397493899</v>
      </c>
      <c r="N221" s="8">
        <f t="shared" si="50"/>
        <v>7.0094759357188299E-2</v>
      </c>
      <c r="O221">
        <v>4.6451697686179003E-2</v>
      </c>
      <c r="P221">
        <v>-0.10872315368318999</v>
      </c>
      <c r="Q221">
        <v>-1.5258857962094001E-2</v>
      </c>
      <c r="R221">
        <v>-0.13477319893038001</v>
      </c>
      <c r="S221">
        <f t="shared" si="51"/>
        <v>1.1472004418727488</v>
      </c>
      <c r="T221">
        <f t="shared" si="52"/>
        <v>-29.593928063804551</v>
      </c>
      <c r="U221" s="9">
        <f t="shared" si="53"/>
        <v>0.99754501265945883</v>
      </c>
      <c r="V221" s="9">
        <f t="shared" si="54"/>
        <v>-0.56654461567582692</v>
      </c>
    </row>
    <row r="222" spans="1:22" x14ac:dyDescent="0.25">
      <c r="A222">
        <v>2.6</v>
      </c>
      <c r="B222">
        <v>16</v>
      </c>
      <c r="C222">
        <v>-7.9708091708579995E-2</v>
      </c>
      <c r="D222">
        <v>-2.2539217646416001E-2</v>
      </c>
      <c r="E222">
        <v>0.92029605697730998</v>
      </c>
      <c r="F222">
        <v>-2.6105770273143002E-2</v>
      </c>
      <c r="G222">
        <f t="shared" si="43"/>
        <v>5.2386748753872796</v>
      </c>
      <c r="H222">
        <f t="shared" si="44"/>
        <v>-1.7502804066608499</v>
      </c>
      <c r="I222">
        <f t="shared" si="45"/>
        <v>5.2386801297704197</v>
      </c>
      <c r="J222">
        <f t="shared" si="46"/>
        <v>-1.75206366990509</v>
      </c>
      <c r="K222" s="8">
        <f t="shared" si="47"/>
        <v>-5.2543831401408204E-6</v>
      </c>
      <c r="L222" s="8">
        <f t="shared" si="48"/>
        <v>1.7832632442400501E-3</v>
      </c>
      <c r="M222" s="8">
        <f t="shared" si="49"/>
        <v>0.17168403206973901</v>
      </c>
      <c r="N222" s="8">
        <f t="shared" si="50"/>
        <v>5.7419301778479197E-2</v>
      </c>
      <c r="O222">
        <v>3.8051953120655999E-2</v>
      </c>
      <c r="P222">
        <v>-0.11662222301658</v>
      </c>
      <c r="Q222">
        <v>-2.805299162041E-2</v>
      </c>
      <c r="R222">
        <v>-0.13760080683879999</v>
      </c>
      <c r="S222">
        <f t="shared" si="51"/>
        <v>1.144760237308734</v>
      </c>
      <c r="T222">
        <f t="shared" si="52"/>
        <v>-29.593775881114627</v>
      </c>
      <c r="U222" s="9">
        <f t="shared" si="53"/>
        <v>0.99542464103054418</v>
      </c>
      <c r="V222" s="9">
        <f t="shared" si="54"/>
        <v>-0.56533687740351901</v>
      </c>
    </row>
    <row r="223" spans="1:22" x14ac:dyDescent="0.25">
      <c r="A223">
        <v>2.6</v>
      </c>
      <c r="B223">
        <v>16.100000000000001</v>
      </c>
      <c r="C223">
        <v>-8.4146310034089997E-2</v>
      </c>
      <c r="D223">
        <v>-1.5691719433819001E-2</v>
      </c>
      <c r="E223">
        <v>0.91585336636438996</v>
      </c>
      <c r="F223">
        <v>-1.9286472013864998E-2</v>
      </c>
      <c r="G223">
        <f t="shared" si="43"/>
        <v>5.1959643377688201</v>
      </c>
      <c r="H223">
        <f t="shared" si="44"/>
        <v>-1.1829571578020399</v>
      </c>
      <c r="I223">
        <f t="shared" si="45"/>
        <v>5.1959674065207002</v>
      </c>
      <c r="J223">
        <f t="shared" si="46"/>
        <v>-1.1847545288671699</v>
      </c>
      <c r="K223" s="8">
        <f t="shared" si="47"/>
        <v>-3.0687518801642E-6</v>
      </c>
      <c r="L223" s="8">
        <f t="shared" si="48"/>
        <v>1.79737106513E-3</v>
      </c>
      <c r="M223" s="8">
        <f t="shared" si="49"/>
        <v>0.182945515264892</v>
      </c>
      <c r="N223" s="8">
        <f t="shared" si="50"/>
        <v>4.1714181554336503E-2</v>
      </c>
      <c r="O223">
        <v>2.8043598176943001E-2</v>
      </c>
      <c r="P223">
        <v>-0.12312130262705</v>
      </c>
      <c r="Q223">
        <v>-4.1600622059860003E-2</v>
      </c>
      <c r="R223">
        <v>-0.13811499866304999</v>
      </c>
      <c r="S223">
        <f t="shared" si="51"/>
        <v>1.1423042029374775</v>
      </c>
      <c r="T223">
        <f t="shared" si="52"/>
        <v>-29.593917536116585</v>
      </c>
      <c r="U223" s="9">
        <f t="shared" si="53"/>
        <v>0.99328760511300029</v>
      </c>
      <c r="V223" s="9">
        <f t="shared" si="54"/>
        <v>-0.56412642694479953</v>
      </c>
    </row>
    <row r="224" spans="1:22" x14ac:dyDescent="0.25">
      <c r="A224">
        <v>2.6</v>
      </c>
      <c r="B224">
        <v>16.2</v>
      </c>
      <c r="C224">
        <v>-8.7315386790128999E-2</v>
      </c>
      <c r="D224">
        <v>-8.0140549743222995E-3</v>
      </c>
      <c r="E224">
        <v>0.91268067367696004</v>
      </c>
      <c r="F224">
        <v>-1.1632875022415E-2</v>
      </c>
      <c r="G224">
        <f t="shared" si="43"/>
        <v>5.1546670355511903</v>
      </c>
      <c r="H224">
        <f t="shared" si="44"/>
        <v>-0.63526240133512002</v>
      </c>
      <c r="I224">
        <f t="shared" si="45"/>
        <v>5.1546683397541297</v>
      </c>
      <c r="J224">
        <f t="shared" si="46"/>
        <v>-0.63707181256344703</v>
      </c>
      <c r="K224" s="8">
        <f t="shared" si="47"/>
        <v>-1.30420293942279E-6</v>
      </c>
      <c r="L224" s="8">
        <f t="shared" si="48"/>
        <v>1.80941122832701E-3</v>
      </c>
      <c r="M224" s="8">
        <f t="shared" si="49"/>
        <v>0.19108019204512799</v>
      </c>
      <c r="N224" s="8">
        <f t="shared" si="50"/>
        <v>2.3615836416153901E-2</v>
      </c>
      <c r="O224">
        <v>1.6820274617159001E-2</v>
      </c>
      <c r="P224">
        <v>-0.12776664079871</v>
      </c>
      <c r="Q224">
        <v>-5.5251606342891002E-2</v>
      </c>
      <c r="R224">
        <v>-0.13610458039156001</v>
      </c>
      <c r="S224">
        <f t="shared" si="51"/>
        <v>1.1398529588730244</v>
      </c>
      <c r="T224">
        <f t="shared" si="52"/>
        <v>-29.594445215578684</v>
      </c>
      <c r="U224" s="9">
        <f t="shared" si="53"/>
        <v>0.99115094795241221</v>
      </c>
      <c r="V224" s="9">
        <f t="shared" si="54"/>
        <v>-0.56292500941477386</v>
      </c>
    </row>
    <row r="225" spans="1:22" x14ac:dyDescent="0.25">
      <c r="A225">
        <v>2.6</v>
      </c>
      <c r="B225">
        <v>16.3</v>
      </c>
      <c r="C225">
        <v>-8.901667691548E-2</v>
      </c>
      <c r="D225">
        <v>1.1674997352534E-4</v>
      </c>
      <c r="E225">
        <v>0.91097019940524004</v>
      </c>
      <c r="F225">
        <v>-3.5345609180413998E-3</v>
      </c>
      <c r="G225">
        <f t="shared" si="43"/>
        <v>5.1144437346114202</v>
      </c>
      <c r="H225">
        <f t="shared" si="44"/>
        <v>-0.106862964322451</v>
      </c>
      <c r="I225">
        <f t="shared" si="45"/>
        <v>5.1144405058010403</v>
      </c>
      <c r="J225">
        <f t="shared" si="46"/>
        <v>-0.108688637642705</v>
      </c>
      <c r="K225" s="8">
        <f t="shared" si="47"/>
        <v>3.2288103799516E-6</v>
      </c>
      <c r="L225" s="8">
        <f t="shared" si="48"/>
        <v>1.8256733202540001E-3</v>
      </c>
      <c r="M225" s="8">
        <f t="shared" si="49"/>
        <v>0.19543654558447299</v>
      </c>
      <c r="N225" s="8">
        <f t="shared" si="50"/>
        <v>4.1532855570574198E-3</v>
      </c>
      <c r="O225">
        <v>4.9335263204584997E-3</v>
      </c>
      <c r="P225">
        <v>-0.13026876368348</v>
      </c>
      <c r="Q225">
        <v>-6.8294387360102002E-2</v>
      </c>
      <c r="R225">
        <v>-0.13160793025765999</v>
      </c>
      <c r="S225">
        <f t="shared" si="51"/>
        <v>1.137390119226225</v>
      </c>
      <c r="T225">
        <f t="shared" si="52"/>
        <v>-29.594702558336895</v>
      </c>
      <c r="U225" s="9">
        <f t="shared" si="53"/>
        <v>0.98900688052607355</v>
      </c>
      <c r="V225" s="9">
        <f t="shared" si="54"/>
        <v>-0.56171315952675638</v>
      </c>
    </row>
    <row r="226" spans="1:22" x14ac:dyDescent="0.25">
      <c r="A226">
        <v>2.6</v>
      </c>
      <c r="B226">
        <v>16.399999999999999</v>
      </c>
      <c r="C226">
        <v>-8.9202541684886005E-2</v>
      </c>
      <c r="D226">
        <v>8.2776275256099003E-3</v>
      </c>
      <c r="E226">
        <v>0.91078335112298003</v>
      </c>
      <c r="F226">
        <v>4.5995738375112999E-3</v>
      </c>
      <c r="G226">
        <f t="shared" si="43"/>
        <v>5.0757357285953804</v>
      </c>
      <c r="H226">
        <f t="shared" si="44"/>
        <v>0.40334175072940398</v>
      </c>
      <c r="I226">
        <f t="shared" si="45"/>
        <v>5.0757320570294198</v>
      </c>
      <c r="J226">
        <f t="shared" si="46"/>
        <v>0.40150270416135397</v>
      </c>
      <c r="K226" s="8">
        <f t="shared" si="47"/>
        <v>3.6715659605945899E-6</v>
      </c>
      <c r="L226" s="8">
        <f t="shared" si="48"/>
        <v>1.83904656805001E-3</v>
      </c>
      <c r="M226" s="8">
        <f t="shared" si="49"/>
        <v>0.195790814904787</v>
      </c>
      <c r="N226" s="8">
        <f t="shared" si="50"/>
        <v>-1.54875278582444E-2</v>
      </c>
      <c r="O226">
        <v>-6.9991725518378E-3</v>
      </c>
      <c r="P226">
        <v>-0.13055645772367999</v>
      </c>
      <c r="Q226">
        <v>-8.0084496344465003E-2</v>
      </c>
      <c r="R226">
        <v>-0.12491756307029001</v>
      </c>
      <c r="S226">
        <f t="shared" si="51"/>
        <v>1.1349235995347076</v>
      </c>
      <c r="T226">
        <f t="shared" si="52"/>
        <v>-29.595175386939459</v>
      </c>
      <c r="U226" s="9">
        <f t="shared" si="53"/>
        <v>0.98685751605520677</v>
      </c>
      <c r="V226" s="9">
        <f t="shared" si="54"/>
        <v>-0.5605031844567564</v>
      </c>
    </row>
    <row r="227" spans="1:22" x14ac:dyDescent="0.25">
      <c r="A227">
        <v>2.6</v>
      </c>
      <c r="B227">
        <v>16.5</v>
      </c>
      <c r="C227">
        <v>-8.7977300729438004E-2</v>
      </c>
      <c r="D227">
        <v>1.6069814670055999E-2</v>
      </c>
      <c r="E227">
        <v>0.91200399346227001</v>
      </c>
      <c r="F227">
        <v>1.2363301876154E-2</v>
      </c>
      <c r="G227">
        <f t="shared" si="43"/>
        <v>5.0381004272513596</v>
      </c>
      <c r="H227">
        <f t="shared" si="44"/>
        <v>0.89575196102709198</v>
      </c>
      <c r="I227">
        <f t="shared" si="45"/>
        <v>5.0380945089035798</v>
      </c>
      <c r="J227">
        <f t="shared" si="46"/>
        <v>0.89389867632833098</v>
      </c>
      <c r="K227" s="8">
        <f t="shared" si="47"/>
        <v>5.9183477798541196E-6</v>
      </c>
      <c r="L227" s="8">
        <f t="shared" si="48"/>
        <v>1.853284698761E-3</v>
      </c>
      <c r="M227" s="8">
        <f t="shared" si="49"/>
        <v>0.19242991860941899</v>
      </c>
      <c r="N227" s="8">
        <f t="shared" si="50"/>
        <v>-3.4142441994078898E-2</v>
      </c>
      <c r="O227">
        <v>-1.8395165943229E-2</v>
      </c>
      <c r="P227">
        <v>-0.12878315117194999</v>
      </c>
      <c r="Q227">
        <v>-9.0140591431204994E-2</v>
      </c>
      <c r="R227">
        <v>-0.11652446115302</v>
      </c>
      <c r="S227">
        <f t="shared" si="51"/>
        <v>1.1324467388901767</v>
      </c>
      <c r="T227">
        <f t="shared" si="52"/>
        <v>-29.595651636971191</v>
      </c>
      <c r="U227" s="9">
        <f t="shared" si="53"/>
        <v>0.98469914643013157</v>
      </c>
      <c r="V227" s="9">
        <f t="shared" si="54"/>
        <v>-0.55928812560501062</v>
      </c>
    </row>
    <row r="228" spans="1:22" x14ac:dyDescent="0.25">
      <c r="A228">
        <v>2.6</v>
      </c>
      <c r="B228">
        <v>16.600000000000001</v>
      </c>
      <c r="C228">
        <v>-8.5564094942085001E-2</v>
      </c>
      <c r="D228">
        <v>2.3178273106121E-2</v>
      </c>
      <c r="E228">
        <v>0.91441319843288005</v>
      </c>
      <c r="F228">
        <v>1.9442940650839999E-2</v>
      </c>
      <c r="G228">
        <f t="shared" si="43"/>
        <v>5.0016211938568604</v>
      </c>
      <c r="H228">
        <f t="shared" si="44"/>
        <v>1.3709857180652401</v>
      </c>
      <c r="I228">
        <f t="shared" si="45"/>
        <v>5.0016133286992002</v>
      </c>
      <c r="J228">
        <f t="shared" si="46"/>
        <v>1.3691180159434999</v>
      </c>
      <c r="K228" s="8">
        <f t="shared" si="47"/>
        <v>7.8651576602695206E-6</v>
      </c>
      <c r="L228" s="8">
        <f t="shared" si="48"/>
        <v>1.8677021217401401E-3</v>
      </c>
      <c r="M228" s="8">
        <f t="shared" si="49"/>
        <v>0.185998438223379</v>
      </c>
      <c r="N228" s="8">
        <f t="shared" si="50"/>
        <v>-5.0914334230473798E-2</v>
      </c>
      <c r="O228">
        <v>-2.8793528451823001E-2</v>
      </c>
      <c r="P228">
        <v>-0.12527216169628</v>
      </c>
      <c r="Q228">
        <v>-9.8202587986429002E-2</v>
      </c>
      <c r="R228">
        <v>-0.10701663891657</v>
      </c>
      <c r="S228">
        <f t="shared" si="51"/>
        <v>1.1299768445541276</v>
      </c>
      <c r="T228">
        <f t="shared" si="52"/>
        <v>-29.596208841393253</v>
      </c>
      <c r="U228" s="9">
        <f t="shared" si="53"/>
        <v>0.98254606595652316</v>
      </c>
      <c r="V228" s="9">
        <f t="shared" si="54"/>
        <v>-0.5580778597130176</v>
      </c>
    </row>
    <row r="229" spans="1:22" x14ac:dyDescent="0.25">
      <c r="A229">
        <v>2.6</v>
      </c>
      <c r="B229">
        <v>16.7</v>
      </c>
      <c r="C229">
        <v>-8.2251007230086007E-2</v>
      </c>
      <c r="D229">
        <v>2.9402235813792001E-2</v>
      </c>
      <c r="E229">
        <v>0.91771555804802996</v>
      </c>
      <c r="F229">
        <v>2.5636019344675E-2</v>
      </c>
      <c r="G229">
        <f t="shared" si="43"/>
        <v>4.9660965410364</v>
      </c>
      <c r="H229">
        <f t="shared" si="44"/>
        <v>1.82938679073652</v>
      </c>
      <c r="I229">
        <f t="shared" si="45"/>
        <v>4.9660833696578601</v>
      </c>
      <c r="J229">
        <f t="shared" si="46"/>
        <v>1.8275036262172899</v>
      </c>
      <c r="K229" s="8">
        <f t="shared" si="47"/>
        <v>1.3171378539844599E-5</v>
      </c>
      <c r="L229" s="8">
        <f t="shared" si="48"/>
        <v>1.8831645192301E-3</v>
      </c>
      <c r="M229" s="8">
        <f t="shared" si="49"/>
        <v>0.17734901362080299</v>
      </c>
      <c r="N229" s="8">
        <f t="shared" si="50"/>
        <v>-6.5263899409809104E-2</v>
      </c>
      <c r="O229">
        <v>-3.7900342599699002E-2</v>
      </c>
      <c r="P229">
        <v>-0.12044410012579999</v>
      </c>
      <c r="Q229">
        <v>-0.10422975977224</v>
      </c>
      <c r="R229">
        <v>-9.6977841498631007E-2</v>
      </c>
      <c r="S229">
        <f t="shared" si="51"/>
        <v>1.1275175238741582</v>
      </c>
      <c r="T229">
        <f t="shared" si="52"/>
        <v>-29.596848882679041</v>
      </c>
      <c r="U229" s="9">
        <f t="shared" si="53"/>
        <v>0.98040139803684234</v>
      </c>
      <c r="V229" s="9">
        <f t="shared" si="54"/>
        <v>-0.5568741916902934</v>
      </c>
    </row>
    <row r="230" spans="1:22" x14ac:dyDescent="0.25">
      <c r="A230">
        <v>2.6</v>
      </c>
      <c r="B230">
        <v>16.8</v>
      </c>
      <c r="C230">
        <v>-7.8337768833984994E-2</v>
      </c>
      <c r="D230">
        <v>3.4655282128706E-2</v>
      </c>
      <c r="E230">
        <v>0.92162830239435001</v>
      </c>
      <c r="F230">
        <v>3.0859324765677001E-2</v>
      </c>
      <c r="G230">
        <f t="shared" si="43"/>
        <v>4.9318733918914104</v>
      </c>
      <c r="H230">
        <f t="shared" si="44"/>
        <v>2.2718176538576502</v>
      </c>
      <c r="I230">
        <f t="shared" si="45"/>
        <v>4.9318600297112001</v>
      </c>
      <c r="J230">
        <f t="shared" si="46"/>
        <v>2.2699196176159799</v>
      </c>
      <c r="K230" s="8">
        <f t="shared" si="47"/>
        <v>1.33621802103079E-5</v>
      </c>
      <c r="L230" s="8">
        <f t="shared" si="48"/>
        <v>1.89803624167029E-3</v>
      </c>
      <c r="M230" s="8">
        <f t="shared" si="49"/>
        <v>0.16731907666418</v>
      </c>
      <c r="N230" s="8">
        <f t="shared" si="50"/>
        <v>-7.7009658066807499E-2</v>
      </c>
      <c r="O230">
        <v>-4.5587793460879003E-2</v>
      </c>
      <c r="P230">
        <v>-0.11473574125042001</v>
      </c>
      <c r="Q230">
        <v>-0.10835421641611</v>
      </c>
      <c r="R230">
        <v>-8.6910031672146004E-2</v>
      </c>
      <c r="S230">
        <f t="shared" si="51"/>
        <v>1.1250773724713639</v>
      </c>
      <c r="T230">
        <f t="shared" si="52"/>
        <v>-29.597844481830261</v>
      </c>
      <c r="U230" s="9">
        <f t="shared" si="53"/>
        <v>0.97826997675913852</v>
      </c>
      <c r="V230" s="9">
        <f t="shared" si="54"/>
        <v>-0.5556860144170831</v>
      </c>
    </row>
    <row r="231" spans="1:22" x14ac:dyDescent="0.25">
      <c r="A231">
        <v>2.6</v>
      </c>
      <c r="B231">
        <v>16.899999999999999</v>
      </c>
      <c r="C231">
        <v>-7.4095135649102001E-2</v>
      </c>
      <c r="D231">
        <v>3.8944559977413001E-2</v>
      </c>
      <c r="E231">
        <v>0.92586907052504996</v>
      </c>
      <c r="F231">
        <v>3.5118036252421998E-2</v>
      </c>
      <c r="G231">
        <f t="shared" si="43"/>
        <v>4.8986376148872601</v>
      </c>
      <c r="H231">
        <f t="shared" si="44"/>
        <v>2.69843493806431</v>
      </c>
      <c r="I231">
        <f t="shared" si="45"/>
        <v>4.8986233784081303</v>
      </c>
      <c r="J231">
        <f t="shared" si="46"/>
        <v>2.69652161472112</v>
      </c>
      <c r="K231" s="8">
        <f t="shared" si="47"/>
        <v>1.4236479129792199E-5</v>
      </c>
      <c r="L231" s="8">
        <f t="shared" si="48"/>
        <v>1.9133233431900499E-3</v>
      </c>
      <c r="M231" s="8">
        <f t="shared" si="49"/>
        <v>0.15666701227118299</v>
      </c>
      <c r="N231" s="8">
        <f t="shared" si="50"/>
        <v>-8.6239735588798605E-2</v>
      </c>
      <c r="O231">
        <v>-5.1867160958485002E-2</v>
      </c>
      <c r="P231">
        <v>-0.10854532217204001</v>
      </c>
      <c r="Q231">
        <v>-0.11081784849066</v>
      </c>
      <c r="R231">
        <v>-7.7195444203169997E-2</v>
      </c>
      <c r="S231">
        <f t="shared" si="51"/>
        <v>1.1226402520790957</v>
      </c>
      <c r="T231">
        <f t="shared" si="52"/>
        <v>-29.598745973128487</v>
      </c>
      <c r="U231" s="9">
        <f t="shared" si="53"/>
        <v>0.97614214330859606</v>
      </c>
      <c r="V231" s="9">
        <f t="shared" si="54"/>
        <v>-0.55449765702400911</v>
      </c>
    </row>
    <row r="232" spans="1:22" x14ac:dyDescent="0.25">
      <c r="A232">
        <v>2.6</v>
      </c>
      <c r="B232">
        <v>17</v>
      </c>
      <c r="C232">
        <v>-6.9743542250731996E-2</v>
      </c>
      <c r="D232">
        <v>4.2341203350424003E-2</v>
      </c>
      <c r="E232">
        <v>0.93021931925382995</v>
      </c>
      <c r="F232">
        <v>3.8483027481658001E-2</v>
      </c>
      <c r="G232">
        <f t="shared" si="43"/>
        <v>4.8664134581326799</v>
      </c>
      <c r="H232">
        <f t="shared" si="44"/>
        <v>3.1096408384596401</v>
      </c>
      <c r="I232">
        <f t="shared" si="45"/>
        <v>4.8663986101138601</v>
      </c>
      <c r="J232">
        <f t="shared" si="46"/>
        <v>3.10771168605921</v>
      </c>
      <c r="K232" s="8">
        <f t="shared" si="47"/>
        <v>1.4848018819790801E-5</v>
      </c>
      <c r="L232" s="8">
        <f t="shared" si="48"/>
        <v>1.92915240043012E-3</v>
      </c>
      <c r="M232" s="8">
        <f t="shared" si="49"/>
        <v>0.145964046958282</v>
      </c>
      <c r="N232" s="8">
        <f t="shared" si="50"/>
        <v>-9.3213526227382798E-2</v>
      </c>
      <c r="O232">
        <v>-5.6841853286885999E-2</v>
      </c>
      <c r="P232">
        <v>-0.10219475923974999</v>
      </c>
      <c r="Q232">
        <v>-0.11191042343664</v>
      </c>
      <c r="R232">
        <v>-6.8087990263963005E-2</v>
      </c>
      <c r="S232">
        <f t="shared" si="51"/>
        <v>1.1202053891441957</v>
      </c>
      <c r="T232">
        <f t="shared" si="52"/>
        <v>-29.599742924612354</v>
      </c>
      <c r="U232" s="9">
        <f t="shared" si="53"/>
        <v>0.97401538848185965</v>
      </c>
      <c r="V232" s="9">
        <f t="shared" si="54"/>
        <v>-0.55331197065329329</v>
      </c>
    </row>
    <row r="233" spans="1:22" x14ac:dyDescent="0.25">
      <c r="A233">
        <v>2.8</v>
      </c>
      <c r="B233">
        <v>15</v>
      </c>
      <c r="C233">
        <v>-3.0767367022056E-2</v>
      </c>
      <c r="D233">
        <v>-4.1714523706458E-2</v>
      </c>
      <c r="E233">
        <v>0.96926204531075</v>
      </c>
      <c r="F233">
        <v>-4.5291213098347001E-2</v>
      </c>
      <c r="G233">
        <f t="shared" si="43"/>
        <v>4.9175765414406696</v>
      </c>
      <c r="H233">
        <f t="shared" si="44"/>
        <v>-7.66284948815413</v>
      </c>
      <c r="I233">
        <f t="shared" si="45"/>
        <v>4.9175944454162197</v>
      </c>
      <c r="J233">
        <f t="shared" si="46"/>
        <v>-7.6646377745327401</v>
      </c>
      <c r="K233" s="8">
        <f t="shared" si="47"/>
        <v>-1.7903975550126501E-5</v>
      </c>
      <c r="L233" s="8">
        <f t="shared" si="48"/>
        <v>1.78828637861006E-3</v>
      </c>
      <c r="M233" s="8">
        <f t="shared" si="49"/>
        <v>5.9298560099372601E-2</v>
      </c>
      <c r="N233" s="8">
        <f t="shared" si="50"/>
        <v>9.2423641021617806E-2</v>
      </c>
      <c r="O233">
        <v>6.1462348789613E-2</v>
      </c>
      <c r="P233">
        <v>-4.2044073750304001E-2</v>
      </c>
      <c r="Q233">
        <v>3.8167371570515002E-2</v>
      </c>
      <c r="R233">
        <v>-7.8089769088353994E-2</v>
      </c>
      <c r="S233">
        <f t="shared" si="51"/>
        <v>1.1672042588701408</v>
      </c>
      <c r="T233">
        <f t="shared" si="52"/>
        <v>-29.577778851546029</v>
      </c>
      <c r="U233" s="9">
        <f t="shared" si="53"/>
        <v>1.0151017057610008</v>
      </c>
      <c r="V233" s="9">
        <f t="shared" si="54"/>
        <v>-0.57613740451883644</v>
      </c>
    </row>
    <row r="234" spans="1:22" x14ac:dyDescent="0.25">
      <c r="A234">
        <v>2.8</v>
      </c>
      <c r="B234" s="1">
        <v>15.1</v>
      </c>
      <c r="C234">
        <v>-3.4736509990894997E-2</v>
      </c>
      <c r="D234">
        <v>-4.3204793954414997E-2</v>
      </c>
      <c r="E234">
        <v>0.96529459531412998</v>
      </c>
      <c r="F234">
        <v>-4.6807601084850999E-2</v>
      </c>
      <c r="G234">
        <f t="shared" si="43"/>
        <v>4.8729175291123701</v>
      </c>
      <c r="H234">
        <f t="shared" si="44"/>
        <v>-6.9636253418709098</v>
      </c>
      <c r="I234">
        <f t="shared" si="45"/>
        <v>4.87293632641589</v>
      </c>
      <c r="J234">
        <f t="shared" si="46"/>
        <v>-6.9654266835589898</v>
      </c>
      <c r="K234" s="8">
        <f t="shared" si="47"/>
        <v>-1.87973035199462E-5</v>
      </c>
      <c r="L234" s="8">
        <f t="shared" si="48"/>
        <v>1.80134168807999E-3</v>
      </c>
      <c r="M234" s="8">
        <f t="shared" si="49"/>
        <v>6.7433653260272702E-2</v>
      </c>
      <c r="N234" s="8">
        <f t="shared" si="50"/>
        <v>9.6390376628303201E-2</v>
      </c>
      <c r="O234">
        <v>6.3450328809348006E-2</v>
      </c>
      <c r="P234">
        <v>-4.7436196658766E-2</v>
      </c>
      <c r="Q234">
        <v>3.7020843306792998E-2</v>
      </c>
      <c r="R234">
        <v>-8.4576072592108004E-2</v>
      </c>
      <c r="S234">
        <f t="shared" si="51"/>
        <v>1.1653777498422244</v>
      </c>
      <c r="T234">
        <f t="shared" si="52"/>
        <v>-29.577713452595287</v>
      </c>
      <c r="U234" s="9">
        <f t="shared" si="53"/>
        <v>1.0135138722329824</v>
      </c>
      <c r="V234" s="9">
        <f t="shared" si="54"/>
        <v>-0.57523467438831577</v>
      </c>
    </row>
    <row r="235" spans="1:22" x14ac:dyDescent="0.25">
      <c r="A235">
        <v>2.8</v>
      </c>
      <c r="B235" s="1">
        <v>15.2</v>
      </c>
      <c r="C235">
        <v>-3.9232022392432002E-2</v>
      </c>
      <c r="D235">
        <v>-4.4449904622996E-2</v>
      </c>
      <c r="E235">
        <v>0.96079881663906996</v>
      </c>
      <c r="F235">
        <v>-4.8081904932095999E-2</v>
      </c>
      <c r="G235">
        <f t="shared" si="43"/>
        <v>4.8305411318908904</v>
      </c>
      <c r="H235">
        <f t="shared" si="44"/>
        <v>-6.2878249478202299</v>
      </c>
      <c r="I235">
        <f t="shared" si="45"/>
        <v>4.8305598488620296</v>
      </c>
      <c r="J235">
        <f t="shared" si="46"/>
        <v>-6.2896408859838804</v>
      </c>
      <c r="K235" s="8">
        <f t="shared" si="47"/>
        <v>-1.87169711391988E-5</v>
      </c>
      <c r="L235" s="8">
        <f t="shared" si="48"/>
        <v>1.81593816365044E-3</v>
      </c>
      <c r="M235" s="8">
        <f t="shared" si="49"/>
        <v>7.6804913443596398E-2</v>
      </c>
      <c r="N235" s="8">
        <f t="shared" si="50"/>
        <v>0.100004003459992</v>
      </c>
      <c r="O235">
        <v>6.5144913680695998E-2</v>
      </c>
      <c r="P235">
        <v>-5.3566426063705E-2</v>
      </c>
      <c r="Q235">
        <v>3.5140418167845001E-2</v>
      </c>
      <c r="R235">
        <v>-9.1572455127065994E-2</v>
      </c>
      <c r="S235">
        <f t="shared" si="51"/>
        <v>1.1629540803207929</v>
      </c>
      <c r="T235">
        <f t="shared" si="52"/>
        <v>-29.576686373908419</v>
      </c>
      <c r="U235" s="9">
        <f t="shared" si="53"/>
        <v>1.011416328366388</v>
      </c>
      <c r="V235" s="9">
        <f t="shared" si="54"/>
        <v>-0.5740202118816341</v>
      </c>
    </row>
    <row r="236" spans="1:22" x14ac:dyDescent="0.25">
      <c r="A236">
        <v>2.8</v>
      </c>
      <c r="B236" s="1">
        <v>15.3</v>
      </c>
      <c r="C236">
        <v>-4.4272493003129E-2</v>
      </c>
      <c r="D236">
        <v>-4.5332549254851001E-2</v>
      </c>
      <c r="E236">
        <v>0.95575878066946995</v>
      </c>
      <c r="F236">
        <v>-4.8995820840477003E-2</v>
      </c>
      <c r="G236">
        <f t="shared" si="43"/>
        <v>4.7899121263050004</v>
      </c>
      <c r="H236">
        <f t="shared" si="44"/>
        <v>-5.6365122616949899</v>
      </c>
      <c r="I236">
        <f t="shared" si="45"/>
        <v>4.7899311176178498</v>
      </c>
      <c r="J236">
        <f t="shared" si="46"/>
        <v>-5.6383438340626402</v>
      </c>
      <c r="K236" s="8">
        <f t="shared" si="47"/>
        <v>-1.8991312849436801E-5</v>
      </c>
      <c r="L236" s="8">
        <f t="shared" si="48"/>
        <v>1.8315723676503E-3</v>
      </c>
      <c r="M236" s="8">
        <f t="shared" si="49"/>
        <v>8.7512323221120195E-2</v>
      </c>
      <c r="N236" s="8">
        <f t="shared" si="50"/>
        <v>0.10301287344685101</v>
      </c>
      <c r="O236">
        <v>6.6348428982167001E-2</v>
      </c>
      <c r="P236">
        <v>-6.0439538344872E-2</v>
      </c>
      <c r="Q236">
        <v>3.2346550180951998E-2</v>
      </c>
      <c r="R236">
        <v>-9.9008822058390997E-2</v>
      </c>
      <c r="S236">
        <f t="shared" si="51"/>
        <v>1.1605439955277683</v>
      </c>
      <c r="T236">
        <f t="shared" si="52"/>
        <v>-29.575903314737022</v>
      </c>
      <c r="U236" s="9">
        <f t="shared" si="53"/>
        <v>1.0093281164018504</v>
      </c>
      <c r="V236" s="9">
        <f t="shared" si="54"/>
        <v>-0.5728168284855546</v>
      </c>
    </row>
    <row r="237" spans="1:22" x14ac:dyDescent="0.25">
      <c r="A237">
        <v>2.8</v>
      </c>
      <c r="B237" s="1">
        <v>15.4</v>
      </c>
      <c r="C237">
        <v>-4.9868068972921002E-2</v>
      </c>
      <c r="D237">
        <v>-4.5711782280703002E-2</v>
      </c>
      <c r="E237">
        <v>0.95016365229080002</v>
      </c>
      <c r="F237">
        <v>-4.9407998618903E-2</v>
      </c>
      <c r="G237">
        <f t="shared" si="43"/>
        <v>4.7507020313790704</v>
      </c>
      <c r="H237">
        <f t="shared" si="44"/>
        <v>-5.0083479862307003</v>
      </c>
      <c r="I237">
        <f t="shared" si="45"/>
        <v>4.7507213070889902</v>
      </c>
      <c r="J237">
        <f t="shared" si="46"/>
        <v>-5.0101960294650603</v>
      </c>
      <c r="K237" s="8">
        <f t="shared" si="47"/>
        <v>-1.9275709919774901E-5</v>
      </c>
      <c r="L237" s="8">
        <f t="shared" si="48"/>
        <v>1.84804323435994E-3</v>
      </c>
      <c r="M237" s="8">
        <f t="shared" si="49"/>
        <v>9.9655550159652301E-2</v>
      </c>
      <c r="N237" s="8">
        <f t="shared" si="50"/>
        <v>0.10509853334882099</v>
      </c>
      <c r="O237">
        <v>6.6868954589579005E-2</v>
      </c>
      <c r="P237">
        <v>-6.8071144750506005E-2</v>
      </c>
      <c r="Q237">
        <v>2.844186232116E-2</v>
      </c>
      <c r="R237">
        <v>-0.10678596289045</v>
      </c>
      <c r="S237">
        <f t="shared" si="51"/>
        <v>1.1581194651036801</v>
      </c>
      <c r="T237">
        <f t="shared" si="52"/>
        <v>-29.575374953139775</v>
      </c>
      <c r="U237" s="9">
        <f t="shared" si="53"/>
        <v>1.0072247672550707</v>
      </c>
      <c r="V237" s="9">
        <f t="shared" si="54"/>
        <v>-0.57161084986203914</v>
      </c>
    </row>
    <row r="238" spans="1:22" x14ac:dyDescent="0.25">
      <c r="A238">
        <v>2.8</v>
      </c>
      <c r="B238" s="1">
        <v>15.5</v>
      </c>
      <c r="C238">
        <v>-5.5993956547354E-2</v>
      </c>
      <c r="D238">
        <v>-4.5418675227347001E-2</v>
      </c>
      <c r="E238">
        <v>0.94403788223175999</v>
      </c>
      <c r="F238">
        <v>-4.9149309687384998E-2</v>
      </c>
      <c r="G238">
        <f t="shared" si="43"/>
        <v>4.7127614471446302</v>
      </c>
      <c r="H238">
        <f t="shared" si="44"/>
        <v>-4.4022341175617203</v>
      </c>
      <c r="I238">
        <f t="shared" si="45"/>
        <v>4.71278084551086</v>
      </c>
      <c r="J238">
        <f t="shared" si="46"/>
        <v>-4.40409936891397</v>
      </c>
      <c r="K238" s="8">
        <f t="shared" si="47"/>
        <v>-1.9398366229772501E-5</v>
      </c>
      <c r="L238" s="8">
        <f t="shared" si="48"/>
        <v>1.86525135224969E-3</v>
      </c>
      <c r="M238" s="8">
        <f t="shared" si="49"/>
        <v>0.113270589691478</v>
      </c>
      <c r="N238" s="8">
        <f t="shared" si="50"/>
        <v>0.10585150231459001</v>
      </c>
      <c r="O238">
        <v>6.6475215094210005E-2</v>
      </c>
      <c r="P238">
        <v>-7.6427720242721001E-2</v>
      </c>
      <c r="Q238">
        <v>2.3220292064048E-2</v>
      </c>
      <c r="R238">
        <v>-0.11473579061397</v>
      </c>
      <c r="S238">
        <f t="shared" si="51"/>
        <v>1.1556827307891</v>
      </c>
      <c r="T238">
        <f t="shared" si="52"/>
        <v>-29.57503476831393</v>
      </c>
      <c r="U238" s="9">
        <f t="shared" si="53"/>
        <v>1.00510890871694</v>
      </c>
      <c r="V238" s="9">
        <f t="shared" si="54"/>
        <v>-0.57040218781311947</v>
      </c>
    </row>
    <row r="239" spans="1:22" x14ac:dyDescent="0.25">
      <c r="A239">
        <v>2.8</v>
      </c>
      <c r="B239">
        <v>15.6</v>
      </c>
      <c r="C239">
        <v>-6.2574431643972001E-2</v>
      </c>
      <c r="D239">
        <v>-4.4263800875714E-2</v>
      </c>
      <c r="E239">
        <v>0.93745705323508999</v>
      </c>
      <c r="F239">
        <v>-4.8034396982081999E-2</v>
      </c>
      <c r="G239">
        <f t="shared" si="43"/>
        <v>4.6758371376618904</v>
      </c>
      <c r="H239">
        <f t="shared" si="44"/>
        <v>-3.817242649682</v>
      </c>
      <c r="I239">
        <f t="shared" si="45"/>
        <v>4.6758564340218802</v>
      </c>
      <c r="J239">
        <f t="shared" si="46"/>
        <v>-3.8191278816776499</v>
      </c>
      <c r="K239" s="8">
        <f t="shared" si="47"/>
        <v>-1.92963599898732E-5</v>
      </c>
      <c r="L239" s="8">
        <f t="shared" si="48"/>
        <v>1.8852319956499399E-3</v>
      </c>
      <c r="M239" s="8">
        <f t="shared" si="49"/>
        <v>0.12828359678540599</v>
      </c>
      <c r="N239" s="8">
        <f t="shared" si="50"/>
        <v>0.104778978601708</v>
      </c>
      <c r="O239">
        <v>6.4906332249276E-2</v>
      </c>
      <c r="P239">
        <v>-8.5403884942979E-2</v>
      </c>
      <c r="Q239">
        <v>1.6490044490072998E-2</v>
      </c>
      <c r="R239">
        <v>-0.12260692207401</v>
      </c>
      <c r="S239">
        <f t="shared" si="51"/>
        <v>1.1532761179535889</v>
      </c>
      <c r="T239">
        <f t="shared" si="52"/>
        <v>-29.574528635095763</v>
      </c>
      <c r="U239" s="9">
        <f t="shared" si="53"/>
        <v>1.0030208815240644</v>
      </c>
      <c r="V239" s="9">
        <f t="shared" si="54"/>
        <v>-0.56920551250737983</v>
      </c>
    </row>
    <row r="240" spans="1:22" x14ac:dyDescent="0.25">
      <c r="A240">
        <v>2.8</v>
      </c>
      <c r="B240">
        <v>15.7</v>
      </c>
      <c r="C240">
        <v>-6.9466153128417002E-2</v>
      </c>
      <c r="D240">
        <v>-4.2052819591353E-2</v>
      </c>
      <c r="E240">
        <v>0.93056373517903002</v>
      </c>
      <c r="F240">
        <v>-4.5860775812630997E-2</v>
      </c>
      <c r="G240">
        <f t="shared" si="43"/>
        <v>4.6402065575115596</v>
      </c>
      <c r="H240">
        <f t="shared" si="44"/>
        <v>-3.25237410073913</v>
      </c>
      <c r="I240">
        <f t="shared" si="45"/>
        <v>4.6402251263989296</v>
      </c>
      <c r="J240">
        <f t="shared" si="46"/>
        <v>-3.2542780150426101</v>
      </c>
      <c r="K240" s="8">
        <f t="shared" si="47"/>
        <v>-1.8568887369951901E-5</v>
      </c>
      <c r="L240" s="8">
        <f t="shared" si="48"/>
        <v>1.90391430348003E-3</v>
      </c>
      <c r="M240" s="8">
        <f t="shared" si="49"/>
        <v>0.14445622981248399</v>
      </c>
      <c r="N240" s="8">
        <f t="shared" si="50"/>
        <v>0.10130989769014399</v>
      </c>
      <c r="O240">
        <v>6.1899750660053002E-2</v>
      </c>
      <c r="P240">
        <v>-9.4808034272294006E-2</v>
      </c>
      <c r="Q240">
        <v>8.1046701494706993E-3</v>
      </c>
      <c r="R240">
        <v>-0.13005271616409</v>
      </c>
      <c r="S240">
        <f t="shared" si="51"/>
        <v>1.1508392764610058</v>
      </c>
      <c r="T240">
        <f t="shared" si="52"/>
        <v>-29.57437712821233</v>
      </c>
      <c r="U240" s="9">
        <f t="shared" si="53"/>
        <v>1.0009030272772774</v>
      </c>
      <c r="V240" s="9">
        <f t="shared" si="54"/>
        <v>-0.56800014985250924</v>
      </c>
    </row>
    <row r="241" spans="1:22" x14ac:dyDescent="0.25">
      <c r="A241">
        <v>2.8</v>
      </c>
      <c r="B241">
        <v>15.8</v>
      </c>
      <c r="C241">
        <v>-7.6445772524423999E-2</v>
      </c>
      <c r="D241">
        <v>-3.8613018604120003E-2</v>
      </c>
      <c r="E241">
        <v>0.92358236347306999</v>
      </c>
      <c r="F241">
        <v>-4.2455054839665003E-2</v>
      </c>
      <c r="G241">
        <f t="shared" si="43"/>
        <v>4.6057765631101004</v>
      </c>
      <c r="H241">
        <f t="shared" si="44"/>
        <v>-2.70679144053054</v>
      </c>
      <c r="I241">
        <f t="shared" si="45"/>
        <v>4.6057943210522101</v>
      </c>
      <c r="J241">
        <f t="shared" si="46"/>
        <v>-2.7087123975109799</v>
      </c>
      <c r="K241" s="8">
        <f t="shared" si="47"/>
        <v>-1.7757942109675201E-5</v>
      </c>
      <c r="L241" s="8">
        <f t="shared" si="48"/>
        <v>1.9209569804399299E-3</v>
      </c>
      <c r="M241" s="8">
        <f t="shared" si="49"/>
        <v>0.16132117124161</v>
      </c>
      <c r="N241" s="8">
        <f t="shared" si="50"/>
        <v>9.4874548462969902E-2</v>
      </c>
      <c r="O241">
        <v>5.7217577749436997E-2</v>
      </c>
      <c r="P241">
        <v>-0.10433327436061</v>
      </c>
      <c r="Q241">
        <v>-1.988239749902E-3</v>
      </c>
      <c r="R241">
        <v>-0.13663779572238999</v>
      </c>
      <c r="S241">
        <f t="shared" si="51"/>
        <v>1.1484079336634676</v>
      </c>
      <c r="T241">
        <f t="shared" si="52"/>
        <v>-29.574536322680842</v>
      </c>
      <c r="U241" s="9">
        <f t="shared" si="53"/>
        <v>0.99878687534917188</v>
      </c>
      <c r="V241" s="9">
        <f t="shared" si="54"/>
        <v>-0.56680292847817348</v>
      </c>
    </row>
    <row r="242" spans="1:22" x14ac:dyDescent="0.25">
      <c r="A242">
        <v>2.8</v>
      </c>
      <c r="B242">
        <v>15.9</v>
      </c>
      <c r="C242">
        <v>-8.3208917470677005E-2</v>
      </c>
      <c r="D242">
        <v>-3.3829841905527999E-2</v>
      </c>
      <c r="E242">
        <v>0.91681507935573003</v>
      </c>
      <c r="F242">
        <v>-3.7716083613183002E-2</v>
      </c>
      <c r="G242">
        <f t="shared" si="43"/>
        <v>4.5720890941630996</v>
      </c>
      <c r="H242">
        <f t="shared" si="44"/>
        <v>-2.1799257698644201</v>
      </c>
      <c r="I242">
        <f t="shared" si="45"/>
        <v>4.5721048680008298</v>
      </c>
      <c r="J242">
        <f t="shared" si="46"/>
        <v>-2.18186883675406</v>
      </c>
      <c r="K242" s="8">
        <f t="shared" si="47"/>
        <v>-1.5773837730215201E-5</v>
      </c>
      <c r="L242" s="8">
        <f t="shared" si="48"/>
        <v>1.9430668896398601E-3</v>
      </c>
      <c r="M242" s="8">
        <f t="shared" si="49"/>
        <v>0.17814764403373801</v>
      </c>
      <c r="N242" s="8">
        <f t="shared" si="50"/>
        <v>8.5014408916724293E-2</v>
      </c>
      <c r="O242">
        <v>5.0704002270344002E-2</v>
      </c>
      <c r="P242">
        <v>-0.11356579213982999</v>
      </c>
      <c r="Q242">
        <v>-1.3697395936368E-2</v>
      </c>
      <c r="R242">
        <v>-0.14186713000976001</v>
      </c>
      <c r="S242">
        <f t="shared" si="51"/>
        <v>1.1459835759606998</v>
      </c>
      <c r="T242">
        <f t="shared" si="52"/>
        <v>-29.574311263975705</v>
      </c>
      <c r="U242" s="9">
        <f t="shared" si="53"/>
        <v>0.99668059833507716</v>
      </c>
      <c r="V242" s="9">
        <f t="shared" si="54"/>
        <v>-0.56560245868817205</v>
      </c>
    </row>
    <row r="243" spans="1:22" x14ac:dyDescent="0.25">
      <c r="A243">
        <v>2.8</v>
      </c>
      <c r="B243">
        <v>16</v>
      </c>
      <c r="C243">
        <v>-8.9388734869062E-2</v>
      </c>
      <c r="D243">
        <v>-2.7687902993688E-2</v>
      </c>
      <c r="E243">
        <v>0.91063140289842004</v>
      </c>
      <c r="F243">
        <v>-3.1614585915765998E-2</v>
      </c>
      <c r="G243">
        <f t="shared" si="43"/>
        <v>4.5395320583292902</v>
      </c>
      <c r="H243">
        <f t="shared" si="44"/>
        <v>-1.6708782063351599</v>
      </c>
      <c r="I243">
        <f t="shared" si="45"/>
        <v>4.5395459816900603</v>
      </c>
      <c r="J243">
        <f t="shared" si="46"/>
        <v>-1.6728415006917099</v>
      </c>
      <c r="K243" s="8">
        <f t="shared" si="47"/>
        <v>-1.3923360770107301E-5</v>
      </c>
      <c r="L243" s="8">
        <f t="shared" si="48"/>
        <v>1.9632943565499601E-3</v>
      </c>
      <c r="M243" s="8">
        <f t="shared" si="49"/>
        <v>0.193948985412283</v>
      </c>
      <c r="N243" s="8">
        <f t="shared" si="50"/>
        <v>7.1471004616617401E-2</v>
      </c>
      <c r="O243">
        <v>4.233819974256E-2</v>
      </c>
      <c r="P243">
        <v>-0.12200795916161</v>
      </c>
      <c r="Q243">
        <v>-2.6753189703263E-2</v>
      </c>
      <c r="R243">
        <v>-0.14523764308962001</v>
      </c>
      <c r="S243">
        <f t="shared" si="51"/>
        <v>1.1435281621021469</v>
      </c>
      <c r="T243">
        <f t="shared" si="52"/>
        <v>-29.574427560016815</v>
      </c>
      <c r="U243" s="9">
        <f t="shared" si="53"/>
        <v>0.99454393929989671</v>
      </c>
      <c r="V243" s="9">
        <f t="shared" si="54"/>
        <v>-0.56439260300127725</v>
      </c>
    </row>
    <row r="244" spans="1:22" x14ac:dyDescent="0.25">
      <c r="A244">
        <v>2.8</v>
      </c>
      <c r="B244">
        <v>16.100000000000001</v>
      </c>
      <c r="C244">
        <v>-9.4597745381367004E-2</v>
      </c>
      <c r="D244">
        <v>-2.0304696991838001E-2</v>
      </c>
      <c r="E244">
        <v>0.90541170847600005</v>
      </c>
      <c r="F244">
        <v>-2.4265086486914E-2</v>
      </c>
      <c r="G244">
        <f t="shared" si="43"/>
        <v>4.5078554755267897</v>
      </c>
      <c r="H244">
        <f t="shared" si="44"/>
        <v>-1.17879691605115</v>
      </c>
      <c r="I244">
        <f t="shared" si="45"/>
        <v>4.5078641235333796</v>
      </c>
      <c r="J244">
        <f t="shared" si="46"/>
        <v>-1.1807770843138401</v>
      </c>
      <c r="K244" s="8">
        <f t="shared" si="47"/>
        <v>-8.6480065899507997E-6</v>
      </c>
      <c r="L244" s="8">
        <f t="shared" si="48"/>
        <v>1.9801682626901002E-3</v>
      </c>
      <c r="M244" s="8">
        <f t="shared" si="49"/>
        <v>0.207591474552282</v>
      </c>
      <c r="N244" s="8">
        <f t="shared" si="50"/>
        <v>5.4375919356265498E-2</v>
      </c>
      <c r="O244">
        <v>3.2277349314802001E-2</v>
      </c>
      <c r="P244">
        <v>-0.12912802723951999</v>
      </c>
      <c r="Q244">
        <v>-4.0690615811235002E-2</v>
      </c>
      <c r="R244">
        <v>-0.14632838986621999</v>
      </c>
      <c r="S244">
        <f t="shared" si="51"/>
        <v>1.1410930817778955</v>
      </c>
      <c r="T244">
        <f t="shared" si="52"/>
        <v>-29.574344676029913</v>
      </c>
      <c r="U244" s="9">
        <f t="shared" si="53"/>
        <v>0.99242692739344573</v>
      </c>
      <c r="V244" s="9">
        <f t="shared" si="54"/>
        <v>-0.56318932435352453</v>
      </c>
    </row>
    <row r="245" spans="1:22" x14ac:dyDescent="0.25">
      <c r="A245">
        <v>2.8</v>
      </c>
      <c r="B245">
        <v>16.2</v>
      </c>
      <c r="C245">
        <v>-9.8488106834496006E-2</v>
      </c>
      <c r="D245">
        <v>-1.1941143405161E-2</v>
      </c>
      <c r="E245">
        <v>0.90151556968525004</v>
      </c>
      <c r="F245">
        <v>-1.5941841966337002E-2</v>
      </c>
      <c r="G245">
        <f t="shared" si="43"/>
        <v>4.4771125698464802</v>
      </c>
      <c r="H245">
        <f t="shared" si="44"/>
        <v>-0.70354900724756397</v>
      </c>
      <c r="I245">
        <f t="shared" si="45"/>
        <v>4.4771184094621397</v>
      </c>
      <c r="J245">
        <f t="shared" si="46"/>
        <v>-0.70554934116974699</v>
      </c>
      <c r="K245" s="8">
        <f t="shared" si="47"/>
        <v>-5.8396156594753296E-6</v>
      </c>
      <c r="L245" s="8">
        <f t="shared" si="48"/>
        <v>2.00033392218302E-3</v>
      </c>
      <c r="M245" s="8">
        <f t="shared" si="49"/>
        <v>0.21794536079430399</v>
      </c>
      <c r="N245" s="8">
        <f t="shared" si="50"/>
        <v>3.43460216273122E-2</v>
      </c>
      <c r="O245">
        <v>2.0878997612624E-2</v>
      </c>
      <c r="P245">
        <v>-0.13445532688555001</v>
      </c>
      <c r="Q245">
        <v>-5.4884126298265001E-2</v>
      </c>
      <c r="R245">
        <v>-0.14488077460528001</v>
      </c>
      <c r="S245">
        <f t="shared" si="51"/>
        <v>1.1386179090926349</v>
      </c>
      <c r="T245">
        <f t="shared" si="52"/>
        <v>-29.574546056786289</v>
      </c>
      <c r="U245" s="9">
        <f t="shared" si="53"/>
        <v>0.99027225488397408</v>
      </c>
      <c r="V245" s="9">
        <f t="shared" si="54"/>
        <v>-0.56197117729781598</v>
      </c>
    </row>
    <row r="246" spans="1:22" x14ac:dyDescent="0.25">
      <c r="A246">
        <v>2.8</v>
      </c>
      <c r="B246">
        <v>16.3</v>
      </c>
      <c r="C246">
        <v>-0.10081713450622</v>
      </c>
      <c r="D246">
        <v>-2.9791033555804001E-3</v>
      </c>
      <c r="E246">
        <v>0.89917713962029999</v>
      </c>
      <c r="F246">
        <v>-7.0203621806291996E-3</v>
      </c>
      <c r="G246">
        <f t="shared" si="43"/>
        <v>4.4471667289831602</v>
      </c>
      <c r="H246">
        <f t="shared" si="44"/>
        <v>-0.24432310241368399</v>
      </c>
      <c r="I246">
        <f t="shared" si="45"/>
        <v>4.4471679489998301</v>
      </c>
      <c r="J246">
        <f t="shared" si="46"/>
        <v>-0.24634373514595001</v>
      </c>
      <c r="K246" s="8">
        <f t="shared" si="47"/>
        <v>-1.22001666991167E-6</v>
      </c>
      <c r="L246" s="8">
        <f t="shared" si="48"/>
        <v>2.02063273226602E-3</v>
      </c>
      <c r="M246" s="8">
        <f t="shared" si="49"/>
        <v>0.224174344114384</v>
      </c>
      <c r="N246" s="8">
        <f t="shared" si="50"/>
        <v>1.24177782099394E-2</v>
      </c>
      <c r="O246">
        <v>8.6611336171937992E-3</v>
      </c>
      <c r="P246">
        <v>-0.13765342294731001</v>
      </c>
      <c r="Q246">
        <v>-6.8632198663917995E-2</v>
      </c>
      <c r="R246">
        <v>-0.14087643588009999</v>
      </c>
      <c r="S246">
        <f t="shared" si="51"/>
        <v>1.1361578722271881</v>
      </c>
      <c r="T246">
        <f t="shared" si="52"/>
        <v>-29.574719324639364</v>
      </c>
      <c r="U246" s="9">
        <f t="shared" si="53"/>
        <v>0.98813102990629365</v>
      </c>
      <c r="V246" s="9">
        <f t="shared" si="54"/>
        <v>-0.56076000067777554</v>
      </c>
    </row>
    <row r="247" spans="1:22" x14ac:dyDescent="0.25">
      <c r="A247">
        <v>2.8</v>
      </c>
      <c r="B247">
        <v>16.399999999999999</v>
      </c>
      <c r="C247">
        <v>-0.10149341945312</v>
      </c>
      <c r="D247">
        <v>6.1350235471018004E-3</v>
      </c>
      <c r="E247">
        <v>0.89850064193673995</v>
      </c>
      <c r="F247">
        <v>2.0500306129288999E-3</v>
      </c>
      <c r="G247">
        <f t="shared" si="43"/>
        <v>4.4182866197855502</v>
      </c>
      <c r="H247">
        <f t="shared" si="44"/>
        <v>0.19933592788649901</v>
      </c>
      <c r="I247">
        <f t="shared" si="45"/>
        <v>4.4182878222832302</v>
      </c>
      <c r="J247">
        <f t="shared" si="46"/>
        <v>0.197293427810704</v>
      </c>
      <c r="K247" s="8">
        <f t="shared" si="47"/>
        <v>-1.20249768009728E-6</v>
      </c>
      <c r="L247" s="8">
        <f t="shared" si="48"/>
        <v>2.0425000757950101E-3</v>
      </c>
      <c r="M247" s="8">
        <f t="shared" si="49"/>
        <v>0.225881618515543</v>
      </c>
      <c r="N247" s="8">
        <f t="shared" si="50"/>
        <v>-1.00864770673386E-2</v>
      </c>
      <c r="O247">
        <v>-3.7663522264241001E-3</v>
      </c>
      <c r="P247">
        <v>-0.1385972342764</v>
      </c>
      <c r="Q247">
        <v>-8.1266959389290003E-2</v>
      </c>
      <c r="R247">
        <v>-0.13454775515011999</v>
      </c>
      <c r="S247">
        <f t="shared" si="51"/>
        <v>1.1337017369072915</v>
      </c>
      <c r="T247">
        <f t="shared" si="52"/>
        <v>-29.575393860743475</v>
      </c>
      <c r="U247" s="9">
        <f t="shared" si="53"/>
        <v>0.98598831005652443</v>
      </c>
      <c r="V247" s="9">
        <f t="shared" si="54"/>
        <v>-0.55955936297991526</v>
      </c>
    </row>
    <row r="248" spans="1:22" x14ac:dyDescent="0.25">
      <c r="A248">
        <v>2.8</v>
      </c>
      <c r="B248">
        <v>16.5</v>
      </c>
      <c r="C248">
        <v>-0.10058783845998</v>
      </c>
      <c r="D248">
        <v>1.4961714288951E-2</v>
      </c>
      <c r="E248">
        <v>0.89940193173455996</v>
      </c>
      <c r="F248">
        <v>1.0835259414964001E-2</v>
      </c>
      <c r="G248">
        <f t="shared" si="43"/>
        <v>4.3901263357083398</v>
      </c>
      <c r="H248">
        <f t="shared" si="44"/>
        <v>0.62806584647091701</v>
      </c>
      <c r="I248">
        <f t="shared" si="45"/>
        <v>4.3901254777341103</v>
      </c>
      <c r="J248">
        <f t="shared" si="46"/>
        <v>0.62600260671045804</v>
      </c>
      <c r="K248" s="8">
        <f t="shared" si="47"/>
        <v>8.5797422944011704E-7</v>
      </c>
      <c r="L248" s="8">
        <f t="shared" si="48"/>
        <v>2.0632397604589698E-3</v>
      </c>
      <c r="M248" s="8">
        <f t="shared" si="49"/>
        <v>0.22324471908201499</v>
      </c>
      <c r="N248" s="8">
        <f t="shared" si="50"/>
        <v>-3.18332076813021E-2</v>
      </c>
      <c r="O248">
        <v>-1.5804690496535E-2</v>
      </c>
      <c r="P248">
        <v>-0.13738111066503</v>
      </c>
      <c r="Q248">
        <v>-9.2259350684792005E-2</v>
      </c>
      <c r="R248">
        <v>-0.12634023491332</v>
      </c>
      <c r="S248">
        <f t="shared" si="51"/>
        <v>1.1312725066084433</v>
      </c>
      <c r="T248">
        <f t="shared" si="52"/>
        <v>-29.575998590244428</v>
      </c>
      <c r="U248" s="9">
        <f t="shared" si="53"/>
        <v>0.98386969823666715</v>
      </c>
      <c r="V248" s="9">
        <f t="shared" si="54"/>
        <v>-0.5583707559497002</v>
      </c>
    </row>
    <row r="249" spans="1:22" x14ac:dyDescent="0.25">
      <c r="A249">
        <v>2.8</v>
      </c>
      <c r="B249">
        <v>16.600000000000001</v>
      </c>
      <c r="C249">
        <v>-9.8307946294086998E-2</v>
      </c>
      <c r="D249">
        <v>2.3135245082328001E-2</v>
      </c>
      <c r="E249">
        <v>0.90167801033826001</v>
      </c>
      <c r="F249">
        <v>1.896688099903E-2</v>
      </c>
      <c r="G249">
        <f t="shared" si="43"/>
        <v>4.3627553552485701</v>
      </c>
      <c r="H249">
        <f t="shared" si="44"/>
        <v>1.0422481702999999</v>
      </c>
      <c r="I249">
        <f t="shared" si="45"/>
        <v>4.3627526774028498</v>
      </c>
      <c r="J249">
        <f t="shared" si="46"/>
        <v>1.04016396804262</v>
      </c>
      <c r="K249" s="8">
        <f t="shared" si="47"/>
        <v>2.6778457202780702E-6</v>
      </c>
      <c r="L249" s="8">
        <f t="shared" si="48"/>
        <v>2.0842022573799301E-3</v>
      </c>
      <c r="M249" s="8">
        <f t="shared" si="49"/>
        <v>0.216884561577291</v>
      </c>
      <c r="N249" s="8">
        <f t="shared" si="50"/>
        <v>-5.17094419186091E-2</v>
      </c>
      <c r="O249">
        <v>-2.6954624084870999E-2</v>
      </c>
      <c r="P249">
        <v>-0.13429154363396001</v>
      </c>
      <c r="Q249">
        <v>-0.10128659425577</v>
      </c>
      <c r="R249">
        <v>-0.11682076629869</v>
      </c>
      <c r="S249">
        <f t="shared" si="51"/>
        <v>1.1288304573929226</v>
      </c>
      <c r="T249">
        <f t="shared" si="52"/>
        <v>-29.576685438311195</v>
      </c>
      <c r="U249" s="9">
        <f t="shared" si="53"/>
        <v>0.98173916448227694</v>
      </c>
      <c r="V249" s="9">
        <f t="shared" si="54"/>
        <v>-0.55717718408021322</v>
      </c>
    </row>
    <row r="250" spans="1:22" x14ac:dyDescent="0.25">
      <c r="A250">
        <v>2.8</v>
      </c>
      <c r="B250">
        <v>16.7</v>
      </c>
      <c r="C250">
        <v>-9.4946347096312E-2</v>
      </c>
      <c r="D250">
        <v>3.0403303464347001E-2</v>
      </c>
      <c r="E250">
        <v>0.90503645814250999</v>
      </c>
      <c r="F250">
        <v>2.6192336896356E-2</v>
      </c>
      <c r="G250">
        <f t="shared" si="43"/>
        <v>4.3361501721387201</v>
      </c>
      <c r="H250">
        <f t="shared" si="44"/>
        <v>1.4422883828786699</v>
      </c>
      <c r="I250">
        <f t="shared" si="45"/>
        <v>4.3361460078387601</v>
      </c>
      <c r="J250">
        <f t="shared" si="46"/>
        <v>1.4401828727249399</v>
      </c>
      <c r="K250" s="8">
        <f t="shared" si="47"/>
        <v>4.1642999599744704E-6</v>
      </c>
      <c r="L250" s="8">
        <f t="shared" si="48"/>
        <v>2.1055101537299499E-3</v>
      </c>
      <c r="M250" s="8">
        <f t="shared" si="49"/>
        <v>0.20770674457079499</v>
      </c>
      <c r="N250" s="8">
        <f t="shared" si="50"/>
        <v>-6.8986536786248304E-2</v>
      </c>
      <c r="O250">
        <v>-3.6871792851746001E-2</v>
      </c>
      <c r="P250">
        <v>-0.12972624681452999</v>
      </c>
      <c r="Q250">
        <v>-0.10824526322587</v>
      </c>
      <c r="R250">
        <v>-0.10658038390266</v>
      </c>
      <c r="S250">
        <f t="shared" si="51"/>
        <v>1.1263842970704208</v>
      </c>
      <c r="T250">
        <f t="shared" si="52"/>
        <v>-29.577409942565243</v>
      </c>
      <c r="U250" s="9">
        <f t="shared" si="53"/>
        <v>0.97960471869286181</v>
      </c>
      <c r="V250" s="9">
        <f t="shared" si="54"/>
        <v>-0.55598217579478659</v>
      </c>
    </row>
    <row r="251" spans="1:22" x14ac:dyDescent="0.25">
      <c r="A251">
        <v>2.8</v>
      </c>
      <c r="B251">
        <v>16.8</v>
      </c>
      <c r="C251">
        <v>-9.0823728831426004E-2</v>
      </c>
      <c r="D251">
        <v>3.6636042425475003E-2</v>
      </c>
      <c r="E251">
        <v>0.90915520940710004</v>
      </c>
      <c r="F251">
        <v>3.2379987275825001E-2</v>
      </c>
      <c r="G251">
        <f t="shared" si="43"/>
        <v>4.3102907926815002</v>
      </c>
      <c r="H251">
        <f t="shared" si="44"/>
        <v>1.82849657798553</v>
      </c>
      <c r="I251">
        <f t="shared" si="45"/>
        <v>4.3102847903137702</v>
      </c>
      <c r="J251">
        <f t="shared" si="46"/>
        <v>1.8263685152271201</v>
      </c>
      <c r="K251" s="8">
        <f t="shared" si="47"/>
        <v>6.0023677299625399E-6</v>
      </c>
      <c r="L251" s="8">
        <f t="shared" si="48"/>
        <v>2.1280627584099299E-3</v>
      </c>
      <c r="M251" s="8">
        <f t="shared" si="49"/>
        <v>0.19668933059487201</v>
      </c>
      <c r="N251" s="8">
        <f t="shared" si="50"/>
        <v>-8.3341871397185199E-2</v>
      </c>
      <c r="O251">
        <v>-4.5377777169891997E-2</v>
      </c>
      <c r="P251">
        <v>-0.12411984863952</v>
      </c>
      <c r="Q251">
        <v>-0.11321735366452999</v>
      </c>
      <c r="R251">
        <v>-9.6149669893764E-2</v>
      </c>
      <c r="S251">
        <f t="shared" si="51"/>
        <v>1.1239546259839783</v>
      </c>
      <c r="T251">
        <f t="shared" si="52"/>
        <v>-29.578236050177157</v>
      </c>
      <c r="U251" s="9">
        <f t="shared" si="53"/>
        <v>0.9774836598695833</v>
      </c>
      <c r="V251" s="9">
        <f t="shared" si="54"/>
        <v>-0.55479698625600837</v>
      </c>
    </row>
    <row r="252" spans="1:22" x14ac:dyDescent="0.25">
      <c r="A252">
        <v>2.8</v>
      </c>
      <c r="B252">
        <v>16.899999999999999</v>
      </c>
      <c r="C252">
        <v>-8.6242682547300997E-2</v>
      </c>
      <c r="D252">
        <v>4.1810041740004002E-2</v>
      </c>
      <c r="E252">
        <v>0.91372981266967002</v>
      </c>
      <c r="F252">
        <v>3.7511355496655997E-2</v>
      </c>
      <c r="G252">
        <f t="shared" si="43"/>
        <v>4.2850406718134302</v>
      </c>
      <c r="H252">
        <f t="shared" si="44"/>
        <v>2.20123373345514</v>
      </c>
      <c r="I252">
        <f t="shared" si="45"/>
        <v>4.2850315390778997</v>
      </c>
      <c r="J252">
        <f t="shared" si="46"/>
        <v>2.1990843411448</v>
      </c>
      <c r="K252" s="8">
        <f t="shared" si="47"/>
        <v>9.1327355304926494E-6</v>
      </c>
      <c r="L252" s="8">
        <f t="shared" si="48"/>
        <v>2.1493923103399499E-3</v>
      </c>
      <c r="M252" s="8">
        <f t="shared" si="49"/>
        <v>0.18471980136994001</v>
      </c>
      <c r="N252" s="8">
        <f t="shared" si="50"/>
        <v>-9.4798467406246006E-2</v>
      </c>
      <c r="O252">
        <v>-5.2441736790146E-2</v>
      </c>
      <c r="P252">
        <v>-0.11788845519698</v>
      </c>
      <c r="Q252">
        <v>-0.11641217648323</v>
      </c>
      <c r="R252">
        <v>-8.5950288418014997E-2</v>
      </c>
      <c r="S252">
        <f t="shared" si="51"/>
        <v>1.1215065024969642</v>
      </c>
      <c r="T252">
        <f t="shared" si="52"/>
        <v>-29.579028121087063</v>
      </c>
      <c r="U252" s="9">
        <f t="shared" si="53"/>
        <v>0.97534691669770246</v>
      </c>
      <c r="V252" s="9">
        <f t="shared" si="54"/>
        <v>-0.5536020477123057</v>
      </c>
    </row>
    <row r="253" spans="1:22" x14ac:dyDescent="0.25">
      <c r="A253">
        <v>2.8</v>
      </c>
      <c r="B253">
        <v>17</v>
      </c>
      <c r="C253">
        <v>-8.1458887042013997E-2</v>
      </c>
      <c r="D253">
        <v>4.5980002114467997E-2</v>
      </c>
      <c r="E253">
        <v>0.91851035314950003</v>
      </c>
      <c r="F253">
        <v>4.1639473891497997E-2</v>
      </c>
      <c r="G253">
        <f t="shared" si="43"/>
        <v>4.2604903821028701</v>
      </c>
      <c r="H253">
        <f t="shared" si="44"/>
        <v>2.56085784070227</v>
      </c>
      <c r="I253">
        <f t="shared" si="45"/>
        <v>4.2604797122035398</v>
      </c>
      <c r="J253">
        <f t="shared" si="46"/>
        <v>2.5586875200549701</v>
      </c>
      <c r="K253" s="8">
        <f t="shared" si="47"/>
        <v>1.06698993302956E-5</v>
      </c>
      <c r="L253" s="8">
        <f t="shared" si="48"/>
        <v>2.1703206472998299E-3</v>
      </c>
      <c r="M253" s="8">
        <f t="shared" si="49"/>
        <v>0.17249904952469799</v>
      </c>
      <c r="N253" s="8">
        <f t="shared" si="50"/>
        <v>-0.103596588894894</v>
      </c>
      <c r="O253">
        <v>-5.8134827814875001E-2</v>
      </c>
      <c r="P253">
        <v>-0.11137621508266</v>
      </c>
      <c r="Q253">
        <v>-0.11810602298448999</v>
      </c>
      <c r="R253">
        <v>-7.6280341532662999E-2</v>
      </c>
      <c r="S253">
        <f t="shared" si="51"/>
        <v>1.1190909761515611</v>
      </c>
      <c r="T253">
        <f t="shared" si="52"/>
        <v>-29.579946783233297</v>
      </c>
      <c r="U253" s="9">
        <f t="shared" si="53"/>
        <v>0.97323733492496345</v>
      </c>
      <c r="V253" s="9">
        <f t="shared" si="54"/>
        <v>-0.55242529161146159</v>
      </c>
    </row>
    <row r="254" spans="1:22" x14ac:dyDescent="0.25">
      <c r="A254">
        <v>3</v>
      </c>
      <c r="B254">
        <v>15</v>
      </c>
      <c r="C254">
        <v>-3.4425079811729001E-2</v>
      </c>
      <c r="D254">
        <v>-4.7400175750011E-2</v>
      </c>
      <c r="E254">
        <v>0.96560876481859004</v>
      </c>
      <c r="F254">
        <v>-5.1227795483983998E-2</v>
      </c>
      <c r="G254">
        <f t="shared" si="43"/>
        <v>4.2580305413316202</v>
      </c>
      <c r="H254">
        <f t="shared" si="44"/>
        <v>-6.81829688657134</v>
      </c>
      <c r="I254">
        <f t="shared" si="45"/>
        <v>4.2580511258292804</v>
      </c>
      <c r="J254">
        <f t="shared" si="46"/>
        <v>-6.8202106246586398</v>
      </c>
      <c r="K254" s="8">
        <f t="shared" si="47"/>
        <v>-2.0584497660181E-5</v>
      </c>
      <c r="L254" s="8">
        <f t="shared" si="48"/>
        <v>1.9137380872997799E-3</v>
      </c>
      <c r="M254" s="8">
        <f t="shared" si="49"/>
        <v>6.5866924274523703E-2</v>
      </c>
      <c r="N254" s="8">
        <f t="shared" si="50"/>
        <v>0.105500446912366</v>
      </c>
      <c r="O254">
        <v>6.4599011858724006E-2</v>
      </c>
      <c r="P254">
        <v>-4.4078851257945001E-2</v>
      </c>
      <c r="Q254">
        <v>4.0199602887812998E-2</v>
      </c>
      <c r="R254">
        <v>-8.1932422320500006E-2</v>
      </c>
      <c r="S254">
        <f t="shared" si="51"/>
        <v>1.1669753036384749</v>
      </c>
      <c r="T254">
        <f t="shared" si="52"/>
        <v>-29.557925773891512</v>
      </c>
      <c r="U254" s="9">
        <f t="shared" si="53"/>
        <v>1.015102118929389</v>
      </c>
      <c r="V254" s="9">
        <f t="shared" si="54"/>
        <v>-0.57567269124666265</v>
      </c>
    </row>
    <row r="255" spans="1:22" x14ac:dyDescent="0.25">
      <c r="A255">
        <v>3</v>
      </c>
      <c r="B255" s="1">
        <v>15.1</v>
      </c>
      <c r="C255">
        <v>-3.8800114990893003E-2</v>
      </c>
      <c r="D255">
        <v>-4.9051887126820001E-2</v>
      </c>
      <c r="E255">
        <v>0.96123348072436998</v>
      </c>
      <c r="F255">
        <v>-5.2918277871871998E-2</v>
      </c>
      <c r="G255">
        <f t="shared" si="43"/>
        <v>4.2254853018057403</v>
      </c>
      <c r="H255">
        <f t="shared" si="44"/>
        <v>-6.2112349531315001</v>
      </c>
      <c r="I255">
        <f t="shared" si="45"/>
        <v>4.2255058364232898</v>
      </c>
      <c r="J255">
        <f t="shared" si="46"/>
        <v>-6.2131680763342896</v>
      </c>
      <c r="K255" s="8">
        <f t="shared" si="47"/>
        <v>-2.05346175494725E-5</v>
      </c>
      <c r="L255" s="8">
        <f t="shared" si="48"/>
        <v>1.93312320278949E-3</v>
      </c>
      <c r="M255" s="8">
        <f t="shared" si="49"/>
        <v>7.4842876273567102E-2</v>
      </c>
      <c r="N255" s="8">
        <f t="shared" si="50"/>
        <v>0.11004868709342</v>
      </c>
      <c r="O255">
        <v>6.6717775644988001E-2</v>
      </c>
      <c r="P255">
        <v>-4.9675793831561003E-2</v>
      </c>
      <c r="Q255">
        <v>3.9046771648782001E-2</v>
      </c>
      <c r="R255">
        <v>-8.863871636581E-2</v>
      </c>
      <c r="S255">
        <f t="shared" si="51"/>
        <v>1.1644357484402605</v>
      </c>
      <c r="T255">
        <f t="shared" si="52"/>
        <v>-29.55562156700632</v>
      </c>
      <c r="U255" s="9">
        <f t="shared" si="53"/>
        <v>1.0129161680644923</v>
      </c>
      <c r="V255" s="9">
        <f t="shared" si="54"/>
        <v>-0.57437918548566413</v>
      </c>
    </row>
    <row r="256" spans="1:22" x14ac:dyDescent="0.25">
      <c r="A256">
        <v>3</v>
      </c>
      <c r="B256" s="1">
        <v>15.2</v>
      </c>
      <c r="C256">
        <v>-4.3732176632422001E-2</v>
      </c>
      <c r="D256">
        <v>-5.0440763249103002E-2</v>
      </c>
      <c r="E256">
        <v>0.95630098831902</v>
      </c>
      <c r="F256">
        <v>-5.4347107592539003E-2</v>
      </c>
      <c r="G256">
        <f t="shared" si="43"/>
        <v>4.1943547424982297</v>
      </c>
      <c r="H256">
        <f t="shared" si="44"/>
        <v>-5.6253052906807</v>
      </c>
      <c r="I256">
        <f t="shared" si="45"/>
        <v>4.1943751393761799</v>
      </c>
      <c r="J256">
        <f t="shared" si="46"/>
        <v>-5.6272583906265696</v>
      </c>
      <c r="K256" s="8">
        <f t="shared" si="47"/>
        <v>-2.0396877950190601E-5</v>
      </c>
      <c r="L256" s="8">
        <f t="shared" si="48"/>
        <v>1.9530999458696699E-3</v>
      </c>
      <c r="M256" s="8">
        <f t="shared" si="49"/>
        <v>8.5149728637560207E-2</v>
      </c>
      <c r="N256" s="8">
        <f t="shared" si="50"/>
        <v>0.11423859550305999</v>
      </c>
      <c r="O256">
        <v>6.8493256061048002E-2</v>
      </c>
      <c r="P256">
        <v>-5.5977909742651003E-2</v>
      </c>
      <c r="Q256">
        <v>3.7152874067580999E-2</v>
      </c>
      <c r="R256">
        <v>-9.5850019540584003E-2</v>
      </c>
      <c r="S256">
        <f t="shared" si="51"/>
        <v>1.1621155926335778</v>
      </c>
      <c r="T256">
        <f t="shared" si="52"/>
        <v>-29.554625732701098</v>
      </c>
      <c r="U256" s="9">
        <f t="shared" si="53"/>
        <v>1.0109078803125844</v>
      </c>
      <c r="V256" s="9">
        <f t="shared" si="54"/>
        <v>-0.57321715620173941</v>
      </c>
    </row>
    <row r="257" spans="1:22" x14ac:dyDescent="0.25">
      <c r="A257">
        <v>3</v>
      </c>
      <c r="B257" s="1">
        <v>15.3</v>
      </c>
      <c r="C257">
        <v>-4.9255456283910003E-2</v>
      </c>
      <c r="D257">
        <v>-5.1447006907927001E-2</v>
      </c>
      <c r="E257">
        <v>0.95077762222803996</v>
      </c>
      <c r="F257">
        <v>-5.5394961647393999E-2</v>
      </c>
      <c r="G257">
        <f t="shared" si="43"/>
        <v>4.1642920632959104</v>
      </c>
      <c r="H257">
        <f t="shared" si="44"/>
        <v>-5.0594740379822101</v>
      </c>
      <c r="I257">
        <f t="shared" si="45"/>
        <v>4.1643124986564803</v>
      </c>
      <c r="J257">
        <f t="shared" si="46"/>
        <v>-5.0614479423660903</v>
      </c>
      <c r="K257" s="8">
        <f t="shared" si="47"/>
        <v>-2.0435360569948099E-5</v>
      </c>
      <c r="L257" s="8">
        <f t="shared" si="48"/>
        <v>1.97390438388023E-3</v>
      </c>
      <c r="M257" s="8">
        <f t="shared" si="49"/>
        <v>9.6935203871320694E-2</v>
      </c>
      <c r="N257" s="8">
        <f t="shared" si="50"/>
        <v>0.11781836457653599</v>
      </c>
      <c r="O257">
        <v>6.9783645950031004E-2</v>
      </c>
      <c r="P257">
        <v>-6.3037061825410995E-2</v>
      </c>
      <c r="Q257">
        <v>3.4342427106967999E-2</v>
      </c>
      <c r="R257">
        <v>-0.10351509377999001</v>
      </c>
      <c r="S257">
        <f t="shared" si="51"/>
        <v>1.1597591804401102</v>
      </c>
      <c r="T257">
        <f t="shared" si="52"/>
        <v>-29.553911973378831</v>
      </c>
      <c r="U257" s="9">
        <f t="shared" si="53"/>
        <v>1.0088651970156401</v>
      </c>
      <c r="V257" s="9">
        <f t="shared" si="54"/>
        <v>-0.57204228066263574</v>
      </c>
    </row>
    <row r="258" spans="1:22" x14ac:dyDescent="0.25">
      <c r="A258">
        <v>3</v>
      </c>
      <c r="B258" s="1">
        <v>15.4</v>
      </c>
      <c r="C258">
        <v>-5.5381431745694001E-2</v>
      </c>
      <c r="D258">
        <v>-5.1920746037611001E-2</v>
      </c>
      <c r="E258">
        <v>0.94465142158427995</v>
      </c>
      <c r="F258">
        <v>-5.5911983740508001E-2</v>
      </c>
      <c r="G258">
        <f t="shared" si="43"/>
        <v>4.1351716075727998</v>
      </c>
      <c r="H258">
        <f t="shared" si="44"/>
        <v>-4.5129032652468704</v>
      </c>
      <c r="I258">
        <f t="shared" si="45"/>
        <v>4.1351920162504499</v>
      </c>
      <c r="J258">
        <f t="shared" si="46"/>
        <v>-4.5148988105902204</v>
      </c>
      <c r="K258" s="8">
        <f t="shared" si="47"/>
        <v>-2.0408677650074501E-5</v>
      </c>
      <c r="L258" s="8">
        <f t="shared" si="48"/>
        <v>1.99554534335E-3</v>
      </c>
      <c r="M258" s="8">
        <f t="shared" si="49"/>
        <v>0.11031849070920199</v>
      </c>
      <c r="N258" s="8">
        <f t="shared" si="50"/>
        <v>0.120448293702383</v>
      </c>
      <c r="O258">
        <v>7.0397692273570997E-2</v>
      </c>
      <c r="P258">
        <v>-7.0869406403893997E-2</v>
      </c>
      <c r="Q258">
        <v>3.0419479753819999E-2</v>
      </c>
      <c r="R258">
        <v>-0.11153699700392</v>
      </c>
      <c r="S258">
        <f t="shared" si="51"/>
        <v>1.1573635074950732</v>
      </c>
      <c r="T258">
        <f t="shared" si="52"/>
        <v>-29.553419112565606</v>
      </c>
      <c r="U258" s="9">
        <f t="shared" si="53"/>
        <v>1.0067861308914565</v>
      </c>
      <c r="V258" s="9">
        <f t="shared" si="54"/>
        <v>-0.57085197304196933</v>
      </c>
    </row>
    <row r="259" spans="1:22" x14ac:dyDescent="0.25">
      <c r="A259">
        <v>3</v>
      </c>
      <c r="B259" s="1">
        <v>15.5</v>
      </c>
      <c r="C259">
        <v>-6.2086707472201998E-2</v>
      </c>
      <c r="D259">
        <v>-5.1683765841533003E-2</v>
      </c>
      <c r="E259">
        <v>0.93794601084690998</v>
      </c>
      <c r="F259">
        <v>-5.5723377740959E-2</v>
      </c>
      <c r="G259">
        <f t="shared" ref="G259:G322" si="55">IMREAL(IMDIV(IMSUM(IMPRODUCT(COMPLEX(1 + C259,D259),COMPLEX(1 - C259, - D259)),IMPRODUCT(COMPLEX(E259,F259),COMPLEX(E259,F259))),IMSUB(IMPRODUCT(COMPLEX(1 - C259, - D259),COMPLEX(1 - C259, - D259)),IMPRODUCT(COMPLEX(E259,F259),COMPLEX(E259,F259)))))</f>
        <v>4.1068010318161301</v>
      </c>
      <c r="H259">
        <f t="shared" ref="H259:H322" si="56">IMAGINARY(IMDIV(IMSUM(IMPRODUCT(COMPLEX(1 + C259,D259),COMPLEX(1 - C259, - D259)),IMPRODUCT(COMPLEX(E259,F259),COMPLEX(E259,F259))),IMSUB(IMPRODUCT(COMPLEX(1 - C259, - D259),COMPLEX(1 - C259, - D259)),IMPRODUCT(COMPLEX(E259,F259),COMPLEX(E259,F259)))))</f>
        <v>-3.9848259715911798</v>
      </c>
      <c r="I259">
        <f t="shared" ref="I259:I322" si="57">IMREAL(IMDIV(IMPRODUCT(COMPLEX(2,0),COMPLEX(E259,F259)),IMSUB(IMPRODUCT(COMPLEX(1 - C259, - D259),COMPLEX(1 - C259, - D259)),IMPRODUCT(COMPLEX(E259,F259),COMPLEX(E259,F259)))))</f>
        <v>4.1068214701072998</v>
      </c>
      <c r="J259">
        <f t="shared" ref="J259:J322" si="58">IMAGINARY(IMDIV(IMPRODUCT(COMPLEX(2,0),COMPLEX(E259,F259)),IMSUB(IMPRODUCT(COMPLEX(1 - C259, - D259),COMPLEX(1 - C259, - D259)),IMPRODUCT(COMPLEX(E259,F259),COMPLEX(E259,F259)))))</f>
        <v>-3.9868457032184099</v>
      </c>
      <c r="K259" s="8">
        <f t="shared" ref="K259:K322" si="59">IMREAL(IMSUB(COMPLEX(G259,H259),COMPLEX(I259,J259)))</f>
        <v>-2.0438291169710999E-5</v>
      </c>
      <c r="L259" s="8">
        <f t="shared" ref="L259:L322" si="60">IMAGINARY(IMSUB(COMPLEX(G259,H259),COMPLEX(I259,J259)))</f>
        <v>2.0197316272301301E-3</v>
      </c>
      <c r="M259" s="8">
        <f t="shared" ref="M259:M322" si="61">IMREAL(IMDIV(IMSUB(IMPRODUCT(COMPLEX(1 - C259, - D259),COMPLEX(1 - C259, - D259)),IMPRODUCT(COMPLEX(E259,F259),COMPLEX(E259,F259))),IMPRODUCT(COMPLEX(2,0),COMPLEX(E259,F259))))</f>
        <v>0.12535732554474899</v>
      </c>
      <c r="N259" s="8">
        <f t="shared" ref="N259:N322" si="62">IMAGINARY(IMDIV(IMSUB(IMPRODUCT(COMPLEX(1 - C259, - D259),COMPLEX(1 - C259, - D259)),IMPRODUCT(COMPLEX(E259,F259),COMPLEX(E259,F259))),IMPRODUCT(COMPLEX(2,0),COMPLEX(E259,F259))))</f>
        <v>0.121695164582349</v>
      </c>
      <c r="O259">
        <v>7.0106745772562998E-2</v>
      </c>
      <c r="P259">
        <v>-7.944523036192E-2</v>
      </c>
      <c r="Q259">
        <v>2.5179533995491998E-2</v>
      </c>
      <c r="R259">
        <v>-0.11975406009895</v>
      </c>
      <c r="S259">
        <f t="shared" ref="S259:S322" si="63">IMABS(COMPLEX(Q259,R259))/IMABS(COMPLEX(O259,P259))</f>
        <v>1.1549464614801144</v>
      </c>
      <c r="T259">
        <f t="shared" ref="T259:T322" si="64">IMARGUMENT(IMDIV(COMPLEX(Q259,R259),COMPLEX(O259/B259,P259/B259)))/PI()*180</f>
        <v>-29.552847928100803</v>
      </c>
      <c r="U259" s="9">
        <f t="shared" ref="U259:U322" si="65">S259*COS(T259/180*PI())</f>
        <v>1.0046892306360671</v>
      </c>
      <c r="V259" s="9">
        <f t="shared" ref="V259:V322" si="66">S259*SIN(T259/180*PI())</f>
        <v>-0.56964978603466976</v>
      </c>
    </row>
    <row r="260" spans="1:22" x14ac:dyDescent="0.25">
      <c r="A260">
        <v>3</v>
      </c>
      <c r="B260">
        <v>15.6</v>
      </c>
      <c r="C260">
        <v>-6.9296197989136998E-2</v>
      </c>
      <c r="D260">
        <v>-5.0536042557292001E-2</v>
      </c>
      <c r="E260">
        <v>0.93073530893554002</v>
      </c>
      <c r="F260">
        <v>-5.4622226089918999E-2</v>
      </c>
      <c r="G260">
        <f t="shared" si="55"/>
        <v>4.0793978522111596</v>
      </c>
      <c r="H260">
        <f t="shared" si="56"/>
        <v>-3.4744368297161801</v>
      </c>
      <c r="I260">
        <f t="shared" si="57"/>
        <v>4.0794177794346096</v>
      </c>
      <c r="J260">
        <f t="shared" si="58"/>
        <v>-3.4764798485847299</v>
      </c>
      <c r="K260" s="8">
        <f t="shared" si="59"/>
        <v>-1.9927223450011401E-5</v>
      </c>
      <c r="L260" s="8">
        <f t="shared" si="60"/>
        <v>2.0430188685498498E-3</v>
      </c>
      <c r="M260" s="8">
        <f t="shared" si="61"/>
        <v>0.14200362155246701</v>
      </c>
      <c r="N260" s="8">
        <f t="shared" si="62"/>
        <v>0.121015486877058</v>
      </c>
      <c r="O260">
        <v>6.8652774583463E-2</v>
      </c>
      <c r="P260">
        <v>-8.8667183951157996E-2</v>
      </c>
      <c r="Q260">
        <v>1.8427367661149999E-2</v>
      </c>
      <c r="R260">
        <v>-0.12792255530464</v>
      </c>
      <c r="S260">
        <f t="shared" si="63"/>
        <v>1.1525285922043118</v>
      </c>
      <c r="T260">
        <f t="shared" si="64"/>
        <v>-29.552595309442932</v>
      </c>
      <c r="U260" s="9">
        <f t="shared" si="65"/>
        <v>1.0025884297572829</v>
      </c>
      <c r="V260" s="9">
        <f t="shared" si="66"/>
        <v>-0.56845280926852548</v>
      </c>
    </row>
    <row r="261" spans="1:22" x14ac:dyDescent="0.25">
      <c r="A261">
        <v>3</v>
      </c>
      <c r="B261">
        <v>15.7</v>
      </c>
      <c r="C261">
        <v>-7.6866030266298999E-2</v>
      </c>
      <c r="D261">
        <v>-4.8270900497983001E-2</v>
      </c>
      <c r="E261">
        <v>0.92316359513683</v>
      </c>
      <c r="F261">
        <v>-5.2405213412653001E-2</v>
      </c>
      <c r="G261">
        <f t="shared" si="55"/>
        <v>4.0527717289232603</v>
      </c>
      <c r="H261">
        <f t="shared" si="56"/>
        <v>-2.9810683703296199</v>
      </c>
      <c r="I261">
        <f t="shared" si="57"/>
        <v>4.0527908143330897</v>
      </c>
      <c r="J261">
        <f t="shared" si="58"/>
        <v>-2.9831354567152899</v>
      </c>
      <c r="K261" s="8">
        <f t="shared" si="59"/>
        <v>-1.90854098294224E-5</v>
      </c>
      <c r="L261" s="8">
        <f t="shared" si="60"/>
        <v>2.06708638566999E-3</v>
      </c>
      <c r="M261" s="8">
        <f t="shared" si="61"/>
        <v>0.160036215473528</v>
      </c>
      <c r="N261" s="8">
        <f t="shared" si="62"/>
        <v>0.117797767170515</v>
      </c>
      <c r="O261">
        <v>6.5771294851234993E-2</v>
      </c>
      <c r="P261">
        <v>-9.8351389423863997E-2</v>
      </c>
      <c r="Q261">
        <v>1.0012782882317999E-2</v>
      </c>
      <c r="R261">
        <v>-0.13570976720572001</v>
      </c>
      <c r="S261">
        <f t="shared" si="63"/>
        <v>1.1501212976359991</v>
      </c>
      <c r="T261">
        <f t="shared" si="64"/>
        <v>-29.55245846241878</v>
      </c>
      <c r="U261" s="9">
        <f t="shared" si="65"/>
        <v>1.0004956711314472</v>
      </c>
      <c r="V261" s="9">
        <f t="shared" si="66"/>
        <v>-0.56726308827840133</v>
      </c>
    </row>
    <row r="262" spans="1:22" x14ac:dyDescent="0.25">
      <c r="A262">
        <v>3</v>
      </c>
      <c r="B262">
        <v>15.8</v>
      </c>
      <c r="C262">
        <v>-8.4570235455126999E-2</v>
      </c>
      <c r="D262">
        <v>-4.4700528620316003E-2</v>
      </c>
      <c r="E262">
        <v>0.91545731104356998</v>
      </c>
      <c r="F262">
        <v>-4.8880556817756E-2</v>
      </c>
      <c r="G262">
        <f t="shared" si="55"/>
        <v>4.0269800289962996</v>
      </c>
      <c r="H262">
        <f t="shared" si="56"/>
        <v>-2.5040299942381399</v>
      </c>
      <c r="I262">
        <f t="shared" si="57"/>
        <v>4.0269981700153199</v>
      </c>
      <c r="J262">
        <f t="shared" si="58"/>
        <v>-2.5061199416365101</v>
      </c>
      <c r="K262" s="8">
        <f t="shared" si="59"/>
        <v>-1.8141019020312399E-5</v>
      </c>
      <c r="L262" s="8">
        <f t="shared" si="60"/>
        <v>2.0899473983702101E-3</v>
      </c>
      <c r="M262" s="8">
        <f t="shared" si="61"/>
        <v>0.17899876720008201</v>
      </c>
      <c r="N262" s="8">
        <f t="shared" si="62"/>
        <v>0.111396221470538</v>
      </c>
      <c r="O262">
        <v>6.1222098434981997E-2</v>
      </c>
      <c r="P262">
        <v>-0.10820993000872001</v>
      </c>
      <c r="Q262">
        <v>-1.3109491100309E-4</v>
      </c>
      <c r="R262">
        <v>-0.14269280477223001</v>
      </c>
      <c r="S262">
        <f t="shared" si="63"/>
        <v>1.1477099547460832</v>
      </c>
      <c r="T262">
        <f t="shared" si="64"/>
        <v>-29.552584970249185</v>
      </c>
      <c r="U262" s="9">
        <f t="shared" si="65"/>
        <v>0.99839678326402292</v>
      </c>
      <c r="V262" s="9">
        <f t="shared" si="66"/>
        <v>-0.56607596962890749</v>
      </c>
    </row>
    <row r="263" spans="1:22" x14ac:dyDescent="0.25">
      <c r="A263">
        <v>3</v>
      </c>
      <c r="B263">
        <v>15.9</v>
      </c>
      <c r="C263">
        <v>-9.2097901356452003E-2</v>
      </c>
      <c r="D263">
        <v>-3.9692266004551002E-2</v>
      </c>
      <c r="E263">
        <v>0.90792571357299001</v>
      </c>
      <c r="F263">
        <v>-4.3927318733659002E-2</v>
      </c>
      <c r="G263">
        <f t="shared" si="55"/>
        <v>4.0016992934686604</v>
      </c>
      <c r="H263">
        <f t="shared" si="56"/>
        <v>-2.0428487163973301</v>
      </c>
      <c r="I263">
        <f t="shared" si="57"/>
        <v>4.0017155845329304</v>
      </c>
      <c r="J263">
        <f t="shared" si="58"/>
        <v>-2.04496618326321</v>
      </c>
      <c r="K263" s="8">
        <f t="shared" si="59"/>
        <v>-1.6291064270035298E-5</v>
      </c>
      <c r="L263" s="8">
        <f t="shared" si="60"/>
        <v>2.1174668658798801E-3</v>
      </c>
      <c r="M263" s="8">
        <f t="shared" si="61"/>
        <v>0.19814775243133001</v>
      </c>
      <c r="N263" s="8">
        <f t="shared" si="62"/>
        <v>0.101257934116518</v>
      </c>
      <c r="O263">
        <v>5.4837826910992003E-2</v>
      </c>
      <c r="P263">
        <v>-0.11785078366807999</v>
      </c>
      <c r="Q263">
        <v>-1.1936580211331E-2</v>
      </c>
      <c r="R263">
        <v>-0.14838617664038001</v>
      </c>
      <c r="S263">
        <f t="shared" si="63"/>
        <v>1.145255018047828</v>
      </c>
      <c r="T263">
        <f t="shared" si="64"/>
        <v>-29.552423330732942</v>
      </c>
      <c r="U263" s="9">
        <f t="shared" si="65"/>
        <v>0.99626281906245784</v>
      </c>
      <c r="V263" s="9">
        <f t="shared" si="66"/>
        <v>-0.56486232987999418</v>
      </c>
    </row>
    <row r="264" spans="1:22" x14ac:dyDescent="0.25">
      <c r="A264">
        <v>3</v>
      </c>
      <c r="B264">
        <v>16</v>
      </c>
      <c r="C264">
        <v>-9.9069033252543001E-2</v>
      </c>
      <c r="D264">
        <v>-3.3210256777544002E-2</v>
      </c>
      <c r="E264">
        <v>0.90094889723848004</v>
      </c>
      <c r="F264">
        <v>-3.7498475718782003E-2</v>
      </c>
      <c r="G264">
        <f t="shared" si="55"/>
        <v>3.9771515658672998</v>
      </c>
      <c r="H264">
        <f t="shared" si="56"/>
        <v>-1.59681800860759</v>
      </c>
      <c r="I264">
        <f t="shared" si="57"/>
        <v>3.9771651280931</v>
      </c>
      <c r="J264">
        <f t="shared" si="58"/>
        <v>-1.5989620697772899</v>
      </c>
      <c r="K264" s="8">
        <f t="shared" si="59"/>
        <v>-1.35622258001789E-5</v>
      </c>
      <c r="L264" s="8">
        <f t="shared" si="60"/>
        <v>2.1440611696999E-3</v>
      </c>
      <c r="M264" s="8">
        <f t="shared" si="61"/>
        <v>0.216449989511239</v>
      </c>
      <c r="N264" s="8">
        <f t="shared" si="62"/>
        <v>8.7020606911059506E-2</v>
      </c>
      <c r="O264">
        <v>4.6567216634485001E-2</v>
      </c>
      <c r="P264">
        <v>-0.12678049271999001</v>
      </c>
      <c r="Q264">
        <v>-2.5166482969448001E-2</v>
      </c>
      <c r="R264">
        <v>-0.15228793309096</v>
      </c>
      <c r="S264">
        <f t="shared" si="63"/>
        <v>1.1428317980736633</v>
      </c>
      <c r="T264">
        <f t="shared" si="64"/>
        <v>-29.552238279790579</v>
      </c>
      <c r="U264" s="9">
        <f t="shared" si="65"/>
        <v>0.99415666891212073</v>
      </c>
      <c r="V264" s="9">
        <f t="shared" si="66"/>
        <v>-0.56366393919235114</v>
      </c>
    </row>
    <row r="265" spans="1:22" x14ac:dyDescent="0.25">
      <c r="A265">
        <v>3</v>
      </c>
      <c r="B265">
        <v>16.100000000000001</v>
      </c>
      <c r="C265">
        <v>-0.10507330525324</v>
      </c>
      <c r="D265">
        <v>-2.5351851915422E-2</v>
      </c>
      <c r="E265">
        <v>0.89493469774578005</v>
      </c>
      <c r="F265">
        <v>-2.9684730340130999E-2</v>
      </c>
      <c r="G265">
        <f t="shared" si="55"/>
        <v>3.9532868293368102</v>
      </c>
      <c r="H265">
        <f t="shared" si="56"/>
        <v>-1.1652608994271401</v>
      </c>
      <c r="I265">
        <f t="shared" si="57"/>
        <v>3.9532955242007901</v>
      </c>
      <c r="J265">
        <f t="shared" si="58"/>
        <v>-1.1674273111337099</v>
      </c>
      <c r="K265" s="8">
        <f t="shared" si="59"/>
        <v>-8.6948639799189192E-6</v>
      </c>
      <c r="L265" s="8">
        <f t="shared" si="60"/>
        <v>2.16641170656984E-3</v>
      </c>
      <c r="M265" s="8">
        <f t="shared" si="61"/>
        <v>0.232664057837045</v>
      </c>
      <c r="N265" s="8">
        <f t="shared" si="62"/>
        <v>6.8706822896340503E-2</v>
      </c>
      <c r="O265">
        <v>3.6535044154351E-2</v>
      </c>
      <c r="P265">
        <v>-0.13447885999465001</v>
      </c>
      <c r="Q265">
        <v>-3.9395647826511997E-2</v>
      </c>
      <c r="R265">
        <v>-0.15395814674283001</v>
      </c>
      <c r="S265">
        <f t="shared" si="63"/>
        <v>1.1403999318629301</v>
      </c>
      <c r="T265">
        <f t="shared" si="64"/>
        <v>-29.552361427098852</v>
      </c>
      <c r="U265" s="9">
        <f t="shared" si="65"/>
        <v>0.99203996406567718</v>
      </c>
      <c r="V265" s="9">
        <f t="shared" si="66"/>
        <v>-0.5624666339344454</v>
      </c>
    </row>
    <row r="266" spans="1:22" x14ac:dyDescent="0.25">
      <c r="A266">
        <v>3</v>
      </c>
      <c r="B266">
        <v>16.2</v>
      </c>
      <c r="C266">
        <v>-0.10972896264871999</v>
      </c>
      <c r="D266">
        <v>-1.6363469715724999E-2</v>
      </c>
      <c r="E266">
        <v>0.89027000785792998</v>
      </c>
      <c r="F266">
        <v>-2.0750238021293999E-2</v>
      </c>
      <c r="G266">
        <f t="shared" si="55"/>
        <v>3.92996273603414</v>
      </c>
      <c r="H266">
        <f t="shared" si="56"/>
        <v>-0.74807493804151903</v>
      </c>
      <c r="I266">
        <f t="shared" si="57"/>
        <v>3.9299670322055298</v>
      </c>
      <c r="J266">
        <f t="shared" si="58"/>
        <v>-0.750268313900183</v>
      </c>
      <c r="K266" s="8">
        <f t="shared" si="59"/>
        <v>-4.2961713897504703E-6</v>
      </c>
      <c r="L266" s="8">
        <f t="shared" si="60"/>
        <v>2.1933758586639698E-3</v>
      </c>
      <c r="M266" s="8">
        <f t="shared" si="61"/>
        <v>0.24550719181657499</v>
      </c>
      <c r="N266" s="8">
        <f t="shared" si="62"/>
        <v>4.6869672275906701E-2</v>
      </c>
      <c r="O266">
        <v>2.5055930737369E-2</v>
      </c>
      <c r="P266">
        <v>-0.14045273476361</v>
      </c>
      <c r="Q266">
        <v>-5.4029138367967001E-2</v>
      </c>
      <c r="R266">
        <v>-0.15310296409292001</v>
      </c>
      <c r="S266">
        <f t="shared" si="63"/>
        <v>1.137985800357344</v>
      </c>
      <c r="T266">
        <f t="shared" si="64"/>
        <v>-29.55245996292264</v>
      </c>
      <c r="U266" s="9">
        <f t="shared" si="65"/>
        <v>0.98993893296384416</v>
      </c>
      <c r="V266" s="9">
        <f t="shared" si="66"/>
        <v>-0.56127764147287262</v>
      </c>
    </row>
    <row r="267" spans="1:22" x14ac:dyDescent="0.25">
      <c r="A267">
        <v>3</v>
      </c>
      <c r="B267">
        <v>16.3</v>
      </c>
      <c r="C267">
        <v>-0.11275056344638</v>
      </c>
      <c r="D267">
        <v>-6.6245421398696E-3</v>
      </c>
      <c r="E267">
        <v>0.88724274741322995</v>
      </c>
      <c r="F267">
        <v>-1.1066087219757E-2</v>
      </c>
      <c r="G267">
        <f t="shared" si="55"/>
        <v>3.9073123332219399</v>
      </c>
      <c r="H267">
        <f t="shared" si="56"/>
        <v>-0.34463435965755801</v>
      </c>
      <c r="I267">
        <f t="shared" si="57"/>
        <v>3.90731392049639</v>
      </c>
      <c r="J267">
        <f t="shared" si="58"/>
        <v>-0.34685513610006802</v>
      </c>
      <c r="K267" s="8">
        <f t="shared" si="59"/>
        <v>-1.58727445009887E-6</v>
      </c>
      <c r="L267" s="8">
        <f t="shared" si="60"/>
        <v>2.2207764425100098E-3</v>
      </c>
      <c r="M267" s="8">
        <f t="shared" si="61"/>
        <v>0.25392926935819399</v>
      </c>
      <c r="N267" s="8">
        <f t="shared" si="62"/>
        <v>2.2541488366472899E-2</v>
      </c>
      <c r="O267">
        <v>1.2615124090465E-2</v>
      </c>
      <c r="P267">
        <v>-0.1443438969685</v>
      </c>
      <c r="Q267">
        <v>-6.8382407153229005E-2</v>
      </c>
      <c r="R267">
        <v>-0.14964822099357</v>
      </c>
      <c r="S267">
        <f t="shared" si="63"/>
        <v>1.1355319900820671</v>
      </c>
      <c r="T267">
        <f t="shared" si="64"/>
        <v>-29.552986222808428</v>
      </c>
      <c r="U267" s="9">
        <f t="shared" si="65"/>
        <v>0.98779920819781042</v>
      </c>
      <c r="V267" s="9">
        <f t="shared" si="66"/>
        <v>-0.56007644548179181</v>
      </c>
    </row>
    <row r="268" spans="1:22" x14ac:dyDescent="0.25">
      <c r="A268">
        <v>3</v>
      </c>
      <c r="B268">
        <v>16.399999999999999</v>
      </c>
      <c r="C268">
        <v>-0.11400073251947999</v>
      </c>
      <c r="D268">
        <v>3.4027270761817999E-3</v>
      </c>
      <c r="E268">
        <v>0.88599224002918997</v>
      </c>
      <c r="F268">
        <v>-1.0928151776545001E-3</v>
      </c>
      <c r="G268">
        <f t="shared" si="55"/>
        <v>3.8853506979923198</v>
      </c>
      <c r="H268">
        <f t="shared" si="56"/>
        <v>4.5551073029911598E-2</v>
      </c>
      <c r="I268">
        <f t="shared" si="57"/>
        <v>3.8853522367570799</v>
      </c>
      <c r="J268">
        <f t="shared" si="58"/>
        <v>4.3303297463717597E-2</v>
      </c>
      <c r="K268" s="8">
        <f t="shared" si="59"/>
        <v>-1.53876476005621E-6</v>
      </c>
      <c r="L268" s="8">
        <f t="shared" si="60"/>
        <v>2.2477755661940001E-3</v>
      </c>
      <c r="M268" s="8">
        <f t="shared" si="61"/>
        <v>0.25734495548133302</v>
      </c>
      <c r="N268" s="8">
        <f t="shared" si="62"/>
        <v>-2.8681788622842101E-3</v>
      </c>
      <c r="O268">
        <v>-1.9745839467194001E-4</v>
      </c>
      <c r="P268">
        <v>-0.14596777002858999</v>
      </c>
      <c r="Q268">
        <v>-8.1774538634392005E-2</v>
      </c>
      <c r="R268">
        <v>-0.14376791432580999</v>
      </c>
      <c r="S268">
        <f t="shared" si="63"/>
        <v>1.1331077652471921</v>
      </c>
      <c r="T268">
        <f t="shared" si="64"/>
        <v>-29.55351590854649</v>
      </c>
      <c r="U268" s="9">
        <f t="shared" si="65"/>
        <v>0.98568520840274987</v>
      </c>
      <c r="V268" s="9">
        <f t="shared" si="66"/>
        <v>-0.55888986177914646</v>
      </c>
    </row>
    <row r="269" spans="1:22" x14ac:dyDescent="0.25">
      <c r="A269">
        <v>3</v>
      </c>
      <c r="B269">
        <v>16.5</v>
      </c>
      <c r="C269">
        <v>-0.11351128087364</v>
      </c>
      <c r="D269">
        <v>1.3245619546059999E-2</v>
      </c>
      <c r="E269">
        <v>0.88647692074095996</v>
      </c>
      <c r="F269">
        <v>8.6956815638629999E-3</v>
      </c>
      <c r="G269">
        <f t="shared" si="55"/>
        <v>3.8638620243549902</v>
      </c>
      <c r="H269">
        <f t="shared" si="56"/>
        <v>0.422874548408257</v>
      </c>
      <c r="I269">
        <f t="shared" si="57"/>
        <v>3.8638613006761999</v>
      </c>
      <c r="J269">
        <f t="shared" si="58"/>
        <v>0.42059956435024198</v>
      </c>
      <c r="K269" s="8">
        <f t="shared" si="59"/>
        <v>7.2367879022650104E-7</v>
      </c>
      <c r="L269" s="8">
        <f t="shared" si="60"/>
        <v>2.2749840580150202E-3</v>
      </c>
      <c r="M269" s="8">
        <f t="shared" si="61"/>
        <v>0.25577766243015698</v>
      </c>
      <c r="N269" s="8">
        <f t="shared" si="62"/>
        <v>-2.78426074377515E-2</v>
      </c>
      <c r="O269">
        <v>-1.2778141628901001E-2</v>
      </c>
      <c r="P269">
        <v>-0.14537027522957</v>
      </c>
      <c r="Q269">
        <v>-9.3640067112415001E-2</v>
      </c>
      <c r="R269">
        <v>-0.13585285658801</v>
      </c>
      <c r="S269">
        <f t="shared" si="63"/>
        <v>1.1306617127901235</v>
      </c>
      <c r="T269">
        <f t="shared" si="64"/>
        <v>-29.554125306541021</v>
      </c>
      <c r="U269" s="9">
        <f t="shared" si="65"/>
        <v>0.9835514670977471</v>
      </c>
      <c r="V269" s="9">
        <f t="shared" si="66"/>
        <v>-0.55769384104485598</v>
      </c>
    </row>
    <row r="270" spans="1:22" x14ac:dyDescent="0.25">
      <c r="A270">
        <v>3</v>
      </c>
      <c r="B270">
        <v>16.600000000000001</v>
      </c>
      <c r="C270">
        <v>-0.1114655971229</v>
      </c>
      <c r="D270">
        <v>2.2491111943488001E-2</v>
      </c>
      <c r="E270">
        <v>0.88851157797899005</v>
      </c>
      <c r="F270">
        <v>1.7885445060925001E-2</v>
      </c>
      <c r="G270">
        <f t="shared" si="55"/>
        <v>3.8428039865136601</v>
      </c>
      <c r="H270">
        <f t="shared" si="56"/>
        <v>0.78762458528670098</v>
      </c>
      <c r="I270">
        <f t="shared" si="57"/>
        <v>3.84279787712966</v>
      </c>
      <c r="J270">
        <f t="shared" si="58"/>
        <v>0.785321711495095</v>
      </c>
      <c r="K270" s="8">
        <f t="shared" si="59"/>
        <v>6.1093840000303601E-6</v>
      </c>
      <c r="L270" s="8">
        <f t="shared" si="60"/>
        <v>2.3028737916059899E-3</v>
      </c>
      <c r="M270" s="8">
        <f t="shared" si="61"/>
        <v>0.24979468360580101</v>
      </c>
      <c r="N270" s="8">
        <f t="shared" si="62"/>
        <v>-5.1048531492947101E-2</v>
      </c>
      <c r="O270">
        <v>-2.4599003868456999E-2</v>
      </c>
      <c r="P270">
        <v>-0.14278227007371</v>
      </c>
      <c r="Q270">
        <v>-0.10359989308495</v>
      </c>
      <c r="R270">
        <v>-0.12643992070705001</v>
      </c>
      <c r="S270">
        <f t="shared" si="63"/>
        <v>1.128216405179236</v>
      </c>
      <c r="T270">
        <f t="shared" si="64"/>
        <v>-29.554693931866694</v>
      </c>
      <c r="U270" s="9">
        <f t="shared" si="65"/>
        <v>0.98141879529014853</v>
      </c>
      <c r="V270" s="9">
        <f t="shared" si="66"/>
        <v>-0.55649744398945067</v>
      </c>
    </row>
    <row r="271" spans="1:22" x14ac:dyDescent="0.25">
      <c r="A271">
        <v>3</v>
      </c>
      <c r="B271">
        <v>16.7</v>
      </c>
      <c r="C271">
        <v>-0.10815192291653999</v>
      </c>
      <c r="D271">
        <v>3.0835272529812E-2</v>
      </c>
      <c r="E271">
        <v>0.89182171777131003</v>
      </c>
      <c r="F271">
        <v>2.6173938994595001E-2</v>
      </c>
      <c r="G271">
        <f t="shared" si="55"/>
        <v>3.82238864997823</v>
      </c>
      <c r="H271">
        <f t="shared" si="56"/>
        <v>1.14023767468868</v>
      </c>
      <c r="I271">
        <f t="shared" si="57"/>
        <v>3.8223809023412998</v>
      </c>
      <c r="J271">
        <f t="shared" si="58"/>
        <v>1.1379069591458799</v>
      </c>
      <c r="K271" s="8">
        <f t="shared" si="59"/>
        <v>7.7476369302331705E-6</v>
      </c>
      <c r="L271" s="8">
        <f t="shared" si="60"/>
        <v>2.3307155428000702E-3</v>
      </c>
      <c r="M271" s="8">
        <f t="shared" si="61"/>
        <v>0.24031927338746001</v>
      </c>
      <c r="N271" s="8">
        <f t="shared" si="62"/>
        <v>-7.15420520851206E-2</v>
      </c>
      <c r="O271">
        <v>-3.5269136412220001E-2</v>
      </c>
      <c r="P271">
        <v>-0.13856981958761</v>
      </c>
      <c r="Q271">
        <v>-0.11148812509889</v>
      </c>
      <c r="R271">
        <v>-0.11611543924011999</v>
      </c>
      <c r="S271">
        <f t="shared" si="63"/>
        <v>1.1257834390520702</v>
      </c>
      <c r="T271">
        <f t="shared" si="64"/>
        <v>-29.555443232811093</v>
      </c>
      <c r="U271" s="9">
        <f t="shared" si="65"/>
        <v>0.97929513183911598</v>
      </c>
      <c r="V271" s="9">
        <f t="shared" si="66"/>
        <v>-0.55531018034978863</v>
      </c>
    </row>
    <row r="272" spans="1:22" x14ac:dyDescent="0.25">
      <c r="A272">
        <v>3</v>
      </c>
      <c r="B272">
        <v>16.8</v>
      </c>
      <c r="C272">
        <v>-0.10390442925616999</v>
      </c>
      <c r="D272">
        <v>3.8100885580327003E-2</v>
      </c>
      <c r="E272">
        <v>0.89606443886635001</v>
      </c>
      <c r="F272">
        <v>3.3386131810308001E-2</v>
      </c>
      <c r="G272">
        <f t="shared" si="55"/>
        <v>3.8024106745881499</v>
      </c>
      <c r="H272">
        <f t="shared" si="56"/>
        <v>1.48100051992645</v>
      </c>
      <c r="I272">
        <f t="shared" si="57"/>
        <v>3.8024006658615099</v>
      </c>
      <c r="J272">
        <f t="shared" si="58"/>
        <v>1.4786430827513699</v>
      </c>
      <c r="K272" s="8">
        <f t="shared" si="59"/>
        <v>1.00087266399207E-5</v>
      </c>
      <c r="L272" s="8">
        <f t="shared" si="60"/>
        <v>2.3574371750800802E-3</v>
      </c>
      <c r="M272" s="8">
        <f t="shared" si="61"/>
        <v>0.228446006417728</v>
      </c>
      <c r="N272" s="8">
        <f t="shared" si="62"/>
        <v>-8.8836010945526095E-2</v>
      </c>
      <c r="O272">
        <v>-4.4561697380063998E-2</v>
      </c>
      <c r="P272">
        <v>-0.13316073241658</v>
      </c>
      <c r="Q272">
        <v>-0.11733246269474</v>
      </c>
      <c r="R272">
        <v>-0.10542859267238</v>
      </c>
      <c r="S272">
        <f t="shared" si="63"/>
        <v>1.1233556284446868</v>
      </c>
      <c r="T272">
        <f t="shared" si="64"/>
        <v>-29.556245521914477</v>
      </c>
      <c r="U272" s="9">
        <f t="shared" si="65"/>
        <v>0.97717547178837161</v>
      </c>
      <c r="V272" s="9">
        <f t="shared" si="66"/>
        <v>-0.5541263080684139</v>
      </c>
    </row>
    <row r="273" spans="1:22" x14ac:dyDescent="0.25">
      <c r="A273">
        <v>3</v>
      </c>
      <c r="B273">
        <v>16.899999999999999</v>
      </c>
      <c r="C273">
        <v>-9.9052615021306994E-2</v>
      </c>
      <c r="D273">
        <v>4.4228021366761003E-2</v>
      </c>
      <c r="E273">
        <v>0.90091342680297004</v>
      </c>
      <c r="F273">
        <v>3.9455521753888001E-2</v>
      </c>
      <c r="G273">
        <f t="shared" si="55"/>
        <v>3.7829781531456099</v>
      </c>
      <c r="H273">
        <f t="shared" si="56"/>
        <v>1.81009486053054</v>
      </c>
      <c r="I273">
        <f t="shared" si="57"/>
        <v>3.7829668682152202</v>
      </c>
      <c r="J273">
        <f t="shared" si="58"/>
        <v>1.8077085432779501</v>
      </c>
      <c r="K273" s="8">
        <f t="shared" si="59"/>
        <v>1.1284930389709999E-5</v>
      </c>
      <c r="L273" s="8">
        <f t="shared" si="60"/>
        <v>2.38631725258998E-3</v>
      </c>
      <c r="M273" s="8">
        <f t="shared" si="61"/>
        <v>0.215202372780358</v>
      </c>
      <c r="N273" s="8">
        <f t="shared" si="62"/>
        <v>-0.10283546786448</v>
      </c>
      <c r="O273">
        <v>-5.2401072023101999E-2</v>
      </c>
      <c r="P273">
        <v>-0.1269802395663</v>
      </c>
      <c r="Q273">
        <v>-0.12130376660164</v>
      </c>
      <c r="R273">
        <v>-9.4835380834562E-2</v>
      </c>
      <c r="S273">
        <f t="shared" si="63"/>
        <v>1.1208988652589926</v>
      </c>
      <c r="T273">
        <f t="shared" si="64"/>
        <v>-29.55715223639228</v>
      </c>
      <c r="U273" s="9">
        <f t="shared" si="65"/>
        <v>0.97502965250097462</v>
      </c>
      <c r="V273" s="9">
        <f t="shared" si="66"/>
        <v>-0.55292987157751394</v>
      </c>
    </row>
    <row r="274" spans="1:22" x14ac:dyDescent="0.25">
      <c r="A274">
        <v>3</v>
      </c>
      <c r="B274">
        <v>17</v>
      </c>
      <c r="C274">
        <v>-9.3885600343927997E-2</v>
      </c>
      <c r="D274">
        <v>4.9248071840761E-2</v>
      </c>
      <c r="E274">
        <v>0.90607816923772</v>
      </c>
      <c r="F274">
        <v>4.4416348025762997E-2</v>
      </c>
      <c r="G274">
        <f t="shared" si="55"/>
        <v>3.76402937375099</v>
      </c>
      <c r="H274">
        <f t="shared" si="56"/>
        <v>2.12778656036491</v>
      </c>
      <c r="I274">
        <f t="shared" si="57"/>
        <v>3.7640170948855198</v>
      </c>
      <c r="J274">
        <f t="shared" si="58"/>
        <v>2.1253706250281899</v>
      </c>
      <c r="K274" s="8">
        <f t="shared" si="59"/>
        <v>1.22788654701722E-5</v>
      </c>
      <c r="L274" s="8">
        <f t="shared" si="60"/>
        <v>2.4159353367201302E-3</v>
      </c>
      <c r="M274" s="8">
        <f t="shared" si="61"/>
        <v>0.20144565490512101</v>
      </c>
      <c r="N274" s="8">
        <f t="shared" si="62"/>
        <v>-0.11374727231092201</v>
      </c>
      <c r="O274">
        <v>-5.8822554255410997E-2</v>
      </c>
      <c r="P274">
        <v>-0.12038784345974</v>
      </c>
      <c r="Q274">
        <v>-0.12365691427958</v>
      </c>
      <c r="R274">
        <v>-8.4673711500849999E-2</v>
      </c>
      <c r="S274">
        <f t="shared" si="63"/>
        <v>1.118507490644542</v>
      </c>
      <c r="T274">
        <f t="shared" si="64"/>
        <v>-29.558181208906873</v>
      </c>
      <c r="U274" s="9">
        <f t="shared" si="65"/>
        <v>0.97293957262225828</v>
      </c>
      <c r="V274" s="9">
        <f t="shared" si="66"/>
        <v>-0.55176769990057195</v>
      </c>
    </row>
    <row r="275" spans="1:22" x14ac:dyDescent="0.25">
      <c r="A275">
        <v>3.2</v>
      </c>
      <c r="B275">
        <v>15</v>
      </c>
      <c r="C275">
        <v>-3.8118468906198001E-2</v>
      </c>
      <c r="D275">
        <v>-5.3191583385851997E-2</v>
      </c>
      <c r="E275">
        <v>0.96191693008760004</v>
      </c>
      <c r="F275">
        <v>-5.7286178580291003E-2</v>
      </c>
      <c r="G275">
        <f t="shared" si="55"/>
        <v>3.7305850346735601</v>
      </c>
      <c r="H275">
        <f t="shared" si="56"/>
        <v>-6.13253724737321</v>
      </c>
      <c r="I275">
        <f t="shared" si="57"/>
        <v>3.7306069250445302</v>
      </c>
      <c r="J275">
        <f t="shared" si="58"/>
        <v>-6.1345844639196203</v>
      </c>
      <c r="K275" s="8">
        <f t="shared" si="59"/>
        <v>-2.1890370970112399E-5</v>
      </c>
      <c r="L275" s="8">
        <f t="shared" si="60"/>
        <v>2.04721654641027E-3</v>
      </c>
      <c r="M275" s="8">
        <f t="shared" si="61"/>
        <v>7.2367930003122305E-2</v>
      </c>
      <c r="N275" s="8">
        <f t="shared" si="62"/>
        <v>0.119001328202884</v>
      </c>
      <c r="O275">
        <v>6.7554426575464996E-2</v>
      </c>
      <c r="P275">
        <v>-4.5947203720925998E-2</v>
      </c>
      <c r="Q275">
        <v>4.2141733556641997E-2</v>
      </c>
      <c r="R275">
        <v>-8.5481845385586994E-2</v>
      </c>
      <c r="S275">
        <f t="shared" si="63"/>
        <v>1.1665382787791971</v>
      </c>
      <c r="T275">
        <f t="shared" si="64"/>
        <v>-29.535529154425003</v>
      </c>
      <c r="U275" s="9">
        <f t="shared" si="65"/>
        <v>1.0149468352479074</v>
      </c>
      <c r="V275" s="9">
        <f t="shared" si="66"/>
        <v>-0.57506041202415314</v>
      </c>
    </row>
    <row r="276" spans="1:22" x14ac:dyDescent="0.25">
      <c r="A276">
        <v>3.2</v>
      </c>
      <c r="B276" s="1">
        <v>15.1</v>
      </c>
      <c r="C276">
        <v>-4.2882039125433001E-2</v>
      </c>
      <c r="D276">
        <v>-5.5006354380541002E-2</v>
      </c>
      <c r="E276">
        <v>0.95715269652928003</v>
      </c>
      <c r="F276">
        <v>-5.9149646019847998E-2</v>
      </c>
      <c r="G276">
        <f t="shared" si="55"/>
        <v>3.7063023507081798</v>
      </c>
      <c r="H276">
        <f t="shared" si="56"/>
        <v>-5.6000323529134199</v>
      </c>
      <c r="I276">
        <f t="shared" si="57"/>
        <v>3.7063240097082901</v>
      </c>
      <c r="J276">
        <f t="shared" si="58"/>
        <v>-5.6021039178847198</v>
      </c>
      <c r="K276" s="8">
        <f t="shared" si="59"/>
        <v>-2.1659000110307898E-5</v>
      </c>
      <c r="L276" s="8">
        <f t="shared" si="60"/>
        <v>2.0715649712999E-3</v>
      </c>
      <c r="M276" s="8">
        <f t="shared" si="61"/>
        <v>8.2142966799353206E-2</v>
      </c>
      <c r="N276" s="8">
        <f t="shared" si="62"/>
        <v>0.12415898743012201</v>
      </c>
      <c r="O276">
        <v>6.9758064608384004E-2</v>
      </c>
      <c r="P276">
        <v>-5.1690333972684001E-2</v>
      </c>
      <c r="Q276">
        <v>4.0987198532396997E-2</v>
      </c>
      <c r="R276">
        <v>-9.2368974183514002E-2</v>
      </c>
      <c r="S276">
        <f t="shared" si="63"/>
        <v>1.1639239705010198</v>
      </c>
      <c r="T276">
        <f t="shared" si="64"/>
        <v>-29.533302127550428</v>
      </c>
      <c r="U276" s="9">
        <f t="shared" si="65"/>
        <v>1.0126945570068964</v>
      </c>
      <c r="V276" s="9">
        <f t="shared" si="66"/>
        <v>-0.57373229237638745</v>
      </c>
    </row>
    <row r="277" spans="1:22" x14ac:dyDescent="0.25">
      <c r="A277">
        <v>3.2</v>
      </c>
      <c r="B277" s="1">
        <v>15.2</v>
      </c>
      <c r="C277">
        <v>-4.8242578927832999E-2</v>
      </c>
      <c r="D277">
        <v>-5.6543918023664999E-2</v>
      </c>
      <c r="E277">
        <v>0.95179158780765005</v>
      </c>
      <c r="F277">
        <v>-6.0737404026151999E-2</v>
      </c>
      <c r="G277">
        <f t="shared" si="55"/>
        <v>3.6830162735255301</v>
      </c>
      <c r="H277">
        <f t="shared" si="56"/>
        <v>-5.0853788022255397</v>
      </c>
      <c r="I277">
        <f t="shared" si="57"/>
        <v>3.68303775268802</v>
      </c>
      <c r="J277">
        <f t="shared" si="58"/>
        <v>-5.0874754643724502</v>
      </c>
      <c r="K277" s="8">
        <f t="shared" si="59"/>
        <v>-2.1479162489956802E-5</v>
      </c>
      <c r="L277" s="8">
        <f t="shared" si="60"/>
        <v>2.0966621469105098E-3</v>
      </c>
      <c r="M277" s="8">
        <f t="shared" si="61"/>
        <v>9.3366327884190803E-2</v>
      </c>
      <c r="N277" s="8">
        <f t="shared" si="62"/>
        <v>0.12896932755106899</v>
      </c>
      <c r="O277">
        <v>7.1618011391882994E-2</v>
      </c>
      <c r="P277">
        <v>-5.8143557819634997E-2</v>
      </c>
      <c r="Q277">
        <v>3.9090892850627001E-2</v>
      </c>
      <c r="R277">
        <v>-9.9768370013271004E-2</v>
      </c>
      <c r="S277">
        <f t="shared" si="63"/>
        <v>1.1615702145035902</v>
      </c>
      <c r="T277">
        <f t="shared" si="64"/>
        <v>-29.532286922222621</v>
      </c>
      <c r="U277" s="9">
        <f t="shared" si="65"/>
        <v>1.010656771147272</v>
      </c>
      <c r="V277" s="9">
        <f t="shared" si="66"/>
        <v>-0.57255414954053674</v>
      </c>
    </row>
    <row r="278" spans="1:22" x14ac:dyDescent="0.25">
      <c r="A278">
        <v>3.2</v>
      </c>
      <c r="B278" s="1">
        <v>15.3</v>
      </c>
      <c r="C278">
        <v>-5.4235722183425997E-2</v>
      </c>
      <c r="D278">
        <v>-5.7679066588985001E-2</v>
      </c>
      <c r="E278">
        <v>0.94579806896856999</v>
      </c>
      <c r="F278">
        <v>-6.1924593916701999E-2</v>
      </c>
      <c r="G278">
        <f t="shared" si="55"/>
        <v>3.6604654629378</v>
      </c>
      <c r="H278">
        <f t="shared" si="56"/>
        <v>-4.5878260411142602</v>
      </c>
      <c r="I278">
        <f t="shared" si="57"/>
        <v>3.6604868641052102</v>
      </c>
      <c r="J278">
        <f t="shared" si="58"/>
        <v>-4.5899487234845502</v>
      </c>
      <c r="K278" s="8">
        <f t="shared" si="59"/>
        <v>-2.1401167410228801E-5</v>
      </c>
      <c r="L278" s="8">
        <f t="shared" si="60"/>
        <v>2.1226823702900099E-3</v>
      </c>
      <c r="M278" s="8">
        <f t="shared" si="61"/>
        <v>0.106203290372308</v>
      </c>
      <c r="N278" s="8">
        <f t="shared" si="62"/>
        <v>0.13317016975374299</v>
      </c>
      <c r="O278">
        <v>7.2996173128374003E-2</v>
      </c>
      <c r="P278">
        <v>-6.5358972848412994E-2</v>
      </c>
      <c r="Q278">
        <v>3.6280048822759002E-2</v>
      </c>
      <c r="R278">
        <v>-0.10763068340291999</v>
      </c>
      <c r="S278">
        <f t="shared" si="63"/>
        <v>1.1592152510272209</v>
      </c>
      <c r="T278">
        <f t="shared" si="64"/>
        <v>-29.531635192724224</v>
      </c>
      <c r="U278" s="9">
        <f t="shared" si="65"/>
        <v>1.0086142685038293</v>
      </c>
      <c r="V278" s="9">
        <f t="shared" si="66"/>
        <v>-0.5713818824434217</v>
      </c>
    </row>
    <row r="279" spans="1:22" x14ac:dyDescent="0.25">
      <c r="A279">
        <v>3.2</v>
      </c>
      <c r="B279" s="1">
        <v>15.4</v>
      </c>
      <c r="C279">
        <v>-6.0875123825314001E-2</v>
      </c>
      <c r="D279">
        <v>-5.8255865808227003E-2</v>
      </c>
      <c r="E279">
        <v>0.93915827018264997</v>
      </c>
      <c r="F279">
        <v>-6.255533473529E-2</v>
      </c>
      <c r="G279">
        <f t="shared" si="55"/>
        <v>3.6385630291732101</v>
      </c>
      <c r="H279">
        <f t="shared" si="56"/>
        <v>-4.1067051632727702</v>
      </c>
      <c r="I279">
        <f t="shared" si="57"/>
        <v>3.6385843470038299</v>
      </c>
      <c r="J279">
        <f t="shared" si="58"/>
        <v>-4.10885481601587</v>
      </c>
      <c r="K279" s="8">
        <f t="shared" si="59"/>
        <v>-2.1317830619871399E-5</v>
      </c>
      <c r="L279" s="8">
        <f t="shared" si="60"/>
        <v>2.1496527430997499E-3</v>
      </c>
      <c r="M279" s="8">
        <f t="shared" si="61"/>
        <v>0.12079497662309099</v>
      </c>
      <c r="N279" s="8">
        <f t="shared" si="62"/>
        <v>0.136407177658808</v>
      </c>
      <c r="O279">
        <v>7.3705242801984996E-2</v>
      </c>
      <c r="P279">
        <v>-7.3354053459666002E-2</v>
      </c>
      <c r="Q279">
        <v>3.2361677119078003E-2</v>
      </c>
      <c r="R279">
        <v>-0.11586231852268999</v>
      </c>
      <c r="S279">
        <f t="shared" si="63"/>
        <v>1.1568468671261634</v>
      </c>
      <c r="T279">
        <f t="shared" si="64"/>
        <v>-29.531167362113436</v>
      </c>
      <c r="U279" s="9">
        <f t="shared" si="65"/>
        <v>1.0065582322027329</v>
      </c>
      <c r="V279" s="9">
        <f t="shared" si="66"/>
        <v>-0.57020627773160149</v>
      </c>
    </row>
    <row r="280" spans="1:22" x14ac:dyDescent="0.25">
      <c r="A280">
        <v>3.2</v>
      </c>
      <c r="B280" s="1">
        <v>15.5</v>
      </c>
      <c r="C280">
        <v>-6.8139169530912994E-2</v>
      </c>
      <c r="D280">
        <v>-5.8089183192182002E-2</v>
      </c>
      <c r="E280">
        <v>0.93189360128924004</v>
      </c>
      <c r="F280">
        <v>-6.2444435334614003E-2</v>
      </c>
      <c r="G280">
        <f t="shared" si="55"/>
        <v>3.61726336596465</v>
      </c>
      <c r="H280">
        <f t="shared" si="56"/>
        <v>-3.6413777798249498</v>
      </c>
      <c r="I280">
        <f t="shared" si="57"/>
        <v>3.6172844929059802</v>
      </c>
      <c r="J280">
        <f t="shared" si="58"/>
        <v>-3.6435553242096401</v>
      </c>
      <c r="K280" s="8">
        <f t="shared" si="59"/>
        <v>-2.11269413301629E-5</v>
      </c>
      <c r="L280" s="8">
        <f t="shared" si="60"/>
        <v>2.17754438469031E-3</v>
      </c>
      <c r="M280" s="8">
        <f t="shared" si="61"/>
        <v>0.137225008171591</v>
      </c>
      <c r="N280" s="8">
        <f t="shared" si="62"/>
        <v>0.13822161627564999</v>
      </c>
      <c r="O280">
        <v>7.3522303044375001E-2</v>
      </c>
      <c r="P280">
        <v>-8.2103682029533998E-2</v>
      </c>
      <c r="Q280">
        <v>2.7133239846159E-2</v>
      </c>
      <c r="R280">
        <v>-0.124308130813</v>
      </c>
      <c r="S280">
        <f t="shared" si="63"/>
        <v>1.1544628260462584</v>
      </c>
      <c r="T280">
        <f t="shared" si="64"/>
        <v>-29.530786833300127</v>
      </c>
      <c r="U280" s="9">
        <f t="shared" si="65"/>
        <v>1.004487686565521</v>
      </c>
      <c r="V280" s="9">
        <f t="shared" si="66"/>
        <v>-0.56902451991189396</v>
      </c>
    </row>
    <row r="281" spans="1:22" x14ac:dyDescent="0.25">
      <c r="A281">
        <v>3.2</v>
      </c>
      <c r="B281">
        <v>15.6</v>
      </c>
      <c r="C281">
        <v>-7.5954497770506002E-2</v>
      </c>
      <c r="D281">
        <v>-5.6970908528712998E-2</v>
      </c>
      <c r="E281">
        <v>0.92407724530801005</v>
      </c>
      <c r="F281">
        <v>-6.1387364668270002E-2</v>
      </c>
      <c r="G281">
        <f t="shared" si="55"/>
        <v>3.5964344854686701</v>
      </c>
      <c r="H281">
        <f t="shared" si="56"/>
        <v>-3.19126431541327</v>
      </c>
      <c r="I281">
        <f t="shared" si="57"/>
        <v>3.59645523277127</v>
      </c>
      <c r="J281">
        <f t="shared" si="58"/>
        <v>-3.19347246262156</v>
      </c>
      <c r="K281" s="8">
        <f t="shared" si="59"/>
        <v>-2.07473025999327E-5</v>
      </c>
      <c r="L281" s="8">
        <f t="shared" si="60"/>
        <v>2.20814720828999E-3</v>
      </c>
      <c r="M281" s="8">
        <f t="shared" si="61"/>
        <v>0.155470240459125</v>
      </c>
      <c r="N281" s="8">
        <f t="shared" si="62"/>
        <v>0.13804980168786801</v>
      </c>
      <c r="O281">
        <v>7.2196593572349005E-2</v>
      </c>
      <c r="P281">
        <v>-9.1520057438583005E-2</v>
      </c>
      <c r="Q281">
        <v>2.0402096563744001E-2</v>
      </c>
      <c r="R281">
        <v>-0.13273646093888999</v>
      </c>
      <c r="S281">
        <f t="shared" si="63"/>
        <v>1.152069228090107</v>
      </c>
      <c r="T281">
        <f t="shared" si="64"/>
        <v>-29.530333465788075</v>
      </c>
      <c r="U281" s="9">
        <f t="shared" si="65"/>
        <v>1.0024095317701043</v>
      </c>
      <c r="V281" s="9">
        <f t="shared" si="66"/>
        <v>-0.56783680483795296</v>
      </c>
    </row>
    <row r="282" spans="1:22" x14ac:dyDescent="0.25">
      <c r="A282">
        <v>3.2</v>
      </c>
      <c r="B282">
        <v>15.7</v>
      </c>
      <c r="C282">
        <v>-8.4178764786016005E-2</v>
      </c>
      <c r="D282">
        <v>-5.4684107099674001E-2</v>
      </c>
      <c r="E282">
        <v>0.91585104158206998</v>
      </c>
      <c r="F282">
        <v>-5.9160119825724999E-2</v>
      </c>
      <c r="G282">
        <f t="shared" si="55"/>
        <v>3.57624194279727</v>
      </c>
      <c r="H282">
        <f t="shared" si="56"/>
        <v>-2.75575160530446</v>
      </c>
      <c r="I282">
        <f t="shared" si="57"/>
        <v>3.5762618541826701</v>
      </c>
      <c r="J282">
        <f t="shared" si="58"/>
        <v>-2.7579895337534199</v>
      </c>
      <c r="K282" s="8">
        <f t="shared" si="59"/>
        <v>-1.9911385400028798E-5</v>
      </c>
      <c r="L282" s="8">
        <f t="shared" si="60"/>
        <v>2.23792844895998E-3</v>
      </c>
      <c r="M282" s="8">
        <f t="shared" si="61"/>
        <v>0.17534000077450199</v>
      </c>
      <c r="N282" s="8">
        <f t="shared" si="62"/>
        <v>0.135221051114813</v>
      </c>
      <c r="O282">
        <v>6.9466400393512998E-2</v>
      </c>
      <c r="P282">
        <v>-0.10143285917011</v>
      </c>
      <c r="Q282">
        <v>1.2011652121236E-2</v>
      </c>
      <c r="R282">
        <v>-0.14082733863196001</v>
      </c>
      <c r="S282">
        <f t="shared" si="63"/>
        <v>1.1496571113382144</v>
      </c>
      <c r="T282">
        <f t="shared" si="64"/>
        <v>-29.530178067815278</v>
      </c>
      <c r="U282" s="9">
        <f t="shared" si="65"/>
        <v>1.0003122982071218</v>
      </c>
      <c r="V282" s="9">
        <f t="shared" si="66"/>
        <v>-0.56664519737320096</v>
      </c>
    </row>
    <row r="283" spans="1:22" x14ac:dyDescent="0.25">
      <c r="A283">
        <v>3.2</v>
      </c>
      <c r="B283">
        <v>15.8</v>
      </c>
      <c r="C283">
        <v>-9.2586447922638995E-2</v>
      </c>
      <c r="D283">
        <v>-5.1027873890180001E-2</v>
      </c>
      <c r="E283">
        <v>0.90744070860852999</v>
      </c>
      <c r="F283">
        <v>-5.5565249892398E-2</v>
      </c>
      <c r="G283">
        <f t="shared" si="55"/>
        <v>3.5565534171788502</v>
      </c>
      <c r="H283">
        <f t="shared" si="56"/>
        <v>-2.3343323369015501</v>
      </c>
      <c r="I283">
        <f t="shared" si="57"/>
        <v>3.5565721419691698</v>
      </c>
      <c r="J283">
        <f t="shared" si="58"/>
        <v>-2.3366009516181001</v>
      </c>
      <c r="K283" s="8">
        <f t="shared" si="59"/>
        <v>-1.8724790319612999E-5</v>
      </c>
      <c r="L283" s="8">
        <f t="shared" si="60"/>
        <v>2.2686147165500402E-3</v>
      </c>
      <c r="M283" s="8">
        <f t="shared" si="61"/>
        <v>0.19639902446978399</v>
      </c>
      <c r="N283" s="8">
        <f t="shared" si="62"/>
        <v>0.12903046224134301</v>
      </c>
      <c r="O283">
        <v>6.5088444518867E-2</v>
      </c>
      <c r="P283">
        <v>-0.11157004156559</v>
      </c>
      <c r="Q283">
        <v>1.8843753913303999E-3</v>
      </c>
      <c r="R283">
        <v>-0.14817525269202</v>
      </c>
      <c r="S283">
        <f t="shared" si="63"/>
        <v>1.1472439042709563</v>
      </c>
      <c r="T283">
        <f t="shared" si="64"/>
        <v>-29.530102499496646</v>
      </c>
      <c r="U283" s="9">
        <f t="shared" si="65"/>
        <v>0.99821332166578935</v>
      </c>
      <c r="V283" s="9">
        <f t="shared" si="66"/>
        <v>-0.5654544546962369</v>
      </c>
    </row>
    <row r="284" spans="1:22" x14ac:dyDescent="0.25">
      <c r="A284">
        <v>3.2</v>
      </c>
      <c r="B284">
        <v>15.9</v>
      </c>
      <c r="C284">
        <v>-0.10086451650597</v>
      </c>
      <c r="D284">
        <v>-4.5852499025983998E-2</v>
      </c>
      <c r="E284">
        <v>0.89915949733207001</v>
      </c>
      <c r="F284">
        <v>-5.0452787454252003E-2</v>
      </c>
      <c r="G284">
        <f t="shared" si="55"/>
        <v>3.5373520680494699</v>
      </c>
      <c r="H284">
        <f t="shared" si="56"/>
        <v>-1.9265123570784799</v>
      </c>
      <c r="I284">
        <f t="shared" si="57"/>
        <v>3.53736936526917</v>
      </c>
      <c r="J284">
        <f t="shared" si="58"/>
        <v>-1.9288124338896799</v>
      </c>
      <c r="K284" s="8">
        <f t="shared" si="59"/>
        <v>-1.7297219700118701E-5</v>
      </c>
      <c r="L284" s="8">
        <f t="shared" si="60"/>
        <v>2.3000768112000402E-3</v>
      </c>
      <c r="M284" s="8">
        <f t="shared" si="61"/>
        <v>0.21790821885605699</v>
      </c>
      <c r="N284" s="8">
        <f t="shared" si="62"/>
        <v>0.11881826254927599</v>
      </c>
      <c r="O284">
        <v>5.8882142216024003E-2</v>
      </c>
      <c r="P284">
        <v>-0.12155593818823</v>
      </c>
      <c r="Q284">
        <v>-9.9364458128869005E-3</v>
      </c>
      <c r="R284">
        <v>-0.15430736154499999</v>
      </c>
      <c r="S284">
        <f t="shared" si="63"/>
        <v>1.144821119636968</v>
      </c>
      <c r="T284">
        <f t="shared" si="64"/>
        <v>-29.53012707847093</v>
      </c>
      <c r="U284" s="9">
        <f t="shared" si="65"/>
        <v>0.99610502229841136</v>
      </c>
      <c r="V284" s="9">
        <f t="shared" si="66"/>
        <v>-0.56426073806239829</v>
      </c>
    </row>
    <row r="285" spans="1:22" x14ac:dyDescent="0.25">
      <c r="A285">
        <v>3.2</v>
      </c>
      <c r="B285">
        <v>16</v>
      </c>
      <c r="C285">
        <v>-0.108625353126</v>
      </c>
      <c r="D285">
        <v>-3.9101321289604002E-2</v>
      </c>
      <c r="E285">
        <v>0.89138869924203001</v>
      </c>
      <c r="F285">
        <v>-4.3759992686458998E-2</v>
      </c>
      <c r="G285">
        <f t="shared" si="55"/>
        <v>3.51859627047833</v>
      </c>
      <c r="H285">
        <f t="shared" si="56"/>
        <v>-1.53166454016798</v>
      </c>
      <c r="I285">
        <f t="shared" si="57"/>
        <v>3.5186087222739801</v>
      </c>
      <c r="J285">
        <f t="shared" si="58"/>
        <v>-1.5339938304959799</v>
      </c>
      <c r="K285" s="8">
        <f t="shared" si="59"/>
        <v>-1.24517956501258E-5</v>
      </c>
      <c r="L285" s="8">
        <f t="shared" si="60"/>
        <v>2.3292903279998902E-3</v>
      </c>
      <c r="M285" s="8">
        <f t="shared" si="61"/>
        <v>0.23881293334353201</v>
      </c>
      <c r="N285" s="8">
        <f t="shared" si="62"/>
        <v>0.104114323389408</v>
      </c>
      <c r="O285">
        <v>5.0777757522339997E-2</v>
      </c>
      <c r="P285">
        <v>-0.13092511335320001</v>
      </c>
      <c r="Q285">
        <v>-2.3246012635048E-2</v>
      </c>
      <c r="R285">
        <v>-0.15873004605878999</v>
      </c>
      <c r="S285">
        <f t="shared" si="63"/>
        <v>1.1423950423772449</v>
      </c>
      <c r="T285">
        <f t="shared" si="64"/>
        <v>-29.529931792463209</v>
      </c>
      <c r="U285" s="9">
        <f t="shared" si="65"/>
        <v>0.99399601973518925</v>
      </c>
      <c r="V285" s="9">
        <f t="shared" si="66"/>
        <v>-0.56306158242123783</v>
      </c>
    </row>
    <row r="286" spans="1:22" x14ac:dyDescent="0.25">
      <c r="A286">
        <v>3.2</v>
      </c>
      <c r="B286">
        <v>16.100000000000001</v>
      </c>
      <c r="C286">
        <v>-0.11544131539018999</v>
      </c>
      <c r="D286">
        <v>-3.0848313473173E-2</v>
      </c>
      <c r="E286">
        <v>0.88456727397844004</v>
      </c>
      <c r="F286">
        <v>-3.5571761781045E-2</v>
      </c>
      <c r="G286">
        <f t="shared" si="55"/>
        <v>3.5002765156099298</v>
      </c>
      <c r="H286">
        <f t="shared" si="56"/>
        <v>-1.14965877888791</v>
      </c>
      <c r="I286">
        <f t="shared" si="57"/>
        <v>3.50028638791381</v>
      </c>
      <c r="J286">
        <f t="shared" si="58"/>
        <v>-1.1520204695834799</v>
      </c>
      <c r="K286" s="8">
        <f t="shared" si="59"/>
        <v>-9.8723038801651308E-6</v>
      </c>
      <c r="L286" s="8">
        <f t="shared" si="60"/>
        <v>2.3616906955699099E-3</v>
      </c>
      <c r="M286" s="8">
        <f t="shared" si="61"/>
        <v>0.257769068879389</v>
      </c>
      <c r="N286" s="8">
        <f t="shared" si="62"/>
        <v>8.4837413532758602E-2</v>
      </c>
      <c r="O286">
        <v>4.0863867995732002E-2</v>
      </c>
      <c r="P286">
        <v>-0.1391617385691</v>
      </c>
      <c r="Q286">
        <v>-3.7657502179396E-2</v>
      </c>
      <c r="R286">
        <v>-0.16098938002527999</v>
      </c>
      <c r="S286">
        <f t="shared" si="63"/>
        <v>1.1399475307798896</v>
      </c>
      <c r="T286">
        <f t="shared" si="64"/>
        <v>-29.530019761558865</v>
      </c>
      <c r="U286" s="9">
        <f t="shared" si="65"/>
        <v>0.99186558133334402</v>
      </c>
      <c r="V286" s="9">
        <f t="shared" si="66"/>
        <v>-0.56185678023624042</v>
      </c>
    </row>
    <row r="287" spans="1:22" x14ac:dyDescent="0.25">
      <c r="A287">
        <v>3.2</v>
      </c>
      <c r="B287">
        <v>16.2</v>
      </c>
      <c r="C287">
        <v>-0.12090254970344</v>
      </c>
      <c r="D287">
        <v>-2.1319908800189E-2</v>
      </c>
      <c r="E287">
        <v>0.87910094951925</v>
      </c>
      <c r="F287">
        <v>-2.6109163382025999E-2</v>
      </c>
      <c r="G287">
        <f t="shared" si="55"/>
        <v>3.4823980000492698</v>
      </c>
      <c r="H287">
        <f t="shared" si="56"/>
        <v>-0.77994566558395695</v>
      </c>
      <c r="I287">
        <f t="shared" si="57"/>
        <v>3.48240548383444</v>
      </c>
      <c r="J287">
        <f t="shared" si="58"/>
        <v>-0.78234027076437196</v>
      </c>
      <c r="K287" s="8">
        <f t="shared" si="59"/>
        <v>-7.4837851702369596E-6</v>
      </c>
      <c r="L287" s="8">
        <f t="shared" si="60"/>
        <v>2.3946051804150099E-3</v>
      </c>
      <c r="M287" s="8">
        <f t="shared" si="61"/>
        <v>0.27336130378685602</v>
      </c>
      <c r="N287" s="8">
        <f t="shared" si="62"/>
        <v>6.1412020344520701E-2</v>
      </c>
      <c r="O287">
        <v>2.9411021857322001E-2</v>
      </c>
      <c r="P287">
        <v>-0.14577114937374</v>
      </c>
      <c r="Q287">
        <v>-5.2617909029331E-2</v>
      </c>
      <c r="R287">
        <v>-0.16076348282305999</v>
      </c>
      <c r="S287">
        <f t="shared" si="63"/>
        <v>1.1374958920819382</v>
      </c>
      <c r="T287">
        <f t="shared" si="64"/>
        <v>-29.530228792942292</v>
      </c>
      <c r="U287" s="9">
        <f t="shared" si="65"/>
        <v>0.98973037103696238</v>
      </c>
      <c r="V287" s="9">
        <f t="shared" si="66"/>
        <v>-0.56065202857951135</v>
      </c>
    </row>
    <row r="288" spans="1:22" x14ac:dyDescent="0.25">
      <c r="A288">
        <v>3.2</v>
      </c>
      <c r="B288">
        <v>16.3</v>
      </c>
      <c r="C288">
        <v>-0.12468307992695001</v>
      </c>
      <c r="D288">
        <v>-1.0884722787353E-2</v>
      </c>
      <c r="E288">
        <v>0.87531577217585999</v>
      </c>
      <c r="F288">
        <v>-1.5741966816803E-2</v>
      </c>
      <c r="G288">
        <f t="shared" si="55"/>
        <v>3.4649404932904599</v>
      </c>
      <c r="H288">
        <f t="shared" si="56"/>
        <v>-0.42215037575796799</v>
      </c>
      <c r="I288">
        <f t="shared" si="57"/>
        <v>3.46494581752179</v>
      </c>
      <c r="J288">
        <f t="shared" si="58"/>
        <v>-0.42457898623604401</v>
      </c>
      <c r="K288" s="8">
        <f t="shared" si="59"/>
        <v>-5.3242313300394503E-6</v>
      </c>
      <c r="L288" s="8">
        <f t="shared" si="60"/>
        <v>2.4286104780760201E-3</v>
      </c>
      <c r="M288" s="8">
        <f t="shared" si="61"/>
        <v>0.284335515960143</v>
      </c>
      <c r="N288" s="8">
        <f t="shared" si="62"/>
        <v>3.4841204300159599E-2</v>
      </c>
      <c r="O288">
        <v>1.6862023394524001E-2</v>
      </c>
      <c r="P288">
        <v>-0.15035875204008001</v>
      </c>
      <c r="Q288">
        <v>-6.7465560487486004E-2</v>
      </c>
      <c r="R288">
        <v>-0.15792658478136001</v>
      </c>
      <c r="S288">
        <f t="shared" si="63"/>
        <v>1.1350434035062584</v>
      </c>
      <c r="T288">
        <f t="shared" si="64"/>
        <v>-29.530681555715823</v>
      </c>
      <c r="U288" s="9">
        <f t="shared" si="65"/>
        <v>0.98759205022248531</v>
      </c>
      <c r="V288" s="9">
        <f t="shared" si="66"/>
        <v>-0.55945104359579056</v>
      </c>
    </row>
    <row r="289" spans="1:22" x14ac:dyDescent="0.25">
      <c r="A289">
        <v>3.2</v>
      </c>
      <c r="B289">
        <v>16.399999999999999</v>
      </c>
      <c r="C289">
        <v>-0.12659860446477</v>
      </c>
      <c r="D289" s="5">
        <v>-1.0464641793878E-5</v>
      </c>
      <c r="E289">
        <v>0.87339381970326002</v>
      </c>
      <c r="F289">
        <v>-4.9359645959953999E-3</v>
      </c>
      <c r="G289">
        <f t="shared" si="55"/>
        <v>3.4478646922652199</v>
      </c>
      <c r="H289">
        <f t="shared" si="56"/>
        <v>-7.5891332309952306E-2</v>
      </c>
      <c r="I289">
        <f t="shared" si="57"/>
        <v>3.4478669695044801</v>
      </c>
      <c r="J289">
        <f t="shared" si="58"/>
        <v>-7.8354086007486196E-2</v>
      </c>
      <c r="K289" s="8">
        <f t="shared" si="59"/>
        <v>-2.2772392602732301E-6</v>
      </c>
      <c r="L289" s="8">
        <f t="shared" si="60"/>
        <v>2.4627536975338898E-3</v>
      </c>
      <c r="M289" s="8">
        <f t="shared" si="61"/>
        <v>0.28988468306162801</v>
      </c>
      <c r="N289" s="8">
        <f t="shared" si="62"/>
        <v>6.5877394893017098E-3</v>
      </c>
      <c r="O289">
        <v>3.7793953867023E-3</v>
      </c>
      <c r="P289">
        <v>-0.15270319621329001</v>
      </c>
      <c r="Q289">
        <v>-8.1521741952656004E-2</v>
      </c>
      <c r="R289">
        <v>-0.15259122506747999</v>
      </c>
      <c r="S289">
        <f t="shared" si="63"/>
        <v>1.1325864441593292</v>
      </c>
      <c r="T289">
        <f t="shared" si="64"/>
        <v>-29.531104287715095</v>
      </c>
      <c r="U289" s="9">
        <f t="shared" si="65"/>
        <v>0.98545015108402301</v>
      </c>
      <c r="V289" s="9">
        <f t="shared" si="66"/>
        <v>-0.55824730471534689</v>
      </c>
    </row>
    <row r="290" spans="1:22" x14ac:dyDescent="0.25">
      <c r="A290">
        <v>3.2</v>
      </c>
      <c r="B290">
        <v>16.5</v>
      </c>
      <c r="C290">
        <v>-0.12663638685091</v>
      </c>
      <c r="D290">
        <v>1.0805414132608999E-2</v>
      </c>
      <c r="E290">
        <v>0.87335078793687004</v>
      </c>
      <c r="F290">
        <v>5.8119619705639999E-3</v>
      </c>
      <c r="G290">
        <f t="shared" si="55"/>
        <v>3.4311913549714701</v>
      </c>
      <c r="H290">
        <f t="shared" si="56"/>
        <v>0.25916308917085801</v>
      </c>
      <c r="I290">
        <f t="shared" si="57"/>
        <v>3.43119117604643</v>
      </c>
      <c r="J290">
        <f t="shared" si="58"/>
        <v>0.256666346632482</v>
      </c>
      <c r="K290" s="8">
        <f t="shared" si="59"/>
        <v>1.78925040117406E-7</v>
      </c>
      <c r="L290" s="8">
        <f t="shared" si="60"/>
        <v>2.4967425383760102E-3</v>
      </c>
      <c r="M290" s="8">
        <f t="shared" si="61"/>
        <v>0.28982224193144501</v>
      </c>
      <c r="N290" s="8">
        <f t="shared" si="62"/>
        <v>-2.16798226017509E-2</v>
      </c>
      <c r="O290">
        <v>-9.2376412996893007E-3</v>
      </c>
      <c r="P290">
        <v>-0.15278298996549999</v>
      </c>
      <c r="Q290">
        <v>-9.4193103719693999E-2</v>
      </c>
      <c r="R290">
        <v>-0.1450903747724</v>
      </c>
      <c r="S290">
        <f t="shared" si="63"/>
        <v>1.1301581659621525</v>
      </c>
      <c r="T290">
        <f t="shared" si="64"/>
        <v>-29.531719536485905</v>
      </c>
      <c r="U290" s="9">
        <f t="shared" si="65"/>
        <v>0.98333135304087393</v>
      </c>
      <c r="V290" s="9">
        <f t="shared" si="66"/>
        <v>-0.55706097531396004</v>
      </c>
    </row>
    <row r="291" spans="1:22" x14ac:dyDescent="0.25">
      <c r="A291">
        <v>3.2</v>
      </c>
      <c r="B291">
        <v>16.600000000000001</v>
      </c>
      <c r="C291">
        <v>-0.12494667050963</v>
      </c>
      <c r="D291">
        <v>2.1108445940287001E-2</v>
      </c>
      <c r="E291">
        <v>0.87503058811825996</v>
      </c>
      <c r="F291">
        <v>1.6046353150900999E-2</v>
      </c>
      <c r="G291">
        <f t="shared" si="55"/>
        <v>3.4148183909016598</v>
      </c>
      <c r="H291">
        <f t="shared" si="56"/>
        <v>0.58327770240828103</v>
      </c>
      <c r="I291">
        <f t="shared" si="57"/>
        <v>3.4148134264596499</v>
      </c>
      <c r="J291">
        <f t="shared" si="58"/>
        <v>0.58074661466814903</v>
      </c>
      <c r="K291" s="8">
        <f t="shared" si="59"/>
        <v>4.9644420099248504E-6</v>
      </c>
      <c r="L291" s="8">
        <f t="shared" si="60"/>
        <v>2.531087740132E-3</v>
      </c>
      <c r="M291" s="8">
        <f t="shared" si="61"/>
        <v>0.28461006512296899</v>
      </c>
      <c r="N291" s="8">
        <f t="shared" si="62"/>
        <v>-4.8402741578771599E-2</v>
      </c>
      <c r="O291">
        <v>-2.1641997749947E-2</v>
      </c>
      <c r="P291">
        <v>-0.15078499703317</v>
      </c>
      <c r="Q291">
        <v>-0.10505019904561</v>
      </c>
      <c r="R291">
        <v>-0.13591838023830999</v>
      </c>
      <c r="S291">
        <f t="shared" si="63"/>
        <v>1.1277005643585949</v>
      </c>
      <c r="T291">
        <f t="shared" si="64"/>
        <v>-29.532326440386456</v>
      </c>
      <c r="U291" s="9">
        <f t="shared" si="65"/>
        <v>0.98118714790720818</v>
      </c>
      <c r="V291" s="9">
        <f t="shared" si="66"/>
        <v>-0.55586000363078103</v>
      </c>
    </row>
    <row r="292" spans="1:22" x14ac:dyDescent="0.25">
      <c r="A292">
        <v>3.2</v>
      </c>
      <c r="B292">
        <v>16.7</v>
      </c>
      <c r="C292">
        <v>-0.12180254458259</v>
      </c>
      <c r="D292">
        <v>3.0544128566769999E-2</v>
      </c>
      <c r="E292">
        <v>0.87816911099997996</v>
      </c>
      <c r="F292">
        <v>2.5414899861193999E-2</v>
      </c>
      <c r="G292">
        <f t="shared" si="55"/>
        <v>3.39884596467639</v>
      </c>
      <c r="H292">
        <f t="shared" si="56"/>
        <v>0.89678923027559898</v>
      </c>
      <c r="I292">
        <f t="shared" si="57"/>
        <v>3.3988383697499902</v>
      </c>
      <c r="J292">
        <f t="shared" si="58"/>
        <v>0.89422456009771301</v>
      </c>
      <c r="K292" s="8">
        <f t="shared" si="59"/>
        <v>7.5949263997898697E-6</v>
      </c>
      <c r="L292" s="8">
        <f t="shared" si="60"/>
        <v>2.5646701778859701E-3</v>
      </c>
      <c r="M292" s="8">
        <f t="shared" si="61"/>
        <v>0.27517081943099497</v>
      </c>
      <c r="N292" s="8">
        <f t="shared" si="62"/>
        <v>-7.2396647968732103E-2</v>
      </c>
      <c r="O292">
        <v>-3.3003309658298001E-2</v>
      </c>
      <c r="P292">
        <v>-0.14702497320534</v>
      </c>
      <c r="Q292">
        <v>-0.11386734733676</v>
      </c>
      <c r="R292">
        <v>-0.12564531169942</v>
      </c>
      <c r="S292">
        <f t="shared" si="63"/>
        <v>1.125309059596652</v>
      </c>
      <c r="T292">
        <f t="shared" si="64"/>
        <v>-29.533060242117685</v>
      </c>
      <c r="U292" s="9">
        <f t="shared" si="65"/>
        <v>0.97909924884653654</v>
      </c>
      <c r="V292" s="9">
        <f t="shared" si="66"/>
        <v>-0.55469373578439574</v>
      </c>
    </row>
    <row r="293" spans="1:22" x14ac:dyDescent="0.25">
      <c r="A293">
        <v>3.2</v>
      </c>
      <c r="B293">
        <v>16.8</v>
      </c>
      <c r="C293">
        <v>-0.11754286904873</v>
      </c>
      <c r="D293">
        <v>3.8884666104141999E-2</v>
      </c>
      <c r="E293">
        <v>0.88242486898418004</v>
      </c>
      <c r="F293">
        <v>3.3684818831866997E-2</v>
      </c>
      <c r="G293">
        <f t="shared" si="55"/>
        <v>3.3832484599191002</v>
      </c>
      <c r="H293">
        <f t="shared" si="56"/>
        <v>1.1998683755291499</v>
      </c>
      <c r="I293">
        <f t="shared" si="57"/>
        <v>3.3832390885596801</v>
      </c>
      <c r="J293">
        <f t="shared" si="58"/>
        <v>1.1972683855877999</v>
      </c>
      <c r="K293" s="8">
        <f t="shared" si="59"/>
        <v>9.3713594200295296E-6</v>
      </c>
      <c r="L293" s="8">
        <f t="shared" si="60"/>
        <v>2.5999899413500201E-3</v>
      </c>
      <c r="M293" s="8">
        <f t="shared" si="61"/>
        <v>0.26267877122868399</v>
      </c>
      <c r="N293" s="8">
        <f t="shared" si="62"/>
        <v>-9.2957364266869097E-2</v>
      </c>
      <c r="O293">
        <v>-4.3049466475891002E-2</v>
      </c>
      <c r="P293">
        <v>-0.14192549956457001</v>
      </c>
      <c r="Q293">
        <v>-0.12061388589853</v>
      </c>
      <c r="R293">
        <v>-0.11482817334126</v>
      </c>
      <c r="S293">
        <f t="shared" si="63"/>
        <v>1.1228642564936107</v>
      </c>
      <c r="T293">
        <f t="shared" si="64"/>
        <v>-29.533862665172169</v>
      </c>
      <c r="U293" s="9">
        <f t="shared" si="65"/>
        <v>0.97696434388248354</v>
      </c>
      <c r="V293" s="9">
        <f t="shared" si="66"/>
        <v>-0.55350231191316401</v>
      </c>
    </row>
    <row r="294" spans="1:22" x14ac:dyDescent="0.25">
      <c r="A294">
        <v>3.2</v>
      </c>
      <c r="B294">
        <v>16.899999999999999</v>
      </c>
      <c r="C294">
        <v>-0.11251710570435999</v>
      </c>
      <c r="D294">
        <v>4.6027850817259998E-2</v>
      </c>
      <c r="E294">
        <v>0.88744734618007004</v>
      </c>
      <c r="F294">
        <v>4.0755863649122002E-2</v>
      </c>
      <c r="G294">
        <f t="shared" si="55"/>
        <v>3.36799357896769</v>
      </c>
      <c r="H294">
        <f t="shared" si="56"/>
        <v>1.49275953814341</v>
      </c>
      <c r="I294">
        <f t="shared" si="57"/>
        <v>3.3679827533784001</v>
      </c>
      <c r="J294">
        <f t="shared" si="58"/>
        <v>1.49012346916951</v>
      </c>
      <c r="K294" s="8">
        <f t="shared" si="59"/>
        <v>1.0825589289886799E-5</v>
      </c>
      <c r="L294" s="8">
        <f t="shared" si="60"/>
        <v>2.6360689739000102E-3</v>
      </c>
      <c r="M294" s="8">
        <f t="shared" si="61"/>
        <v>0.24830716814408199</v>
      </c>
      <c r="N294" s="8">
        <f t="shared" si="62"/>
        <v>-0.10986052064648</v>
      </c>
      <c r="O294">
        <v>-5.1654937989744E-2</v>
      </c>
      <c r="P294">
        <v>-0.13589915576617001</v>
      </c>
      <c r="Q294">
        <v>-0.12541523412583</v>
      </c>
      <c r="R294">
        <v>-0.10394996958802</v>
      </c>
      <c r="S294">
        <f t="shared" si="63"/>
        <v>1.1204341342541215</v>
      </c>
      <c r="T294">
        <f t="shared" si="64"/>
        <v>-29.534808169766741</v>
      </c>
      <c r="U294" s="9">
        <f t="shared" si="65"/>
        <v>0.9748408664035525</v>
      </c>
      <c r="V294" s="9">
        <f t="shared" si="66"/>
        <v>-0.55232049970225983</v>
      </c>
    </row>
    <row r="295" spans="1:22" x14ac:dyDescent="0.25">
      <c r="A295">
        <v>3.2</v>
      </c>
      <c r="B295">
        <v>17</v>
      </c>
      <c r="C295">
        <v>-0.10704423323866</v>
      </c>
      <c r="D295">
        <v>5.1975031852773003E-2</v>
      </c>
      <c r="E295">
        <v>0.89291343140663004</v>
      </c>
      <c r="F295">
        <v>4.6626798925627003E-2</v>
      </c>
      <c r="G295">
        <f t="shared" si="55"/>
        <v>3.3530599422591498</v>
      </c>
      <c r="H295">
        <f t="shared" si="56"/>
        <v>1.77557075178127</v>
      </c>
      <c r="I295">
        <f t="shared" si="57"/>
        <v>3.3530459254355498</v>
      </c>
      <c r="J295">
        <f t="shared" si="58"/>
        <v>1.77289654122825</v>
      </c>
      <c r="K295" s="8">
        <f t="shared" si="59"/>
        <v>1.40168236000271E-5</v>
      </c>
      <c r="L295" s="8">
        <f t="shared" si="60"/>
        <v>2.6742105530199699E-3</v>
      </c>
      <c r="M295" s="8">
        <f t="shared" si="61"/>
        <v>0.23307573220882799</v>
      </c>
      <c r="N295" s="8">
        <f t="shared" si="62"/>
        <v>-0.123236951913683</v>
      </c>
      <c r="O295">
        <v>-5.8819835734431003E-2</v>
      </c>
      <c r="P295">
        <v>-0.12932870966976001</v>
      </c>
      <c r="Q295">
        <v>-0.12849550134952001</v>
      </c>
      <c r="R295">
        <v>-9.3384291642712003E-2</v>
      </c>
      <c r="S295">
        <f t="shared" si="63"/>
        <v>1.1180253375682834</v>
      </c>
      <c r="T295">
        <f t="shared" si="64"/>
        <v>-29.535707526588642</v>
      </c>
      <c r="U295" s="9">
        <f t="shared" si="65"/>
        <v>0.97273642636874025</v>
      </c>
      <c r="V295" s="9">
        <f t="shared" si="66"/>
        <v>-0.55114834687227943</v>
      </c>
    </row>
    <row r="296" spans="1:22" x14ac:dyDescent="0.25">
      <c r="A296">
        <v>3.4</v>
      </c>
      <c r="B296">
        <v>15</v>
      </c>
      <c r="C296">
        <v>-4.1864844211355001E-2</v>
      </c>
      <c r="D296">
        <v>-5.9065359520583997E-2</v>
      </c>
      <c r="E296">
        <v>0.95817098807028001</v>
      </c>
      <c r="F296">
        <v>-6.3437614149150001E-2</v>
      </c>
      <c r="G296">
        <f t="shared" si="55"/>
        <v>3.3022430829819398</v>
      </c>
      <c r="H296">
        <f t="shared" si="56"/>
        <v>-5.5642793490342601</v>
      </c>
      <c r="I296">
        <f t="shared" si="57"/>
        <v>3.30226577767472</v>
      </c>
      <c r="J296">
        <f t="shared" si="58"/>
        <v>-5.5664653875696999</v>
      </c>
      <c r="K296" s="8">
        <f t="shared" si="59"/>
        <v>-2.2694692780156301E-5</v>
      </c>
      <c r="L296" s="8">
        <f t="shared" si="60"/>
        <v>2.1860385354397498E-3</v>
      </c>
      <c r="M296" s="8">
        <f t="shared" si="61"/>
        <v>7.8830906267834094E-2</v>
      </c>
      <c r="N296" s="8">
        <f t="shared" si="62"/>
        <v>0.13288134291832701</v>
      </c>
      <c r="O296">
        <v>7.0331880832586999E-2</v>
      </c>
      <c r="P296">
        <v>-4.7706442713861E-2</v>
      </c>
      <c r="Q296">
        <v>4.3965971114906001E-2</v>
      </c>
      <c r="R296">
        <v>-8.8813937868645998E-2</v>
      </c>
      <c r="S296">
        <f t="shared" si="63"/>
        <v>1.1660925395424668</v>
      </c>
      <c r="T296">
        <f t="shared" si="64"/>
        <v>-29.51377063045577</v>
      </c>
      <c r="U296" s="9">
        <f t="shared" si="65"/>
        <v>1.0147772468629452</v>
      </c>
      <c r="V296" s="9">
        <f t="shared" si="66"/>
        <v>-0.57445535076789112</v>
      </c>
    </row>
    <row r="297" spans="1:22" x14ac:dyDescent="0.25">
      <c r="A297">
        <v>3.4</v>
      </c>
      <c r="B297" s="1">
        <v>15.1</v>
      </c>
      <c r="C297">
        <v>-4.7008134045623998E-2</v>
      </c>
      <c r="D297">
        <v>-6.1039613560806998E-2</v>
      </c>
      <c r="E297">
        <v>0.95302763439644</v>
      </c>
      <c r="F297">
        <v>-6.5471510168115005E-2</v>
      </c>
      <c r="G297">
        <f t="shared" si="55"/>
        <v>3.2838188111040201</v>
      </c>
      <c r="H297">
        <f t="shared" si="56"/>
        <v>-5.09246588055034</v>
      </c>
      <c r="I297">
        <f t="shared" si="57"/>
        <v>3.2838416051445498</v>
      </c>
      <c r="J297">
        <f t="shared" si="58"/>
        <v>-5.0946817387146801</v>
      </c>
      <c r="K297" s="8">
        <f t="shared" si="59"/>
        <v>-2.27940405297389E-5</v>
      </c>
      <c r="L297" s="8">
        <f t="shared" si="60"/>
        <v>2.2158581643401099E-3</v>
      </c>
      <c r="M297" s="8">
        <f t="shared" si="61"/>
        <v>8.9382020668404699E-2</v>
      </c>
      <c r="N297" s="8">
        <f t="shared" si="62"/>
        <v>0.13867080183019201</v>
      </c>
      <c r="O297">
        <v>7.2611661826360002E-2</v>
      </c>
      <c r="P297">
        <v>-5.3575265899854001E-2</v>
      </c>
      <c r="Q297">
        <v>4.2811849866884001E-2</v>
      </c>
      <c r="R297">
        <v>-9.5853216887585996E-2</v>
      </c>
      <c r="S297">
        <f t="shared" si="63"/>
        <v>1.1633719285734774</v>
      </c>
      <c r="T297">
        <f t="shared" si="64"/>
        <v>-29.511442688872123</v>
      </c>
      <c r="U297" s="9">
        <f t="shared" si="65"/>
        <v>1.0124329546347011</v>
      </c>
      <c r="V297" s="9">
        <f t="shared" si="66"/>
        <v>-0.5730739538335532</v>
      </c>
    </row>
    <row r="298" spans="1:22" x14ac:dyDescent="0.25">
      <c r="A298">
        <v>3.4</v>
      </c>
      <c r="B298" s="1">
        <v>15.2</v>
      </c>
      <c r="C298">
        <v>-5.2784962891624002E-2</v>
      </c>
      <c r="D298">
        <v>-6.2723604720286999E-2</v>
      </c>
      <c r="E298">
        <v>0.94725045742861003</v>
      </c>
      <c r="F298">
        <v>-6.7216486380980003E-2</v>
      </c>
      <c r="G298">
        <f t="shared" si="55"/>
        <v>3.2661244947694201</v>
      </c>
      <c r="H298">
        <f t="shared" si="56"/>
        <v>-4.6359577140178301</v>
      </c>
      <c r="I298">
        <f t="shared" si="57"/>
        <v>3.2661472508187201</v>
      </c>
      <c r="J298">
        <f t="shared" si="58"/>
        <v>-4.6382040639448503</v>
      </c>
      <c r="K298" s="8">
        <f t="shared" si="59"/>
        <v>-2.2756049300021199E-5</v>
      </c>
      <c r="L298" s="8">
        <f t="shared" si="60"/>
        <v>2.2463499270202201E-3</v>
      </c>
      <c r="M298" s="8">
        <f t="shared" si="61"/>
        <v>0.10149412032883701</v>
      </c>
      <c r="N298" s="8">
        <f t="shared" si="62"/>
        <v>0.144130195372459</v>
      </c>
      <c r="O298">
        <v>7.4550633126509003E-2</v>
      </c>
      <c r="P298">
        <v>-6.0157632870617997E-2</v>
      </c>
      <c r="Q298">
        <v>4.0918390184593999E-2</v>
      </c>
      <c r="R298">
        <v>-0.10340962535358</v>
      </c>
      <c r="S298">
        <f t="shared" si="63"/>
        <v>1.1609224609999249</v>
      </c>
      <c r="T298">
        <f t="shared" si="64"/>
        <v>-29.510347970502757</v>
      </c>
      <c r="U298" s="9">
        <f t="shared" si="65"/>
        <v>1.0103122136758116</v>
      </c>
      <c r="V298" s="9">
        <f t="shared" si="66"/>
        <v>-0.57184804918055221</v>
      </c>
    </row>
    <row r="299" spans="1:22" x14ac:dyDescent="0.25">
      <c r="A299">
        <v>3.4</v>
      </c>
      <c r="B299" s="1">
        <v>15.3</v>
      </c>
      <c r="C299">
        <v>-5.9232467993308002E-2</v>
      </c>
      <c r="D299">
        <v>-6.3987677422928005E-2</v>
      </c>
      <c r="E299">
        <v>0.94080296042122002</v>
      </c>
      <c r="F299">
        <v>-6.8544819091806999E-2</v>
      </c>
      <c r="G299">
        <f t="shared" si="55"/>
        <v>3.2488953899506399</v>
      </c>
      <c r="H299">
        <f t="shared" si="56"/>
        <v>-4.1942001931392099</v>
      </c>
      <c r="I299">
        <f t="shared" si="57"/>
        <v>3.24891829542632</v>
      </c>
      <c r="J299">
        <f t="shared" si="58"/>
        <v>-4.1964786714204703</v>
      </c>
      <c r="K299" s="8">
        <f t="shared" si="59"/>
        <v>-2.2905475680179401E-5</v>
      </c>
      <c r="L299" s="8">
        <f t="shared" si="60"/>
        <v>2.27847828126038E-3</v>
      </c>
      <c r="M299" s="8">
        <f t="shared" si="61"/>
        <v>0.11534933772072201</v>
      </c>
      <c r="N299" s="8">
        <f t="shared" si="62"/>
        <v>0.14899144622655699</v>
      </c>
      <c r="O299">
        <v>7.6009358108882999E-2</v>
      </c>
      <c r="P299">
        <v>-6.7501020971785994E-2</v>
      </c>
      <c r="Q299">
        <v>3.8117730399535997E-2</v>
      </c>
      <c r="R299">
        <v>-0.11143640917604999</v>
      </c>
      <c r="S299">
        <f t="shared" si="63"/>
        <v>1.1585750853482186</v>
      </c>
      <c r="T299">
        <f t="shared" si="64"/>
        <v>-29.509268065705893</v>
      </c>
      <c r="U299" s="9">
        <f t="shared" si="65"/>
        <v>1.0082801268625794</v>
      </c>
      <c r="V299" s="9">
        <f t="shared" si="66"/>
        <v>-0.5706727732804614</v>
      </c>
    </row>
    <row r="300" spans="1:22" x14ac:dyDescent="0.25">
      <c r="A300">
        <v>3.4</v>
      </c>
      <c r="B300" s="1">
        <v>15.4</v>
      </c>
      <c r="C300">
        <v>-6.6366082649844005E-2</v>
      </c>
      <c r="D300">
        <v>-6.4670889070347001E-2</v>
      </c>
      <c r="E300">
        <v>0.93366506342140998</v>
      </c>
      <c r="F300">
        <v>-6.9289334344337997E-2</v>
      </c>
      <c r="G300">
        <f t="shared" si="55"/>
        <v>3.23227432138005</v>
      </c>
      <c r="H300">
        <f t="shared" si="56"/>
        <v>-3.7665459734539901</v>
      </c>
      <c r="I300">
        <f t="shared" si="57"/>
        <v>3.2322952264047999</v>
      </c>
      <c r="J300">
        <f t="shared" si="58"/>
        <v>-3.7688551118563498</v>
      </c>
      <c r="K300" s="8">
        <f t="shared" si="59"/>
        <v>-2.09050247499398E-5</v>
      </c>
      <c r="L300" s="8">
        <f t="shared" si="60"/>
        <v>2.3091384023596899E-3</v>
      </c>
      <c r="M300" s="8">
        <f t="shared" si="61"/>
        <v>0.13111695026549899</v>
      </c>
      <c r="N300" s="8">
        <f t="shared" si="62"/>
        <v>0.15288231849068601</v>
      </c>
      <c r="O300">
        <v>7.6808802005707999E-2</v>
      </c>
      <c r="P300">
        <v>-7.5627764311838999E-2</v>
      </c>
      <c r="Q300">
        <v>3.4217717954565997E-2</v>
      </c>
      <c r="R300">
        <v>-0.11984325380123</v>
      </c>
      <c r="S300">
        <f t="shared" si="63"/>
        <v>1.1562295900620689</v>
      </c>
      <c r="T300">
        <f t="shared" si="64"/>
        <v>-29.508767835618773</v>
      </c>
      <c r="U300" s="9">
        <f t="shared" si="65"/>
        <v>1.0062438707604497</v>
      </c>
      <c r="V300" s="9">
        <f t="shared" si="66"/>
        <v>-0.56950868078733208</v>
      </c>
    </row>
    <row r="301" spans="1:22" x14ac:dyDescent="0.25">
      <c r="A301">
        <v>3.4</v>
      </c>
      <c r="B301" s="1">
        <v>15.5</v>
      </c>
      <c r="C301">
        <v>-7.4165815153403994E-2</v>
      </c>
      <c r="D301">
        <v>-6.4582555651823997E-2</v>
      </c>
      <c r="E301">
        <v>0.92586498095008996</v>
      </c>
      <c r="F301">
        <v>-6.9268162384918994E-2</v>
      </c>
      <c r="G301">
        <f t="shared" si="55"/>
        <v>3.2159500881020602</v>
      </c>
      <c r="H301">
        <f t="shared" si="56"/>
        <v>-3.3527139238897501</v>
      </c>
      <c r="I301">
        <f t="shared" si="57"/>
        <v>3.2159709743606602</v>
      </c>
      <c r="J301">
        <f t="shared" si="58"/>
        <v>-3.3550566422506001</v>
      </c>
      <c r="K301" s="8">
        <f t="shared" si="59"/>
        <v>-2.08862585999725E-5</v>
      </c>
      <c r="L301" s="8">
        <f t="shared" si="60"/>
        <v>2.3427183608499798E-3</v>
      </c>
      <c r="M301" s="8">
        <f t="shared" si="61"/>
        <v>0.14889530434249201</v>
      </c>
      <c r="N301" s="8">
        <f t="shared" si="62"/>
        <v>0.15533479120828</v>
      </c>
      <c r="O301">
        <v>7.6734367689726996E-2</v>
      </c>
      <c r="P301">
        <v>-8.4516353212615997E-2</v>
      </c>
      <c r="Q301">
        <v>2.9021507796948998E-2</v>
      </c>
      <c r="R301">
        <v>-0.12847918716581</v>
      </c>
      <c r="S301">
        <f t="shared" si="63"/>
        <v>1.1538444615196395</v>
      </c>
      <c r="T301">
        <f t="shared" si="64"/>
        <v>-29.508408144719215</v>
      </c>
      <c r="U301" s="9">
        <f t="shared" si="65"/>
        <v>1.0041717081633952</v>
      </c>
      <c r="V301" s="9">
        <f t="shared" si="66"/>
        <v>-0.56832756567296294</v>
      </c>
    </row>
    <row r="302" spans="1:22" x14ac:dyDescent="0.25">
      <c r="A302">
        <v>3.4</v>
      </c>
      <c r="B302">
        <v>15.6</v>
      </c>
      <c r="C302">
        <v>-8.2560548634959E-2</v>
      </c>
      <c r="D302">
        <v>-6.3508421874800006E-2</v>
      </c>
      <c r="E302">
        <v>0.91747033045744997</v>
      </c>
      <c r="F302">
        <v>-6.8261976307032998E-2</v>
      </c>
      <c r="G302">
        <f t="shared" si="55"/>
        <v>3.2000524721544199</v>
      </c>
      <c r="H302">
        <f t="shared" si="56"/>
        <v>-2.9520985443835901</v>
      </c>
      <c r="I302">
        <f t="shared" si="57"/>
        <v>3.2000735602386201</v>
      </c>
      <c r="J302">
        <f t="shared" si="58"/>
        <v>-2.9544752347830099</v>
      </c>
      <c r="K302" s="8">
        <f t="shared" si="59"/>
        <v>-2.1088084200204801E-5</v>
      </c>
      <c r="L302" s="8">
        <f t="shared" si="60"/>
        <v>2.3766903994197901E-3</v>
      </c>
      <c r="M302" s="8">
        <f t="shared" si="61"/>
        <v>0.16869666165907399</v>
      </c>
      <c r="N302" s="8">
        <f t="shared" si="62"/>
        <v>0.15574957877691301</v>
      </c>
      <c r="O302">
        <v>7.5539814059582003E-2</v>
      </c>
      <c r="P302">
        <v>-9.4085781277740005E-2</v>
      </c>
      <c r="Q302">
        <v>2.2337647173567E-2</v>
      </c>
      <c r="R302">
        <v>-0.13712515314498999</v>
      </c>
      <c r="S302">
        <f t="shared" si="63"/>
        <v>1.1514563895669563</v>
      </c>
      <c r="T302">
        <f t="shared" si="64"/>
        <v>-29.508169040991866</v>
      </c>
      <c r="U302" s="9">
        <f t="shared" si="65"/>
        <v>1.0020957755261006</v>
      </c>
      <c r="V302" s="9">
        <f t="shared" si="66"/>
        <v>-0.56714713588919174</v>
      </c>
    </row>
    <row r="303" spans="1:22" x14ac:dyDescent="0.25">
      <c r="A303">
        <v>3.4</v>
      </c>
      <c r="B303">
        <v>15.7</v>
      </c>
      <c r="C303">
        <v>-9.1410441731309994E-2</v>
      </c>
      <c r="D303">
        <v>-6.1223664816780002E-2</v>
      </c>
      <c r="E303">
        <v>0.90861899583625005</v>
      </c>
      <c r="F303">
        <v>-6.6045511300278997E-2</v>
      </c>
      <c r="G303">
        <f t="shared" si="55"/>
        <v>3.1845467097774498</v>
      </c>
      <c r="H303">
        <f t="shared" si="56"/>
        <v>-2.5641801124131902</v>
      </c>
      <c r="I303">
        <f t="shared" si="57"/>
        <v>3.1845672406050398</v>
      </c>
      <c r="J303">
        <f t="shared" si="58"/>
        <v>-2.5665909506720901</v>
      </c>
      <c r="K303" s="8">
        <f t="shared" si="59"/>
        <v>-2.0530827590015101E-5</v>
      </c>
      <c r="L303" s="8">
        <f t="shared" si="60"/>
        <v>2.4108382588998701E-3</v>
      </c>
      <c r="M303" s="8">
        <f t="shared" si="61"/>
        <v>0.190363700458376</v>
      </c>
      <c r="N303" s="8">
        <f t="shared" si="62"/>
        <v>0.15342296582819001</v>
      </c>
      <c r="O303">
        <v>7.2968527814813E-2</v>
      </c>
      <c r="P303">
        <v>-0.10417743094762</v>
      </c>
      <c r="Q303">
        <v>1.4008665459422E-2</v>
      </c>
      <c r="R303">
        <v>-0.14547670799632001</v>
      </c>
      <c r="S303">
        <f t="shared" si="63"/>
        <v>1.1490637672292172</v>
      </c>
      <c r="T303">
        <f t="shared" si="64"/>
        <v>-29.508046050715834</v>
      </c>
      <c r="U303" s="9">
        <f t="shared" si="65"/>
        <v>1.00001472594654</v>
      </c>
      <c r="V303" s="9">
        <f t="shared" si="66"/>
        <v>-0.56596650876979215</v>
      </c>
    </row>
    <row r="304" spans="1:22" x14ac:dyDescent="0.25">
      <c r="A304">
        <v>3.4</v>
      </c>
      <c r="B304">
        <v>15.8</v>
      </c>
      <c r="C304">
        <v>-0.10049252615828</v>
      </c>
      <c r="D304">
        <v>-5.7516130955979003E-2</v>
      </c>
      <c r="E304">
        <v>0.89952783568717998</v>
      </c>
      <c r="F304">
        <v>-6.2421399016004998E-2</v>
      </c>
      <c r="G304">
        <f t="shared" si="55"/>
        <v>3.16911770669582</v>
      </c>
      <c r="H304">
        <f t="shared" si="56"/>
        <v>-2.1885409084676901</v>
      </c>
      <c r="I304">
        <f t="shared" si="57"/>
        <v>3.1691339027086798</v>
      </c>
      <c r="J304">
        <f t="shared" si="58"/>
        <v>-2.1909934778053901</v>
      </c>
      <c r="K304" s="8">
        <f t="shared" si="59"/>
        <v>-1.61960128597372E-5</v>
      </c>
      <c r="L304" s="8">
        <f t="shared" si="60"/>
        <v>2.4525693376999899E-3</v>
      </c>
      <c r="M304" s="8">
        <f t="shared" si="61"/>
        <v>0.213497934605268</v>
      </c>
      <c r="N304" s="8">
        <f t="shared" si="62"/>
        <v>0.147602656311005</v>
      </c>
      <c r="O304">
        <v>6.8779369785294003E-2</v>
      </c>
      <c r="P304">
        <v>-0.11454104466301</v>
      </c>
      <c r="Q304">
        <v>3.9464661429564002E-3</v>
      </c>
      <c r="R304">
        <v>-0.15314619255149001</v>
      </c>
      <c r="S304">
        <f t="shared" si="63"/>
        <v>1.1466428588115498</v>
      </c>
      <c r="T304">
        <f t="shared" si="64"/>
        <v>-29.507743329434238</v>
      </c>
      <c r="U304" s="9">
        <f t="shared" si="65"/>
        <v>0.99791082590555324</v>
      </c>
      <c r="V304" s="9">
        <f t="shared" si="66"/>
        <v>-0.56476882810936035</v>
      </c>
    </row>
    <row r="305" spans="1:22" x14ac:dyDescent="0.25">
      <c r="A305">
        <v>3.4</v>
      </c>
      <c r="B305">
        <v>15.9</v>
      </c>
      <c r="C305">
        <v>-0.1095277632548</v>
      </c>
      <c r="D305">
        <v>-5.2200024278518997E-2</v>
      </c>
      <c r="E305">
        <v>0.89049747464925</v>
      </c>
      <c r="F305">
        <v>-5.7183496119837002E-2</v>
      </c>
      <c r="G305">
        <f t="shared" si="55"/>
        <v>3.1542091872662299</v>
      </c>
      <c r="H305">
        <f t="shared" si="56"/>
        <v>-1.8236675081638101</v>
      </c>
      <c r="I305">
        <f t="shared" si="57"/>
        <v>3.1542280145333401</v>
      </c>
      <c r="J305">
        <f t="shared" si="58"/>
        <v>-1.82615916572979</v>
      </c>
      <c r="K305" s="8">
        <f t="shared" si="59"/>
        <v>-1.8827267110221899E-5</v>
      </c>
      <c r="L305" s="8">
        <f t="shared" si="60"/>
        <v>2.4916575659799101E-3</v>
      </c>
      <c r="M305" s="8">
        <f t="shared" si="61"/>
        <v>0.23744544146615801</v>
      </c>
      <c r="N305" s="8">
        <f t="shared" si="62"/>
        <v>0.13747045784143599</v>
      </c>
      <c r="O305">
        <v>6.2756889430862994E-2</v>
      </c>
      <c r="P305">
        <v>-0.12484790776227001</v>
      </c>
      <c r="Q305">
        <v>-7.8691320413621993E-3</v>
      </c>
      <c r="R305">
        <v>-0.15969631219208</v>
      </c>
      <c r="S305">
        <f t="shared" si="63"/>
        <v>1.1442508068435469</v>
      </c>
      <c r="T305">
        <f t="shared" si="64"/>
        <v>-29.508156939979205</v>
      </c>
      <c r="U305" s="9">
        <f t="shared" si="65"/>
        <v>0.99582498054758417</v>
      </c>
      <c r="V305" s="9">
        <f t="shared" si="66"/>
        <v>-0.563597832749126</v>
      </c>
    </row>
    <row r="306" spans="1:22" x14ac:dyDescent="0.25">
      <c r="A306">
        <v>3.4</v>
      </c>
      <c r="B306">
        <v>16</v>
      </c>
      <c r="C306">
        <v>-0.11806636896729999</v>
      </c>
      <c r="D306">
        <v>-4.5228312651791003E-2</v>
      </c>
      <c r="E306">
        <v>0.88195496031291998</v>
      </c>
      <c r="F306">
        <v>-5.0289526230643998E-2</v>
      </c>
      <c r="G306">
        <f t="shared" si="55"/>
        <v>3.1396276898836901</v>
      </c>
      <c r="H306">
        <f t="shared" si="56"/>
        <v>-1.47113366581254</v>
      </c>
      <c r="I306">
        <f t="shared" si="57"/>
        <v>3.1396447581348901</v>
      </c>
      <c r="J306">
        <f t="shared" si="58"/>
        <v>-1.47366420242167</v>
      </c>
      <c r="K306" s="8">
        <f t="shared" si="59"/>
        <v>-1.7068251199958698E-5</v>
      </c>
      <c r="L306" s="8">
        <f t="shared" si="60"/>
        <v>2.53053660912994E-3</v>
      </c>
      <c r="M306" s="8">
        <f t="shared" si="61"/>
        <v>0.26100509613270101</v>
      </c>
      <c r="N306" s="8">
        <f t="shared" si="62"/>
        <v>0.12250872198958</v>
      </c>
      <c r="O306">
        <v>5.4848032922391002E-2</v>
      </c>
      <c r="P306">
        <v>-0.13459638801259</v>
      </c>
      <c r="Q306">
        <v>-2.1195192153091999E-2</v>
      </c>
      <c r="R306">
        <v>-0.16460303665823001</v>
      </c>
      <c r="S306">
        <f t="shared" si="63"/>
        <v>1.1418671536648111</v>
      </c>
      <c r="T306">
        <f t="shared" si="64"/>
        <v>-29.508242375455289</v>
      </c>
      <c r="U306" s="9">
        <f t="shared" si="65"/>
        <v>0.99374968290296428</v>
      </c>
      <c r="V306" s="9">
        <f t="shared" si="66"/>
        <v>-0.56242525223253914</v>
      </c>
    </row>
    <row r="307" spans="1:22" x14ac:dyDescent="0.25">
      <c r="A307">
        <v>3.4</v>
      </c>
      <c r="B307">
        <v>16.100000000000001</v>
      </c>
      <c r="C307">
        <v>-0.12569064478545999</v>
      </c>
      <c r="D307">
        <v>-3.6643455456988001E-2</v>
      </c>
      <c r="E307">
        <v>0.87431978504501995</v>
      </c>
      <c r="F307">
        <v>-4.1777539323969999E-2</v>
      </c>
      <c r="G307">
        <f t="shared" si="55"/>
        <v>3.1253351720940201</v>
      </c>
      <c r="H307">
        <f t="shared" si="56"/>
        <v>-1.12972609268878</v>
      </c>
      <c r="I307">
        <f t="shared" si="57"/>
        <v>3.1253469765398298</v>
      </c>
      <c r="J307">
        <f t="shared" si="58"/>
        <v>-1.1322930909330899</v>
      </c>
      <c r="K307" s="8">
        <f t="shared" si="59"/>
        <v>-1.1804445809726601E-5</v>
      </c>
      <c r="L307" s="8">
        <f t="shared" si="60"/>
        <v>2.5669982443099499E-3</v>
      </c>
      <c r="M307" s="8">
        <f t="shared" si="61"/>
        <v>0.28283986701616498</v>
      </c>
      <c r="N307" s="8">
        <f t="shared" si="62"/>
        <v>0.102471063106537</v>
      </c>
      <c r="O307">
        <v>4.5101796464694997E-2</v>
      </c>
      <c r="P307">
        <v>-0.14331501058893001</v>
      </c>
      <c r="Q307">
        <v>-3.5707505650062997E-2</v>
      </c>
      <c r="R307">
        <v>-0.16742885569598001</v>
      </c>
      <c r="S307">
        <f t="shared" si="63"/>
        <v>1.1394384063958483</v>
      </c>
      <c r="T307">
        <f t="shared" si="64"/>
        <v>-29.508082640241494</v>
      </c>
      <c r="U307" s="9">
        <f t="shared" si="65"/>
        <v>0.99163754560324946</v>
      </c>
      <c r="V307" s="9">
        <f t="shared" si="66"/>
        <v>-0.56122621118393401</v>
      </c>
    </row>
    <row r="308" spans="1:22" x14ac:dyDescent="0.25">
      <c r="A308">
        <v>3.4</v>
      </c>
      <c r="B308">
        <v>16.2</v>
      </c>
      <c r="C308">
        <v>-0.13196910176362001</v>
      </c>
      <c r="D308">
        <v>-2.6647822416819001E-2</v>
      </c>
      <c r="E308">
        <v>0.86803520913971999</v>
      </c>
      <c r="F308">
        <v>-3.1860763579466003E-2</v>
      </c>
      <c r="G308">
        <f t="shared" si="55"/>
        <v>3.1113552359448899</v>
      </c>
      <c r="H308">
        <f t="shared" si="56"/>
        <v>-0.799259177904596</v>
      </c>
      <c r="I308">
        <f t="shared" si="57"/>
        <v>3.1113641849907299</v>
      </c>
      <c r="J308">
        <f t="shared" si="58"/>
        <v>-0.80186561954243696</v>
      </c>
      <c r="K308" s="8">
        <f t="shared" si="59"/>
        <v>-8.9490458399232898E-6</v>
      </c>
      <c r="L308" s="8">
        <f t="shared" si="60"/>
        <v>2.6064416378409599E-3</v>
      </c>
      <c r="M308" s="8">
        <f t="shared" si="61"/>
        <v>0.30138435718019702</v>
      </c>
      <c r="N308" s="8">
        <f t="shared" si="62"/>
        <v>7.7673245535355998E-2</v>
      </c>
      <c r="O308">
        <v>3.3745131596062003E-2</v>
      </c>
      <c r="P308">
        <v>-0.15050462274667001</v>
      </c>
      <c r="Q308">
        <v>-5.0895705726147003E-2</v>
      </c>
      <c r="R308">
        <v>-0.16782544717865</v>
      </c>
      <c r="S308">
        <f t="shared" si="63"/>
        <v>1.1370054307304416</v>
      </c>
      <c r="T308">
        <f t="shared" si="64"/>
        <v>-29.508223389445064</v>
      </c>
      <c r="U308" s="9">
        <f t="shared" si="65"/>
        <v>0.98951878467167476</v>
      </c>
      <c r="V308" s="9">
        <f t="shared" si="66"/>
        <v>-0.56003028872768013</v>
      </c>
    </row>
    <row r="309" spans="1:22" x14ac:dyDescent="0.25">
      <c r="A309">
        <v>3.4</v>
      </c>
      <c r="B309">
        <v>16.3</v>
      </c>
      <c r="C309">
        <v>-0.13654121630709001</v>
      </c>
      <c r="D309">
        <v>-1.5593884991576001E-2</v>
      </c>
      <c r="E309">
        <v>0.86345755576564998</v>
      </c>
      <c r="F309">
        <v>-2.0888920701476001E-2</v>
      </c>
      <c r="G309">
        <f t="shared" si="55"/>
        <v>3.0976677247880402</v>
      </c>
      <c r="H309">
        <f t="shared" si="56"/>
        <v>-0.47930965224583699</v>
      </c>
      <c r="I309">
        <f t="shared" si="57"/>
        <v>3.0976741201386</v>
      </c>
      <c r="J309">
        <f t="shared" si="58"/>
        <v>-0.481957154794453</v>
      </c>
      <c r="K309" s="8">
        <f t="shared" si="59"/>
        <v>-6.3953505597957897E-6</v>
      </c>
      <c r="L309" s="8">
        <f t="shared" si="60"/>
        <v>2.6475025486160102E-3</v>
      </c>
      <c r="M309" s="8">
        <f t="shared" si="61"/>
        <v>0.31519290138112299</v>
      </c>
      <c r="N309" s="8">
        <f t="shared" si="62"/>
        <v>4.9039849922708302E-2</v>
      </c>
      <c r="O309">
        <v>2.1178342698334001E-2</v>
      </c>
      <c r="P309">
        <v>-0.15575389553206001</v>
      </c>
      <c r="Q309">
        <v>-6.6129504761168995E-2</v>
      </c>
      <c r="R309">
        <v>-0.16562540074278001</v>
      </c>
      <c r="S309">
        <f t="shared" si="63"/>
        <v>1.1345663289857602</v>
      </c>
      <c r="T309">
        <f t="shared" si="64"/>
        <v>-29.508616722633519</v>
      </c>
      <c r="U309" s="9">
        <f t="shared" si="65"/>
        <v>0.98739223462013259</v>
      </c>
      <c r="V309" s="9">
        <f t="shared" si="66"/>
        <v>-0.55883569130835331</v>
      </c>
    </row>
    <row r="310" spans="1:22" x14ac:dyDescent="0.25">
      <c r="A310">
        <v>3.4</v>
      </c>
      <c r="B310">
        <v>16.399999999999999</v>
      </c>
      <c r="C310">
        <v>-0.13917867924803001</v>
      </c>
      <c r="D310">
        <v>-3.9468579101252996E-3</v>
      </c>
      <c r="E310">
        <v>0.86081487794763001</v>
      </c>
      <c r="F310">
        <v>-9.3229709616307992E-3</v>
      </c>
      <c r="G310">
        <f t="shared" si="55"/>
        <v>3.0842738320536802</v>
      </c>
      <c r="H310">
        <f t="shared" si="56"/>
        <v>-0.169521317803805</v>
      </c>
      <c r="I310">
        <f t="shared" si="57"/>
        <v>3.0842778363066299</v>
      </c>
      <c r="J310">
        <f t="shared" si="58"/>
        <v>-0.17220937222520399</v>
      </c>
      <c r="K310" s="8">
        <f t="shared" si="59"/>
        <v>-4.0042529496631102E-6</v>
      </c>
      <c r="L310" s="8">
        <f t="shared" si="60"/>
        <v>2.68805442139899E-3</v>
      </c>
      <c r="M310" s="8">
        <f t="shared" si="61"/>
        <v>0.32321737556158697</v>
      </c>
      <c r="N310" s="8">
        <f t="shared" si="62"/>
        <v>1.8046707946516201E-2</v>
      </c>
      <c r="O310">
        <v>7.9306301332814008E-3</v>
      </c>
      <c r="P310">
        <v>-0.1588070904461</v>
      </c>
      <c r="Q310">
        <v>-8.0741110193401994E-2</v>
      </c>
      <c r="R310">
        <v>-0.16088435027303</v>
      </c>
      <c r="S310">
        <f t="shared" si="63"/>
        <v>1.1320906228685976</v>
      </c>
      <c r="T310">
        <f t="shared" si="64"/>
        <v>-29.50906122545031</v>
      </c>
      <c r="U310" s="9">
        <f t="shared" si="65"/>
        <v>0.98523334702632737</v>
      </c>
      <c r="V310" s="9">
        <f t="shared" si="66"/>
        <v>-0.55762391474389772</v>
      </c>
    </row>
    <row r="311" spans="1:22" x14ac:dyDescent="0.25">
      <c r="A311">
        <v>3.4</v>
      </c>
      <c r="B311">
        <v>16.5</v>
      </c>
      <c r="C311">
        <v>-0.13982252308182</v>
      </c>
      <c r="D311">
        <v>7.7800374513654997E-3</v>
      </c>
      <c r="E311">
        <v>0.86015775880686995</v>
      </c>
      <c r="F311">
        <v>2.3209439012846001E-3</v>
      </c>
      <c r="G311">
        <f t="shared" si="55"/>
        <v>3.0710523499934199</v>
      </c>
      <c r="H311">
        <f t="shared" si="56"/>
        <v>0.13034464615788799</v>
      </c>
      <c r="I311">
        <f t="shared" si="57"/>
        <v>3.0710499414310202</v>
      </c>
      <c r="J311">
        <f t="shared" si="58"/>
        <v>0.12761506589748001</v>
      </c>
      <c r="K311" s="8">
        <f t="shared" si="59"/>
        <v>2.4085623997471798E-6</v>
      </c>
      <c r="L311" s="8">
        <f t="shared" si="60"/>
        <v>2.72958026040798E-3</v>
      </c>
      <c r="M311" s="8">
        <f t="shared" si="61"/>
        <v>0.32506023766721598</v>
      </c>
      <c r="N311" s="8">
        <f t="shared" si="62"/>
        <v>-1.3507622618218499E-2</v>
      </c>
      <c r="O311">
        <v>-5.4150717406411001E-3</v>
      </c>
      <c r="P311">
        <v>-0.15958065486563</v>
      </c>
      <c r="Q311">
        <v>-9.4121358235133998E-2</v>
      </c>
      <c r="R311">
        <v>-0.15387573707124</v>
      </c>
      <c r="S311">
        <f t="shared" si="63"/>
        <v>1.1296808475885809</v>
      </c>
      <c r="T311">
        <f t="shared" si="64"/>
        <v>-29.509445485329195</v>
      </c>
      <c r="U311" s="9">
        <f t="shared" si="65"/>
        <v>0.98313244125287957</v>
      </c>
      <c r="V311" s="9">
        <f t="shared" si="66"/>
        <v>-0.55644354643090954</v>
      </c>
    </row>
    <row r="312" spans="1:22" x14ac:dyDescent="0.25">
      <c r="A312">
        <v>3.4</v>
      </c>
      <c r="B312">
        <v>16.600000000000001</v>
      </c>
      <c r="C312">
        <v>-0.13858501670963999</v>
      </c>
      <c r="D312">
        <v>1.9099107877496E-2</v>
      </c>
      <c r="E312">
        <v>0.86138877434078998</v>
      </c>
      <c r="F312">
        <v>1.3560884276364E-2</v>
      </c>
      <c r="G312">
        <f t="shared" si="55"/>
        <v>3.0581602672997401</v>
      </c>
      <c r="H312">
        <f t="shared" si="56"/>
        <v>0.42061608573013898</v>
      </c>
      <c r="I312">
        <f t="shared" si="57"/>
        <v>3.0581548308760498</v>
      </c>
      <c r="J312">
        <f t="shared" si="58"/>
        <v>0.41784692258707801</v>
      </c>
      <c r="K312" s="8">
        <f t="shared" si="59"/>
        <v>5.4364236903303703E-6</v>
      </c>
      <c r="L312" s="8">
        <f t="shared" si="60"/>
        <v>2.76916314306097E-3</v>
      </c>
      <c r="M312" s="8">
        <f t="shared" si="61"/>
        <v>0.32100185551841398</v>
      </c>
      <c r="N312" s="8">
        <f t="shared" si="62"/>
        <v>-4.3859662080839801E-2</v>
      </c>
      <c r="O312">
        <v>-1.8300615924661E-2</v>
      </c>
      <c r="P312">
        <v>-0.15821395765977</v>
      </c>
      <c r="Q312">
        <v>-0.10580216274234</v>
      </c>
      <c r="R312">
        <v>-0.14504772206406</v>
      </c>
      <c r="S312">
        <f t="shared" si="63"/>
        <v>1.1272470068766802</v>
      </c>
      <c r="T312">
        <f t="shared" si="64"/>
        <v>-29.510050697831364</v>
      </c>
      <c r="U312" s="9">
        <f t="shared" si="65"/>
        <v>0.98100846665296271</v>
      </c>
      <c r="V312" s="9">
        <f t="shared" si="66"/>
        <v>-0.55525507910116156</v>
      </c>
    </row>
    <row r="313" spans="1:22" x14ac:dyDescent="0.25">
      <c r="A313">
        <v>3.4</v>
      </c>
      <c r="B313">
        <v>16.7</v>
      </c>
      <c r="C313">
        <v>-0.13571593320788999</v>
      </c>
      <c r="D313">
        <v>2.9609723598587E-2</v>
      </c>
      <c r="E313">
        <v>0.86425071924261998</v>
      </c>
      <c r="F313">
        <v>2.3986395944377001E-2</v>
      </c>
      <c r="G313">
        <f t="shared" si="55"/>
        <v>3.0455147378479199</v>
      </c>
      <c r="H313">
        <f t="shared" si="56"/>
        <v>0.70140567238131402</v>
      </c>
      <c r="I313">
        <f t="shared" si="57"/>
        <v>3.04550596958159</v>
      </c>
      <c r="J313">
        <f t="shared" si="58"/>
        <v>0.69859393701854999</v>
      </c>
      <c r="K313" s="8">
        <f t="shared" si="59"/>
        <v>8.7682663298949103E-6</v>
      </c>
      <c r="L313" s="8">
        <f t="shared" si="60"/>
        <v>2.8117353627640199E-3</v>
      </c>
      <c r="M313" s="8">
        <f t="shared" si="61"/>
        <v>0.31193918539666898</v>
      </c>
      <c r="N313" s="8">
        <f t="shared" si="62"/>
        <v>-7.1554226395608503E-2</v>
      </c>
      <c r="O313">
        <v>-3.0269827913720002E-2</v>
      </c>
      <c r="P313">
        <v>-0.15498493152425999</v>
      </c>
      <c r="Q313">
        <v>-0.11550395940972</v>
      </c>
      <c r="R313">
        <v>-0.13494219301599999</v>
      </c>
      <c r="S313">
        <f t="shared" si="63"/>
        <v>1.1248250805852766</v>
      </c>
      <c r="T313">
        <f t="shared" si="64"/>
        <v>-29.51069885343707</v>
      </c>
      <c r="U313" s="9">
        <f t="shared" si="65"/>
        <v>0.97889447068608548</v>
      </c>
      <c r="V313" s="9">
        <f t="shared" si="66"/>
        <v>-0.55407316951273022</v>
      </c>
    </row>
    <row r="314" spans="1:22" x14ac:dyDescent="0.25">
      <c r="A314">
        <v>3.4</v>
      </c>
      <c r="B314">
        <v>16.8</v>
      </c>
      <c r="C314">
        <v>-0.13154941479478999</v>
      </c>
      <c r="D314">
        <v>3.9034433698109001E-2</v>
      </c>
      <c r="E314">
        <v>0.86841188617533005</v>
      </c>
      <c r="F314">
        <v>3.3325556799253003E-2</v>
      </c>
      <c r="G314">
        <f t="shared" si="55"/>
        <v>3.0331282105961401</v>
      </c>
      <c r="H314">
        <f t="shared" si="56"/>
        <v>0.97299798407802796</v>
      </c>
      <c r="I314">
        <f t="shared" si="57"/>
        <v>3.0331170089322601</v>
      </c>
      <c r="J314">
        <f t="shared" si="58"/>
        <v>0.97014345842045502</v>
      </c>
      <c r="K314" s="8">
        <f t="shared" si="59"/>
        <v>1.1201663880022701E-5</v>
      </c>
      <c r="L314" s="8">
        <f t="shared" si="60"/>
        <v>2.8545256575729398E-3</v>
      </c>
      <c r="M314" s="8">
        <f t="shared" si="61"/>
        <v>0.29909514370297902</v>
      </c>
      <c r="N314" s="8">
        <f t="shared" si="62"/>
        <v>-9.5665678658047301E-2</v>
      </c>
      <c r="O314">
        <v>-4.1004851220017E-2</v>
      </c>
      <c r="P314">
        <v>-0.15027288692356</v>
      </c>
      <c r="Q314">
        <v>-0.12313868495208</v>
      </c>
      <c r="R314">
        <v>-0.12411327849998</v>
      </c>
      <c r="S314">
        <f t="shared" si="63"/>
        <v>1.1224134122237772</v>
      </c>
      <c r="T314">
        <f t="shared" si="64"/>
        <v>-29.511467875632178</v>
      </c>
      <c r="U314" s="9">
        <f t="shared" si="65"/>
        <v>0.976788262284917</v>
      </c>
      <c r="V314" s="9">
        <f t="shared" si="66"/>
        <v>-0.55289832573650921</v>
      </c>
    </row>
    <row r="315" spans="1:22" x14ac:dyDescent="0.25">
      <c r="A315">
        <v>3.4</v>
      </c>
      <c r="B315">
        <v>16.899999999999999</v>
      </c>
      <c r="C315">
        <v>-0.12644738721608001</v>
      </c>
      <c r="D315">
        <v>4.7225603449592E-2</v>
      </c>
      <c r="E315">
        <v>0.87350882957481002</v>
      </c>
      <c r="F315">
        <v>4.1430026777110003E-2</v>
      </c>
      <c r="G315">
        <f t="shared" si="55"/>
        <v>3.0209774272239001</v>
      </c>
      <c r="H315">
        <f t="shared" si="56"/>
        <v>1.2355584365235901</v>
      </c>
      <c r="I315">
        <f t="shared" si="57"/>
        <v>3.0209639327983102</v>
      </c>
      <c r="J315">
        <f t="shared" si="58"/>
        <v>1.23266054564387</v>
      </c>
      <c r="K315" s="8">
        <f t="shared" si="59"/>
        <v>1.3494425589843899E-5</v>
      </c>
      <c r="L315" s="8">
        <f t="shared" si="60"/>
        <v>2.8978908797201398E-3</v>
      </c>
      <c r="M315" s="8">
        <f t="shared" si="61"/>
        <v>0.283773823949176</v>
      </c>
      <c r="N315" s="8">
        <f t="shared" si="62"/>
        <v>-0.115789795724116</v>
      </c>
      <c r="O315">
        <v>-5.0336449303387001E-2</v>
      </c>
      <c r="P315">
        <v>-0.14449105148836999</v>
      </c>
      <c r="Q315">
        <v>-0.12878228047338999</v>
      </c>
      <c r="R315">
        <v>-0.11306170960802001</v>
      </c>
      <c r="S315">
        <f t="shared" si="63"/>
        <v>1.1200102604239799</v>
      </c>
      <c r="T315">
        <f t="shared" si="64"/>
        <v>-29.512322004374145</v>
      </c>
      <c r="U315" s="9">
        <f t="shared" si="65"/>
        <v>0.97468867760858158</v>
      </c>
      <c r="V315" s="9">
        <f t="shared" si="66"/>
        <v>-0.55172906865292648</v>
      </c>
    </row>
    <row r="316" spans="1:22" x14ac:dyDescent="0.25">
      <c r="A316">
        <v>3.4</v>
      </c>
      <c r="B316">
        <v>17</v>
      </c>
      <c r="C316">
        <v>-0.12072244560398</v>
      </c>
      <c r="D316">
        <v>5.4189284653630002E-2</v>
      </c>
      <c r="E316">
        <v>0.87922807656031998</v>
      </c>
      <c r="F316">
        <v>4.8306507222571002E-2</v>
      </c>
      <c r="G316">
        <f t="shared" si="55"/>
        <v>3.0088298097849999</v>
      </c>
      <c r="H316">
        <f t="shared" si="56"/>
        <v>1.49069581129273</v>
      </c>
      <c r="I316">
        <f t="shared" si="57"/>
        <v>3.00881372258997</v>
      </c>
      <c r="J316">
        <f t="shared" si="58"/>
        <v>1.4877543024887701</v>
      </c>
      <c r="K316" s="8">
        <f t="shared" si="59"/>
        <v>1.6087195029879101E-5</v>
      </c>
      <c r="L316" s="8">
        <f t="shared" si="60"/>
        <v>2.9415088039599401E-3</v>
      </c>
      <c r="M316" s="8">
        <f t="shared" si="61"/>
        <v>0.26706143620057698</v>
      </c>
      <c r="N316" s="8">
        <f t="shared" si="62"/>
        <v>-0.132052641794729</v>
      </c>
      <c r="O316">
        <v>-5.8266658043179001E-2</v>
      </c>
      <c r="P316">
        <v>-0.13798620557175001</v>
      </c>
      <c r="Q316">
        <v>-0.13264564771657</v>
      </c>
      <c r="R316">
        <v>-0.1021299288074</v>
      </c>
      <c r="S316">
        <f t="shared" si="63"/>
        <v>1.1176630582694338</v>
      </c>
      <c r="T316">
        <f t="shared" si="64"/>
        <v>-29.513085630191561</v>
      </c>
      <c r="U316" s="9">
        <f t="shared" si="65"/>
        <v>0.97263868745839077</v>
      </c>
      <c r="V316" s="9">
        <f t="shared" si="66"/>
        <v>-0.55058577486110438</v>
      </c>
    </row>
    <row r="317" spans="1:22" x14ac:dyDescent="0.25">
      <c r="A317">
        <v>3.6</v>
      </c>
      <c r="B317">
        <v>15</v>
      </c>
      <c r="C317">
        <v>-4.5645031055300003E-2</v>
      </c>
      <c r="D317">
        <v>-6.4989026066448005E-2</v>
      </c>
      <c r="E317">
        <v>0.95439298382155002</v>
      </c>
      <c r="F317">
        <v>-6.9648947498943001E-2</v>
      </c>
      <c r="G317">
        <f t="shared" si="55"/>
        <v>2.94940727446795</v>
      </c>
      <c r="H317">
        <f t="shared" si="56"/>
        <v>-5.0882863700833498</v>
      </c>
      <c r="I317">
        <f t="shared" si="57"/>
        <v>2.9494317099230201</v>
      </c>
      <c r="J317">
        <f t="shared" si="58"/>
        <v>-5.09061622958128</v>
      </c>
      <c r="K317" s="8">
        <f t="shared" si="59"/>
        <v>-2.4435455070026501E-5</v>
      </c>
      <c r="L317" s="8">
        <f t="shared" si="60"/>
        <v>2.3298594979301898E-3</v>
      </c>
      <c r="M317" s="8">
        <f t="shared" si="61"/>
        <v>8.5210392470887797E-2</v>
      </c>
      <c r="N317" s="8">
        <f t="shared" si="62"/>
        <v>0.147070164527598</v>
      </c>
      <c r="O317">
        <v>7.2940849678932995E-2</v>
      </c>
      <c r="P317">
        <v>-4.9361627090083002E-2</v>
      </c>
      <c r="Q317">
        <v>4.5673340688076998E-2</v>
      </c>
      <c r="R317">
        <v>-9.1925839004102006E-2</v>
      </c>
      <c r="S317">
        <f t="shared" si="63"/>
        <v>1.1654704264436875</v>
      </c>
      <c r="T317">
        <f t="shared" si="64"/>
        <v>-29.491934114338282</v>
      </c>
      <c r="U317" s="9">
        <f t="shared" si="65"/>
        <v>1.0144546062672672</v>
      </c>
      <c r="V317" s="9">
        <f t="shared" si="66"/>
        <v>-0.57376229114325239</v>
      </c>
    </row>
    <row r="318" spans="1:22" x14ac:dyDescent="0.25">
      <c r="A318">
        <v>3.6</v>
      </c>
      <c r="B318" s="1">
        <v>15.1</v>
      </c>
      <c r="C318">
        <v>-5.1159406517287002E-2</v>
      </c>
      <c r="D318">
        <v>-6.7120469628691004E-2</v>
      </c>
      <c r="E318">
        <v>0.94887752000136005</v>
      </c>
      <c r="F318">
        <v>-7.1850230548811997E-2</v>
      </c>
      <c r="G318">
        <f t="shared" si="55"/>
        <v>2.9352125188143598</v>
      </c>
      <c r="H318">
        <f t="shared" si="56"/>
        <v>-4.6662673095606104</v>
      </c>
      <c r="I318">
        <f t="shared" si="57"/>
        <v>2.93523657405134</v>
      </c>
      <c r="J318">
        <f t="shared" si="58"/>
        <v>-4.6686320894713704</v>
      </c>
      <c r="K318" s="8">
        <f t="shared" si="59"/>
        <v>-2.4055236980125E-5</v>
      </c>
      <c r="L318" s="8">
        <f t="shared" si="60"/>
        <v>2.36477991076001E-3</v>
      </c>
      <c r="M318" s="8">
        <f t="shared" si="61"/>
        <v>9.6516563619084894E-2</v>
      </c>
      <c r="N318" s="8">
        <f t="shared" si="62"/>
        <v>0.15351414262858801</v>
      </c>
      <c r="O318">
        <v>7.5283443409055004E-2</v>
      </c>
      <c r="P318">
        <v>-5.5336437020933001E-2</v>
      </c>
      <c r="Q318">
        <v>4.4521890576960002E-2</v>
      </c>
      <c r="R318">
        <v>-9.9098979989761998E-2</v>
      </c>
      <c r="S318">
        <f t="shared" si="63"/>
        <v>1.1627665637153941</v>
      </c>
      <c r="T318">
        <f t="shared" si="64"/>
        <v>-29.48977368797879</v>
      </c>
      <c r="U318" s="9">
        <f t="shared" si="65"/>
        <v>1.0121226802151579</v>
      </c>
      <c r="V318" s="9">
        <f t="shared" si="66"/>
        <v>-0.57239301348687943</v>
      </c>
    </row>
    <row r="319" spans="1:22" x14ac:dyDescent="0.25">
      <c r="A319">
        <v>3.6</v>
      </c>
      <c r="B319" s="1">
        <v>15.2</v>
      </c>
      <c r="C319">
        <v>-5.7341135519039001E-2</v>
      </c>
      <c r="D319">
        <v>-6.8948760560123001E-2</v>
      </c>
      <c r="E319">
        <v>0.94269493084401002</v>
      </c>
      <c r="F319">
        <v>-7.3750338145715993E-2</v>
      </c>
      <c r="G319">
        <f t="shared" si="55"/>
        <v>2.9215698684681501</v>
      </c>
      <c r="H319">
        <f t="shared" si="56"/>
        <v>-4.2576116734350897</v>
      </c>
      <c r="I319">
        <f t="shared" si="57"/>
        <v>2.9215936647662901</v>
      </c>
      <c r="J319">
        <f t="shared" si="58"/>
        <v>-4.2600123618059502</v>
      </c>
      <c r="K319" s="8">
        <f t="shared" si="59"/>
        <v>-2.3796298139977499E-5</v>
      </c>
      <c r="L319" s="8">
        <f t="shared" si="60"/>
        <v>2.4006883708604901E-3</v>
      </c>
      <c r="M319" s="8">
        <f t="shared" si="61"/>
        <v>0.109490995795546</v>
      </c>
      <c r="N319" s="8">
        <f t="shared" si="62"/>
        <v>0.15965019407747899</v>
      </c>
      <c r="O319">
        <v>7.7285177547273001E-2</v>
      </c>
      <c r="P319">
        <v>-6.2022294310892997E-2</v>
      </c>
      <c r="Q319">
        <v>4.2635043457855001E-2</v>
      </c>
      <c r="R319">
        <v>-0.10679117556788</v>
      </c>
      <c r="S319">
        <f t="shared" si="63"/>
        <v>1.1603786663555793</v>
      </c>
      <c r="T319">
        <f t="shared" si="64"/>
        <v>-29.488795301851763</v>
      </c>
      <c r="U319" s="9">
        <f t="shared" si="65"/>
        <v>1.0100539043066716</v>
      </c>
      <c r="V319" s="9">
        <f t="shared" si="66"/>
        <v>-0.57120027987388255</v>
      </c>
    </row>
    <row r="320" spans="1:22" x14ac:dyDescent="0.25">
      <c r="A320">
        <v>3.6</v>
      </c>
      <c r="B320" s="1">
        <v>15.3</v>
      </c>
      <c r="C320">
        <v>-6.4228867095858996E-2</v>
      </c>
      <c r="D320">
        <v>-7.0340855520380996E-2</v>
      </c>
      <c r="E320">
        <v>0.93580670753640005</v>
      </c>
      <c r="F320">
        <v>-7.5217791132259001E-2</v>
      </c>
      <c r="G320">
        <f t="shared" si="55"/>
        <v>2.9082583776089099</v>
      </c>
      <c r="H320">
        <f t="shared" si="56"/>
        <v>-3.8618462397285298</v>
      </c>
      <c r="I320">
        <f t="shared" si="57"/>
        <v>2.9082821103812599</v>
      </c>
      <c r="J320">
        <f t="shared" si="58"/>
        <v>-3.8642846062908802</v>
      </c>
      <c r="K320" s="8">
        <f t="shared" si="59"/>
        <v>-2.37327723500158E-5</v>
      </c>
      <c r="L320" s="8">
        <f t="shared" si="60"/>
        <v>2.4383665623504101E-3</v>
      </c>
      <c r="M320" s="8">
        <f t="shared" si="61"/>
        <v>0.124334442029259</v>
      </c>
      <c r="N320" s="8">
        <f t="shared" si="62"/>
        <v>0.16520531782332601</v>
      </c>
      <c r="O320">
        <v>7.8817084689057001E-2</v>
      </c>
      <c r="P320">
        <v>-6.9471447464952998E-2</v>
      </c>
      <c r="Q320">
        <v>3.9848663808746E-2</v>
      </c>
      <c r="R320">
        <v>-0.11495612109875999</v>
      </c>
      <c r="S320">
        <f t="shared" si="63"/>
        <v>1.1580277271473387</v>
      </c>
      <c r="T320">
        <f t="shared" si="64"/>
        <v>-29.487717114694217</v>
      </c>
      <c r="U320" s="9">
        <f t="shared" si="65"/>
        <v>1.0080182514679794</v>
      </c>
      <c r="V320" s="9">
        <f t="shared" si="66"/>
        <v>-0.57002405348324447</v>
      </c>
    </row>
    <row r="321" spans="1:22" x14ac:dyDescent="0.25">
      <c r="A321">
        <v>3.6</v>
      </c>
      <c r="B321" s="1">
        <v>15.4</v>
      </c>
      <c r="C321">
        <v>-7.1839452827322001E-2</v>
      </c>
      <c r="D321">
        <v>-7.1131927316973001E-2</v>
      </c>
      <c r="E321">
        <v>0.92819233448309002</v>
      </c>
      <c r="F321">
        <v>-7.6081290157256995E-2</v>
      </c>
      <c r="G321">
        <f t="shared" si="55"/>
        <v>2.8954021941682302</v>
      </c>
      <c r="H321">
        <f t="shared" si="56"/>
        <v>-3.4784684461372999</v>
      </c>
      <c r="I321">
        <f t="shared" si="57"/>
        <v>2.8954242112894701</v>
      </c>
      <c r="J321">
        <f t="shared" si="58"/>
        <v>-3.4809430337418501</v>
      </c>
      <c r="K321" s="8">
        <f t="shared" si="59"/>
        <v>-2.2017121239947799E-5</v>
      </c>
      <c r="L321" s="8">
        <f t="shared" si="60"/>
        <v>2.4745876045502201E-3</v>
      </c>
      <c r="M321" s="8">
        <f t="shared" si="61"/>
        <v>0.14123713426187601</v>
      </c>
      <c r="N321" s="8">
        <f t="shared" si="62"/>
        <v>0.169798406982163</v>
      </c>
      <c r="O321">
        <v>7.9701692332124E-2</v>
      </c>
      <c r="P321">
        <v>-7.7704461531366995E-2</v>
      </c>
      <c r="Q321">
        <v>3.5975331976663E-2</v>
      </c>
      <c r="R321">
        <v>-0.12350826465068999</v>
      </c>
      <c r="S321">
        <f t="shared" si="63"/>
        <v>1.1556806987198358</v>
      </c>
      <c r="T321">
        <f t="shared" si="64"/>
        <v>-29.487233543733936</v>
      </c>
      <c r="U321" s="9">
        <f t="shared" si="65"/>
        <v>1.0059800553550728</v>
      </c>
      <c r="V321" s="9">
        <f t="shared" si="66"/>
        <v>-0.56886026897769237</v>
      </c>
    </row>
    <row r="322" spans="1:22" x14ac:dyDescent="0.25">
      <c r="A322">
        <v>3.6</v>
      </c>
      <c r="B322" s="1">
        <v>15.5</v>
      </c>
      <c r="C322">
        <v>-8.0154534721260995E-2</v>
      </c>
      <c r="D322">
        <v>-7.1127029932887997E-2</v>
      </c>
      <c r="E322">
        <v>0.91987652101893003</v>
      </c>
      <c r="F322">
        <v>-7.6155242251107994E-2</v>
      </c>
      <c r="G322">
        <f t="shared" si="55"/>
        <v>2.8827299153857902</v>
      </c>
      <c r="H322">
        <f t="shared" si="56"/>
        <v>-3.1072027603277101</v>
      </c>
      <c r="I322">
        <f t="shared" si="57"/>
        <v>2.88275176341017</v>
      </c>
      <c r="J322">
        <f t="shared" si="58"/>
        <v>-3.1097167725213102</v>
      </c>
      <c r="K322" s="8">
        <f t="shared" si="59"/>
        <v>-2.1848024379878001E-5</v>
      </c>
      <c r="L322" s="8">
        <f t="shared" si="60"/>
        <v>2.51401219360003E-3</v>
      </c>
      <c r="M322" s="8">
        <f t="shared" si="61"/>
        <v>0.160325705655536</v>
      </c>
      <c r="N322" s="8">
        <f t="shared" si="62"/>
        <v>0.17294848008472</v>
      </c>
      <c r="O322">
        <v>7.9730417910340995E-2</v>
      </c>
      <c r="P322">
        <v>-8.6702610878064995E-2</v>
      </c>
      <c r="Q322">
        <v>3.0822775821166999E-2</v>
      </c>
      <c r="R322">
        <v>-0.13230331786322999</v>
      </c>
      <c r="S322">
        <f t="shared" si="63"/>
        <v>1.1533005070617159</v>
      </c>
      <c r="T322">
        <f t="shared" si="64"/>
        <v>-29.486866864602113</v>
      </c>
      <c r="U322" s="9">
        <f t="shared" si="65"/>
        <v>1.0039118139339658</v>
      </c>
      <c r="V322" s="9">
        <f t="shared" si="66"/>
        <v>-0.56768224336562212</v>
      </c>
    </row>
    <row r="323" spans="1:22" x14ac:dyDescent="0.25">
      <c r="A323">
        <v>3.6</v>
      </c>
      <c r="B323">
        <v>15.6</v>
      </c>
      <c r="C323">
        <v>-8.9105283490531997E-2</v>
      </c>
      <c r="D323">
        <v>-7.0107004737225004E-2</v>
      </c>
      <c r="E323">
        <v>0.91092575862188996</v>
      </c>
      <c r="F323">
        <v>-7.5214838981984999E-2</v>
      </c>
      <c r="G323">
        <f t="shared" ref="G323:G386" si="67">IMREAL(IMDIV(IMSUM(IMPRODUCT(COMPLEX(1 + C323,D323),COMPLEX(1 - C323, - D323)),IMPRODUCT(COMPLEX(E323,F323),COMPLEX(E323,F323))),IMSUB(IMPRODUCT(COMPLEX(1 - C323, - D323),COMPLEX(1 - C323, - D323)),IMPRODUCT(COMPLEX(E323,F323),COMPLEX(E323,F323)))))</f>
        <v>2.8703638810115399</v>
      </c>
      <c r="H323">
        <f t="shared" ref="H323:H386" si="68">IMAGINARY(IMDIV(IMSUM(IMPRODUCT(COMPLEX(1 + C323,D323),COMPLEX(1 - C323, - D323)),IMPRODUCT(COMPLEX(E323,F323),COMPLEX(E323,F323))),IMSUB(IMPRODUCT(COMPLEX(1 - C323, - D323),COMPLEX(1 - C323, - D323)),IMPRODUCT(COMPLEX(E323,F323),COMPLEX(E323,F323)))))</f>
        <v>-2.7475748175504102</v>
      </c>
      <c r="I323">
        <f t="shared" ref="I323:I386" si="69">IMREAL(IMDIV(IMPRODUCT(COMPLEX(2,0),COMPLEX(E323,F323)),IMSUB(IMPRODUCT(COMPLEX(1 - C323, - D323),COMPLEX(1 - C323, - D323)),IMPRODUCT(COMPLEX(E323,F323),COMPLEX(E323,F323)))))</f>
        <v>2.8703859239732799</v>
      </c>
      <c r="J323">
        <f t="shared" ref="J323:J386" si="70">IMAGINARY(IMDIV(IMPRODUCT(COMPLEX(2,0),COMPLEX(E323,F323)),IMSUB(IMPRODUCT(COMPLEX(1 - C323, - D323),COMPLEX(1 - C323, - D323)),IMPRODUCT(COMPLEX(E323,F323),COMPLEX(E323,F323)))))</f>
        <v>-2.7501286387388899</v>
      </c>
      <c r="K323" s="8">
        <f t="shared" ref="K323:K386" si="71">IMREAL(IMSUB(COMPLEX(G323,H323),COMPLEX(I323,J323)))</f>
        <v>-2.2042961739909801E-5</v>
      </c>
      <c r="L323" s="8">
        <f t="shared" ref="L323:L386" si="72">IMAGINARY(IMSUB(COMPLEX(G323,H323),COMPLEX(I323,J323)))</f>
        <v>2.5538211884796901E-3</v>
      </c>
      <c r="M323" s="8">
        <f t="shared" ref="M323:M386" si="73">IMREAL(IMDIV(IMSUB(IMPRODUCT(COMPLEX(1 - C323, - D323),COMPLEX(1 - C323, - D323)),IMPRODUCT(COMPLEX(E323,F323),COMPLEX(E323,F323))),IMPRODUCT(COMPLEX(2,0),COMPLEX(E323,F323))))</f>
        <v>0.181643290380718</v>
      </c>
      <c r="N323" s="8">
        <f t="shared" ref="N323:N386" si="74">IMAGINARY(IMDIV(IMSUB(IMPRODUCT(COMPLEX(1 - C323, - D323),COMPLEX(1 - C323, - D323)),IMPRODUCT(COMPLEX(E323,F323),COMPLEX(E323,F323))),IMPRODUCT(COMPLEX(2,0),COMPLEX(E323,F323))))</f>
        <v>0.174033188617123</v>
      </c>
      <c r="O323">
        <v>7.8664598457150001E-2</v>
      </c>
      <c r="P323">
        <v>-9.6392133882299003E-2</v>
      </c>
      <c r="Q323">
        <v>2.4202657298005002E-2</v>
      </c>
      <c r="R323">
        <v>-0.14113306768308001</v>
      </c>
      <c r="S323">
        <f t="shared" ref="S323:S386" si="75">IMABS(COMPLEX(Q323,R323))/IMABS(COMPLEX(O323,P323))</f>
        <v>1.1509150077362591</v>
      </c>
      <c r="T323">
        <f t="shared" ref="T323:T386" si="76">IMARGUMENT(IMDIV(COMPLEX(Q323,R323),COMPLEX(O323/B323,P323/B323)))/PI()*180</f>
        <v>-29.486621690067043</v>
      </c>
      <c r="U323" s="9">
        <f t="shared" ref="U323:U386" si="77">S323*COS(T323/180*PI())</f>
        <v>1.0018377359448822</v>
      </c>
      <c r="V323" s="9">
        <f t="shared" ref="V323:V386" si="78">S323*SIN(T323/180*PI())</f>
        <v>-0.56650375627120575</v>
      </c>
    </row>
    <row r="324" spans="1:22" x14ac:dyDescent="0.25">
      <c r="A324">
        <v>3.6</v>
      </c>
      <c r="B324">
        <v>15.7</v>
      </c>
      <c r="C324">
        <v>-9.8554961919897002E-2</v>
      </c>
      <c r="D324">
        <v>-6.7840422810677994E-2</v>
      </c>
      <c r="E324">
        <v>0.90146785308386002</v>
      </c>
      <c r="F324">
        <v>-7.3038627511204005E-2</v>
      </c>
      <c r="G324">
        <f t="shared" si="67"/>
        <v>2.8580812018755002</v>
      </c>
      <c r="H324">
        <f t="shared" si="68"/>
        <v>-2.3990836110937899</v>
      </c>
      <c r="I324">
        <f t="shared" si="69"/>
        <v>2.8580993643034698</v>
      </c>
      <c r="J324">
        <f t="shared" si="70"/>
        <v>-2.4016826365896602</v>
      </c>
      <c r="K324" s="8">
        <f t="shared" si="71"/>
        <v>-1.8162427969592399E-5</v>
      </c>
      <c r="L324" s="8">
        <f t="shared" si="72"/>
        <v>2.5990254958703201E-3</v>
      </c>
      <c r="M324" s="8">
        <f t="shared" si="73"/>
        <v>0.205075556332593</v>
      </c>
      <c r="N324" s="8">
        <f t="shared" si="74"/>
        <v>0.17232654993889099</v>
      </c>
      <c r="O324">
        <v>7.6252987931128002E-2</v>
      </c>
      <c r="P324">
        <v>-0.10662647143604</v>
      </c>
      <c r="Q324">
        <v>1.5956478018717E-2</v>
      </c>
      <c r="R324">
        <v>-0.14970781964919</v>
      </c>
      <c r="S324">
        <f t="shared" si="75"/>
        <v>1.1485205851318201</v>
      </c>
      <c r="T324">
        <f t="shared" si="76"/>
        <v>-29.486270437158097</v>
      </c>
      <c r="U324" s="9">
        <f t="shared" si="77"/>
        <v>0.99975692706016428</v>
      </c>
      <c r="V324" s="9">
        <f t="shared" si="78"/>
        <v>-0.5653190437856801</v>
      </c>
    </row>
    <row r="325" spans="1:22" x14ac:dyDescent="0.25">
      <c r="A325">
        <v>3.6</v>
      </c>
      <c r="B325">
        <v>15.8</v>
      </c>
      <c r="C325">
        <v>-0.10828432231465</v>
      </c>
      <c r="D325">
        <v>-6.4106822131647007E-2</v>
      </c>
      <c r="E325">
        <v>0.89173616868810002</v>
      </c>
      <c r="F325">
        <v>-6.9391751524924994E-2</v>
      </c>
      <c r="G325">
        <f t="shared" si="67"/>
        <v>2.8461746094087599</v>
      </c>
      <c r="H325">
        <f t="shared" si="68"/>
        <v>-2.0615487939313701</v>
      </c>
      <c r="I325">
        <f t="shared" si="69"/>
        <v>2.8461918371614701</v>
      </c>
      <c r="J325">
        <f t="shared" si="70"/>
        <v>-2.0641911860316502</v>
      </c>
      <c r="K325" s="8">
        <f t="shared" si="71"/>
        <v>-1.72277527101805E-5</v>
      </c>
      <c r="L325" s="8">
        <f t="shared" si="72"/>
        <v>2.6423921002800602E-3</v>
      </c>
      <c r="M325" s="8">
        <f t="shared" si="73"/>
        <v>0.23024287895120399</v>
      </c>
      <c r="N325" s="8">
        <f t="shared" si="74"/>
        <v>0.16698288399689001</v>
      </c>
      <c r="O325">
        <v>7.2257610293202004E-2</v>
      </c>
      <c r="P325">
        <v>-0.11716923991312</v>
      </c>
      <c r="Q325">
        <v>5.9898768109269999E-3</v>
      </c>
      <c r="R325">
        <v>-0.15765881592742001</v>
      </c>
      <c r="S325">
        <f t="shared" si="75"/>
        <v>1.1461177498833357</v>
      </c>
      <c r="T325">
        <f t="shared" si="76"/>
        <v>-29.486128700410003</v>
      </c>
      <c r="U325" s="9">
        <f t="shared" si="77"/>
        <v>0.99766671778880445</v>
      </c>
      <c r="V325" s="9">
        <f t="shared" si="78"/>
        <v>-0.56413386426818457</v>
      </c>
    </row>
    <row r="326" spans="1:22" x14ac:dyDescent="0.25">
      <c r="A326">
        <v>3.6</v>
      </c>
      <c r="B326">
        <v>15.9</v>
      </c>
      <c r="C326">
        <v>-0.11802718489194999</v>
      </c>
      <c r="D326">
        <v>-5.8701366008435001E-2</v>
      </c>
      <c r="E326">
        <v>0.88199775128862001</v>
      </c>
      <c r="F326">
        <v>-6.4077240967475996E-2</v>
      </c>
      <c r="G326">
        <f t="shared" si="67"/>
        <v>2.8344701707309801</v>
      </c>
      <c r="H326">
        <f t="shared" si="68"/>
        <v>-1.73319742058177</v>
      </c>
      <c r="I326">
        <f t="shared" si="69"/>
        <v>2.8344898633512599</v>
      </c>
      <c r="J326">
        <f t="shared" si="70"/>
        <v>-1.73588527161638</v>
      </c>
      <c r="K326" s="8">
        <f t="shared" si="71"/>
        <v>-1.96926202797876E-5</v>
      </c>
      <c r="L326" s="8">
        <f t="shared" si="72"/>
        <v>2.68785103461E-3</v>
      </c>
      <c r="M326" s="8">
        <f t="shared" si="73"/>
        <v>0.25656993806855199</v>
      </c>
      <c r="N326" s="8">
        <f t="shared" si="74"/>
        <v>0.157127383798844</v>
      </c>
      <c r="O326">
        <v>6.6456488207281006E-2</v>
      </c>
      <c r="P326">
        <v>-0.12773137013145999</v>
      </c>
      <c r="Q326">
        <v>-5.7446310462607002E-3</v>
      </c>
      <c r="R326">
        <v>-0.16457024036917001</v>
      </c>
      <c r="S326">
        <f t="shared" si="75"/>
        <v>1.1436616717668695</v>
      </c>
      <c r="T326">
        <f t="shared" si="76"/>
        <v>-29.486407672834932</v>
      </c>
      <c r="U326" s="9">
        <f t="shared" si="77"/>
        <v>0.99552602258385736</v>
      </c>
      <c r="V326" s="9">
        <f t="shared" si="78"/>
        <v>-0.56292979831143763</v>
      </c>
    </row>
    <row r="327" spans="1:22" x14ac:dyDescent="0.25">
      <c r="A327">
        <v>3.6</v>
      </c>
      <c r="B327">
        <v>16</v>
      </c>
      <c r="C327">
        <v>-0.12731548159462999</v>
      </c>
      <c r="D327">
        <v>-5.1567137254730999E-2</v>
      </c>
      <c r="E327">
        <v>0.87270533654038995</v>
      </c>
      <c r="F327">
        <v>-5.7033823509925002E-2</v>
      </c>
      <c r="G327">
        <f t="shared" si="67"/>
        <v>2.8229942100718799</v>
      </c>
      <c r="H327">
        <f t="shared" si="68"/>
        <v>-1.4160212509774499</v>
      </c>
      <c r="I327">
        <f t="shared" si="69"/>
        <v>2.8230120899065798</v>
      </c>
      <c r="J327">
        <f t="shared" si="70"/>
        <v>-1.4187545167825699</v>
      </c>
      <c r="K327" s="8">
        <f t="shared" si="71"/>
        <v>-1.78798346999187E-5</v>
      </c>
      <c r="L327" s="8">
        <f t="shared" si="72"/>
        <v>2.7332658051200101E-3</v>
      </c>
      <c r="M327" s="8">
        <f t="shared" si="73"/>
        <v>0.28280285491379498</v>
      </c>
      <c r="N327" s="8">
        <f t="shared" si="74"/>
        <v>0.14212756268473201</v>
      </c>
      <c r="O327">
        <v>5.8782583019678002E-2</v>
      </c>
      <c r="P327">
        <v>-0.13780729309284001</v>
      </c>
      <c r="Q327">
        <v>-1.9016520118965E-2</v>
      </c>
      <c r="R327">
        <v>-0.16992381903022999</v>
      </c>
      <c r="S327">
        <f t="shared" si="75"/>
        <v>1.1412615006293747</v>
      </c>
      <c r="T327">
        <f t="shared" si="76"/>
        <v>-29.486499484492796</v>
      </c>
      <c r="U327" s="9">
        <f t="shared" si="77"/>
        <v>0.99343583948281222</v>
      </c>
      <c r="V327" s="9">
        <f t="shared" si="78"/>
        <v>-0.56174998500212914</v>
      </c>
    </row>
    <row r="328" spans="1:22" x14ac:dyDescent="0.25">
      <c r="A328">
        <v>3.6</v>
      </c>
      <c r="B328">
        <v>16.100000000000001</v>
      </c>
      <c r="C328">
        <v>-0.13573266316612001</v>
      </c>
      <c r="D328">
        <v>-4.2720474330003998E-2</v>
      </c>
      <c r="E328">
        <v>0.86427764489549996</v>
      </c>
      <c r="F328">
        <v>-4.8273687545247003E-2</v>
      </c>
      <c r="G328">
        <f t="shared" si="67"/>
        <v>2.8117225159841999</v>
      </c>
      <c r="H328">
        <f t="shared" si="68"/>
        <v>-1.1087330297296201</v>
      </c>
      <c r="I328">
        <f t="shared" si="69"/>
        <v>2.8117353793540598</v>
      </c>
      <c r="J328">
        <f t="shared" si="70"/>
        <v>-1.11150958631026</v>
      </c>
      <c r="K328" s="8">
        <f t="shared" si="71"/>
        <v>-1.2863369859950099E-5</v>
      </c>
      <c r="L328" s="8">
        <f t="shared" si="72"/>
        <v>2.7765565806399102E-3</v>
      </c>
      <c r="M328" s="8">
        <f t="shared" si="73"/>
        <v>0.30758562642378801</v>
      </c>
      <c r="N328" s="8">
        <f t="shared" si="74"/>
        <v>0.121591944566216</v>
      </c>
      <c r="O328">
        <v>4.9254284710041001E-2</v>
      </c>
      <c r="P328">
        <v>-0.14694847115494</v>
      </c>
      <c r="Q328">
        <v>-3.3546132783472002E-2</v>
      </c>
      <c r="R328">
        <v>-0.17328731311031001</v>
      </c>
      <c r="S328">
        <f t="shared" si="75"/>
        <v>1.1388610223392972</v>
      </c>
      <c r="T328">
        <f t="shared" si="76"/>
        <v>-29.486338191442492</v>
      </c>
      <c r="U328" s="9">
        <f t="shared" si="77"/>
        <v>0.99134786911229755</v>
      </c>
      <c r="V328" s="9">
        <f t="shared" si="78"/>
        <v>-0.560565634524822</v>
      </c>
    </row>
    <row r="329" spans="1:22" x14ac:dyDescent="0.25">
      <c r="A329">
        <v>3.6</v>
      </c>
      <c r="B329">
        <v>16.2</v>
      </c>
      <c r="C329">
        <v>-0.14283058474091001</v>
      </c>
      <c r="D329">
        <v>-3.2338425352696001E-2</v>
      </c>
      <c r="E329">
        <v>0.85717338157514</v>
      </c>
      <c r="F329">
        <v>-3.7984060397392001E-2</v>
      </c>
      <c r="G329">
        <f t="shared" si="67"/>
        <v>2.8006622712872602</v>
      </c>
      <c r="H329">
        <f t="shared" si="68"/>
        <v>-0.81113988586533103</v>
      </c>
      <c r="I329">
        <f t="shared" si="69"/>
        <v>2.80067222262922</v>
      </c>
      <c r="J329">
        <f t="shared" si="70"/>
        <v>-0.81396266969883002</v>
      </c>
      <c r="K329" s="8">
        <f t="shared" si="71"/>
        <v>-9.9513419598018499E-6</v>
      </c>
      <c r="L329" s="8">
        <f t="shared" si="72"/>
        <v>2.82278383349899E-3</v>
      </c>
      <c r="M329" s="8">
        <f t="shared" si="73"/>
        <v>0.32924681483784701</v>
      </c>
      <c r="N329" s="8">
        <f t="shared" si="74"/>
        <v>9.5689389936414099E-2</v>
      </c>
      <c r="O329">
        <v>3.8061724057964E-2</v>
      </c>
      <c r="P329">
        <v>-0.1546675143713</v>
      </c>
      <c r="Q329">
        <v>-4.8865706888276003E-2</v>
      </c>
      <c r="R329">
        <v>-0.17429625360219</v>
      </c>
      <c r="S329">
        <f t="shared" si="75"/>
        <v>1.1364546011136785</v>
      </c>
      <c r="T329">
        <f t="shared" si="76"/>
        <v>-29.486434897967651</v>
      </c>
      <c r="U329" s="9">
        <f t="shared" si="77"/>
        <v>0.98925220004945447</v>
      </c>
      <c r="V329" s="9">
        <f t="shared" si="78"/>
        <v>-0.55938282516516724</v>
      </c>
    </row>
    <row r="330" spans="1:22" x14ac:dyDescent="0.25">
      <c r="A330">
        <v>3.6</v>
      </c>
      <c r="B330">
        <v>16.3</v>
      </c>
      <c r="C330">
        <v>-0.14821876264018999</v>
      </c>
      <c r="D330">
        <v>-2.0752232669567001E-2</v>
      </c>
      <c r="E330">
        <v>0.85177971565560995</v>
      </c>
      <c r="F330">
        <v>-2.6493774280569E-2</v>
      </c>
      <c r="G330">
        <f t="shared" si="67"/>
        <v>2.7898049405242298</v>
      </c>
      <c r="H330">
        <f t="shared" si="68"/>
        <v>-0.52288935600675901</v>
      </c>
      <c r="I330">
        <f t="shared" si="69"/>
        <v>2.7898124209474502</v>
      </c>
      <c r="J330">
        <f t="shared" si="70"/>
        <v>-0.52576010752189495</v>
      </c>
      <c r="K330" s="8">
        <f t="shared" si="71"/>
        <v>-7.4804232204073199E-6</v>
      </c>
      <c r="L330" s="8">
        <f t="shared" si="72"/>
        <v>2.8707515151359399E-3</v>
      </c>
      <c r="M330" s="8">
        <f t="shared" si="73"/>
        <v>0.34615303312164403</v>
      </c>
      <c r="N330" s="8">
        <f t="shared" si="74"/>
        <v>6.5235015281514402E-2</v>
      </c>
      <c r="O330">
        <v>2.5562518618205E-2</v>
      </c>
      <c r="P330">
        <v>-0.16054514708677001</v>
      </c>
      <c r="Q330">
        <v>-6.4380987348499993E-2</v>
      </c>
      <c r="R330">
        <v>-0.17274641582563999</v>
      </c>
      <c r="S330">
        <f t="shared" si="75"/>
        <v>1.1340125221478334</v>
      </c>
      <c r="T330">
        <f t="shared" si="76"/>
        <v>-29.486835586810031</v>
      </c>
      <c r="U330" s="9">
        <f t="shared" si="77"/>
        <v>0.98712253449167953</v>
      </c>
      <c r="V330" s="9">
        <f t="shared" si="78"/>
        <v>-0.5581876944960481</v>
      </c>
    </row>
    <row r="331" spans="1:22" x14ac:dyDescent="0.25">
      <c r="A331">
        <v>3.6</v>
      </c>
      <c r="B331">
        <v>16.399999999999999</v>
      </c>
      <c r="C331">
        <v>-0.15162751708134001</v>
      </c>
      <c r="D331">
        <v>-8.4170174133274007E-3</v>
      </c>
      <c r="E331">
        <v>0.84836428242269002</v>
      </c>
      <c r="F331">
        <v>-1.4255234115835E-2</v>
      </c>
      <c r="G331">
        <f t="shared" si="67"/>
        <v>2.7791353514546202</v>
      </c>
      <c r="H331">
        <f t="shared" si="68"/>
        <v>-0.24369192891976499</v>
      </c>
      <c r="I331">
        <f t="shared" si="69"/>
        <v>2.7791397724156002</v>
      </c>
      <c r="J331">
        <f t="shared" si="70"/>
        <v>-0.24661103633482001</v>
      </c>
      <c r="K331" s="8">
        <f t="shared" si="71"/>
        <v>-4.4209609799672503E-6</v>
      </c>
      <c r="L331" s="8">
        <f t="shared" si="72"/>
        <v>2.9191074150550201E-3</v>
      </c>
      <c r="M331" s="8">
        <f t="shared" si="73"/>
        <v>0.35701239923251199</v>
      </c>
      <c r="N331" s="8">
        <f t="shared" si="74"/>
        <v>3.1680017908053602E-2</v>
      </c>
      <c r="O331">
        <v>1.2246286981002E-2</v>
      </c>
      <c r="P331">
        <v>-0.16428442390659001</v>
      </c>
      <c r="Q331">
        <v>-7.9443089047756002E-2</v>
      </c>
      <c r="R331">
        <v>-0.16864104581516001</v>
      </c>
      <c r="S331">
        <f t="shared" si="75"/>
        <v>1.1315767782642299</v>
      </c>
      <c r="T331">
        <f t="shared" si="76"/>
        <v>-29.487220056623578</v>
      </c>
      <c r="U331" s="9">
        <f t="shared" si="77"/>
        <v>0.98499855783977075</v>
      </c>
      <c r="V331" s="9">
        <f t="shared" si="78"/>
        <v>-0.55699537355387962</v>
      </c>
    </row>
    <row r="332" spans="1:22" x14ac:dyDescent="0.25">
      <c r="A332">
        <v>3.6</v>
      </c>
      <c r="B332">
        <v>16.5</v>
      </c>
      <c r="C332">
        <v>-0.15295152884548999</v>
      </c>
      <c r="D332">
        <v>4.1470352437560001E-3</v>
      </c>
      <c r="E332">
        <v>0.84702801008727002</v>
      </c>
      <c r="F332">
        <v>-1.7868462813616999E-3</v>
      </c>
      <c r="G332">
        <f t="shared" si="67"/>
        <v>2.7685970183500999</v>
      </c>
      <c r="H332">
        <f t="shared" si="68"/>
        <v>2.6700590799496101E-2</v>
      </c>
      <c r="I332">
        <f t="shared" si="69"/>
        <v>2.7685955906419899</v>
      </c>
      <c r="J332">
        <f t="shared" si="70"/>
        <v>2.37336154472708E-2</v>
      </c>
      <c r="K332" s="8">
        <f t="shared" si="71"/>
        <v>1.42770810995785E-6</v>
      </c>
      <c r="L332" s="8">
        <f t="shared" si="72"/>
        <v>2.9669753522252999E-3</v>
      </c>
      <c r="M332" s="8">
        <f t="shared" si="73"/>
        <v>0.36116741718356299</v>
      </c>
      <c r="N332" s="8">
        <f t="shared" si="74"/>
        <v>-3.0960854739825101E-3</v>
      </c>
      <c r="O332">
        <v>-1.3248925543708E-3</v>
      </c>
      <c r="P332">
        <v>-0.1657703030786</v>
      </c>
      <c r="Q332">
        <v>-9.3437551302051003E-2</v>
      </c>
      <c r="R332">
        <v>-0.16219447381967</v>
      </c>
      <c r="S332">
        <f t="shared" si="75"/>
        <v>1.1291372056382853</v>
      </c>
      <c r="T332">
        <f t="shared" si="76"/>
        <v>-29.487614819245675</v>
      </c>
      <c r="U332" s="9">
        <f t="shared" si="77"/>
        <v>0.98287116461245116</v>
      </c>
      <c r="V332" s="9">
        <f t="shared" si="78"/>
        <v>-0.55580131605637595</v>
      </c>
    </row>
    <row r="333" spans="1:22" x14ac:dyDescent="0.25">
      <c r="A333">
        <v>3.6</v>
      </c>
      <c r="B333">
        <v>16.600000000000001</v>
      </c>
      <c r="C333">
        <v>-0.15226006498284</v>
      </c>
      <c r="D333">
        <v>1.6426854979118999E-2</v>
      </c>
      <c r="E333">
        <v>0.84771276063819001</v>
      </c>
      <c r="F333">
        <v>1.0398795161562E-2</v>
      </c>
      <c r="G333">
        <f t="shared" si="67"/>
        <v>2.75828424578981</v>
      </c>
      <c r="H333">
        <f t="shared" si="68"/>
        <v>0.28850854114776697</v>
      </c>
      <c r="I333">
        <f t="shared" si="69"/>
        <v>2.7582797430797701</v>
      </c>
      <c r="J333">
        <f t="shared" si="70"/>
        <v>0.28549445671474899</v>
      </c>
      <c r="K333" s="8">
        <f t="shared" si="71"/>
        <v>4.5027100399330803E-6</v>
      </c>
      <c r="L333" s="8">
        <f t="shared" si="72"/>
        <v>3.0140844330179802E-3</v>
      </c>
      <c r="M333" s="8">
        <f t="shared" si="73"/>
        <v>0.35870196632098</v>
      </c>
      <c r="N333" s="8">
        <f t="shared" si="74"/>
        <v>-3.7127279513345199E-2</v>
      </c>
      <c r="O333">
        <v>-1.4594592220092999E-2</v>
      </c>
      <c r="P333">
        <v>-0.16507477517354999</v>
      </c>
      <c r="Q333">
        <v>-0.10586589418195</v>
      </c>
      <c r="R333">
        <v>-0.15380189327314001</v>
      </c>
      <c r="S333">
        <f t="shared" si="75"/>
        <v>1.1267004356973276</v>
      </c>
      <c r="T333">
        <f t="shared" si="76"/>
        <v>-29.488162878423609</v>
      </c>
      <c r="U333" s="9">
        <f t="shared" si="77"/>
        <v>0.98074474363221242</v>
      </c>
      <c r="V333" s="9">
        <f t="shared" si="78"/>
        <v>-0.55461123288149672</v>
      </c>
    </row>
    <row r="334" spans="1:22" x14ac:dyDescent="0.25">
      <c r="A334">
        <v>3.6</v>
      </c>
      <c r="B334">
        <v>16.7</v>
      </c>
      <c r="C334">
        <v>-0.14977233038427001</v>
      </c>
      <c r="D334">
        <v>2.7981675665118E-2</v>
      </c>
      <c r="E334">
        <v>0.85019301978680994</v>
      </c>
      <c r="F334">
        <v>2.1852887015559999E-2</v>
      </c>
      <c r="G334">
        <f t="shared" si="67"/>
        <v>2.7481364647701798</v>
      </c>
      <c r="H334">
        <f t="shared" si="68"/>
        <v>0.54185413668309501</v>
      </c>
      <c r="I334">
        <f t="shared" si="69"/>
        <v>2.7481285304680498</v>
      </c>
      <c r="J334">
        <f t="shared" si="70"/>
        <v>0.53878966495277603</v>
      </c>
      <c r="K334" s="8">
        <f t="shared" si="71"/>
        <v>7.9343021299749205E-6</v>
      </c>
      <c r="L334" s="8">
        <f t="shared" si="72"/>
        <v>3.0644717303189902E-3</v>
      </c>
      <c r="M334" s="8">
        <f t="shared" si="73"/>
        <v>0.35041464780979498</v>
      </c>
      <c r="N334" s="8">
        <f t="shared" si="74"/>
        <v>-6.8701222884880397E-2</v>
      </c>
      <c r="O334">
        <v>-2.7086317659611999E-2</v>
      </c>
      <c r="P334">
        <v>-0.16243419436866999</v>
      </c>
      <c r="Q334">
        <v>-0.11640122757958</v>
      </c>
      <c r="R334">
        <v>-0.14397019365182001</v>
      </c>
      <c r="S334">
        <f t="shared" si="75"/>
        <v>1.124258404260565</v>
      </c>
      <c r="T334">
        <f t="shared" si="76"/>
        <v>-29.488747932794968</v>
      </c>
      <c r="U334" s="9">
        <f t="shared" si="77"/>
        <v>0.97861340829032684</v>
      </c>
      <c r="V334" s="9">
        <f t="shared" si="78"/>
        <v>-0.55341915097410754</v>
      </c>
    </row>
    <row r="335" spans="1:22" x14ac:dyDescent="0.25">
      <c r="A335">
        <v>3.6</v>
      </c>
      <c r="B335">
        <v>16.8</v>
      </c>
      <c r="C335">
        <v>-0.14580886603443</v>
      </c>
      <c r="D335">
        <v>3.8485951210047997E-2</v>
      </c>
      <c r="E335">
        <v>0.85414992174363003</v>
      </c>
      <c r="F335">
        <v>3.2257548233571E-2</v>
      </c>
      <c r="G335">
        <f t="shared" si="67"/>
        <v>2.7381568497410602</v>
      </c>
      <c r="H335">
        <f t="shared" si="68"/>
        <v>0.78698878479512202</v>
      </c>
      <c r="I335">
        <f t="shared" si="69"/>
        <v>2.7381459419618701</v>
      </c>
      <c r="J335">
        <f t="shared" si="70"/>
        <v>0.78387448516425895</v>
      </c>
      <c r="K335" s="8">
        <f t="shared" si="71"/>
        <v>1.09077791901058E-5</v>
      </c>
      <c r="L335" s="8">
        <f t="shared" si="72"/>
        <v>3.1142996308630702E-3</v>
      </c>
      <c r="M335" s="8">
        <f t="shared" si="73"/>
        <v>0.33754670658640401</v>
      </c>
      <c r="N335" s="8">
        <f t="shared" si="74"/>
        <v>-9.6632632610783198E-2</v>
      </c>
      <c r="O335">
        <v>-3.8445660555557003E-2</v>
      </c>
      <c r="P335">
        <v>-0.15819081137745999</v>
      </c>
      <c r="Q335">
        <v>-0.12490178209859</v>
      </c>
      <c r="R335">
        <v>-0.13324233748712999</v>
      </c>
      <c r="S335">
        <f t="shared" si="75"/>
        <v>1.1218406904049385</v>
      </c>
      <c r="T335">
        <f t="shared" si="76"/>
        <v>-29.489476685432809</v>
      </c>
      <c r="U335" s="9">
        <f t="shared" si="77"/>
        <v>0.97650187954733458</v>
      </c>
      <c r="V335" s="9">
        <f t="shared" si="78"/>
        <v>-0.55224144528344843</v>
      </c>
    </row>
    <row r="336" spans="1:22" x14ac:dyDescent="0.25">
      <c r="A336">
        <v>3.6</v>
      </c>
      <c r="B336">
        <v>16.899999999999999</v>
      </c>
      <c r="C336">
        <v>-0.14073580970975</v>
      </c>
      <c r="D336">
        <v>4.7745366525955998E-2</v>
      </c>
      <c r="E336">
        <v>0.85921821727049996</v>
      </c>
      <c r="F336">
        <v>4.1414631923733E-2</v>
      </c>
      <c r="G336">
        <f t="shared" si="67"/>
        <v>2.7283577771049101</v>
      </c>
      <c r="H336">
        <f t="shared" si="68"/>
        <v>1.0240403207130599</v>
      </c>
      <c r="I336">
        <f t="shared" si="69"/>
        <v>2.7283448102073602</v>
      </c>
      <c r="J336">
        <f t="shared" si="70"/>
        <v>1.02087483960359</v>
      </c>
      <c r="K336" s="8">
        <f t="shared" si="71"/>
        <v>1.29668975499264E-5</v>
      </c>
      <c r="L336" s="8">
        <f t="shared" si="72"/>
        <v>3.1654811094699001E-3</v>
      </c>
      <c r="M336" s="8">
        <f t="shared" si="73"/>
        <v>0.32150936415062897</v>
      </c>
      <c r="N336" s="8">
        <f t="shared" si="74"/>
        <v>-0.12030034449105401</v>
      </c>
      <c r="O336">
        <v>-4.8460715510142999E-2</v>
      </c>
      <c r="P336">
        <v>-0.15274059871807</v>
      </c>
      <c r="Q336">
        <v>-0.13139188190167</v>
      </c>
      <c r="R336">
        <v>-0.12212602607903</v>
      </c>
      <c r="S336">
        <f t="shared" si="75"/>
        <v>1.1194425636828185</v>
      </c>
      <c r="T336">
        <f t="shared" si="76"/>
        <v>-29.490266680722623</v>
      </c>
      <c r="U336" s="9">
        <f t="shared" si="77"/>
        <v>0.97440684130849287</v>
      </c>
      <c r="V336" s="9">
        <f t="shared" si="78"/>
        <v>-0.55107436975055057</v>
      </c>
    </row>
    <row r="337" spans="1:22" x14ac:dyDescent="0.25">
      <c r="A337">
        <v>3.6</v>
      </c>
      <c r="B337">
        <v>17</v>
      </c>
      <c r="C337">
        <v>-0.13487862974463</v>
      </c>
      <c r="D337">
        <v>5.5738350872103E-2</v>
      </c>
      <c r="E337">
        <v>0.8650688371709</v>
      </c>
      <c r="F337">
        <v>4.9304694141876999E-2</v>
      </c>
      <c r="G337">
        <f t="shared" si="67"/>
        <v>2.71849057668364</v>
      </c>
      <c r="H337">
        <f t="shared" si="68"/>
        <v>1.2546364438183599</v>
      </c>
      <c r="I337">
        <f t="shared" si="69"/>
        <v>2.7184746581445598</v>
      </c>
      <c r="J337">
        <f t="shared" si="70"/>
        <v>1.25141947974752</v>
      </c>
      <c r="K337" s="8">
        <f t="shared" si="71"/>
        <v>1.5918539080228599E-5</v>
      </c>
      <c r="L337" s="8">
        <f t="shared" si="72"/>
        <v>3.21696407083993E-3</v>
      </c>
      <c r="M337" s="8">
        <f t="shared" si="73"/>
        <v>0.30353143766769403</v>
      </c>
      <c r="N337" s="8">
        <f t="shared" si="74"/>
        <v>-0.13972731092971799</v>
      </c>
      <c r="O337">
        <v>-5.7104502996947998E-2</v>
      </c>
      <c r="P337">
        <v>-0.14643111371619999</v>
      </c>
      <c r="Q337">
        <v>-0.13605026611206</v>
      </c>
      <c r="R337">
        <v>-0.11097707815088</v>
      </c>
      <c r="S337">
        <f t="shared" si="75"/>
        <v>1.1170712334203692</v>
      </c>
      <c r="T337">
        <f t="shared" si="76"/>
        <v>-29.491102786490675</v>
      </c>
      <c r="U337" s="9">
        <f t="shared" si="77"/>
        <v>0.97233471738458388</v>
      </c>
      <c r="V337" s="9">
        <f t="shared" si="78"/>
        <v>-0.54992121063289279</v>
      </c>
    </row>
    <row r="338" spans="1:22" x14ac:dyDescent="0.25">
      <c r="A338">
        <v>3.8</v>
      </c>
      <c r="B338">
        <v>15</v>
      </c>
      <c r="C338">
        <v>-4.9465767251893E-2</v>
      </c>
      <c r="D338">
        <v>-7.0947053832075002E-2</v>
      </c>
      <c r="E338">
        <v>0.95057111512726999</v>
      </c>
      <c r="F338">
        <v>-7.5900220650919004E-2</v>
      </c>
      <c r="G338">
        <f t="shared" si="67"/>
        <v>2.6550983198772302</v>
      </c>
      <c r="H338">
        <f t="shared" si="68"/>
        <v>-4.6837410132576496</v>
      </c>
      <c r="I338">
        <f t="shared" si="69"/>
        <v>2.6551228938152098</v>
      </c>
      <c r="J338">
        <f t="shared" si="70"/>
        <v>-4.6862174901384996</v>
      </c>
      <c r="K338" s="8">
        <f t="shared" si="71"/>
        <v>-2.4573937979610602E-5</v>
      </c>
      <c r="L338" s="8">
        <f t="shared" si="72"/>
        <v>2.47647688085006E-3</v>
      </c>
      <c r="M338" s="8">
        <f t="shared" si="73"/>
        <v>9.1523417560780099E-2</v>
      </c>
      <c r="N338" s="8">
        <f t="shared" si="74"/>
        <v>0.161536266788119</v>
      </c>
      <c r="O338">
        <v>7.5370170344973994E-2</v>
      </c>
      <c r="P338">
        <v>-5.0924046545296003E-2</v>
      </c>
      <c r="Q338">
        <v>4.7263966150123002E-2</v>
      </c>
      <c r="R338">
        <v>-9.4863231132393006E-2</v>
      </c>
      <c r="S338">
        <f t="shared" si="75"/>
        <v>1.1651733722461852</v>
      </c>
      <c r="T338">
        <f t="shared" si="76"/>
        <v>-29.470984987440168</v>
      </c>
      <c r="U338" s="9">
        <f t="shared" si="77"/>
        <v>1.0144057070160031</v>
      </c>
      <c r="V338" s="9">
        <f t="shared" si="78"/>
        <v>-0.57324519096535842</v>
      </c>
    </row>
    <row r="339" spans="1:22" x14ac:dyDescent="0.25">
      <c r="A339">
        <v>3.8</v>
      </c>
      <c r="B339" s="1">
        <v>15.1</v>
      </c>
      <c r="C339">
        <v>-5.5342968652721002E-2</v>
      </c>
      <c r="D339">
        <v>-7.3228004859403006E-2</v>
      </c>
      <c r="E339">
        <v>0.94469417545811996</v>
      </c>
      <c r="F339">
        <v>-7.8262942344044004E-2</v>
      </c>
      <c r="G339">
        <f t="shared" si="67"/>
        <v>2.64407455887262</v>
      </c>
      <c r="H339">
        <f t="shared" si="68"/>
        <v>-4.3033587137508098</v>
      </c>
      <c r="I339">
        <f t="shared" si="69"/>
        <v>2.6440994678387399</v>
      </c>
      <c r="J339">
        <f t="shared" si="70"/>
        <v>-4.3058760730330503</v>
      </c>
      <c r="K339" s="8">
        <f t="shared" si="71"/>
        <v>-2.4908966119952E-5</v>
      </c>
      <c r="L339" s="8">
        <f t="shared" si="72"/>
        <v>2.5173592822405099E-3</v>
      </c>
      <c r="M339" s="8">
        <f t="shared" si="73"/>
        <v>0.103560903779559</v>
      </c>
      <c r="N339" s="8">
        <f t="shared" si="74"/>
        <v>0.16864736864478599</v>
      </c>
      <c r="O339">
        <v>7.7755931293648994E-2</v>
      </c>
      <c r="P339">
        <v>-5.6981858181063001E-2</v>
      </c>
      <c r="Q339">
        <v>4.6113503521839003E-2</v>
      </c>
      <c r="R339">
        <v>-0.1021498986188</v>
      </c>
      <c r="S339">
        <f t="shared" si="75"/>
        <v>1.1626180565277893</v>
      </c>
      <c r="T339">
        <f t="shared" si="76"/>
        <v>-29.46909779350025</v>
      </c>
      <c r="U339" s="9">
        <f t="shared" si="77"/>
        <v>1.0121998759475217</v>
      </c>
      <c r="V339" s="9">
        <f t="shared" si="78"/>
        <v>-0.57195468045665598</v>
      </c>
    </row>
    <row r="340" spans="1:22" x14ac:dyDescent="0.25">
      <c r="A340">
        <v>3.8</v>
      </c>
      <c r="B340" s="1">
        <v>15.2</v>
      </c>
      <c r="C340">
        <v>-6.1919249220202997E-2</v>
      </c>
      <c r="D340">
        <v>-7.5194835424552006E-2</v>
      </c>
      <c r="E340">
        <v>0.93811830648841998</v>
      </c>
      <c r="F340">
        <v>-8.0316042633538004E-2</v>
      </c>
      <c r="G340">
        <f t="shared" si="67"/>
        <v>2.6333708306366499</v>
      </c>
      <c r="H340">
        <f t="shared" si="68"/>
        <v>-3.93467701187096</v>
      </c>
      <c r="I340">
        <f t="shared" si="69"/>
        <v>2.6333961644168502</v>
      </c>
      <c r="J340">
        <f t="shared" si="70"/>
        <v>-3.9372375025251598</v>
      </c>
      <c r="K340" s="8">
        <f t="shared" si="71"/>
        <v>-2.5333780200309499E-5</v>
      </c>
      <c r="L340" s="8">
        <f t="shared" si="72"/>
        <v>2.5604906541998301E-3</v>
      </c>
      <c r="M340" s="8">
        <f t="shared" si="73"/>
        <v>0.117370477762435</v>
      </c>
      <c r="N340" s="8">
        <f t="shared" si="74"/>
        <v>0.17548269150680099</v>
      </c>
      <c r="O340">
        <v>7.9813251559605003E-2</v>
      </c>
      <c r="P340">
        <v>-6.3755368924049996E-2</v>
      </c>
      <c r="Q340">
        <v>4.4233219084919E-2</v>
      </c>
      <c r="R340">
        <v>-0.10995590580902</v>
      </c>
      <c r="S340">
        <f t="shared" si="75"/>
        <v>1.1602343730672597</v>
      </c>
      <c r="T340">
        <f t="shared" si="76"/>
        <v>-29.467894556108423</v>
      </c>
      <c r="U340" s="9">
        <f t="shared" si="77"/>
        <v>1.0101365771572852</v>
      </c>
      <c r="V340" s="9">
        <f t="shared" si="78"/>
        <v>-0.57076080448445399</v>
      </c>
    </row>
    <row r="341" spans="1:22" x14ac:dyDescent="0.25">
      <c r="A341">
        <v>3.8</v>
      </c>
      <c r="B341" s="1">
        <v>15.3</v>
      </c>
      <c r="C341">
        <v>-6.9234431725484005E-2</v>
      </c>
      <c r="D341">
        <v>-7.6710628487817997E-2</v>
      </c>
      <c r="E341">
        <v>0.93079878546207995</v>
      </c>
      <c r="F341">
        <v>-8.1912904339461995E-2</v>
      </c>
      <c r="G341">
        <f t="shared" si="67"/>
        <v>2.6231238171934099</v>
      </c>
      <c r="H341">
        <f t="shared" si="68"/>
        <v>-3.5772776927211298</v>
      </c>
      <c r="I341">
        <f t="shared" si="69"/>
        <v>2.6231471910469799</v>
      </c>
      <c r="J341">
        <f t="shared" si="70"/>
        <v>-3.5798787266488299</v>
      </c>
      <c r="K341" s="8">
        <f t="shared" si="71"/>
        <v>-2.33738535699857E-5</v>
      </c>
      <c r="L341" s="8">
        <f t="shared" si="72"/>
        <v>2.60103392770006E-3</v>
      </c>
      <c r="M341" s="8">
        <f t="shared" si="73"/>
        <v>0.13317879468704999</v>
      </c>
      <c r="N341" s="8">
        <f t="shared" si="74"/>
        <v>0.18175264261499899</v>
      </c>
      <c r="O341">
        <v>8.1408023659431006E-2</v>
      </c>
      <c r="P341">
        <v>-7.1290809636489996E-2</v>
      </c>
      <c r="Q341">
        <v>4.146096798473E-2</v>
      </c>
      <c r="R341">
        <v>-0.11823743839082999</v>
      </c>
      <c r="S341">
        <f t="shared" si="75"/>
        <v>1.1578853227399026</v>
      </c>
      <c r="T341">
        <f t="shared" si="76"/>
        <v>-29.466995509663178</v>
      </c>
      <c r="U341" s="9">
        <f t="shared" si="77"/>
        <v>1.0081003577124747</v>
      </c>
      <c r="V341" s="9">
        <f t="shared" si="78"/>
        <v>-0.56958940421716864</v>
      </c>
    </row>
    <row r="342" spans="1:22" x14ac:dyDescent="0.25">
      <c r="A342">
        <v>3.8</v>
      </c>
      <c r="B342" s="1">
        <v>15.4</v>
      </c>
      <c r="C342">
        <v>-7.7305905224370003E-2</v>
      </c>
      <c r="D342">
        <v>-7.7606607005186998E-2</v>
      </c>
      <c r="E342">
        <v>0.9227267260116</v>
      </c>
      <c r="F342">
        <v>-8.2895708664279005E-2</v>
      </c>
      <c r="G342">
        <f t="shared" si="67"/>
        <v>2.6130071826567201</v>
      </c>
      <c r="H342">
        <f t="shared" si="68"/>
        <v>-3.2309806951306599</v>
      </c>
      <c r="I342">
        <f t="shared" si="69"/>
        <v>2.61303049126639</v>
      </c>
      <c r="J342">
        <f t="shared" si="70"/>
        <v>-3.2336251411736301</v>
      </c>
      <c r="K342" s="8">
        <f t="shared" si="71"/>
        <v>-2.3308609669925301E-5</v>
      </c>
      <c r="L342" s="8">
        <f t="shared" si="72"/>
        <v>2.6444460429702098E-3</v>
      </c>
      <c r="M342" s="8">
        <f t="shared" si="73"/>
        <v>0.151179773163236</v>
      </c>
      <c r="N342" s="8">
        <f t="shared" si="74"/>
        <v>0.18708496398013499</v>
      </c>
      <c r="O342">
        <v>8.2368200175548995E-2</v>
      </c>
      <c r="P342">
        <v>-7.9606929444601002E-2</v>
      </c>
      <c r="Q342">
        <v>3.7616296979330999E-2</v>
      </c>
      <c r="R342">
        <v>-0.12690827050772999</v>
      </c>
      <c r="S342">
        <f t="shared" si="75"/>
        <v>1.1555246858680315</v>
      </c>
      <c r="T342">
        <f t="shared" si="76"/>
        <v>-29.466547087997267</v>
      </c>
      <c r="U342" s="9">
        <f t="shared" si="77"/>
        <v>1.0060495434362537</v>
      </c>
      <c r="V342" s="9">
        <f t="shared" si="78"/>
        <v>-0.56842028095601782</v>
      </c>
    </row>
    <row r="343" spans="1:22" x14ac:dyDescent="0.25">
      <c r="A343">
        <v>3.8</v>
      </c>
      <c r="B343" s="1">
        <v>15.5</v>
      </c>
      <c r="C343">
        <v>-8.6116818663069E-2</v>
      </c>
      <c r="D343">
        <v>-7.7684686068882999E-2</v>
      </c>
      <c r="E343">
        <v>0.91391131875312004</v>
      </c>
      <c r="F343">
        <v>-8.3069850172534002E-2</v>
      </c>
      <c r="G343">
        <f t="shared" si="67"/>
        <v>2.6029725609919301</v>
      </c>
      <c r="H343">
        <f t="shared" si="68"/>
        <v>-2.8953012432950298</v>
      </c>
      <c r="I343">
        <f t="shared" si="69"/>
        <v>2.6029938791416698</v>
      </c>
      <c r="J343">
        <f t="shared" si="70"/>
        <v>-2.89799373006618</v>
      </c>
      <c r="K343" s="8">
        <f t="shared" si="71"/>
        <v>-2.1318149739713001E-5</v>
      </c>
      <c r="L343" s="8">
        <f t="shared" si="72"/>
        <v>2.6924867711501902E-3</v>
      </c>
      <c r="M343" s="8">
        <f t="shared" si="73"/>
        <v>0.171543650278111</v>
      </c>
      <c r="N343" s="8">
        <f t="shared" si="74"/>
        <v>0.190984860518597</v>
      </c>
      <c r="O343">
        <v>8.2490112187822998E-2</v>
      </c>
      <c r="P343">
        <v>-8.8688837033314996E-2</v>
      </c>
      <c r="Q343">
        <v>3.2510886746705998E-2</v>
      </c>
      <c r="R343">
        <v>-0.13583451802916</v>
      </c>
      <c r="S343">
        <f t="shared" si="75"/>
        <v>1.1531509638175028</v>
      </c>
      <c r="T343">
        <f t="shared" si="76"/>
        <v>-29.466040588646962</v>
      </c>
      <c r="U343" s="9">
        <f t="shared" si="77"/>
        <v>1.0039878933367885</v>
      </c>
      <c r="V343" s="9">
        <f t="shared" si="78"/>
        <v>-0.56724373543159823</v>
      </c>
    </row>
    <row r="344" spans="1:22" x14ac:dyDescent="0.25">
      <c r="A344">
        <v>3.8</v>
      </c>
      <c r="B344">
        <v>15.6</v>
      </c>
      <c r="C344">
        <v>-9.5600368021220003E-2</v>
      </c>
      <c r="D344">
        <v>-7.6722060668875006E-2</v>
      </c>
      <c r="E344">
        <v>0.90442408661606</v>
      </c>
      <c r="F344">
        <v>-8.2199282366273996E-2</v>
      </c>
      <c r="G344">
        <f t="shared" si="67"/>
        <v>2.5932390516259098</v>
      </c>
      <c r="H344">
        <f t="shared" si="68"/>
        <v>-2.5699919360002599</v>
      </c>
      <c r="I344">
        <f t="shared" si="69"/>
        <v>2.5932587784530701</v>
      </c>
      <c r="J344">
        <f t="shared" si="70"/>
        <v>-2.57273045934005</v>
      </c>
      <c r="K344" s="8">
        <f t="shared" si="71"/>
        <v>-1.97268271602269E-5</v>
      </c>
      <c r="L344" s="8">
        <f t="shared" si="72"/>
        <v>2.7385233397900798E-3</v>
      </c>
      <c r="M344" s="8">
        <f t="shared" si="73"/>
        <v>0.19433991143232299</v>
      </c>
      <c r="N344" s="8">
        <f t="shared" si="74"/>
        <v>0.19280151050163899</v>
      </c>
      <c r="O344">
        <v>8.1544444818376E-2</v>
      </c>
      <c r="P344">
        <v>-9.8468358649757004E-2</v>
      </c>
      <c r="Q344">
        <v>2.5961040258594002E-2</v>
      </c>
      <c r="R344">
        <v>-0.14481653931409</v>
      </c>
      <c r="S344">
        <f t="shared" si="75"/>
        <v>1.1507674914463943</v>
      </c>
      <c r="T344">
        <f t="shared" si="76"/>
        <v>-29.465750374658608</v>
      </c>
      <c r="U344" s="9">
        <f t="shared" si="77"/>
        <v>1.0019155965493838</v>
      </c>
      <c r="V344" s="9">
        <f t="shared" si="78"/>
        <v>-0.56606621234703614</v>
      </c>
    </row>
    <row r="345" spans="1:22" x14ac:dyDescent="0.25">
      <c r="A345">
        <v>3.8</v>
      </c>
      <c r="B345">
        <v>15.7</v>
      </c>
      <c r="C345">
        <v>-0.10562286858434999</v>
      </c>
      <c r="D345">
        <v>-7.4482432121888001E-2</v>
      </c>
      <c r="E345">
        <v>0.89439856750901003</v>
      </c>
      <c r="F345">
        <v>-8.0054396731079003E-2</v>
      </c>
      <c r="G345">
        <f t="shared" si="67"/>
        <v>2.5836770878673798</v>
      </c>
      <c r="H345">
        <f t="shared" si="68"/>
        <v>-2.25470686287946</v>
      </c>
      <c r="I345">
        <f t="shared" si="69"/>
        <v>2.5836955671867798</v>
      </c>
      <c r="J345">
        <f t="shared" si="70"/>
        <v>-2.2574927638415798</v>
      </c>
      <c r="K345" s="8">
        <f t="shared" si="71"/>
        <v>-1.84793194000221E-5</v>
      </c>
      <c r="L345" s="8">
        <f t="shared" si="72"/>
        <v>2.78590096211984E-3</v>
      </c>
      <c r="M345" s="8">
        <f t="shared" si="73"/>
        <v>0.21948258930791201</v>
      </c>
      <c r="N345" s="8">
        <f t="shared" si="74"/>
        <v>0.191771957750937</v>
      </c>
      <c r="O345">
        <v>7.9286676674094003E-2</v>
      </c>
      <c r="P345">
        <v>-0.10880843915143</v>
      </c>
      <c r="Q345">
        <v>1.7808858360672E-2</v>
      </c>
      <c r="R345">
        <v>-0.15357785863423001</v>
      </c>
      <c r="S345">
        <f t="shared" si="75"/>
        <v>1.1483710142762673</v>
      </c>
      <c r="T345">
        <f t="shared" si="76"/>
        <v>-29.465658854353535</v>
      </c>
      <c r="U345" s="9">
        <f t="shared" si="77"/>
        <v>0.99983000626150964</v>
      </c>
      <c r="V345" s="9">
        <f t="shared" si="78"/>
        <v>-0.56488578049815741</v>
      </c>
    </row>
    <row r="346" spans="1:22" x14ac:dyDescent="0.25">
      <c r="A346">
        <v>3.8</v>
      </c>
      <c r="B346">
        <v>15.8</v>
      </c>
      <c r="C346">
        <v>-0.11600484556095</v>
      </c>
      <c r="D346">
        <v>-7.0721698914693001E-2</v>
      </c>
      <c r="E346">
        <v>0.88402484537328996</v>
      </c>
      <c r="F346">
        <v>-7.6399286127746005E-2</v>
      </c>
      <c r="G346">
        <f t="shared" si="67"/>
        <v>2.57422837890365</v>
      </c>
      <c r="H346">
        <f t="shared" si="68"/>
        <v>-1.94825386904463</v>
      </c>
      <c r="I346">
        <f t="shared" si="69"/>
        <v>2.5742512824756898</v>
      </c>
      <c r="J346">
        <f t="shared" si="70"/>
        <v>-1.9510925554910099</v>
      </c>
      <c r="K346" s="8">
        <f t="shared" si="71"/>
        <v>-2.2903572039822999E-5</v>
      </c>
      <c r="L346" s="8">
        <f t="shared" si="72"/>
        <v>2.8386864463798601E-3</v>
      </c>
      <c r="M346" s="8">
        <f t="shared" si="73"/>
        <v>0.24672865579456099</v>
      </c>
      <c r="N346" s="8">
        <f t="shared" si="74"/>
        <v>0.18700211856711699</v>
      </c>
      <c r="O346">
        <v>7.5472661707066999E-2</v>
      </c>
      <c r="P346">
        <v>-0.11953320358626</v>
      </c>
      <c r="Q346">
        <v>7.9199449207062005E-3</v>
      </c>
      <c r="R346">
        <v>-0.16178773910689001</v>
      </c>
      <c r="S346">
        <f t="shared" si="75"/>
        <v>1.1458315469300213</v>
      </c>
      <c r="T346">
        <f t="shared" si="76"/>
        <v>-29.46556245800258</v>
      </c>
      <c r="U346" s="9">
        <f t="shared" si="77"/>
        <v>0.99761996556553023</v>
      </c>
      <c r="V346" s="9">
        <f t="shared" si="78"/>
        <v>-0.56363493348538651</v>
      </c>
    </row>
    <row r="347" spans="1:22" x14ac:dyDescent="0.25">
      <c r="A347">
        <v>3.8</v>
      </c>
      <c r="B347">
        <v>15.9</v>
      </c>
      <c r="C347">
        <v>-0.12637948767976001</v>
      </c>
      <c r="D347">
        <v>-6.5273303520300002E-2</v>
      </c>
      <c r="E347">
        <v>0.87364214969651999</v>
      </c>
      <c r="F347">
        <v>-7.1048131811815005E-2</v>
      </c>
      <c r="G347">
        <f t="shared" si="67"/>
        <v>2.5649706615526102</v>
      </c>
      <c r="H347">
        <f t="shared" si="68"/>
        <v>-1.65174501347696</v>
      </c>
      <c r="I347">
        <f t="shared" si="69"/>
        <v>2.5649898169440699</v>
      </c>
      <c r="J347">
        <f t="shared" si="70"/>
        <v>-1.6546323410760699</v>
      </c>
      <c r="K347" s="8">
        <f t="shared" si="71"/>
        <v>-1.9155391459690901E-5</v>
      </c>
      <c r="L347" s="8">
        <f t="shared" si="72"/>
        <v>2.88732759910992E-3</v>
      </c>
      <c r="M347" s="8">
        <f t="shared" si="73"/>
        <v>0.27530267927359903</v>
      </c>
      <c r="N347" s="8">
        <f t="shared" si="74"/>
        <v>0.17759318719389799</v>
      </c>
      <c r="O347">
        <v>6.9912809772762999E-2</v>
      </c>
      <c r="P347">
        <v>-0.13025109024014001</v>
      </c>
      <c r="Q347">
        <v>-3.6589410936042001E-3</v>
      </c>
      <c r="R347">
        <v>-0.16899102213052999</v>
      </c>
      <c r="S347">
        <f t="shared" si="75"/>
        <v>1.1434269082996928</v>
      </c>
      <c r="T347">
        <f t="shared" si="76"/>
        <v>-29.465219447020747</v>
      </c>
      <c r="U347" s="9">
        <f t="shared" si="77"/>
        <v>0.99552973051085947</v>
      </c>
      <c r="V347" s="9">
        <f t="shared" si="78"/>
        <v>-0.56244613101413521</v>
      </c>
    </row>
    <row r="348" spans="1:22" x14ac:dyDescent="0.25">
      <c r="A348">
        <v>3.8</v>
      </c>
      <c r="B348">
        <v>16</v>
      </c>
      <c r="C348">
        <v>-0.13638056943474</v>
      </c>
      <c r="D348">
        <v>-5.8019132935893003E-2</v>
      </c>
      <c r="E348">
        <v>0.86363726529746998</v>
      </c>
      <c r="F348">
        <v>-6.3896621525941999E-2</v>
      </c>
      <c r="G348">
        <f t="shared" si="67"/>
        <v>2.5558577647509799</v>
      </c>
      <c r="H348">
        <f t="shared" si="68"/>
        <v>-1.36449738076754</v>
      </c>
      <c r="I348">
        <f t="shared" si="69"/>
        <v>2.5558753179499898</v>
      </c>
      <c r="J348">
        <f t="shared" si="70"/>
        <v>-1.36743604727304</v>
      </c>
      <c r="K348" s="8">
        <f t="shared" si="71"/>
        <v>-1.7553199009867599E-5</v>
      </c>
      <c r="L348" s="8">
        <f t="shared" si="72"/>
        <v>2.9386665055000098E-3</v>
      </c>
      <c r="M348" s="8">
        <f t="shared" si="73"/>
        <v>0.30418468609244498</v>
      </c>
      <c r="N348" s="8">
        <f t="shared" si="74"/>
        <v>0.162743895161862</v>
      </c>
      <c r="O348">
        <v>6.2492043058538997E-2</v>
      </c>
      <c r="P348">
        <v>-0.14059127748358999</v>
      </c>
      <c r="Q348">
        <v>-1.6826484414147001E-2</v>
      </c>
      <c r="R348">
        <v>-0.17474155836436001</v>
      </c>
      <c r="S348">
        <f t="shared" si="75"/>
        <v>1.1410130653921986</v>
      </c>
      <c r="T348">
        <f t="shared" si="76"/>
        <v>-29.465136990577019</v>
      </c>
      <c r="U348" s="9">
        <f t="shared" si="77"/>
        <v>0.99342891515916354</v>
      </c>
      <c r="V348" s="9">
        <f t="shared" si="78"/>
        <v>-0.56125734375720127</v>
      </c>
    </row>
    <row r="349" spans="1:22" x14ac:dyDescent="0.25">
      <c r="A349">
        <v>3.8</v>
      </c>
      <c r="B349">
        <v>16.100000000000001</v>
      </c>
      <c r="C349">
        <v>-0.14556222479965999</v>
      </c>
      <c r="D349">
        <v>-4.8965227023200997E-2</v>
      </c>
      <c r="E349">
        <v>0.85445170210038002</v>
      </c>
      <c r="F349">
        <v>-5.4948593414138998E-2</v>
      </c>
      <c r="G349">
        <f t="shared" si="67"/>
        <v>2.5468845164988201</v>
      </c>
      <c r="H349">
        <f t="shared" si="68"/>
        <v>-1.0861125497884301</v>
      </c>
      <c r="I349">
        <f t="shared" si="69"/>
        <v>2.54690042980162</v>
      </c>
      <c r="J349">
        <f t="shared" si="70"/>
        <v>-1.08910416454438</v>
      </c>
      <c r="K349" s="8">
        <f t="shared" si="71"/>
        <v>-1.59133027999303E-5</v>
      </c>
      <c r="L349" s="8">
        <f t="shared" si="72"/>
        <v>2.99161475594989E-3</v>
      </c>
      <c r="M349" s="8">
        <f t="shared" si="73"/>
        <v>0.331936703550606</v>
      </c>
      <c r="N349" s="8">
        <f t="shared" si="74"/>
        <v>0.14194259106951301</v>
      </c>
      <c r="O349">
        <v>5.3214908582594998E-2</v>
      </c>
      <c r="P349">
        <v>-0.15009531456447001</v>
      </c>
      <c r="Q349">
        <v>-3.1310784365803999E-2</v>
      </c>
      <c r="R349">
        <v>-0.17859538948945999</v>
      </c>
      <c r="S349">
        <f t="shared" si="75"/>
        <v>1.1385855306271571</v>
      </c>
      <c r="T349">
        <f t="shared" si="76"/>
        <v>-29.465352193644929</v>
      </c>
      <c r="U349" s="9">
        <f t="shared" si="77"/>
        <v>0.99131326587958168</v>
      </c>
      <c r="V349" s="9">
        <f t="shared" si="78"/>
        <v>-0.56006697764167701</v>
      </c>
    </row>
    <row r="350" spans="1:22" x14ac:dyDescent="0.25">
      <c r="A350">
        <v>3.8</v>
      </c>
      <c r="B350">
        <v>16.2</v>
      </c>
      <c r="C350">
        <v>-0.15346254212030999</v>
      </c>
      <c r="D350">
        <v>-3.8265122041746001E-2</v>
      </c>
      <c r="E350">
        <v>0.84653930592671001</v>
      </c>
      <c r="F350">
        <v>-4.4357565997200997E-2</v>
      </c>
      <c r="G350">
        <f t="shared" si="67"/>
        <v>2.53798513089485</v>
      </c>
      <c r="H350">
        <f t="shared" si="68"/>
        <v>-0.81629351171765097</v>
      </c>
      <c r="I350">
        <f t="shared" si="69"/>
        <v>2.53799533427402</v>
      </c>
      <c r="J350">
        <f t="shared" si="70"/>
        <v>-0.819339699798872</v>
      </c>
      <c r="K350" s="8">
        <f t="shared" si="71"/>
        <v>-1.02033791700151E-5</v>
      </c>
      <c r="L350" s="8">
        <f t="shared" si="72"/>
        <v>3.0461880812210399E-3</v>
      </c>
      <c r="M350" s="8">
        <f t="shared" si="73"/>
        <v>0.356823966250985</v>
      </c>
      <c r="N350" s="8">
        <f t="shared" si="74"/>
        <v>0.115193293478907</v>
      </c>
      <c r="O350">
        <v>4.2236471378146997E-2</v>
      </c>
      <c r="P350">
        <v>-0.15828621124833001</v>
      </c>
      <c r="Q350">
        <v>-4.6682003455905001E-2</v>
      </c>
      <c r="R350">
        <v>-0.18018169869749001</v>
      </c>
      <c r="S350">
        <f t="shared" si="75"/>
        <v>1.1361598708848037</v>
      </c>
      <c r="T350">
        <f t="shared" si="76"/>
        <v>-29.465467145931367</v>
      </c>
      <c r="U350" s="9">
        <f t="shared" si="77"/>
        <v>0.98920023591728534</v>
      </c>
      <c r="V350" s="9">
        <f t="shared" si="78"/>
        <v>-0.55887578715682507</v>
      </c>
    </row>
    <row r="351" spans="1:22" x14ac:dyDescent="0.25">
      <c r="A351">
        <v>3.8</v>
      </c>
      <c r="B351">
        <v>16.3</v>
      </c>
      <c r="C351">
        <v>-0.15966661873581001</v>
      </c>
      <c r="D351">
        <v>-2.6226514784065E-2</v>
      </c>
      <c r="E351">
        <v>0.84032811989478995</v>
      </c>
      <c r="F351">
        <v>-3.2426543290615999E-2</v>
      </c>
      <c r="G351">
        <f t="shared" si="67"/>
        <v>2.5292775284949198</v>
      </c>
      <c r="H351">
        <f t="shared" si="68"/>
        <v>-0.55483952398686198</v>
      </c>
      <c r="I351">
        <f t="shared" si="69"/>
        <v>2.52928450787515</v>
      </c>
      <c r="J351">
        <f t="shared" si="70"/>
        <v>-0.55793952475908304</v>
      </c>
      <c r="K351" s="8">
        <f t="shared" si="71"/>
        <v>-6.9793802301987301E-6</v>
      </c>
      <c r="L351" s="8">
        <f t="shared" si="72"/>
        <v>3.10000077222106E-3</v>
      </c>
      <c r="M351" s="8">
        <f t="shared" si="73"/>
        <v>0.377022525859601</v>
      </c>
      <c r="N351" s="8">
        <f t="shared" si="74"/>
        <v>8.3168092892125706E-2</v>
      </c>
      <c r="O351">
        <v>2.9873298150830001E-2</v>
      </c>
      <c r="P351">
        <v>-0.16473516539161001</v>
      </c>
      <c r="Q351">
        <v>-6.2382965923879E-2</v>
      </c>
      <c r="R351">
        <v>-0.17926716331744</v>
      </c>
      <c r="S351">
        <f t="shared" si="75"/>
        <v>1.1337308189711512</v>
      </c>
      <c r="T351">
        <f t="shared" si="76"/>
        <v>-29.465722806828911</v>
      </c>
      <c r="U351" s="9">
        <f t="shared" si="77"/>
        <v>0.98708288776364794</v>
      </c>
      <c r="V351" s="9">
        <f t="shared" si="78"/>
        <v>-0.55768534369227862</v>
      </c>
    </row>
    <row r="352" spans="1:22" x14ac:dyDescent="0.25">
      <c r="A352">
        <v>3.8</v>
      </c>
      <c r="B352">
        <v>16.399999999999999</v>
      </c>
      <c r="C352">
        <v>-0.16386841770652999</v>
      </c>
      <c r="D352">
        <v>-1.3288187370249E-2</v>
      </c>
      <c r="E352">
        <v>0.83611837511178999</v>
      </c>
      <c r="F352">
        <v>-1.9594775080869001E-2</v>
      </c>
      <c r="G352">
        <f t="shared" si="67"/>
        <v>2.52069763996098</v>
      </c>
      <c r="H352">
        <f t="shared" si="68"/>
        <v>-0.30148827263141598</v>
      </c>
      <c r="I352">
        <f t="shared" si="69"/>
        <v>2.5207009796867799</v>
      </c>
      <c r="J352">
        <f t="shared" si="70"/>
        <v>-0.304641576778719</v>
      </c>
      <c r="K352" s="8">
        <f t="shared" si="71"/>
        <v>-3.3397257999112601E-6</v>
      </c>
      <c r="L352" s="8">
        <f t="shared" si="72"/>
        <v>3.15330414730303E-3</v>
      </c>
      <c r="M352" s="8">
        <f t="shared" si="73"/>
        <v>0.39100398205020198</v>
      </c>
      <c r="N352" s="8">
        <f t="shared" si="74"/>
        <v>4.7255136796643199E-2</v>
      </c>
      <c r="O352">
        <v>1.6576011293504E-2</v>
      </c>
      <c r="P352">
        <v>-0.16912493266511</v>
      </c>
      <c r="Q352">
        <v>-7.7790429679770998E-2</v>
      </c>
      <c r="R352">
        <v>-0.17580635647501</v>
      </c>
      <c r="S352">
        <f t="shared" si="75"/>
        <v>1.1313000979635368</v>
      </c>
      <c r="T352">
        <f t="shared" si="76"/>
        <v>-29.466038824506942</v>
      </c>
      <c r="U352" s="9">
        <f t="shared" si="77"/>
        <v>0.98496351083529732</v>
      </c>
      <c r="V352" s="9">
        <f t="shared" si="78"/>
        <v>-0.55649509788974172</v>
      </c>
    </row>
    <row r="353" spans="1:22" x14ac:dyDescent="0.25">
      <c r="A353">
        <v>3.8</v>
      </c>
      <c r="B353">
        <v>16.5</v>
      </c>
      <c r="C353">
        <v>-0.16591867171972999</v>
      </c>
      <c r="D353" s="5">
        <v>3.1001293369065E-5</v>
      </c>
      <c r="E353">
        <v>0.83406156881580995</v>
      </c>
      <c r="F353">
        <v>-6.3887102828315001E-3</v>
      </c>
      <c r="G353">
        <f t="shared" si="67"/>
        <v>2.5122393878410101</v>
      </c>
      <c r="H353">
        <f t="shared" si="68"/>
        <v>-5.6103457964842403E-2</v>
      </c>
      <c r="I353">
        <f t="shared" si="69"/>
        <v>2.5122398113845801</v>
      </c>
      <c r="J353">
        <f t="shared" si="70"/>
        <v>-5.9313344106244503E-2</v>
      </c>
      <c r="K353" s="8">
        <f t="shared" si="71"/>
        <v>-4.2354356999396698E-7</v>
      </c>
      <c r="L353" s="8">
        <f t="shared" si="72"/>
        <v>3.2098861414021E-3</v>
      </c>
      <c r="M353" s="8">
        <f t="shared" si="73"/>
        <v>0.39782941337993599</v>
      </c>
      <c r="N353" s="8">
        <f t="shared" si="74"/>
        <v>9.3926514437268696E-3</v>
      </c>
      <c r="O353">
        <v>2.8781732098966E-3</v>
      </c>
      <c r="P353">
        <v>-0.17130078290329001</v>
      </c>
      <c r="Q353">
        <v>-9.2294942272837993E-2</v>
      </c>
      <c r="R353">
        <v>-0.16995859483358</v>
      </c>
      <c r="S353">
        <f t="shared" si="75"/>
        <v>1.128859809177337</v>
      </c>
      <c r="T353">
        <f t="shared" si="76"/>
        <v>-29.466479004973962</v>
      </c>
      <c r="U353" s="9">
        <f t="shared" si="77"/>
        <v>0.98283461356583479</v>
      </c>
      <c r="V353" s="9">
        <f t="shared" si="78"/>
        <v>-0.55530225206889794</v>
      </c>
    </row>
    <row r="354" spans="1:22" x14ac:dyDescent="0.25">
      <c r="A354">
        <v>3.8</v>
      </c>
      <c r="B354">
        <v>16.600000000000001</v>
      </c>
      <c r="C354">
        <v>-0.16584181236494</v>
      </c>
      <c r="D354">
        <v>1.3200172128861E-2</v>
      </c>
      <c r="E354">
        <v>0.83413066418503001</v>
      </c>
      <c r="F354">
        <v>6.6681306624786999E-3</v>
      </c>
      <c r="G354">
        <f t="shared" si="67"/>
        <v>2.5038959046573299</v>
      </c>
      <c r="H354">
        <f t="shared" si="68"/>
        <v>0.18155548841031599</v>
      </c>
      <c r="I354">
        <f t="shared" si="69"/>
        <v>2.5038928099609699</v>
      </c>
      <c r="J354">
        <f t="shared" si="70"/>
        <v>0.17828941262294501</v>
      </c>
      <c r="K354" s="8">
        <f t="shared" si="71"/>
        <v>3.0946963600619898E-6</v>
      </c>
      <c r="L354" s="8">
        <f t="shared" si="72"/>
        <v>3.2660757873709798E-3</v>
      </c>
      <c r="M354" s="8">
        <f t="shared" si="73"/>
        <v>0.39736343195628598</v>
      </c>
      <c r="N354" s="8">
        <f t="shared" si="74"/>
        <v>-2.82942195446571E-2</v>
      </c>
      <c r="O354">
        <v>-1.0673169292629001E-2</v>
      </c>
      <c r="P354">
        <v>-0.17128517350137001</v>
      </c>
      <c r="Q354">
        <v>-0.10537772956851001</v>
      </c>
      <c r="R354">
        <v>-0.16206533847556001</v>
      </c>
      <c r="S354">
        <f t="shared" si="75"/>
        <v>1.1264143463208327</v>
      </c>
      <c r="T354">
        <f t="shared" si="76"/>
        <v>-29.467009367264769</v>
      </c>
      <c r="U354" s="9">
        <f t="shared" si="77"/>
        <v>0.98070035778249165</v>
      </c>
      <c r="V354" s="9">
        <f t="shared" si="78"/>
        <v>-0.55410837192978935</v>
      </c>
    </row>
    <row r="355" spans="1:22" x14ac:dyDescent="0.25">
      <c r="A355">
        <v>3.8</v>
      </c>
      <c r="B355">
        <v>16.7</v>
      </c>
      <c r="C355">
        <v>-0.16382186106600999</v>
      </c>
      <c r="D355">
        <v>2.5745395891567002E-2</v>
      </c>
      <c r="E355">
        <v>0.83614430827274</v>
      </c>
      <c r="F355">
        <v>1.9101904045650001E-2</v>
      </c>
      <c r="G355">
        <f t="shared" si="67"/>
        <v>2.49566935828617</v>
      </c>
      <c r="H355">
        <f t="shared" si="68"/>
        <v>0.41166015917362703</v>
      </c>
      <c r="I355">
        <f t="shared" si="69"/>
        <v>2.4956634771035802</v>
      </c>
      <c r="J355">
        <f t="shared" si="70"/>
        <v>0.40833833752516302</v>
      </c>
      <c r="K355" s="8">
        <f t="shared" si="71"/>
        <v>5.8811825898175104E-6</v>
      </c>
      <c r="L355" s="8">
        <f t="shared" si="72"/>
        <v>3.3218216484640099E-3</v>
      </c>
      <c r="M355" s="8">
        <f t="shared" si="73"/>
        <v>0.39024764136643297</v>
      </c>
      <c r="N355" s="8">
        <f t="shared" si="74"/>
        <v>-6.3851987481752706E-2</v>
      </c>
      <c r="O355">
        <v>-2.3588809372956002E-2</v>
      </c>
      <c r="P355">
        <v>-0.16926279427772001</v>
      </c>
      <c r="Q355">
        <v>-0.11667275140331999</v>
      </c>
      <c r="R355">
        <v>-0.15259447083669</v>
      </c>
      <c r="S355">
        <f t="shared" si="75"/>
        <v>1.1239852688826422</v>
      </c>
      <c r="T355">
        <f t="shared" si="76"/>
        <v>-29.467538074577384</v>
      </c>
      <c r="U355" s="9">
        <f t="shared" si="77"/>
        <v>0.97858040586810091</v>
      </c>
      <c r="V355" s="9">
        <f t="shared" si="78"/>
        <v>-0.5529224845457168</v>
      </c>
    </row>
    <row r="356" spans="1:22" x14ac:dyDescent="0.25">
      <c r="A356">
        <v>3.8</v>
      </c>
      <c r="B356">
        <v>16.8</v>
      </c>
      <c r="C356">
        <v>-0.16015869467848001</v>
      </c>
      <c r="D356">
        <v>3.7298089557825001E-2</v>
      </c>
      <c r="E356">
        <v>0.83980187539179996</v>
      </c>
      <c r="F356">
        <v>3.0540311464542998E-2</v>
      </c>
      <c r="G356">
        <f t="shared" si="67"/>
        <v>2.4875561872154699</v>
      </c>
      <c r="H356">
        <f t="shared" si="68"/>
        <v>0.63433016326719804</v>
      </c>
      <c r="I356">
        <f t="shared" si="69"/>
        <v>2.4875478892980398</v>
      </c>
      <c r="J356">
        <f t="shared" si="70"/>
        <v>0.63095117956627</v>
      </c>
      <c r="K356" s="8">
        <f t="shared" si="71"/>
        <v>8.2979174300668001E-6</v>
      </c>
      <c r="L356" s="8">
        <f t="shared" si="72"/>
        <v>3.3789837009280399E-3</v>
      </c>
      <c r="M356" s="8">
        <f t="shared" si="73"/>
        <v>0.37770273247793101</v>
      </c>
      <c r="N356" s="8">
        <f t="shared" si="74"/>
        <v>-9.5801968519931904E-2</v>
      </c>
      <c r="O356">
        <v>-3.5487336046154998E-2</v>
      </c>
      <c r="P356">
        <v>-0.16554294810698</v>
      </c>
      <c r="Q356">
        <v>-0.12598865189363001</v>
      </c>
      <c r="R356">
        <v>-0.14206645854475</v>
      </c>
      <c r="S356">
        <f t="shared" si="75"/>
        <v>1.1215583246852932</v>
      </c>
      <c r="T356">
        <f t="shared" si="76"/>
        <v>-29.468201811964509</v>
      </c>
      <c r="U356" s="9">
        <f t="shared" si="77"/>
        <v>0.97646103289344521</v>
      </c>
      <c r="V356" s="9">
        <f t="shared" si="78"/>
        <v>-0.55173990875370571</v>
      </c>
    </row>
    <row r="357" spans="1:22" x14ac:dyDescent="0.25">
      <c r="A357">
        <v>3.8</v>
      </c>
      <c r="B357">
        <v>16.899999999999999</v>
      </c>
      <c r="C357">
        <v>-0.15521464208878999</v>
      </c>
      <c r="D357">
        <v>4.76178221439E-2</v>
      </c>
      <c r="E357">
        <v>0.84474056860834001</v>
      </c>
      <c r="F357">
        <v>4.0741052649218998E-2</v>
      </c>
      <c r="G357">
        <f t="shared" si="67"/>
        <v>2.4795617137018802</v>
      </c>
      <c r="H357">
        <f t="shared" si="68"/>
        <v>0.84968136834379004</v>
      </c>
      <c r="I357">
        <f t="shared" si="69"/>
        <v>2.4795511416931202</v>
      </c>
      <c r="J357">
        <f t="shared" si="70"/>
        <v>0.84624287024185096</v>
      </c>
      <c r="K357" s="8">
        <f t="shared" si="71"/>
        <v>1.05720087599792E-5</v>
      </c>
      <c r="L357" s="8">
        <f t="shared" si="72"/>
        <v>3.4384981019390799E-3</v>
      </c>
      <c r="M357" s="8">
        <f t="shared" si="73"/>
        <v>0.361224135184398</v>
      </c>
      <c r="N357" s="8">
        <f t="shared" si="74"/>
        <v>-0.123281727817215</v>
      </c>
      <c r="O357">
        <v>-4.6118661693332001E-2</v>
      </c>
      <c r="P357">
        <v>-0.16049551504899001</v>
      </c>
      <c r="Q357">
        <v>-0.13330044772114999</v>
      </c>
      <c r="R357">
        <v>-0.13098872257963001</v>
      </c>
      <c r="S357">
        <f t="shared" si="75"/>
        <v>1.1191540888678733</v>
      </c>
      <c r="T357">
        <f t="shared" si="76"/>
        <v>-29.469055152877722</v>
      </c>
      <c r="U357" s="9">
        <f t="shared" si="77"/>
        <v>0.97435963594086228</v>
      </c>
      <c r="V357" s="9">
        <f t="shared" si="78"/>
        <v>-0.55057167969199972</v>
      </c>
    </row>
    <row r="358" spans="1:22" x14ac:dyDescent="0.25">
      <c r="A358">
        <v>3.8</v>
      </c>
      <c r="B358">
        <v>17</v>
      </c>
      <c r="C358">
        <v>-0.14936260594138001</v>
      </c>
      <c r="D358">
        <v>5.6589958145189002E-2</v>
      </c>
      <c r="E358">
        <v>0.85058756943138003</v>
      </c>
      <c r="F358">
        <v>4.9594950597798997E-2</v>
      </c>
      <c r="G358">
        <f t="shared" si="67"/>
        <v>2.4716575678668602</v>
      </c>
      <c r="H358">
        <f t="shared" si="68"/>
        <v>1.05787625769806</v>
      </c>
      <c r="I358">
        <f t="shared" si="69"/>
        <v>2.4716448882298598</v>
      </c>
      <c r="J358">
        <f t="shared" si="70"/>
        <v>1.0543786224431</v>
      </c>
      <c r="K358" s="8">
        <f t="shared" si="71"/>
        <v>1.26796370003568E-5</v>
      </c>
      <c r="L358" s="8">
        <f t="shared" si="72"/>
        <v>3.4976352549600498E-3</v>
      </c>
      <c r="M358" s="8">
        <f t="shared" si="73"/>
        <v>0.342297874281218</v>
      </c>
      <c r="N358" s="8">
        <f t="shared" si="74"/>
        <v>-0.14602079888924099</v>
      </c>
      <c r="O358">
        <v>-5.5363618513738E-2</v>
      </c>
      <c r="P358">
        <v>-0.15450625598278001</v>
      </c>
      <c r="Q358">
        <v>-0.13871580795258001</v>
      </c>
      <c r="R358">
        <v>-0.11980438984421</v>
      </c>
      <c r="S358">
        <f t="shared" si="75"/>
        <v>1.1167636358363349</v>
      </c>
      <c r="T358">
        <f t="shared" si="76"/>
        <v>-29.469955961718878</v>
      </c>
      <c r="U358" s="9">
        <f t="shared" si="77"/>
        <v>0.97226981832159287</v>
      </c>
      <c r="V358" s="9">
        <f t="shared" si="78"/>
        <v>-0.54941097432367214</v>
      </c>
    </row>
    <row r="359" spans="1:22" x14ac:dyDescent="0.25">
      <c r="A359">
        <v>4</v>
      </c>
      <c r="B359">
        <v>15</v>
      </c>
      <c r="C359">
        <v>-5.3260019443682E-2</v>
      </c>
      <c r="D359">
        <v>-7.6880006632673997E-2</v>
      </c>
      <c r="E359">
        <v>0.94678185133609005</v>
      </c>
      <c r="F359">
        <v>-8.2136741749237005E-2</v>
      </c>
      <c r="G359">
        <f t="shared" si="67"/>
        <v>2.4073250271947102</v>
      </c>
      <c r="H359">
        <f t="shared" si="68"/>
        <v>-4.3405673595513399</v>
      </c>
      <c r="I359">
        <f t="shared" si="69"/>
        <v>2.40735286998075</v>
      </c>
      <c r="J359">
        <f t="shared" si="70"/>
        <v>-4.3431955989053401</v>
      </c>
      <c r="K359" s="8">
        <f t="shared" si="71"/>
        <v>-2.78427860398445E-5</v>
      </c>
      <c r="L359" s="8">
        <f t="shared" si="72"/>
        <v>2.6282393540002502E-3</v>
      </c>
      <c r="M359" s="8">
        <f t="shared" si="73"/>
        <v>9.7626933903217403E-2</v>
      </c>
      <c r="N359" s="8">
        <f t="shared" si="74"/>
        <v>0.17613241288821399</v>
      </c>
      <c r="O359">
        <v>7.7637913114790999E-2</v>
      </c>
      <c r="P359">
        <v>-5.2368150056016999E-2</v>
      </c>
      <c r="Q359">
        <v>4.8745502015531003E-2</v>
      </c>
      <c r="R359">
        <v>-9.7558868649775005E-2</v>
      </c>
      <c r="S359">
        <f t="shared" si="75"/>
        <v>1.1645546008115422</v>
      </c>
      <c r="T359">
        <f t="shared" si="76"/>
        <v>-29.450530258807873</v>
      </c>
      <c r="U359" s="9">
        <f t="shared" si="77"/>
        <v>1.0140714781348226</v>
      </c>
      <c r="V359" s="9">
        <f t="shared" si="78"/>
        <v>-0.57257877668036761</v>
      </c>
    </row>
    <row r="360" spans="1:22" x14ac:dyDescent="0.25">
      <c r="A360">
        <v>4</v>
      </c>
      <c r="B360" s="1">
        <v>15.1</v>
      </c>
      <c r="C360">
        <v>-5.9499010446007E-2</v>
      </c>
      <c r="D360">
        <v>-7.9313382906469998E-2</v>
      </c>
      <c r="E360">
        <v>0.94054157919990999</v>
      </c>
      <c r="F360">
        <v>-8.4662440549102005E-2</v>
      </c>
      <c r="G360">
        <f t="shared" si="67"/>
        <v>2.3986339506329699</v>
      </c>
      <c r="H360">
        <f t="shared" si="68"/>
        <v>-3.9942781577740201</v>
      </c>
      <c r="I360">
        <f t="shared" si="69"/>
        <v>2.3986613976618099</v>
      </c>
      <c r="J360">
        <f t="shared" si="70"/>
        <v>-3.99695255891096</v>
      </c>
      <c r="K360" s="8">
        <f t="shared" si="71"/>
        <v>-2.74470288399442E-5</v>
      </c>
      <c r="L360" s="8">
        <f t="shared" si="72"/>
        <v>2.6744011369399501E-3</v>
      </c>
      <c r="M360" s="8">
        <f t="shared" si="73"/>
        <v>0.110388818123001</v>
      </c>
      <c r="N360" s="8">
        <f t="shared" si="74"/>
        <v>0.183943790274851</v>
      </c>
      <c r="O360">
        <v>8.0071971391477995E-2</v>
      </c>
      <c r="P360">
        <v>-5.8511606068335997E-2</v>
      </c>
      <c r="Q360">
        <v>4.7597280001786001E-2</v>
      </c>
      <c r="R360">
        <v>-0.10495580782248</v>
      </c>
      <c r="S360">
        <f t="shared" si="75"/>
        <v>1.1620612148187226</v>
      </c>
      <c r="T360">
        <f t="shared" si="76"/>
        <v>-29.448782256177335</v>
      </c>
      <c r="U360" s="9">
        <f t="shared" si="77"/>
        <v>1.0119177167374926</v>
      </c>
      <c r="V360" s="9">
        <f t="shared" si="78"/>
        <v>-0.57132197711863408</v>
      </c>
    </row>
    <row r="361" spans="1:22" x14ac:dyDescent="0.25">
      <c r="A361">
        <v>4</v>
      </c>
      <c r="B361" s="1">
        <v>15.2</v>
      </c>
      <c r="C361">
        <v>-6.6464095825575997E-2</v>
      </c>
      <c r="D361">
        <v>-8.1418600473673997E-2</v>
      </c>
      <c r="E361">
        <v>0.93357633140156004</v>
      </c>
      <c r="F361">
        <v>-8.6865209368162999E-2</v>
      </c>
      <c r="G361">
        <f t="shared" si="67"/>
        <v>2.3901952936840001</v>
      </c>
      <c r="H361">
        <f t="shared" si="68"/>
        <v>-3.6586849347368999</v>
      </c>
      <c r="I361">
        <f t="shared" si="69"/>
        <v>2.3902229227713798</v>
      </c>
      <c r="J361">
        <f t="shared" si="70"/>
        <v>-3.66140810889654</v>
      </c>
      <c r="K361" s="8">
        <f t="shared" si="71"/>
        <v>-2.76290873797436E-5</v>
      </c>
      <c r="L361" s="8">
        <f t="shared" si="72"/>
        <v>2.7231741596400699E-3</v>
      </c>
      <c r="M361" s="8">
        <f t="shared" si="73"/>
        <v>0.12501770758876601</v>
      </c>
      <c r="N361" s="8">
        <f t="shared" si="74"/>
        <v>0.191505505181262</v>
      </c>
      <c r="O361">
        <v>8.2180425831461998E-2</v>
      </c>
      <c r="P361">
        <v>-6.5365938804068005E-2</v>
      </c>
      <c r="Q361">
        <v>4.5724244104700003E-2</v>
      </c>
      <c r="R361">
        <v>-0.1128663929237</v>
      </c>
      <c r="S361">
        <f t="shared" si="75"/>
        <v>1.1597068451238275</v>
      </c>
      <c r="T361">
        <f t="shared" si="76"/>
        <v>-29.447647777816524</v>
      </c>
      <c r="U361" s="9">
        <f t="shared" si="77"/>
        <v>1.0098788313970841</v>
      </c>
      <c r="V361" s="9">
        <f t="shared" si="78"/>
        <v>-0.57014446636192218</v>
      </c>
    </row>
    <row r="362" spans="1:22" x14ac:dyDescent="0.25">
      <c r="A362">
        <v>4</v>
      </c>
      <c r="B362" s="1">
        <v>15.3</v>
      </c>
      <c r="C362">
        <v>-7.4197639001324006E-2</v>
      </c>
      <c r="D362">
        <v>-8.3057320038131002E-2</v>
      </c>
      <c r="E362">
        <v>0.92583533402844997</v>
      </c>
      <c r="F362">
        <v>-8.8599080799496993E-2</v>
      </c>
      <c r="G362">
        <f t="shared" si="67"/>
        <v>2.38208009764652</v>
      </c>
      <c r="H362">
        <f t="shared" si="68"/>
        <v>-3.3332188506395299</v>
      </c>
      <c r="I362">
        <f t="shared" si="69"/>
        <v>2.3821042612290202</v>
      </c>
      <c r="J362">
        <f t="shared" si="70"/>
        <v>-3.33598961838551</v>
      </c>
      <c r="K362" s="8">
        <f t="shared" si="71"/>
        <v>-2.4163582500236199E-5</v>
      </c>
      <c r="L362" s="8">
        <f t="shared" si="72"/>
        <v>2.7707677459800602E-3</v>
      </c>
      <c r="M362" s="8">
        <f t="shared" si="73"/>
        <v>0.14176451718500699</v>
      </c>
      <c r="N362" s="8">
        <f t="shared" si="74"/>
        <v>0.198532434235526</v>
      </c>
      <c r="O362">
        <v>8.3833074730055995E-2</v>
      </c>
      <c r="P362">
        <v>-7.2978465901892997E-2</v>
      </c>
      <c r="Q362">
        <v>4.2968492534177997E-2</v>
      </c>
      <c r="R362">
        <v>-0.12125118355253001</v>
      </c>
      <c r="S362">
        <f t="shared" si="75"/>
        <v>1.1573736819302216</v>
      </c>
      <c r="T362">
        <f t="shared" si="76"/>
        <v>-29.446641329177599</v>
      </c>
      <c r="U362" s="9">
        <f t="shared" si="77"/>
        <v>1.0078570953578514</v>
      </c>
      <c r="V362" s="9">
        <f t="shared" si="78"/>
        <v>-0.56897971401584468</v>
      </c>
    </row>
    <row r="363" spans="1:22" x14ac:dyDescent="0.25">
      <c r="A363">
        <v>4</v>
      </c>
      <c r="B363" s="1">
        <v>15.4</v>
      </c>
      <c r="C363">
        <v>-8.2718662572968005E-2</v>
      </c>
      <c r="D363">
        <v>-8.4058301946859995E-2</v>
      </c>
      <c r="E363">
        <v>0.91731601494333004</v>
      </c>
      <c r="F363">
        <v>-8.9696445869192995E-2</v>
      </c>
      <c r="G363">
        <f t="shared" si="67"/>
        <v>2.3741184673546498</v>
      </c>
      <c r="H363">
        <f t="shared" si="68"/>
        <v>-3.0178525090341002</v>
      </c>
      <c r="I363">
        <f t="shared" si="69"/>
        <v>2.3741437525023601</v>
      </c>
      <c r="J363">
        <f t="shared" si="70"/>
        <v>-3.0206714608374798</v>
      </c>
      <c r="K363" s="8">
        <f t="shared" si="71"/>
        <v>-2.5285147710274499E-5</v>
      </c>
      <c r="L363" s="8">
        <f t="shared" si="72"/>
        <v>2.8189518033796498E-3</v>
      </c>
      <c r="M363" s="8">
        <f t="shared" si="73"/>
        <v>0.16083879135092699</v>
      </c>
      <c r="N363" s="8">
        <f t="shared" si="74"/>
        <v>0.20463847074013899</v>
      </c>
      <c r="O363">
        <v>8.4863194527898006E-2</v>
      </c>
      <c r="P363">
        <v>-8.1368292343366996E-2</v>
      </c>
      <c r="Q363">
        <v>3.9153650759126003E-2</v>
      </c>
      <c r="R363">
        <v>-0.13002731629653999</v>
      </c>
      <c r="S363">
        <f t="shared" si="75"/>
        <v>1.1550147101788111</v>
      </c>
      <c r="T363">
        <f t="shared" si="76"/>
        <v>-29.446398538343679</v>
      </c>
      <c r="U363" s="9">
        <f t="shared" si="77"/>
        <v>1.0058052760834841</v>
      </c>
      <c r="V363" s="9">
        <f t="shared" si="78"/>
        <v>-0.56781575121871131</v>
      </c>
    </row>
    <row r="364" spans="1:22" x14ac:dyDescent="0.25">
      <c r="A364">
        <v>4</v>
      </c>
      <c r="B364" s="1">
        <v>15.5</v>
      </c>
      <c r="C364">
        <v>-9.2011110818495001E-2</v>
      </c>
      <c r="D364">
        <v>-8.4220630664264995E-2</v>
      </c>
      <c r="E364">
        <v>0.90801787207634999</v>
      </c>
      <c r="F364">
        <v>-8.9965956104908998E-2</v>
      </c>
      <c r="G364">
        <f t="shared" si="67"/>
        <v>2.3661734135047698</v>
      </c>
      <c r="H364">
        <f t="shared" si="68"/>
        <v>-2.7119837812643</v>
      </c>
      <c r="I364">
        <f t="shared" si="69"/>
        <v>2.36619615650645</v>
      </c>
      <c r="J364">
        <f t="shared" si="70"/>
        <v>-2.7148563370241501</v>
      </c>
      <c r="K364" s="8">
        <f t="shared" si="71"/>
        <v>-2.27430016801478E-5</v>
      </c>
      <c r="L364" s="8">
        <f t="shared" si="72"/>
        <v>2.87255575985013E-3</v>
      </c>
      <c r="M364" s="8">
        <f t="shared" si="73"/>
        <v>0.18244553155739099</v>
      </c>
      <c r="N364" s="8">
        <f t="shared" si="74"/>
        <v>0.20932897137388001</v>
      </c>
      <c r="O364">
        <v>8.5072562770745999E-2</v>
      </c>
      <c r="P364">
        <v>-9.0522648742033002E-2</v>
      </c>
      <c r="Q364">
        <v>3.4097336127991998E-2</v>
      </c>
      <c r="R364">
        <v>-0.13906735840463999</v>
      </c>
      <c r="S364">
        <f t="shared" si="75"/>
        <v>1.1526438945733073</v>
      </c>
      <c r="T364">
        <f t="shared" si="76"/>
        <v>-29.445895883106925</v>
      </c>
      <c r="U364" s="9">
        <f t="shared" si="77"/>
        <v>1.0037457031270385</v>
      </c>
      <c r="V364" s="9">
        <f t="shared" si="78"/>
        <v>-0.56664143084593521</v>
      </c>
    </row>
    <row r="365" spans="1:22" x14ac:dyDescent="0.25">
      <c r="A365">
        <v>4</v>
      </c>
      <c r="B365">
        <v>15.6</v>
      </c>
      <c r="C365">
        <v>-0.10201052892317999</v>
      </c>
      <c r="D365">
        <v>-8.3318449021438007E-2</v>
      </c>
      <c r="E365">
        <v>0.89801506687165</v>
      </c>
      <c r="F365">
        <v>-8.9168744162996E-2</v>
      </c>
      <c r="G365">
        <f t="shared" si="67"/>
        <v>2.3584305726926802</v>
      </c>
      <c r="H365">
        <f t="shared" si="68"/>
        <v>-2.4154760838567499</v>
      </c>
      <c r="I365">
        <f t="shared" si="69"/>
        <v>2.35845192651291</v>
      </c>
      <c r="J365">
        <f t="shared" si="70"/>
        <v>-2.4184011315299898</v>
      </c>
      <c r="K365" s="8">
        <f t="shared" si="71"/>
        <v>-2.13538202298302E-5</v>
      </c>
      <c r="L365" s="8">
        <f t="shared" si="72"/>
        <v>2.9250476732398702E-3</v>
      </c>
      <c r="M365" s="8">
        <f t="shared" si="73"/>
        <v>0.20668305078375601</v>
      </c>
      <c r="N365" s="8">
        <f t="shared" si="74"/>
        <v>0.21193670231919901</v>
      </c>
      <c r="O365">
        <v>8.4239136006647994E-2</v>
      </c>
      <c r="P365">
        <v>-0.10037811016612</v>
      </c>
      <c r="Q365">
        <v>2.7619395114136001E-2</v>
      </c>
      <c r="R365">
        <v>-0.14817965374313999</v>
      </c>
      <c r="S365">
        <f t="shared" si="75"/>
        <v>1.1502550556233864</v>
      </c>
      <c r="T365">
        <f t="shared" si="76"/>
        <v>-29.445710675082381</v>
      </c>
      <c r="U365" s="9">
        <f t="shared" si="77"/>
        <v>1.0016672815351493</v>
      </c>
      <c r="V365" s="9">
        <f t="shared" si="78"/>
        <v>-0.56546383623459395</v>
      </c>
    </row>
    <row r="366" spans="1:22" x14ac:dyDescent="0.25">
      <c r="A366">
        <v>4</v>
      </c>
      <c r="B366">
        <v>15.7</v>
      </c>
      <c r="C366">
        <v>-0.11258556886023</v>
      </c>
      <c r="D366">
        <v>-8.1111815031026005E-2</v>
      </c>
      <c r="E366">
        <v>0.88743790843629999</v>
      </c>
      <c r="F366">
        <v>-8.7070862347731995E-2</v>
      </c>
      <c r="G366">
        <f t="shared" si="67"/>
        <v>2.3507943178057098</v>
      </c>
      <c r="H366">
        <f t="shared" si="68"/>
        <v>-2.1280281046863001</v>
      </c>
      <c r="I366">
        <f t="shared" si="69"/>
        <v>2.35081493348599</v>
      </c>
      <c r="J366">
        <f t="shared" si="70"/>
        <v>-2.1310075319452899</v>
      </c>
      <c r="K366" s="8">
        <f t="shared" si="71"/>
        <v>-2.0615680280222601E-5</v>
      </c>
      <c r="L366" s="8">
        <f t="shared" si="72"/>
        <v>2.9794272589898098E-3</v>
      </c>
      <c r="M366" s="8">
        <f t="shared" si="73"/>
        <v>0.233504776798031</v>
      </c>
      <c r="N366" s="8">
        <f t="shared" si="74"/>
        <v>0.21167146380337401</v>
      </c>
      <c r="O366">
        <v>8.2125183159105997E-2</v>
      </c>
      <c r="P366">
        <v>-0.11080664705300999</v>
      </c>
      <c r="Q366">
        <v>1.9564622958399999E-2</v>
      </c>
      <c r="R366">
        <v>-0.15710241990595999</v>
      </c>
      <c r="S366">
        <f t="shared" si="75"/>
        <v>1.1478604817474363</v>
      </c>
      <c r="T366">
        <f t="shared" si="76"/>
        <v>-29.445536033692523</v>
      </c>
      <c r="U366" s="9">
        <f t="shared" si="77"/>
        <v>0.99958375416579148</v>
      </c>
      <c r="V366" s="9">
        <f t="shared" si="78"/>
        <v>-0.56428362014618061</v>
      </c>
    </row>
    <row r="367" spans="1:22" x14ac:dyDescent="0.25">
      <c r="A367">
        <v>4</v>
      </c>
      <c r="B367">
        <v>15.8</v>
      </c>
      <c r="C367">
        <v>-0.12352509605154</v>
      </c>
      <c r="D367">
        <v>-7.7367293908163007E-2</v>
      </c>
      <c r="E367">
        <v>0.87649618541808005</v>
      </c>
      <c r="F367">
        <v>-8.3435581082095006E-2</v>
      </c>
      <c r="G367">
        <f t="shared" si="67"/>
        <v>2.3432969543617101</v>
      </c>
      <c r="H367">
        <f t="shared" si="68"/>
        <v>-1.8493267449639801</v>
      </c>
      <c r="I367">
        <f t="shared" si="69"/>
        <v>2.34331680063198</v>
      </c>
      <c r="J367">
        <f t="shared" si="70"/>
        <v>-1.8523607960499799</v>
      </c>
      <c r="K367" s="8">
        <f t="shared" si="71"/>
        <v>-1.9846270269852101E-5</v>
      </c>
      <c r="L367" s="8">
        <f t="shared" si="72"/>
        <v>3.0340510859998599E-3</v>
      </c>
      <c r="M367" s="8">
        <f t="shared" si="73"/>
        <v>0.26263377460525</v>
      </c>
      <c r="N367" s="8">
        <f t="shared" si="74"/>
        <v>0.207608509300231</v>
      </c>
      <c r="O367">
        <v>7.8500813390993004E-2</v>
      </c>
      <c r="P367">
        <v>-0.1216023801505</v>
      </c>
      <c r="Q367">
        <v>9.8297277227560008E-3</v>
      </c>
      <c r="R367">
        <v>-0.16549982166346</v>
      </c>
      <c r="S367">
        <f t="shared" si="75"/>
        <v>1.145447538168741</v>
      </c>
      <c r="T367">
        <f t="shared" si="76"/>
        <v>-29.44535359750634</v>
      </c>
      <c r="U367" s="9">
        <f t="shared" si="77"/>
        <v>0.99748429942277661</v>
      </c>
      <c r="V367" s="9">
        <f t="shared" si="78"/>
        <v>-0.56309425063827623</v>
      </c>
    </row>
    <row r="368" spans="1:22" x14ac:dyDescent="0.25">
      <c r="A368">
        <v>4</v>
      </c>
      <c r="B368">
        <v>15.9</v>
      </c>
      <c r="C368">
        <v>-0.13457701581331999</v>
      </c>
      <c r="D368">
        <v>-7.1859872502800001E-2</v>
      </c>
      <c r="E368">
        <v>0.86544132375589</v>
      </c>
      <c r="F368">
        <v>-7.8046886056358997E-2</v>
      </c>
      <c r="G368">
        <f t="shared" si="67"/>
        <v>2.3358021746313198</v>
      </c>
      <c r="H368">
        <f t="shared" si="68"/>
        <v>-1.57798112284138</v>
      </c>
      <c r="I368">
        <f t="shared" si="69"/>
        <v>2.3358209137611898</v>
      </c>
      <c r="J368">
        <f t="shared" si="70"/>
        <v>-1.5810745432825399</v>
      </c>
      <c r="K368" s="8">
        <f t="shared" si="71"/>
        <v>-1.8739129870048998E-5</v>
      </c>
      <c r="L368" s="8">
        <f t="shared" si="72"/>
        <v>3.0934204411599002E-3</v>
      </c>
      <c r="M368" s="8">
        <f t="shared" si="73"/>
        <v>0.29359768431250499</v>
      </c>
      <c r="N368" s="8">
        <f t="shared" si="74"/>
        <v>0.19873091378642599</v>
      </c>
      <c r="O368">
        <v>7.3149023906120006E-2</v>
      </c>
      <c r="P368">
        <v>-0.13252522953429999</v>
      </c>
      <c r="Q368">
        <v>-1.6549821022853999E-3</v>
      </c>
      <c r="R368">
        <v>-0.17299687700766</v>
      </c>
      <c r="S368">
        <f t="shared" si="75"/>
        <v>1.1429056266099045</v>
      </c>
      <c r="T368">
        <f t="shared" si="76"/>
        <v>-29.44517877107706</v>
      </c>
      <c r="U368" s="9">
        <f t="shared" si="77"/>
        <v>0.9952724537573725</v>
      </c>
      <c r="V368" s="9">
        <f t="shared" si="78"/>
        <v>-0.56184162726551079</v>
      </c>
    </row>
    <row r="369" spans="1:22" x14ac:dyDescent="0.25">
      <c r="A369">
        <v>4</v>
      </c>
      <c r="B369">
        <v>16</v>
      </c>
      <c r="C369">
        <v>-0.14529525448954</v>
      </c>
      <c r="D369">
        <v>-6.4487387654250994E-2</v>
      </c>
      <c r="E369">
        <v>0.85472102762764002</v>
      </c>
      <c r="F369">
        <v>-7.0787178009796003E-2</v>
      </c>
      <c r="G369">
        <f t="shared" si="67"/>
        <v>2.3284432492673099</v>
      </c>
      <c r="H369">
        <f t="shared" si="68"/>
        <v>-1.3151889989994801</v>
      </c>
      <c r="I369">
        <f t="shared" si="69"/>
        <v>2.32846131175849</v>
      </c>
      <c r="J369">
        <f t="shared" si="70"/>
        <v>-1.3183388116394901</v>
      </c>
      <c r="K369" s="8">
        <f t="shared" si="71"/>
        <v>-1.8062491180082E-5</v>
      </c>
      <c r="L369" s="8">
        <f t="shared" si="72"/>
        <v>3.1498126400100199E-3</v>
      </c>
      <c r="M369" s="8">
        <f t="shared" si="73"/>
        <v>0.32521548078545398</v>
      </c>
      <c r="N369" s="8">
        <f t="shared" si="74"/>
        <v>0.18413197947517801</v>
      </c>
      <c r="O369">
        <v>6.5946276440419005E-2</v>
      </c>
      <c r="P369">
        <v>-0.14311003235315001</v>
      </c>
      <c r="Q369">
        <v>-1.4739639302642001E-2</v>
      </c>
      <c r="R369">
        <v>-0.17911645108544</v>
      </c>
      <c r="S369">
        <f t="shared" si="75"/>
        <v>1.1405594925872957</v>
      </c>
      <c r="T369">
        <f t="shared" si="76"/>
        <v>-29.444954578862493</v>
      </c>
      <c r="U369" s="9">
        <f t="shared" si="77"/>
        <v>0.99323157209180191</v>
      </c>
      <c r="V369" s="9">
        <f t="shared" si="78"/>
        <v>-0.5606844035025742</v>
      </c>
    </row>
    <row r="370" spans="1:22" x14ac:dyDescent="0.25">
      <c r="A370">
        <v>4</v>
      </c>
      <c r="B370">
        <v>16.100000000000001</v>
      </c>
      <c r="C370">
        <v>-0.15522094318728</v>
      </c>
      <c r="D370">
        <v>-5.5246038324060998E-2</v>
      </c>
      <c r="E370">
        <v>0.84479047048188005</v>
      </c>
      <c r="F370">
        <v>-6.1664246615047998E-2</v>
      </c>
      <c r="G370">
        <f t="shared" si="67"/>
        <v>2.3211871629923699</v>
      </c>
      <c r="H370">
        <f t="shared" si="68"/>
        <v>-1.06087729321465</v>
      </c>
      <c r="I370">
        <f t="shared" si="69"/>
        <v>2.3212031678614302</v>
      </c>
      <c r="J370">
        <f t="shared" si="70"/>
        <v>-1.06408632768542</v>
      </c>
      <c r="K370" s="8">
        <f t="shared" si="71"/>
        <v>-1.60048690602821E-5</v>
      </c>
      <c r="L370" s="8">
        <f t="shared" si="72"/>
        <v>3.2090344707700301E-3</v>
      </c>
      <c r="M370" s="8">
        <f t="shared" si="73"/>
        <v>0.35599834883460402</v>
      </c>
      <c r="N370" s="8">
        <f t="shared" si="74"/>
        <v>0.16319682004505201</v>
      </c>
      <c r="O370">
        <v>5.6906409502414997E-2</v>
      </c>
      <c r="P370">
        <v>-0.15293034296127</v>
      </c>
      <c r="Q370">
        <v>-2.9163076943743E-2</v>
      </c>
      <c r="R370">
        <v>-0.18341326876700001</v>
      </c>
      <c r="S370">
        <f t="shared" si="75"/>
        <v>1.1381490443492528</v>
      </c>
      <c r="T370">
        <f t="shared" si="76"/>
        <v>-29.445087034933515</v>
      </c>
      <c r="U370" s="9">
        <f t="shared" si="77"/>
        <v>0.99113119191376298</v>
      </c>
      <c r="V370" s="9">
        <f t="shared" si="78"/>
        <v>-0.55950174938843678</v>
      </c>
    </row>
    <row r="371" spans="1:22" x14ac:dyDescent="0.25">
      <c r="A371">
        <v>4</v>
      </c>
      <c r="B371">
        <v>16.2</v>
      </c>
      <c r="C371">
        <v>-0.16389992342199999</v>
      </c>
      <c r="D371">
        <v>-4.4260820172752999E-2</v>
      </c>
      <c r="E371">
        <v>0.83610693990211005</v>
      </c>
      <c r="F371">
        <v>-5.0798656369420998E-2</v>
      </c>
      <c r="G371">
        <f t="shared" si="67"/>
        <v>2.31403995491763</v>
      </c>
      <c r="H371">
        <f t="shared" si="68"/>
        <v>-0.81443500833869997</v>
      </c>
      <c r="I371">
        <f t="shared" si="69"/>
        <v>2.3140540721692502</v>
      </c>
      <c r="J371">
        <f t="shared" si="70"/>
        <v>-0.81770386907126902</v>
      </c>
      <c r="K371" s="8">
        <f t="shared" si="71"/>
        <v>-1.4117251620149299E-5</v>
      </c>
      <c r="L371" s="8">
        <f t="shared" si="72"/>
        <v>3.2688607325690499E-3</v>
      </c>
      <c r="M371" s="8">
        <f t="shared" si="73"/>
        <v>0.384171910333651</v>
      </c>
      <c r="N371" s="8">
        <f t="shared" si="74"/>
        <v>0.13575260027257899</v>
      </c>
      <c r="O371">
        <v>4.6145762511258001E-2</v>
      </c>
      <c r="P371">
        <v>-0.16153275554626001</v>
      </c>
      <c r="Q371">
        <v>-4.4547000360678997E-2</v>
      </c>
      <c r="R371">
        <v>-0.18552235500086001</v>
      </c>
      <c r="S371">
        <f t="shared" si="75"/>
        <v>1.1357233417730057</v>
      </c>
      <c r="T371">
        <f t="shared" si="76"/>
        <v>-29.445330525002166</v>
      </c>
      <c r="U371" s="9">
        <f t="shared" si="77"/>
        <v>0.98901645137442085</v>
      </c>
      <c r="V371" s="9">
        <f t="shared" si="78"/>
        <v>-0.55831350329254203</v>
      </c>
    </row>
    <row r="372" spans="1:22" x14ac:dyDescent="0.25">
      <c r="A372">
        <v>4</v>
      </c>
      <c r="B372">
        <v>16.3</v>
      </c>
      <c r="C372">
        <v>-0.17089989420189</v>
      </c>
      <c r="D372">
        <v>-3.1815721309725001E-2</v>
      </c>
      <c r="E372">
        <v>0.82909455984921998</v>
      </c>
      <c r="F372">
        <v>-3.8476757113971E-2</v>
      </c>
      <c r="G372">
        <f t="shared" si="67"/>
        <v>2.3069265090533801</v>
      </c>
      <c r="H372">
        <f t="shared" si="68"/>
        <v>-0.57558177845567005</v>
      </c>
      <c r="I372">
        <f t="shared" si="69"/>
        <v>2.30693482838997</v>
      </c>
      <c r="J372">
        <f t="shared" si="70"/>
        <v>-0.57891227788548205</v>
      </c>
      <c r="K372" s="8">
        <f t="shared" si="71"/>
        <v>-8.3193365898459604E-6</v>
      </c>
      <c r="L372" s="8">
        <f t="shared" si="72"/>
        <v>3.33049942981201E-3</v>
      </c>
      <c r="M372" s="8">
        <f t="shared" si="73"/>
        <v>0.40779548406191202</v>
      </c>
      <c r="N372" s="8">
        <f t="shared" si="74"/>
        <v>0.102333975665214</v>
      </c>
      <c r="O372">
        <v>3.3940152445796998E-2</v>
      </c>
      <c r="P372">
        <v>-0.16848706787921999</v>
      </c>
      <c r="Q372">
        <v>-6.0373303885704999E-2</v>
      </c>
      <c r="R372">
        <v>-0.18519112301189</v>
      </c>
      <c r="S372">
        <f t="shared" si="75"/>
        <v>1.1333097728868804</v>
      </c>
      <c r="T372">
        <f t="shared" si="76"/>
        <v>-29.445528956062724</v>
      </c>
      <c r="U372" s="9">
        <f t="shared" si="77"/>
        <v>0.98691272539289621</v>
      </c>
      <c r="V372" s="9">
        <f t="shared" si="78"/>
        <v>-0.55713042797757706</v>
      </c>
    </row>
    <row r="373" spans="1:22" x14ac:dyDescent="0.25">
      <c r="A373">
        <v>4</v>
      </c>
      <c r="B373">
        <v>16.399999999999999</v>
      </c>
      <c r="C373">
        <v>-0.17588519256908999</v>
      </c>
      <c r="D373">
        <v>-1.8332868969373001E-2</v>
      </c>
      <c r="E373">
        <v>0.82410206916454998</v>
      </c>
      <c r="F373">
        <v>-2.5114917353040001E-2</v>
      </c>
      <c r="G373">
        <f t="shared" si="67"/>
        <v>2.2999473747076702</v>
      </c>
      <c r="H373">
        <f t="shared" si="68"/>
        <v>-0.34411876340577502</v>
      </c>
      <c r="I373">
        <f t="shared" si="69"/>
        <v>2.2999525046664901</v>
      </c>
      <c r="J373">
        <f t="shared" si="70"/>
        <v>-0.34750979179970698</v>
      </c>
      <c r="K373" s="8">
        <f t="shared" si="71"/>
        <v>-5.1299588199604801E-6</v>
      </c>
      <c r="L373" s="8">
        <f t="shared" si="72"/>
        <v>3.3910283939319599E-3</v>
      </c>
      <c r="M373" s="8">
        <f t="shared" si="73"/>
        <v>0.42508706305517202</v>
      </c>
      <c r="N373" s="8">
        <f t="shared" si="74"/>
        <v>6.4228246661325095E-2</v>
      </c>
      <c r="O373">
        <v>2.0705980494998999E-2</v>
      </c>
      <c r="P373">
        <v>-0.17346465343553</v>
      </c>
      <c r="Q373">
        <v>-7.6044999351479001E-2</v>
      </c>
      <c r="R373">
        <v>-0.18233775987202</v>
      </c>
      <c r="S373">
        <f t="shared" si="75"/>
        <v>1.1308774377780695</v>
      </c>
      <c r="T373">
        <f t="shared" si="76"/>
        <v>-29.445879799143071</v>
      </c>
      <c r="U373" s="9">
        <f t="shared" si="77"/>
        <v>0.98479118673330557</v>
      </c>
      <c r="V373" s="9">
        <f t="shared" si="78"/>
        <v>-0.55594073227988894</v>
      </c>
    </row>
    <row r="374" spans="1:22" x14ac:dyDescent="0.25">
      <c r="A374">
        <v>4</v>
      </c>
      <c r="B374">
        <v>16.5</v>
      </c>
      <c r="C374">
        <v>-0.17866763686986001</v>
      </c>
      <c r="D374">
        <v>-4.3260288332552001E-3</v>
      </c>
      <c r="E374">
        <v>0.82131199201524996</v>
      </c>
      <c r="F374">
        <v>-1.1234353963305001E-2</v>
      </c>
      <c r="G374">
        <f t="shared" si="67"/>
        <v>2.2930362551045902</v>
      </c>
      <c r="H374">
        <f t="shared" si="68"/>
        <v>-0.119890478964837</v>
      </c>
      <c r="I374">
        <f t="shared" si="69"/>
        <v>2.2930380009046498</v>
      </c>
      <c r="J374">
        <f t="shared" si="70"/>
        <v>-0.123344670682452</v>
      </c>
      <c r="K374" s="8">
        <f t="shared" si="71"/>
        <v>-1.7458000596271E-6</v>
      </c>
      <c r="L374" s="8">
        <f t="shared" si="72"/>
        <v>3.4541917176150001E-3</v>
      </c>
      <c r="M374" s="8">
        <f t="shared" si="73"/>
        <v>0.43484446499051499</v>
      </c>
      <c r="N374" s="8">
        <f t="shared" si="74"/>
        <v>2.33906927452497E-2</v>
      </c>
      <c r="O374">
        <v>6.9466924979628003E-3</v>
      </c>
      <c r="P374">
        <v>-0.17627533986961999</v>
      </c>
      <c r="Q374">
        <v>-9.0962972636493E-2</v>
      </c>
      <c r="R374">
        <v>-0.17707442282534999</v>
      </c>
      <c r="S374">
        <f t="shared" si="75"/>
        <v>1.1284475786407786</v>
      </c>
      <c r="T374">
        <f t="shared" si="76"/>
        <v>-29.446280499270852</v>
      </c>
      <c r="U374" s="9">
        <f t="shared" si="77"/>
        <v>0.98267133607092383</v>
      </c>
      <c r="V374" s="9">
        <f t="shared" si="78"/>
        <v>-0.55475308291601388</v>
      </c>
    </row>
    <row r="375" spans="1:22" x14ac:dyDescent="0.25">
      <c r="A375">
        <v>4</v>
      </c>
      <c r="B375">
        <v>16.600000000000001</v>
      </c>
      <c r="C375">
        <v>-0.17923082960046999</v>
      </c>
      <c r="D375">
        <v>9.66421786819E-3</v>
      </c>
      <c r="E375">
        <v>0.82074162673827</v>
      </c>
      <c r="F375">
        <v>2.6292719920750999E-3</v>
      </c>
      <c r="G375">
        <f t="shared" si="67"/>
        <v>2.2862084792238302</v>
      </c>
      <c r="H375">
        <f t="shared" si="68"/>
        <v>9.7304784662553601E-2</v>
      </c>
      <c r="I375">
        <f t="shared" si="69"/>
        <v>2.2862070801775198</v>
      </c>
      <c r="J375">
        <f t="shared" si="70"/>
        <v>9.3787258360612399E-2</v>
      </c>
      <c r="K375" s="8">
        <f t="shared" si="71"/>
        <v>1.39904631035748E-6</v>
      </c>
      <c r="L375" s="8">
        <f t="shared" si="72"/>
        <v>3.5175263019411999E-3</v>
      </c>
      <c r="M375" s="8">
        <f t="shared" si="73"/>
        <v>0.43667082603665802</v>
      </c>
      <c r="N375" s="8">
        <f t="shared" si="74"/>
        <v>-1.7913582691232902E-2</v>
      </c>
      <c r="O375">
        <v>-6.8053060312169003E-3</v>
      </c>
      <c r="P375">
        <v>-0.17690200105122</v>
      </c>
      <c r="Q375">
        <v>-0.10459913433008999</v>
      </c>
      <c r="R375">
        <v>-0.16969232925781999</v>
      </c>
      <c r="S375">
        <f t="shared" si="75"/>
        <v>1.1260061306802753</v>
      </c>
      <c r="T375">
        <f t="shared" si="76"/>
        <v>-29.446826433364283</v>
      </c>
      <c r="U375" s="9">
        <f t="shared" si="77"/>
        <v>0.98054000719179868</v>
      </c>
      <c r="V375" s="9">
        <f t="shared" si="78"/>
        <v>-0.55356219219331859</v>
      </c>
    </row>
    <row r="376" spans="1:22" x14ac:dyDescent="0.25">
      <c r="A376">
        <v>4</v>
      </c>
      <c r="B376">
        <v>16.7</v>
      </c>
      <c r="C376">
        <v>-0.17772266234626999</v>
      </c>
      <c r="D376">
        <v>2.3137945190154E-2</v>
      </c>
      <c r="E376">
        <v>0.82224418249816</v>
      </c>
      <c r="F376">
        <v>1.597535138032E-2</v>
      </c>
      <c r="G376">
        <f t="shared" si="67"/>
        <v>2.2794618769523902</v>
      </c>
      <c r="H376">
        <f t="shared" si="68"/>
        <v>0.30761466434238999</v>
      </c>
      <c r="I376">
        <f t="shared" si="69"/>
        <v>2.2794581252606698</v>
      </c>
      <c r="J376">
        <f t="shared" si="70"/>
        <v>0.304033294631116</v>
      </c>
      <c r="K376" s="8">
        <f t="shared" si="71"/>
        <v>3.7516917203994599E-6</v>
      </c>
      <c r="L376" s="8">
        <f t="shared" si="72"/>
        <v>3.5813697112739898E-3</v>
      </c>
      <c r="M376" s="8">
        <f t="shared" si="73"/>
        <v>0.43103262943387899</v>
      </c>
      <c r="N376" s="8">
        <f t="shared" si="74"/>
        <v>-5.7490975143624799E-2</v>
      </c>
      <c r="O376">
        <v>-2.0057080261062999E-2</v>
      </c>
      <c r="P376">
        <v>-0.17548583154571001</v>
      </c>
      <c r="Q376">
        <v>-0.11655836344884</v>
      </c>
      <c r="R376">
        <v>-0.16061944766920999</v>
      </c>
      <c r="S376">
        <f t="shared" si="75"/>
        <v>1.1235750932776398</v>
      </c>
      <c r="T376">
        <f t="shared" si="76"/>
        <v>-29.447347961283221</v>
      </c>
      <c r="U376" s="9">
        <f t="shared" si="77"/>
        <v>0.97841800198440121</v>
      </c>
      <c r="V376" s="9">
        <f t="shared" si="78"/>
        <v>-0.55237596220935381</v>
      </c>
    </row>
    <row r="377" spans="1:22" x14ac:dyDescent="0.25">
      <c r="A377">
        <v>4</v>
      </c>
      <c r="B377">
        <v>16.8</v>
      </c>
      <c r="C377">
        <v>-0.17441853646519001</v>
      </c>
      <c r="D377">
        <v>3.5690126365098003E-2</v>
      </c>
      <c r="E377">
        <v>0.82554285649261006</v>
      </c>
      <c r="F377">
        <v>2.8395631516196E-2</v>
      </c>
      <c r="G377">
        <f t="shared" si="67"/>
        <v>2.2727917848998702</v>
      </c>
      <c r="H377">
        <f t="shared" si="68"/>
        <v>0.51116347454404398</v>
      </c>
      <c r="I377">
        <f t="shared" si="69"/>
        <v>2.2727857840133301</v>
      </c>
      <c r="J377">
        <f t="shared" si="70"/>
        <v>0.50751613482637603</v>
      </c>
      <c r="K377" s="8">
        <f t="shared" si="71"/>
        <v>6.0008865401250901E-6</v>
      </c>
      <c r="L377" s="8">
        <f t="shared" si="72"/>
        <v>3.6473397176679501E-3</v>
      </c>
      <c r="M377" s="8">
        <f t="shared" si="73"/>
        <v>0.41909131558080298</v>
      </c>
      <c r="N377" s="8">
        <f t="shared" si="74"/>
        <v>-9.3583656726014999E-2</v>
      </c>
      <c r="O377">
        <v>-3.2408734530348003E-2</v>
      </c>
      <c r="P377">
        <v>-0.17229943840477999</v>
      </c>
      <c r="Q377">
        <v>-0.12660853592144999</v>
      </c>
      <c r="R377">
        <v>-0.15034911452020999</v>
      </c>
      <c r="S377">
        <f t="shared" si="75"/>
        <v>1.1211258350649675</v>
      </c>
      <c r="T377">
        <f t="shared" si="76"/>
        <v>-29.448022088309564</v>
      </c>
      <c r="U377" s="9">
        <f t="shared" si="77"/>
        <v>0.97627868371626969</v>
      </c>
      <c r="V377" s="9">
        <f t="shared" si="78"/>
        <v>-0.55118333589772905</v>
      </c>
    </row>
    <row r="378" spans="1:22" x14ac:dyDescent="0.25">
      <c r="A378">
        <v>4</v>
      </c>
      <c r="B378">
        <v>16.899999999999999</v>
      </c>
      <c r="C378">
        <v>-0.16967098620130999</v>
      </c>
      <c r="D378">
        <v>4.7038787202978001E-2</v>
      </c>
      <c r="E378">
        <v>0.83028631687401</v>
      </c>
      <c r="F378">
        <v>3.9614603954682998E-2</v>
      </c>
      <c r="G378">
        <f t="shared" si="67"/>
        <v>2.26618322874956</v>
      </c>
      <c r="H378">
        <f t="shared" si="68"/>
        <v>0.70813086990140395</v>
      </c>
      <c r="I378">
        <f t="shared" si="69"/>
        <v>2.2661756601483498</v>
      </c>
      <c r="J378">
        <f t="shared" si="70"/>
        <v>0.70441867093217703</v>
      </c>
      <c r="K378" s="8">
        <f t="shared" si="71"/>
        <v>7.5686012102060804E-6</v>
      </c>
      <c r="L378" s="8">
        <f t="shared" si="72"/>
        <v>3.71219896922692E-3</v>
      </c>
      <c r="M378" s="8">
        <f t="shared" si="73"/>
        <v>0.40239224519522498</v>
      </c>
      <c r="N378" s="8">
        <f t="shared" si="74"/>
        <v>-0.12507971713687899</v>
      </c>
      <c r="O378">
        <v>-4.3580450875767E-2</v>
      </c>
      <c r="P378">
        <v>-0.16768239963212</v>
      </c>
      <c r="Q378">
        <v>-0.13468139425846001</v>
      </c>
      <c r="R378">
        <v>-0.13938131563573999</v>
      </c>
      <c r="S378">
        <f t="shared" si="75"/>
        <v>1.1187105727164424</v>
      </c>
      <c r="T378">
        <f t="shared" si="76"/>
        <v>-29.448743070865699</v>
      </c>
      <c r="U378" s="9">
        <f t="shared" si="77"/>
        <v>0.97416854733277058</v>
      </c>
      <c r="V378" s="9">
        <f t="shared" si="78"/>
        <v>-0.55000816984396705</v>
      </c>
    </row>
    <row r="379" spans="1:22" x14ac:dyDescent="0.25">
      <c r="A379">
        <v>4</v>
      </c>
      <c r="B379">
        <v>17</v>
      </c>
      <c r="C379">
        <v>-0.16386006056449001</v>
      </c>
      <c r="D379">
        <v>5.7025177310175999E-2</v>
      </c>
      <c r="E379">
        <v>0.83609193078846999</v>
      </c>
      <c r="F379">
        <v>4.9464167339248001E-2</v>
      </c>
      <c r="G379">
        <f t="shared" si="67"/>
        <v>2.2596479542082402</v>
      </c>
      <c r="H379">
        <f t="shared" si="68"/>
        <v>0.89847713570433196</v>
      </c>
      <c r="I379">
        <f t="shared" si="69"/>
        <v>2.2596382423514201</v>
      </c>
      <c r="J379">
        <f t="shared" si="70"/>
        <v>0.89469650325161898</v>
      </c>
      <c r="K379" s="8">
        <f t="shared" si="71"/>
        <v>9.7118568200826905E-6</v>
      </c>
      <c r="L379" s="8">
        <f t="shared" si="72"/>
        <v>3.7806324527129799E-3</v>
      </c>
      <c r="M379" s="8">
        <f t="shared" si="73"/>
        <v>0.38257150390238898</v>
      </c>
      <c r="N379" s="8">
        <f t="shared" si="74"/>
        <v>-0.15147795800667199</v>
      </c>
      <c r="O379">
        <v>-5.3410543895970997E-2</v>
      </c>
      <c r="P379">
        <v>-0.1620024634237</v>
      </c>
      <c r="Q379">
        <v>-0.14084107565335</v>
      </c>
      <c r="R379">
        <v>-0.12817083485549999</v>
      </c>
      <c r="S379">
        <f t="shared" si="75"/>
        <v>1.1163746357889197</v>
      </c>
      <c r="T379">
        <f t="shared" si="76"/>
        <v>-29.449735847655493</v>
      </c>
      <c r="U379" s="9">
        <f t="shared" si="77"/>
        <v>0.97212491274078339</v>
      </c>
      <c r="V379" s="9">
        <f t="shared" si="78"/>
        <v>-0.54887656304634413</v>
      </c>
    </row>
    <row r="380" spans="1:22" x14ac:dyDescent="0.25">
      <c r="A380">
        <v>4.2</v>
      </c>
      <c r="B380">
        <v>15</v>
      </c>
      <c r="C380">
        <v>-5.6924130983101999E-2</v>
      </c>
      <c r="D380">
        <v>-8.2814913458955003E-2</v>
      </c>
      <c r="E380">
        <v>0.94308876467057001</v>
      </c>
      <c r="F380">
        <v>-8.8360452673973994E-2</v>
      </c>
      <c r="G380">
        <f t="shared" si="67"/>
        <v>2.19371565683808</v>
      </c>
      <c r="H380">
        <f t="shared" si="68"/>
        <v>-4.0491911453167297</v>
      </c>
      <c r="I380">
        <f t="shared" si="69"/>
        <v>2.1937297926668302</v>
      </c>
      <c r="J380">
        <f t="shared" si="70"/>
        <v>-4.0519638578508896</v>
      </c>
      <c r="K380" s="8">
        <f t="shared" si="71"/>
        <v>-1.41358287502058E-5</v>
      </c>
      <c r="L380" s="8">
        <f t="shared" si="72"/>
        <v>2.77271253415989E-3</v>
      </c>
      <c r="M380" s="8">
        <f t="shared" si="73"/>
        <v>0.103327403449075</v>
      </c>
      <c r="N380" s="8">
        <f t="shared" si="74"/>
        <v>0.19085254059127299</v>
      </c>
      <c r="O380">
        <v>7.9960876303146994E-2</v>
      </c>
      <c r="P380">
        <v>-5.3736285790637002E-2</v>
      </c>
      <c r="Q380">
        <v>5.0187521164192998E-2</v>
      </c>
      <c r="R380">
        <v>-9.9909931608003003E-2</v>
      </c>
      <c r="S380">
        <f t="shared" si="75"/>
        <v>1.1605489825020794</v>
      </c>
      <c r="T380">
        <f t="shared" si="76"/>
        <v>-29.42598379133014</v>
      </c>
      <c r="U380" s="9">
        <f t="shared" si="77"/>
        <v>1.010827829483566</v>
      </c>
      <c r="V380" s="9">
        <f t="shared" si="78"/>
        <v>-0.57017632354224823</v>
      </c>
    </row>
    <row r="381" spans="1:22" x14ac:dyDescent="0.25">
      <c r="A381">
        <v>4.2</v>
      </c>
      <c r="B381" s="1">
        <v>15.1</v>
      </c>
      <c r="C381">
        <v>-6.3500373881422004E-2</v>
      </c>
      <c r="D381">
        <v>-8.5397762986324996E-2</v>
      </c>
      <c r="E381">
        <v>0.93651705671727004</v>
      </c>
      <c r="F381">
        <v>-9.1048988729192995E-2</v>
      </c>
      <c r="G381">
        <f t="shared" si="67"/>
        <v>2.1870018631656301</v>
      </c>
      <c r="H381">
        <f t="shared" si="68"/>
        <v>-3.7322605532009701</v>
      </c>
      <c r="I381">
        <f t="shared" si="69"/>
        <v>2.1870185622046301</v>
      </c>
      <c r="J381">
        <f t="shared" si="70"/>
        <v>-3.7350860942619502</v>
      </c>
      <c r="K381" s="8">
        <f t="shared" si="71"/>
        <v>-1.6699039000034299E-5</v>
      </c>
      <c r="L381" s="8">
        <f t="shared" si="72"/>
        <v>2.8255410609800999E-3</v>
      </c>
      <c r="M381" s="8">
        <f t="shared" si="73"/>
        <v>0.116741117608179</v>
      </c>
      <c r="N381" s="8">
        <f t="shared" si="74"/>
        <v>0.199375594035818</v>
      </c>
      <c r="O381">
        <v>8.2366638996601002E-2</v>
      </c>
      <c r="P381">
        <v>-5.9894686139174001E-2</v>
      </c>
      <c r="Q381">
        <v>4.9054336111473001E-2</v>
      </c>
      <c r="R381">
        <v>-0.10738833198272001</v>
      </c>
      <c r="S381">
        <f t="shared" si="75"/>
        <v>1.1592728004033552</v>
      </c>
      <c r="T381">
        <f t="shared" si="76"/>
        <v>-29.425782091292508</v>
      </c>
      <c r="U381" s="9">
        <f t="shared" si="77"/>
        <v>1.0097182912347473</v>
      </c>
      <c r="V381" s="9">
        <f t="shared" si="78"/>
        <v>-0.56954578226953767</v>
      </c>
    </row>
    <row r="382" spans="1:22" x14ac:dyDescent="0.25">
      <c r="A382">
        <v>4.2</v>
      </c>
      <c r="B382" s="1">
        <v>15.2</v>
      </c>
      <c r="C382">
        <v>-7.0844790551311002E-2</v>
      </c>
      <c r="D382">
        <v>-8.7648714662728E-2</v>
      </c>
      <c r="E382">
        <v>0.92917327341994005</v>
      </c>
      <c r="F382">
        <v>-9.3405800206664003E-2</v>
      </c>
      <c r="G382">
        <f t="shared" si="67"/>
        <v>2.1805466082349501</v>
      </c>
      <c r="H382">
        <f t="shared" si="68"/>
        <v>-3.42427853453021</v>
      </c>
      <c r="I382">
        <f t="shared" si="69"/>
        <v>2.1805639258543201</v>
      </c>
      <c r="J382">
        <f t="shared" si="70"/>
        <v>-3.4271570014543999</v>
      </c>
      <c r="K382" s="8">
        <f t="shared" si="71"/>
        <v>-1.73176193700719E-5</v>
      </c>
      <c r="L382" s="8">
        <f t="shared" si="72"/>
        <v>2.87846692418992E-3</v>
      </c>
      <c r="M382" s="8">
        <f t="shared" si="73"/>
        <v>0.132153273813126</v>
      </c>
      <c r="N382" s="8">
        <f t="shared" si="74"/>
        <v>0.207703159831157</v>
      </c>
      <c r="O382">
        <v>8.4528546575373995E-2</v>
      </c>
      <c r="P382">
        <v>-6.6823246946560999E-2</v>
      </c>
      <c r="Q382">
        <v>4.7200908293251999E-2</v>
      </c>
      <c r="R382">
        <v>-0.11539035860047001</v>
      </c>
      <c r="S382">
        <f t="shared" si="75"/>
        <v>1.1570216418362802</v>
      </c>
      <c r="T382">
        <f t="shared" si="76"/>
        <v>-29.424977496838171</v>
      </c>
      <c r="U382" s="9">
        <f t="shared" si="77"/>
        <v>1.0077655306748901</v>
      </c>
      <c r="V382" s="9">
        <f t="shared" si="78"/>
        <v>-0.56842564585095767</v>
      </c>
    </row>
    <row r="383" spans="1:22" x14ac:dyDescent="0.25">
      <c r="A383">
        <v>4.2</v>
      </c>
      <c r="B383" s="1">
        <v>15.3</v>
      </c>
      <c r="C383">
        <v>-7.8982790332580002E-2</v>
      </c>
      <c r="D383">
        <v>-8.9420626155248997E-2</v>
      </c>
      <c r="E383">
        <v>0.92103536022355004</v>
      </c>
      <c r="F383">
        <v>-9.5286044622759997E-2</v>
      </c>
      <c r="G383">
        <f t="shared" si="67"/>
        <v>2.1741679438746702</v>
      </c>
      <c r="H383">
        <f t="shared" si="68"/>
        <v>-3.1257658914299902</v>
      </c>
      <c r="I383">
        <f t="shared" si="69"/>
        <v>2.1741856195456899</v>
      </c>
      <c r="J383">
        <f t="shared" si="70"/>
        <v>-3.1286985222117001</v>
      </c>
      <c r="K383" s="8">
        <f t="shared" si="71"/>
        <v>-1.7675671019734599E-5</v>
      </c>
      <c r="L383" s="8">
        <f t="shared" si="72"/>
        <v>2.9326307817099102E-3</v>
      </c>
      <c r="M383" s="8">
        <f t="shared" si="73"/>
        <v>0.14978023912761401</v>
      </c>
      <c r="N383" s="8">
        <f t="shared" si="74"/>
        <v>0.215536892803569</v>
      </c>
      <c r="O383">
        <v>8.6250306423886994E-2</v>
      </c>
      <c r="P383">
        <v>-7.450955043568E-2</v>
      </c>
      <c r="Q383">
        <v>4.4477760064744E-2</v>
      </c>
      <c r="R383">
        <v>-0.12386164517004999</v>
      </c>
      <c r="S383">
        <f t="shared" si="75"/>
        <v>1.1546647722410097</v>
      </c>
      <c r="T383">
        <f t="shared" si="76"/>
        <v>-29.424238725377538</v>
      </c>
      <c r="U383" s="9">
        <f t="shared" si="77"/>
        <v>1.0057200121716139</v>
      </c>
      <c r="V383" s="9">
        <f t="shared" si="78"/>
        <v>-0.56725478699779319</v>
      </c>
    </row>
    <row r="384" spans="1:22" x14ac:dyDescent="0.25">
      <c r="A384">
        <v>4.2</v>
      </c>
      <c r="B384" s="1">
        <v>15.4</v>
      </c>
      <c r="C384">
        <v>-8.7934532670223997E-2</v>
      </c>
      <c r="D384">
        <v>-9.0540773977270006E-2</v>
      </c>
      <c r="E384">
        <v>0.91208326472518997</v>
      </c>
      <c r="F384">
        <v>-9.6517212486250004E-2</v>
      </c>
      <c r="G384">
        <f t="shared" si="67"/>
        <v>2.1678660577189999</v>
      </c>
      <c r="H384">
        <f t="shared" si="68"/>
        <v>-2.8364002836125302</v>
      </c>
      <c r="I384">
        <f t="shared" si="69"/>
        <v>2.1678838854737199</v>
      </c>
      <c r="J384">
        <f t="shared" si="70"/>
        <v>-2.8393884230032298</v>
      </c>
      <c r="K384" s="8">
        <f t="shared" si="71"/>
        <v>-1.7827754720034499E-5</v>
      </c>
      <c r="L384" s="8">
        <f t="shared" si="72"/>
        <v>2.9881393906996401E-3</v>
      </c>
      <c r="M384" s="8">
        <f t="shared" si="73"/>
        <v>0.16987226525322</v>
      </c>
      <c r="N384" s="8">
        <f t="shared" si="74"/>
        <v>0.222490395625561</v>
      </c>
      <c r="O384">
        <v>8.7361860028564997E-2</v>
      </c>
      <c r="P384">
        <v>-8.2968494494612993E-2</v>
      </c>
      <c r="Q384">
        <v>4.0715175226299999E-2</v>
      </c>
      <c r="R384">
        <v>-0.13272637190761</v>
      </c>
      <c r="S384">
        <f t="shared" si="75"/>
        <v>1.1522975258414305</v>
      </c>
      <c r="T384">
        <f t="shared" si="76"/>
        <v>-29.423582174825427</v>
      </c>
      <c r="U384" s="9">
        <f t="shared" si="77"/>
        <v>1.0036646129782743</v>
      </c>
      <c r="V384" s="9">
        <f t="shared" si="78"/>
        <v>-0.56608032355439941</v>
      </c>
    </row>
    <row r="385" spans="1:22" x14ac:dyDescent="0.25">
      <c r="A385">
        <v>4.2</v>
      </c>
      <c r="B385" s="1">
        <v>15.5</v>
      </c>
      <c r="C385">
        <v>-9.7686499784507996E-2</v>
      </c>
      <c r="D385">
        <v>-9.0806758367780002E-2</v>
      </c>
      <c r="E385">
        <v>0.90233056665264999</v>
      </c>
      <c r="F385">
        <v>-9.6897036574672996E-2</v>
      </c>
      <c r="G385">
        <f t="shared" si="67"/>
        <v>2.16163735988924</v>
      </c>
      <c r="H385">
        <f t="shared" si="68"/>
        <v>-2.55586641851187</v>
      </c>
      <c r="I385">
        <f t="shared" si="69"/>
        <v>2.1616551655838001</v>
      </c>
      <c r="J385">
        <f t="shared" si="70"/>
        <v>-2.5589114774103399</v>
      </c>
      <c r="K385" s="8">
        <f t="shared" si="71"/>
        <v>-1.7805694560113501E-5</v>
      </c>
      <c r="L385" s="8">
        <f t="shared" si="72"/>
        <v>3.04505889846984E-3</v>
      </c>
      <c r="M385" s="8">
        <f t="shared" si="73"/>
        <v>0.19264747835204801</v>
      </c>
      <c r="N385" s="8">
        <f t="shared" si="74"/>
        <v>0.228051102367236</v>
      </c>
      <c r="O385">
        <v>8.7671997576475993E-2</v>
      </c>
      <c r="P385">
        <v>-9.2188503735499999E-2</v>
      </c>
      <c r="Q385">
        <v>3.5734584704022999E-2</v>
      </c>
      <c r="R385">
        <v>-0.14186175561320999</v>
      </c>
      <c r="S385">
        <f t="shared" si="75"/>
        <v>1.1499173745932056</v>
      </c>
      <c r="T385">
        <f t="shared" si="76"/>
        <v>-29.423031496810644</v>
      </c>
      <c r="U385" s="9">
        <f t="shared" si="77"/>
        <v>1.0015969028174432</v>
      </c>
      <c r="V385" s="9">
        <f t="shared" si="78"/>
        <v>-0.56490141853055753</v>
      </c>
    </row>
    <row r="386" spans="1:22" x14ac:dyDescent="0.25">
      <c r="A386">
        <v>4.2</v>
      </c>
      <c r="B386">
        <v>15.6</v>
      </c>
      <c r="C386">
        <v>-0.10817666574427</v>
      </c>
      <c r="D386">
        <v>-8.9990867400721999E-2</v>
      </c>
      <c r="E386">
        <v>0.89183937822686998</v>
      </c>
      <c r="F386">
        <v>-9.6197840462899004E-2</v>
      </c>
      <c r="G386">
        <f t="shared" si="67"/>
        <v>2.1554772096652099</v>
      </c>
      <c r="H386">
        <f t="shared" si="68"/>
        <v>-2.2838680664091999</v>
      </c>
      <c r="I386">
        <f t="shared" si="69"/>
        <v>2.1554948628905302</v>
      </c>
      <c r="J386">
        <f t="shared" si="70"/>
        <v>-2.28697147325826</v>
      </c>
      <c r="K386" s="8">
        <f t="shared" si="71"/>
        <v>-1.7653225320213298E-5</v>
      </c>
      <c r="L386" s="8">
        <f t="shared" si="72"/>
        <v>3.10340684906008E-3</v>
      </c>
      <c r="M386" s="8">
        <f t="shared" si="73"/>
        <v>0.21824709406402701</v>
      </c>
      <c r="N386" s="8">
        <f t="shared" si="74"/>
        <v>0.231559298441849</v>
      </c>
      <c r="O386">
        <v>8.6964008161965006E-2</v>
      </c>
      <c r="P386">
        <v>-0.10211085796008</v>
      </c>
      <c r="Q386">
        <v>2.9360667125828001E-2</v>
      </c>
      <c r="R386">
        <v>-0.15108669473794001</v>
      </c>
      <c r="S386">
        <f t="shared" si="75"/>
        <v>1.1475394307214524</v>
      </c>
      <c r="T386">
        <f t="shared" si="76"/>
        <v>-29.422578919760845</v>
      </c>
      <c r="U386" s="9">
        <f t="shared" si="77"/>
        <v>0.99953012755928361</v>
      </c>
      <c r="V386" s="9">
        <f t="shared" si="78"/>
        <v>-0.56372534905025984</v>
      </c>
    </row>
    <row r="387" spans="1:22" x14ac:dyDescent="0.25">
      <c r="A387">
        <v>4.2</v>
      </c>
      <c r="B387">
        <v>15.7</v>
      </c>
      <c r="C387">
        <v>-0.11927887789445001</v>
      </c>
      <c r="D387">
        <v>-8.7850687750386E-2</v>
      </c>
      <c r="E387">
        <v>0.8807295280595</v>
      </c>
      <c r="F387">
        <v>-9.4171293464043002E-2</v>
      </c>
      <c r="G387">
        <f t="shared" ref="G387:G450" si="79">IMREAL(IMDIV(IMSUM(IMPRODUCT(COMPLEX(1 + C387,D387),COMPLEX(1 - C387, - D387)),IMPRODUCT(COMPLEX(E387,F387),COMPLEX(E387,F387))),IMSUB(IMPRODUCT(COMPLEX(1 - C387, - D387),COMPLEX(1 - C387, - D387)),IMPRODUCT(COMPLEX(E387,F387),COMPLEX(E387,F387)))))</f>
        <v>2.1494286514069501</v>
      </c>
      <c r="H387">
        <f t="shared" ref="H387:H450" si="80">IMAGINARY(IMDIV(IMSUM(IMPRODUCT(COMPLEX(1 + C387,D387),COMPLEX(1 - C387, - D387)),IMPRODUCT(COMPLEX(E387,F387),COMPLEX(E387,F387))),IMSUB(IMPRODUCT(COMPLEX(1 - C387, - D387),COMPLEX(1 - C387, - D387)),IMPRODUCT(COMPLEX(E387,F387),COMPLEX(E387,F387)))))</f>
        <v>-2.0200373920724699</v>
      </c>
      <c r="I387">
        <f t="shared" ref="I387:I450" si="81">IMREAL(IMDIV(IMPRODUCT(COMPLEX(2,0),COMPLEX(E387,F387)),IMSUB(IMPRODUCT(COMPLEX(1 - C387, - D387),COMPLEX(1 - C387, - D387)),IMPRODUCT(COMPLEX(E387,F387),COMPLEX(E387,F387)))))</f>
        <v>2.1494428416547202</v>
      </c>
      <c r="J387">
        <f t="shared" ref="J387:J450" si="82">IMAGINARY(IMDIV(IMPRODUCT(COMPLEX(2,0),COMPLEX(E387,F387)),IMSUB(IMPRODUCT(COMPLEX(1 - C387, - D387),COMPLEX(1 - C387, - D387)),IMPRODUCT(COMPLEX(E387,F387),COMPLEX(E387,F387)))))</f>
        <v>-2.0231976368013802</v>
      </c>
      <c r="K387" s="8">
        <f t="shared" ref="K387:K450" si="83">IMREAL(IMSUB(COMPLEX(G387,H387),COMPLEX(I387,J387)))</f>
        <v>-1.41902477701628E-5</v>
      </c>
      <c r="L387" s="8">
        <f t="shared" ref="L387:L450" si="84">IMAGINARY(IMSUB(COMPLEX(G387,H387),COMPLEX(I387,J387)))</f>
        <v>3.1602447289103002E-3</v>
      </c>
      <c r="M387" s="8">
        <f t="shared" ref="M387:M450" si="85">IMREAL(IMDIV(IMSUB(IMPRODUCT(COMPLEX(1 - C387, - D387),COMPLEX(1 - C387, - D387)),IMPRODUCT(COMPLEX(E387,F387),COMPLEX(E387,F387))),IMPRODUCT(COMPLEX(2,0),COMPLEX(E387,F387))))</f>
        <v>0.24668150780147499</v>
      </c>
      <c r="N387" s="8">
        <f t="shared" ref="N387:N450" si="86">IMAGINARY(IMDIV(IMSUB(IMPRODUCT(COMPLEX(1 - C387, - D387),COMPLEX(1 - C387, - D387)),IMPRODUCT(COMPLEX(E387,F387),COMPLEX(E387,F387))),IMPRODUCT(COMPLEX(2,0),COMPLEX(E387,F387))))</f>
        <v>0.23219293574809799</v>
      </c>
      <c r="O387">
        <v>8.5009935328464001E-2</v>
      </c>
      <c r="P387">
        <v>-0.11261963365516001</v>
      </c>
      <c r="Q387">
        <v>2.1439976117861002E-2</v>
      </c>
      <c r="R387">
        <v>-0.16015368090796001</v>
      </c>
      <c r="S387">
        <f t="shared" ref="S387:S450" si="87">IMABS(COMPLEX(Q387,R387))/IMABS(COMPLEX(O387,P387))</f>
        <v>1.1451433328588865</v>
      </c>
      <c r="T387">
        <f t="shared" ref="T387:T450" si="88">IMARGUMENT(IMDIV(COMPLEX(Q387,R387),COMPLEX(O387/B387,P387/B387)))/PI()*180</f>
        <v>-29.422083424188532</v>
      </c>
      <c r="U387" s="9">
        <f t="shared" ref="U387:U450" si="89">S387*COS(T387/180*PI())</f>
        <v>0.9974479426011007</v>
      </c>
      <c r="V387" s="9">
        <f t="shared" ref="V387:V450" si="90">S387*SIN(T387/180*PI())</f>
        <v>-0.56253964712897331</v>
      </c>
    </row>
    <row r="388" spans="1:22" x14ac:dyDescent="0.25">
      <c r="A388">
        <v>4.2</v>
      </c>
      <c r="B388">
        <v>15.8</v>
      </c>
      <c r="C388">
        <v>-0.13078762350632001</v>
      </c>
      <c r="D388">
        <v>-8.4148293388929998E-2</v>
      </c>
      <c r="E388">
        <v>0.86921834673578002</v>
      </c>
      <c r="F388">
        <v>-9.0590258181088998E-2</v>
      </c>
      <c r="G388">
        <f t="shared" si="79"/>
        <v>2.14338759221565</v>
      </c>
      <c r="H388">
        <f t="shared" si="80"/>
        <v>-1.7642807438586501</v>
      </c>
      <c r="I388">
        <f t="shared" si="81"/>
        <v>2.14340095185484</v>
      </c>
      <c r="J388">
        <f t="shared" si="82"/>
        <v>-1.7675016736087099</v>
      </c>
      <c r="K388" s="8">
        <f t="shared" si="83"/>
        <v>-1.3359639190024799E-5</v>
      </c>
      <c r="L388" s="8">
        <f t="shared" si="84"/>
        <v>3.2209297500598302E-3</v>
      </c>
      <c r="M388" s="8">
        <f t="shared" si="85"/>
        <v>0.27770628830148603</v>
      </c>
      <c r="N388" s="8">
        <f t="shared" si="86"/>
        <v>0.22900350441655501</v>
      </c>
      <c r="O388">
        <v>8.1582480132964999E-2</v>
      </c>
      <c r="P388">
        <v>-0.12352001825113</v>
      </c>
      <c r="Q388">
        <v>1.186529028883E-2</v>
      </c>
      <c r="R388">
        <v>-0.16874358414328</v>
      </c>
      <c r="S388">
        <f t="shared" si="87"/>
        <v>1.1427424747469619</v>
      </c>
      <c r="T388">
        <f t="shared" si="88"/>
        <v>-29.421795645057806</v>
      </c>
      <c r="U388" s="9">
        <f t="shared" si="89"/>
        <v>0.99535955580087854</v>
      </c>
      <c r="V388" s="9">
        <f t="shared" si="90"/>
        <v>-0.56135525139316955</v>
      </c>
    </row>
    <row r="389" spans="1:22" x14ac:dyDescent="0.25">
      <c r="A389">
        <v>4.2</v>
      </c>
      <c r="B389">
        <v>15.9</v>
      </c>
      <c r="C389">
        <v>-0.14241039483696</v>
      </c>
      <c r="D389">
        <v>-7.8677876997154006E-2</v>
      </c>
      <c r="E389">
        <v>0.85759257104380004</v>
      </c>
      <c r="F389">
        <v>-8.5243468522291005E-2</v>
      </c>
      <c r="G389">
        <f t="shared" si="79"/>
        <v>2.1374059520204902</v>
      </c>
      <c r="H389">
        <f t="shared" si="80"/>
        <v>-1.5162697279105499</v>
      </c>
      <c r="I389">
        <f t="shared" si="81"/>
        <v>2.1374182115426099</v>
      </c>
      <c r="J389">
        <f t="shared" si="82"/>
        <v>-1.51955247855949</v>
      </c>
      <c r="K389" s="8">
        <f t="shared" si="83"/>
        <v>-1.22595221196953E-5</v>
      </c>
      <c r="L389" s="8">
        <f t="shared" si="84"/>
        <v>3.28275064894012E-3</v>
      </c>
      <c r="M389" s="8">
        <f t="shared" si="85"/>
        <v>0.31077982829644202</v>
      </c>
      <c r="N389" s="8">
        <f t="shared" si="86"/>
        <v>0.220942376098369</v>
      </c>
      <c r="O389">
        <v>7.6486278382558004E-2</v>
      </c>
      <c r="P389">
        <v>-0.13453745722963001</v>
      </c>
      <c r="Q389">
        <v>6.0739346943008E-4</v>
      </c>
      <c r="R389">
        <v>-0.17647617189293999</v>
      </c>
      <c r="S389">
        <f t="shared" si="87"/>
        <v>1.1403326322974277</v>
      </c>
      <c r="T389">
        <f t="shared" si="88"/>
        <v>-29.421589233016782</v>
      </c>
      <c r="U389" s="9">
        <f t="shared" si="89"/>
        <v>0.99326253599868153</v>
      </c>
      <c r="V389" s="9">
        <f t="shared" si="90"/>
        <v>-0.56016787382341759</v>
      </c>
    </row>
    <row r="390" spans="1:22" x14ac:dyDescent="0.25">
      <c r="A390">
        <v>4.2</v>
      </c>
      <c r="B390">
        <v>16</v>
      </c>
      <c r="C390">
        <v>-0.15376951324143001</v>
      </c>
      <c r="D390">
        <v>-7.1301289516986999E-2</v>
      </c>
      <c r="E390">
        <v>0.84622919981989997</v>
      </c>
      <c r="F390">
        <v>-7.7994190725525006E-2</v>
      </c>
      <c r="G390">
        <f t="shared" si="79"/>
        <v>2.1314641082797401</v>
      </c>
      <c r="H390">
        <f t="shared" si="80"/>
        <v>-1.27577390491255</v>
      </c>
      <c r="I390">
        <f t="shared" si="81"/>
        <v>2.1314746634378401</v>
      </c>
      <c r="J390">
        <f t="shared" si="82"/>
        <v>-1.27912032234782</v>
      </c>
      <c r="K390" s="8">
        <f t="shared" si="83"/>
        <v>-1.05551581000007E-5</v>
      </c>
      <c r="L390" s="8">
        <f t="shared" si="84"/>
        <v>3.3464174352699802E-3</v>
      </c>
      <c r="M390" s="8">
        <f t="shared" si="85"/>
        <v>0.34493603915952897</v>
      </c>
      <c r="N390" s="8">
        <f t="shared" si="86"/>
        <v>0.20699973833490801</v>
      </c>
      <c r="O390">
        <v>6.9588297904073004E-2</v>
      </c>
      <c r="P390">
        <v>-0.14531509683644001</v>
      </c>
      <c r="Q390">
        <v>-1.2255164302901999E-2</v>
      </c>
      <c r="R390">
        <v>-0.18292950180053999</v>
      </c>
      <c r="S390">
        <f t="shared" si="87"/>
        <v>1.1379210127498445</v>
      </c>
      <c r="T390">
        <f t="shared" si="88"/>
        <v>-29.421507141424058</v>
      </c>
      <c r="U390" s="9">
        <f t="shared" si="89"/>
        <v>0.99116274687053141</v>
      </c>
      <c r="V390" s="9">
        <f t="shared" si="90"/>
        <v>-0.55898178903582763</v>
      </c>
    </row>
    <row r="391" spans="1:22" x14ac:dyDescent="0.25">
      <c r="A391">
        <v>4.2</v>
      </c>
      <c r="B391">
        <v>16.100000000000001</v>
      </c>
      <c r="C391">
        <v>-0.16442002389134999</v>
      </c>
      <c r="D391">
        <v>-6.1986040487881998E-2</v>
      </c>
      <c r="E391">
        <v>0.83557379773239004</v>
      </c>
      <c r="F391">
        <v>-6.8809387837934999E-2</v>
      </c>
      <c r="G391">
        <f t="shared" si="79"/>
        <v>2.12557142011303</v>
      </c>
      <c r="H391">
        <f t="shared" si="80"/>
        <v>-1.0425916901187899</v>
      </c>
      <c r="I391">
        <f t="shared" si="81"/>
        <v>2.1255799704050098</v>
      </c>
      <c r="J391">
        <f t="shared" si="82"/>
        <v>-1.0460033451622599</v>
      </c>
      <c r="K391" s="8">
        <f t="shared" si="83"/>
        <v>-8.5502919797697496E-6</v>
      </c>
      <c r="L391" s="8">
        <f t="shared" si="84"/>
        <v>3.4116550434699598E-3</v>
      </c>
      <c r="M391" s="8">
        <f t="shared" si="85"/>
        <v>0.378741842365938</v>
      </c>
      <c r="N391" s="8">
        <f t="shared" si="86"/>
        <v>0.18637983025037699</v>
      </c>
      <c r="O391">
        <v>6.0856111871822001E-2</v>
      </c>
      <c r="P391">
        <v>-0.15543287349963</v>
      </c>
      <c r="Q391">
        <v>-2.6508970605312002E-2</v>
      </c>
      <c r="R391">
        <v>-0.18767725149003001</v>
      </c>
      <c r="S391">
        <f t="shared" si="87"/>
        <v>1.1355036676719159</v>
      </c>
      <c r="T391">
        <f t="shared" si="88"/>
        <v>-29.421376202781179</v>
      </c>
      <c r="U391" s="9">
        <f t="shared" si="89"/>
        <v>0.98905844277734356</v>
      </c>
      <c r="V391" s="9">
        <f t="shared" si="90"/>
        <v>-0.55779205450349423</v>
      </c>
    </row>
    <row r="392" spans="1:22" x14ac:dyDescent="0.25">
      <c r="A392">
        <v>4.2</v>
      </c>
      <c r="B392">
        <v>16.2</v>
      </c>
      <c r="C392">
        <v>-0.17388858284818001</v>
      </c>
      <c r="D392">
        <v>-5.0836521487864002E-2</v>
      </c>
      <c r="E392">
        <v>0.82610038697095001</v>
      </c>
      <c r="F392">
        <v>-5.7791209505087003E-2</v>
      </c>
      <c r="G392">
        <f t="shared" si="79"/>
        <v>2.1197396205822598</v>
      </c>
      <c r="H392">
        <f t="shared" si="80"/>
        <v>-0.81650856009285799</v>
      </c>
      <c r="I392">
        <f t="shared" si="81"/>
        <v>2.1197461974366201</v>
      </c>
      <c r="J392">
        <f t="shared" si="82"/>
        <v>-0.81998590040932995</v>
      </c>
      <c r="K392" s="8">
        <f t="shared" si="83"/>
        <v>-6.5768543602295901E-6</v>
      </c>
      <c r="L392" s="8">
        <f t="shared" si="84"/>
        <v>3.47734031647196E-3</v>
      </c>
      <c r="M392" s="8">
        <f t="shared" si="85"/>
        <v>0.41035016776023098</v>
      </c>
      <c r="N392" s="8">
        <f t="shared" si="86"/>
        <v>0.15873662243191899</v>
      </c>
      <c r="O392">
        <v>5.0386311621343001E-2</v>
      </c>
      <c r="P392">
        <v>-0.16444409324395001</v>
      </c>
      <c r="Q392">
        <v>-4.1800985097595E-2</v>
      </c>
      <c r="R392">
        <v>-0.19034188848118999</v>
      </c>
      <c r="S392">
        <f t="shared" si="87"/>
        <v>1.1330748065125975</v>
      </c>
      <c r="T392">
        <f t="shared" si="88"/>
        <v>-29.421372613698704</v>
      </c>
      <c r="U392" s="9">
        <f t="shared" si="89"/>
        <v>0.98694286524660857</v>
      </c>
      <c r="V392" s="9">
        <f t="shared" si="90"/>
        <v>-0.55659886623346155</v>
      </c>
    </row>
    <row r="393" spans="1:22" x14ac:dyDescent="0.25">
      <c r="A393">
        <v>4.2</v>
      </c>
      <c r="B393">
        <v>16.3</v>
      </c>
      <c r="C393">
        <v>-0.18172584115252999</v>
      </c>
      <c r="D393">
        <v>-3.8108950120469998E-2</v>
      </c>
      <c r="E393">
        <v>0.81825888648429002</v>
      </c>
      <c r="F393">
        <v>-4.5199058655667E-2</v>
      </c>
      <c r="G393">
        <f t="shared" si="79"/>
        <v>2.1139565597581602</v>
      </c>
      <c r="H393">
        <f t="shared" si="80"/>
        <v>-0.59735682118695399</v>
      </c>
      <c r="I393">
        <f t="shared" si="81"/>
        <v>2.1139614910579798</v>
      </c>
      <c r="J393">
        <f t="shared" si="82"/>
        <v>-0.600901885043578</v>
      </c>
      <c r="K393" s="8">
        <f t="shared" si="83"/>
        <v>-4.9312998195993902E-6</v>
      </c>
      <c r="L393" s="8">
        <f t="shared" si="84"/>
        <v>3.5450638566240102E-3</v>
      </c>
      <c r="M393" s="8">
        <f t="shared" si="85"/>
        <v>0.43768077473160699</v>
      </c>
      <c r="N393" s="8">
        <f t="shared" si="86"/>
        <v>0.12441248513563501</v>
      </c>
      <c r="O393">
        <v>3.8418061609900002E-2</v>
      </c>
      <c r="P393">
        <v>-0.1719202915487</v>
      </c>
      <c r="Q393">
        <v>-5.7650714006796999E-2</v>
      </c>
      <c r="R393">
        <v>-0.19064995860091</v>
      </c>
      <c r="S393">
        <f t="shared" si="87"/>
        <v>1.1306495559416516</v>
      </c>
      <c r="T393">
        <f t="shared" si="88"/>
        <v>-29.421422875439152</v>
      </c>
      <c r="U393" s="9">
        <f t="shared" si="89"/>
        <v>0.98482991048602619</v>
      </c>
      <c r="V393" s="9">
        <f t="shared" si="90"/>
        <v>-0.55540837746935323</v>
      </c>
    </row>
    <row r="394" spans="1:22" x14ac:dyDescent="0.25">
      <c r="A394">
        <v>4.2</v>
      </c>
      <c r="B394">
        <v>16.399999999999999</v>
      </c>
      <c r="C394">
        <v>-0.18756721619757</v>
      </c>
      <c r="D394">
        <v>-2.4200666060164001E-2</v>
      </c>
      <c r="E394">
        <v>0.81241235074853002</v>
      </c>
      <c r="F394">
        <v>-3.1427039781265001E-2</v>
      </c>
      <c r="G394">
        <f t="shared" si="79"/>
        <v>2.1082181524098602</v>
      </c>
      <c r="H394">
        <f t="shared" si="80"/>
        <v>-0.38493840035825999</v>
      </c>
      <c r="I394">
        <f t="shared" si="81"/>
        <v>2.10822099112751</v>
      </c>
      <c r="J394">
        <f t="shared" si="82"/>
        <v>-0.38855161387648701</v>
      </c>
      <c r="K394" s="8">
        <f t="shared" si="83"/>
        <v>-2.8387176498334601E-6</v>
      </c>
      <c r="L394" s="8">
        <f t="shared" si="84"/>
        <v>3.61321351822702E-3</v>
      </c>
      <c r="M394" s="8">
        <f t="shared" si="85"/>
        <v>0.45875089725192503</v>
      </c>
      <c r="N394" s="8">
        <f t="shared" si="86"/>
        <v>8.4549201551774297E-2</v>
      </c>
      <c r="O394">
        <v>2.5325471535636E-2</v>
      </c>
      <c r="P394">
        <v>-0.17751758173078999</v>
      </c>
      <c r="Q394">
        <v>-7.3495543436479002E-2</v>
      </c>
      <c r="R394">
        <v>-0.18848399366623</v>
      </c>
      <c r="S394">
        <f t="shared" si="87"/>
        <v>1.1282169565328448</v>
      </c>
      <c r="T394">
        <f t="shared" si="88"/>
        <v>-29.42158676747934</v>
      </c>
      <c r="U394" s="9">
        <f t="shared" si="89"/>
        <v>0.98270945762596862</v>
      </c>
      <c r="V394" s="9">
        <f t="shared" si="90"/>
        <v>-0.5542162239602062</v>
      </c>
    </row>
    <row r="395" spans="1:22" x14ac:dyDescent="0.25">
      <c r="A395">
        <v>4.2</v>
      </c>
      <c r="B395">
        <v>16.5</v>
      </c>
      <c r="C395">
        <v>-0.19118415775858999</v>
      </c>
      <c r="D395">
        <v>-9.6108876549946005E-3</v>
      </c>
      <c r="E395">
        <v>0.80879145016717002</v>
      </c>
      <c r="F395">
        <v>-1.6974359414857001E-2</v>
      </c>
      <c r="G395">
        <f t="shared" si="79"/>
        <v>2.1025325939731201</v>
      </c>
      <c r="H395">
        <f t="shared" si="80"/>
        <v>-0.179096114080984</v>
      </c>
      <c r="I395">
        <f t="shared" si="81"/>
        <v>2.1025339532785701</v>
      </c>
      <c r="J395">
        <f t="shared" si="82"/>
        <v>-0.18277788985938601</v>
      </c>
      <c r="K395" s="8">
        <f t="shared" si="83"/>
        <v>-1.3593054499771999E-6</v>
      </c>
      <c r="L395" s="8">
        <f t="shared" si="84"/>
        <v>3.6817757784020099E-3</v>
      </c>
      <c r="M395" s="8">
        <f t="shared" si="85"/>
        <v>0.47204920285525798</v>
      </c>
      <c r="N395" s="8">
        <f t="shared" si="86"/>
        <v>4.1036272956804801E-2</v>
      </c>
      <c r="O395">
        <v>1.1579073151277E-2</v>
      </c>
      <c r="P395">
        <v>-0.18101659528698</v>
      </c>
      <c r="Q395">
        <v>-8.8752500241754004E-2</v>
      </c>
      <c r="R395">
        <v>-0.18390542217253</v>
      </c>
      <c r="S395">
        <f t="shared" si="87"/>
        <v>1.1257802212345462</v>
      </c>
      <c r="T395">
        <f t="shared" si="88"/>
        <v>-29.421939472893627</v>
      </c>
      <c r="U395" s="9">
        <f t="shared" si="89"/>
        <v>0.98058358667872314</v>
      </c>
      <c r="V395" s="9">
        <f t="shared" si="90"/>
        <v>-0.55302525806620706</v>
      </c>
    </row>
    <row r="396" spans="1:22" x14ac:dyDescent="0.25">
      <c r="A396">
        <v>4.2</v>
      </c>
      <c r="B396">
        <v>16.600000000000001</v>
      </c>
      <c r="C396">
        <v>-0.19251455667674</v>
      </c>
      <c r="D396">
        <v>5.1176899517701999E-3</v>
      </c>
      <c r="E396">
        <v>0.80745458924593005</v>
      </c>
      <c r="F396">
        <v>-2.3925848841056998E-3</v>
      </c>
      <c r="G396">
        <f t="shared" si="79"/>
        <v>2.0968686882447698</v>
      </c>
      <c r="H396">
        <f t="shared" si="80"/>
        <v>2.02558757951572E-2</v>
      </c>
      <c r="I396">
        <f t="shared" si="81"/>
        <v>2.09686736247891</v>
      </c>
      <c r="J396">
        <f t="shared" si="82"/>
        <v>1.6500675467165601E-2</v>
      </c>
      <c r="K396" s="8">
        <f t="shared" si="83"/>
        <v>1.32576585976096E-6</v>
      </c>
      <c r="L396" s="8">
        <f t="shared" si="84"/>
        <v>3.7552003279915998E-3</v>
      </c>
      <c r="M396" s="8">
        <f t="shared" si="85"/>
        <v>0.47687235605233902</v>
      </c>
      <c r="N396" s="8">
        <f t="shared" si="86"/>
        <v>-3.7526054948844702E-3</v>
      </c>
      <c r="O396">
        <v>-2.3088323548792998E-3</v>
      </c>
      <c r="P396">
        <v>-0.18235397216491001</v>
      </c>
      <c r="Q396">
        <v>-0.10288936815231001</v>
      </c>
      <c r="R396">
        <v>-0.17715330073591001</v>
      </c>
      <c r="S396">
        <f t="shared" si="87"/>
        <v>1.1233547728468958</v>
      </c>
      <c r="T396">
        <f t="shared" si="88"/>
        <v>-29.422314533553653</v>
      </c>
      <c r="U396" s="9">
        <f t="shared" si="89"/>
        <v>0.97846734627472254</v>
      </c>
      <c r="V396" s="9">
        <f t="shared" si="90"/>
        <v>-0.55184019240356441</v>
      </c>
    </row>
    <row r="397" spans="1:22" x14ac:dyDescent="0.25">
      <c r="A397">
        <v>4.2</v>
      </c>
      <c r="B397">
        <v>16.7</v>
      </c>
      <c r="C397">
        <v>-0.19166270081461001</v>
      </c>
      <c r="D397">
        <v>1.9465720418053001E-2</v>
      </c>
      <c r="E397">
        <v>0.80830161033813996</v>
      </c>
      <c r="F397">
        <v>1.1811496888221E-2</v>
      </c>
      <c r="G397">
        <f t="shared" si="79"/>
        <v>2.0912598880025799</v>
      </c>
      <c r="H397">
        <f t="shared" si="80"/>
        <v>0.21332615372029301</v>
      </c>
      <c r="I397">
        <f t="shared" si="81"/>
        <v>2.09125669061457</v>
      </c>
      <c r="J397">
        <f t="shared" si="82"/>
        <v>0.209498961424575</v>
      </c>
      <c r="K397" s="8">
        <f t="shared" si="83"/>
        <v>3.1973880099123198E-6</v>
      </c>
      <c r="L397" s="8">
        <f t="shared" si="84"/>
        <v>3.8271922957180101E-3</v>
      </c>
      <c r="M397" s="8">
        <f t="shared" si="85"/>
        <v>0.47343015684982698</v>
      </c>
      <c r="N397" s="8">
        <f t="shared" si="86"/>
        <v>-4.7427523657062501E-2</v>
      </c>
      <c r="O397">
        <v>-1.5846556984548999E-2</v>
      </c>
      <c r="P397">
        <v>-0.18162815158918</v>
      </c>
      <c r="Q397">
        <v>-0.11548584993159</v>
      </c>
      <c r="R397">
        <v>-0.16860611203268999</v>
      </c>
      <c r="S397">
        <f t="shared" si="87"/>
        <v>1.1209246237288526</v>
      </c>
      <c r="T397">
        <f t="shared" si="88"/>
        <v>-29.422710916956987</v>
      </c>
      <c r="U397" s="9">
        <f t="shared" si="89"/>
        <v>0.97634682207407841</v>
      </c>
      <c r="V397" s="9">
        <f t="shared" si="90"/>
        <v>-0.55065315318040042</v>
      </c>
    </row>
    <row r="398" spans="1:22" x14ac:dyDescent="0.25">
      <c r="A398">
        <v>4.2</v>
      </c>
      <c r="B398">
        <v>16.8</v>
      </c>
      <c r="C398">
        <v>-0.18887111896805001</v>
      </c>
      <c r="D398">
        <v>3.2993351688105001E-2</v>
      </c>
      <c r="E398">
        <v>0.81108912237649999</v>
      </c>
      <c r="F398">
        <v>2.5191894928164999E-2</v>
      </c>
      <c r="G398">
        <f t="shared" si="79"/>
        <v>2.0856949328082099</v>
      </c>
      <c r="H398">
        <f t="shared" si="80"/>
        <v>0.40019374558845</v>
      </c>
      <c r="I398">
        <f t="shared" si="81"/>
        <v>2.0856902694431101</v>
      </c>
      <c r="J398">
        <f t="shared" si="82"/>
        <v>0.39629292147219902</v>
      </c>
      <c r="K398" s="8">
        <f t="shared" si="83"/>
        <v>4.6633650998550999E-6</v>
      </c>
      <c r="L398" s="8">
        <f t="shared" si="84"/>
        <v>3.90082411625098E-3</v>
      </c>
      <c r="M398" s="8">
        <f t="shared" si="85"/>
        <v>0.46275126262795102</v>
      </c>
      <c r="N398" s="8">
        <f t="shared" si="86"/>
        <v>-8.7925351366166096E-2</v>
      </c>
      <c r="O398">
        <v>-2.8617221533099001E-2</v>
      </c>
      <c r="P398">
        <v>-0.17906470996408</v>
      </c>
      <c r="Q398">
        <v>-0.12627061061346001</v>
      </c>
      <c r="R398">
        <v>-0.15872583177381</v>
      </c>
      <c r="S398">
        <f t="shared" si="87"/>
        <v>1.118499859924716</v>
      </c>
      <c r="T398">
        <f t="shared" si="88"/>
        <v>-29.423239889031205</v>
      </c>
      <c r="U398" s="9">
        <f t="shared" si="89"/>
        <v>0.97422973350492381</v>
      </c>
      <c r="V398" s="9">
        <f t="shared" si="90"/>
        <v>-0.54947098468120614</v>
      </c>
    </row>
    <row r="399" spans="1:22" x14ac:dyDescent="0.25">
      <c r="A399">
        <v>4.2</v>
      </c>
      <c r="B399">
        <v>16.899999999999999</v>
      </c>
      <c r="C399">
        <v>-0.18447431537905001</v>
      </c>
      <c r="D399">
        <v>4.5375437614197003E-2</v>
      </c>
      <c r="E399">
        <v>0.81548469338859997</v>
      </c>
      <c r="F399">
        <v>3.7424943764882E-2</v>
      </c>
      <c r="G399">
        <f t="shared" si="79"/>
        <v>2.0801825564899401</v>
      </c>
      <c r="H399">
        <f t="shared" si="80"/>
        <v>0.58097389073628103</v>
      </c>
      <c r="I399">
        <f t="shared" si="81"/>
        <v>2.08017786376376</v>
      </c>
      <c r="J399">
        <f t="shared" si="82"/>
        <v>0.57699854367969206</v>
      </c>
      <c r="K399" s="8">
        <f t="shared" si="83"/>
        <v>4.6927261800888704E-6</v>
      </c>
      <c r="L399" s="8">
        <f t="shared" si="84"/>
        <v>3.9753470565889702E-3</v>
      </c>
      <c r="M399" s="8">
        <f t="shared" si="85"/>
        <v>0.44638365624013698</v>
      </c>
      <c r="N399" s="8">
        <f t="shared" si="86"/>
        <v>-0.12381764274087401</v>
      </c>
      <c r="O399">
        <v>-4.0311773904246E-2</v>
      </c>
      <c r="P399">
        <v>-0.17497858983900999</v>
      </c>
      <c r="Q399">
        <v>-0.13512718923643999</v>
      </c>
      <c r="R399">
        <v>-0.14799657846063999</v>
      </c>
      <c r="S399">
        <f t="shared" si="87"/>
        <v>1.1160788145006149</v>
      </c>
      <c r="T399">
        <f t="shared" si="88"/>
        <v>-29.423906667482164</v>
      </c>
      <c r="U399" s="9">
        <f t="shared" si="89"/>
        <v>0.97211458685629926</v>
      </c>
      <c r="V399" s="9">
        <f t="shared" si="90"/>
        <v>-0.54829294195557954</v>
      </c>
    </row>
    <row r="400" spans="1:22" x14ac:dyDescent="0.25">
      <c r="A400">
        <v>4.2</v>
      </c>
      <c r="B400">
        <v>17</v>
      </c>
      <c r="C400">
        <v>-0.17884839877774</v>
      </c>
      <c r="D400">
        <v>5.6412510072410001E-2</v>
      </c>
      <c r="E400">
        <v>0.82110431744824997</v>
      </c>
      <c r="F400">
        <v>4.8307733907433002E-2</v>
      </c>
      <c r="G400">
        <f t="shared" si="79"/>
        <v>2.0746808358768298</v>
      </c>
      <c r="H400">
        <f t="shared" si="80"/>
        <v>0.755695824710231</v>
      </c>
      <c r="I400">
        <f t="shared" si="81"/>
        <v>2.07467361617512</v>
      </c>
      <c r="J400">
        <f t="shared" si="82"/>
        <v>0.75164331156165198</v>
      </c>
      <c r="K400" s="8">
        <f t="shared" si="83"/>
        <v>7.2197017098041297E-6</v>
      </c>
      <c r="L400" s="8">
        <f t="shared" si="84"/>
        <v>4.0525131485790204E-3</v>
      </c>
      <c r="M400" s="8">
        <f t="shared" si="85"/>
        <v>0.42607765244739998</v>
      </c>
      <c r="N400" s="8">
        <f t="shared" si="86"/>
        <v>-0.15436568681025001</v>
      </c>
      <c r="O400">
        <v>-5.0739876317841999E-2</v>
      </c>
      <c r="P400">
        <v>-0.16972347965633999</v>
      </c>
      <c r="Q400">
        <v>-0.14207741903928001</v>
      </c>
      <c r="R400">
        <v>-0.13687243394602999</v>
      </c>
      <c r="S400">
        <f t="shared" si="87"/>
        <v>1.1136690364960562</v>
      </c>
      <c r="T400">
        <f t="shared" si="88"/>
        <v>-29.424612141694066</v>
      </c>
      <c r="U400" s="9">
        <f t="shared" si="89"/>
        <v>0.97000891220908469</v>
      </c>
      <c r="V400" s="9">
        <f t="shared" si="90"/>
        <v>-0.54712104061624478</v>
      </c>
    </row>
    <row r="401" spans="1:22" x14ac:dyDescent="0.25">
      <c r="A401">
        <v>4.4000000000000004</v>
      </c>
      <c r="B401">
        <v>15</v>
      </c>
      <c r="C401">
        <v>-6.0615509700407001E-2</v>
      </c>
      <c r="D401">
        <v>-8.8655421688765002E-2</v>
      </c>
      <c r="E401">
        <v>0.93937466906283995</v>
      </c>
      <c r="F401">
        <v>-9.4499301434954996E-2</v>
      </c>
      <c r="G401">
        <f t="shared" si="79"/>
        <v>2.01302245034401</v>
      </c>
      <c r="H401">
        <f t="shared" si="80"/>
        <v>-3.7948857117002301</v>
      </c>
      <c r="I401">
        <f t="shared" si="81"/>
        <v>2.0130260774870101</v>
      </c>
      <c r="J401">
        <f t="shared" si="82"/>
        <v>-3.7978076553235498</v>
      </c>
      <c r="K401" s="8">
        <f t="shared" si="83"/>
        <v>-3.6271430001733098E-6</v>
      </c>
      <c r="L401" s="8">
        <f t="shared" si="84"/>
        <v>2.92194362331966E-3</v>
      </c>
      <c r="M401" s="8">
        <f t="shared" si="85"/>
        <v>0.108955824325593</v>
      </c>
      <c r="N401" s="8">
        <f t="shared" si="86"/>
        <v>0.20555782577461201</v>
      </c>
      <c r="O401">
        <v>8.2025240480054995E-2</v>
      </c>
      <c r="P401">
        <v>-5.5054734748343E-2</v>
      </c>
      <c r="Q401">
        <v>5.1450936922014003E-2</v>
      </c>
      <c r="R401">
        <v>-0.10218383331271</v>
      </c>
      <c r="S401">
        <f t="shared" si="87"/>
        <v>1.1580905737695661</v>
      </c>
      <c r="T401">
        <f t="shared" si="88"/>
        <v>-29.404909526362147</v>
      </c>
      <c r="U401" s="9">
        <f t="shared" si="89"/>
        <v>1.0088957844620685</v>
      </c>
      <c r="V401" s="9">
        <f t="shared" si="90"/>
        <v>-0.56859746143347356</v>
      </c>
    </row>
    <row r="402" spans="1:22" x14ac:dyDescent="0.25">
      <c r="A402">
        <v>4.4000000000000004</v>
      </c>
      <c r="B402" s="1">
        <v>15.1</v>
      </c>
      <c r="C402">
        <v>-6.7542269009459005E-2</v>
      </c>
      <c r="D402">
        <v>-9.1389024607669997E-2</v>
      </c>
      <c r="E402">
        <v>0.93245615532919002</v>
      </c>
      <c r="F402">
        <v>-9.7347655565340002E-2</v>
      </c>
      <c r="G402">
        <f t="shared" si="79"/>
        <v>2.00763720110651</v>
      </c>
      <c r="H402">
        <f t="shared" si="80"/>
        <v>-3.5020820439112099</v>
      </c>
      <c r="I402">
        <f t="shared" si="81"/>
        <v>2.0076452895381198</v>
      </c>
      <c r="J402">
        <f t="shared" si="82"/>
        <v>-3.5050613376392201</v>
      </c>
      <c r="K402" s="8">
        <f t="shared" si="83"/>
        <v>-8.0884316098206505E-6</v>
      </c>
      <c r="L402" s="8">
        <f t="shared" si="84"/>
        <v>2.9792937280101999E-3</v>
      </c>
      <c r="M402" s="8">
        <f t="shared" si="85"/>
        <v>0.123046926368325</v>
      </c>
      <c r="N402" s="8">
        <f t="shared" si="86"/>
        <v>0.214822322736194</v>
      </c>
      <c r="O402">
        <v>8.4461195732519007E-2</v>
      </c>
      <c r="P402">
        <v>-6.1277884263156002E-2</v>
      </c>
      <c r="Q402">
        <v>5.0326154370243001E-2</v>
      </c>
      <c r="R402">
        <v>-0.10974719763368</v>
      </c>
      <c r="S402">
        <f t="shared" si="87"/>
        <v>1.1570420053339787</v>
      </c>
      <c r="T402">
        <f t="shared" si="88"/>
        <v>-29.404039755498253</v>
      </c>
      <c r="U402" s="9">
        <f t="shared" si="89"/>
        <v>1.0079909248555108</v>
      </c>
      <c r="V402" s="9">
        <f t="shared" si="90"/>
        <v>-0.56806733537161502</v>
      </c>
    </row>
    <row r="403" spans="1:22" x14ac:dyDescent="0.25">
      <c r="A403">
        <v>4.4000000000000004</v>
      </c>
      <c r="B403" s="1">
        <v>15.2</v>
      </c>
      <c r="C403">
        <v>-7.5247633456189997E-2</v>
      </c>
      <c r="D403">
        <v>-9.3771436311587006E-2</v>
      </c>
      <c r="E403">
        <v>0.92475203447524001</v>
      </c>
      <c r="F403">
        <v>-9.9848687663871005E-2</v>
      </c>
      <c r="G403">
        <f t="shared" si="79"/>
        <v>2.0025131007100501</v>
      </c>
      <c r="H403">
        <f t="shared" si="80"/>
        <v>-3.2180949477475398</v>
      </c>
      <c r="I403">
        <f t="shared" si="81"/>
        <v>2.0025221678410898</v>
      </c>
      <c r="J403">
        <f t="shared" si="82"/>
        <v>-3.22113354637658</v>
      </c>
      <c r="K403" s="8">
        <f t="shared" si="83"/>
        <v>-9.0671310397638598E-6</v>
      </c>
      <c r="L403" s="8">
        <f t="shared" si="84"/>
        <v>3.0385986290402101E-3</v>
      </c>
      <c r="M403" s="8">
        <f t="shared" si="85"/>
        <v>0.13920134264696901</v>
      </c>
      <c r="N403" s="8">
        <f t="shared" si="86"/>
        <v>0.22391068708328701</v>
      </c>
      <c r="O403">
        <v>8.6671817744335994E-2</v>
      </c>
      <c r="P403">
        <v>-6.8273231335929996E-2</v>
      </c>
      <c r="Q403">
        <v>4.8485558683936003E-2</v>
      </c>
      <c r="R403">
        <v>-0.11781902442162</v>
      </c>
      <c r="S403">
        <f t="shared" si="87"/>
        <v>1.1547427877051424</v>
      </c>
      <c r="T403">
        <f t="shared" si="88"/>
        <v>-29.403318767989269</v>
      </c>
      <c r="U403" s="9">
        <f t="shared" si="89"/>
        <v>1.0059950283393817</v>
      </c>
      <c r="V403" s="9">
        <f t="shared" si="90"/>
        <v>-0.56692584057660467</v>
      </c>
    </row>
    <row r="404" spans="1:22" x14ac:dyDescent="0.25">
      <c r="A404">
        <v>4.4000000000000004</v>
      </c>
      <c r="B404" s="1">
        <v>15.3</v>
      </c>
      <c r="C404">
        <v>-8.3770993060725996E-2</v>
      </c>
      <c r="D404">
        <v>-9.5661575085115996E-2</v>
      </c>
      <c r="E404">
        <v>0.91622899577385997</v>
      </c>
      <c r="F404">
        <v>-0.1018598293686</v>
      </c>
      <c r="G404">
        <f t="shared" si="79"/>
        <v>1.99745263771298</v>
      </c>
      <c r="H404">
        <f t="shared" si="80"/>
        <v>-2.9427946070382398</v>
      </c>
      <c r="I404">
        <f t="shared" si="81"/>
        <v>1.9974622366272199</v>
      </c>
      <c r="J404">
        <f t="shared" si="82"/>
        <v>-2.9458937044490101</v>
      </c>
      <c r="K404" s="8">
        <f t="shared" si="83"/>
        <v>-9.5989142399055504E-6</v>
      </c>
      <c r="L404" s="8">
        <f t="shared" si="84"/>
        <v>3.0990974107703E-3</v>
      </c>
      <c r="M404" s="8">
        <f t="shared" si="85"/>
        <v>0.15767598335227401</v>
      </c>
      <c r="N404" s="8">
        <f t="shared" si="86"/>
        <v>0.232543413428727</v>
      </c>
      <c r="O404">
        <v>8.8443744258630996E-2</v>
      </c>
      <c r="P404">
        <v>-7.6017350582956E-2</v>
      </c>
      <c r="Q404">
        <v>4.5785906354544E-2</v>
      </c>
      <c r="R404">
        <v>-0.12635674532197</v>
      </c>
      <c r="S404">
        <f t="shared" si="87"/>
        <v>1.1523995622215977</v>
      </c>
      <c r="T404">
        <f t="shared" si="88"/>
        <v>-29.402758431522063</v>
      </c>
      <c r="U404" s="9">
        <f t="shared" si="89"/>
        <v>1.0039591776432994</v>
      </c>
      <c r="V404" s="9">
        <f t="shared" si="90"/>
        <v>-0.56576560573643919</v>
      </c>
    </row>
    <row r="405" spans="1:22" x14ac:dyDescent="0.25">
      <c r="A405">
        <v>4.4000000000000004</v>
      </c>
      <c r="B405" s="1">
        <v>15.4</v>
      </c>
      <c r="C405">
        <v>-9.3134093137013998E-2</v>
      </c>
      <c r="D405">
        <v>-9.6885662956659999E-2</v>
      </c>
      <c r="E405">
        <v>0.90686580606200995</v>
      </c>
      <c r="F405">
        <v>-0.10320775440052</v>
      </c>
      <c r="G405">
        <f t="shared" si="79"/>
        <v>1.9924369606741601</v>
      </c>
      <c r="H405">
        <f t="shared" si="80"/>
        <v>-2.6758544521830299</v>
      </c>
      <c r="I405">
        <f t="shared" si="81"/>
        <v>1.9924469023854099</v>
      </c>
      <c r="J405">
        <f t="shared" si="82"/>
        <v>-2.6790154666380901</v>
      </c>
      <c r="K405" s="8">
        <f t="shared" si="83"/>
        <v>-9.9417112497945903E-6</v>
      </c>
      <c r="L405" s="8">
        <f t="shared" si="84"/>
        <v>3.1610144550602301E-3</v>
      </c>
      <c r="M405" s="8">
        <f t="shared" si="85"/>
        <v>0.17874338634277201</v>
      </c>
      <c r="N405" s="8">
        <f t="shared" si="86"/>
        <v>0.24033578811975101</v>
      </c>
      <c r="O405">
        <v>8.9616975368488005E-2</v>
      </c>
      <c r="P405">
        <v>-8.4529504823348006E-2</v>
      </c>
      <c r="Q405">
        <v>4.2062577464513001E-2</v>
      </c>
      <c r="R405">
        <v>-0.13528811621046999</v>
      </c>
      <c r="S405">
        <f t="shared" si="87"/>
        <v>1.1500370598527032</v>
      </c>
      <c r="T405">
        <f t="shared" si="88"/>
        <v>-29.402298794554348</v>
      </c>
      <c r="U405" s="9">
        <f t="shared" si="89"/>
        <v>1.0019055181241177</v>
      </c>
      <c r="V405" s="9">
        <f t="shared" si="90"/>
        <v>-0.56459770791873876</v>
      </c>
    </row>
    <row r="406" spans="1:22" x14ac:dyDescent="0.25">
      <c r="A406">
        <v>4.4000000000000004</v>
      </c>
      <c r="B406" s="1">
        <v>15.5</v>
      </c>
      <c r="C406">
        <v>-0.1033248489369</v>
      </c>
      <c r="D406">
        <v>-9.7239837587187003E-2</v>
      </c>
      <c r="E406">
        <v>0.89667466421344</v>
      </c>
      <c r="F406">
        <v>-0.10368886026703</v>
      </c>
      <c r="G406">
        <f t="shared" si="79"/>
        <v>1.98745931205575</v>
      </c>
      <c r="H406">
        <f t="shared" si="80"/>
        <v>-2.4169821657056598</v>
      </c>
      <c r="I406">
        <f t="shared" si="81"/>
        <v>1.98746946600373</v>
      </c>
      <c r="J406">
        <f t="shared" si="82"/>
        <v>-2.4202066450889701</v>
      </c>
      <c r="K406" s="8">
        <f t="shared" si="83"/>
        <v>-1.0153947979985E-5</v>
      </c>
      <c r="L406" s="8">
        <f t="shared" si="84"/>
        <v>3.22447938331027E-3</v>
      </c>
      <c r="M406" s="8">
        <f t="shared" si="85"/>
        <v>0.20264926039655001</v>
      </c>
      <c r="N406" s="8">
        <f t="shared" si="86"/>
        <v>0.246772639793187</v>
      </c>
      <c r="O406">
        <v>9.0005162908669001E-2</v>
      </c>
      <c r="P406">
        <v>-9.3798996741004004E-2</v>
      </c>
      <c r="Q406">
        <v>3.7142149907248997E-2</v>
      </c>
      <c r="R406">
        <v>-0.14449573297661</v>
      </c>
      <c r="S406">
        <f t="shared" si="87"/>
        <v>1.1476663922662245</v>
      </c>
      <c r="T406">
        <f t="shared" si="88"/>
        <v>-29.401942079109538</v>
      </c>
      <c r="U406" s="9">
        <f t="shared" si="89"/>
        <v>0.99984371431545149</v>
      </c>
      <c r="V406" s="9">
        <f t="shared" si="90"/>
        <v>-0.56342763056248235</v>
      </c>
    </row>
    <row r="407" spans="1:22" x14ac:dyDescent="0.25">
      <c r="A407">
        <v>4.4000000000000004</v>
      </c>
      <c r="B407">
        <v>15.6</v>
      </c>
      <c r="C407">
        <v>-0.11428324686445</v>
      </c>
      <c r="D407">
        <v>-9.6494710468828002E-2</v>
      </c>
      <c r="E407">
        <v>0.88571550316919001</v>
      </c>
      <c r="F407">
        <v>-0.10307381548378999</v>
      </c>
      <c r="G407">
        <f t="shared" si="79"/>
        <v>1.9825161665554001</v>
      </c>
      <c r="H407">
        <f t="shared" si="80"/>
        <v>-2.16591003707806</v>
      </c>
      <c r="I407">
        <f t="shared" si="81"/>
        <v>1.9825263626307199</v>
      </c>
      <c r="J407">
        <f t="shared" si="82"/>
        <v>-2.1691995581009098</v>
      </c>
      <c r="K407" s="8">
        <f t="shared" si="83"/>
        <v>-1.01960753198238E-5</v>
      </c>
      <c r="L407" s="8">
        <f t="shared" si="84"/>
        <v>3.2895210228498502E-3</v>
      </c>
      <c r="M407" s="8">
        <f t="shared" si="85"/>
        <v>0.22956966968303799</v>
      </c>
      <c r="N407" s="8">
        <f t="shared" si="86"/>
        <v>0.25118577761004801</v>
      </c>
      <c r="O407">
        <v>8.9399556611578002E-2</v>
      </c>
      <c r="P407">
        <v>-0.10377264943469</v>
      </c>
      <c r="Q407">
        <v>3.0853779707111E-2</v>
      </c>
      <c r="R407">
        <v>-0.15380672306672</v>
      </c>
      <c r="S407">
        <f t="shared" si="87"/>
        <v>1.1452854844468023</v>
      </c>
      <c r="T407">
        <f t="shared" si="88"/>
        <v>-29.401676589153549</v>
      </c>
      <c r="U407" s="9">
        <f t="shared" si="89"/>
        <v>0.99777207947153346</v>
      </c>
      <c r="V407" s="9">
        <f t="shared" si="90"/>
        <v>-0.56225414032410537</v>
      </c>
    </row>
    <row r="408" spans="1:22" x14ac:dyDescent="0.25">
      <c r="A408">
        <v>4.4000000000000004</v>
      </c>
      <c r="B408">
        <v>15.7</v>
      </c>
      <c r="C408">
        <v>-0.12588595802583999</v>
      </c>
      <c r="D408">
        <v>-9.4405467645443997E-2</v>
      </c>
      <c r="E408">
        <v>0.87411487081343997</v>
      </c>
      <c r="F408">
        <v>-0.10112292253691001</v>
      </c>
      <c r="G408">
        <f t="shared" si="79"/>
        <v>1.97756754945561</v>
      </c>
      <c r="H408">
        <f t="shared" si="80"/>
        <v>-1.9224333228500201</v>
      </c>
      <c r="I408">
        <f t="shared" si="81"/>
        <v>1.9775792447838401</v>
      </c>
      <c r="J408">
        <f t="shared" si="82"/>
        <v>-1.9257920096224299</v>
      </c>
      <c r="K408" s="8">
        <f t="shared" si="83"/>
        <v>-1.1695328230088001E-5</v>
      </c>
      <c r="L408" s="8">
        <f t="shared" si="84"/>
        <v>3.3586867724097998E-3</v>
      </c>
      <c r="M408" s="8">
        <f t="shared" si="85"/>
        <v>0.25954205177662099</v>
      </c>
      <c r="N408" s="8">
        <f t="shared" si="86"/>
        <v>0.25274537583805301</v>
      </c>
      <c r="O408">
        <v>8.7576194176102004E-2</v>
      </c>
      <c r="P408">
        <v>-0.11433878426089999</v>
      </c>
      <c r="Q408">
        <v>2.3045851213876999E-2</v>
      </c>
      <c r="R408">
        <v>-0.16298336914016001</v>
      </c>
      <c r="S408">
        <f t="shared" si="87"/>
        <v>1.142896386158528</v>
      </c>
      <c r="T408">
        <f t="shared" si="88"/>
        <v>-29.401536444670771</v>
      </c>
      <c r="U408" s="9">
        <f t="shared" si="89"/>
        <v>0.99569207075859323</v>
      </c>
      <c r="V408" s="9">
        <f t="shared" si="90"/>
        <v>-0.56107882665690356</v>
      </c>
    </row>
    <row r="409" spans="1:22" x14ac:dyDescent="0.25">
      <c r="A409">
        <v>4.4000000000000004</v>
      </c>
      <c r="B409">
        <v>15.8</v>
      </c>
      <c r="C409">
        <v>-0.13793252230097</v>
      </c>
      <c r="D409">
        <v>-9.0730559558556995E-2</v>
      </c>
      <c r="E409">
        <v>0.86206474343626005</v>
      </c>
      <c r="F409">
        <v>-9.7582945234342994E-2</v>
      </c>
      <c r="G409">
        <f t="shared" si="79"/>
        <v>1.9727036414582699</v>
      </c>
      <c r="H409">
        <f t="shared" si="80"/>
        <v>-1.6862131694270499</v>
      </c>
      <c r="I409">
        <f t="shared" si="81"/>
        <v>1.9727140130327301</v>
      </c>
      <c r="J409">
        <f t="shared" si="82"/>
        <v>-1.68963933141394</v>
      </c>
      <c r="K409" s="8">
        <f t="shared" si="83"/>
        <v>-1.03715744601551E-5</v>
      </c>
      <c r="L409" s="8">
        <f t="shared" si="84"/>
        <v>3.4261619868900502E-3</v>
      </c>
      <c r="M409" s="8">
        <f t="shared" si="85"/>
        <v>0.29240634098079499</v>
      </c>
      <c r="N409" s="8">
        <f t="shared" si="86"/>
        <v>0.25044748058358901</v>
      </c>
      <c r="O409">
        <v>8.4315669690955997E-2</v>
      </c>
      <c r="P409">
        <v>-0.1253178553007</v>
      </c>
      <c r="Q409">
        <v>1.3610742116783E-2</v>
      </c>
      <c r="R409">
        <v>-0.17172551488023999</v>
      </c>
      <c r="S409">
        <f t="shared" si="87"/>
        <v>1.1405040509956059</v>
      </c>
      <c r="T409">
        <f t="shared" si="88"/>
        <v>-29.401521916702464</v>
      </c>
      <c r="U409" s="9">
        <f t="shared" si="89"/>
        <v>0.99360800878728939</v>
      </c>
      <c r="V409" s="9">
        <f t="shared" si="90"/>
        <v>-0.55990411251494276</v>
      </c>
    </row>
    <row r="410" spans="1:22" x14ac:dyDescent="0.25">
      <c r="A410">
        <v>4.4000000000000004</v>
      </c>
      <c r="B410">
        <v>15.9</v>
      </c>
      <c r="C410">
        <v>-0.15013580793240999</v>
      </c>
      <c r="D410">
        <v>-8.5257861258685994E-2</v>
      </c>
      <c r="E410">
        <v>0.84985950283020995</v>
      </c>
      <c r="F410">
        <v>-9.2249969921859007E-2</v>
      </c>
      <c r="G410">
        <f t="shared" si="79"/>
        <v>1.96785269591889</v>
      </c>
      <c r="H410">
        <f t="shared" si="80"/>
        <v>-1.45712186340342</v>
      </c>
      <c r="I410">
        <f t="shared" si="81"/>
        <v>1.96786257362717</v>
      </c>
      <c r="J410">
        <f t="shared" si="82"/>
        <v>-1.4606178913988499</v>
      </c>
      <c r="K410" s="8">
        <f t="shared" si="83"/>
        <v>-9.8777082799816895E-6</v>
      </c>
      <c r="L410" s="8">
        <f t="shared" si="84"/>
        <v>3.49602799542992E-3</v>
      </c>
      <c r="M410" s="8">
        <f t="shared" si="85"/>
        <v>0.32765557083219699</v>
      </c>
      <c r="N410" s="8">
        <f t="shared" si="86"/>
        <v>0.24319766806271001</v>
      </c>
      <c r="O410">
        <v>7.9421995434020995E-2</v>
      </c>
      <c r="P410">
        <v>-0.13644789694732001</v>
      </c>
      <c r="Q410">
        <v>2.5112431442328E-3</v>
      </c>
      <c r="R410">
        <v>-0.17966675971494001</v>
      </c>
      <c r="S410">
        <f t="shared" si="87"/>
        <v>1.1381116971690275</v>
      </c>
      <c r="T410">
        <f t="shared" si="88"/>
        <v>-29.401544262908473</v>
      </c>
      <c r="U410" s="9">
        <f t="shared" si="89"/>
        <v>0.9915235703756401</v>
      </c>
      <c r="V410" s="9">
        <f t="shared" si="90"/>
        <v>-0.55873002838804642</v>
      </c>
    </row>
    <row r="411" spans="1:22" x14ac:dyDescent="0.25">
      <c r="A411">
        <v>4.4000000000000004</v>
      </c>
      <c r="B411">
        <v>16</v>
      </c>
      <c r="C411">
        <v>-0.16212378470238001</v>
      </c>
      <c r="D411">
        <v>-7.7838288783819001E-2</v>
      </c>
      <c r="E411">
        <v>0.83786951667799003</v>
      </c>
      <c r="F411">
        <v>-8.4972323586971002E-2</v>
      </c>
      <c r="G411">
        <f t="shared" si="79"/>
        <v>1.96303279231629</v>
      </c>
      <c r="H411">
        <f t="shared" si="80"/>
        <v>-1.23492694772052</v>
      </c>
      <c r="I411">
        <f t="shared" si="81"/>
        <v>1.96304216657436</v>
      </c>
      <c r="J411">
        <f t="shared" si="82"/>
        <v>-1.2384939436309299</v>
      </c>
      <c r="K411" s="8">
        <f t="shared" si="83"/>
        <v>-9.3742580700162392E-6</v>
      </c>
      <c r="L411" s="8">
        <f t="shared" si="84"/>
        <v>3.5669959104098802E-3</v>
      </c>
      <c r="M411" s="8">
        <f t="shared" si="85"/>
        <v>0.36437641758477401</v>
      </c>
      <c r="N411" s="8">
        <f t="shared" si="86"/>
        <v>0.22988705696943301</v>
      </c>
      <c r="O411">
        <v>7.2759040195642999E-2</v>
      </c>
      <c r="P411">
        <v>-0.14739342775113001</v>
      </c>
      <c r="Q411">
        <v>-1.0189816011247001E-2</v>
      </c>
      <c r="R411">
        <v>-0.18640201686328001</v>
      </c>
      <c r="S411">
        <f t="shared" si="87"/>
        <v>1.1357070533627776</v>
      </c>
      <c r="T411">
        <f t="shared" si="88"/>
        <v>-29.401716107278652</v>
      </c>
      <c r="U411" s="9">
        <f t="shared" si="89"/>
        <v>0.98942697106268984</v>
      </c>
      <c r="V411" s="9">
        <f t="shared" si="90"/>
        <v>-0.55755249079496882</v>
      </c>
    </row>
    <row r="412" spans="1:22" x14ac:dyDescent="0.25">
      <c r="A412">
        <v>4.4000000000000004</v>
      </c>
      <c r="B412">
        <v>16.100000000000001</v>
      </c>
      <c r="C412">
        <v>-0.17345476108701999</v>
      </c>
      <c r="D412">
        <v>-6.8423269561655994E-2</v>
      </c>
      <c r="E412">
        <v>0.82653539715253999</v>
      </c>
      <c r="F412">
        <v>-7.5702987200321994E-2</v>
      </c>
      <c r="G412">
        <f t="shared" si="79"/>
        <v>1.9582301971651399</v>
      </c>
      <c r="H412">
        <f t="shared" si="80"/>
        <v>-1.0194436715284001</v>
      </c>
      <c r="I412">
        <f t="shared" si="81"/>
        <v>1.9582385248529799</v>
      </c>
      <c r="J412">
        <f t="shared" si="82"/>
        <v>-1.0230835179473701</v>
      </c>
      <c r="K412" s="8">
        <f t="shared" si="83"/>
        <v>-8.3276878399818293E-6</v>
      </c>
      <c r="L412" s="8">
        <f t="shared" si="84"/>
        <v>3.6398464189699698E-3</v>
      </c>
      <c r="M412" s="8">
        <f t="shared" si="85"/>
        <v>0.40116346236911699</v>
      </c>
      <c r="N412" s="8">
        <f t="shared" si="86"/>
        <v>0.209588219792254</v>
      </c>
      <c r="O412">
        <v>6.4279426270240997E-2</v>
      </c>
      <c r="P412">
        <v>-0.15775141858444999</v>
      </c>
      <c r="Q412">
        <v>-2.4304011734538E-2</v>
      </c>
      <c r="R412">
        <v>-0.19151664187282999</v>
      </c>
      <c r="S412">
        <f t="shared" si="87"/>
        <v>1.1333048873427554</v>
      </c>
      <c r="T412">
        <f t="shared" si="88"/>
        <v>-29.401903729345655</v>
      </c>
      <c r="U412" s="9">
        <f t="shared" si="89"/>
        <v>0.98733238425276426</v>
      </c>
      <c r="V412" s="9">
        <f t="shared" si="90"/>
        <v>-0.55637642894062933</v>
      </c>
    </row>
    <row r="413" spans="1:22" x14ac:dyDescent="0.25">
      <c r="A413">
        <v>4.4000000000000004</v>
      </c>
      <c r="B413">
        <v>16.2</v>
      </c>
      <c r="C413">
        <v>-0.18365302373223999</v>
      </c>
      <c r="D413">
        <v>-5.7096425153215002E-2</v>
      </c>
      <c r="E413">
        <v>0.81632986357590998</v>
      </c>
      <c r="F413">
        <v>-6.4523204890100994E-2</v>
      </c>
      <c r="G413">
        <f t="shared" si="79"/>
        <v>1.9534368318065201</v>
      </c>
      <c r="H413">
        <f t="shared" si="80"/>
        <v>-0.81046996490316003</v>
      </c>
      <c r="I413">
        <f t="shared" si="81"/>
        <v>1.9534420648155</v>
      </c>
      <c r="J413">
        <f t="shared" si="82"/>
        <v>-0.81418336711255301</v>
      </c>
      <c r="K413" s="8">
        <f t="shared" si="83"/>
        <v>-5.23300897992129E-6</v>
      </c>
      <c r="L413" s="8">
        <f t="shared" si="84"/>
        <v>3.7134022093929801E-3</v>
      </c>
      <c r="M413" s="8">
        <f t="shared" si="85"/>
        <v>0.43615003605546698</v>
      </c>
      <c r="N413" s="8">
        <f t="shared" si="86"/>
        <v>0.18178481528472701</v>
      </c>
      <c r="O413">
        <v>5.4057545083531999E-2</v>
      </c>
      <c r="P413">
        <v>-0.16709074715767</v>
      </c>
      <c r="Q413">
        <v>-3.9508659344627002E-2</v>
      </c>
      <c r="R413">
        <v>-0.19463531712615001</v>
      </c>
      <c r="S413">
        <f t="shared" si="87"/>
        <v>1.1308932178305984</v>
      </c>
      <c r="T413">
        <f t="shared" si="88"/>
        <v>-29.401999083089411</v>
      </c>
      <c r="U413" s="9">
        <f t="shared" si="89"/>
        <v>0.98523041983058601</v>
      </c>
      <c r="V413" s="9">
        <f t="shared" si="90"/>
        <v>-0.55519410117155654</v>
      </c>
    </row>
    <row r="414" spans="1:22" x14ac:dyDescent="0.25">
      <c r="A414">
        <v>4.4000000000000004</v>
      </c>
      <c r="B414">
        <v>16.3</v>
      </c>
      <c r="C414">
        <v>-0.19225802960562</v>
      </c>
      <c r="D414">
        <v>-4.4090465709538999E-2</v>
      </c>
      <c r="E414">
        <v>0.80771990241891001</v>
      </c>
      <c r="F414">
        <v>-5.1669453035710002E-2</v>
      </c>
      <c r="G414">
        <f t="shared" si="79"/>
        <v>1.94866918488772</v>
      </c>
      <c r="H414">
        <f t="shared" si="80"/>
        <v>-0.60788748086969702</v>
      </c>
      <c r="I414">
        <f t="shared" si="81"/>
        <v>1.9486725113096</v>
      </c>
      <c r="J414">
        <f t="shared" si="82"/>
        <v>-0.61167700374087697</v>
      </c>
      <c r="K414" s="8">
        <f t="shared" si="83"/>
        <v>-3.32642187994558E-6</v>
      </c>
      <c r="L414" s="8">
        <f t="shared" si="84"/>
        <v>3.7895228711799498E-3</v>
      </c>
      <c r="M414" s="8">
        <f t="shared" si="85"/>
        <v>0.467142509368348</v>
      </c>
      <c r="N414" s="8">
        <f t="shared" si="86"/>
        <v>0.146633325400785</v>
      </c>
      <c r="O414">
        <v>4.2301720431180002E-2</v>
      </c>
      <c r="P414">
        <v>-0.17498963503459</v>
      </c>
      <c r="Q414">
        <v>-5.5358946951129001E-2</v>
      </c>
      <c r="R414">
        <v>-0.19547295665516001</v>
      </c>
      <c r="S414">
        <f t="shared" si="87"/>
        <v>1.1284826231338263</v>
      </c>
      <c r="T414">
        <f t="shared" si="88"/>
        <v>-29.402271082281384</v>
      </c>
      <c r="U414" s="9">
        <f t="shared" si="89"/>
        <v>0.98312768767188607</v>
      </c>
      <c r="V414" s="9">
        <f t="shared" si="90"/>
        <v>-0.55401532510205154</v>
      </c>
    </row>
    <row r="415" spans="1:22" x14ac:dyDescent="0.25">
      <c r="A415">
        <v>4.4000000000000004</v>
      </c>
      <c r="B415">
        <v>16.399999999999999</v>
      </c>
      <c r="C415">
        <v>-0.19888279867554001</v>
      </c>
      <c r="D415">
        <v>-2.9781436727616999E-2</v>
      </c>
      <c r="E415">
        <v>0.80108771287297997</v>
      </c>
      <c r="F415">
        <v>-3.7518354785841E-2</v>
      </c>
      <c r="G415">
        <f t="shared" si="79"/>
        <v>1.94390611313855</v>
      </c>
      <c r="H415">
        <f t="shared" si="80"/>
        <v>-0.411530828309706</v>
      </c>
      <c r="I415">
        <f t="shared" si="81"/>
        <v>1.94390633410867</v>
      </c>
      <c r="J415">
        <f t="shared" si="82"/>
        <v>-0.41539934352226598</v>
      </c>
      <c r="K415" s="8">
        <f t="shared" si="83"/>
        <v>-2.2097011997956899E-7</v>
      </c>
      <c r="L415" s="8">
        <f t="shared" si="84"/>
        <v>3.8685152125599899E-3</v>
      </c>
      <c r="M415" s="8">
        <f t="shared" si="85"/>
        <v>0.49196273064024998</v>
      </c>
      <c r="N415" s="8">
        <f t="shared" si="86"/>
        <v>0.10512903413069299</v>
      </c>
      <c r="O415">
        <v>2.9352602341065001E-2</v>
      </c>
      <c r="P415">
        <v>-0.18109529783354</v>
      </c>
      <c r="Q415">
        <v>-7.1320233464269994E-2</v>
      </c>
      <c r="R415">
        <v>-0.19388532777403</v>
      </c>
      <c r="S415">
        <f t="shared" si="87"/>
        <v>1.1260671432506157</v>
      </c>
      <c r="T415">
        <f t="shared" si="88"/>
        <v>-29.402567525907415</v>
      </c>
      <c r="U415" s="9">
        <f t="shared" si="89"/>
        <v>0.98102047493299949</v>
      </c>
      <c r="V415" s="9">
        <f t="shared" si="90"/>
        <v>-0.55283454927386266</v>
      </c>
    </row>
    <row r="416" spans="1:22" x14ac:dyDescent="0.25">
      <c r="A416">
        <v>4.4000000000000004</v>
      </c>
      <c r="B416">
        <v>16.5</v>
      </c>
      <c r="C416">
        <v>-0.20326709368088</v>
      </c>
      <c r="D416">
        <v>-1.4655475654170001E-2</v>
      </c>
      <c r="E416">
        <v>0.79669680005239996</v>
      </c>
      <c r="F416">
        <v>-2.2549639774428001E-2</v>
      </c>
      <c r="G416">
        <f t="shared" si="79"/>
        <v>1.9391748231665999</v>
      </c>
      <c r="H416">
        <f t="shared" si="80"/>
        <v>-0.221234400589335</v>
      </c>
      <c r="I416">
        <f t="shared" si="81"/>
        <v>1.9391723497651701</v>
      </c>
      <c r="J416">
        <f t="shared" si="82"/>
        <v>-0.22518156367084299</v>
      </c>
      <c r="K416" s="8">
        <f t="shared" si="83"/>
        <v>2.4734014298921598E-6</v>
      </c>
      <c r="L416" s="8">
        <f t="shared" si="84"/>
        <v>3.9471630815080001E-3</v>
      </c>
      <c r="M416" s="8">
        <f t="shared" si="85"/>
        <v>0.50882273214472995</v>
      </c>
      <c r="N416" s="8">
        <f t="shared" si="86"/>
        <v>5.9085773613416E-2</v>
      </c>
      <c r="O416">
        <v>1.5650121892426001E-2</v>
      </c>
      <c r="P416">
        <v>-0.18516798390354</v>
      </c>
      <c r="Q416">
        <v>-8.6829404560819001E-2</v>
      </c>
      <c r="R416">
        <v>-0.18989748261223999</v>
      </c>
      <c r="S416">
        <f t="shared" si="87"/>
        <v>1.1236568014924619</v>
      </c>
      <c r="T416">
        <f t="shared" si="88"/>
        <v>-29.403016814554924</v>
      </c>
      <c r="U416" s="9">
        <f t="shared" si="89"/>
        <v>0.97891627908966727</v>
      </c>
      <c r="V416" s="9">
        <f t="shared" si="90"/>
        <v>-0.55165888561094589</v>
      </c>
    </row>
    <row r="417" spans="1:22" x14ac:dyDescent="0.25">
      <c r="A417">
        <v>4.4000000000000004</v>
      </c>
      <c r="B417">
        <v>16.600000000000001</v>
      </c>
      <c r="C417">
        <v>-0.20531054133422999</v>
      </c>
      <c r="D417">
        <v>7.4666396374165999E-4</v>
      </c>
      <c r="E417">
        <v>0.79464869290704998</v>
      </c>
      <c r="F417">
        <v>-7.3080592398723004E-3</v>
      </c>
      <c r="G417">
        <f t="shared" si="79"/>
        <v>1.9344741049246801</v>
      </c>
      <c r="H417">
        <f t="shared" si="80"/>
        <v>-3.6883316807783902E-2</v>
      </c>
      <c r="I417">
        <f t="shared" si="81"/>
        <v>1.9344699420000699</v>
      </c>
      <c r="J417">
        <f t="shared" si="82"/>
        <v>-4.0910777266434203E-2</v>
      </c>
      <c r="K417" s="8">
        <f t="shared" si="83"/>
        <v>4.1629246101404496E-6</v>
      </c>
      <c r="L417" s="8">
        <f t="shared" si="84"/>
        <v>4.0274604586503001E-3</v>
      </c>
      <c r="M417" s="8">
        <f t="shared" si="85"/>
        <v>0.51670637370380801</v>
      </c>
      <c r="N417" s="8">
        <f t="shared" si="86"/>
        <v>1.09274685058625E-2</v>
      </c>
      <c r="O417">
        <v>1.6858723725671999E-3</v>
      </c>
      <c r="P417">
        <v>-0.18711489687642999</v>
      </c>
      <c r="Q417">
        <v>-0.10135709432659</v>
      </c>
      <c r="R417">
        <v>-0.18370258670417999</v>
      </c>
      <c r="S417">
        <f t="shared" si="87"/>
        <v>1.1212398875967369</v>
      </c>
      <c r="T417">
        <f t="shared" si="88"/>
        <v>-29.403735524034069</v>
      </c>
      <c r="U417" s="9">
        <f t="shared" si="89"/>
        <v>0.97680378768100096</v>
      </c>
      <c r="V417" s="9">
        <f t="shared" si="90"/>
        <v>-0.55048455555991138</v>
      </c>
    </row>
    <row r="418" spans="1:22" x14ac:dyDescent="0.25">
      <c r="A418">
        <v>4.4000000000000004</v>
      </c>
      <c r="B418">
        <v>16.7</v>
      </c>
      <c r="C418">
        <v>-0.20507960479135001</v>
      </c>
      <c r="D418">
        <v>1.5891739376735999E-2</v>
      </c>
      <c r="E418">
        <v>0.79487319189991001</v>
      </c>
      <c r="F418">
        <v>7.6742129238553001E-3</v>
      </c>
      <c r="G418">
        <f t="shared" si="79"/>
        <v>1.92978123897855</v>
      </c>
      <c r="H418">
        <f t="shared" si="80"/>
        <v>0.14164277749823301</v>
      </c>
      <c r="I418">
        <f t="shared" si="81"/>
        <v>1.9297745196127301</v>
      </c>
      <c r="J418">
        <f t="shared" si="82"/>
        <v>0.13753388968696001</v>
      </c>
      <c r="K418" s="8">
        <f t="shared" si="83"/>
        <v>6.7193658199737899E-6</v>
      </c>
      <c r="L418" s="8">
        <f t="shared" si="84"/>
        <v>4.1088878112729996E-3</v>
      </c>
      <c r="M418" s="8">
        <f t="shared" si="85"/>
        <v>0.51557647300955101</v>
      </c>
      <c r="N418" s="8">
        <f t="shared" si="86"/>
        <v>-3.6744830571354803E-2</v>
      </c>
      <c r="O418">
        <v>-1.2055235377885E-2</v>
      </c>
      <c r="P418">
        <v>-0.18699095338137001</v>
      </c>
      <c r="Q418">
        <v>-0.11446749619011</v>
      </c>
      <c r="R418">
        <v>-0.17563878593957999</v>
      </c>
      <c r="S418">
        <f t="shared" si="87"/>
        <v>1.1188375308050493</v>
      </c>
      <c r="T418">
        <f t="shared" si="88"/>
        <v>-29.404402244869253</v>
      </c>
      <c r="U418" s="9">
        <f t="shared" si="89"/>
        <v>0.97470450611773896</v>
      </c>
      <c r="V418" s="9">
        <f t="shared" si="90"/>
        <v>-0.54931643530092422</v>
      </c>
    </row>
    <row r="419" spans="1:22" x14ac:dyDescent="0.25">
      <c r="A419">
        <v>4.4000000000000004</v>
      </c>
      <c r="B419">
        <v>16.8</v>
      </c>
      <c r="C419">
        <v>-0.20278584669640001</v>
      </c>
      <c r="D419">
        <v>3.0313489343681999E-2</v>
      </c>
      <c r="E419">
        <v>0.79716037334365997</v>
      </c>
      <c r="F419">
        <v>2.1927119659208998E-2</v>
      </c>
      <c r="G419">
        <f t="shared" si="79"/>
        <v>1.9251080345043901</v>
      </c>
      <c r="H419">
        <f t="shared" si="80"/>
        <v>0.31442635628071902</v>
      </c>
      <c r="I419">
        <f t="shared" si="81"/>
        <v>1.92509872770974</v>
      </c>
      <c r="J419">
        <f t="shared" si="82"/>
        <v>0.31023301965463401</v>
      </c>
      <c r="K419" s="8">
        <f t="shared" si="83"/>
        <v>9.3067946500546805E-6</v>
      </c>
      <c r="L419" s="8">
        <f t="shared" si="84"/>
        <v>4.19333662608501E-3</v>
      </c>
      <c r="M419" s="8">
        <f t="shared" si="85"/>
        <v>0.50630519062027002</v>
      </c>
      <c r="N419" s="8">
        <f t="shared" si="86"/>
        <v>-8.1591965072777606E-2</v>
      </c>
      <c r="O419">
        <v>-2.5147909530691001E-2</v>
      </c>
      <c r="P419">
        <v>-0.18498627127004999</v>
      </c>
      <c r="Q419">
        <v>-0.12586045518469</v>
      </c>
      <c r="R419">
        <v>-0.16613543993492999</v>
      </c>
      <c r="S419">
        <f t="shared" si="87"/>
        <v>1.1164470762537524</v>
      </c>
      <c r="T419">
        <f t="shared" si="88"/>
        <v>-29.405145061995487</v>
      </c>
      <c r="U419" s="9">
        <f t="shared" si="89"/>
        <v>0.97261489273065171</v>
      </c>
      <c r="V419" s="9">
        <f t="shared" si="90"/>
        <v>-0.54815540179231559</v>
      </c>
    </row>
    <row r="420" spans="1:22" x14ac:dyDescent="0.25">
      <c r="A420">
        <v>4.4000000000000004</v>
      </c>
      <c r="B420">
        <v>16.899999999999999</v>
      </c>
      <c r="C420">
        <v>-0.19874408169527</v>
      </c>
      <c r="D420">
        <v>4.3651270701283003E-2</v>
      </c>
      <c r="E420">
        <v>0.80119583630656999</v>
      </c>
      <c r="F420">
        <v>3.5096524827821003E-2</v>
      </c>
      <c r="G420">
        <f t="shared" si="79"/>
        <v>1.92045248597486</v>
      </c>
      <c r="H420">
        <f t="shared" si="80"/>
        <v>0.48158960282764501</v>
      </c>
      <c r="I420">
        <f t="shared" si="81"/>
        <v>1.9204407413067299</v>
      </c>
      <c r="J420">
        <f t="shared" si="82"/>
        <v>0.47731205115266401</v>
      </c>
      <c r="K420" s="8">
        <f t="shared" si="83"/>
        <v>1.1744668130031499E-5</v>
      </c>
      <c r="L420" s="8">
        <f t="shared" si="84"/>
        <v>4.2775516749810104E-3</v>
      </c>
      <c r="M420" s="8">
        <f t="shared" si="85"/>
        <v>0.49041885900903898</v>
      </c>
      <c r="N420" s="8">
        <f t="shared" si="86"/>
        <v>-0.121890161191996</v>
      </c>
      <c r="O420">
        <v>-3.7262346753310999E-2</v>
      </c>
      <c r="P420">
        <v>-0.18138718792469999</v>
      </c>
      <c r="Q420">
        <v>-0.13538238373691</v>
      </c>
      <c r="R420">
        <v>-0.15565868107379999</v>
      </c>
      <c r="S420">
        <f t="shared" si="87"/>
        <v>1.1140591244938949</v>
      </c>
      <c r="T420">
        <f t="shared" si="88"/>
        <v>-29.405986714499644</v>
      </c>
      <c r="U420" s="9">
        <f t="shared" si="89"/>
        <v>0.97052654638235714</v>
      </c>
      <c r="V420" s="9">
        <f t="shared" si="90"/>
        <v>-0.54699721720977501</v>
      </c>
    </row>
    <row r="421" spans="1:22" x14ac:dyDescent="0.25">
      <c r="A421">
        <v>4.4000000000000004</v>
      </c>
      <c r="B421">
        <v>17</v>
      </c>
      <c r="C421">
        <v>-0.19332391119112999</v>
      </c>
      <c r="D421">
        <v>5.5667852404196999E-2</v>
      </c>
      <c r="E421">
        <v>0.80660979586215997</v>
      </c>
      <c r="F421">
        <v>4.6944570904283001E-2</v>
      </c>
      <c r="G421">
        <f t="shared" si="79"/>
        <v>1.9158059209973599</v>
      </c>
      <c r="H421">
        <f t="shared" si="80"/>
        <v>0.64319961250783397</v>
      </c>
      <c r="I421">
        <f t="shared" si="81"/>
        <v>1.9157917988652</v>
      </c>
      <c r="J421">
        <f t="shared" si="82"/>
        <v>0.63883776558236605</v>
      </c>
      <c r="K421" s="8">
        <f t="shared" si="83"/>
        <v>1.4122132159899399E-5</v>
      </c>
      <c r="L421" s="8">
        <f t="shared" si="84"/>
        <v>4.3618469254679297E-3</v>
      </c>
      <c r="M421" s="8">
        <f t="shared" si="85"/>
        <v>0.46974426128729602</v>
      </c>
      <c r="N421" s="8">
        <f t="shared" si="86"/>
        <v>-0.15664038986578399</v>
      </c>
      <c r="O421">
        <v>-4.8181076449379003E-2</v>
      </c>
      <c r="P421">
        <v>-0.1765281560592</v>
      </c>
      <c r="Q421">
        <v>-0.14301757695579001</v>
      </c>
      <c r="R421">
        <v>-0.14465821019384001</v>
      </c>
      <c r="S421">
        <f t="shared" si="87"/>
        <v>1.1116786455886531</v>
      </c>
      <c r="T421">
        <f t="shared" si="88"/>
        <v>-29.40693603927431</v>
      </c>
      <c r="U421" s="9">
        <f t="shared" si="89"/>
        <v>0.96844371851919642</v>
      </c>
      <c r="V421" s="9">
        <f t="shared" si="90"/>
        <v>-0.5458444605549585</v>
      </c>
    </row>
    <row r="422" spans="1:22" x14ac:dyDescent="0.25">
      <c r="A422">
        <v>4.5999999999999996</v>
      </c>
      <c r="B422">
        <v>15</v>
      </c>
      <c r="C422">
        <v>-6.4281460217256003E-2</v>
      </c>
      <c r="D422">
        <v>-9.4398538496842002E-2</v>
      </c>
      <c r="E422">
        <v>0.9357176763717</v>
      </c>
      <c r="F422">
        <v>-0.10053654885648</v>
      </c>
      <c r="G422">
        <f t="shared" si="79"/>
        <v>1.8577382162529501</v>
      </c>
      <c r="H422">
        <f t="shared" si="80"/>
        <v>-3.57339748076943</v>
      </c>
      <c r="I422">
        <f t="shared" si="81"/>
        <v>1.8577472032635201</v>
      </c>
      <c r="J422">
        <f t="shared" si="82"/>
        <v>-3.5764664596929601</v>
      </c>
      <c r="K422" s="8">
        <f t="shared" si="83"/>
        <v>-8.9870105699496605E-6</v>
      </c>
      <c r="L422" s="8">
        <f t="shared" si="84"/>
        <v>3.0689789235300901E-3</v>
      </c>
      <c r="M422" s="8">
        <f t="shared" si="85"/>
        <v>0.114376841355188</v>
      </c>
      <c r="N422" s="8">
        <f t="shared" si="86"/>
        <v>0.22019408031073601</v>
      </c>
      <c r="O422">
        <v>8.3688642172791997E-2</v>
      </c>
      <c r="P422">
        <v>-5.6103272809955002E-2</v>
      </c>
      <c r="Q422">
        <v>5.2627001997105002E-2</v>
      </c>
      <c r="R422">
        <v>-0.10429226373637999</v>
      </c>
      <c r="S422">
        <f t="shared" si="87"/>
        <v>1.1594393598335719</v>
      </c>
      <c r="T422">
        <f t="shared" si="88"/>
        <v>-29.386847998502734</v>
      </c>
      <c r="U422" s="9">
        <f t="shared" si="89"/>
        <v>1.0102502080921183</v>
      </c>
      <c r="V422" s="9">
        <f t="shared" si="90"/>
        <v>-0.56894125020173636</v>
      </c>
    </row>
    <row r="423" spans="1:22" x14ac:dyDescent="0.25">
      <c r="A423">
        <v>4.5999999999999996</v>
      </c>
      <c r="B423" s="1">
        <v>15.1</v>
      </c>
      <c r="C423">
        <v>-7.1551673476246996E-2</v>
      </c>
      <c r="D423">
        <v>-9.7279543659475998E-2</v>
      </c>
      <c r="E423">
        <v>0.92844670934811002</v>
      </c>
      <c r="F423">
        <v>-0.10354437989161</v>
      </c>
      <c r="G423">
        <f t="shared" si="79"/>
        <v>1.85333640966728</v>
      </c>
      <c r="H423">
        <f t="shared" si="80"/>
        <v>-3.3009548459475702</v>
      </c>
      <c r="I423">
        <f t="shared" si="81"/>
        <v>1.8533454130495799</v>
      </c>
      <c r="J423">
        <f t="shared" si="82"/>
        <v>-3.3040872383940698</v>
      </c>
      <c r="K423" s="8">
        <f t="shared" si="83"/>
        <v>-9.0033822999213697E-6</v>
      </c>
      <c r="L423" s="8">
        <f t="shared" si="84"/>
        <v>3.1323924464996501E-3</v>
      </c>
      <c r="M423" s="8">
        <f t="shared" si="85"/>
        <v>0.12913605699383299</v>
      </c>
      <c r="N423" s="8">
        <f t="shared" si="86"/>
        <v>0.23021979331299</v>
      </c>
      <c r="O423">
        <v>8.6204218924236006E-2</v>
      </c>
      <c r="P423">
        <v>-6.2419857752652998E-2</v>
      </c>
      <c r="Q423">
        <v>5.1506366217434998E-2</v>
      </c>
      <c r="R423">
        <v>-0.11194433655621</v>
      </c>
      <c r="S423">
        <f t="shared" si="87"/>
        <v>1.1578016388623396</v>
      </c>
      <c r="T423">
        <f t="shared" si="88"/>
        <v>-29.384484566534191</v>
      </c>
      <c r="U423" s="9">
        <f t="shared" si="89"/>
        <v>1.0088466530849938</v>
      </c>
      <c r="V423" s="9">
        <f t="shared" si="90"/>
        <v>-0.56809600026010165</v>
      </c>
    </row>
    <row r="424" spans="1:22" x14ac:dyDescent="0.25">
      <c r="A424">
        <v>4.5999999999999996</v>
      </c>
      <c r="B424" s="1">
        <v>15.2</v>
      </c>
      <c r="C424">
        <v>-7.9640519225446002E-2</v>
      </c>
      <c r="D424">
        <v>-9.9795564711026005E-2</v>
      </c>
      <c r="E424">
        <v>0.92035868472669002</v>
      </c>
      <c r="F424">
        <v>-0.10618923679761</v>
      </c>
      <c r="G424">
        <f t="shared" si="79"/>
        <v>1.84926939408116</v>
      </c>
      <c r="H424">
        <f t="shared" si="80"/>
        <v>-3.0365057406033</v>
      </c>
      <c r="I424">
        <f t="shared" si="81"/>
        <v>1.84927921572552</v>
      </c>
      <c r="J424">
        <f t="shared" si="82"/>
        <v>-3.0397025465208101</v>
      </c>
      <c r="K424" s="8">
        <f t="shared" si="83"/>
        <v>-9.8216443600307508E-6</v>
      </c>
      <c r="L424" s="8">
        <f t="shared" si="84"/>
        <v>3.1968059175100402E-3</v>
      </c>
      <c r="M424" s="8">
        <f t="shared" si="85"/>
        <v>0.14607693261934801</v>
      </c>
      <c r="N424" s="8">
        <f t="shared" si="86"/>
        <v>0.24010999544856501</v>
      </c>
      <c r="O424">
        <v>8.8447440501312993E-2</v>
      </c>
      <c r="P424">
        <v>-6.9478869204740001E-2</v>
      </c>
      <c r="Q424">
        <v>4.9666514929420001E-2</v>
      </c>
      <c r="R424">
        <v>-0.12011204631193</v>
      </c>
      <c r="S424">
        <f t="shared" si="87"/>
        <v>1.1556123629486397</v>
      </c>
      <c r="T424">
        <f t="shared" si="88"/>
        <v>-29.383832214185411</v>
      </c>
      <c r="U424" s="9">
        <f t="shared" si="89"/>
        <v>1.0069454905850146</v>
      </c>
      <c r="V424" s="9">
        <f t="shared" si="90"/>
        <v>-0.56701032829238907</v>
      </c>
    </row>
    <row r="425" spans="1:22" x14ac:dyDescent="0.25">
      <c r="A425">
        <v>4.5999999999999996</v>
      </c>
      <c r="B425" s="1">
        <v>15.3</v>
      </c>
      <c r="C425">
        <v>-8.8573852625228003E-2</v>
      </c>
      <c r="D425">
        <v>-0.10180099764180001</v>
      </c>
      <c r="E425">
        <v>0.91142593474410005</v>
      </c>
      <c r="F425">
        <v>-0.10832633516494</v>
      </c>
      <c r="G425">
        <f t="shared" si="79"/>
        <v>1.84524127111543</v>
      </c>
      <c r="H425">
        <f t="shared" si="80"/>
        <v>-2.78022695229313</v>
      </c>
      <c r="I425">
        <f t="shared" si="81"/>
        <v>1.84525180969761</v>
      </c>
      <c r="J425">
        <f t="shared" si="82"/>
        <v>-2.7834895870176699</v>
      </c>
      <c r="K425" s="8">
        <f t="shared" si="83"/>
        <v>-1.05385821800308E-5</v>
      </c>
      <c r="L425" s="8">
        <f t="shared" si="84"/>
        <v>3.2626347245399102E-3</v>
      </c>
      <c r="M425" s="8">
        <f t="shared" si="85"/>
        <v>0.16545235436563799</v>
      </c>
      <c r="N425" s="8">
        <f t="shared" si="86"/>
        <v>0.24957835191055999</v>
      </c>
      <c r="O425">
        <v>9.0259132580183005E-2</v>
      </c>
      <c r="P425">
        <v>-7.7285709257528007E-2</v>
      </c>
      <c r="Q425">
        <v>4.6971126439894997E-2</v>
      </c>
      <c r="R425">
        <v>-0.12874160128312001</v>
      </c>
      <c r="S425">
        <f t="shared" si="87"/>
        <v>1.1532981235856004</v>
      </c>
      <c r="T425">
        <f t="shared" si="88"/>
        <v>-29.383321961810946</v>
      </c>
      <c r="U425" s="9">
        <f t="shared" si="89"/>
        <v>1.0049340121987769</v>
      </c>
      <c r="V425" s="9">
        <f t="shared" si="90"/>
        <v>-0.56586587897852192</v>
      </c>
    </row>
    <row r="426" spans="1:22" x14ac:dyDescent="0.25">
      <c r="A426">
        <v>4.5999999999999996</v>
      </c>
      <c r="B426" s="1">
        <v>15.4</v>
      </c>
      <c r="C426">
        <v>-9.8374709746482006E-2</v>
      </c>
      <c r="D426">
        <v>-0.10311951955338</v>
      </c>
      <c r="E426">
        <v>0.90162534043346998</v>
      </c>
      <c r="F426">
        <v>-0.10977972577095001</v>
      </c>
      <c r="G426">
        <f t="shared" si="79"/>
        <v>1.8412342188803901</v>
      </c>
      <c r="H426">
        <f t="shared" si="80"/>
        <v>-2.5317518882652998</v>
      </c>
      <c r="I426">
        <f t="shared" si="81"/>
        <v>1.8412453334332699</v>
      </c>
      <c r="J426">
        <f t="shared" si="82"/>
        <v>-2.5350819542779299</v>
      </c>
      <c r="K426" s="8">
        <f t="shared" si="83"/>
        <v>-1.11145528798318E-5</v>
      </c>
      <c r="L426" s="8">
        <f t="shared" si="84"/>
        <v>3.3300660126300802E-3</v>
      </c>
      <c r="M426" s="8">
        <f t="shared" si="85"/>
        <v>0.187560168745045</v>
      </c>
      <c r="N426" s="8">
        <f t="shared" si="86"/>
        <v>0.25823848158261797</v>
      </c>
      <c r="O426">
        <v>9.1476664562381002E-2</v>
      </c>
      <c r="P426">
        <v>-8.5855425828337995E-2</v>
      </c>
      <c r="Q426">
        <v>4.3259066604797003E-2</v>
      </c>
      <c r="R426">
        <v>-0.13776376041821001</v>
      </c>
      <c r="S426">
        <f t="shared" si="87"/>
        <v>1.1509718380598466</v>
      </c>
      <c r="T426">
        <f t="shared" si="88"/>
        <v>-29.382847099818026</v>
      </c>
      <c r="U426" s="9">
        <f t="shared" si="89"/>
        <v>1.002911668138768</v>
      </c>
      <c r="V426" s="9">
        <f t="shared" si="90"/>
        <v>-0.56471617465588464</v>
      </c>
    </row>
    <row r="427" spans="1:22" x14ac:dyDescent="0.25">
      <c r="A427">
        <v>4.5999999999999996</v>
      </c>
      <c r="B427" s="1">
        <v>15.5</v>
      </c>
      <c r="C427">
        <v>-0.10903159781644001</v>
      </c>
      <c r="D427">
        <v>-0.1035441569017</v>
      </c>
      <c r="E427">
        <v>0.89096841900642998</v>
      </c>
      <c r="F427">
        <v>-0.11034261527571</v>
      </c>
      <c r="G427">
        <f t="shared" si="79"/>
        <v>1.8372426576726899</v>
      </c>
      <c r="H427">
        <f t="shared" si="80"/>
        <v>-2.2907852122899102</v>
      </c>
      <c r="I427">
        <f t="shared" si="81"/>
        <v>1.83725422070939</v>
      </c>
      <c r="J427">
        <f t="shared" si="82"/>
        <v>-2.2941844021429101</v>
      </c>
      <c r="K427" s="8">
        <f t="shared" si="83"/>
        <v>-1.1563036700135101E-5</v>
      </c>
      <c r="L427" s="8">
        <f t="shared" si="84"/>
        <v>3.3991898529999202E-3</v>
      </c>
      <c r="M427" s="8">
        <f t="shared" si="85"/>
        <v>0.21267506835654501</v>
      </c>
      <c r="N427" s="8">
        <f t="shared" si="86"/>
        <v>0.26556794321031502</v>
      </c>
      <c r="O427">
        <v>9.1920493690091004E-2</v>
      </c>
      <c r="P427">
        <v>-9.5180731980964994E-2</v>
      </c>
      <c r="Q427">
        <v>3.8360326534337998E-2</v>
      </c>
      <c r="R427">
        <v>-0.14706461809512</v>
      </c>
      <c r="S427">
        <f t="shared" si="87"/>
        <v>1.1486134252256237</v>
      </c>
      <c r="T427">
        <f t="shared" si="88"/>
        <v>-29.382437376476702</v>
      </c>
      <c r="U427" s="9">
        <f t="shared" si="89"/>
        <v>1.0008606697924105</v>
      </c>
      <c r="V427" s="9">
        <f t="shared" si="90"/>
        <v>-0.56355187895279613</v>
      </c>
    </row>
    <row r="428" spans="1:22" x14ac:dyDescent="0.25">
      <c r="A428">
        <v>4.5999999999999996</v>
      </c>
      <c r="B428">
        <v>15.6</v>
      </c>
      <c r="C428">
        <v>-0.12048479626402001</v>
      </c>
      <c r="D428">
        <v>-0.10284213976871</v>
      </c>
      <c r="E428">
        <v>0.87951505406503006</v>
      </c>
      <c r="F428">
        <v>-0.10978228783178</v>
      </c>
      <c r="G428">
        <f t="shared" si="79"/>
        <v>1.83326370008533</v>
      </c>
      <c r="H428">
        <f t="shared" si="80"/>
        <v>-2.0570717297360401</v>
      </c>
      <c r="I428">
        <f t="shared" si="81"/>
        <v>1.8332756665213401</v>
      </c>
      <c r="J428">
        <f t="shared" si="82"/>
        <v>-2.0605417625028402</v>
      </c>
      <c r="K428" s="8">
        <f t="shared" si="83"/>
        <v>-1.1966436010091299E-5</v>
      </c>
      <c r="L428" s="8">
        <f t="shared" si="84"/>
        <v>3.4700327668000198E-3</v>
      </c>
      <c r="M428" s="8">
        <f t="shared" si="85"/>
        <v>0.24100700019694099</v>
      </c>
      <c r="N428" s="8">
        <f t="shared" si="86"/>
        <v>0.27088396907795098</v>
      </c>
      <c r="O428">
        <v>9.1384165746591001E-2</v>
      </c>
      <c r="P428">
        <v>-0.10520833697354</v>
      </c>
      <c r="Q428">
        <v>3.2107293066296998E-2</v>
      </c>
      <c r="R428">
        <v>-0.15647631778498</v>
      </c>
      <c r="S428">
        <f t="shared" si="87"/>
        <v>1.146253925285653</v>
      </c>
      <c r="T428">
        <f t="shared" si="88"/>
        <v>-29.382100180173325</v>
      </c>
      <c r="U428" s="9">
        <f t="shared" si="89"/>
        <v>0.99880799568635315</v>
      </c>
      <c r="V428" s="9">
        <f t="shared" si="90"/>
        <v>-0.5623883435721061</v>
      </c>
    </row>
    <row r="429" spans="1:22" x14ac:dyDescent="0.25">
      <c r="A429">
        <v>4.5999999999999996</v>
      </c>
      <c r="B429">
        <v>15.7</v>
      </c>
      <c r="C429">
        <v>-0.13261163577141</v>
      </c>
      <c r="D429">
        <v>-0.10076527111888001</v>
      </c>
      <c r="E429">
        <v>0.86738283344872003</v>
      </c>
      <c r="F429">
        <v>-0.10784899560779999</v>
      </c>
      <c r="G429">
        <f t="shared" si="79"/>
        <v>1.8292968061966</v>
      </c>
      <c r="H429">
        <f t="shared" si="80"/>
        <v>-1.83032861578675</v>
      </c>
      <c r="I429">
        <f t="shared" si="81"/>
        <v>1.8293065855338799</v>
      </c>
      <c r="J429">
        <f t="shared" si="82"/>
        <v>-1.83387045318871</v>
      </c>
      <c r="K429" s="8">
        <f t="shared" si="83"/>
        <v>-9.7793372799692707E-6</v>
      </c>
      <c r="L429" s="8">
        <f t="shared" si="84"/>
        <v>3.5418374019600099E-3</v>
      </c>
      <c r="M429" s="8">
        <f t="shared" si="85"/>
        <v>0.27264654759215301</v>
      </c>
      <c r="N429" s="8">
        <f t="shared" si="86"/>
        <v>0.273326763128245</v>
      </c>
      <c r="O429">
        <v>8.9649656986192996E-2</v>
      </c>
      <c r="P429">
        <v>-0.11583184468271</v>
      </c>
      <c r="Q429">
        <v>2.4351568720165001E-2</v>
      </c>
      <c r="R429">
        <v>-0.16577075871086999</v>
      </c>
      <c r="S429">
        <f t="shared" si="87"/>
        <v>1.1439026198608071</v>
      </c>
      <c r="T429">
        <f t="shared" si="88"/>
        <v>-29.381648773856043</v>
      </c>
      <c r="U429" s="9">
        <f t="shared" si="89"/>
        <v>0.99676356709297387</v>
      </c>
      <c r="V429" s="9">
        <f t="shared" si="90"/>
        <v>-0.56122686592901871</v>
      </c>
    </row>
    <row r="430" spans="1:22" x14ac:dyDescent="0.25">
      <c r="A430">
        <v>4.5999999999999996</v>
      </c>
      <c r="B430">
        <v>15.8</v>
      </c>
      <c r="C430">
        <v>-0.14521152574474999</v>
      </c>
      <c r="D430">
        <v>-9.7067191863330002E-2</v>
      </c>
      <c r="E430">
        <v>0.85478130529999996</v>
      </c>
      <c r="F430">
        <v>-0.10429897022692</v>
      </c>
      <c r="G430">
        <f t="shared" si="79"/>
        <v>1.8253336727251199</v>
      </c>
      <c r="H430">
        <f t="shared" si="80"/>
        <v>-1.6104363843074601</v>
      </c>
      <c r="I430">
        <f t="shared" si="81"/>
        <v>1.8253431628588801</v>
      </c>
      <c r="J430">
        <f t="shared" si="82"/>
        <v>-1.61405225213498</v>
      </c>
      <c r="K430" s="8">
        <f t="shared" si="83"/>
        <v>-9.4901337601704904E-6</v>
      </c>
      <c r="L430" s="8">
        <f t="shared" si="84"/>
        <v>3.6158678275199901E-3</v>
      </c>
      <c r="M430" s="8">
        <f t="shared" si="85"/>
        <v>0.30744991528091198</v>
      </c>
      <c r="N430" s="8">
        <f t="shared" si="86"/>
        <v>0.27186133450142502</v>
      </c>
      <c r="O430">
        <v>8.6502497708873999E-2</v>
      </c>
      <c r="P430">
        <v>-0.12687956606492001</v>
      </c>
      <c r="Q430">
        <v>1.4983739984654E-2</v>
      </c>
      <c r="R430">
        <v>-0.17465226232643999</v>
      </c>
      <c r="S430">
        <f t="shared" si="87"/>
        <v>1.1415226406724415</v>
      </c>
      <c r="T430">
        <f t="shared" si="88"/>
        <v>-29.381431769909391</v>
      </c>
      <c r="U430" s="9">
        <f t="shared" si="89"/>
        <v>0.99469184343292238</v>
      </c>
      <c r="V430" s="9">
        <f t="shared" si="90"/>
        <v>-0.56005542205731618</v>
      </c>
    </row>
    <row r="431" spans="1:22" x14ac:dyDescent="0.25">
      <c r="A431">
        <v>4.5999999999999996</v>
      </c>
      <c r="B431">
        <v>15.9</v>
      </c>
      <c r="C431">
        <v>-0.1579986312777</v>
      </c>
      <c r="D431">
        <v>-9.1530049151458001E-2</v>
      </c>
      <c r="E431">
        <v>0.84199261201122</v>
      </c>
      <c r="F431">
        <v>-9.8912649742157993E-2</v>
      </c>
      <c r="G431">
        <f t="shared" si="79"/>
        <v>1.8213803607452099</v>
      </c>
      <c r="H431">
        <f t="shared" si="80"/>
        <v>-1.3971492976918101</v>
      </c>
      <c r="I431">
        <f t="shared" si="81"/>
        <v>1.82138960806169</v>
      </c>
      <c r="J431">
        <f t="shared" si="82"/>
        <v>-1.40084058001429</v>
      </c>
      <c r="K431" s="8">
        <f t="shared" si="83"/>
        <v>-9.2473164801099E-6</v>
      </c>
      <c r="L431" s="8">
        <f t="shared" si="84"/>
        <v>3.69128232247995E-3</v>
      </c>
      <c r="M431" s="8">
        <f t="shared" si="85"/>
        <v>0.34497227705542999</v>
      </c>
      <c r="N431" s="8">
        <f t="shared" si="86"/>
        <v>0.26532004055598701</v>
      </c>
      <c r="O431">
        <v>8.1747915127490994E-2</v>
      </c>
      <c r="P431">
        <v>-0.13809916993325</v>
      </c>
      <c r="Q431">
        <v>3.9626521572319997E-3</v>
      </c>
      <c r="R431">
        <v>-0.18276992066046999</v>
      </c>
      <c r="S431">
        <f t="shared" si="87"/>
        <v>1.1391569521260669</v>
      </c>
      <c r="T431">
        <f t="shared" si="88"/>
        <v>-29.381404894382946</v>
      </c>
      <c r="U431" s="9">
        <f t="shared" si="89"/>
        <v>0.99263070880684978</v>
      </c>
      <c r="V431" s="9">
        <f t="shared" si="90"/>
        <v>-0.55889429905015253</v>
      </c>
    </row>
    <row r="432" spans="1:22" x14ac:dyDescent="0.25">
      <c r="A432">
        <v>4.5999999999999996</v>
      </c>
      <c r="B432">
        <v>16</v>
      </c>
      <c r="C432">
        <v>-0.17060038719126</v>
      </c>
      <c r="D432">
        <v>-8.3997401178714001E-2</v>
      </c>
      <c r="E432">
        <v>0.82938794132587002</v>
      </c>
      <c r="F432">
        <v>-9.1535712862405E-2</v>
      </c>
      <c r="G432">
        <f t="shared" si="79"/>
        <v>1.81741993298975</v>
      </c>
      <c r="H432">
        <f t="shared" si="80"/>
        <v>-1.1902896191662899</v>
      </c>
      <c r="I432">
        <f t="shared" si="81"/>
        <v>1.8174283037968999</v>
      </c>
      <c r="J432">
        <f t="shared" si="82"/>
        <v>-1.1940587654530199</v>
      </c>
      <c r="K432" s="8">
        <f t="shared" si="83"/>
        <v>-8.37080714988225E-6</v>
      </c>
      <c r="L432" s="8">
        <f t="shared" si="84"/>
        <v>3.7691462867299702E-3</v>
      </c>
      <c r="M432" s="8">
        <f t="shared" si="85"/>
        <v>0.38433003261342102</v>
      </c>
      <c r="N432" s="8">
        <f t="shared" si="86"/>
        <v>0.25250660139393599</v>
      </c>
      <c r="O432">
        <v>7.5249694754304999E-2</v>
      </c>
      <c r="P432">
        <v>-0.1491695760799</v>
      </c>
      <c r="Q432">
        <v>-8.6563559263242006E-3</v>
      </c>
      <c r="R432">
        <v>-0.18972803572902999</v>
      </c>
      <c r="S432">
        <f t="shared" si="87"/>
        <v>1.1367668833296936</v>
      </c>
      <c r="T432">
        <f t="shared" si="88"/>
        <v>-29.381310937314929</v>
      </c>
      <c r="U432" s="9">
        <f t="shared" si="89"/>
        <v>0.99054898176826489</v>
      </c>
      <c r="V432" s="9">
        <f t="shared" si="90"/>
        <v>-0.55772005679638126</v>
      </c>
    </row>
    <row r="433" spans="1:22" x14ac:dyDescent="0.25">
      <c r="A433">
        <v>4.5999999999999996</v>
      </c>
      <c r="B433">
        <v>16.100000000000001</v>
      </c>
      <c r="C433">
        <v>-0.18257450660811</v>
      </c>
      <c r="D433">
        <v>-7.4410362489626E-2</v>
      </c>
      <c r="E433">
        <v>0.81741013839136001</v>
      </c>
      <c r="F433">
        <v>-8.2107738528622007E-2</v>
      </c>
      <c r="G433">
        <f t="shared" si="79"/>
        <v>1.81346314364495</v>
      </c>
      <c r="H433">
        <f t="shared" si="80"/>
        <v>-0.98968230639100796</v>
      </c>
      <c r="I433">
        <f t="shared" si="81"/>
        <v>1.8134702786069701</v>
      </c>
      <c r="J433">
        <f t="shared" si="82"/>
        <v>-0.99353099649858301</v>
      </c>
      <c r="K433" s="8">
        <f t="shared" si="83"/>
        <v>-7.1349620200944503E-6</v>
      </c>
      <c r="L433" s="8">
        <f t="shared" si="84"/>
        <v>3.8486901075750501E-3</v>
      </c>
      <c r="M433" s="8">
        <f t="shared" si="85"/>
        <v>0.42412635889768702</v>
      </c>
      <c r="N433" s="8">
        <f t="shared" si="86"/>
        <v>0.23236260829188901</v>
      </c>
      <c r="O433">
        <v>6.6952194598544998E-2</v>
      </c>
      <c r="P433">
        <v>-0.15970132074103999</v>
      </c>
      <c r="Q433">
        <v>-2.2701403762858001E-2</v>
      </c>
      <c r="R433">
        <v>-0.19512182499788</v>
      </c>
      <c r="S433">
        <f t="shared" si="87"/>
        <v>1.1343789737575387</v>
      </c>
      <c r="T433">
        <f t="shared" si="88"/>
        <v>-29.381307880347293</v>
      </c>
      <c r="U433" s="9">
        <f t="shared" si="89"/>
        <v>0.98846824940828082</v>
      </c>
      <c r="V433" s="9">
        <f t="shared" si="90"/>
        <v>-0.5565484489376783</v>
      </c>
    </row>
    <row r="434" spans="1:22" x14ac:dyDescent="0.25">
      <c r="A434">
        <v>4.5999999999999996</v>
      </c>
      <c r="B434">
        <v>16.2</v>
      </c>
      <c r="C434">
        <v>-0.19344027897320001</v>
      </c>
      <c r="D434">
        <v>-6.2839851123084003E-2</v>
      </c>
      <c r="E434">
        <v>0.80654116549960997</v>
      </c>
      <c r="F434">
        <v>-7.0700922376222997E-2</v>
      </c>
      <c r="G434">
        <f t="shared" si="79"/>
        <v>1.80951059492265</v>
      </c>
      <c r="H434">
        <f t="shared" si="80"/>
        <v>-0.79517856172449797</v>
      </c>
      <c r="I434">
        <f t="shared" si="81"/>
        <v>1.8095167663746199</v>
      </c>
      <c r="J434">
        <f t="shared" si="82"/>
        <v>-0.79910910956065095</v>
      </c>
      <c r="K434" s="8">
        <f t="shared" si="83"/>
        <v>-6.1714519699052104E-6</v>
      </c>
      <c r="L434" s="8">
        <f t="shared" si="84"/>
        <v>3.9305478361529901E-3</v>
      </c>
      <c r="M434" s="8">
        <f t="shared" si="85"/>
        <v>0.46244591109896999</v>
      </c>
      <c r="N434" s="8">
        <f t="shared" si="86"/>
        <v>0.20422288817950399</v>
      </c>
      <c r="O434">
        <v>5.6915160943808003E-2</v>
      </c>
      <c r="P434">
        <v>-0.16927291640509001</v>
      </c>
      <c r="Q434">
        <v>-3.7870006566133999E-2</v>
      </c>
      <c r="R434">
        <v>-0.19857863328577</v>
      </c>
      <c r="S434">
        <f t="shared" si="87"/>
        <v>1.1319944112160711</v>
      </c>
      <c r="T434">
        <f t="shared" si="88"/>
        <v>-29.381316722820394</v>
      </c>
      <c r="U434" s="9">
        <f t="shared" si="89"/>
        <v>0.98639031809512667</v>
      </c>
      <c r="V434" s="9">
        <f t="shared" si="90"/>
        <v>-0.55537868827730008</v>
      </c>
    </row>
    <row r="435" spans="1:22" x14ac:dyDescent="0.25">
      <c r="A435">
        <v>4.5999999999999996</v>
      </c>
      <c r="B435">
        <v>16.3</v>
      </c>
      <c r="C435">
        <v>-0.20272754512756</v>
      </c>
      <c r="D435">
        <v>-4.9504987793658001E-2</v>
      </c>
      <c r="E435">
        <v>0.79724939250516003</v>
      </c>
      <c r="F435">
        <v>-5.7533314988767001E-2</v>
      </c>
      <c r="G435">
        <f t="shared" si="79"/>
        <v>1.8055573490140699</v>
      </c>
      <c r="H435">
        <f t="shared" si="80"/>
        <v>-0.60661556187723897</v>
      </c>
      <c r="I435">
        <f t="shared" si="81"/>
        <v>1.8055619315046301</v>
      </c>
      <c r="J435">
        <f t="shared" si="82"/>
        <v>-0.61062975336830805</v>
      </c>
      <c r="K435" s="8">
        <f t="shared" si="83"/>
        <v>-4.5824905601232799E-6</v>
      </c>
      <c r="L435" s="8">
        <f t="shared" si="84"/>
        <v>4.0141914910690702E-3</v>
      </c>
      <c r="M435" s="8">
        <f t="shared" si="85"/>
        <v>0.49699983681417698</v>
      </c>
      <c r="N435" s="8">
        <f t="shared" si="86"/>
        <v>0.16808223660599</v>
      </c>
      <c r="O435">
        <v>4.532893346545E-2</v>
      </c>
      <c r="P435">
        <v>-0.17747619700003001</v>
      </c>
      <c r="Q435">
        <v>-5.3740516822611002E-2</v>
      </c>
      <c r="R435">
        <v>-0.19981021218232001</v>
      </c>
      <c r="S435">
        <f t="shared" si="87"/>
        <v>1.129590589416924</v>
      </c>
      <c r="T435">
        <f t="shared" si="88"/>
        <v>-29.381431973568475</v>
      </c>
      <c r="U435" s="9">
        <f t="shared" si="89"/>
        <v>0.98429457588419977</v>
      </c>
      <c r="V435" s="9">
        <f t="shared" si="90"/>
        <v>-0.55420130601092676</v>
      </c>
    </row>
    <row r="436" spans="1:22" x14ac:dyDescent="0.25">
      <c r="A436">
        <v>4.5999999999999996</v>
      </c>
      <c r="B436">
        <v>16.399999999999999</v>
      </c>
      <c r="C436">
        <v>-0.21003279603835001</v>
      </c>
      <c r="D436">
        <v>-3.4769169201615997E-2</v>
      </c>
      <c r="E436">
        <v>0.78993892112830999</v>
      </c>
      <c r="F436">
        <v>-4.2964939107929999E-2</v>
      </c>
      <c r="G436">
        <f t="shared" si="79"/>
        <v>1.80161233467742</v>
      </c>
      <c r="H436">
        <f t="shared" si="80"/>
        <v>-0.423841284353422</v>
      </c>
      <c r="I436">
        <f t="shared" si="81"/>
        <v>1.8016149861522801</v>
      </c>
      <c r="J436">
        <f t="shared" si="82"/>
        <v>-0.42793921639170601</v>
      </c>
      <c r="K436" s="8">
        <f t="shared" si="83"/>
        <v>-2.6514748601158502E-6</v>
      </c>
      <c r="L436" s="8">
        <f t="shared" si="84"/>
        <v>4.09793203828401E-3</v>
      </c>
      <c r="M436" s="8">
        <f t="shared" si="85"/>
        <v>0.52541324832693903</v>
      </c>
      <c r="N436" s="8">
        <f t="shared" si="86"/>
        <v>0.12480187803669</v>
      </c>
      <c r="O436">
        <v>3.2507337572418998E-2</v>
      </c>
      <c r="P436">
        <v>-0.18395075272665001</v>
      </c>
      <c r="Q436">
        <v>-6.9802077635286994E-2</v>
      </c>
      <c r="R436">
        <v>-0.19865675008851</v>
      </c>
      <c r="S436">
        <f t="shared" si="87"/>
        <v>1.127205732418934</v>
      </c>
      <c r="T436">
        <f t="shared" si="88"/>
        <v>-29.381664596464681</v>
      </c>
      <c r="U436" s="9">
        <f t="shared" si="89"/>
        <v>0.98221423090064586</v>
      </c>
      <c r="V436" s="9">
        <f t="shared" si="90"/>
        <v>-0.55303523198288018</v>
      </c>
    </row>
    <row r="437" spans="1:22" x14ac:dyDescent="0.25">
      <c r="A437">
        <v>4.5999999999999996</v>
      </c>
      <c r="B437">
        <v>16.5</v>
      </c>
      <c r="C437">
        <v>-0.21507234818205001</v>
      </c>
      <c r="D437">
        <v>-1.911100647853E-2</v>
      </c>
      <c r="E437">
        <v>0.78489132100016001</v>
      </c>
      <c r="F437">
        <v>-2.7481806964802E-2</v>
      </c>
      <c r="G437">
        <f t="shared" si="79"/>
        <v>1.7976493354355301</v>
      </c>
      <c r="H437">
        <f t="shared" si="80"/>
        <v>-0.24676512497640299</v>
      </c>
      <c r="I437">
        <f t="shared" si="81"/>
        <v>1.7976486879196201</v>
      </c>
      <c r="J437">
        <f t="shared" si="82"/>
        <v>-0.25095060396058899</v>
      </c>
      <c r="K437" s="8">
        <f t="shared" si="83"/>
        <v>6.4751591000167305E-7</v>
      </c>
      <c r="L437" s="8">
        <f t="shared" si="84"/>
        <v>4.1854789841860003E-3</v>
      </c>
      <c r="M437" s="8">
        <f t="shared" si="85"/>
        <v>0.54564862831869398</v>
      </c>
      <c r="N437" s="8">
        <f t="shared" si="86"/>
        <v>7.6172198576413899E-2</v>
      </c>
      <c r="O437">
        <v>1.8868925237232E-2</v>
      </c>
      <c r="P437">
        <v>-0.18845216268286</v>
      </c>
      <c r="Q437">
        <v>-8.5504839352454995E-2</v>
      </c>
      <c r="R437">
        <v>-0.19511783880561001</v>
      </c>
      <c r="S437">
        <f t="shared" si="87"/>
        <v>1.1247987432088211</v>
      </c>
      <c r="T437">
        <f t="shared" si="88"/>
        <v>-29.381797921215664</v>
      </c>
      <c r="U437" s="9">
        <f t="shared" si="89"/>
        <v>0.9801155664941279</v>
      </c>
      <c r="V437" s="9">
        <f t="shared" si="90"/>
        <v>-0.55185658376070701</v>
      </c>
    </row>
    <row r="438" spans="1:22" x14ac:dyDescent="0.25">
      <c r="A438">
        <v>4.5999999999999996</v>
      </c>
      <c r="B438">
        <v>16.600000000000001</v>
      </c>
      <c r="C438">
        <v>-0.21771915373275999</v>
      </c>
      <c r="D438">
        <v>-3.0721945212387001E-3</v>
      </c>
      <c r="E438">
        <v>0.78223914004785</v>
      </c>
      <c r="F438">
        <v>-1.1617972834486E-2</v>
      </c>
      <c r="G438">
        <f t="shared" si="79"/>
        <v>1.7937078470035499</v>
      </c>
      <c r="H438">
        <f t="shared" si="80"/>
        <v>-7.5237740690620294E-2</v>
      </c>
      <c r="I438">
        <f t="shared" si="81"/>
        <v>1.7937052518496099</v>
      </c>
      <c r="J438">
        <f t="shared" si="82"/>
        <v>-7.9510730041164907E-2</v>
      </c>
      <c r="K438" s="8">
        <f t="shared" si="83"/>
        <v>2.5951539399660102E-6</v>
      </c>
      <c r="L438" s="8">
        <f t="shared" si="84"/>
        <v>4.2729893505446103E-3</v>
      </c>
      <c r="M438" s="8">
        <f t="shared" si="85"/>
        <v>0.556411881081185</v>
      </c>
      <c r="N438" s="8">
        <f t="shared" si="86"/>
        <v>2.46644284632179E-2</v>
      </c>
      <c r="O438">
        <v>4.8859612954588998E-3</v>
      </c>
      <c r="P438">
        <v>-0.19085704689176999</v>
      </c>
      <c r="Q438">
        <v>-0.10032641065186</v>
      </c>
      <c r="R438">
        <v>-0.18935793565923001</v>
      </c>
      <c r="S438">
        <f t="shared" si="87"/>
        <v>1.1224294816255231</v>
      </c>
      <c r="T438">
        <f t="shared" si="88"/>
        <v>-29.382181937475028</v>
      </c>
      <c r="U438" s="9">
        <f t="shared" si="89"/>
        <v>0.978047372724557</v>
      </c>
      <c r="V438" s="9">
        <f t="shared" si="90"/>
        <v>-0.55070071538788856</v>
      </c>
    </row>
    <row r="439" spans="1:22" x14ac:dyDescent="0.25">
      <c r="A439">
        <v>4.5999999999999996</v>
      </c>
      <c r="B439">
        <v>16.7</v>
      </c>
      <c r="C439">
        <v>-0.21801262036023</v>
      </c>
      <c r="D439">
        <v>1.2803708370147E-2</v>
      </c>
      <c r="E439">
        <v>0.78194004890019997</v>
      </c>
      <c r="F439">
        <v>4.0802650359638998E-3</v>
      </c>
      <c r="G439">
        <f t="shared" si="79"/>
        <v>1.78976600916703</v>
      </c>
      <c r="H439">
        <f t="shared" si="80"/>
        <v>9.0836599995783696E-2</v>
      </c>
      <c r="I439">
        <f t="shared" si="81"/>
        <v>1.7897613688418399</v>
      </c>
      <c r="J439">
        <f t="shared" si="82"/>
        <v>8.6474754864207207E-2</v>
      </c>
      <c r="K439" s="8">
        <f t="shared" si="83"/>
        <v>4.6403251900972703E-6</v>
      </c>
      <c r="L439" s="8">
        <f t="shared" si="84"/>
        <v>4.3618451315764898E-3</v>
      </c>
      <c r="M439" s="8">
        <f t="shared" si="85"/>
        <v>0.55743239505100495</v>
      </c>
      <c r="N439" s="8">
        <f t="shared" si="86"/>
        <v>-2.6933104353792401E-2</v>
      </c>
      <c r="O439">
        <v>-8.9650467743953993E-3</v>
      </c>
      <c r="P439">
        <v>-0.19120341948683001</v>
      </c>
      <c r="Q439">
        <v>-0.11382483566124001</v>
      </c>
      <c r="R439">
        <v>-0.18168359253013999</v>
      </c>
      <c r="S439">
        <f t="shared" si="87"/>
        <v>1.1200598153279244</v>
      </c>
      <c r="T439">
        <f t="shared" si="88"/>
        <v>-29.38266972161145</v>
      </c>
      <c r="U439" s="9">
        <f t="shared" si="89"/>
        <v>0.97597784656306674</v>
      </c>
      <c r="V439" s="9">
        <f t="shared" si="90"/>
        <v>-0.54954638833363578</v>
      </c>
    </row>
    <row r="440" spans="1:22" x14ac:dyDescent="0.25">
      <c r="A440">
        <v>4.5999999999999996</v>
      </c>
      <c r="B440">
        <v>16.8</v>
      </c>
      <c r="C440">
        <v>-0.21614170340722</v>
      </c>
      <c r="D440">
        <v>2.8030593716589999E-2</v>
      </c>
      <c r="E440">
        <v>0.78380654176817999</v>
      </c>
      <c r="F440">
        <v>1.9128152765937E-2</v>
      </c>
      <c r="G440">
        <f t="shared" si="79"/>
        <v>1.7858260076025601</v>
      </c>
      <c r="H440">
        <f t="shared" si="80"/>
        <v>0.25156127969026998</v>
      </c>
      <c r="I440">
        <f t="shared" si="81"/>
        <v>1.78581994402994</v>
      </c>
      <c r="J440">
        <f t="shared" si="82"/>
        <v>0.24710991703489699</v>
      </c>
      <c r="K440" s="8">
        <f t="shared" si="83"/>
        <v>6.0635726200075598E-6</v>
      </c>
      <c r="L440" s="8">
        <f t="shared" si="84"/>
        <v>4.4513626553729898E-3</v>
      </c>
      <c r="M440" s="8">
        <f t="shared" si="85"/>
        <v>0.54944651160289104</v>
      </c>
      <c r="N440" s="8">
        <f t="shared" si="86"/>
        <v>-7.60287633426876E-2</v>
      </c>
      <c r="O440">
        <v>-2.2257759825804E-2</v>
      </c>
      <c r="P440">
        <v>-0.18965326705168001</v>
      </c>
      <c r="Q440">
        <v>-0.12568259158039</v>
      </c>
      <c r="R440">
        <v>-0.17249920061022</v>
      </c>
      <c r="S440">
        <f t="shared" si="87"/>
        <v>1.1176951408863254</v>
      </c>
      <c r="T440">
        <f t="shared" si="88"/>
        <v>-29.383381030000123</v>
      </c>
      <c r="U440" s="9">
        <f t="shared" si="89"/>
        <v>0.97391055039857832</v>
      </c>
      <c r="V440" s="9">
        <f t="shared" si="90"/>
        <v>-0.54839827478142267</v>
      </c>
    </row>
    <row r="441" spans="1:22" x14ac:dyDescent="0.25">
      <c r="A441">
        <v>4.5999999999999996</v>
      </c>
      <c r="B441">
        <v>16.899999999999999</v>
      </c>
      <c r="C441">
        <v>-0.21240663848749</v>
      </c>
      <c r="D441">
        <v>4.2221105177282003E-2</v>
      </c>
      <c r="E441">
        <v>0.78753472764816002</v>
      </c>
      <c r="F441">
        <v>3.3136573079857998E-2</v>
      </c>
      <c r="G441">
        <f t="shared" si="79"/>
        <v>1.7818706259586501</v>
      </c>
      <c r="H441">
        <f t="shared" si="80"/>
        <v>0.40699589248009099</v>
      </c>
      <c r="I441">
        <f t="shared" si="81"/>
        <v>1.78186194173681</v>
      </c>
      <c r="J441">
        <f t="shared" si="82"/>
        <v>0.402453453814966</v>
      </c>
      <c r="K441" s="8">
        <f t="shared" si="83"/>
        <v>8.6842218400828807E-6</v>
      </c>
      <c r="L441" s="8">
        <f t="shared" si="84"/>
        <v>4.54243866512499E-3</v>
      </c>
      <c r="M441" s="8">
        <f t="shared" si="85"/>
        <v>0.53397109227014705</v>
      </c>
      <c r="N441" s="8">
        <f t="shared" si="86"/>
        <v>-0.120603344898879</v>
      </c>
      <c r="O441">
        <v>-3.4652360295661003E-2</v>
      </c>
      <c r="P441">
        <v>-0.18646827419673001</v>
      </c>
      <c r="Q441">
        <v>-0.13572123725608001</v>
      </c>
      <c r="R441">
        <v>-0.16225441418118</v>
      </c>
      <c r="S441">
        <f t="shared" si="87"/>
        <v>1.1153296852618373</v>
      </c>
      <c r="T441">
        <f t="shared" si="88"/>
        <v>-29.384051786987353</v>
      </c>
      <c r="U441" s="9">
        <f t="shared" si="89"/>
        <v>0.97184298952671688</v>
      </c>
      <c r="V441" s="9">
        <f t="shared" si="90"/>
        <v>-0.54724903886077558</v>
      </c>
    </row>
    <row r="442" spans="1:22" x14ac:dyDescent="0.25">
      <c r="A442">
        <v>4.5999999999999996</v>
      </c>
      <c r="B442">
        <v>17</v>
      </c>
      <c r="C442">
        <v>-0.20717116603857</v>
      </c>
      <c r="D442">
        <v>5.5109058635900002E-2</v>
      </c>
      <c r="E442">
        <v>0.79276421728449997</v>
      </c>
      <c r="F442">
        <v>4.5835123351387001E-2</v>
      </c>
      <c r="G442">
        <f t="shared" si="79"/>
        <v>1.7779323126445801</v>
      </c>
      <c r="H442">
        <f t="shared" si="80"/>
        <v>0.55719216685952699</v>
      </c>
      <c r="I442">
        <f t="shared" si="81"/>
        <v>1.7779215063529601</v>
      </c>
      <c r="J442">
        <f t="shared" si="82"/>
        <v>0.552554999289667</v>
      </c>
      <c r="K442" s="8">
        <f t="shared" si="83"/>
        <v>1.08062916199803E-5</v>
      </c>
      <c r="L442" s="8">
        <f t="shared" si="84"/>
        <v>4.6371675698599901E-3</v>
      </c>
      <c r="M442" s="8">
        <f t="shared" si="85"/>
        <v>0.512912981690401</v>
      </c>
      <c r="N442" s="8">
        <f t="shared" si="86"/>
        <v>-0.15940671802489401</v>
      </c>
      <c r="O442">
        <v>-4.5913585776666002E-2</v>
      </c>
      <c r="P442">
        <v>-0.18196324205808001</v>
      </c>
      <c r="Q442">
        <v>-0.14389710129550001</v>
      </c>
      <c r="R442">
        <v>-0.15139149085833001</v>
      </c>
      <c r="S442">
        <f t="shared" si="87"/>
        <v>1.1129738726432183</v>
      </c>
      <c r="T442">
        <f t="shared" si="88"/>
        <v>-29.384686264631746</v>
      </c>
      <c r="U442" s="9">
        <f t="shared" si="89"/>
        <v>0.96978420386833708</v>
      </c>
      <c r="V442" s="9">
        <f t="shared" si="90"/>
        <v>-0.54610387209202105</v>
      </c>
    </row>
    <row r="443" spans="1:22" x14ac:dyDescent="0.25">
      <c r="A443">
        <v>4.8</v>
      </c>
      <c r="B443">
        <v>15</v>
      </c>
      <c r="C443">
        <v>-6.7834974986562005E-2</v>
      </c>
      <c r="D443">
        <v>-0.10004896312228</v>
      </c>
      <c r="E443">
        <v>0.93217055340649002</v>
      </c>
      <c r="F443">
        <v>-0.10648648692469</v>
      </c>
      <c r="G443">
        <f t="shared" si="79"/>
        <v>1.72175209639767</v>
      </c>
      <c r="H443">
        <f t="shared" si="80"/>
        <v>-3.3807949559882702</v>
      </c>
      <c r="I443">
        <f t="shared" si="81"/>
        <v>1.72176522082149</v>
      </c>
      <c r="J443">
        <f t="shared" si="82"/>
        <v>-3.3840136667479399</v>
      </c>
      <c r="K443" s="8">
        <f t="shared" si="83"/>
        <v>-1.31244238199546E-5</v>
      </c>
      <c r="L443" s="8">
        <f t="shared" si="84"/>
        <v>3.21871075966973E-3</v>
      </c>
      <c r="M443" s="8">
        <f t="shared" si="85"/>
        <v>0.11943412581179</v>
      </c>
      <c r="N443" s="8">
        <f t="shared" si="86"/>
        <v>0.23473973636797699</v>
      </c>
      <c r="O443">
        <v>8.5413001293078994E-2</v>
      </c>
      <c r="P443">
        <v>-5.7164184187014001E-2</v>
      </c>
      <c r="Q443">
        <v>5.3729160061688E-2</v>
      </c>
      <c r="R443">
        <v>-0.1061831918675</v>
      </c>
      <c r="S443">
        <f t="shared" si="87"/>
        <v>1.1578742121068546</v>
      </c>
      <c r="T443">
        <f t="shared" si="88"/>
        <v>-29.367262943414868</v>
      </c>
      <c r="U443" s="9">
        <f t="shared" si="89"/>
        <v>1.0090806095708595</v>
      </c>
      <c r="V443" s="9">
        <f t="shared" si="90"/>
        <v>-0.56782833184878312</v>
      </c>
    </row>
    <row r="444" spans="1:22" x14ac:dyDescent="0.25">
      <c r="A444">
        <v>4.8</v>
      </c>
      <c r="B444" s="1">
        <v>15.1</v>
      </c>
      <c r="C444">
        <v>-7.5400509468081994E-2</v>
      </c>
      <c r="D444">
        <v>-0.10306207369291</v>
      </c>
      <c r="E444">
        <v>0.92460191759059995</v>
      </c>
      <c r="F444">
        <v>-0.10963399523726999</v>
      </c>
      <c r="G444">
        <f t="shared" si="79"/>
        <v>1.7182782284186899</v>
      </c>
      <c r="H444">
        <f t="shared" si="80"/>
        <v>-3.1271683282404998</v>
      </c>
      <c r="I444">
        <f t="shared" si="81"/>
        <v>1.7182902393288699</v>
      </c>
      <c r="J444">
        <f t="shared" si="82"/>
        <v>-3.13045424555775</v>
      </c>
      <c r="K444" s="8">
        <f t="shared" si="83"/>
        <v>-1.2010910179993699E-5</v>
      </c>
      <c r="L444" s="8">
        <f t="shared" si="84"/>
        <v>3.28591731725014E-3</v>
      </c>
      <c r="M444" s="8">
        <f t="shared" si="85"/>
        <v>0.13474392367145999</v>
      </c>
      <c r="N444" s="8">
        <f t="shared" si="86"/>
        <v>0.24548221148318999</v>
      </c>
      <c r="O444">
        <v>8.795811953563E-2</v>
      </c>
      <c r="P444">
        <v>-6.3513600061370995E-2</v>
      </c>
      <c r="Q444">
        <v>5.2627311322241001E-2</v>
      </c>
      <c r="R444">
        <v>-0.11387963748351999</v>
      </c>
      <c r="S444">
        <f t="shared" si="87"/>
        <v>1.1563203195601752</v>
      </c>
      <c r="T444">
        <f t="shared" si="88"/>
        <v>-29.364237257437019</v>
      </c>
      <c r="U444" s="9">
        <f t="shared" si="89"/>
        <v>1.0077563456320864</v>
      </c>
      <c r="V444" s="9">
        <f t="shared" si="90"/>
        <v>-0.56701307680335589</v>
      </c>
    </row>
    <row r="445" spans="1:22" x14ac:dyDescent="0.25">
      <c r="A445">
        <v>4.8</v>
      </c>
      <c r="B445" s="1">
        <v>15.2</v>
      </c>
      <c r="C445">
        <v>-8.3825622230274996E-2</v>
      </c>
      <c r="D445">
        <v>-0.10570913974689999</v>
      </c>
      <c r="E445">
        <v>0.91617662932015997</v>
      </c>
      <c r="F445">
        <v>-0.11241929664153</v>
      </c>
      <c r="G445">
        <f t="shared" si="79"/>
        <v>1.7150474624163301</v>
      </c>
      <c r="H445">
        <f t="shared" si="80"/>
        <v>-2.8803331747429102</v>
      </c>
      <c r="I445">
        <f t="shared" si="81"/>
        <v>1.71505984457696</v>
      </c>
      <c r="J445">
        <f t="shared" si="82"/>
        <v>-2.8836882078701098</v>
      </c>
      <c r="K445" s="8">
        <f t="shared" si="83"/>
        <v>-1.23821606299312E-5</v>
      </c>
      <c r="L445" s="8">
        <f t="shared" si="84"/>
        <v>3.35503312719965E-3</v>
      </c>
      <c r="M445" s="8">
        <f t="shared" si="85"/>
        <v>0.15235377498066999</v>
      </c>
      <c r="N445" s="8">
        <f t="shared" si="86"/>
        <v>0.25616644557649498</v>
      </c>
      <c r="O445">
        <v>9.0255032550962996E-2</v>
      </c>
      <c r="P445">
        <v>-7.0626553113683002E-2</v>
      </c>
      <c r="Q445">
        <v>5.0807462390264999E-2</v>
      </c>
      <c r="R445">
        <v>-0.12210186185784</v>
      </c>
      <c r="S445">
        <f t="shared" si="87"/>
        <v>1.1539801148179043</v>
      </c>
      <c r="T445">
        <f t="shared" si="88"/>
        <v>-29.363490615833072</v>
      </c>
      <c r="U445" s="9">
        <f t="shared" si="89"/>
        <v>1.0057241841810791</v>
      </c>
      <c r="V445" s="9">
        <f t="shared" si="90"/>
        <v>-0.56585242841967764</v>
      </c>
    </row>
    <row r="446" spans="1:22" x14ac:dyDescent="0.25">
      <c r="A446">
        <v>4.8</v>
      </c>
      <c r="B446" s="1">
        <v>15.3</v>
      </c>
      <c r="C446">
        <v>-9.3130985135827002E-2</v>
      </c>
      <c r="D446">
        <v>-0.10783702924598999</v>
      </c>
      <c r="E446">
        <v>0.90687051508857996</v>
      </c>
      <c r="F446">
        <v>-0.11468902846485</v>
      </c>
      <c r="G446">
        <f t="shared" si="79"/>
        <v>1.7118294116019499</v>
      </c>
      <c r="H446">
        <f t="shared" si="80"/>
        <v>-2.6407750857224501</v>
      </c>
      <c r="I446">
        <f t="shared" si="81"/>
        <v>1.71184189902274</v>
      </c>
      <c r="J446">
        <f t="shared" si="82"/>
        <v>-2.6442010399801399</v>
      </c>
      <c r="K446" s="8">
        <f t="shared" si="83"/>
        <v>-1.2487420790074899E-5</v>
      </c>
      <c r="L446" s="8">
        <f t="shared" si="84"/>
        <v>3.4259542576897698E-3</v>
      </c>
      <c r="M446" s="8">
        <f t="shared" si="85"/>
        <v>0.17252641388027501</v>
      </c>
      <c r="N446" s="8">
        <f t="shared" si="86"/>
        <v>0.26649337375531001</v>
      </c>
      <c r="O446">
        <v>9.2122139131619998E-2</v>
      </c>
      <c r="P446">
        <v>-7.8488905589370994E-2</v>
      </c>
      <c r="Q446">
        <v>4.8138576755978997E-2</v>
      </c>
      <c r="R446">
        <v>-0.13079582976793</v>
      </c>
      <c r="S446">
        <f t="shared" si="87"/>
        <v>1.1516082975722213</v>
      </c>
      <c r="T446">
        <f t="shared" si="88"/>
        <v>-29.362880302808328</v>
      </c>
      <c r="U446" s="9">
        <f t="shared" si="89"/>
        <v>1.00366309773341</v>
      </c>
      <c r="V446" s="9">
        <f t="shared" si="90"/>
        <v>-0.56467872041131939</v>
      </c>
    </row>
    <row r="447" spans="1:22" x14ac:dyDescent="0.25">
      <c r="A447">
        <v>4.8</v>
      </c>
      <c r="B447" s="1">
        <v>15.4</v>
      </c>
      <c r="C447">
        <v>-0.10333577798753001</v>
      </c>
      <c r="D447">
        <v>-0.10926383253292</v>
      </c>
      <c r="E447">
        <v>0.89666480883727995</v>
      </c>
      <c r="F447">
        <v>-0.11626130624912</v>
      </c>
      <c r="G447">
        <f t="shared" si="79"/>
        <v>1.7086191422353301</v>
      </c>
      <c r="H447">
        <f t="shared" si="80"/>
        <v>-2.4083644403343301</v>
      </c>
      <c r="I447">
        <f t="shared" si="81"/>
        <v>1.7086316766466401</v>
      </c>
      <c r="J447">
        <f t="shared" si="82"/>
        <v>-2.41186313231128</v>
      </c>
      <c r="K447" s="8">
        <f t="shared" si="83"/>
        <v>-1.2534411309994601E-5</v>
      </c>
      <c r="L447" s="8">
        <f t="shared" si="84"/>
        <v>3.4986919769499601E-3</v>
      </c>
      <c r="M447" s="8">
        <f t="shared" si="85"/>
        <v>0.19557380049294401</v>
      </c>
      <c r="N447" s="8">
        <f t="shared" si="86"/>
        <v>0.27606724462740001</v>
      </c>
      <c r="O447">
        <v>9.3402862572008E-2</v>
      </c>
      <c r="P447">
        <v>-8.7115649976348006E-2</v>
      </c>
      <c r="Q447">
        <v>4.4462313011448998E-2</v>
      </c>
      <c r="R447">
        <v>-0.13988860628985</v>
      </c>
      <c r="S447">
        <f t="shared" si="87"/>
        <v>1.1492393941113086</v>
      </c>
      <c r="T447">
        <f t="shared" si="88"/>
        <v>-29.362345006622657</v>
      </c>
      <c r="U447" s="9">
        <f t="shared" si="89"/>
        <v>1.001603788071658</v>
      </c>
      <c r="V447" s="9">
        <f t="shared" si="90"/>
        <v>-0.56350779648362714</v>
      </c>
    </row>
    <row r="448" spans="1:22" x14ac:dyDescent="0.25">
      <c r="A448">
        <v>4.8</v>
      </c>
      <c r="B448" s="1">
        <v>15.5</v>
      </c>
      <c r="C448">
        <v>-0.11442677658194</v>
      </c>
      <c r="D448">
        <v>-0.10977893589498</v>
      </c>
      <c r="E448">
        <v>0.88557120492758001</v>
      </c>
      <c r="F448">
        <v>-0.11692650422252</v>
      </c>
      <c r="G448">
        <f t="shared" si="79"/>
        <v>1.7054009419948599</v>
      </c>
      <c r="H448">
        <f t="shared" si="80"/>
        <v>-2.18289983104293</v>
      </c>
      <c r="I448">
        <f t="shared" si="81"/>
        <v>1.7054127045573899</v>
      </c>
      <c r="J448">
        <f t="shared" si="82"/>
        <v>-2.1864735767766201</v>
      </c>
      <c r="K448" s="8">
        <f t="shared" si="83"/>
        <v>-1.17625625299933E-5</v>
      </c>
      <c r="L448" s="8">
        <f t="shared" si="84"/>
        <v>3.5737457336901799E-3</v>
      </c>
      <c r="M448" s="8">
        <f t="shared" si="85"/>
        <v>0.221796163809271</v>
      </c>
      <c r="N448" s="8">
        <f t="shared" si="86"/>
        <v>0.284360172938462</v>
      </c>
      <c r="O448">
        <v>9.3918267465790004E-2</v>
      </c>
      <c r="P448">
        <v>-9.6496166744621997E-2</v>
      </c>
      <c r="Q448">
        <v>3.9613107329789003E-2</v>
      </c>
      <c r="R448">
        <v>-0.14926718328930999</v>
      </c>
      <c r="S448">
        <f t="shared" si="87"/>
        <v>1.1468814469829041</v>
      </c>
      <c r="T448">
        <f t="shared" si="88"/>
        <v>-29.361578779106321</v>
      </c>
      <c r="U448" s="9">
        <f t="shared" si="89"/>
        <v>0.99955627202889508</v>
      </c>
      <c r="V448" s="9">
        <f t="shared" si="90"/>
        <v>-0.5623382545063933</v>
      </c>
    </row>
    <row r="449" spans="1:22" x14ac:dyDescent="0.25">
      <c r="A449">
        <v>4.8</v>
      </c>
      <c r="B449">
        <v>15.6</v>
      </c>
      <c r="C449">
        <v>-0.12634550341028</v>
      </c>
      <c r="D449">
        <v>-0.10914604424665</v>
      </c>
      <c r="E449">
        <v>0.87365127125288999</v>
      </c>
      <c r="F449">
        <v>-0.11644672618109</v>
      </c>
      <c r="G449">
        <f t="shared" si="79"/>
        <v>1.70219021558488</v>
      </c>
      <c r="H449">
        <f t="shared" si="80"/>
        <v>-1.9641853444917801</v>
      </c>
      <c r="I449">
        <f t="shared" si="81"/>
        <v>1.70220192778996</v>
      </c>
      <c r="J449">
        <f t="shared" si="82"/>
        <v>-1.96783564859219</v>
      </c>
      <c r="K449" s="8">
        <f t="shared" si="83"/>
        <v>-1.1712205080005601E-5</v>
      </c>
      <c r="L449" s="8">
        <f t="shared" si="84"/>
        <v>3.6503041004099001E-3</v>
      </c>
      <c r="M449" s="8">
        <f t="shared" si="85"/>
        <v>0.25143795880493502</v>
      </c>
      <c r="N449" s="8">
        <f t="shared" si="86"/>
        <v>0.29067560708735202</v>
      </c>
      <c r="O449">
        <v>9.3468754888605995E-2</v>
      </c>
      <c r="P449">
        <v>-0.10658219221125</v>
      </c>
      <c r="Q449">
        <v>3.3424129830906001E-2</v>
      </c>
      <c r="R449">
        <v>-0.15876889963567001</v>
      </c>
      <c r="S449">
        <f t="shared" si="87"/>
        <v>1.1445251595745505</v>
      </c>
      <c r="T449">
        <f t="shared" si="88"/>
        <v>-29.361252717598376</v>
      </c>
      <c r="U449" s="9">
        <f t="shared" si="89"/>
        <v>0.99750586028417765</v>
      </c>
      <c r="V449" s="9">
        <f t="shared" si="90"/>
        <v>-0.5611772443692572</v>
      </c>
    </row>
    <row r="450" spans="1:22" x14ac:dyDescent="0.25">
      <c r="A450">
        <v>4.8</v>
      </c>
      <c r="B450">
        <v>15.7</v>
      </c>
      <c r="C450">
        <v>-0.13896956494250001</v>
      </c>
      <c r="D450">
        <v>-0.10711317967634</v>
      </c>
      <c r="E450">
        <v>0.86102705360276</v>
      </c>
      <c r="F450">
        <v>-0.11456678193559</v>
      </c>
      <c r="G450">
        <f t="shared" si="79"/>
        <v>1.69900977511996</v>
      </c>
      <c r="H450">
        <f t="shared" si="80"/>
        <v>-1.75201641318773</v>
      </c>
      <c r="I450">
        <f t="shared" si="81"/>
        <v>1.69902197331394</v>
      </c>
      <c r="J450">
        <f t="shared" si="82"/>
        <v>-1.7557431751580601</v>
      </c>
      <c r="K450" s="8">
        <f t="shared" si="83"/>
        <v>-1.21981939800175E-5</v>
      </c>
      <c r="L450" s="8">
        <f t="shared" si="84"/>
        <v>3.7267619703300601E-3</v>
      </c>
      <c r="M450" s="8">
        <f t="shared" si="85"/>
        <v>0.28462620316146697</v>
      </c>
      <c r="N450" s="8">
        <f t="shared" si="86"/>
        <v>0.294128340610671</v>
      </c>
      <c r="O450">
        <v>9.1841155700076005E-2</v>
      </c>
      <c r="P450">
        <v>-0.11727229550276</v>
      </c>
      <c r="Q450">
        <v>2.5748678348088999E-2</v>
      </c>
      <c r="R450">
        <v>-0.16817129799326</v>
      </c>
      <c r="S450">
        <f t="shared" si="87"/>
        <v>1.1421642628906441</v>
      </c>
      <c r="T450">
        <f t="shared" si="88"/>
        <v>-29.361132208009842</v>
      </c>
      <c r="U450" s="9">
        <f t="shared" si="89"/>
        <v>0.99544940906199564</v>
      </c>
      <c r="V450" s="9">
        <f t="shared" si="90"/>
        <v>-0.56001756885177456</v>
      </c>
    </row>
    <row r="451" spans="1:22" x14ac:dyDescent="0.25">
      <c r="A451">
        <v>4.8</v>
      </c>
      <c r="B451">
        <v>15.8</v>
      </c>
      <c r="C451">
        <v>-0.15210011190589001</v>
      </c>
      <c r="D451">
        <v>-0.10343046603257</v>
      </c>
      <c r="E451">
        <v>0.84789191916204998</v>
      </c>
      <c r="F451">
        <v>-0.11104207646104999</v>
      </c>
      <c r="G451">
        <f t="shared" ref="G451:G484" si="91">IMREAL(IMDIV(IMSUM(IMPRODUCT(COMPLEX(1 + C451,D451),COMPLEX(1 - C451, - D451)),IMPRODUCT(COMPLEX(E451,F451),COMPLEX(E451,F451))),IMSUB(IMPRODUCT(COMPLEX(1 - C451, - D451),COMPLEX(1 - C451, - D451)),IMPRODUCT(COMPLEX(E451,F451),COMPLEX(E451,F451)))))</f>
        <v>1.6957922535340799</v>
      </c>
      <c r="H451">
        <f t="shared" ref="H451:H484" si="92">IMAGINARY(IMDIV(IMSUM(IMPRODUCT(COMPLEX(1 + C451,D451),COMPLEX(1 - C451, - D451)),IMPRODUCT(COMPLEX(E451,F451),COMPLEX(E451,F451))),IMSUB(IMPRODUCT(COMPLEX(1 - C451, - D451),COMPLEX(1 - C451, - D451)),IMPRODUCT(COMPLEX(E451,F451),COMPLEX(E451,F451)))))</f>
        <v>-1.54617597347034</v>
      </c>
      <c r="I451">
        <f t="shared" ref="I451:I484" si="93">IMREAL(IMDIV(IMPRODUCT(COMPLEX(2,0),COMPLEX(E451,F451)),IMSUB(IMPRODUCT(COMPLEX(1 - C451, - D451),COMPLEX(1 - C451, - D451)),IMPRODUCT(COMPLEX(E451,F451),COMPLEX(E451,F451)))))</f>
        <v>1.69580275316885</v>
      </c>
      <c r="J451">
        <f t="shared" ref="J451:J484" si="94">IMAGINARY(IMDIV(IMPRODUCT(COMPLEX(2,0),COMPLEX(E451,F451)),IMSUB(IMPRODUCT(COMPLEX(1 - C451, - D451),COMPLEX(1 - C451, - D451)),IMPRODUCT(COMPLEX(E451,F451),COMPLEX(E451,F451)))))</f>
        <v>-1.5499817538890199</v>
      </c>
      <c r="K451" s="8">
        <f t="shared" ref="K451:K484" si="95">IMREAL(IMSUB(COMPLEX(G451,H451),COMPLEX(I451,J451)))</f>
        <v>-1.0499634770067E-5</v>
      </c>
      <c r="L451" s="8">
        <f t="shared" ref="L451:L484" si="96">IMAGINARY(IMSUB(COMPLEX(G451,H451),COMPLEX(I451,J451)))</f>
        <v>3.80578041867996E-3</v>
      </c>
      <c r="M451" s="8">
        <f t="shared" ref="M451:M484" si="97">IMREAL(IMDIV(IMSUB(IMPRODUCT(COMPLEX(1 - C451, - D451),COMPLEX(1 - C451, - D451)),IMPRODUCT(COMPLEX(E451,F451),COMPLEX(E451,F451))),IMPRODUCT(COMPLEX(2,0),COMPLEX(E451,F451))))</f>
        <v>0.32128487603165401</v>
      </c>
      <c r="N451" s="8">
        <f t="shared" ref="N451:N484" si="98">IMAGINARY(IMDIV(IMSUB(IMPRODUCT(COMPLEX(1 - C451, - D451),COMPLEX(1 - C451, - D451)),IMPRODUCT(COMPLEX(E451,F451),COMPLEX(E451,F451))),IMPRODUCT(COMPLEX(2,0),COMPLEX(E451,F451))))</f>
        <v>0.293657794055943</v>
      </c>
      <c r="O451">
        <v>8.8823205493811994E-2</v>
      </c>
      <c r="P451">
        <v>-0.12839994082848999</v>
      </c>
      <c r="Q451">
        <v>1.6479331335051001E-2</v>
      </c>
      <c r="R451">
        <v>-0.17719101707462001</v>
      </c>
      <c r="S451">
        <f t="shared" ref="S451:S484" si="99">IMABS(COMPLEX(Q451,R451))/IMABS(COMPLEX(O451,P451))</f>
        <v>1.1398027216243709</v>
      </c>
      <c r="T451">
        <f t="shared" ref="T451:T484" si="100">IMARGUMENT(IMDIV(COMPLEX(Q451,R451),COMPLEX(O451/B451,P451/B451)))/PI()*180</f>
        <v>-29.360909581440549</v>
      </c>
      <c r="U451" s="9">
        <f t="shared" ref="U451:U484" si="101">S451*COS(T451/180*PI())</f>
        <v>0.99339338721946224</v>
      </c>
      <c r="V451" s="9">
        <f t="shared" ref="V451:V484" si="102">S451*SIN(T451/180*PI())</f>
        <v>-0.55885581543987417</v>
      </c>
    </row>
    <row r="452" spans="1:22" x14ac:dyDescent="0.25">
      <c r="A452">
        <v>4.8</v>
      </c>
      <c r="B452">
        <v>15.9</v>
      </c>
      <c r="C452">
        <v>-0.16545282107181</v>
      </c>
      <c r="D452">
        <v>-9.7873214378982998E-2</v>
      </c>
      <c r="E452">
        <v>0.83453646855818997</v>
      </c>
      <c r="F452">
        <v>-0.10564772554548001</v>
      </c>
      <c r="G452">
        <f t="shared" si="91"/>
        <v>1.69256276304744</v>
      </c>
      <c r="H452">
        <f t="shared" si="92"/>
        <v>-1.3465343986023699</v>
      </c>
      <c r="I452">
        <f t="shared" si="93"/>
        <v>1.69257251860416</v>
      </c>
      <c r="J452">
        <f t="shared" si="94"/>
        <v>-1.3504216370801601</v>
      </c>
      <c r="K452" s="8">
        <f t="shared" si="95"/>
        <v>-9.7555567200036092E-6</v>
      </c>
      <c r="L452" s="8">
        <f t="shared" si="96"/>
        <v>3.8872384777901602E-3</v>
      </c>
      <c r="M452" s="8">
        <f t="shared" si="97"/>
        <v>0.361009717510762</v>
      </c>
      <c r="N452" s="8">
        <f t="shared" si="98"/>
        <v>0.28803216899963402</v>
      </c>
      <c r="O452">
        <v>8.4223039035779004E-2</v>
      </c>
      <c r="P452">
        <v>-0.13972556916776999</v>
      </c>
      <c r="Q452">
        <v>5.5688164509967997E-3</v>
      </c>
      <c r="R452">
        <v>-0.18548516488465999</v>
      </c>
      <c r="S452">
        <f t="shared" si="99"/>
        <v>1.1374367889606569</v>
      </c>
      <c r="T452">
        <f t="shared" si="100"/>
        <v>-29.36083659617341</v>
      </c>
      <c r="U452" s="9">
        <f t="shared" si="101"/>
        <v>0.99133207249347621</v>
      </c>
      <c r="V452" s="9">
        <f t="shared" si="102"/>
        <v>-0.55769451398316561</v>
      </c>
    </row>
    <row r="453" spans="1:22" x14ac:dyDescent="0.25">
      <c r="A453">
        <v>4.8</v>
      </c>
      <c r="B453">
        <v>16</v>
      </c>
      <c r="C453">
        <v>-0.17865697121735999</v>
      </c>
      <c r="D453">
        <v>-9.0276834409564993E-2</v>
      </c>
      <c r="E453">
        <v>0.82132706521940002</v>
      </c>
      <c r="F453">
        <v>-9.8219693139978997E-2</v>
      </c>
      <c r="G453">
        <f t="shared" si="91"/>
        <v>1.68930827994567</v>
      </c>
      <c r="H453">
        <f t="shared" si="92"/>
        <v>-1.1529071047732999</v>
      </c>
      <c r="I453">
        <f t="shared" si="93"/>
        <v>1.68931607048045</v>
      </c>
      <c r="J453">
        <f t="shared" si="94"/>
        <v>-1.1568785348980399</v>
      </c>
      <c r="K453" s="8">
        <f t="shared" si="95"/>
        <v>-7.7905347799500595E-6</v>
      </c>
      <c r="L453" s="8">
        <f t="shared" si="96"/>
        <v>3.9714301247399898E-3</v>
      </c>
      <c r="M453" s="8">
        <f t="shared" si="97"/>
        <v>0.40297063757023399</v>
      </c>
      <c r="N453" s="8">
        <f t="shared" si="98"/>
        <v>0.27596261525328097</v>
      </c>
      <c r="O453">
        <v>7.7899802233880003E-2</v>
      </c>
      <c r="P453">
        <v>-0.15093724743140999</v>
      </c>
      <c r="Q453">
        <v>-6.9369214186265002E-3</v>
      </c>
      <c r="R453">
        <v>-0.19267082204739999</v>
      </c>
      <c r="S453">
        <f t="shared" si="99"/>
        <v>1.1350659462476882</v>
      </c>
      <c r="T453">
        <f t="shared" si="100"/>
        <v>-29.360571978142652</v>
      </c>
      <c r="U453" s="9">
        <f t="shared" si="101"/>
        <v>0.98926833683818716</v>
      </c>
      <c r="V453" s="9">
        <f t="shared" si="102"/>
        <v>-0.55652750162104914</v>
      </c>
    </row>
    <row r="454" spans="1:22" x14ac:dyDescent="0.25">
      <c r="A454">
        <v>4.8</v>
      </c>
      <c r="B454">
        <v>16.100000000000001</v>
      </c>
      <c r="C454">
        <v>-0.19127068493117</v>
      </c>
      <c r="D454">
        <v>-8.0570959796293001E-2</v>
      </c>
      <c r="E454">
        <v>0.80870973192140005</v>
      </c>
      <c r="F454">
        <v>-8.868449453775E-2</v>
      </c>
      <c r="G454">
        <f t="shared" si="91"/>
        <v>1.6860556132065501</v>
      </c>
      <c r="H454">
        <f t="shared" si="92"/>
        <v>-0.96514402321256398</v>
      </c>
      <c r="I454">
        <f t="shared" si="93"/>
        <v>1.68606227911105</v>
      </c>
      <c r="J454">
        <f t="shared" si="94"/>
        <v>-0.96920080326353197</v>
      </c>
      <c r="K454" s="8">
        <f t="shared" si="95"/>
        <v>-6.6659044999361996E-6</v>
      </c>
      <c r="L454" s="8">
        <f t="shared" si="96"/>
        <v>4.0567800509679897E-3</v>
      </c>
      <c r="M454" s="8">
        <f t="shared" si="97"/>
        <v>0.44579393003312101</v>
      </c>
      <c r="N454" s="8">
        <f t="shared" si="98"/>
        <v>0.25625615401698398</v>
      </c>
      <c r="O454">
        <v>6.9791342468788001E-2</v>
      </c>
      <c r="P454">
        <v>-0.16166117187479001</v>
      </c>
      <c r="Q454">
        <v>-2.0882927045857001E-2</v>
      </c>
      <c r="R454">
        <v>-0.19835193282981001</v>
      </c>
      <c r="S454">
        <f t="shared" si="99"/>
        <v>1.1326953005386111</v>
      </c>
      <c r="T454">
        <f t="shared" si="100"/>
        <v>-29.36060386847533</v>
      </c>
      <c r="U454" s="9">
        <f t="shared" si="101"/>
        <v>0.98720188809340115</v>
      </c>
      <c r="V454" s="9">
        <f t="shared" si="102"/>
        <v>-0.55536571374822774</v>
      </c>
    </row>
    <row r="455" spans="1:22" x14ac:dyDescent="0.25">
      <c r="A455">
        <v>4.8</v>
      </c>
      <c r="B455">
        <v>16.2</v>
      </c>
      <c r="C455">
        <v>-0.20280942469482999</v>
      </c>
      <c r="D455">
        <v>-6.8812442840880006E-2</v>
      </c>
      <c r="E455">
        <v>0.79716690411878</v>
      </c>
      <c r="F455">
        <v>-7.7100137413197004E-2</v>
      </c>
      <c r="G455">
        <f t="shared" si="91"/>
        <v>1.6827917748338299</v>
      </c>
      <c r="H455">
        <f t="shared" si="92"/>
        <v>-0.78309518213016305</v>
      </c>
      <c r="I455">
        <f t="shared" si="93"/>
        <v>1.68279711088573</v>
      </c>
      <c r="J455">
        <f t="shared" si="94"/>
        <v>-0.787239056349746</v>
      </c>
      <c r="K455" s="8">
        <f t="shared" si="95"/>
        <v>-5.3360519001177698E-6</v>
      </c>
      <c r="L455" s="8">
        <f t="shared" si="96"/>
        <v>4.1438742195829504E-3</v>
      </c>
      <c r="M455" s="8">
        <f t="shared" si="97"/>
        <v>0.48754803053566298</v>
      </c>
      <c r="N455" s="8">
        <f t="shared" si="98"/>
        <v>0.228082666057142</v>
      </c>
      <c r="O455">
        <v>5.9943287777694997E-2</v>
      </c>
      <c r="P455">
        <v>-0.17148793629167</v>
      </c>
      <c r="Q455">
        <v>-3.5987203436314001E-2</v>
      </c>
      <c r="R455">
        <v>-0.20215914351052</v>
      </c>
      <c r="S455">
        <f t="shared" si="99"/>
        <v>1.130322082929502</v>
      </c>
      <c r="T455">
        <f t="shared" si="100"/>
        <v>-29.360708143964079</v>
      </c>
      <c r="U455" s="9">
        <f t="shared" si="101"/>
        <v>0.98513249894260824</v>
      </c>
      <c r="V455" s="9">
        <f t="shared" si="102"/>
        <v>-0.55420390713633549</v>
      </c>
    </row>
    <row r="456" spans="1:22" x14ac:dyDescent="0.25">
      <c r="A456">
        <v>4.8</v>
      </c>
      <c r="B456">
        <v>16.3</v>
      </c>
      <c r="C456">
        <v>-0.21279332425639999</v>
      </c>
      <c r="D456">
        <v>-5.5205041365314997E-2</v>
      </c>
      <c r="E456">
        <v>0.78717589114898001</v>
      </c>
      <c r="F456">
        <v>-6.3672982939933995E-2</v>
      </c>
      <c r="G456">
        <f t="shared" si="91"/>
        <v>1.67949828734833</v>
      </c>
      <c r="H456">
        <f t="shared" si="92"/>
        <v>-0.60663296064741001</v>
      </c>
      <c r="I456">
        <f t="shared" si="93"/>
        <v>1.6795008218291601</v>
      </c>
      <c r="J456">
        <f t="shared" si="94"/>
        <v>-0.61086698587517596</v>
      </c>
      <c r="K456" s="8">
        <f t="shared" si="95"/>
        <v>-2.53448083009644E-6</v>
      </c>
      <c r="L456" s="8">
        <f t="shared" si="96"/>
        <v>4.23402522776595E-3</v>
      </c>
      <c r="M456" s="8">
        <f t="shared" si="97"/>
        <v>0.52584944987454596</v>
      </c>
      <c r="N456" s="8">
        <f t="shared" si="98"/>
        <v>0.19126163220279599</v>
      </c>
      <c r="O456">
        <v>4.8525183125097002E-2</v>
      </c>
      <c r="P456">
        <v>-0.18001098498264001</v>
      </c>
      <c r="Q456">
        <v>-5.1850177558019003E-2</v>
      </c>
      <c r="R456">
        <v>-0.20379842187045999</v>
      </c>
      <c r="S456">
        <f t="shared" si="99"/>
        <v>1.1279475850528575</v>
      </c>
      <c r="T456">
        <f t="shared" si="100"/>
        <v>-29.360784908573635</v>
      </c>
      <c r="U456" s="9">
        <f t="shared" si="101"/>
        <v>0.98306226375334449</v>
      </c>
      <c r="V456" s="9">
        <f t="shared" si="102"/>
        <v>-0.5530409932461815</v>
      </c>
    </row>
    <row r="457" spans="1:22" x14ac:dyDescent="0.25">
      <c r="A457">
        <v>4.8</v>
      </c>
      <c r="B457">
        <v>16.399999999999999</v>
      </c>
      <c r="C457">
        <v>-0.22080279773354</v>
      </c>
      <c r="D457">
        <v>-4.0097396109163998E-2</v>
      </c>
      <c r="E457">
        <v>0.77916068974490005</v>
      </c>
      <c r="F457">
        <v>-4.8747017038220999E-2</v>
      </c>
      <c r="G457">
        <f t="shared" si="91"/>
        <v>1.6762082851950899</v>
      </c>
      <c r="H457">
        <f t="shared" si="92"/>
        <v>-0.435621826352806</v>
      </c>
      <c r="I457">
        <f t="shared" si="93"/>
        <v>1.67620873326113</v>
      </c>
      <c r="J457">
        <f t="shared" si="94"/>
        <v>-0.43994671383580702</v>
      </c>
      <c r="K457" s="8">
        <f t="shared" si="95"/>
        <v>-4.4806604004854499E-7</v>
      </c>
      <c r="L457" s="8">
        <f t="shared" si="96"/>
        <v>4.3248874830010301E-3</v>
      </c>
      <c r="M457" s="8">
        <f t="shared" si="97"/>
        <v>0.55813553644922698</v>
      </c>
      <c r="N457" s="8">
        <f t="shared" si="98"/>
        <v>0.14649123958332799</v>
      </c>
      <c r="O457">
        <v>3.5829594093247999E-2</v>
      </c>
      <c r="P457">
        <v>-0.18687403208893999</v>
      </c>
      <c r="Q457">
        <v>-6.7983260304507007E-2</v>
      </c>
      <c r="R457">
        <v>-0.20309429622961001</v>
      </c>
      <c r="S457">
        <f t="shared" si="99"/>
        <v>1.1255672788808539</v>
      </c>
      <c r="T457">
        <f t="shared" si="100"/>
        <v>-29.360996113934664</v>
      </c>
      <c r="U457" s="9">
        <f t="shared" si="101"/>
        <v>0.98098567452695562</v>
      </c>
      <c r="V457" s="9">
        <f t="shared" si="102"/>
        <v>-0.55187752777237076</v>
      </c>
    </row>
    <row r="458" spans="1:22" x14ac:dyDescent="0.25">
      <c r="A458">
        <v>4.8</v>
      </c>
      <c r="B458">
        <v>16.5</v>
      </c>
      <c r="C458">
        <v>-0.22653109969335999</v>
      </c>
      <c r="D458">
        <v>-2.3958119113163999E-2</v>
      </c>
      <c r="E458">
        <v>0.77343174787628999</v>
      </c>
      <c r="F458">
        <v>-3.2790297440136999E-2</v>
      </c>
      <c r="G458">
        <f t="shared" si="91"/>
        <v>1.6729356766966299</v>
      </c>
      <c r="H458">
        <f t="shared" si="92"/>
        <v>-0.26994124683896897</v>
      </c>
      <c r="I458">
        <f t="shared" si="93"/>
        <v>1.6729366026863699</v>
      </c>
      <c r="J458">
        <f t="shared" si="94"/>
        <v>-0.27435741394887297</v>
      </c>
      <c r="K458" s="8">
        <f t="shared" si="95"/>
        <v>-9.2598973999713497E-7</v>
      </c>
      <c r="L458" s="8">
        <f t="shared" si="96"/>
        <v>4.4161671099040003E-3</v>
      </c>
      <c r="M458" s="8">
        <f t="shared" si="97"/>
        <v>0.58209571435057605</v>
      </c>
      <c r="N458" s="8">
        <f t="shared" si="98"/>
        <v>9.5462239635081603E-2</v>
      </c>
      <c r="O458">
        <v>2.2250649495124002E-2</v>
      </c>
      <c r="P458">
        <v>-0.19181370444825999</v>
      </c>
      <c r="Q458">
        <v>-8.3854193153825002E-2</v>
      </c>
      <c r="R458">
        <v>-0.20002184976498999</v>
      </c>
      <c r="S458">
        <f t="shared" si="99"/>
        <v>1.1231887261070428</v>
      </c>
      <c r="T458">
        <f t="shared" si="100"/>
        <v>-29.361471979734993</v>
      </c>
      <c r="U458" s="9">
        <f t="shared" si="101"/>
        <v>0.9789080781881303</v>
      </c>
      <c r="V458" s="9">
        <f t="shared" si="102"/>
        <v>-0.55071942848603339</v>
      </c>
    </row>
    <row r="459" spans="1:22" x14ac:dyDescent="0.25">
      <c r="A459">
        <v>4.8</v>
      </c>
      <c r="B459">
        <v>16.600000000000001</v>
      </c>
      <c r="C459">
        <v>-0.22982338237319</v>
      </c>
      <c r="D459">
        <v>-7.3286902216917003E-3</v>
      </c>
      <c r="E459">
        <v>0.77013479966526999</v>
      </c>
      <c r="F459">
        <v>-1.6348932839812001E-2</v>
      </c>
      <c r="G459">
        <f t="shared" si="91"/>
        <v>1.66962987053321</v>
      </c>
      <c r="H459">
        <f t="shared" si="92"/>
        <v>-0.10949809400197</v>
      </c>
      <c r="I459">
        <f t="shared" si="93"/>
        <v>1.66962930317166</v>
      </c>
      <c r="J459">
        <f t="shared" si="94"/>
        <v>-0.114008312173964</v>
      </c>
      <c r="K459" s="8">
        <f t="shared" si="95"/>
        <v>5.6736154996350805E-7</v>
      </c>
      <c r="L459" s="8">
        <f t="shared" si="96"/>
        <v>4.5102181719939996E-3</v>
      </c>
      <c r="M459" s="8">
        <f t="shared" si="97"/>
        <v>0.596155677467055</v>
      </c>
      <c r="N459" s="8">
        <f t="shared" si="98"/>
        <v>4.0707660348218697E-2</v>
      </c>
      <c r="O459">
        <v>8.2452739867800006E-3</v>
      </c>
      <c r="P459">
        <v>-0.19469600277516</v>
      </c>
      <c r="Q459">
        <v>-9.8943768341458002E-2</v>
      </c>
      <c r="R459">
        <v>-0.19471814856024</v>
      </c>
      <c r="S459">
        <f t="shared" si="99"/>
        <v>1.1208201658084922</v>
      </c>
      <c r="T459">
        <f t="shared" si="100"/>
        <v>-29.361869569358944</v>
      </c>
      <c r="U459" s="9">
        <f t="shared" si="101"/>
        <v>0.97683996079626123</v>
      </c>
      <c r="V459" s="9">
        <f t="shared" si="102"/>
        <v>-0.54956485975227232</v>
      </c>
    </row>
    <row r="460" spans="1:22" x14ac:dyDescent="0.25">
      <c r="A460">
        <v>4.8</v>
      </c>
      <c r="B460">
        <v>16.7</v>
      </c>
      <c r="C460">
        <v>-0.23069085667483999</v>
      </c>
      <c r="D460">
        <v>9.2390988693296008E-3</v>
      </c>
      <c r="E460">
        <v>0.76926174560754002</v>
      </c>
      <c r="F460" s="5">
        <v>2.7546007860757001E-5</v>
      </c>
      <c r="G460">
        <f t="shared" si="91"/>
        <v>1.66630768548007</v>
      </c>
      <c r="H460">
        <f t="shared" si="92"/>
        <v>4.5807773027061398E-2</v>
      </c>
      <c r="I460">
        <f t="shared" si="93"/>
        <v>1.6663052002943599</v>
      </c>
      <c r="J460">
        <f t="shared" si="94"/>
        <v>4.1201875995613799E-2</v>
      </c>
      <c r="K460" s="8">
        <f t="shared" si="95"/>
        <v>2.48518571011047E-6</v>
      </c>
      <c r="L460" s="8">
        <f t="shared" si="96"/>
        <v>4.6058970314476E-3</v>
      </c>
      <c r="M460" s="8">
        <f t="shared" si="97"/>
        <v>0.599763461208489</v>
      </c>
      <c r="N460" s="8">
        <f t="shared" si="98"/>
        <v>-1.4830044190612301E-2</v>
      </c>
      <c r="O460">
        <v>-5.7198336619429004E-3</v>
      </c>
      <c r="P460">
        <v>-0.19552803746215999</v>
      </c>
      <c r="Q460">
        <v>-0.11280565526727999</v>
      </c>
      <c r="R460">
        <v>-0.18745933273761001</v>
      </c>
      <c r="S460">
        <f t="shared" si="99"/>
        <v>1.1184570569089962</v>
      </c>
      <c r="T460">
        <f t="shared" si="100"/>
        <v>-29.362264174058225</v>
      </c>
      <c r="U460" s="9">
        <f t="shared" si="101"/>
        <v>0.97477663914134727</v>
      </c>
      <c r="V460" s="9">
        <f t="shared" si="102"/>
        <v>-0.54841288454396575</v>
      </c>
    </row>
    <row r="461" spans="1:22" x14ac:dyDescent="0.25">
      <c r="A461">
        <v>4.8</v>
      </c>
      <c r="B461">
        <v>16.8</v>
      </c>
      <c r="C461">
        <v>-0.22929769976305001</v>
      </c>
      <c r="D461">
        <v>2.5240693473923999E-2</v>
      </c>
      <c r="E461">
        <v>0.77064773021095001</v>
      </c>
      <c r="F461">
        <v>1.5838501580961999E-2</v>
      </c>
      <c r="G461">
        <f t="shared" si="91"/>
        <v>1.66296331224841</v>
      </c>
      <c r="H461">
        <f t="shared" si="92"/>
        <v>0.19607719405242099</v>
      </c>
      <c r="I461">
        <f t="shared" si="93"/>
        <v>1.6629581281146499</v>
      </c>
      <c r="J461">
        <f t="shared" si="94"/>
        <v>0.19137594546119999</v>
      </c>
      <c r="K461" s="8">
        <f t="shared" si="95"/>
        <v>5.1841337600500001E-6</v>
      </c>
      <c r="L461" s="8">
        <f t="shared" si="96"/>
        <v>4.7012485912210104E-3</v>
      </c>
      <c r="M461" s="8">
        <f t="shared" si="97"/>
        <v>0.59347815505391099</v>
      </c>
      <c r="N461" s="8">
        <f t="shared" si="98"/>
        <v>-6.8298438255193605E-2</v>
      </c>
      <c r="O461">
        <v>-1.9217151955551001E-2</v>
      </c>
      <c r="P461">
        <v>-0.19444593212483999</v>
      </c>
      <c r="Q461">
        <v>-0.12510659813749</v>
      </c>
      <c r="R461">
        <v>-0.17862386742451999</v>
      </c>
      <c r="S461">
        <f t="shared" si="99"/>
        <v>1.1160995184909761</v>
      </c>
      <c r="T461">
        <f t="shared" si="100"/>
        <v>-29.362832529911387</v>
      </c>
      <c r="U461" s="9">
        <f t="shared" si="101"/>
        <v>0.97271652866444114</v>
      </c>
      <c r="V461" s="9">
        <f t="shared" si="102"/>
        <v>-0.54726656214205893</v>
      </c>
    </row>
    <row r="462" spans="1:22" x14ac:dyDescent="0.25">
      <c r="A462">
        <v>4.8</v>
      </c>
      <c r="B462">
        <v>16.899999999999999</v>
      </c>
      <c r="C462">
        <v>-0.22592663431699</v>
      </c>
      <c r="D462">
        <v>4.0263474491286998E-2</v>
      </c>
      <c r="E462">
        <v>0.77401346904040003</v>
      </c>
      <c r="F462">
        <v>3.0663472046298001E-2</v>
      </c>
      <c r="G462">
        <f t="shared" si="91"/>
        <v>1.6596206759360801</v>
      </c>
      <c r="H462">
        <f t="shared" si="92"/>
        <v>0.34134807072304002</v>
      </c>
      <c r="I462">
        <f t="shared" si="93"/>
        <v>1.6596137682688199</v>
      </c>
      <c r="J462">
        <f t="shared" si="94"/>
        <v>0.33654789258645601</v>
      </c>
      <c r="K462" s="8">
        <f t="shared" si="95"/>
        <v>6.9076672601919904E-6</v>
      </c>
      <c r="L462" s="8">
        <f t="shared" si="96"/>
        <v>4.8001781365840102E-3</v>
      </c>
      <c r="M462" s="8">
        <f t="shared" si="97"/>
        <v>0.57875016975141302</v>
      </c>
      <c r="N462" s="8">
        <f t="shared" si="98"/>
        <v>-0.117362939310312</v>
      </c>
      <c r="O462">
        <v>-3.1896309162845998E-2</v>
      </c>
      <c r="P462">
        <v>-0.19168670179882999</v>
      </c>
      <c r="Q462">
        <v>-0.13564474821365999</v>
      </c>
      <c r="R462">
        <v>-0.16864282130269001</v>
      </c>
      <c r="S462">
        <f t="shared" si="99"/>
        <v>1.1137437383317159</v>
      </c>
      <c r="T462">
        <f t="shared" si="100"/>
        <v>-29.363467619218675</v>
      </c>
      <c r="U462" s="9">
        <f t="shared" si="101"/>
        <v>0.97065733731835346</v>
      </c>
      <c r="V462" s="9">
        <f t="shared" si="102"/>
        <v>-0.54612219162303755</v>
      </c>
    </row>
    <row r="463" spans="1:22" x14ac:dyDescent="0.25">
      <c r="A463">
        <v>4.8</v>
      </c>
      <c r="B463">
        <v>17</v>
      </c>
      <c r="C463">
        <v>-0.22093438729699</v>
      </c>
      <c r="D463">
        <v>5.4012962240813998E-2</v>
      </c>
      <c r="E463">
        <v>0.77900222284426002</v>
      </c>
      <c r="F463">
        <v>4.4214080265974003E-2</v>
      </c>
      <c r="G463">
        <f t="shared" si="91"/>
        <v>1.6562691780207901</v>
      </c>
      <c r="H463">
        <f t="shared" si="92"/>
        <v>0.48171696151666799</v>
      </c>
      <c r="I463">
        <f t="shared" si="93"/>
        <v>1.6562614883151201</v>
      </c>
      <c r="J463">
        <f t="shared" si="94"/>
        <v>0.47681732756043799</v>
      </c>
      <c r="K463" s="8">
        <f t="shared" si="95"/>
        <v>7.6897056699998194E-6</v>
      </c>
      <c r="L463" s="8">
        <f t="shared" si="96"/>
        <v>4.8996339562300002E-3</v>
      </c>
      <c r="M463" s="8">
        <f t="shared" si="97"/>
        <v>0.55755925719145305</v>
      </c>
      <c r="N463" s="8">
        <f t="shared" si="98"/>
        <v>-0.16051445791996199</v>
      </c>
      <c r="O463">
        <v>-4.3505317534244997E-2</v>
      </c>
      <c r="P463">
        <v>-0.18754584482041001</v>
      </c>
      <c r="Q463">
        <v>-0.14435285107061999</v>
      </c>
      <c r="R463">
        <v>-0.15795126259058001</v>
      </c>
      <c r="S463">
        <f t="shared" si="99"/>
        <v>1.1114225897169909</v>
      </c>
      <c r="T463">
        <f t="shared" si="100"/>
        <v>-29.364416401515246</v>
      </c>
      <c r="U463" s="9">
        <f t="shared" si="101"/>
        <v>0.96862536973927715</v>
      </c>
      <c r="V463" s="9">
        <f t="shared" si="102"/>
        <v>-0.54500006057859407</v>
      </c>
    </row>
    <row r="464" spans="1:22" x14ac:dyDescent="0.25">
      <c r="A464">
        <v>5</v>
      </c>
      <c r="B464">
        <v>15</v>
      </c>
      <c r="C464">
        <v>-7.0970118311390995E-2</v>
      </c>
      <c r="D464">
        <v>-0.10540567492473001</v>
      </c>
      <c r="E464">
        <v>0.92901074234804004</v>
      </c>
      <c r="F464">
        <v>-0.11210970695212</v>
      </c>
      <c r="G464">
        <f t="shared" si="91"/>
        <v>1.6041794400376801</v>
      </c>
      <c r="H464">
        <f t="shared" si="92"/>
        <v>-3.22242645574158</v>
      </c>
      <c r="I464">
        <f t="shared" si="93"/>
        <v>1.6041811064835001</v>
      </c>
      <c r="J464">
        <f t="shared" si="94"/>
        <v>-3.2257784982472599</v>
      </c>
      <c r="K464" s="8">
        <f t="shared" si="95"/>
        <v>-1.6664458200033001E-6</v>
      </c>
      <c r="L464" s="8">
        <f t="shared" si="96"/>
        <v>3.3520425056798898E-3</v>
      </c>
      <c r="M464" s="8">
        <f t="shared" si="97"/>
        <v>0.123597786834936</v>
      </c>
      <c r="N464" s="8">
        <f t="shared" si="98"/>
        <v>0.24853745103448399</v>
      </c>
      <c r="O464">
        <v>8.6562662262278003E-2</v>
      </c>
      <c r="P464">
        <v>-5.7669196776208999E-2</v>
      </c>
      <c r="Q464">
        <v>5.4715299304876001E-2</v>
      </c>
      <c r="R464">
        <v>-0.10755719939074999</v>
      </c>
      <c r="S464">
        <f t="shared" si="99"/>
        <v>1.1601791300427042</v>
      </c>
      <c r="T464">
        <f t="shared" si="100"/>
        <v>-29.365076310656445</v>
      </c>
      <c r="U464" s="9">
        <f t="shared" si="101"/>
        <v>1.0111110450518401</v>
      </c>
      <c r="V464" s="9">
        <f t="shared" si="102"/>
        <v>-0.56892008960909612</v>
      </c>
    </row>
    <row r="465" spans="1:22" x14ac:dyDescent="0.25">
      <c r="A465">
        <v>5</v>
      </c>
      <c r="B465" s="1">
        <v>15.1</v>
      </c>
      <c r="C465">
        <v>-7.8896985427149999E-2</v>
      </c>
      <c r="D465">
        <v>-0.10859727384426</v>
      </c>
      <c r="E465">
        <v>0.92108393540987998</v>
      </c>
      <c r="F465">
        <v>-0.11544902245329999</v>
      </c>
      <c r="G465">
        <f t="shared" si="91"/>
        <v>1.6013234595988199</v>
      </c>
      <c r="H465">
        <f t="shared" si="92"/>
        <v>-2.98152566409455</v>
      </c>
      <c r="I465">
        <f t="shared" si="93"/>
        <v>1.60132565673922</v>
      </c>
      <c r="J465">
        <f t="shared" si="94"/>
        <v>-2.9849515635535999</v>
      </c>
      <c r="K465" s="8">
        <f t="shared" si="95"/>
        <v>-2.19714040006203E-6</v>
      </c>
      <c r="L465" s="8">
        <f t="shared" si="96"/>
        <v>3.4258994590499201E-3</v>
      </c>
      <c r="M465" s="8">
        <f t="shared" si="97"/>
        <v>0.1395590533884</v>
      </c>
      <c r="N465" s="8">
        <f t="shared" si="98"/>
        <v>0.26014509470112301</v>
      </c>
      <c r="O465">
        <v>8.9156480277593E-2</v>
      </c>
      <c r="P465">
        <v>-6.4078003409914E-2</v>
      </c>
      <c r="Q465">
        <v>5.3635225526836999E-2</v>
      </c>
      <c r="R465">
        <v>-0.1153587289029</v>
      </c>
      <c r="S465">
        <f t="shared" si="99"/>
        <v>1.1586885384828751</v>
      </c>
      <c r="T465">
        <f t="shared" si="100"/>
        <v>-29.358932600127183</v>
      </c>
      <c r="U465" s="9">
        <f t="shared" si="101"/>
        <v>1.0098728952884004</v>
      </c>
      <c r="V465" s="9">
        <f t="shared" si="102"/>
        <v>-0.56808086094622556</v>
      </c>
    </row>
    <row r="466" spans="1:22" x14ac:dyDescent="0.25">
      <c r="A466">
        <v>5</v>
      </c>
      <c r="B466" s="1">
        <v>15.2</v>
      </c>
      <c r="C466">
        <v>-8.7689859922145993E-2</v>
      </c>
      <c r="D466">
        <v>-0.11139778538181</v>
      </c>
      <c r="E466">
        <v>0.91229040860572996</v>
      </c>
      <c r="F466">
        <v>-0.11839820473415</v>
      </c>
      <c r="G466">
        <f t="shared" si="91"/>
        <v>1.5988022898979</v>
      </c>
      <c r="H466">
        <f t="shared" si="92"/>
        <v>-2.7479541757505399</v>
      </c>
      <c r="I466">
        <f t="shared" si="93"/>
        <v>1.59880467574479</v>
      </c>
      <c r="J466">
        <f t="shared" si="94"/>
        <v>-2.7514544116081399</v>
      </c>
      <c r="K466" s="8">
        <f t="shared" si="95"/>
        <v>-2.38584689005172E-6</v>
      </c>
      <c r="L466" s="8">
        <f t="shared" si="96"/>
        <v>3.5002358575999498E-3</v>
      </c>
      <c r="M466" s="8">
        <f t="shared" si="97"/>
        <v>0.15788047294516599</v>
      </c>
      <c r="N466" s="8">
        <f t="shared" si="98"/>
        <v>0.27170356103030302</v>
      </c>
      <c r="O466">
        <v>9.1504517806488994E-2</v>
      </c>
      <c r="P466">
        <v>-7.1238935933300995E-2</v>
      </c>
      <c r="Q466">
        <v>5.1835090843352999E-2</v>
      </c>
      <c r="R466">
        <v>-0.1236720775131</v>
      </c>
      <c r="S466">
        <f t="shared" si="99"/>
        <v>1.1563385910122492</v>
      </c>
      <c r="T466">
        <f t="shared" si="100"/>
        <v>-29.35801924990816</v>
      </c>
      <c r="U466" s="9">
        <f t="shared" si="101"/>
        <v>1.0078337995330882</v>
      </c>
      <c r="V466" s="9">
        <f t="shared" si="102"/>
        <v>-0.56691266486372727</v>
      </c>
    </row>
    <row r="467" spans="1:22" x14ac:dyDescent="0.25">
      <c r="A467">
        <v>5</v>
      </c>
      <c r="B467" s="1">
        <v>15.3</v>
      </c>
      <c r="C467">
        <v>-9.7394161701781001E-2</v>
      </c>
      <c r="D467">
        <v>-0.11366251619577999</v>
      </c>
      <c r="E467">
        <v>0.90258552632892997</v>
      </c>
      <c r="F467">
        <v>-0.12081493917217</v>
      </c>
      <c r="G467">
        <f t="shared" si="91"/>
        <v>1.5962912103767299</v>
      </c>
      <c r="H467">
        <f t="shared" si="92"/>
        <v>-2.5213717834351899</v>
      </c>
      <c r="I467">
        <f t="shared" si="93"/>
        <v>1.59629384380364</v>
      </c>
      <c r="J467">
        <f t="shared" si="94"/>
        <v>-2.5249480218259102</v>
      </c>
      <c r="K467" s="8">
        <f t="shared" si="95"/>
        <v>-2.6334269100924999E-6</v>
      </c>
      <c r="L467" s="8">
        <f t="shared" si="96"/>
        <v>3.5762383907203001E-3</v>
      </c>
      <c r="M467" s="8">
        <f t="shared" si="97"/>
        <v>0.178886186302679</v>
      </c>
      <c r="N467" s="8">
        <f t="shared" si="98"/>
        <v>0.28295437208520102</v>
      </c>
      <c r="O467">
        <v>9.3424025361072999E-2</v>
      </c>
      <c r="P467">
        <v>-7.9147315523539E-2</v>
      </c>
      <c r="Q467">
        <v>4.9187246665395E-2</v>
      </c>
      <c r="R467">
        <v>-0.13245882731419001</v>
      </c>
      <c r="S467">
        <f t="shared" si="99"/>
        <v>1.1539762739008996</v>
      </c>
      <c r="T467">
        <f t="shared" si="100"/>
        <v>-29.357301159455361</v>
      </c>
      <c r="U467" s="9">
        <f t="shared" si="101"/>
        <v>1.005781957645183</v>
      </c>
      <c r="V467" s="9">
        <f t="shared" si="102"/>
        <v>-0.56574189733625635</v>
      </c>
    </row>
    <row r="468" spans="1:22" x14ac:dyDescent="0.25">
      <c r="A468">
        <v>5</v>
      </c>
      <c r="B468" s="1">
        <v>15.4</v>
      </c>
      <c r="C468">
        <v>-0.10803355818649001</v>
      </c>
      <c r="D468">
        <v>-0.1152061894967</v>
      </c>
      <c r="E468">
        <v>0.89194708616338003</v>
      </c>
      <c r="F468">
        <v>-0.12251587785368</v>
      </c>
      <c r="G468">
        <f t="shared" si="91"/>
        <v>1.59375494556494</v>
      </c>
      <c r="H468">
        <f t="shared" si="92"/>
        <v>-2.3015661433939698</v>
      </c>
      <c r="I468">
        <f t="shared" si="93"/>
        <v>1.5937586257415599</v>
      </c>
      <c r="J468">
        <f t="shared" si="94"/>
        <v>-2.30522100949314</v>
      </c>
      <c r="K468" s="8">
        <f t="shared" si="95"/>
        <v>-3.6801766198912802E-6</v>
      </c>
      <c r="L468" s="8">
        <f t="shared" si="96"/>
        <v>3.6548660991702099E-3</v>
      </c>
      <c r="M468" s="8">
        <f t="shared" si="97"/>
        <v>0.202920322283766</v>
      </c>
      <c r="N468" s="8">
        <f t="shared" si="98"/>
        <v>0.29350504061680199</v>
      </c>
      <c r="O468">
        <v>9.4763086980373001E-2</v>
      </c>
      <c r="P468">
        <v>-8.7823229893380997E-2</v>
      </c>
      <c r="Q468">
        <v>4.5533959782535001E-2</v>
      </c>
      <c r="R468">
        <v>-0.14165042455867</v>
      </c>
      <c r="S468">
        <f t="shared" si="99"/>
        <v>1.151606989055372</v>
      </c>
      <c r="T468">
        <f t="shared" si="100"/>
        <v>-29.356527074599143</v>
      </c>
      <c r="U468" s="9">
        <f t="shared" si="101"/>
        <v>1.0037245653369986</v>
      </c>
      <c r="V468" s="9">
        <f t="shared" si="102"/>
        <v>-0.56456678451732589</v>
      </c>
    </row>
    <row r="469" spans="1:22" x14ac:dyDescent="0.25">
      <c r="A469">
        <v>5</v>
      </c>
      <c r="B469" s="1">
        <v>15.5</v>
      </c>
      <c r="C469">
        <v>-0.11959861801788001</v>
      </c>
      <c r="D469">
        <v>-0.11581222149023</v>
      </c>
      <c r="E469">
        <v>0.88038128577885999</v>
      </c>
      <c r="F469">
        <v>-0.12328150308788</v>
      </c>
      <c r="G469">
        <f t="shared" si="91"/>
        <v>1.5912278978374299</v>
      </c>
      <c r="H469">
        <f t="shared" si="92"/>
        <v>-2.0882819417378902</v>
      </c>
      <c r="I469">
        <f t="shared" si="93"/>
        <v>1.59123179740264</v>
      </c>
      <c r="J469">
        <f t="shared" si="94"/>
        <v>-2.09201660549952</v>
      </c>
      <c r="K469" s="8">
        <f t="shared" si="95"/>
        <v>-3.8995652100748401E-6</v>
      </c>
      <c r="L469" s="8">
        <f t="shared" si="96"/>
        <v>3.7346637616297901E-3</v>
      </c>
      <c r="M469" s="8">
        <f t="shared" si="97"/>
        <v>0.23032782729197199</v>
      </c>
      <c r="N469" s="8">
        <f t="shared" si="98"/>
        <v>0.30281549186608298</v>
      </c>
      <c r="O469">
        <v>9.5343940206312996E-2</v>
      </c>
      <c r="P469">
        <v>-9.7259217128202999E-2</v>
      </c>
      <c r="Q469">
        <v>4.0707113106013999E-2</v>
      </c>
      <c r="R469">
        <v>-0.15113820719907001</v>
      </c>
      <c r="S469">
        <f t="shared" si="99"/>
        <v>1.1492423731217851</v>
      </c>
      <c r="T469">
        <f t="shared" si="100"/>
        <v>-29.356096440315895</v>
      </c>
      <c r="U469" s="9">
        <f t="shared" si="101"/>
        <v>1.0016678336546543</v>
      </c>
      <c r="V469" s="9">
        <f t="shared" si="102"/>
        <v>-0.56340002058944272</v>
      </c>
    </row>
    <row r="470" spans="1:22" x14ac:dyDescent="0.25">
      <c r="A470">
        <v>5</v>
      </c>
      <c r="B470">
        <v>15.6</v>
      </c>
      <c r="C470">
        <v>-0.13202952027272999</v>
      </c>
      <c r="D470">
        <v>-0.11523767479843</v>
      </c>
      <c r="E470">
        <v>0.86794953345963999</v>
      </c>
      <c r="F470">
        <v>-0.12287037222202001</v>
      </c>
      <c r="G470">
        <f t="shared" si="91"/>
        <v>1.5886817898975401</v>
      </c>
      <c r="H470">
        <f t="shared" si="92"/>
        <v>-1.8813561795148099</v>
      </c>
      <c r="I470">
        <f t="shared" si="93"/>
        <v>1.5886858814170099</v>
      </c>
      <c r="J470">
        <f t="shared" si="94"/>
        <v>-1.8851725525813201</v>
      </c>
      <c r="K470" s="8">
        <f t="shared" si="95"/>
        <v>-4.09151946989539E-6</v>
      </c>
      <c r="L470" s="8">
        <f t="shared" si="96"/>
        <v>3.8163730665101698E-3</v>
      </c>
      <c r="M470" s="8">
        <f t="shared" si="97"/>
        <v>0.26139167200869801</v>
      </c>
      <c r="N470" s="8">
        <f t="shared" si="98"/>
        <v>0.310173591462031</v>
      </c>
      <c r="O470">
        <v>9.4968903940548993E-2</v>
      </c>
      <c r="P470">
        <v>-0.10740884851220001</v>
      </c>
      <c r="Q470">
        <v>3.4542566631625998E-2</v>
      </c>
      <c r="R470">
        <v>-0.16076060079407001</v>
      </c>
      <c r="S470">
        <f t="shared" si="99"/>
        <v>1.1468690502600243</v>
      </c>
      <c r="T470">
        <f t="shared" si="100"/>
        <v>-29.355776350336921</v>
      </c>
      <c r="U470" s="9">
        <f t="shared" si="101"/>
        <v>0.99960241084401757</v>
      </c>
      <c r="V470" s="9">
        <f t="shared" si="102"/>
        <v>-0.56223094781340355</v>
      </c>
    </row>
    <row r="471" spans="1:22" x14ac:dyDescent="0.25">
      <c r="A471">
        <v>5</v>
      </c>
      <c r="B471">
        <v>15.7</v>
      </c>
      <c r="C471">
        <v>-0.14520335260459</v>
      </c>
      <c r="D471">
        <v>-0.11322278838709</v>
      </c>
      <c r="E471">
        <v>0.85477474827305999</v>
      </c>
      <c r="F471">
        <v>-0.12102269029309</v>
      </c>
      <c r="G471">
        <f t="shared" si="91"/>
        <v>1.5861147466512699</v>
      </c>
      <c r="H471">
        <f t="shared" si="92"/>
        <v>-1.68060964606721</v>
      </c>
      <c r="I471">
        <f t="shared" si="93"/>
        <v>1.5861190068559201</v>
      </c>
      <c r="J471">
        <f t="shared" si="94"/>
        <v>-1.68450962310866</v>
      </c>
      <c r="K471" s="8">
        <f t="shared" si="95"/>
        <v>-4.2602046501638602E-6</v>
      </c>
      <c r="L471" s="8">
        <f t="shared" si="96"/>
        <v>3.8999770414500602E-3</v>
      </c>
      <c r="M471" s="8">
        <f t="shared" si="97"/>
        <v>0.29628552969051503</v>
      </c>
      <c r="N471" s="8">
        <f t="shared" si="98"/>
        <v>0.31466480370905497</v>
      </c>
      <c r="O471">
        <v>9.3424606899959003E-2</v>
      </c>
      <c r="P471">
        <v>-0.11817258901461</v>
      </c>
      <c r="Q471">
        <v>2.6892075554700998E-2</v>
      </c>
      <c r="R471">
        <v>-0.17029857371922</v>
      </c>
      <c r="S471">
        <f t="shared" si="99"/>
        <v>1.1444958200404127</v>
      </c>
      <c r="T471">
        <f t="shared" si="100"/>
        <v>-29.355553586673501</v>
      </c>
      <c r="U471" s="9">
        <f t="shared" si="101"/>
        <v>0.99753610269128767</v>
      </c>
      <c r="V471" s="9">
        <f t="shared" si="102"/>
        <v>-0.5610636380282128</v>
      </c>
    </row>
    <row r="472" spans="1:22" x14ac:dyDescent="0.25">
      <c r="A472">
        <v>5</v>
      </c>
      <c r="B472">
        <v>15.8</v>
      </c>
      <c r="C472">
        <v>-0.15891918140257</v>
      </c>
      <c r="D472">
        <v>-0.10950835117718</v>
      </c>
      <c r="E472">
        <v>0.84105788058150999</v>
      </c>
      <c r="F472">
        <v>-0.11747923898404999</v>
      </c>
      <c r="G472">
        <f t="shared" si="91"/>
        <v>1.58352574635897</v>
      </c>
      <c r="H472">
        <f t="shared" si="92"/>
        <v>-1.4858731603714099</v>
      </c>
      <c r="I472">
        <f t="shared" si="93"/>
        <v>1.5835301612768</v>
      </c>
      <c r="J472">
        <f t="shared" si="94"/>
        <v>-1.4898586323888501</v>
      </c>
      <c r="K472" s="8">
        <f t="shared" si="95"/>
        <v>-4.4149178299868197E-6</v>
      </c>
      <c r="L472" s="8">
        <f t="shared" si="96"/>
        <v>3.9854720174401503E-3</v>
      </c>
      <c r="M472" s="8">
        <f t="shared" si="97"/>
        <v>0.33497939146136602</v>
      </c>
      <c r="N472" s="8">
        <f t="shared" si="98"/>
        <v>0.31516415048177998</v>
      </c>
      <c r="O472">
        <v>9.0498996871269999E-2</v>
      </c>
      <c r="P472">
        <v>-0.12938868614884</v>
      </c>
      <c r="Q472">
        <v>1.7644377802344E-2</v>
      </c>
      <c r="R472">
        <v>-0.17947161522336999</v>
      </c>
      <c r="S472">
        <f t="shared" si="99"/>
        <v>1.1421162367768056</v>
      </c>
      <c r="T472">
        <f t="shared" si="100"/>
        <v>-29.355422982990074</v>
      </c>
      <c r="U472" s="9">
        <f t="shared" si="101"/>
        <v>0.99546334760056554</v>
      </c>
      <c r="V472" s="9">
        <f t="shared" si="102"/>
        <v>-0.55989483110052718</v>
      </c>
    </row>
    <row r="473" spans="1:22" x14ac:dyDescent="0.25">
      <c r="A473">
        <v>5</v>
      </c>
      <c r="B473">
        <v>15.9</v>
      </c>
      <c r="C473">
        <v>-0.17288824144393999</v>
      </c>
      <c r="D473">
        <v>-0.10386103168654</v>
      </c>
      <c r="E473">
        <v>0.82708751770315003</v>
      </c>
      <c r="F473">
        <v>-0.1120049749615</v>
      </c>
      <c r="G473">
        <f t="shared" si="91"/>
        <v>1.5809249485794401</v>
      </c>
      <c r="H473">
        <f t="shared" si="92"/>
        <v>-1.2969822174674801</v>
      </c>
      <c r="I473">
        <f t="shared" si="93"/>
        <v>1.58092940928707</v>
      </c>
      <c r="J473">
        <f t="shared" si="94"/>
        <v>-1.30105422029549</v>
      </c>
      <c r="K473" s="8">
        <f t="shared" si="95"/>
        <v>-4.4607076299385497E-6</v>
      </c>
      <c r="L473" s="8">
        <f t="shared" si="96"/>
        <v>4.0720028280099001E-3</v>
      </c>
      <c r="M473" s="8">
        <f t="shared" si="97"/>
        <v>0.377122920853731</v>
      </c>
      <c r="N473" s="8">
        <f t="shared" si="98"/>
        <v>0.31036007355203499</v>
      </c>
      <c r="O473">
        <v>8.6000203919312998E-2</v>
      </c>
      <c r="P473">
        <v>-0.14082331041568999</v>
      </c>
      <c r="Q473">
        <v>6.7499446802008999E-3</v>
      </c>
      <c r="R473">
        <v>-0.18794201960852</v>
      </c>
      <c r="S473">
        <f t="shared" si="99"/>
        <v>1.1397300436302986</v>
      </c>
      <c r="T473">
        <f t="shared" si="100"/>
        <v>-29.355341026079277</v>
      </c>
      <c r="U473" s="9">
        <f t="shared" si="101"/>
        <v>0.9933843516531885</v>
      </c>
      <c r="V473" s="9">
        <f t="shared" si="102"/>
        <v>-0.55872363673295278</v>
      </c>
    </row>
    <row r="474" spans="1:22" x14ac:dyDescent="0.25">
      <c r="A474">
        <v>5</v>
      </c>
      <c r="B474">
        <v>16</v>
      </c>
      <c r="C474">
        <v>-0.18673420580639999</v>
      </c>
      <c r="D474">
        <v>-9.6106846729480999E-2</v>
      </c>
      <c r="E474">
        <v>0.81323831940637004</v>
      </c>
      <c r="F474">
        <v>-0.10442633907185001</v>
      </c>
      <c r="G474">
        <f t="shared" si="91"/>
        <v>1.5782921385779001</v>
      </c>
      <c r="H474">
        <f t="shared" si="92"/>
        <v>-1.11377416555832</v>
      </c>
      <c r="I474">
        <f t="shared" si="93"/>
        <v>1.5782957048974799</v>
      </c>
      <c r="J474">
        <f t="shared" si="94"/>
        <v>-1.11793395403917</v>
      </c>
      <c r="K474" s="8">
        <f t="shared" si="95"/>
        <v>-3.56631957987297E-6</v>
      </c>
      <c r="L474" s="8">
        <f t="shared" si="96"/>
        <v>4.1597884808499703E-3</v>
      </c>
      <c r="M474" s="8">
        <f t="shared" si="97"/>
        <v>0.42191466552888701</v>
      </c>
      <c r="N474" s="8">
        <f t="shared" si="98"/>
        <v>0.298849403719602</v>
      </c>
      <c r="O474">
        <v>7.9783336512783007E-2</v>
      </c>
      <c r="P474">
        <v>-0.15216935330716999</v>
      </c>
      <c r="Q474">
        <v>-5.7533749258125997E-3</v>
      </c>
      <c r="R474">
        <v>-0.19533070336853001</v>
      </c>
      <c r="S474">
        <f t="shared" si="99"/>
        <v>1.1373498592808164</v>
      </c>
      <c r="T474">
        <f t="shared" si="100"/>
        <v>-29.355434347395946</v>
      </c>
      <c r="U474" s="9">
        <f t="shared" si="101"/>
        <v>0.99130888393783911</v>
      </c>
      <c r="V474" s="9">
        <f t="shared" si="102"/>
        <v>-0.55755842656353838</v>
      </c>
    </row>
    <row r="475" spans="1:22" x14ac:dyDescent="0.25">
      <c r="A475">
        <v>5</v>
      </c>
      <c r="B475">
        <v>16.100000000000001</v>
      </c>
      <c r="C475">
        <v>-0.20000400839332</v>
      </c>
      <c r="D475">
        <v>-8.6165756052363998E-2</v>
      </c>
      <c r="E475">
        <v>0.79996680986321</v>
      </c>
      <c r="F475">
        <v>-9.4667397520416002E-2</v>
      </c>
      <c r="G475">
        <f t="shared" si="91"/>
        <v>1.57562940146036</v>
      </c>
      <c r="H475">
        <f t="shared" si="92"/>
        <v>-0.93614462249962305</v>
      </c>
      <c r="I475">
        <f t="shared" si="93"/>
        <v>1.5756328803171</v>
      </c>
      <c r="J475">
        <f t="shared" si="94"/>
        <v>-0.94039549046952298</v>
      </c>
      <c r="K475" s="8">
        <f t="shared" si="95"/>
        <v>-3.47885674001347E-6</v>
      </c>
      <c r="L475" s="8">
        <f t="shared" si="96"/>
        <v>4.2508679698999297E-3</v>
      </c>
      <c r="M475" s="8">
        <f t="shared" si="97"/>
        <v>0.46796862429296499</v>
      </c>
      <c r="N475" s="8">
        <f t="shared" si="98"/>
        <v>0.27930083807197897</v>
      </c>
      <c r="O475">
        <v>7.1780975553648999E-2</v>
      </c>
      <c r="P475">
        <v>-0.16305833177098999</v>
      </c>
      <c r="Q475">
        <v>-1.9716239161163999E-2</v>
      </c>
      <c r="R475">
        <v>-0.20124002675241001</v>
      </c>
      <c r="S475">
        <f t="shared" si="99"/>
        <v>1.134963036086954</v>
      </c>
      <c r="T475">
        <f t="shared" si="100"/>
        <v>-29.355512253498858</v>
      </c>
      <c r="U475" s="9">
        <f t="shared" si="101"/>
        <v>0.98922778333462635</v>
      </c>
      <c r="V475" s="9">
        <f t="shared" si="102"/>
        <v>-0.55638968894343988</v>
      </c>
    </row>
    <row r="476" spans="1:22" x14ac:dyDescent="0.25">
      <c r="A476">
        <v>5</v>
      </c>
      <c r="B476">
        <v>16.2</v>
      </c>
      <c r="C476">
        <v>-0.21220102617252001</v>
      </c>
      <c r="D476">
        <v>-7.4086793107391996E-2</v>
      </c>
      <c r="E476">
        <v>0.78776613796938</v>
      </c>
      <c r="F476">
        <v>-8.2777092830030999E-2</v>
      </c>
      <c r="G476">
        <f t="shared" si="91"/>
        <v>1.57292814959759</v>
      </c>
      <c r="H476">
        <f t="shared" si="92"/>
        <v>-0.76394669127179804</v>
      </c>
      <c r="I476">
        <f t="shared" si="93"/>
        <v>1.5729306122997799</v>
      </c>
      <c r="J476">
        <f t="shared" si="94"/>
        <v>-0.76829190177166395</v>
      </c>
      <c r="K476" s="8">
        <f t="shared" si="95"/>
        <v>-2.4627021899537002E-6</v>
      </c>
      <c r="L476" s="8">
        <f t="shared" si="96"/>
        <v>4.3452104998659103E-3</v>
      </c>
      <c r="M476" s="8">
        <f t="shared" si="97"/>
        <v>0.51329436675764994</v>
      </c>
      <c r="N476" s="8">
        <f t="shared" si="98"/>
        <v>0.25071665725185699</v>
      </c>
      <c r="O476">
        <v>6.2030407149689E-2</v>
      </c>
      <c r="P476">
        <v>-0.17308525424016999</v>
      </c>
      <c r="Q476">
        <v>-3.4867252392969998E-2</v>
      </c>
      <c r="R476">
        <v>-0.20530042748112001</v>
      </c>
      <c r="S476">
        <f t="shared" si="99"/>
        <v>1.1325723409454149</v>
      </c>
      <c r="T476">
        <f t="shared" si="100"/>
        <v>-29.355568920933152</v>
      </c>
      <c r="U476" s="9">
        <f t="shared" si="101"/>
        <v>0.98714351695614511</v>
      </c>
      <c r="V476" s="9">
        <f t="shared" si="102"/>
        <v>-0.55521868160755372</v>
      </c>
    </row>
    <row r="477" spans="1:22" x14ac:dyDescent="0.25">
      <c r="A477">
        <v>5</v>
      </c>
      <c r="B477">
        <v>16.3</v>
      </c>
      <c r="C477">
        <v>-0.22282960353035999</v>
      </c>
      <c r="D477">
        <v>-6.0067780792297999E-2</v>
      </c>
      <c r="E477">
        <v>0.77713496285330996</v>
      </c>
      <c r="F477">
        <v>-6.8948629568099995E-2</v>
      </c>
      <c r="G477">
        <f t="shared" si="91"/>
        <v>1.5702150842821601</v>
      </c>
      <c r="H477">
        <f t="shared" si="92"/>
        <v>-0.59705069661798205</v>
      </c>
      <c r="I477">
        <f t="shared" si="93"/>
        <v>1.5702170851880699</v>
      </c>
      <c r="J477">
        <f t="shared" si="94"/>
        <v>-0.60149119079239499</v>
      </c>
      <c r="K477" s="8">
        <f t="shared" si="95"/>
        <v>-2.0009059098491399E-6</v>
      </c>
      <c r="L477" s="8">
        <f t="shared" si="96"/>
        <v>4.4404941744129499E-3</v>
      </c>
      <c r="M477" s="8">
        <f t="shared" si="97"/>
        <v>0.55536248395827903</v>
      </c>
      <c r="N477" s="8">
        <f t="shared" si="98"/>
        <v>0.21273850918357501</v>
      </c>
      <c r="O477">
        <v>5.0689825643875003E-2</v>
      </c>
      <c r="P477">
        <v>-0.18184466819865999</v>
      </c>
      <c r="Q477">
        <v>-5.0818607172904998E-2</v>
      </c>
      <c r="R477">
        <v>-0.20721187396679999</v>
      </c>
      <c r="S477">
        <f t="shared" si="99"/>
        <v>1.1301797806566918</v>
      </c>
      <c r="T477">
        <f t="shared" si="100"/>
        <v>-29.355779899799341</v>
      </c>
      <c r="U477" s="9">
        <f t="shared" si="101"/>
        <v>0.98505613505846956</v>
      </c>
      <c r="V477" s="9">
        <f t="shared" si="102"/>
        <v>-0.55404940879751685</v>
      </c>
    </row>
    <row r="478" spans="1:22" x14ac:dyDescent="0.25">
      <c r="A478">
        <v>5</v>
      </c>
      <c r="B478">
        <v>16.399999999999999</v>
      </c>
      <c r="C478">
        <v>-0.23145088741433001</v>
      </c>
      <c r="D478">
        <v>-4.4456686082511E-2</v>
      </c>
      <c r="E478">
        <v>0.76851041835685996</v>
      </c>
      <c r="F478">
        <v>-5.3531439459353E-2</v>
      </c>
      <c r="G478">
        <f t="shared" si="91"/>
        <v>1.56747735380722</v>
      </c>
      <c r="H478">
        <f t="shared" si="92"/>
        <v>-0.43534324197755703</v>
      </c>
      <c r="I478">
        <f t="shared" si="93"/>
        <v>1.56747859487681</v>
      </c>
      <c r="J478">
        <f t="shared" si="94"/>
        <v>-0.43988070082151398</v>
      </c>
      <c r="K478" s="8">
        <f t="shared" si="95"/>
        <v>-1.2410695899856001E-6</v>
      </c>
      <c r="L478" s="8">
        <f t="shared" si="96"/>
        <v>4.5374588439569498E-3</v>
      </c>
      <c r="M478" s="8">
        <f t="shared" si="97"/>
        <v>0.59139330423548897</v>
      </c>
      <c r="N478" s="8">
        <f t="shared" si="98"/>
        <v>0.16596239462440801</v>
      </c>
      <c r="O478">
        <v>3.8040307851969997E-2</v>
      </c>
      <c r="P478">
        <v>-0.18897568941878001</v>
      </c>
      <c r="Q478">
        <v>-6.7089021161196E-2</v>
      </c>
      <c r="R478">
        <v>-0.20678972435623999</v>
      </c>
      <c r="S478">
        <f t="shared" si="99"/>
        <v>1.1277920289838921</v>
      </c>
      <c r="T478">
        <f t="shared" si="100"/>
        <v>-29.35606498411363</v>
      </c>
      <c r="U478" s="9">
        <f t="shared" si="101"/>
        <v>0.9829722378397</v>
      </c>
      <c r="V478" s="9">
        <f t="shared" si="102"/>
        <v>-0.55288374933254858</v>
      </c>
    </row>
    <row r="479" spans="1:22" x14ac:dyDescent="0.25">
      <c r="A479">
        <v>5</v>
      </c>
      <c r="B479">
        <v>16.5</v>
      </c>
      <c r="C479">
        <v>-0.23773796055193</v>
      </c>
      <c r="D479">
        <v>-2.7726542125460999E-2</v>
      </c>
      <c r="E479">
        <v>0.76221985390146996</v>
      </c>
      <c r="F479">
        <v>-3.6998459341889001E-2</v>
      </c>
      <c r="G479">
        <f t="shared" si="91"/>
        <v>1.56471571731763</v>
      </c>
      <c r="H479">
        <f t="shared" si="92"/>
        <v>-0.27872014751619001</v>
      </c>
      <c r="I479">
        <f t="shared" si="93"/>
        <v>1.5647161171097199</v>
      </c>
      <c r="J479">
        <f t="shared" si="94"/>
        <v>-0.28335620205823198</v>
      </c>
      <c r="K479" s="8">
        <f t="shared" si="95"/>
        <v>-3.9979208987794802E-7</v>
      </c>
      <c r="L479" s="8">
        <f t="shared" si="96"/>
        <v>4.63605454204197E-3</v>
      </c>
      <c r="M479" s="8">
        <f t="shared" si="97"/>
        <v>0.61880061927140495</v>
      </c>
      <c r="N479" s="8">
        <f t="shared" si="98"/>
        <v>0.112059300336159</v>
      </c>
      <c r="O479">
        <v>2.4466062161070001E-2</v>
      </c>
      <c r="P479">
        <v>-0.19421027972169999</v>
      </c>
      <c r="Q479">
        <v>-8.3150892223921996E-2</v>
      </c>
      <c r="R479">
        <v>-0.20399640530777</v>
      </c>
      <c r="S479">
        <f t="shared" si="99"/>
        <v>1.1254016974322203</v>
      </c>
      <c r="T479">
        <f t="shared" si="100"/>
        <v>-29.356416831036015</v>
      </c>
      <c r="U479" s="9">
        <f t="shared" si="101"/>
        <v>0.98088546077876038</v>
      </c>
      <c r="V479" s="9">
        <f t="shared" si="102"/>
        <v>-0.55171794733918311</v>
      </c>
    </row>
    <row r="480" spans="1:22" x14ac:dyDescent="0.25">
      <c r="A480">
        <v>5</v>
      </c>
      <c r="B480">
        <v>16.600000000000001</v>
      </c>
      <c r="C480">
        <v>-0.24151645709871999</v>
      </c>
      <c r="D480">
        <v>-1.0426278122598E-2</v>
      </c>
      <c r="E480">
        <v>0.75843791714774</v>
      </c>
      <c r="F480">
        <v>-1.9899729743858001E-2</v>
      </c>
      <c r="G480">
        <f t="shared" si="91"/>
        <v>1.5619310979205701</v>
      </c>
      <c r="H480">
        <f t="shared" si="92"/>
        <v>-0.12707250704706999</v>
      </c>
      <c r="I480">
        <f t="shared" si="93"/>
        <v>1.5619307221269201</v>
      </c>
      <c r="J480">
        <f t="shared" si="94"/>
        <v>-0.131809342698579</v>
      </c>
      <c r="K480" s="8">
        <f t="shared" si="95"/>
        <v>3.7579364997597498E-7</v>
      </c>
      <c r="L480" s="8">
        <f t="shared" si="96"/>
        <v>4.7368356515090099E-3</v>
      </c>
      <c r="M480" s="8">
        <f t="shared" si="97"/>
        <v>0.63570610751670398</v>
      </c>
      <c r="N480" s="8">
        <f t="shared" si="98"/>
        <v>5.3646428099671302E-2</v>
      </c>
      <c r="O480">
        <v>1.0413674080357E-2</v>
      </c>
      <c r="P480">
        <v>-0.19740126282317</v>
      </c>
      <c r="Q480">
        <v>-9.8487839004404998E-2</v>
      </c>
      <c r="R480">
        <v>-0.19895064289820999</v>
      </c>
      <c r="S480">
        <f t="shared" si="99"/>
        <v>1.1230194870369876</v>
      </c>
      <c r="T480">
        <f t="shared" si="100"/>
        <v>-29.356864790029999</v>
      </c>
      <c r="U480" s="9">
        <f t="shared" si="101"/>
        <v>0.97880485279893137</v>
      </c>
      <c r="V480" s="9">
        <f t="shared" si="102"/>
        <v>-0.55055774302254723</v>
      </c>
    </row>
    <row r="481" spans="1:22" x14ac:dyDescent="0.25">
      <c r="A481">
        <v>5</v>
      </c>
      <c r="B481">
        <v>16.7</v>
      </c>
      <c r="C481">
        <v>-0.24278001308870001</v>
      </c>
      <c r="D481">
        <v>6.8829035153985998E-3</v>
      </c>
      <c r="E481">
        <v>0.75717123697336997</v>
      </c>
      <c r="F481">
        <v>-2.7935114372236E-3</v>
      </c>
      <c r="G481">
        <f t="shared" si="91"/>
        <v>1.55912531395566</v>
      </c>
      <c r="H481">
        <f t="shared" si="92"/>
        <v>1.9759396903038799E-2</v>
      </c>
      <c r="I481">
        <f t="shared" si="93"/>
        <v>1.55912434780793</v>
      </c>
      <c r="J481">
        <f t="shared" si="94"/>
        <v>1.49210668181588E-2</v>
      </c>
      <c r="K481" s="8">
        <f t="shared" si="95"/>
        <v>9.6614773004155594E-7</v>
      </c>
      <c r="L481" s="8">
        <f t="shared" si="96"/>
        <v>4.8383300848799998E-3</v>
      </c>
      <c r="M481" s="8">
        <f t="shared" si="97"/>
        <v>0.64132692293820204</v>
      </c>
      <c r="N481" s="8">
        <f t="shared" si="98"/>
        <v>-6.1376001746744398E-3</v>
      </c>
      <c r="O481">
        <v>-3.6587705678014998E-3</v>
      </c>
      <c r="P481">
        <v>-0.19853143923460001</v>
      </c>
      <c r="Q481">
        <v>-0.11265377202121001</v>
      </c>
      <c r="R481">
        <v>-0.19191109682436999</v>
      </c>
      <c r="S481">
        <f t="shared" si="99"/>
        <v>1.1207030143703238</v>
      </c>
      <c r="T481">
        <f t="shared" si="100"/>
        <v>-29.357574421922894</v>
      </c>
      <c r="U481" s="9">
        <f t="shared" si="101"/>
        <v>0.97677904937974547</v>
      </c>
      <c r="V481" s="9">
        <f t="shared" si="102"/>
        <v>-0.54943419543338479</v>
      </c>
    </row>
    <row r="482" spans="1:22" x14ac:dyDescent="0.25">
      <c r="A482">
        <v>5</v>
      </c>
      <c r="B482">
        <v>16.8</v>
      </c>
      <c r="C482">
        <v>-0.24166813945876001</v>
      </c>
      <c r="D482">
        <v>2.3722915920214999E-2</v>
      </c>
      <c r="E482">
        <v>0.75827765935836</v>
      </c>
      <c r="F482">
        <v>1.3839301060022E-2</v>
      </c>
      <c r="G482">
        <f t="shared" si="91"/>
        <v>1.5563059192084301</v>
      </c>
      <c r="H482">
        <f t="shared" si="92"/>
        <v>0.16225765492222899</v>
      </c>
      <c r="I482">
        <f t="shared" si="93"/>
        <v>1.55630324073235</v>
      </c>
      <c r="J482">
        <f t="shared" si="94"/>
        <v>0.157315700325728</v>
      </c>
      <c r="K482" s="8">
        <f t="shared" si="95"/>
        <v>2.67847608004246E-6</v>
      </c>
      <c r="L482" s="8">
        <f t="shared" si="96"/>
        <v>4.9419545965009902E-3</v>
      </c>
      <c r="M482" s="8">
        <f t="shared" si="97"/>
        <v>0.63604929994329096</v>
      </c>
      <c r="N482" s="8">
        <f t="shared" si="98"/>
        <v>-6.4293730452673406E-2</v>
      </c>
      <c r="O482">
        <v>-1.7359172773356E-2</v>
      </c>
      <c r="P482">
        <v>-0.19770864771718999</v>
      </c>
      <c r="Q482">
        <v>-0.12533455745951999</v>
      </c>
      <c r="R482">
        <v>-0.18321071761120999</v>
      </c>
      <c r="S482">
        <f t="shared" si="99"/>
        <v>1.1184580228990044</v>
      </c>
      <c r="T482">
        <f t="shared" si="100"/>
        <v>-29.358249639741008</v>
      </c>
      <c r="U482" s="9">
        <f t="shared" si="101"/>
        <v>0.97481590423651554</v>
      </c>
      <c r="V482" s="9">
        <f t="shared" si="102"/>
        <v>-0.54834505727205618</v>
      </c>
    </row>
    <row r="483" spans="1:22" x14ac:dyDescent="0.25">
      <c r="A483">
        <v>5</v>
      </c>
      <c r="B483">
        <v>16.899999999999999</v>
      </c>
      <c r="C483">
        <v>-0.23847420899635</v>
      </c>
      <c r="D483">
        <v>3.9541594516268E-2</v>
      </c>
      <c r="E483">
        <v>0.76146859019473001</v>
      </c>
      <c r="F483">
        <v>2.9445801107196998E-2</v>
      </c>
      <c r="G483">
        <f t="shared" si="91"/>
        <v>1.55346138516482</v>
      </c>
      <c r="H483">
        <f t="shared" si="92"/>
        <v>0.29950762740068099</v>
      </c>
      <c r="I483">
        <f t="shared" si="93"/>
        <v>1.5534582667405701</v>
      </c>
      <c r="J483">
        <f t="shared" si="94"/>
        <v>0.294459570578195</v>
      </c>
      <c r="K483" s="8">
        <f t="shared" si="95"/>
        <v>3.1184242499371402E-6</v>
      </c>
      <c r="L483" s="8">
        <f t="shared" si="96"/>
        <v>5.0480568224859903E-3</v>
      </c>
      <c r="M483" s="8">
        <f t="shared" si="97"/>
        <v>0.621398462552604</v>
      </c>
      <c r="N483" s="8">
        <f t="shared" si="98"/>
        <v>-0.117786701039036</v>
      </c>
      <c r="O483">
        <v>-3.0235552412462001E-2</v>
      </c>
      <c r="P483">
        <v>-0.19519471145490999</v>
      </c>
      <c r="Q483">
        <v>-0.13622717557481001</v>
      </c>
      <c r="R483">
        <v>-0.17333794386307</v>
      </c>
      <c r="S483">
        <f t="shared" si="99"/>
        <v>1.1161402734763339</v>
      </c>
      <c r="T483">
        <f t="shared" si="100"/>
        <v>-29.358879330205333</v>
      </c>
      <c r="U483" s="9">
        <f t="shared" si="101"/>
        <v>0.97278980640049406</v>
      </c>
      <c r="V483" s="9">
        <f t="shared" si="102"/>
        <v>-0.54721942823616454</v>
      </c>
    </row>
    <row r="484" spans="1:22" x14ac:dyDescent="0.25">
      <c r="A484">
        <v>5</v>
      </c>
      <c r="B484">
        <v>17</v>
      </c>
      <c r="C484">
        <v>-0.23356115709815001</v>
      </c>
      <c r="D484">
        <v>5.4067654750977003E-2</v>
      </c>
      <c r="E484">
        <v>0.76637885351777002</v>
      </c>
      <c r="F484">
        <v>4.3755847276250003E-2</v>
      </c>
      <c r="G484">
        <f t="shared" si="91"/>
        <v>1.55058715296272</v>
      </c>
      <c r="H484">
        <f t="shared" si="92"/>
        <v>0.43195100045065898</v>
      </c>
      <c r="I484">
        <f t="shared" si="93"/>
        <v>1.5505837423997899</v>
      </c>
      <c r="J484">
        <f t="shared" si="94"/>
        <v>0.42679492447385098</v>
      </c>
      <c r="K484" s="8">
        <f t="shared" si="95"/>
        <v>3.4105629300729101E-6</v>
      </c>
      <c r="L484" s="8">
        <f t="shared" si="96"/>
        <v>5.1560759768080099E-3</v>
      </c>
      <c r="M484" s="8">
        <f t="shared" si="97"/>
        <v>0.59949948364790095</v>
      </c>
      <c r="N484" s="8">
        <f t="shared" si="98"/>
        <v>-0.16501097609189899</v>
      </c>
      <c r="O484">
        <v>-4.2064715142185002E-2</v>
      </c>
      <c r="P484">
        <v>-0.19127173860961999</v>
      </c>
      <c r="Q484">
        <v>-0.14529003042404001</v>
      </c>
      <c r="R484">
        <v>-0.16271035405559001</v>
      </c>
      <c r="S484">
        <f t="shared" si="99"/>
        <v>1.1138396288803694</v>
      </c>
      <c r="T484">
        <f t="shared" si="100"/>
        <v>-29.35971939870895</v>
      </c>
      <c r="U484" s="9">
        <f t="shared" si="101"/>
        <v>0.97077663613712661</v>
      </c>
      <c r="V484" s="9">
        <f t="shared" si="102"/>
        <v>-0.54610570551372539</v>
      </c>
    </row>
    <row r="485" spans="1:22" x14ac:dyDescent="0.25">
      <c r="B485"/>
      <c r="K485" s="8"/>
      <c r="L485" s="8"/>
      <c r="M485" s="8"/>
      <c r="N485" s="8"/>
      <c r="U485" s="9"/>
      <c r="V485" s="9"/>
    </row>
    <row r="486" spans="1:22" x14ac:dyDescent="0.25">
      <c r="B486"/>
      <c r="K486" s="8"/>
      <c r="L486" s="8"/>
      <c r="M486" s="8"/>
      <c r="N486" s="8"/>
      <c r="U486" s="9"/>
      <c r="V486" s="9"/>
    </row>
    <row r="487" spans="1:22" x14ac:dyDescent="0.25">
      <c r="B487"/>
      <c r="K487" s="8"/>
      <c r="L487" s="8"/>
      <c r="M487" s="8"/>
      <c r="N487" s="8"/>
      <c r="U487" s="9"/>
      <c r="V487" s="9"/>
    </row>
    <row r="488" spans="1:22" x14ac:dyDescent="0.25">
      <c r="B488"/>
      <c r="K488" s="8"/>
      <c r="L488" s="8"/>
      <c r="M488" s="8"/>
      <c r="N488" s="8"/>
      <c r="U488" s="9"/>
      <c r="V488" s="9"/>
    </row>
    <row r="489" spans="1:22" x14ac:dyDescent="0.25">
      <c r="B489"/>
      <c r="K489" s="8"/>
      <c r="L489" s="8"/>
      <c r="M489" s="8"/>
      <c r="N489" s="8"/>
      <c r="U489" s="9"/>
      <c r="V489" s="9"/>
    </row>
    <row r="490" spans="1:22" x14ac:dyDescent="0.25">
      <c r="B490"/>
      <c r="K490" s="8"/>
      <c r="L490" s="8"/>
      <c r="M490" s="8"/>
      <c r="N490" s="8"/>
      <c r="U490" s="9"/>
      <c r="V490" s="9"/>
    </row>
    <row r="491" spans="1:22" x14ac:dyDescent="0.25">
      <c r="B491"/>
      <c r="K491" s="8"/>
      <c r="L491" s="8"/>
      <c r="M491" s="8"/>
      <c r="N491" s="8"/>
      <c r="U491" s="9"/>
      <c r="V491" s="9"/>
    </row>
    <row r="492" spans="1:22" x14ac:dyDescent="0.25">
      <c r="B492"/>
      <c r="K492" s="8"/>
      <c r="L492" s="8"/>
      <c r="M492" s="8"/>
      <c r="N492" s="8"/>
      <c r="U492" s="9"/>
      <c r="V492" s="9"/>
    </row>
    <row r="493" spans="1:22" x14ac:dyDescent="0.25">
      <c r="B493"/>
      <c r="K493" s="8"/>
      <c r="L493" s="8"/>
      <c r="M493" s="8"/>
      <c r="N493" s="8"/>
      <c r="U493" s="9"/>
      <c r="V493" s="9"/>
    </row>
    <row r="494" spans="1:22" x14ac:dyDescent="0.25">
      <c r="B494"/>
      <c r="K494" s="8"/>
      <c r="L494" s="8"/>
      <c r="M494" s="8"/>
      <c r="N494" s="8"/>
      <c r="U494" s="9"/>
      <c r="V494" s="9"/>
    </row>
    <row r="495" spans="1:22" x14ac:dyDescent="0.25">
      <c r="B495"/>
      <c r="K495" s="8"/>
      <c r="L495" s="8"/>
      <c r="M495" s="8"/>
      <c r="N495" s="8"/>
      <c r="U495" s="9"/>
      <c r="V495" s="9"/>
    </row>
    <row r="496" spans="1:22" x14ac:dyDescent="0.25">
      <c r="B496"/>
      <c r="K496" s="8"/>
      <c r="L496" s="8"/>
      <c r="M496" s="8"/>
      <c r="N496" s="8"/>
      <c r="U496" s="9"/>
      <c r="V496" s="9"/>
    </row>
    <row r="497" spans="2:22" x14ac:dyDescent="0.25">
      <c r="B497"/>
      <c r="K497" s="8"/>
      <c r="L497" s="8"/>
      <c r="M497" s="8"/>
      <c r="N497" s="8"/>
      <c r="U497" s="9"/>
      <c r="V497" s="9"/>
    </row>
    <row r="498" spans="2:22" x14ac:dyDescent="0.25">
      <c r="B498"/>
      <c r="K498" s="8"/>
      <c r="L498" s="8"/>
      <c r="M498" s="8"/>
      <c r="N498" s="8"/>
      <c r="U498" s="9"/>
      <c r="V498" s="9"/>
    </row>
    <row r="499" spans="2:22" x14ac:dyDescent="0.25">
      <c r="B499"/>
      <c r="K499" s="8"/>
      <c r="L499" s="8"/>
      <c r="M499" s="8"/>
      <c r="N499" s="8"/>
      <c r="U499" s="9"/>
      <c r="V499" s="9"/>
    </row>
    <row r="500" spans="2:22" x14ac:dyDescent="0.25">
      <c r="B500"/>
      <c r="K500" s="8"/>
      <c r="L500" s="8"/>
      <c r="M500" s="8"/>
      <c r="N500" s="8"/>
      <c r="U500" s="9"/>
      <c r="V500" s="9"/>
    </row>
    <row r="501" spans="2:22" x14ac:dyDescent="0.25">
      <c r="B501"/>
      <c r="K501" s="8"/>
      <c r="L501" s="8"/>
      <c r="M501" s="8"/>
      <c r="N501" s="8"/>
      <c r="U501" s="9"/>
      <c r="V501" s="9"/>
    </row>
    <row r="502" spans="2:22" x14ac:dyDescent="0.25">
      <c r="B502"/>
      <c r="K502" s="8"/>
      <c r="L502" s="8"/>
      <c r="M502" s="8"/>
      <c r="N502" s="8"/>
      <c r="U502" s="9"/>
      <c r="V502" s="9"/>
    </row>
    <row r="503" spans="2:22" x14ac:dyDescent="0.25">
      <c r="B503"/>
      <c r="K503" s="8"/>
      <c r="L503" s="8"/>
      <c r="M503" s="8"/>
      <c r="N503" s="8"/>
      <c r="U503" s="9"/>
      <c r="V503" s="9"/>
    </row>
    <row r="504" spans="2:22" x14ac:dyDescent="0.25">
      <c r="B504"/>
      <c r="K504" s="8"/>
      <c r="L504" s="8"/>
      <c r="M504" s="8"/>
      <c r="N504" s="8"/>
      <c r="U504" s="9"/>
      <c r="V504" s="9"/>
    </row>
    <row r="505" spans="2:22" x14ac:dyDescent="0.25">
      <c r="B505"/>
      <c r="K505" s="8"/>
      <c r="L505" s="8"/>
      <c r="M505" s="8"/>
      <c r="N505" s="8"/>
      <c r="U505" s="9"/>
      <c r="V505" s="9"/>
    </row>
    <row r="506" spans="2:22" x14ac:dyDescent="0.25">
      <c r="B506"/>
      <c r="K506" s="8"/>
      <c r="L506" s="8"/>
      <c r="M506" s="8"/>
      <c r="N506" s="8"/>
      <c r="U506" s="9"/>
      <c r="V506" s="9"/>
    </row>
    <row r="507" spans="2:22" x14ac:dyDescent="0.25">
      <c r="B507"/>
      <c r="K507" s="8"/>
      <c r="L507" s="8"/>
      <c r="M507" s="8"/>
      <c r="N507" s="8"/>
      <c r="U507" s="9"/>
      <c r="V507" s="9"/>
    </row>
    <row r="508" spans="2:22" x14ac:dyDescent="0.25">
      <c r="B508"/>
      <c r="K508" s="8"/>
      <c r="L508" s="8"/>
      <c r="M508" s="8"/>
      <c r="N508" s="8"/>
      <c r="U508" s="9"/>
      <c r="V508" s="9"/>
    </row>
    <row r="509" spans="2:22" x14ac:dyDescent="0.25">
      <c r="B509"/>
      <c r="K509" s="8"/>
      <c r="L509" s="8"/>
      <c r="M509" s="8"/>
      <c r="N509" s="8"/>
      <c r="U509" s="9"/>
      <c r="V509" s="9"/>
    </row>
    <row r="510" spans="2:22" x14ac:dyDescent="0.25">
      <c r="B510"/>
      <c r="K510" s="8"/>
      <c r="L510" s="8"/>
      <c r="M510" s="8"/>
      <c r="N510" s="8"/>
      <c r="U510" s="9"/>
      <c r="V510" s="9"/>
    </row>
    <row r="511" spans="2:22" x14ac:dyDescent="0.25">
      <c r="B511"/>
      <c r="K511" s="8"/>
      <c r="L511" s="8"/>
      <c r="M511" s="8"/>
      <c r="N511" s="8"/>
      <c r="U511" s="9"/>
      <c r="V511" s="9"/>
    </row>
    <row r="512" spans="2:22" x14ac:dyDescent="0.25">
      <c r="B512"/>
      <c r="K512" s="8"/>
      <c r="L512" s="8"/>
      <c r="M512" s="8"/>
      <c r="N512" s="8"/>
      <c r="U512" s="9"/>
      <c r="V512" s="9"/>
    </row>
    <row r="513" spans="2:22" x14ac:dyDescent="0.25">
      <c r="B513"/>
      <c r="K513" s="8"/>
      <c r="L513" s="8"/>
      <c r="M513" s="8"/>
      <c r="N513" s="8"/>
      <c r="U513" s="9"/>
      <c r="V513" s="9"/>
    </row>
    <row r="514" spans="2:22" x14ac:dyDescent="0.25">
      <c r="B514"/>
      <c r="K514" s="8"/>
      <c r="L514" s="8"/>
      <c r="M514" s="8"/>
      <c r="N514" s="8"/>
      <c r="U514" s="9"/>
      <c r="V514" s="9"/>
    </row>
    <row r="515" spans="2:22" x14ac:dyDescent="0.25">
      <c r="B515"/>
      <c r="K515" s="8"/>
      <c r="L515" s="8"/>
      <c r="M515" s="8"/>
      <c r="N515" s="8"/>
      <c r="U515" s="9"/>
      <c r="V515" s="9"/>
    </row>
    <row r="516" spans="2:22" x14ac:dyDescent="0.25">
      <c r="B516"/>
      <c r="K516" s="8"/>
      <c r="L516" s="8"/>
      <c r="M516" s="8"/>
      <c r="N516" s="8"/>
      <c r="U516" s="9"/>
      <c r="V516" s="9"/>
    </row>
    <row r="517" spans="2:22" x14ac:dyDescent="0.25">
      <c r="B517"/>
      <c r="K517" s="8"/>
      <c r="L517" s="8"/>
      <c r="M517" s="8"/>
      <c r="N517" s="8"/>
      <c r="U517" s="9"/>
      <c r="V517" s="9"/>
    </row>
    <row r="518" spans="2:22" x14ac:dyDescent="0.25">
      <c r="B518"/>
      <c r="K518" s="8"/>
      <c r="L518" s="8"/>
      <c r="M518" s="8"/>
      <c r="N518" s="8"/>
      <c r="U518" s="9"/>
      <c r="V518" s="9"/>
    </row>
    <row r="519" spans="2:22" x14ac:dyDescent="0.25">
      <c r="B519"/>
      <c r="K519" s="8"/>
      <c r="L519" s="8"/>
      <c r="M519" s="8"/>
      <c r="N519" s="8"/>
      <c r="U519" s="9"/>
      <c r="V519" s="9"/>
    </row>
    <row r="520" spans="2:22" x14ac:dyDescent="0.25">
      <c r="B520"/>
      <c r="K520" s="8"/>
      <c r="L520" s="8"/>
      <c r="M520" s="8"/>
      <c r="N520" s="8"/>
      <c r="U520" s="9"/>
      <c r="V520" s="9"/>
    </row>
    <row r="521" spans="2:22" x14ac:dyDescent="0.25">
      <c r="B521"/>
      <c r="K521" s="8"/>
      <c r="L521" s="8"/>
      <c r="M521" s="8"/>
      <c r="N521" s="8"/>
      <c r="U521" s="9"/>
      <c r="V521" s="9"/>
    </row>
    <row r="522" spans="2:22" x14ac:dyDescent="0.25">
      <c r="B522"/>
      <c r="K522" s="8"/>
      <c r="L522" s="8"/>
      <c r="M522" s="8"/>
      <c r="N522" s="8"/>
      <c r="U522" s="9"/>
      <c r="V522" s="9"/>
    </row>
    <row r="523" spans="2:22" x14ac:dyDescent="0.25">
      <c r="B523"/>
      <c r="K523" s="8"/>
      <c r="L523" s="8"/>
      <c r="M523" s="8"/>
      <c r="N523" s="8"/>
      <c r="U523" s="9"/>
      <c r="V523" s="9"/>
    </row>
    <row r="524" spans="2:22" x14ac:dyDescent="0.25">
      <c r="B524"/>
      <c r="K524" s="8"/>
      <c r="L524" s="8"/>
      <c r="M524" s="8"/>
      <c r="N524" s="8"/>
      <c r="U524" s="9"/>
      <c r="V524" s="9"/>
    </row>
    <row r="525" spans="2:22" x14ac:dyDescent="0.25">
      <c r="B525"/>
      <c r="K525" s="8"/>
      <c r="L525" s="8"/>
      <c r="M525" s="8"/>
      <c r="N525" s="8"/>
      <c r="U525" s="9"/>
      <c r="V525" s="9"/>
    </row>
    <row r="526" spans="2:22" x14ac:dyDescent="0.25">
      <c r="B526"/>
      <c r="K526" s="8"/>
      <c r="L526" s="8"/>
      <c r="M526" s="8"/>
      <c r="N526" s="8"/>
      <c r="U526" s="9"/>
      <c r="V526" s="9"/>
    </row>
    <row r="527" spans="2:22" x14ac:dyDescent="0.25">
      <c r="B527"/>
      <c r="K527" s="8"/>
      <c r="L527" s="8"/>
      <c r="M527" s="8"/>
      <c r="N527" s="8"/>
      <c r="U527" s="9"/>
      <c r="V527" s="9"/>
    </row>
    <row r="528" spans="2:22" x14ac:dyDescent="0.25">
      <c r="B528"/>
      <c r="K528" s="8"/>
      <c r="L528" s="8"/>
      <c r="M528" s="8"/>
      <c r="N528" s="8"/>
      <c r="U528" s="9"/>
      <c r="V528" s="9"/>
    </row>
    <row r="529" spans="2:22" x14ac:dyDescent="0.25">
      <c r="B529"/>
      <c r="K529" s="8"/>
      <c r="L529" s="8"/>
      <c r="M529" s="8"/>
      <c r="N529" s="8"/>
      <c r="U529" s="9"/>
      <c r="V529" s="9"/>
    </row>
    <row r="530" spans="2:22" x14ac:dyDescent="0.25">
      <c r="B530"/>
      <c r="K530" s="8"/>
      <c r="L530" s="8"/>
      <c r="M530" s="8"/>
      <c r="N530" s="8"/>
      <c r="U530" s="9"/>
      <c r="V530" s="9"/>
    </row>
    <row r="531" spans="2:22" x14ac:dyDescent="0.25">
      <c r="B531"/>
      <c r="K531" s="8"/>
      <c r="L531" s="8"/>
      <c r="M531" s="8"/>
      <c r="N531" s="8"/>
      <c r="U531" s="9"/>
      <c r="V531" s="9"/>
    </row>
    <row r="532" spans="2:22" x14ac:dyDescent="0.25">
      <c r="B532"/>
      <c r="K532" s="8"/>
      <c r="L532" s="8"/>
      <c r="M532" s="8"/>
      <c r="N532" s="8"/>
      <c r="U532" s="9"/>
      <c r="V532" s="9"/>
    </row>
    <row r="533" spans="2:22" x14ac:dyDescent="0.25">
      <c r="B533"/>
      <c r="K533" s="8"/>
      <c r="L533" s="8"/>
      <c r="M533" s="8"/>
      <c r="N533" s="8"/>
      <c r="U533" s="9"/>
      <c r="V533" s="9"/>
    </row>
    <row r="534" spans="2:22" x14ac:dyDescent="0.25">
      <c r="B534"/>
      <c r="K534" s="8"/>
      <c r="L534" s="8"/>
      <c r="M534" s="8"/>
      <c r="N534" s="8"/>
      <c r="U534" s="9"/>
      <c r="V534" s="9"/>
    </row>
    <row r="535" spans="2:22" x14ac:dyDescent="0.25">
      <c r="B535"/>
      <c r="K535" s="8"/>
      <c r="L535" s="8"/>
      <c r="M535" s="8"/>
      <c r="N535" s="8"/>
      <c r="U535" s="9"/>
      <c r="V535" s="9"/>
    </row>
    <row r="536" spans="2:22" x14ac:dyDescent="0.25">
      <c r="B536"/>
      <c r="K536" s="8"/>
      <c r="L536" s="8"/>
      <c r="M536" s="8"/>
      <c r="N536" s="8"/>
      <c r="U536" s="9"/>
      <c r="V536" s="9"/>
    </row>
    <row r="537" spans="2:22" x14ac:dyDescent="0.25">
      <c r="B537"/>
      <c r="K537" s="8"/>
      <c r="L537" s="8"/>
      <c r="M537" s="8"/>
      <c r="N537" s="8"/>
      <c r="U537" s="9"/>
      <c r="V537" s="9"/>
    </row>
    <row r="538" spans="2:22" x14ac:dyDescent="0.25">
      <c r="B538"/>
      <c r="K538" s="8"/>
      <c r="L538" s="8"/>
      <c r="M538" s="8"/>
      <c r="N538" s="8"/>
      <c r="U538" s="9"/>
      <c r="V538" s="9"/>
    </row>
    <row r="539" spans="2:22" x14ac:dyDescent="0.25">
      <c r="B539"/>
      <c r="K539" s="8"/>
      <c r="L539" s="8"/>
      <c r="M539" s="8"/>
      <c r="N539" s="8"/>
      <c r="U539" s="9"/>
      <c r="V539" s="9"/>
    </row>
    <row r="540" spans="2:22" x14ac:dyDescent="0.25">
      <c r="B540"/>
      <c r="K540" s="8"/>
      <c r="L540" s="8"/>
      <c r="M540" s="8"/>
      <c r="N540" s="8"/>
      <c r="U540" s="9"/>
      <c r="V540" s="9"/>
    </row>
    <row r="541" spans="2:22" x14ac:dyDescent="0.25">
      <c r="B541"/>
      <c r="K541" s="8"/>
      <c r="L541" s="8"/>
      <c r="M541" s="8"/>
      <c r="N541" s="8"/>
      <c r="U541" s="9"/>
      <c r="V541" s="9"/>
    </row>
    <row r="542" spans="2:22" x14ac:dyDescent="0.25">
      <c r="B542"/>
      <c r="K542" s="8"/>
      <c r="L542" s="8"/>
      <c r="M542" s="8"/>
      <c r="N542" s="8"/>
      <c r="U542" s="9"/>
      <c r="V542" s="9"/>
    </row>
    <row r="543" spans="2:22" x14ac:dyDescent="0.25">
      <c r="B543"/>
      <c r="K543" s="8"/>
      <c r="L543" s="8"/>
      <c r="M543" s="8"/>
      <c r="N543" s="8"/>
      <c r="U543" s="9"/>
      <c r="V543" s="9"/>
    </row>
    <row r="544" spans="2:22" x14ac:dyDescent="0.25">
      <c r="B544"/>
      <c r="K544" s="8"/>
      <c r="L544" s="8"/>
      <c r="M544" s="8"/>
      <c r="N544" s="8"/>
      <c r="U544" s="9"/>
      <c r="V544" s="9"/>
    </row>
    <row r="545" spans="2:22" x14ac:dyDescent="0.25">
      <c r="B545"/>
      <c r="K545" s="8"/>
      <c r="L545" s="8"/>
      <c r="M545" s="8"/>
      <c r="N545" s="8"/>
      <c r="U545" s="9"/>
      <c r="V545" s="9"/>
    </row>
    <row r="546" spans="2:22" x14ac:dyDescent="0.25">
      <c r="B546"/>
      <c r="K546" s="8"/>
      <c r="L546" s="8"/>
      <c r="M546" s="8"/>
      <c r="N546" s="8"/>
      <c r="U546" s="9"/>
      <c r="V546" s="9"/>
    </row>
    <row r="547" spans="2:22" x14ac:dyDescent="0.25">
      <c r="B547"/>
      <c r="K547" s="8"/>
      <c r="L547" s="8"/>
      <c r="M547" s="8"/>
      <c r="N547" s="8"/>
      <c r="U547" s="9"/>
      <c r="V547" s="9"/>
    </row>
    <row r="548" spans="2:22" x14ac:dyDescent="0.25">
      <c r="B548"/>
      <c r="K548" s="8"/>
      <c r="L548" s="8"/>
      <c r="M548" s="8"/>
      <c r="N548" s="8"/>
      <c r="U548" s="9"/>
      <c r="V548" s="9"/>
    </row>
    <row r="549" spans="2:22" x14ac:dyDescent="0.25">
      <c r="B549"/>
      <c r="K549" s="8"/>
      <c r="L549" s="8"/>
      <c r="M549" s="8"/>
      <c r="N549" s="8"/>
      <c r="U549" s="9"/>
      <c r="V549" s="9"/>
    </row>
    <row r="550" spans="2:22" x14ac:dyDescent="0.25">
      <c r="B550"/>
      <c r="K550" s="8"/>
      <c r="L550" s="8"/>
      <c r="M550" s="8"/>
      <c r="N550" s="8"/>
      <c r="U550" s="9"/>
      <c r="V550" s="9"/>
    </row>
    <row r="551" spans="2:22" x14ac:dyDescent="0.25">
      <c r="B551"/>
      <c r="K551" s="8"/>
      <c r="L551" s="8"/>
      <c r="M551" s="8"/>
      <c r="N551" s="8"/>
      <c r="U551" s="9"/>
      <c r="V551" s="9"/>
    </row>
    <row r="552" spans="2:22" x14ac:dyDescent="0.25">
      <c r="B552"/>
      <c r="K552" s="8"/>
      <c r="L552" s="8"/>
      <c r="M552" s="8"/>
      <c r="N552" s="8"/>
      <c r="U552" s="9"/>
      <c r="V552" s="9"/>
    </row>
    <row r="553" spans="2:22" x14ac:dyDescent="0.25">
      <c r="B553"/>
      <c r="K553" s="8"/>
      <c r="L553" s="8"/>
      <c r="M553" s="8"/>
      <c r="N553" s="8"/>
      <c r="U553" s="9"/>
      <c r="V553" s="9"/>
    </row>
    <row r="554" spans="2:22" x14ac:dyDescent="0.25">
      <c r="B554"/>
      <c r="K554" s="8"/>
      <c r="L554" s="8"/>
      <c r="M554" s="8"/>
      <c r="N554" s="8"/>
      <c r="U554" s="9"/>
      <c r="V554" s="9"/>
    </row>
    <row r="555" spans="2:22" x14ac:dyDescent="0.25">
      <c r="B555"/>
      <c r="K555" s="8"/>
      <c r="L555" s="8"/>
      <c r="M555" s="8"/>
      <c r="N555" s="8"/>
      <c r="U555" s="9"/>
      <c r="V555" s="9"/>
    </row>
    <row r="556" spans="2:22" x14ac:dyDescent="0.25">
      <c r="B556"/>
      <c r="K556" s="8"/>
      <c r="L556" s="8"/>
      <c r="M556" s="8"/>
      <c r="N556" s="8"/>
      <c r="U556" s="9"/>
      <c r="V556" s="9"/>
    </row>
    <row r="557" spans="2:22" x14ac:dyDescent="0.25">
      <c r="B557"/>
      <c r="K557" s="8"/>
      <c r="L557" s="8"/>
      <c r="M557" s="8"/>
      <c r="N557" s="8"/>
      <c r="U557" s="9"/>
      <c r="V557" s="9"/>
    </row>
    <row r="558" spans="2:22" x14ac:dyDescent="0.25">
      <c r="B558"/>
      <c r="K558" s="8"/>
      <c r="L558" s="8"/>
      <c r="M558" s="8"/>
      <c r="N558" s="8"/>
      <c r="U558" s="9"/>
      <c r="V558" s="9"/>
    </row>
    <row r="559" spans="2:22" x14ac:dyDescent="0.25">
      <c r="B559"/>
      <c r="K559" s="8"/>
      <c r="L559" s="8"/>
      <c r="M559" s="8"/>
      <c r="N559" s="8"/>
      <c r="U559" s="9"/>
      <c r="V559" s="9"/>
    </row>
    <row r="560" spans="2:22" x14ac:dyDescent="0.25">
      <c r="B560"/>
      <c r="K560" s="8"/>
      <c r="L560" s="8"/>
      <c r="M560" s="8"/>
      <c r="N560" s="8"/>
      <c r="U560" s="9"/>
      <c r="V560" s="9"/>
    </row>
    <row r="561" spans="2:22" x14ac:dyDescent="0.25">
      <c r="B561"/>
      <c r="K561" s="8"/>
      <c r="L561" s="8"/>
      <c r="M561" s="8"/>
      <c r="N561" s="8"/>
      <c r="U561" s="9"/>
      <c r="V561" s="9"/>
    </row>
    <row r="562" spans="2:22" x14ac:dyDescent="0.25">
      <c r="B562"/>
      <c r="K562" s="8"/>
      <c r="L562" s="8"/>
      <c r="M562" s="8"/>
      <c r="N562" s="8"/>
      <c r="U562" s="9"/>
      <c r="V562" s="9"/>
    </row>
    <row r="563" spans="2:22" x14ac:dyDescent="0.25">
      <c r="B563"/>
      <c r="K563" s="8"/>
      <c r="L563" s="8"/>
      <c r="M563" s="8"/>
      <c r="N563" s="8"/>
      <c r="U563" s="9"/>
      <c r="V563" s="9"/>
    </row>
    <row r="564" spans="2:22" x14ac:dyDescent="0.25">
      <c r="B564"/>
      <c r="K564" s="8"/>
      <c r="L564" s="8"/>
      <c r="M564" s="8"/>
      <c r="N564" s="8"/>
      <c r="U564" s="9"/>
      <c r="V564" s="9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21de7b9-cad9-43f2-8459-9b1b4f9894e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8" ma:contentTypeDescription="Create a new document." ma:contentTypeScope="" ma:versionID="c4513e3ccaf786399b0dae0051b71e96">
  <xsd:schema xmlns:xsd="http://www.w3.org/2001/XMLSchema" xmlns:xs="http://www.w3.org/2001/XMLSchema" xmlns:p="http://schemas.microsoft.com/office/2006/metadata/properties" xmlns:ns3="a21de7b9-cad9-43f2-8459-9b1b4f9894e2" xmlns:ns4="d0ad2d52-4869-465d-a93a-001fa21a593d" targetNamespace="http://schemas.microsoft.com/office/2006/metadata/properties" ma:root="true" ma:fieldsID="0b4e40db0f3acf50de997b99c03e42e5" ns3:_="" ns4:_="">
    <xsd:import namespace="a21de7b9-cad9-43f2-8459-9b1b4f9894e2"/>
    <xsd:import namespace="d0ad2d52-4869-465d-a93a-001fa21a593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FA7FF-11B7-4E5B-B7D8-896866F8F3D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515681-37A0-4B7B-8138-2FB025CAB275}">
  <ds:schemaRefs>
    <ds:schemaRef ds:uri="http://purl.org/dc/elements/1.1/"/>
    <ds:schemaRef ds:uri="http://schemas.microsoft.com/office/2006/documentManagement/types"/>
    <ds:schemaRef ds:uri="http://www.w3.org/XML/1998/namespace"/>
    <ds:schemaRef ds:uri="d0ad2d52-4869-465d-a93a-001fa21a593d"/>
    <ds:schemaRef ds:uri="http://schemas.microsoft.com/office/2006/metadata/properties"/>
    <ds:schemaRef ds:uri="http://purl.org/dc/terms/"/>
    <ds:schemaRef ds:uri="http://purl.org/dc/dcmitype/"/>
    <ds:schemaRef ds:uri="a21de7b9-cad9-43f2-8459-9b1b4f9894e2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B179D4DF-2B34-48F7-9837-BA0CF51C5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1de7b9-cad9-43f2-8459-9b1b4f9894e2"/>
    <ds:schemaRef ds:uri="d0ad2d52-4869-465d-a93a-001fa21a59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millar</dc:creator>
  <cp:lastModifiedBy>Jacob Coetzee</cp:lastModifiedBy>
  <dcterms:created xsi:type="dcterms:W3CDTF">2016-10-11T01:12:02Z</dcterms:created>
  <dcterms:modified xsi:type="dcterms:W3CDTF">2025-10-15T05:10:58Z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0x0101005144375E58E94B4797547602088A153E</vt:lpwstr>
  </property>
</Properties>
</file>