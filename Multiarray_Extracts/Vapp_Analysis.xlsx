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61bcffd0d95ffa/Desktop/WAVEGIUDE HELPERS/6by6array/"/>
    </mc:Choice>
  </mc:AlternateContent>
  <xr:revisionPtr revIDLastSave="775" documentId="8_{8523630A-D4FD-420B-B44C-C824167AD9C3}" xr6:coauthVersionLast="47" xr6:coauthVersionMax="47" xr10:uidLastSave="{905C701D-5426-41A5-B5D2-5CB93E6C60C8}"/>
  <bookViews>
    <workbookView xWindow="-110" yWindow="-110" windowWidth="25820" windowHeight="15500" xr2:uid="{E4EEB7EC-7293-42E9-9FCB-F1798A8A708C}"/>
  </bookViews>
  <sheets>
    <sheet name="CurveRad Va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1" l="1"/>
  <c r="Q2" i="1"/>
  <c r="C47" i="1" s="1"/>
  <c r="C57" i="1" s="1"/>
  <c r="B58" i="1"/>
  <c r="C58" i="1"/>
  <c r="D58" i="1"/>
  <c r="E58" i="1"/>
  <c r="F58" i="1"/>
  <c r="G58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Q11" i="1" s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C44" i="1"/>
  <c r="C54" i="1" s="1"/>
  <c r="D44" i="1"/>
  <c r="D54" i="1" s="1"/>
  <c r="E44" i="1"/>
  <c r="E54" i="1" s="1"/>
  <c r="F44" i="1"/>
  <c r="F54" i="1" s="1"/>
  <c r="G44" i="1"/>
  <c r="G54" i="1" s="1"/>
  <c r="B45" i="1"/>
  <c r="B55" i="1" s="1"/>
  <c r="C45" i="1"/>
  <c r="C55" i="1" s="1"/>
  <c r="D45" i="1"/>
  <c r="D55" i="1" s="1"/>
  <c r="E45" i="1"/>
  <c r="E55" i="1" s="1"/>
  <c r="F45" i="1"/>
  <c r="F55" i="1" s="1"/>
  <c r="G45" i="1"/>
  <c r="G55" i="1" s="1"/>
  <c r="B46" i="1"/>
  <c r="B56" i="1" s="1"/>
  <c r="C46" i="1"/>
  <c r="C56" i="1" s="1"/>
  <c r="D46" i="1"/>
  <c r="D56" i="1" s="1"/>
  <c r="E46" i="1"/>
  <c r="E56" i="1" s="1"/>
  <c r="F46" i="1"/>
  <c r="F56" i="1" s="1"/>
  <c r="G46" i="1"/>
  <c r="G56" i="1" s="1"/>
  <c r="B47" i="1"/>
  <c r="B57" i="1" s="1"/>
  <c r="E47" i="1"/>
  <c r="E57" i="1" s="1"/>
  <c r="F47" i="1"/>
  <c r="F57" i="1" s="1"/>
  <c r="G47" i="1"/>
  <c r="G57" i="1" s="1"/>
  <c r="B48" i="1"/>
  <c r="C48" i="1"/>
  <c r="D48" i="1"/>
  <c r="E48" i="1"/>
  <c r="F48" i="1"/>
  <c r="G48" i="1"/>
  <c r="B49" i="1"/>
  <c r="B59" i="1" s="1"/>
  <c r="C49" i="1"/>
  <c r="C59" i="1" s="1"/>
  <c r="D49" i="1"/>
  <c r="D59" i="1" s="1"/>
  <c r="E49" i="1"/>
  <c r="E59" i="1" s="1"/>
  <c r="F49" i="1"/>
  <c r="F59" i="1" s="1"/>
  <c r="G49" i="1"/>
  <c r="G59" i="1" s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L16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J19" i="1"/>
  <c r="K19" i="1"/>
  <c r="L19" i="1"/>
  <c r="M19" i="1"/>
  <c r="N19" i="1"/>
  <c r="O19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D47" i="1" l="1"/>
  <c r="D57" i="1" s="1"/>
  <c r="B44" i="1"/>
  <c r="B54" i="1" s="1"/>
  <c r="Q12" i="1" s="1" a="1"/>
  <c r="Q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<sst xmlns="http://schemas.openxmlformats.org/spreadsheetml/2006/main" count="28" uniqueCount="18">
  <si>
    <t>i \ j</t>
  </si>
  <si>
    <t>Re[Vapp] (Real Part)</t>
  </si>
  <si>
    <t>Im[Vapp] (Imaginary Part)</t>
  </si>
  <si>
    <t>|Vapp| (Magnitude)</t>
  </si>
  <si>
    <t>|Vapp| = Abs[Re + i Im]</t>
  </si>
  <si>
    <t>Phase Angle (degrees)</t>
  </si>
  <si>
    <t>Phase Angle = Arg[Re + i Im] (degrees)</t>
  </si>
  <si>
    <t>Vapp = Re + i Im  (Complex Form)</t>
  </si>
  <si>
    <t>|Vapp(m,n)| / |Vcenter|  (Normalized Magnitude)</t>
  </si>
  <si>
    <t>Phase Deviation from Center (degrees)</t>
  </si>
  <si>
    <t>Center 4 Average  |Vapp|</t>
  </si>
  <si>
    <t>( |Vapp|(3,3) + |Vapp|(3,4) + |Vapp|(4,3) + |Vapp|(4,4) ) / 4</t>
  </si>
  <si>
    <t>Center 4 Average  Phase</t>
  </si>
  <si>
    <t>( Phase(3,3) + Phase(3,4) + Phase(4,3) + Phase(4,4) ) / 4</t>
  </si>
  <si>
    <t>Center 4 Observations</t>
  </si>
  <si>
    <t>Target Excitation</t>
  </si>
  <si>
    <t>Error = Normalized |Vapp| - Target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</si>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</sst>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&quot;°&quot;"/>
    <numFmt numFmtId="166" formatCode="0.0000"/>
    <numFmt numFmtId="167" formatCode="0.00&quot;°&quot;;\-0.00&quot;°&quot;;0.00&quot;°&quot;"/>
    <numFmt numFmtId="168" formatCode="0.0000;\-0.0000;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b/>
      <sz val="14"/>
      <color rgb="FFFFFFFF"/>
      <name val="Times New Roman"/>
    </font>
    <font>
      <b/>
      <sz val="11"/>
      <color rgb="FFFFFFFF"/>
      <name val="Times New Roman"/>
    </font>
    <font>
      <b/>
      <sz val="12"/>
      <color rgb="FF000000"/>
      <name val="Times New Roman"/>
    </font>
    <font>
      <b/>
      <sz val="20"/>
      <color theme="1"/>
      <name val="Times New Roman"/>
    </font>
  </fonts>
  <fills count="2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7B2D26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CFFAFE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9F1239"/>
        <bgColor indexed="64"/>
      </patternFill>
    </fill>
    <fill>
      <patternFill patternType="solid">
        <fgColor rgb="FFFECDD3"/>
        <bgColor indexed="64"/>
      </patternFill>
    </fill>
  </fills>
  <borders count="5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/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/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medium">
        <color rgb="FF7B2D26"/>
      </top>
      <bottom style="medium">
        <color rgb="FF7B2D2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B2D26"/>
      </bottom>
      <diagonal/>
    </border>
    <border>
      <left style="medium">
        <color rgb="FF7B2D26"/>
      </left>
      <right style="medium">
        <color rgb="FF7B2D26"/>
      </right>
      <top style="medium">
        <color rgb="FF7B2D26"/>
      </top>
      <bottom style="medium">
        <color rgb="FF7B2D26"/>
      </bottom>
      <diagonal/>
    </border>
    <border>
      <left style="thin">
        <color rgb="FFBFBFBF"/>
      </left>
      <right style="medium">
        <color rgb="FF7B2D26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B2D26"/>
      </right>
      <top style="thin">
        <color rgb="FFBFBFBF"/>
      </top>
      <bottom style="medium">
        <color rgb="FF7B2D26"/>
      </bottom>
      <diagonal/>
    </border>
    <border>
      <left style="thin">
        <color rgb="FFBFBFBF"/>
      </left>
      <right style="medium">
        <color rgb="FF7B2D26"/>
      </right>
      <top/>
      <bottom style="thin">
        <color rgb="FFBFBFBF"/>
      </bottom>
      <diagonal/>
    </border>
    <border>
      <left style="thin">
        <color rgb="FFBFBFBF"/>
      </left>
      <right style="medium">
        <color rgb="FF7B2D26"/>
      </right>
      <top style="medium">
        <color rgb="FF7B2D26"/>
      </top>
      <bottom style="medium">
        <color rgb="FF7B2D26"/>
      </bottom>
      <diagonal/>
    </border>
    <border>
      <left/>
      <right style="thin">
        <color rgb="FFBFBFBF"/>
      </right>
      <top style="medium">
        <color rgb="FF7B2D26"/>
      </top>
      <bottom style="medium">
        <color rgb="FF7B2D26"/>
      </bottom>
      <diagonal/>
    </border>
    <border>
      <left/>
      <right style="thin">
        <color rgb="FFBFBFBF"/>
      </right>
      <top style="thin">
        <color rgb="FFBFBFBF"/>
      </top>
      <bottom style="medium">
        <color rgb="FF7B2D26"/>
      </bottom>
      <diagonal/>
    </border>
    <border>
      <left style="medium">
        <color rgb="FF7B2D26"/>
      </left>
      <right style="medium">
        <color rgb="FF7B2D26"/>
      </right>
      <top/>
      <bottom style="thin">
        <color rgb="FFBFBFBF"/>
      </bottom>
      <diagonal/>
    </border>
    <border>
      <left style="medium">
        <color rgb="FF7B2D26"/>
      </left>
      <right style="medium">
        <color rgb="FF7B2D26"/>
      </right>
      <top style="thin">
        <color rgb="FFBFBFBF"/>
      </top>
      <bottom style="thin">
        <color rgb="FFBFBFBF"/>
      </bottom>
      <diagonal/>
    </border>
    <border>
      <left style="medium">
        <color rgb="FF7B2D26"/>
      </left>
      <right style="medium">
        <color rgb="FF7B2D26"/>
      </right>
      <top style="thin">
        <color rgb="FFBFBFBF"/>
      </top>
      <bottom style="medium">
        <color rgb="FF7B2D26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ck">
        <color rgb="FF2E7D32"/>
      </top>
      <bottom/>
      <diagonal/>
    </border>
    <border>
      <left/>
      <right/>
      <top/>
      <bottom style="thick">
        <color rgb="FF2E7D32"/>
      </bottom>
      <diagonal/>
    </border>
    <border>
      <left style="thick">
        <color rgb="FF2E7D32"/>
      </left>
      <right/>
      <top style="thick">
        <color rgb="FF2E7D32"/>
      </top>
      <bottom/>
      <diagonal/>
    </border>
    <border>
      <left style="thick">
        <color rgb="FF2E7D32"/>
      </left>
      <right/>
      <top/>
      <bottom/>
      <diagonal/>
    </border>
    <border>
      <left style="thick">
        <color rgb="FF2E7D32"/>
      </left>
      <right/>
      <top/>
      <bottom style="thick">
        <color rgb="FF2E7D32"/>
      </bottom>
      <diagonal/>
    </border>
    <border>
      <left/>
      <right style="thick">
        <color rgb="FF2E7D32"/>
      </right>
      <top style="thick">
        <color rgb="FF2E7D32"/>
      </top>
      <bottom/>
      <diagonal/>
    </border>
    <border>
      <left/>
      <right style="thick">
        <color rgb="FF2E7D32"/>
      </right>
      <top/>
      <bottom/>
      <diagonal/>
    </border>
    <border>
      <left/>
      <right style="thick">
        <color rgb="FF2E7D32"/>
      </right>
      <top/>
      <bottom style="thick">
        <color rgb="FF2E7D32"/>
      </bottom>
      <diagonal/>
    </border>
    <border>
      <left/>
      <right/>
      <top style="thick">
        <color rgb="FFB45309"/>
      </top>
      <bottom/>
      <diagonal/>
    </border>
    <border>
      <left/>
      <right/>
      <top/>
      <bottom style="thick">
        <color rgb="FFB45309"/>
      </bottom>
      <diagonal/>
    </border>
    <border>
      <left style="thick">
        <color rgb="FFB45309"/>
      </left>
      <right/>
      <top style="thick">
        <color rgb="FFB45309"/>
      </top>
      <bottom/>
      <diagonal/>
    </border>
    <border>
      <left style="thick">
        <color rgb="FFB45309"/>
      </left>
      <right/>
      <top/>
      <bottom/>
      <diagonal/>
    </border>
    <border>
      <left style="thick">
        <color rgb="FFB45309"/>
      </left>
      <right/>
      <top/>
      <bottom style="thick">
        <color rgb="FFB45309"/>
      </bottom>
      <diagonal/>
    </border>
    <border>
      <left/>
      <right style="thick">
        <color rgb="FFB45309"/>
      </right>
      <top style="thick">
        <color rgb="FFB45309"/>
      </top>
      <bottom/>
      <diagonal/>
    </border>
    <border>
      <left/>
      <right style="thick">
        <color rgb="FFB45309"/>
      </right>
      <top/>
      <bottom/>
      <diagonal/>
    </border>
    <border>
      <left/>
      <right style="thick">
        <color rgb="FFB45309"/>
      </right>
      <top/>
      <bottom style="thick">
        <color rgb="FFB45309"/>
      </bottom>
      <diagonal/>
    </border>
    <border>
      <left style="thick">
        <color rgb="FF374151"/>
      </left>
      <right/>
      <top style="thick">
        <color rgb="FF374151"/>
      </top>
      <bottom style="thin">
        <color rgb="FFD1D5DB"/>
      </bottom>
      <diagonal/>
    </border>
    <border>
      <left/>
      <right/>
      <top style="thick">
        <color rgb="FF374151"/>
      </top>
      <bottom style="thin">
        <color rgb="FFD1D5DB"/>
      </bottom>
      <diagonal/>
    </border>
    <border>
      <left/>
      <right style="thick">
        <color rgb="FF374151"/>
      </right>
      <top style="thick">
        <color rgb="FF374151"/>
      </top>
      <bottom style="thin">
        <color rgb="FFD1D5DB"/>
      </bottom>
      <diagonal/>
    </border>
    <border>
      <left style="thick">
        <color rgb="FF374151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ck">
        <color rgb="FF374151"/>
      </right>
      <top style="thin">
        <color rgb="FFD1D5DB"/>
      </top>
      <bottom style="thin">
        <color rgb="FFD1D5DB"/>
      </bottom>
      <diagonal/>
    </border>
    <border>
      <left style="thick">
        <color rgb="FF374151"/>
      </left>
      <right/>
      <top style="thin">
        <color rgb="FFD1D5DB"/>
      </top>
      <bottom style="thick">
        <color rgb="FF374151"/>
      </bottom>
      <diagonal/>
    </border>
    <border>
      <left/>
      <right/>
      <top style="thin">
        <color rgb="FFD1D5DB"/>
      </top>
      <bottom style="thick">
        <color rgb="FF374151"/>
      </bottom>
      <diagonal/>
    </border>
    <border>
      <left/>
      <right style="thick">
        <color rgb="FF374151"/>
      </right>
      <top style="thin">
        <color rgb="FFD1D5DB"/>
      </top>
      <bottom style="thick">
        <color rgb="FF374151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3" borderId="28" xfId="0" applyNumberFormat="1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/>
    </xf>
    <xf numFmtId="164" fontId="1" fillId="0" borderId="29" xfId="0" applyNumberFormat="1" applyFont="1" applyBorder="1" applyAlignment="1">
      <alignment horizontal="center" vertical="center"/>
    </xf>
    <xf numFmtId="0" fontId="2" fillId="7" borderId="29" xfId="0" applyFont="1" applyFill="1" applyBorder="1" applyAlignment="1">
      <alignment horizontal="center"/>
    </xf>
    <xf numFmtId="0" fontId="2" fillId="10" borderId="29" xfId="0" applyFont="1" applyFill="1" applyBorder="1" applyAlignment="1">
      <alignment horizontal="center"/>
    </xf>
    <xf numFmtId="165" fontId="1" fillId="0" borderId="29" xfId="0" applyNumberFormat="1" applyFont="1" applyBorder="1" applyAlignment="1">
      <alignment horizontal="center" vertical="center"/>
    </xf>
    <xf numFmtId="0" fontId="2" fillId="11" borderId="29" xfId="0" applyFont="1" applyFill="1" applyBorder="1" applyAlignment="1">
      <alignment horizontal="center"/>
    </xf>
    <xf numFmtId="0" fontId="2" fillId="13" borderId="29" xfId="0" applyFont="1" applyFill="1" applyBorder="1" applyAlignment="1">
      <alignment horizontal="center"/>
    </xf>
    <xf numFmtId="49" fontId="1" fillId="14" borderId="29" xfId="0" applyNumberFormat="1" applyFont="1" applyFill="1" applyBorder="1" applyAlignment="1">
      <alignment horizontal="center" vertical="center"/>
    </xf>
    <xf numFmtId="49" fontId="1" fillId="15" borderId="29" xfId="0" applyNumberFormat="1" applyFont="1" applyFill="1" applyBorder="1" applyAlignment="1">
      <alignment horizontal="center" vertical="center"/>
    </xf>
    <xf numFmtId="0" fontId="2" fillId="17" borderId="29" xfId="0" applyFont="1" applyFill="1" applyBorder="1" applyAlignment="1">
      <alignment horizontal="center"/>
    </xf>
    <xf numFmtId="166" fontId="1" fillId="0" borderId="29" xfId="0" applyNumberFormat="1" applyFont="1" applyBorder="1" applyAlignment="1">
      <alignment horizontal="center" vertical="center"/>
    </xf>
    <xf numFmtId="0" fontId="2" fillId="19" borderId="29" xfId="0" applyFont="1" applyFill="1" applyBorder="1" applyAlignment="1">
      <alignment horizontal="center"/>
    </xf>
    <xf numFmtId="167" fontId="1" fillId="0" borderId="29" xfId="0" applyNumberFormat="1" applyFont="1" applyBorder="1" applyAlignment="1">
      <alignment horizontal="center" vertical="center"/>
    </xf>
    <xf numFmtId="0" fontId="2" fillId="21" borderId="29" xfId="0" applyFont="1" applyFill="1" applyBorder="1" applyAlignment="1">
      <alignment horizontal="center"/>
    </xf>
    <xf numFmtId="0" fontId="2" fillId="23" borderId="29" xfId="0" applyFont="1" applyFill="1" applyBorder="1" applyAlignment="1">
      <alignment horizontal="center"/>
    </xf>
    <xf numFmtId="168" fontId="1" fillId="0" borderId="29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14" borderId="49" xfId="0" applyFont="1" applyFill="1" applyBorder="1" applyAlignment="1">
      <alignment horizontal="left" vertical="center" wrapText="1"/>
    </xf>
    <xf numFmtId="0" fontId="5" fillId="14" borderId="50" xfId="0" applyFont="1" applyFill="1" applyBorder="1" applyAlignment="1">
      <alignment horizontal="left" vertical="center" wrapText="1"/>
    </xf>
    <xf numFmtId="0" fontId="5" fillId="14" borderId="51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5" fillId="14" borderId="52" xfId="0" applyFont="1" applyFill="1" applyBorder="1" applyAlignment="1">
      <alignment horizontal="left" vertical="center" wrapText="1"/>
    </xf>
    <xf numFmtId="0" fontId="5" fillId="14" borderId="53" xfId="0" applyFont="1" applyFill="1" applyBorder="1" applyAlignment="1">
      <alignment horizontal="left" vertical="center" wrapText="1"/>
    </xf>
    <xf numFmtId="0" fontId="5" fillId="14" borderId="54" xfId="0" applyFont="1" applyFill="1" applyBorder="1" applyAlignment="1">
      <alignment horizontal="left" vertical="center" wrapText="1"/>
    </xf>
    <xf numFmtId="0" fontId="3" fillId="18" borderId="0" xfId="0" applyFont="1" applyFill="1" applyAlignment="1">
      <alignment horizontal="center" vertical="center"/>
    </xf>
    <xf numFmtId="164" fontId="6" fillId="5" borderId="3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5" borderId="36" xfId="0" applyNumberFormat="1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165" fontId="6" fillId="10" borderId="41" xfId="0" applyNumberFormat="1" applyFont="1" applyFill="1" applyBorder="1" applyAlignment="1">
      <alignment horizontal="center" vertical="center"/>
    </xf>
    <xf numFmtId="165" fontId="6" fillId="10" borderId="0" xfId="0" applyNumberFormat="1" applyFont="1" applyFill="1" applyAlignment="1">
      <alignment horizontal="center" vertical="center"/>
    </xf>
    <xf numFmtId="165" fontId="6" fillId="10" borderId="44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3" fillId="12" borderId="46" xfId="0" applyFont="1" applyFill="1" applyBorder="1" applyAlignment="1">
      <alignment horizontal="center" vertical="center" wrapText="1"/>
    </xf>
    <xf numFmtId="0" fontId="3" fillId="12" borderId="47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386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Error Surface: Normalized |Vapp| −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386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'CurveRad Vapp'!$A$53</c:f>
              <c:strCache>
                <c:ptCount val="1"/>
                <c:pt idx="0">
                  <c:v>i \ j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'CurveRad Vapp'!$B$52:$G$52</c:f>
              <c:numCache>
                <c:formatCode>General</c:formatCode>
                <c:ptCount val="6"/>
              </c:numCache>
            </c:numRef>
          </c:cat>
          <c:val>
            <c:numRef>
              <c:f>'CurveRad Vapp'!$B$53:$G$53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D-4FFC-B62B-DF16C5D82955}"/>
            </c:ext>
          </c:extLst>
        </c:ser>
        <c:ser>
          <c:idx val="1"/>
          <c:order val="1"/>
          <c:tx>
            <c:strRef>
              <c:f>'CurveRad Vapp'!$A$54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'CurveRad Vapp'!$B$52:$G$52</c:f>
              <c:numCache>
                <c:formatCode>General</c:formatCode>
                <c:ptCount val="6"/>
              </c:numCache>
            </c:numRef>
          </c:cat>
          <c:val>
            <c:numRef>
              <c:f>'CurveRad Vapp'!$B$54:$G$54</c:f>
              <c:numCache>
                <c:formatCode>0.0000;\-0.0000;0.0000</c:formatCode>
                <c:ptCount val="6"/>
                <c:pt idx="0">
                  <c:v>1.8527878705346057E-2</c:v>
                </c:pt>
                <c:pt idx="1">
                  <c:v>-1.3710411620572405E-2</c:v>
                </c:pt>
                <c:pt idx="2">
                  <c:v>2.6131629597342831E-2</c:v>
                </c:pt>
                <c:pt idx="3">
                  <c:v>-1.8664756863358112E-2</c:v>
                </c:pt>
                <c:pt idx="4">
                  <c:v>1.4986737642380898E-2</c:v>
                </c:pt>
                <c:pt idx="5">
                  <c:v>-2.3841362288676282E-4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D-4FFC-B62B-DF16C5D82955}"/>
            </c:ext>
          </c:extLst>
        </c:ser>
        <c:ser>
          <c:idx val="2"/>
          <c:order val="2"/>
          <c:tx>
            <c:strRef>
              <c:f>'CurveRad Vapp'!$A$55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'CurveRad Vapp'!$B$52:$G$52</c:f>
              <c:numCache>
                <c:formatCode>General</c:formatCode>
                <c:ptCount val="6"/>
              </c:numCache>
            </c:numRef>
          </c:cat>
          <c:val>
            <c:numRef>
              <c:f>'CurveRad Vapp'!$B$55:$G$55</c:f>
              <c:numCache>
                <c:formatCode>0.0000;\-0.0000;0.0000</c:formatCode>
                <c:ptCount val="6"/>
                <c:pt idx="0">
                  <c:v>3.7881617507562859E-2</c:v>
                </c:pt>
                <c:pt idx="1">
                  <c:v>3.6041254885529783E-2</c:v>
                </c:pt>
                <c:pt idx="2">
                  <c:v>3.987906719181189E-2</c:v>
                </c:pt>
                <c:pt idx="3">
                  <c:v>4.6511281466689369E-2</c:v>
                </c:pt>
                <c:pt idx="4">
                  <c:v>3.5978848476875158E-2</c:v>
                </c:pt>
                <c:pt idx="5">
                  <c:v>3.5898963663262007E-2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D-4FFC-B62B-DF16C5D82955}"/>
            </c:ext>
          </c:extLst>
        </c:ser>
        <c:ser>
          <c:idx val="3"/>
          <c:order val="3"/>
          <c:tx>
            <c:strRef>
              <c:f>'CurveRad Vapp'!$A$56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'CurveRad Vapp'!$B$52:$G$52</c:f>
              <c:numCache>
                <c:formatCode>General</c:formatCode>
                <c:ptCount val="6"/>
              </c:numCache>
            </c:numRef>
          </c:cat>
          <c:val>
            <c:numRef>
              <c:f>'CurveRad Vapp'!$B$56:$G$56</c:f>
              <c:numCache>
                <c:formatCode>0.0000;\-0.0000;0.0000</c:formatCode>
                <c:ptCount val="6"/>
                <c:pt idx="0">
                  <c:v>2.6243720754504596E-2</c:v>
                </c:pt>
                <c:pt idx="1">
                  <c:v>8.9293308316743536E-3</c:v>
                </c:pt>
                <c:pt idx="2">
                  <c:v>-2.7398756939976621E-2</c:v>
                </c:pt>
                <c:pt idx="3">
                  <c:v>-4.7688633481985931E-3</c:v>
                </c:pt>
                <c:pt idx="4">
                  <c:v>-6.2026110084655306E-3</c:v>
                </c:pt>
                <c:pt idx="5">
                  <c:v>3.8013191703876903E-2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4D-4FFC-B62B-DF16C5D82955}"/>
            </c:ext>
          </c:extLst>
        </c:ser>
        <c:ser>
          <c:idx val="4"/>
          <c:order val="4"/>
          <c:tx>
            <c:strRef>
              <c:f>'CurveRad Vapp'!$A$57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'CurveRad Vapp'!$B$52:$G$52</c:f>
              <c:numCache>
                <c:formatCode>General</c:formatCode>
                <c:ptCount val="6"/>
              </c:numCache>
            </c:numRef>
          </c:cat>
          <c:val>
            <c:numRef>
              <c:f>'CurveRad Vapp'!$B$57:$G$57</c:f>
              <c:numCache>
                <c:formatCode>0.0000;\-0.0000;0.0000</c:formatCode>
                <c:ptCount val="6"/>
                <c:pt idx="0">
                  <c:v>4.3947592185135276E-2</c:v>
                </c:pt>
                <c:pt idx="1">
                  <c:v>8.1868647562708396E-3</c:v>
                </c:pt>
                <c:pt idx="2">
                  <c:v>2.8000139882706998E-2</c:v>
                </c:pt>
                <c:pt idx="3">
                  <c:v>4.1674804054678827E-3</c:v>
                </c:pt>
                <c:pt idx="4">
                  <c:v>3.0103644662959117E-2</c:v>
                </c:pt>
                <c:pt idx="5">
                  <c:v>3.2330214317713213E-2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D-4FFC-B62B-DF16C5D82955}"/>
            </c:ext>
          </c:extLst>
        </c:ser>
        <c:ser>
          <c:idx val="5"/>
          <c:order val="5"/>
          <c:tx>
            <c:strRef>
              <c:f>'CurveRad Vapp'!$A$58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'CurveRad Vapp'!$B$52:$G$52</c:f>
              <c:numCache>
                <c:formatCode>General</c:formatCode>
                <c:ptCount val="6"/>
              </c:numCache>
            </c:numRef>
          </c:cat>
          <c:val>
            <c:numRef>
              <c:f>'CurveRad Vapp'!$B$58:$G$58</c:f>
              <c:numCache>
                <c:formatCode>0.0000;\-0.0000;0.0000</c:formatCode>
                <c:ptCount val="6"/>
                <c:pt idx="0">
                  <c:v>2.852590139213762E-2</c:v>
                </c:pt>
                <c:pt idx="1">
                  <c:v>2.1086792150757039E-2</c:v>
                </c:pt>
                <c:pt idx="2">
                  <c:v>2.0355845301145981E-2</c:v>
                </c:pt>
                <c:pt idx="3">
                  <c:v>1.7104605231316183E-2</c:v>
                </c:pt>
                <c:pt idx="4">
                  <c:v>2.4481849460246008E-2</c:v>
                </c:pt>
                <c:pt idx="5">
                  <c:v>3.4505204149830881E-2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4D-4FFC-B62B-DF16C5D8295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68089647"/>
        <c:axId val="1968084367"/>
        <c:axId val="1495249119"/>
      </c:surface3DChart>
      <c:catAx>
        <c:axId val="1968089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j (column index)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68084367"/>
        <c:crosses val="autoZero"/>
        <c:auto val="1"/>
        <c:lblAlgn val="ctr"/>
        <c:lblOffset val="100"/>
        <c:noMultiLvlLbl val="0"/>
      </c:catAx>
      <c:valAx>
        <c:axId val="196808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68089647"/>
        <c:crosses val="autoZero"/>
        <c:crossBetween val="midCat"/>
      </c:valAx>
      <c:serAx>
        <c:axId val="149524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i (row index)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6808436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217237</xdr:colOff>
      <xdr:row>14</xdr:row>
      <xdr:rowOff>116974</xdr:rowOff>
    </xdr:from>
    <xdr:to>
      <xdr:col>22</xdr:col>
      <xdr:colOff>344237</xdr:colOff>
      <xdr:row>30</xdr:row>
      <xdr:rowOff>86896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6199D-973B-E93E-2D90-CBAF72CA6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4A5606-67B3-4B17-B046-A95503C4118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e466fc2-d10c-44c8-b171-fff2277acea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FD43-7033-420D-A234-AD511DE8F87E}">
  <dimension ref="A1:W70"/>
  <sheetViews>
    <sheetView tabSelected="1" zoomScale="38" workbookViewId="0">
      <selection activeCell="U36" sqref="U36"/>
    </sheetView>
  </sheetViews>
  <sheetFormatPr defaultRowHeight="14.5" x14ac:dyDescent="0.35"/>
  <cols>
    <col min="1" max="1" width="8" customWidth="1"/>
    <col min="2" max="7" width="20" customWidth="1"/>
    <col min="8" max="8" width="3.26953125" customWidth="1"/>
    <col min="9" max="9" width="8" customWidth="1"/>
    <col min="10" max="15" width="20" customWidth="1"/>
    <col min="16" max="16" width="3.26953125" customWidth="1"/>
    <col min="17" max="23" width="20" customWidth="1"/>
  </cols>
  <sheetData>
    <row r="1" spans="1:23" ht="28" customHeight="1" thickTop="1" x14ac:dyDescent="0.35">
      <c r="A1" s="45" t="s">
        <v>1</v>
      </c>
      <c r="B1" s="45"/>
      <c r="C1" s="45"/>
      <c r="D1" s="45"/>
      <c r="E1" s="45"/>
      <c r="F1" s="45"/>
      <c r="G1" s="45"/>
      <c r="I1" s="46" t="s">
        <v>2</v>
      </c>
      <c r="J1" s="46"/>
      <c r="K1" s="46"/>
      <c r="L1" s="46"/>
      <c r="M1" s="46"/>
      <c r="N1" s="46"/>
      <c r="O1" s="46"/>
      <c r="Q1" s="47" t="s">
        <v>10</v>
      </c>
      <c r="R1" s="48"/>
      <c r="S1" s="48"/>
      <c r="T1" s="48"/>
      <c r="U1" s="48"/>
      <c r="V1" s="48"/>
      <c r="W1" s="49"/>
    </row>
    <row r="2" spans="1:23" ht="40" customHeight="1" thickBot="1" x14ac:dyDescent="0.4">
      <c r="Q2" s="65">
        <f>AVERAGE(D16,E16,D17,E17)</f>
        <v>10.774734390529215</v>
      </c>
      <c r="R2" s="66"/>
      <c r="S2" s="66"/>
      <c r="T2" s="66"/>
      <c r="U2" s="66"/>
      <c r="V2" s="66"/>
      <c r="W2" s="67"/>
    </row>
    <row r="3" spans="1:23" ht="24" customHeight="1" thickBot="1" x14ac:dyDescent="0.4">
      <c r="A3" s="13" t="s">
        <v>0</v>
      </c>
      <c r="B3" s="11">
        <v>1</v>
      </c>
      <c r="C3" s="9">
        <v>2</v>
      </c>
      <c r="D3" s="9">
        <v>3</v>
      </c>
      <c r="E3" s="9">
        <v>4</v>
      </c>
      <c r="F3" s="9">
        <v>5</v>
      </c>
      <c r="G3" s="10">
        <v>6</v>
      </c>
      <c r="I3" s="22" t="s">
        <v>0</v>
      </c>
      <c r="J3" s="20">
        <v>1</v>
      </c>
      <c r="K3" s="18">
        <v>2</v>
      </c>
      <c r="L3" s="18">
        <v>3</v>
      </c>
      <c r="M3" s="18">
        <v>4</v>
      </c>
      <c r="N3" s="18">
        <v>5</v>
      </c>
      <c r="O3" s="19">
        <v>6</v>
      </c>
      <c r="Q3" s="68" t="s">
        <v>11</v>
      </c>
      <c r="R3" s="69"/>
      <c r="S3" s="69"/>
      <c r="T3" s="69"/>
      <c r="U3" s="69"/>
      <c r="V3" s="69"/>
      <c r="W3" s="70"/>
    </row>
    <row r="4" spans="1:23" ht="20" customHeight="1" thickBot="1" x14ac:dyDescent="0.4">
      <c r="A4" s="23">
        <v>1</v>
      </c>
      <c r="B4" s="1">
        <v>1.4306804942992</v>
      </c>
      <c r="C4" s="7">
        <v>1.5578194451661</v>
      </c>
      <c r="D4" s="7">
        <v>2.1900688904949002</v>
      </c>
      <c r="E4" s="7">
        <v>1.6480174134865</v>
      </c>
      <c r="F4" s="7">
        <v>1.9642274168938001</v>
      </c>
      <c r="G4" s="8">
        <v>1.2255279350535</v>
      </c>
      <c r="I4" s="26">
        <v>1</v>
      </c>
      <c r="J4" s="1">
        <v>-1.2154238411442999</v>
      </c>
      <c r="K4" s="7">
        <v>-2.2996391058387</v>
      </c>
      <c r="L4" s="7">
        <v>-3.7298772507790998</v>
      </c>
      <c r="M4" s="7">
        <v>-3.4713106709321999</v>
      </c>
      <c r="N4" s="7">
        <v>-2.3812305924631998</v>
      </c>
      <c r="O4" s="17">
        <v>-1.1418836379063999</v>
      </c>
    </row>
    <row r="5" spans="1:23" ht="28" customHeight="1" thickTop="1" x14ac:dyDescent="0.35">
      <c r="A5" s="24">
        <v>2</v>
      </c>
      <c r="B5" s="2">
        <v>3.0535856389073999</v>
      </c>
      <c r="C5" s="3">
        <v>4.1024130928464997</v>
      </c>
      <c r="D5" s="3">
        <v>5.3176739858674003</v>
      </c>
      <c r="E5" s="3">
        <v>4.7560391046071002</v>
      </c>
      <c r="F5" s="3">
        <v>4.4568883051168999</v>
      </c>
      <c r="G5" s="5">
        <v>2.8979241354044998</v>
      </c>
      <c r="I5" s="27">
        <v>2</v>
      </c>
      <c r="J5" s="2">
        <v>-1.9743629597035</v>
      </c>
      <c r="K5" s="3">
        <v>-4.4002507636669996</v>
      </c>
      <c r="L5" s="3">
        <v>-6.2552735849317003</v>
      </c>
      <c r="M5" s="3">
        <v>-6.7797270745563996</v>
      </c>
      <c r="N5" s="3">
        <v>-4.0398089827427004</v>
      </c>
      <c r="O5" s="15">
        <v>-2.1609317611943002</v>
      </c>
      <c r="Q5" s="71" t="s">
        <v>12</v>
      </c>
      <c r="R5" s="72"/>
      <c r="S5" s="72"/>
      <c r="T5" s="72"/>
      <c r="U5" s="72"/>
      <c r="V5" s="72"/>
      <c r="W5" s="73"/>
    </row>
    <row r="6" spans="1:23" ht="40" customHeight="1" x14ac:dyDescent="0.35">
      <c r="A6" s="24">
        <v>3</v>
      </c>
      <c r="B6" s="2">
        <v>4.0155145086903001</v>
      </c>
      <c r="C6" s="3">
        <v>5.9038670153139003</v>
      </c>
      <c r="D6" s="3">
        <v>6.9997624474471003</v>
      </c>
      <c r="E6" s="3">
        <v>6.8310145760951997</v>
      </c>
      <c r="F6" s="3">
        <v>5.8737174719142002</v>
      </c>
      <c r="G6" s="5">
        <v>4.1186668501634998</v>
      </c>
      <c r="I6" s="27">
        <v>3</v>
      </c>
      <c r="J6" s="2">
        <v>-2.5433471044722999</v>
      </c>
      <c r="K6" s="3">
        <v>-5.2351480614382</v>
      </c>
      <c r="L6" s="3">
        <v>-7.7989529044898998</v>
      </c>
      <c r="M6" s="3">
        <v>-8.2660449942036998</v>
      </c>
      <c r="N6" s="3">
        <v>-5.0214958504662999</v>
      </c>
      <c r="O6" s="15">
        <v>-2.6174743859838001</v>
      </c>
      <c r="Q6" s="74">
        <f>AVERAGE(D26,E26,D27,E27)</f>
        <v>-49.875224363557706</v>
      </c>
      <c r="R6" s="75"/>
      <c r="S6" s="75"/>
      <c r="T6" s="75"/>
      <c r="U6" s="75"/>
      <c r="V6" s="75"/>
      <c r="W6" s="76"/>
    </row>
    <row r="7" spans="1:23" ht="24" customHeight="1" thickBot="1" x14ac:dyDescent="0.4">
      <c r="A7" s="24">
        <v>4</v>
      </c>
      <c r="B7" s="2">
        <v>4.0919447574590002</v>
      </c>
      <c r="C7" s="3">
        <v>5.8991211347726997</v>
      </c>
      <c r="D7" s="3">
        <v>6.9134569903258001</v>
      </c>
      <c r="E7" s="3">
        <v>7.0123716040461002</v>
      </c>
      <c r="F7" s="3">
        <v>5.8456113378080996</v>
      </c>
      <c r="G7" s="5">
        <v>3.9752391497389001</v>
      </c>
      <c r="I7" s="27">
        <v>4</v>
      </c>
      <c r="J7" s="2">
        <v>-2.7746599421165001</v>
      </c>
      <c r="K7" s="3">
        <v>-5.2284420535237004</v>
      </c>
      <c r="L7" s="3">
        <v>-8.6539805804671008</v>
      </c>
      <c r="M7" s="3">
        <v>-8.2396121540260001</v>
      </c>
      <c r="N7" s="3">
        <v>-5.6341608116956001</v>
      </c>
      <c r="O7" s="15">
        <v>-2.7236335369845999</v>
      </c>
      <c r="Q7" s="77" t="s">
        <v>13</v>
      </c>
      <c r="R7" s="78"/>
      <c r="S7" s="78"/>
      <c r="T7" s="78"/>
      <c r="U7" s="78"/>
      <c r="V7" s="78"/>
      <c r="W7" s="79"/>
    </row>
    <row r="8" spans="1:23" ht="20" customHeight="1" thickTop="1" thickBot="1" x14ac:dyDescent="0.4">
      <c r="A8" s="24">
        <v>5</v>
      </c>
      <c r="B8" s="2">
        <v>2.9157367925029001</v>
      </c>
      <c r="C8" s="3">
        <v>4.4662918463923997</v>
      </c>
      <c r="D8" s="3">
        <v>4.9382998974743</v>
      </c>
      <c r="E8" s="3">
        <v>5.3748797986800998</v>
      </c>
      <c r="F8" s="3">
        <v>4.1220500573593997</v>
      </c>
      <c r="G8" s="5">
        <v>3.0313798325778998</v>
      </c>
      <c r="I8" s="27">
        <v>5</v>
      </c>
      <c r="J8" s="2">
        <v>-1.9995057080881</v>
      </c>
      <c r="K8" s="3">
        <v>-3.7856949723058002</v>
      </c>
      <c r="L8" s="3">
        <v>-6.2936020413672997</v>
      </c>
      <c r="M8" s="3">
        <v>-5.8777243383081998</v>
      </c>
      <c r="N8" s="3">
        <v>-4.2092328652306001</v>
      </c>
      <c r="O8" s="15">
        <v>-1.9416434072191</v>
      </c>
    </row>
    <row r="9" spans="1:23" ht="30" customHeight="1" thickTop="1" thickBot="1" x14ac:dyDescent="0.4">
      <c r="A9" s="25">
        <v>6</v>
      </c>
      <c r="B9" s="12">
        <v>1.2417566637163</v>
      </c>
      <c r="C9" s="4">
        <v>1.9981187617230001</v>
      </c>
      <c r="D9" s="4">
        <v>1.8056540605839999</v>
      </c>
      <c r="E9" s="4">
        <v>2.3408194825197999</v>
      </c>
      <c r="F9" s="4">
        <v>1.4303270226417</v>
      </c>
      <c r="G9" s="6">
        <v>1.4494986692941001</v>
      </c>
      <c r="I9" s="28">
        <v>6</v>
      </c>
      <c r="J9" s="21">
        <v>-1.155136288402</v>
      </c>
      <c r="K9" s="14">
        <v>-2.4326532260320999</v>
      </c>
      <c r="L9" s="14">
        <v>-3.4943215068759002</v>
      </c>
      <c r="M9" s="14">
        <v>-3.7575262169702999</v>
      </c>
      <c r="N9" s="14">
        <v>-2.4224560816959002</v>
      </c>
      <c r="O9" s="16">
        <v>-1.1965266421292999</v>
      </c>
      <c r="Q9" s="80" t="s">
        <v>14</v>
      </c>
      <c r="R9" s="81"/>
      <c r="S9" s="81"/>
      <c r="T9" s="81"/>
      <c r="U9" s="81"/>
      <c r="V9" s="81"/>
      <c r="W9" s="82"/>
    </row>
    <row r="10" spans="1:23" ht="28" customHeight="1" x14ac:dyDescent="0.35">
      <c r="Q10" s="52" t="s">
        <v>17</v>
      </c>
      <c r="R10" s="53"/>
      <c r="S10" s="53"/>
      <c r="T10" s="53"/>
      <c r="U10" s="53"/>
      <c r="V10" s="53"/>
      <c r="W10" s="54"/>
    </row>
    <row r="11" spans="1:23" ht="28" customHeight="1" x14ac:dyDescent="0.35">
      <c r="A11" s="50" t="s">
        <v>3</v>
      </c>
      <c r="B11" s="50"/>
      <c r="C11" s="50"/>
      <c r="D11" s="50"/>
      <c r="E11" s="50"/>
      <c r="F11" s="50"/>
      <c r="G11" s="50"/>
      <c r="I11" s="51" t="s">
        <v>4</v>
      </c>
      <c r="J11" s="51"/>
      <c r="K11" s="51"/>
      <c r="L11" s="51"/>
      <c r="M11" s="51"/>
      <c r="N11" s="51"/>
      <c r="O11" s="51"/>
      <c r="Q11" s="52" t="str">
        <f>"Phase deviation at (3,3), (3,4), (4,3), (4,4) = "&amp;TEXT(L36,"0.00")&amp;"°, "&amp;TEXT(M36,"0.00")&amp;"°, "&amp;TEXT(L37,"0.00")&amp;"°, "&amp;TEXT(M37,"0.00")&amp;"°  (all drift around 0°)"</f>
        <v>Phase deviation at (3,3), (3,4), (4,3), (4,4) = 1.78°, -0.55°, -1.50°, 0.27°  (all drift around 0°)</v>
      </c>
      <c r="R11" s="53"/>
      <c r="S11" s="53"/>
      <c r="T11" s="53"/>
      <c r="U11" s="53"/>
      <c r="V11" s="53"/>
      <c r="W11" s="54"/>
    </row>
    <row r="12" spans="1:23" ht="28" customHeight="1" thickBot="1" x14ac:dyDescent="0.4">
      <c r="Q12" s="61" t="str" cm="1">
        <f t="array" ref="Q12">"Error vs target: max |error| = "&amp;TEXT(MAX(ABS(B54:G59)),"0.0000")&amp;",  RMS = "&amp;TEXT(SQRT(SUMPRODUCT(B54:G59,B54:G59)/36),"0.0000")</f>
        <v>Error vs target: max |error| = 0.0465,  RMS = 0.0262</v>
      </c>
      <c r="R12" s="62"/>
      <c r="S12" s="62"/>
      <c r="T12" s="62"/>
      <c r="U12" s="62"/>
      <c r="V12" s="62"/>
      <c r="W12" s="63"/>
    </row>
    <row r="13" spans="1:23" ht="22" customHeight="1" thickTop="1" x14ac:dyDescent="0.35">
      <c r="A13" s="29" t="s">
        <v>0</v>
      </c>
      <c r="B13" s="29">
        <v>1</v>
      </c>
      <c r="C13" s="29">
        <v>2</v>
      </c>
      <c r="D13" s="29">
        <v>3</v>
      </c>
      <c r="E13" s="29">
        <v>4</v>
      </c>
      <c r="F13" s="29">
        <v>5</v>
      </c>
      <c r="G13" s="29">
        <v>6</v>
      </c>
      <c r="I13" s="31" t="s">
        <v>0</v>
      </c>
      <c r="J13" s="31">
        <v>1</v>
      </c>
      <c r="K13" s="31">
        <v>2</v>
      </c>
      <c r="L13" s="31">
        <v>3</v>
      </c>
      <c r="M13" s="31">
        <v>4</v>
      </c>
      <c r="N13" s="31">
        <v>5</v>
      </c>
      <c r="O13" s="31">
        <v>6</v>
      </c>
    </row>
    <row r="14" spans="1:23" ht="22" customHeight="1" x14ac:dyDescent="0.35">
      <c r="A14" s="29">
        <v>1</v>
      </c>
      <c r="B14" s="30">
        <f t="shared" ref="B14:G19" si="0">SQRT(B4^2+J4^2)</f>
        <v>1.8772591164754449</v>
      </c>
      <c r="C14" s="30">
        <f t="shared" si="0"/>
        <v>2.7776143434321892</v>
      </c>
      <c r="D14" s="30">
        <f t="shared" si="0"/>
        <v>4.3253191848686754</v>
      </c>
      <c r="E14" s="30">
        <f t="shared" si="0"/>
        <v>3.8426500190991235</v>
      </c>
      <c r="F14" s="30">
        <f t="shared" si="0"/>
        <v>3.0868185045058825</v>
      </c>
      <c r="G14" s="30">
        <f t="shared" si="0"/>
        <v>1.6750573011437102</v>
      </c>
      <c r="I14" s="31">
        <v>1</v>
      </c>
      <c r="J14" s="30">
        <f t="shared" ref="J14:O19" si="1">IMABS(COMPLEX(B4,J4))</f>
        <v>1.8772591164754449</v>
      </c>
      <c r="K14" s="30">
        <f t="shared" si="1"/>
        <v>2.7776143434321892</v>
      </c>
      <c r="L14" s="30">
        <f t="shared" si="1"/>
        <v>4.3253191848686745</v>
      </c>
      <c r="M14" s="30">
        <f t="shared" si="1"/>
        <v>3.8426500190991231</v>
      </c>
      <c r="N14" s="30">
        <f t="shared" si="1"/>
        <v>3.0868185045058825</v>
      </c>
      <c r="O14" s="30">
        <f t="shared" si="1"/>
        <v>1.67505730114371</v>
      </c>
    </row>
    <row r="15" spans="1:23" ht="22" customHeight="1" x14ac:dyDescent="0.35">
      <c r="A15" s="29">
        <v>2</v>
      </c>
      <c r="B15" s="30">
        <f t="shared" si="0"/>
        <v>3.6362747903301638</v>
      </c>
      <c r="C15" s="30">
        <f t="shared" si="0"/>
        <v>6.0159787206663555</v>
      </c>
      <c r="D15" s="30">
        <f t="shared" si="0"/>
        <v>8.2101220601349869</v>
      </c>
      <c r="E15" s="30">
        <f t="shared" si="0"/>
        <v>8.2815824073678677</v>
      </c>
      <c r="F15" s="30">
        <f t="shared" si="0"/>
        <v>6.0153063081888352</v>
      </c>
      <c r="G15" s="30">
        <f t="shared" si="0"/>
        <v>3.6149122217694605</v>
      </c>
      <c r="I15" s="31">
        <v>2</v>
      </c>
      <c r="J15" s="30">
        <f t="shared" si="1"/>
        <v>3.6362747903301642</v>
      </c>
      <c r="K15" s="30">
        <f t="shared" si="1"/>
        <v>6.0159787206663555</v>
      </c>
      <c r="L15" s="30">
        <f t="shared" si="1"/>
        <v>8.2101220601349869</v>
      </c>
      <c r="M15" s="30">
        <f t="shared" si="1"/>
        <v>8.2815824073678694</v>
      </c>
      <c r="N15" s="30">
        <f t="shared" si="1"/>
        <v>6.0153063081888352</v>
      </c>
      <c r="O15" s="30">
        <f t="shared" si="1"/>
        <v>3.6149122217694605</v>
      </c>
    </row>
    <row r="16" spans="1:23" ht="22" customHeight="1" x14ac:dyDescent="0.35">
      <c r="A16" s="29">
        <v>3</v>
      </c>
      <c r="B16" s="30">
        <f t="shared" si="0"/>
        <v>4.7532064191795769</v>
      </c>
      <c r="C16" s="30">
        <f t="shared" si="0"/>
        <v>7.8906540261052891</v>
      </c>
      <c r="D16" s="30">
        <f t="shared" si="0"/>
        <v>10.479520061870298</v>
      </c>
      <c r="E16" s="30">
        <f t="shared" si="0"/>
        <v>10.723351154607645</v>
      </c>
      <c r="F16" s="30">
        <f t="shared" si="0"/>
        <v>7.727611371964846</v>
      </c>
      <c r="G16" s="30">
        <f t="shared" si="0"/>
        <v>4.8800193425761131</v>
      </c>
      <c r="I16" s="31">
        <v>3</v>
      </c>
      <c r="J16" s="30">
        <f t="shared" si="1"/>
        <v>4.7532064191795769</v>
      </c>
      <c r="K16" s="30">
        <f t="shared" si="1"/>
        <v>7.8906540261052891</v>
      </c>
      <c r="L16" s="30">
        <f t="shared" si="1"/>
        <v>10.479520061870298</v>
      </c>
      <c r="M16" s="30">
        <f t="shared" si="1"/>
        <v>10.723351154607645</v>
      </c>
      <c r="N16" s="30">
        <f t="shared" si="1"/>
        <v>7.727611371964846</v>
      </c>
      <c r="O16" s="30">
        <f t="shared" si="1"/>
        <v>4.8800193425761131</v>
      </c>
    </row>
    <row r="17" spans="1:15" ht="22" customHeight="1" x14ac:dyDescent="0.35">
      <c r="A17" s="29">
        <v>4</v>
      </c>
      <c r="B17" s="30">
        <f t="shared" si="0"/>
        <v>4.943960931528701</v>
      </c>
      <c r="C17" s="30">
        <f t="shared" si="0"/>
        <v>7.882654151348838</v>
      </c>
      <c r="D17" s="30">
        <f t="shared" si="0"/>
        <v>11.076428460663047</v>
      </c>
      <c r="E17" s="30">
        <f t="shared" si="0"/>
        <v>10.819637884975867</v>
      </c>
      <c r="F17" s="30">
        <f t="shared" si="0"/>
        <v>8.1188016335390909</v>
      </c>
      <c r="G17" s="30">
        <f t="shared" si="0"/>
        <v>4.8187867706928156</v>
      </c>
      <c r="I17" s="31">
        <v>4</v>
      </c>
      <c r="J17" s="30">
        <f t="shared" si="1"/>
        <v>4.9439609315287001</v>
      </c>
      <c r="K17" s="30">
        <f t="shared" si="1"/>
        <v>7.8826541513488388</v>
      </c>
      <c r="L17" s="30">
        <f t="shared" si="1"/>
        <v>11.076428460663047</v>
      </c>
      <c r="M17" s="30">
        <f t="shared" si="1"/>
        <v>10.819637884975867</v>
      </c>
      <c r="N17" s="30">
        <f t="shared" si="1"/>
        <v>8.1188016335390909</v>
      </c>
      <c r="O17" s="30">
        <f t="shared" si="1"/>
        <v>4.8187867706928156</v>
      </c>
    </row>
    <row r="18" spans="1:15" ht="22" customHeight="1" x14ac:dyDescent="0.35">
      <c r="A18" s="29">
        <v>5</v>
      </c>
      <c r="B18" s="30">
        <f t="shared" si="0"/>
        <v>3.5354694341532631</v>
      </c>
      <c r="C18" s="30">
        <f t="shared" si="0"/>
        <v>5.8548483567461123</v>
      </c>
      <c r="D18" s="30">
        <f t="shared" si="0"/>
        <v>7.9997645298156952</v>
      </c>
      <c r="E18" s="30">
        <f t="shared" si="0"/>
        <v>7.9647332816234337</v>
      </c>
      <c r="F18" s="30">
        <f t="shared" si="0"/>
        <v>5.891429197496481</v>
      </c>
      <c r="G18" s="30">
        <f t="shared" si="0"/>
        <v>3.5998948332079665</v>
      </c>
      <c r="I18" s="31">
        <v>5</v>
      </c>
      <c r="J18" s="30">
        <f t="shared" si="1"/>
        <v>3.5354694341532631</v>
      </c>
      <c r="K18" s="30">
        <f t="shared" si="1"/>
        <v>5.8548483567461123</v>
      </c>
      <c r="L18" s="30">
        <f t="shared" si="1"/>
        <v>7.9997645298156943</v>
      </c>
      <c r="M18" s="30">
        <f t="shared" si="1"/>
        <v>7.9647332816234337</v>
      </c>
      <c r="N18" s="30">
        <f t="shared" si="1"/>
        <v>5.8914291974964819</v>
      </c>
      <c r="O18" s="30">
        <f t="shared" si="1"/>
        <v>3.5998948332079657</v>
      </c>
    </row>
    <row r="19" spans="1:15" ht="22" customHeight="1" x14ac:dyDescent="0.35">
      <c r="A19" s="29">
        <v>6</v>
      </c>
      <c r="B19" s="30">
        <f t="shared" si="0"/>
        <v>1.6959656413580391</v>
      </c>
      <c r="C19" s="30">
        <f t="shared" si="0"/>
        <v>3.1480597681864042</v>
      </c>
      <c r="D19" s="30">
        <f t="shared" si="0"/>
        <v>3.9332771806623223</v>
      </c>
      <c r="E19" s="30">
        <f t="shared" si="0"/>
        <v>4.4270124374078055</v>
      </c>
      <c r="F19" s="30">
        <f t="shared" si="0"/>
        <v>2.8132061530297641</v>
      </c>
      <c r="G19" s="30">
        <f t="shared" si="0"/>
        <v>1.8795537761954524</v>
      </c>
      <c r="I19" s="31">
        <v>6</v>
      </c>
      <c r="J19" s="30">
        <f t="shared" si="1"/>
        <v>1.6959656413580391</v>
      </c>
      <c r="K19" s="30">
        <f t="shared" si="1"/>
        <v>3.1480597681864046</v>
      </c>
      <c r="L19" s="30">
        <f t="shared" si="1"/>
        <v>3.9332771806623223</v>
      </c>
      <c r="M19" s="30">
        <f t="shared" si="1"/>
        <v>4.4270124374078055</v>
      </c>
      <c r="N19" s="30">
        <f t="shared" si="1"/>
        <v>2.8132061530297636</v>
      </c>
      <c r="O19" s="30">
        <f t="shared" si="1"/>
        <v>1.8795537761954526</v>
      </c>
    </row>
    <row r="20" spans="1:15" ht="38" customHeight="1" x14ac:dyDescent="0.35"/>
    <row r="21" spans="1:15" ht="28" customHeight="1" x14ac:dyDescent="0.35">
      <c r="A21" s="58" t="s">
        <v>5</v>
      </c>
      <c r="B21" s="58"/>
      <c r="C21" s="58"/>
      <c r="D21" s="58"/>
      <c r="E21" s="58"/>
      <c r="F21" s="58"/>
      <c r="G21" s="58"/>
      <c r="I21" s="59" t="s">
        <v>6</v>
      </c>
      <c r="J21" s="59"/>
      <c r="K21" s="59"/>
      <c r="L21" s="59"/>
      <c r="M21" s="59"/>
      <c r="N21" s="59"/>
      <c r="O21" s="59"/>
    </row>
    <row r="22" spans="1:15" ht="6" customHeight="1" x14ac:dyDescent="0.35"/>
    <row r="23" spans="1:15" ht="22" customHeight="1" x14ac:dyDescent="0.35">
      <c r="A23" s="32" t="s">
        <v>0</v>
      </c>
      <c r="B23" s="32">
        <v>1</v>
      </c>
      <c r="C23" s="32">
        <v>2</v>
      </c>
      <c r="D23" s="32">
        <v>3</v>
      </c>
      <c r="E23" s="32">
        <v>4</v>
      </c>
      <c r="F23" s="32">
        <v>5</v>
      </c>
      <c r="G23" s="32">
        <v>6</v>
      </c>
      <c r="I23" s="34" t="s">
        <v>0</v>
      </c>
      <c r="J23" s="34">
        <v>1</v>
      </c>
      <c r="K23" s="34">
        <v>2</v>
      </c>
      <c r="L23" s="34">
        <v>3</v>
      </c>
      <c r="M23" s="34">
        <v>4</v>
      </c>
      <c r="N23" s="34">
        <v>5</v>
      </c>
      <c r="O23" s="34">
        <v>6</v>
      </c>
    </row>
    <row r="24" spans="1:15" ht="22" customHeight="1" x14ac:dyDescent="0.35">
      <c r="A24" s="32">
        <v>1</v>
      </c>
      <c r="B24" s="33">
        <f t="shared" ref="B24:G29" si="2">DEGREES(ATAN2(B4,J4))</f>
        <v>-40.349314252123705</v>
      </c>
      <c r="C24" s="33">
        <f t="shared" si="2"/>
        <v>-55.885537203685246</v>
      </c>
      <c r="D24" s="33">
        <f t="shared" si="2"/>
        <v>-59.579858149462403</v>
      </c>
      <c r="E24" s="33">
        <f t="shared" si="2"/>
        <v>-64.603799383663628</v>
      </c>
      <c r="F24" s="33">
        <f t="shared" si="2"/>
        <v>-50.481489703508693</v>
      </c>
      <c r="G24" s="33">
        <f t="shared" si="2"/>
        <v>-42.976493576035018</v>
      </c>
      <c r="I24" s="34">
        <v>1</v>
      </c>
      <c r="J24" s="33">
        <f t="shared" ref="J24:O29" si="3">DEGREES(ATAN2(B4,J4))</f>
        <v>-40.349314252123705</v>
      </c>
      <c r="K24" s="33">
        <f t="shared" si="3"/>
        <v>-55.885537203685246</v>
      </c>
      <c r="L24" s="33">
        <f t="shared" si="3"/>
        <v>-59.579858149462403</v>
      </c>
      <c r="M24" s="33">
        <f t="shared" si="3"/>
        <v>-64.603799383663628</v>
      </c>
      <c r="N24" s="33">
        <f t="shared" si="3"/>
        <v>-50.481489703508693</v>
      </c>
      <c r="O24" s="33">
        <f t="shared" si="3"/>
        <v>-42.976493576035018</v>
      </c>
    </row>
    <row r="25" spans="1:15" ht="22" customHeight="1" x14ac:dyDescent="0.35">
      <c r="A25" s="32">
        <v>2</v>
      </c>
      <c r="B25" s="33">
        <f t="shared" si="2"/>
        <v>-32.885577255183755</v>
      </c>
      <c r="C25" s="33">
        <f t="shared" si="2"/>
        <v>-47.006179162738505</v>
      </c>
      <c r="D25" s="33">
        <f t="shared" si="2"/>
        <v>-49.631786821071806</v>
      </c>
      <c r="E25" s="33">
        <f t="shared" si="2"/>
        <v>-54.949997112901336</v>
      </c>
      <c r="F25" s="33">
        <f t="shared" si="2"/>
        <v>-42.18976466279878</v>
      </c>
      <c r="G25" s="33">
        <f t="shared" si="2"/>
        <v>-36.711255251098486</v>
      </c>
      <c r="I25" s="34">
        <v>2</v>
      </c>
      <c r="J25" s="33">
        <f t="shared" si="3"/>
        <v>-32.885577255183755</v>
      </c>
      <c r="K25" s="33">
        <f t="shared" si="3"/>
        <v>-47.006179162738505</v>
      </c>
      <c r="L25" s="33">
        <f t="shared" si="3"/>
        <v>-49.631786821071806</v>
      </c>
      <c r="M25" s="33">
        <f t="shared" si="3"/>
        <v>-54.949997112901336</v>
      </c>
      <c r="N25" s="33">
        <f t="shared" si="3"/>
        <v>-42.18976466279878</v>
      </c>
      <c r="O25" s="33">
        <f t="shared" si="3"/>
        <v>-36.711255251098486</v>
      </c>
    </row>
    <row r="26" spans="1:15" ht="22" customHeight="1" x14ac:dyDescent="0.35">
      <c r="A26" s="32">
        <v>3</v>
      </c>
      <c r="B26" s="33">
        <f t="shared" si="2"/>
        <v>-32.349357149774043</v>
      </c>
      <c r="C26" s="33">
        <f t="shared" si="2"/>
        <v>-41.564432043861217</v>
      </c>
      <c r="D26" s="33">
        <f t="shared" si="2"/>
        <v>-48.091200964578931</v>
      </c>
      <c r="E26" s="33">
        <f t="shared" si="2"/>
        <v>-50.429858161869717</v>
      </c>
      <c r="F26" s="33">
        <f t="shared" si="2"/>
        <v>-40.527441168748283</v>
      </c>
      <c r="G26" s="33">
        <f t="shared" si="2"/>
        <v>-32.436568894247223</v>
      </c>
      <c r="I26" s="34">
        <v>3</v>
      </c>
      <c r="J26" s="33">
        <f t="shared" si="3"/>
        <v>-32.349357149774043</v>
      </c>
      <c r="K26" s="33">
        <f t="shared" si="3"/>
        <v>-41.564432043861217</v>
      </c>
      <c r="L26" s="33">
        <f t="shared" si="3"/>
        <v>-48.091200964578931</v>
      </c>
      <c r="M26" s="33">
        <f t="shared" si="3"/>
        <v>-50.429858161869717</v>
      </c>
      <c r="N26" s="33">
        <f t="shared" si="3"/>
        <v>-40.527441168748283</v>
      </c>
      <c r="O26" s="33">
        <f t="shared" si="3"/>
        <v>-32.436568894247223</v>
      </c>
    </row>
    <row r="27" spans="1:15" ht="22" customHeight="1" x14ac:dyDescent="0.35">
      <c r="A27" s="32">
        <v>4</v>
      </c>
      <c r="B27" s="33">
        <f t="shared" si="2"/>
        <v>-34.14035358098932</v>
      </c>
      <c r="C27" s="33">
        <f t="shared" si="2"/>
        <v>-41.550848560818075</v>
      </c>
      <c r="D27" s="33">
        <f t="shared" si="2"/>
        <v>-51.379483469153357</v>
      </c>
      <c r="E27" s="33">
        <f t="shared" si="2"/>
        <v>-49.600354858628791</v>
      </c>
      <c r="F27" s="33">
        <f t="shared" si="2"/>
        <v>-43.944765391236238</v>
      </c>
      <c r="G27" s="33">
        <f t="shared" si="2"/>
        <v>-34.416977202049907</v>
      </c>
      <c r="I27" s="34">
        <v>4</v>
      </c>
      <c r="J27" s="33">
        <f t="shared" si="3"/>
        <v>-34.14035358098932</v>
      </c>
      <c r="K27" s="33">
        <f t="shared" si="3"/>
        <v>-41.550848560818075</v>
      </c>
      <c r="L27" s="33">
        <f t="shared" si="3"/>
        <v>-51.379483469153357</v>
      </c>
      <c r="M27" s="33">
        <f t="shared" si="3"/>
        <v>-49.600354858628791</v>
      </c>
      <c r="N27" s="33">
        <f t="shared" si="3"/>
        <v>-43.944765391236238</v>
      </c>
      <c r="O27" s="33">
        <f t="shared" si="3"/>
        <v>-34.416977202049907</v>
      </c>
    </row>
    <row r="28" spans="1:15" ht="22" customHeight="1" x14ac:dyDescent="0.35">
      <c r="A28" s="32">
        <v>5</v>
      </c>
      <c r="B28" s="33">
        <f t="shared" si="2"/>
        <v>-34.44090507398203</v>
      </c>
      <c r="C28" s="33">
        <f t="shared" si="2"/>
        <v>-40.285103129267547</v>
      </c>
      <c r="D28" s="33">
        <f t="shared" si="2"/>
        <v>-51.880354883794375</v>
      </c>
      <c r="E28" s="33">
        <f t="shared" si="2"/>
        <v>-47.558671287720799</v>
      </c>
      <c r="F28" s="33">
        <f t="shared" si="2"/>
        <v>-45.599550472653121</v>
      </c>
      <c r="G28" s="33">
        <f t="shared" si="2"/>
        <v>-32.64015995534119</v>
      </c>
      <c r="I28" s="34">
        <v>5</v>
      </c>
      <c r="J28" s="33">
        <f t="shared" si="3"/>
        <v>-34.44090507398203</v>
      </c>
      <c r="K28" s="33">
        <f t="shared" si="3"/>
        <v>-40.285103129267547</v>
      </c>
      <c r="L28" s="33">
        <f t="shared" si="3"/>
        <v>-51.880354883794375</v>
      </c>
      <c r="M28" s="33">
        <f t="shared" si="3"/>
        <v>-47.558671287720799</v>
      </c>
      <c r="N28" s="33">
        <f t="shared" si="3"/>
        <v>-45.599550472653121</v>
      </c>
      <c r="O28" s="33">
        <f t="shared" si="3"/>
        <v>-32.64015995534119</v>
      </c>
    </row>
    <row r="29" spans="1:15" ht="22" customHeight="1" x14ac:dyDescent="0.35">
      <c r="A29" s="32">
        <v>6</v>
      </c>
      <c r="B29" s="33">
        <f t="shared" si="2"/>
        <v>-42.930310962541618</v>
      </c>
      <c r="C29" s="33">
        <f t="shared" si="2"/>
        <v>-50.601197211244411</v>
      </c>
      <c r="D29" s="33">
        <f t="shared" si="2"/>
        <v>-62.672813558418753</v>
      </c>
      <c r="E29" s="33">
        <f t="shared" si="2"/>
        <v>-58.078404848085761</v>
      </c>
      <c r="F29" s="33">
        <f t="shared" si="2"/>
        <v>-59.440486855046906</v>
      </c>
      <c r="G29" s="33">
        <f t="shared" si="2"/>
        <v>-39.538861796317008</v>
      </c>
      <c r="I29" s="34">
        <v>6</v>
      </c>
      <c r="J29" s="33">
        <f t="shared" si="3"/>
        <v>-42.930310962541618</v>
      </c>
      <c r="K29" s="33">
        <f t="shared" si="3"/>
        <v>-50.601197211244411</v>
      </c>
      <c r="L29" s="33">
        <f t="shared" si="3"/>
        <v>-62.672813558418753</v>
      </c>
      <c r="M29" s="33">
        <f t="shared" si="3"/>
        <v>-58.078404848085761</v>
      </c>
      <c r="N29" s="33">
        <f t="shared" si="3"/>
        <v>-59.440486855046906</v>
      </c>
      <c r="O29" s="33">
        <f t="shared" si="3"/>
        <v>-39.538861796317008</v>
      </c>
    </row>
    <row r="30" spans="1:15" ht="38.5" customHeight="1" x14ac:dyDescent="0.35"/>
    <row r="31" spans="1:15" ht="28" customHeight="1" x14ac:dyDescent="0.35">
      <c r="A31" s="60" t="s">
        <v>7</v>
      </c>
      <c r="B31" s="60"/>
      <c r="C31" s="60"/>
      <c r="D31" s="60"/>
      <c r="E31" s="60"/>
      <c r="F31" s="60"/>
      <c r="G31" s="60"/>
      <c r="I31" s="64" t="s">
        <v>9</v>
      </c>
      <c r="J31" s="64"/>
      <c r="K31" s="64"/>
      <c r="L31" s="64"/>
      <c r="M31" s="64"/>
      <c r="N31" s="64"/>
      <c r="O31" s="64"/>
    </row>
    <row r="32" spans="1:15" ht="6" customHeight="1" x14ac:dyDescent="0.35"/>
    <row r="33" spans="1:15" ht="22" customHeight="1" x14ac:dyDescent="0.35">
      <c r="A33" s="35" t="s">
        <v>0</v>
      </c>
      <c r="B33" s="35">
        <v>1</v>
      </c>
      <c r="C33" s="35">
        <v>2</v>
      </c>
      <c r="D33" s="35">
        <v>3</v>
      </c>
      <c r="E33" s="35">
        <v>4</v>
      </c>
      <c r="F33" s="35">
        <v>5</v>
      </c>
      <c r="G33" s="35">
        <v>6</v>
      </c>
      <c r="I33" s="40" t="s">
        <v>0</v>
      </c>
      <c r="J33" s="40">
        <v>1</v>
      </c>
      <c r="K33" s="40">
        <v>2</v>
      </c>
      <c r="L33" s="40">
        <v>3</v>
      </c>
      <c r="M33" s="40">
        <v>4</v>
      </c>
      <c r="N33" s="40">
        <v>5</v>
      </c>
      <c r="O33" s="40">
        <v>6</v>
      </c>
    </row>
    <row r="34" spans="1:15" ht="22" customHeight="1" x14ac:dyDescent="0.35">
      <c r="A34" s="35">
        <v>1</v>
      </c>
      <c r="B34" s="36" t="str">
        <f t="shared" ref="B34:G39" si="4">TEXT(B4,"0.000")&amp;IF(J4&gt;=0," + "," − ")&amp;TEXT(ABS(J4),"0.000")&amp;"i"</f>
        <v>1.431 − 1.215i</v>
      </c>
      <c r="C34" s="36" t="str">
        <f t="shared" si="4"/>
        <v>1.558 − 2.300i</v>
      </c>
      <c r="D34" s="36" t="str">
        <f t="shared" si="4"/>
        <v>2.190 − 3.730i</v>
      </c>
      <c r="E34" s="36" t="str">
        <f t="shared" si="4"/>
        <v>1.648 − 3.471i</v>
      </c>
      <c r="F34" s="36" t="str">
        <f t="shared" si="4"/>
        <v>1.964 − 2.381i</v>
      </c>
      <c r="G34" s="36" t="str">
        <f t="shared" si="4"/>
        <v>1.226 − 1.142i</v>
      </c>
      <c r="I34" s="40">
        <v>1</v>
      </c>
      <c r="J34" s="41">
        <f t="shared" ref="J34:O39" si="5">J24-$Q$6</f>
        <v>9.5259101114340012</v>
      </c>
      <c r="K34" s="41">
        <f t="shared" si="5"/>
        <v>-6.0103128401275399</v>
      </c>
      <c r="L34" s="41">
        <f t="shared" si="5"/>
        <v>-9.7046337859046972</v>
      </c>
      <c r="M34" s="41">
        <f t="shared" si="5"/>
        <v>-14.728575020105922</v>
      </c>
      <c r="N34" s="41">
        <f t="shared" si="5"/>
        <v>-0.60626533995098697</v>
      </c>
      <c r="O34" s="41">
        <f t="shared" si="5"/>
        <v>6.8987307875226875</v>
      </c>
    </row>
    <row r="35" spans="1:15" ht="22" customHeight="1" x14ac:dyDescent="0.35">
      <c r="A35" s="35">
        <v>2</v>
      </c>
      <c r="B35" s="37" t="str">
        <f t="shared" si="4"/>
        <v>3.054 − 1.974i</v>
      </c>
      <c r="C35" s="37" t="str">
        <f t="shared" si="4"/>
        <v>4.102 − 4.400i</v>
      </c>
      <c r="D35" s="37" t="str">
        <f t="shared" si="4"/>
        <v>5.318 − 6.255i</v>
      </c>
      <c r="E35" s="37" t="str">
        <f t="shared" si="4"/>
        <v>4.756 − 6.780i</v>
      </c>
      <c r="F35" s="37" t="str">
        <f t="shared" si="4"/>
        <v>4.457 − 4.040i</v>
      </c>
      <c r="G35" s="37" t="str">
        <f t="shared" si="4"/>
        <v>2.898 − 2.161i</v>
      </c>
      <c r="I35" s="40">
        <v>2</v>
      </c>
      <c r="J35" s="41">
        <f t="shared" si="5"/>
        <v>16.989647108373951</v>
      </c>
      <c r="K35" s="41">
        <f t="shared" si="5"/>
        <v>2.8690452008192011</v>
      </c>
      <c r="L35" s="41">
        <f t="shared" si="5"/>
        <v>0.24343754248589988</v>
      </c>
      <c r="M35" s="41">
        <f t="shared" si="5"/>
        <v>-5.0747727493436301</v>
      </c>
      <c r="N35" s="41">
        <f t="shared" si="5"/>
        <v>7.6854597007589263</v>
      </c>
      <c r="O35" s="41">
        <f t="shared" si="5"/>
        <v>13.16396911245922</v>
      </c>
    </row>
    <row r="36" spans="1:15" ht="22" customHeight="1" x14ac:dyDescent="0.35">
      <c r="A36" s="35">
        <v>3</v>
      </c>
      <c r="B36" s="36" t="str">
        <f t="shared" si="4"/>
        <v>4.016 − 2.543i</v>
      </c>
      <c r="C36" s="36" t="str">
        <f t="shared" si="4"/>
        <v>5.904 − 5.235i</v>
      </c>
      <c r="D36" s="36" t="str">
        <f t="shared" si="4"/>
        <v>7.000 − 7.799i</v>
      </c>
      <c r="E36" s="36" t="str">
        <f t="shared" si="4"/>
        <v>6.831 − 8.266i</v>
      </c>
      <c r="F36" s="36" t="str">
        <f t="shared" si="4"/>
        <v>5.874 − 5.021i</v>
      </c>
      <c r="G36" s="36" t="str">
        <f t="shared" si="4"/>
        <v>4.119 − 2.617i</v>
      </c>
      <c r="I36" s="40">
        <v>3</v>
      </c>
      <c r="J36" s="41">
        <f t="shared" si="5"/>
        <v>17.525867213783663</v>
      </c>
      <c r="K36" s="41">
        <f t="shared" si="5"/>
        <v>8.310792319696489</v>
      </c>
      <c r="L36" s="41">
        <f t="shared" si="5"/>
        <v>1.7840233989787748</v>
      </c>
      <c r="M36" s="41">
        <f t="shared" si="5"/>
        <v>-0.55463379831201109</v>
      </c>
      <c r="N36" s="41">
        <f t="shared" si="5"/>
        <v>9.3477831948094234</v>
      </c>
      <c r="O36" s="41">
        <f t="shared" si="5"/>
        <v>17.438655469310483</v>
      </c>
    </row>
    <row r="37" spans="1:15" ht="22" customHeight="1" x14ac:dyDescent="0.35">
      <c r="A37" s="35">
        <v>4</v>
      </c>
      <c r="B37" s="37" t="str">
        <f t="shared" si="4"/>
        <v>4.092 − 2.775i</v>
      </c>
      <c r="C37" s="37" t="str">
        <f t="shared" si="4"/>
        <v>5.899 − 5.228i</v>
      </c>
      <c r="D37" s="37" t="str">
        <f t="shared" si="4"/>
        <v>6.913 − 8.654i</v>
      </c>
      <c r="E37" s="37" t="str">
        <f t="shared" si="4"/>
        <v>7.012 − 8.240i</v>
      </c>
      <c r="F37" s="37" t="str">
        <f t="shared" si="4"/>
        <v>5.846 − 5.634i</v>
      </c>
      <c r="G37" s="37" t="str">
        <f t="shared" si="4"/>
        <v>3.975 − 2.724i</v>
      </c>
      <c r="I37" s="40">
        <v>4</v>
      </c>
      <c r="J37" s="41">
        <f t="shared" si="5"/>
        <v>15.734870782568386</v>
      </c>
      <c r="K37" s="41">
        <f t="shared" si="5"/>
        <v>8.3243758027396311</v>
      </c>
      <c r="L37" s="41">
        <f t="shared" si="5"/>
        <v>-1.5042591055956507</v>
      </c>
      <c r="M37" s="41">
        <f t="shared" si="5"/>
        <v>0.27486950492891538</v>
      </c>
      <c r="N37" s="41">
        <f t="shared" si="5"/>
        <v>5.9304589723214676</v>
      </c>
      <c r="O37" s="41">
        <f t="shared" si="5"/>
        <v>15.458247161507799</v>
      </c>
    </row>
    <row r="38" spans="1:15" ht="22" customHeight="1" x14ac:dyDescent="0.35">
      <c r="A38" s="35">
        <v>5</v>
      </c>
      <c r="B38" s="36" t="str">
        <f t="shared" si="4"/>
        <v>2.916 − 2.000i</v>
      </c>
      <c r="C38" s="36" t="str">
        <f t="shared" si="4"/>
        <v>4.466 − 3.786i</v>
      </c>
      <c r="D38" s="36" t="str">
        <f t="shared" si="4"/>
        <v>4.938 − 6.294i</v>
      </c>
      <c r="E38" s="36" t="str">
        <f t="shared" si="4"/>
        <v>5.375 − 5.878i</v>
      </c>
      <c r="F38" s="36" t="str">
        <f t="shared" si="4"/>
        <v>4.122 − 4.209i</v>
      </c>
      <c r="G38" s="36" t="str">
        <f t="shared" si="4"/>
        <v>3.031 − 1.942i</v>
      </c>
      <c r="I38" s="40">
        <v>5</v>
      </c>
      <c r="J38" s="41">
        <f t="shared" si="5"/>
        <v>15.434319289575676</v>
      </c>
      <c r="K38" s="41">
        <f t="shared" si="5"/>
        <v>9.5901212342901587</v>
      </c>
      <c r="L38" s="41">
        <f t="shared" si="5"/>
        <v>-2.0051305202366692</v>
      </c>
      <c r="M38" s="41">
        <f t="shared" si="5"/>
        <v>2.3165530758369073</v>
      </c>
      <c r="N38" s="41">
        <f t="shared" si="5"/>
        <v>4.2756738909045851</v>
      </c>
      <c r="O38" s="41">
        <f t="shared" si="5"/>
        <v>17.235064408216516</v>
      </c>
    </row>
    <row r="39" spans="1:15" ht="22" customHeight="1" x14ac:dyDescent="0.35">
      <c r="A39" s="35">
        <v>6</v>
      </c>
      <c r="B39" s="37" t="str">
        <f t="shared" si="4"/>
        <v>1.242 − 1.155i</v>
      </c>
      <c r="C39" s="37" t="str">
        <f t="shared" si="4"/>
        <v>1.998 − 2.433i</v>
      </c>
      <c r="D39" s="37" t="str">
        <f t="shared" si="4"/>
        <v>1.806 − 3.494i</v>
      </c>
      <c r="E39" s="37" t="str">
        <f t="shared" si="4"/>
        <v>2.341 − 3.758i</v>
      </c>
      <c r="F39" s="37" t="str">
        <f t="shared" si="4"/>
        <v>1.430 − 2.422i</v>
      </c>
      <c r="G39" s="37" t="str">
        <f t="shared" si="4"/>
        <v>1.449 − 1.197i</v>
      </c>
      <c r="I39" s="40">
        <v>6</v>
      </c>
      <c r="J39" s="41">
        <f t="shared" si="5"/>
        <v>6.9449134010160876</v>
      </c>
      <c r="K39" s="41">
        <f t="shared" si="5"/>
        <v>-0.72597284768670534</v>
      </c>
      <c r="L39" s="41">
        <f t="shared" si="5"/>
        <v>-12.797589194861047</v>
      </c>
      <c r="M39" s="41">
        <f t="shared" si="5"/>
        <v>-8.2031804845280547</v>
      </c>
      <c r="N39" s="41">
        <f t="shared" si="5"/>
        <v>-9.5652624914892002</v>
      </c>
      <c r="O39" s="41">
        <f t="shared" si="5"/>
        <v>10.336362567240698</v>
      </c>
    </row>
    <row r="40" spans="1:15" ht="38.5" customHeight="1" x14ac:dyDescent="0.35"/>
    <row r="41" spans="1:15" ht="28" customHeight="1" x14ac:dyDescent="0.35">
      <c r="A41" s="55" t="s">
        <v>8</v>
      </c>
      <c r="B41" s="55"/>
      <c r="C41" s="55"/>
      <c r="D41" s="55"/>
      <c r="E41" s="55"/>
      <c r="F41" s="55"/>
      <c r="G41" s="55"/>
      <c r="I41" s="57" t="s">
        <v>15</v>
      </c>
      <c r="J41" s="57"/>
      <c r="K41" s="57"/>
      <c r="L41" s="57"/>
      <c r="M41" s="57"/>
      <c r="N41" s="57"/>
      <c r="O41" s="57"/>
    </row>
    <row r="42" spans="1:15" ht="6.5" customHeight="1" x14ac:dyDescent="0.35"/>
    <row r="43" spans="1:15" ht="32" customHeight="1" x14ac:dyDescent="0.35">
      <c r="A43" s="38" t="s">
        <v>0</v>
      </c>
      <c r="B43" s="38">
        <v>1</v>
      </c>
      <c r="C43" s="38">
        <v>2</v>
      </c>
      <c r="D43" s="38">
        <v>3</v>
      </c>
      <c r="E43" s="38">
        <v>4</v>
      </c>
      <c r="F43" s="38">
        <v>5</v>
      </c>
      <c r="G43" s="38">
        <v>6</v>
      </c>
      <c r="I43" s="42" t="s">
        <v>0</v>
      </c>
      <c r="J43" s="42">
        <v>1</v>
      </c>
      <c r="K43" s="42">
        <v>2</v>
      </c>
      <c r="L43" s="42">
        <v>3</v>
      </c>
      <c r="M43" s="42">
        <v>4</v>
      </c>
      <c r="N43" s="42">
        <v>5</v>
      </c>
      <c r="O43" s="42">
        <v>6</v>
      </c>
    </row>
    <row r="44" spans="1:15" ht="48" customHeight="1" x14ac:dyDescent="0.35">
      <c r="A44" s="38">
        <v>1</v>
      </c>
      <c r="B44" s="39">
        <f t="shared" ref="B44:G49" si="6">B14/$Q$2</f>
        <v>0.17422787870534606</v>
      </c>
      <c r="C44" s="39">
        <f t="shared" si="6"/>
        <v>0.25778958837942761</v>
      </c>
      <c r="D44" s="39">
        <f t="shared" si="6"/>
        <v>0.40143162959734285</v>
      </c>
      <c r="E44" s="39">
        <f t="shared" si="6"/>
        <v>0.35663524313664191</v>
      </c>
      <c r="F44" s="39">
        <f t="shared" si="6"/>
        <v>0.28648673764238092</v>
      </c>
      <c r="G44" s="39">
        <f t="shared" si="6"/>
        <v>0.15546158637711324</v>
      </c>
      <c r="I44" s="42">
        <v>1</v>
      </c>
      <c r="J44" s="39">
        <v>0.15570000000000001</v>
      </c>
      <c r="K44" s="39">
        <v>0.27150000000000002</v>
      </c>
      <c r="L44" s="39">
        <v>0.37530000000000002</v>
      </c>
      <c r="M44" s="39">
        <v>0.37530000000000002</v>
      </c>
      <c r="N44" s="39">
        <v>0.27150000000000002</v>
      </c>
      <c r="O44" s="39">
        <v>0.15570000000000001</v>
      </c>
    </row>
    <row r="45" spans="1:15" ht="22" customHeight="1" x14ac:dyDescent="0.35">
      <c r="A45" s="38">
        <v>2</v>
      </c>
      <c r="B45" s="39">
        <f t="shared" si="6"/>
        <v>0.33748161750756284</v>
      </c>
      <c r="C45" s="39">
        <f t="shared" si="6"/>
        <v>0.55834125488552977</v>
      </c>
      <c r="D45" s="39">
        <f t="shared" si="6"/>
        <v>0.76197906719181185</v>
      </c>
      <c r="E45" s="39">
        <f t="shared" si="6"/>
        <v>0.76861128146668933</v>
      </c>
      <c r="F45" s="39">
        <f t="shared" si="6"/>
        <v>0.55827884847687514</v>
      </c>
      <c r="G45" s="39">
        <f t="shared" si="6"/>
        <v>0.33549896366326198</v>
      </c>
      <c r="I45" s="42">
        <v>2</v>
      </c>
      <c r="J45" s="39">
        <v>0.29959999999999998</v>
      </c>
      <c r="K45" s="39">
        <v>0.52229999999999999</v>
      </c>
      <c r="L45" s="39">
        <v>0.72209999999999996</v>
      </c>
      <c r="M45" s="39">
        <v>0.72209999999999996</v>
      </c>
      <c r="N45" s="39">
        <v>0.52229999999999999</v>
      </c>
      <c r="O45" s="39">
        <v>0.29959999999999998</v>
      </c>
    </row>
    <row r="46" spans="1:15" ht="22" customHeight="1" x14ac:dyDescent="0.35">
      <c r="A46" s="38">
        <v>3</v>
      </c>
      <c r="B46" s="39">
        <f t="shared" si="6"/>
        <v>0.44114372075450459</v>
      </c>
      <c r="C46" s="39">
        <f t="shared" si="6"/>
        <v>0.7323293308316744</v>
      </c>
      <c r="D46" s="39">
        <f t="shared" si="6"/>
        <v>0.97260124306002338</v>
      </c>
      <c r="E46" s="39">
        <f t="shared" si="6"/>
        <v>0.99523113665180141</v>
      </c>
      <c r="F46" s="39">
        <f t="shared" si="6"/>
        <v>0.71719738899153451</v>
      </c>
      <c r="G46" s="39">
        <f t="shared" si="6"/>
        <v>0.45291319170387689</v>
      </c>
      <c r="I46" s="42">
        <v>3</v>
      </c>
      <c r="J46" s="39">
        <v>0.41489999999999999</v>
      </c>
      <c r="K46" s="39">
        <v>0.72340000000000004</v>
      </c>
      <c r="L46" s="39">
        <v>1</v>
      </c>
      <c r="M46" s="39">
        <v>1</v>
      </c>
      <c r="N46" s="39">
        <v>0.72340000000000004</v>
      </c>
      <c r="O46" s="39">
        <v>0.41489999999999999</v>
      </c>
    </row>
    <row r="47" spans="1:15" ht="22" customHeight="1" x14ac:dyDescent="0.35">
      <c r="A47" s="38">
        <v>4</v>
      </c>
      <c r="B47" s="39">
        <f t="shared" si="6"/>
        <v>0.45884759218513527</v>
      </c>
      <c r="C47" s="39">
        <f t="shared" si="6"/>
        <v>0.73158686475627088</v>
      </c>
      <c r="D47" s="39">
        <f t="shared" si="6"/>
        <v>1.028000139882707</v>
      </c>
      <c r="E47" s="39">
        <f t="shared" si="6"/>
        <v>1.0041674804054679</v>
      </c>
      <c r="F47" s="39">
        <f t="shared" si="6"/>
        <v>0.75350364466295916</v>
      </c>
      <c r="G47" s="39">
        <f t="shared" si="6"/>
        <v>0.4472302143177132</v>
      </c>
      <c r="I47" s="42">
        <v>4</v>
      </c>
      <c r="J47" s="39">
        <v>0.41489999999999999</v>
      </c>
      <c r="K47" s="39">
        <v>0.72340000000000004</v>
      </c>
      <c r="L47" s="39">
        <v>1</v>
      </c>
      <c r="M47" s="39">
        <v>1</v>
      </c>
      <c r="N47" s="39">
        <v>0.72340000000000004</v>
      </c>
      <c r="O47" s="39">
        <v>0.41489999999999999</v>
      </c>
    </row>
    <row r="48" spans="1:15" ht="22" customHeight="1" x14ac:dyDescent="0.35">
      <c r="A48" s="38">
        <v>5</v>
      </c>
      <c r="B48" s="39">
        <f t="shared" si="6"/>
        <v>0.3281259013921376</v>
      </c>
      <c r="C48" s="39">
        <f t="shared" si="6"/>
        <v>0.54338679215075703</v>
      </c>
      <c r="D48" s="39">
        <f t="shared" si="6"/>
        <v>0.74245584530114594</v>
      </c>
      <c r="E48" s="39">
        <f t="shared" si="6"/>
        <v>0.73920460523131615</v>
      </c>
      <c r="F48" s="39">
        <f t="shared" si="6"/>
        <v>0.54678184946024599</v>
      </c>
      <c r="G48" s="39">
        <f t="shared" si="6"/>
        <v>0.33410520414983086</v>
      </c>
      <c r="I48" s="42">
        <v>5</v>
      </c>
      <c r="J48" s="39">
        <v>0.29959999999999998</v>
      </c>
      <c r="K48" s="39">
        <v>0.52229999999999999</v>
      </c>
      <c r="L48" s="39">
        <v>0.72209999999999996</v>
      </c>
      <c r="M48" s="39">
        <v>0.72209999999999996</v>
      </c>
      <c r="N48" s="39">
        <v>0.52229999999999999</v>
      </c>
      <c r="O48" s="39">
        <v>0.29959999999999998</v>
      </c>
    </row>
    <row r="49" spans="1:15" ht="22" customHeight="1" x14ac:dyDescent="0.35">
      <c r="A49" s="38">
        <v>6</v>
      </c>
      <c r="B49" s="39">
        <f t="shared" si="6"/>
        <v>0.15740208341922196</v>
      </c>
      <c r="C49" s="39">
        <f t="shared" si="6"/>
        <v>0.29217052171174523</v>
      </c>
      <c r="D49" s="39">
        <f t="shared" si="6"/>
        <v>0.36504632393719122</v>
      </c>
      <c r="E49" s="39">
        <f t="shared" si="6"/>
        <v>0.41086975111878998</v>
      </c>
      <c r="F49" s="39">
        <f t="shared" si="6"/>
        <v>0.26109285399206855</v>
      </c>
      <c r="G49" s="39">
        <f t="shared" si="6"/>
        <v>0.17444084541402191</v>
      </c>
      <c r="I49" s="42">
        <v>6</v>
      </c>
      <c r="J49" s="39">
        <v>0.15570000000000001</v>
      </c>
      <c r="K49" s="39">
        <v>0.27150000000000002</v>
      </c>
      <c r="L49" s="39">
        <v>0.37530000000000002</v>
      </c>
      <c r="M49" s="39">
        <v>0.37530000000000002</v>
      </c>
      <c r="N49" s="39">
        <v>0.27150000000000002</v>
      </c>
      <c r="O49" s="39">
        <v>0.15570000000000001</v>
      </c>
    </row>
    <row r="50" spans="1:15" ht="36.5" customHeight="1" x14ac:dyDescent="0.35"/>
    <row r="51" spans="1:15" ht="28" customHeight="1" x14ac:dyDescent="0.35">
      <c r="A51" s="56" t="s">
        <v>16</v>
      </c>
      <c r="B51" s="56"/>
      <c r="C51" s="56"/>
      <c r="D51" s="56"/>
      <c r="E51" s="56"/>
      <c r="F51" s="56"/>
      <c r="G51" s="56"/>
    </row>
    <row r="52" spans="1:15" ht="6" customHeight="1" x14ac:dyDescent="0.35"/>
    <row r="53" spans="1:15" ht="22" customHeight="1" x14ac:dyDescent="0.35">
      <c r="A53" s="43" t="s">
        <v>0</v>
      </c>
      <c r="B53" s="43">
        <v>1</v>
      </c>
      <c r="C53" s="43">
        <v>2</v>
      </c>
      <c r="D53" s="43">
        <v>3</v>
      </c>
      <c r="E53" s="43">
        <v>4</v>
      </c>
      <c r="F53" s="43">
        <v>5</v>
      </c>
      <c r="G53" s="43">
        <v>6</v>
      </c>
    </row>
    <row r="54" spans="1:15" ht="22" customHeight="1" x14ac:dyDescent="0.35">
      <c r="A54" s="43">
        <v>1</v>
      </c>
      <c r="B54" s="44">
        <f t="shared" ref="B54:G59" si="7">B44-J44</f>
        <v>1.8527878705346057E-2</v>
      </c>
      <c r="C54" s="44">
        <f t="shared" si="7"/>
        <v>-1.3710411620572405E-2</v>
      </c>
      <c r="D54" s="44">
        <f t="shared" si="7"/>
        <v>2.6131629597342831E-2</v>
      </c>
      <c r="E54" s="44">
        <f t="shared" si="7"/>
        <v>-1.8664756863358112E-2</v>
      </c>
      <c r="F54" s="44">
        <f t="shared" si="7"/>
        <v>1.4986737642380898E-2</v>
      </c>
      <c r="G54" s="44">
        <f t="shared" si="7"/>
        <v>-2.3841362288676282E-4</v>
      </c>
    </row>
    <row r="55" spans="1:15" ht="22" customHeight="1" x14ac:dyDescent="0.35">
      <c r="A55" s="43">
        <v>2</v>
      </c>
      <c r="B55" s="44">
        <f t="shared" si="7"/>
        <v>3.7881617507562859E-2</v>
      </c>
      <c r="C55" s="44">
        <f t="shared" si="7"/>
        <v>3.6041254885529783E-2</v>
      </c>
      <c r="D55" s="44">
        <f t="shared" si="7"/>
        <v>3.987906719181189E-2</v>
      </c>
      <c r="E55" s="44">
        <f t="shared" si="7"/>
        <v>4.6511281466689369E-2</v>
      </c>
      <c r="F55" s="44">
        <f t="shared" si="7"/>
        <v>3.5978848476875158E-2</v>
      </c>
      <c r="G55" s="44">
        <f t="shared" si="7"/>
        <v>3.5898963663262007E-2</v>
      </c>
    </row>
    <row r="56" spans="1:15" ht="22" customHeight="1" x14ac:dyDescent="0.35">
      <c r="A56" s="43">
        <v>3</v>
      </c>
      <c r="B56" s="44">
        <f t="shared" si="7"/>
        <v>2.6243720754504596E-2</v>
      </c>
      <c r="C56" s="44">
        <f t="shared" si="7"/>
        <v>8.9293308316743536E-3</v>
      </c>
      <c r="D56" s="44">
        <f t="shared" si="7"/>
        <v>-2.7398756939976621E-2</v>
      </c>
      <c r="E56" s="44">
        <f t="shared" si="7"/>
        <v>-4.7688633481985931E-3</v>
      </c>
      <c r="F56" s="44">
        <f t="shared" si="7"/>
        <v>-6.2026110084655306E-3</v>
      </c>
      <c r="G56" s="44">
        <f t="shared" si="7"/>
        <v>3.8013191703876903E-2</v>
      </c>
    </row>
    <row r="57" spans="1:15" ht="22" customHeight="1" x14ac:dyDescent="0.35">
      <c r="A57" s="43">
        <v>4</v>
      </c>
      <c r="B57" s="44">
        <f t="shared" si="7"/>
        <v>4.3947592185135276E-2</v>
      </c>
      <c r="C57" s="44">
        <f t="shared" si="7"/>
        <v>8.1868647562708396E-3</v>
      </c>
      <c r="D57" s="44">
        <f t="shared" si="7"/>
        <v>2.8000139882706998E-2</v>
      </c>
      <c r="E57" s="44">
        <f t="shared" si="7"/>
        <v>4.1674804054678827E-3</v>
      </c>
      <c r="F57" s="44">
        <f t="shared" si="7"/>
        <v>3.0103644662959117E-2</v>
      </c>
      <c r="G57" s="44">
        <f t="shared" si="7"/>
        <v>3.2330214317713213E-2</v>
      </c>
    </row>
    <row r="58" spans="1:15" ht="22" customHeight="1" x14ac:dyDescent="0.35">
      <c r="A58" s="43">
        <v>5</v>
      </c>
      <c r="B58" s="44">
        <f t="shared" si="7"/>
        <v>2.852590139213762E-2</v>
      </c>
      <c r="C58" s="44">
        <f t="shared" si="7"/>
        <v>2.1086792150757039E-2</v>
      </c>
      <c r="D58" s="44">
        <f t="shared" si="7"/>
        <v>2.0355845301145981E-2</v>
      </c>
      <c r="E58" s="44">
        <f t="shared" si="7"/>
        <v>1.7104605231316183E-2</v>
      </c>
      <c r="F58" s="44">
        <f t="shared" si="7"/>
        <v>2.4481849460246008E-2</v>
      </c>
      <c r="G58" s="44">
        <f t="shared" si="7"/>
        <v>3.4505204149830881E-2</v>
      </c>
    </row>
    <row r="59" spans="1:15" ht="22" customHeight="1" x14ac:dyDescent="0.35">
      <c r="A59" s="43">
        <v>6</v>
      </c>
      <c r="B59" s="44">
        <f t="shared" si="7"/>
        <v>1.7020834192219558E-3</v>
      </c>
      <c r="C59" s="44">
        <f t="shared" si="7"/>
        <v>2.0670521711745216E-2</v>
      </c>
      <c r="D59" s="44">
        <f t="shared" si="7"/>
        <v>-1.0253676062808803E-2</v>
      </c>
      <c r="E59" s="44">
        <f t="shared" si="7"/>
        <v>3.5569751118789961E-2</v>
      </c>
      <c r="F59" s="44">
        <f t="shared" si="7"/>
        <v>-1.0407146007931467E-2</v>
      </c>
      <c r="G59" s="44">
        <f t="shared" si="7"/>
        <v>1.8740845414021906E-2</v>
      </c>
    </row>
    <row r="60" spans="1:15" ht="12" customHeight="1" x14ac:dyDescent="0.35"/>
    <row r="61" spans="1:15" ht="28" customHeight="1" x14ac:dyDescent="0.35"/>
    <row r="62" spans="1:15" ht="6" customHeight="1" x14ac:dyDescent="0.35"/>
    <row r="63" spans="1:15" ht="22" customHeight="1" x14ac:dyDescent="0.35"/>
    <row r="64" spans="1:15" ht="22" customHeight="1" x14ac:dyDescent="0.35"/>
    <row r="65" ht="22" customHeight="1" x14ac:dyDescent="0.35"/>
    <row r="66" ht="22" customHeight="1" x14ac:dyDescent="0.35"/>
    <row r="67" ht="22" customHeight="1" x14ac:dyDescent="0.35"/>
    <row r="68" ht="22" customHeight="1" x14ac:dyDescent="0.35"/>
    <row r="69" ht="22" customHeight="1" x14ac:dyDescent="0.35"/>
    <row r="70" ht="12" customHeight="1" x14ac:dyDescent="0.35"/>
  </sheetData>
  <mergeCells count="21">
    <mergeCell ref="Q12:W12"/>
    <mergeCell ref="I31:O31"/>
    <mergeCell ref="Q2:W2"/>
    <mergeCell ref="Q3:W3"/>
    <mergeCell ref="Q5:W5"/>
    <mergeCell ref="Q6:W6"/>
    <mergeCell ref="Q7:W7"/>
    <mergeCell ref="Q9:W9"/>
    <mergeCell ref="Q10:W10"/>
    <mergeCell ref="A41:G41"/>
    <mergeCell ref="A51:G51"/>
    <mergeCell ref="I41:O41"/>
    <mergeCell ref="A21:G21"/>
    <mergeCell ref="I21:O21"/>
    <mergeCell ref="A31:G31"/>
    <mergeCell ref="A1:G1"/>
    <mergeCell ref="I1:O1"/>
    <mergeCell ref="Q1:W1"/>
    <mergeCell ref="A11:G11"/>
    <mergeCell ref="I11:O11"/>
    <mergeCell ref="Q11:W11"/>
  </mergeCells>
  <conditionalFormatting sqref="B4:G9">
    <cfRule type="colorScale" priority="1">
      <colorScale>
        <cfvo type="min"/>
        <cfvo type="percentile" val="50"/>
        <cfvo type="max"/>
        <color rgb="FFFFFFFF"/>
        <color rgb="FF9DC3E6"/>
        <color rgb="FF1F4E78"/>
      </colorScale>
    </cfRule>
  </conditionalFormatting>
  <conditionalFormatting sqref="B14:G19">
    <cfRule type="colorScale" priority="3">
      <colorScale>
        <cfvo type="min"/>
        <cfvo type="max"/>
        <color rgb="FFE8F5E9"/>
        <color rgb="FF2E7D32"/>
      </colorScale>
    </cfRule>
  </conditionalFormatting>
  <conditionalFormatting sqref="B24:G29">
    <cfRule type="colorScale" priority="5">
      <colorScale>
        <cfvo type="min"/>
        <cfvo type="max"/>
        <color rgb="FFFEF3C7"/>
        <color rgb="FFB45309"/>
      </colorScale>
    </cfRule>
  </conditionalFormatting>
  <conditionalFormatting sqref="B44:G49">
    <cfRule type="colorScale" priority="7">
      <colorScale>
        <cfvo type="min"/>
        <cfvo type="max"/>
        <color rgb="FFCFFAFE"/>
        <color rgb="FF0E7490"/>
      </colorScale>
    </cfRule>
  </conditionalFormatting>
  <conditionalFormatting sqref="B54:G59">
    <cfRule type="colorScale" priority="14">
      <colorScale>
        <cfvo type="min"/>
        <cfvo type="num" val="0"/>
        <cfvo type="max"/>
        <color rgb="FF1E40AF"/>
        <color rgb="FFFFFFFF"/>
        <color rgb="FFB91C1C"/>
      </colorScale>
    </cfRule>
  </conditionalFormatting>
  <conditionalFormatting sqref="J4:O9">
    <cfRule type="colorScale" priority="2">
      <colorScale>
        <cfvo type="min"/>
        <cfvo type="percentile" val="50"/>
        <cfvo type="max"/>
        <color rgb="FF7B2D26"/>
        <color rgb="FFE8A9A3"/>
        <color rgb="FFFFFFFF"/>
      </colorScale>
    </cfRule>
  </conditionalFormatting>
  <conditionalFormatting sqref="J14:O19">
    <cfRule type="colorScale" priority="4">
      <colorScale>
        <cfvo type="min"/>
        <cfvo type="max"/>
        <color rgb="FFF3E5F5"/>
        <color rgb="FF6A1B9A"/>
      </colorScale>
    </cfRule>
  </conditionalFormatting>
  <conditionalFormatting sqref="J24:O29">
    <cfRule type="colorScale" priority="6">
      <colorScale>
        <cfvo type="min"/>
        <cfvo type="max"/>
        <color rgb="FFCCFBF1"/>
        <color rgb="FF0F766E"/>
      </colorScale>
    </cfRule>
  </conditionalFormatting>
  <conditionalFormatting sqref="J34:O39">
    <cfRule type="colorScale" priority="13">
      <colorScale>
        <cfvo type="min"/>
        <cfvo type="num" val="0"/>
        <cfvo type="max"/>
        <color rgb="FF1E40AF"/>
        <color rgb="FFFFFFFF"/>
        <color rgb="FFB91C1C"/>
      </colorScale>
    </cfRule>
  </conditionalFormatting>
  <conditionalFormatting sqref="J44:O49">
    <cfRule type="colorScale" priority="12">
      <colorScale>
        <cfvo type="min"/>
        <cfvo type="max"/>
        <color rgb="FFDBEAFE"/>
        <color rgb="FF1E3A8A"/>
      </colorScale>
    </cfRule>
  </conditionalFormatting>
  <conditionalFormatting sqref="J45:O49">
    <cfRule type="colorScale" priority="11">
      <colorScale>
        <cfvo type="min"/>
        <cfvo type="max"/>
        <color rgb="FFDBEAFE"/>
        <color rgb="FF1E3A8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CurveRad Vapp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Chabod Masere</dc:creator>
  <cp:lastModifiedBy>Chabod Masere</cp:lastModifiedBy>
  <dcterms:created xsi:type="dcterms:W3CDTF">2026-05-15T07:33:40Z</dcterms:created>
  <dcterms:modified xsi:type="dcterms:W3CDTF">2026-05-28T13:41:55Z</dcterms:modified>
</cp:coreProperties>
</file>