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61bcffd0d95ffa/Desktop/sim6/"/>
    </mc:Choice>
  </mc:AlternateContent>
  <xr:revisionPtr revIDLastSave="2815" documentId="8_{E0388BC3-721D-4490-9BE4-A6341E7DD428}" xr6:coauthVersionLast="47" xr6:coauthVersionMax="47" xr10:uidLastSave="{4385FAEF-2D2E-4ABE-B6C6-D1E49B1DBED8}"/>
  <bookViews>
    <workbookView xWindow="-110" yWindow="-110" windowWidth="25820" windowHeight="15500" xr2:uid="{00000000-000D-0000-FFFF-FFFF00000000}"/>
  </bookViews>
  <sheets>
    <sheet name="DATA" sheetId="5" r:id="rId1"/>
    <sheet name="GRAPHS" sheetId="6" r:id="rId2"/>
    <sheet name="_markers" sheetId="9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87" i="5" l="1"/>
  <c r="T1387" i="5"/>
  <c r="G1387" i="5"/>
  <c r="H1387" i="5"/>
  <c r="I1387" i="5"/>
  <c r="J1387" i="5"/>
  <c r="M1387" i="5"/>
  <c r="N1387" i="5"/>
  <c r="G485" i="5"/>
  <c r="H485" i="5"/>
  <c r="I485" i="5"/>
  <c r="J485" i="5"/>
  <c r="M485" i="5"/>
  <c r="N485" i="5"/>
  <c r="G486" i="5"/>
  <c r="K486" i="5" s="1"/>
  <c r="H486" i="5"/>
  <c r="I486" i="5"/>
  <c r="J486" i="5"/>
  <c r="L486" i="5"/>
  <c r="M486" i="5"/>
  <c r="N486" i="5"/>
  <c r="G487" i="5"/>
  <c r="H487" i="5"/>
  <c r="I487" i="5"/>
  <c r="J487" i="5"/>
  <c r="M487" i="5"/>
  <c r="N487" i="5"/>
  <c r="G488" i="5"/>
  <c r="H488" i="5"/>
  <c r="I488" i="5"/>
  <c r="J488" i="5"/>
  <c r="M488" i="5"/>
  <c r="N488" i="5"/>
  <c r="G489" i="5"/>
  <c r="H489" i="5"/>
  <c r="I489" i="5"/>
  <c r="J489" i="5"/>
  <c r="M489" i="5"/>
  <c r="N489" i="5"/>
  <c r="G490" i="5"/>
  <c r="L490" i="5" s="1"/>
  <c r="H490" i="5"/>
  <c r="I490" i="5"/>
  <c r="J490" i="5"/>
  <c r="M490" i="5"/>
  <c r="N490" i="5"/>
  <c r="G491" i="5"/>
  <c r="H491" i="5"/>
  <c r="I491" i="5"/>
  <c r="J491" i="5"/>
  <c r="K491" i="5"/>
  <c r="L491" i="5"/>
  <c r="M491" i="5"/>
  <c r="N491" i="5"/>
  <c r="G492" i="5"/>
  <c r="H492" i="5"/>
  <c r="I492" i="5"/>
  <c r="J492" i="5"/>
  <c r="M492" i="5"/>
  <c r="N492" i="5"/>
  <c r="G493" i="5"/>
  <c r="H493" i="5"/>
  <c r="I493" i="5"/>
  <c r="J493" i="5"/>
  <c r="M493" i="5"/>
  <c r="N493" i="5"/>
  <c r="G494" i="5"/>
  <c r="H494" i="5"/>
  <c r="I494" i="5"/>
  <c r="J494" i="5"/>
  <c r="K494" i="5"/>
  <c r="L494" i="5"/>
  <c r="M494" i="5"/>
  <c r="N494" i="5"/>
  <c r="G495" i="5"/>
  <c r="H495" i="5"/>
  <c r="L495" i="5" s="1"/>
  <c r="I495" i="5"/>
  <c r="J495" i="5"/>
  <c r="M495" i="5"/>
  <c r="N495" i="5"/>
  <c r="G496" i="5"/>
  <c r="H496" i="5"/>
  <c r="I496" i="5"/>
  <c r="J496" i="5"/>
  <c r="L496" i="5" s="1"/>
  <c r="M496" i="5"/>
  <c r="N496" i="5"/>
  <c r="G497" i="5"/>
  <c r="H497" i="5"/>
  <c r="I497" i="5"/>
  <c r="J497" i="5"/>
  <c r="M497" i="5"/>
  <c r="N497" i="5"/>
  <c r="G498" i="5"/>
  <c r="H498" i="5"/>
  <c r="I498" i="5"/>
  <c r="J498" i="5"/>
  <c r="M498" i="5"/>
  <c r="N498" i="5"/>
  <c r="G499" i="5"/>
  <c r="H499" i="5"/>
  <c r="I499" i="5"/>
  <c r="J499" i="5"/>
  <c r="M499" i="5"/>
  <c r="N499" i="5"/>
  <c r="G500" i="5"/>
  <c r="H500" i="5"/>
  <c r="I500" i="5"/>
  <c r="J500" i="5"/>
  <c r="L500" i="5"/>
  <c r="M500" i="5"/>
  <c r="N500" i="5"/>
  <c r="G501" i="5"/>
  <c r="K501" i="5" s="1"/>
  <c r="H501" i="5"/>
  <c r="I501" i="5"/>
  <c r="J501" i="5"/>
  <c r="M501" i="5"/>
  <c r="N501" i="5"/>
  <c r="G502" i="5"/>
  <c r="H502" i="5"/>
  <c r="I502" i="5"/>
  <c r="J502" i="5"/>
  <c r="M502" i="5"/>
  <c r="N502" i="5"/>
  <c r="G503" i="5"/>
  <c r="H503" i="5"/>
  <c r="I503" i="5"/>
  <c r="J503" i="5"/>
  <c r="M503" i="5"/>
  <c r="N503" i="5"/>
  <c r="G504" i="5"/>
  <c r="H504" i="5"/>
  <c r="I504" i="5"/>
  <c r="J504" i="5"/>
  <c r="L504" i="5"/>
  <c r="M504" i="5"/>
  <c r="N504" i="5"/>
  <c r="G505" i="5"/>
  <c r="H505" i="5"/>
  <c r="I505" i="5"/>
  <c r="J505" i="5"/>
  <c r="M505" i="5"/>
  <c r="N505" i="5"/>
  <c r="G506" i="5"/>
  <c r="K506" i="5" s="1"/>
  <c r="H506" i="5"/>
  <c r="I506" i="5"/>
  <c r="J506" i="5"/>
  <c r="L506" i="5"/>
  <c r="M506" i="5"/>
  <c r="N506" i="5"/>
  <c r="G507" i="5"/>
  <c r="H507" i="5"/>
  <c r="I507" i="5"/>
  <c r="J507" i="5"/>
  <c r="M507" i="5"/>
  <c r="N507" i="5"/>
  <c r="G508" i="5"/>
  <c r="H508" i="5"/>
  <c r="I508" i="5"/>
  <c r="J508" i="5"/>
  <c r="M508" i="5"/>
  <c r="N508" i="5"/>
  <c r="G509" i="5"/>
  <c r="H509" i="5"/>
  <c r="I509" i="5"/>
  <c r="J509" i="5"/>
  <c r="M509" i="5"/>
  <c r="N509" i="5"/>
  <c r="G510" i="5"/>
  <c r="H510" i="5"/>
  <c r="L510" i="5" s="1"/>
  <c r="I510" i="5"/>
  <c r="J510" i="5"/>
  <c r="M510" i="5"/>
  <c r="N510" i="5"/>
  <c r="G511" i="5"/>
  <c r="H511" i="5"/>
  <c r="I511" i="5"/>
  <c r="J511" i="5"/>
  <c r="M511" i="5"/>
  <c r="N511" i="5"/>
  <c r="G512" i="5"/>
  <c r="H512" i="5"/>
  <c r="I512" i="5"/>
  <c r="J512" i="5"/>
  <c r="M512" i="5"/>
  <c r="N512" i="5"/>
  <c r="G513" i="5"/>
  <c r="H513" i="5"/>
  <c r="I513" i="5"/>
  <c r="J513" i="5"/>
  <c r="M513" i="5"/>
  <c r="N513" i="5"/>
  <c r="G514" i="5"/>
  <c r="K514" i="5" s="1"/>
  <c r="H514" i="5"/>
  <c r="I514" i="5"/>
  <c r="J514" i="5"/>
  <c r="M514" i="5"/>
  <c r="N514" i="5"/>
  <c r="G515" i="5"/>
  <c r="H515" i="5"/>
  <c r="I515" i="5"/>
  <c r="J515" i="5"/>
  <c r="L515" i="5" s="1"/>
  <c r="M515" i="5"/>
  <c r="N515" i="5"/>
  <c r="G516" i="5"/>
  <c r="H516" i="5"/>
  <c r="I516" i="5"/>
  <c r="J516" i="5"/>
  <c r="M516" i="5"/>
  <c r="N516" i="5"/>
  <c r="G517" i="5"/>
  <c r="H517" i="5"/>
  <c r="I517" i="5"/>
  <c r="J517" i="5"/>
  <c r="M517" i="5"/>
  <c r="N517" i="5"/>
  <c r="G518" i="5"/>
  <c r="H518" i="5"/>
  <c r="I518" i="5"/>
  <c r="J518" i="5"/>
  <c r="M518" i="5"/>
  <c r="N518" i="5"/>
  <c r="G519" i="5"/>
  <c r="H519" i="5"/>
  <c r="I519" i="5"/>
  <c r="J519" i="5"/>
  <c r="M519" i="5"/>
  <c r="N519" i="5"/>
  <c r="G520" i="5"/>
  <c r="H520" i="5"/>
  <c r="I520" i="5"/>
  <c r="J520" i="5"/>
  <c r="M520" i="5"/>
  <c r="N520" i="5"/>
  <c r="G521" i="5"/>
  <c r="H521" i="5"/>
  <c r="I521" i="5"/>
  <c r="J521" i="5"/>
  <c r="M521" i="5"/>
  <c r="N521" i="5"/>
  <c r="G522" i="5"/>
  <c r="H522" i="5"/>
  <c r="I522" i="5"/>
  <c r="J522" i="5"/>
  <c r="M522" i="5"/>
  <c r="N522" i="5"/>
  <c r="G523" i="5"/>
  <c r="H523" i="5"/>
  <c r="K523" i="5" s="1"/>
  <c r="I523" i="5"/>
  <c r="J523" i="5"/>
  <c r="M523" i="5"/>
  <c r="N523" i="5"/>
  <c r="G524" i="5"/>
  <c r="L524" i="5" s="1"/>
  <c r="H524" i="5"/>
  <c r="I524" i="5"/>
  <c r="J524" i="5"/>
  <c r="M524" i="5"/>
  <c r="N524" i="5"/>
  <c r="G525" i="5"/>
  <c r="H525" i="5"/>
  <c r="I525" i="5"/>
  <c r="J525" i="5"/>
  <c r="M525" i="5"/>
  <c r="N525" i="5"/>
  <c r="G526" i="5"/>
  <c r="H526" i="5"/>
  <c r="K526" i="5" s="1"/>
  <c r="I526" i="5"/>
  <c r="J526" i="5"/>
  <c r="L526" i="5"/>
  <c r="M526" i="5"/>
  <c r="N526" i="5"/>
  <c r="G527" i="5"/>
  <c r="H527" i="5"/>
  <c r="I527" i="5"/>
  <c r="J527" i="5"/>
  <c r="M527" i="5"/>
  <c r="N527" i="5"/>
  <c r="G528" i="5"/>
  <c r="H528" i="5"/>
  <c r="I528" i="5"/>
  <c r="J528" i="5"/>
  <c r="M528" i="5"/>
  <c r="N528" i="5"/>
  <c r="G529" i="5"/>
  <c r="H529" i="5"/>
  <c r="I529" i="5"/>
  <c r="J529" i="5"/>
  <c r="M529" i="5"/>
  <c r="N529" i="5"/>
  <c r="G530" i="5"/>
  <c r="H530" i="5"/>
  <c r="I530" i="5"/>
  <c r="J530" i="5"/>
  <c r="L530" i="5"/>
  <c r="M530" i="5"/>
  <c r="N530" i="5"/>
  <c r="G531" i="5"/>
  <c r="H531" i="5"/>
  <c r="I531" i="5"/>
  <c r="J531" i="5"/>
  <c r="M531" i="5"/>
  <c r="N531" i="5"/>
  <c r="G532" i="5"/>
  <c r="H532" i="5"/>
  <c r="I532" i="5"/>
  <c r="J532" i="5"/>
  <c r="M532" i="5"/>
  <c r="N532" i="5"/>
  <c r="G533" i="5"/>
  <c r="H533" i="5"/>
  <c r="I533" i="5"/>
  <c r="J533" i="5"/>
  <c r="M533" i="5"/>
  <c r="N533" i="5"/>
  <c r="G534" i="5"/>
  <c r="H534" i="5"/>
  <c r="I534" i="5"/>
  <c r="J534" i="5"/>
  <c r="M534" i="5"/>
  <c r="N534" i="5"/>
  <c r="G535" i="5"/>
  <c r="H535" i="5"/>
  <c r="I535" i="5"/>
  <c r="J535" i="5"/>
  <c r="L535" i="5"/>
  <c r="M535" i="5"/>
  <c r="N535" i="5"/>
  <c r="G536" i="5"/>
  <c r="H536" i="5"/>
  <c r="I536" i="5"/>
  <c r="J536" i="5"/>
  <c r="M536" i="5"/>
  <c r="N536" i="5"/>
  <c r="G537" i="5"/>
  <c r="H537" i="5"/>
  <c r="I537" i="5"/>
  <c r="J537" i="5"/>
  <c r="M537" i="5"/>
  <c r="N537" i="5"/>
  <c r="G538" i="5"/>
  <c r="H538" i="5"/>
  <c r="I538" i="5"/>
  <c r="J538" i="5"/>
  <c r="M538" i="5"/>
  <c r="N538" i="5"/>
  <c r="G539" i="5"/>
  <c r="K539" i="5" s="1"/>
  <c r="H539" i="5"/>
  <c r="I539" i="5"/>
  <c r="J539" i="5"/>
  <c r="M539" i="5"/>
  <c r="N539" i="5"/>
  <c r="G540" i="5"/>
  <c r="H540" i="5"/>
  <c r="I540" i="5"/>
  <c r="J540" i="5"/>
  <c r="M540" i="5"/>
  <c r="N540" i="5"/>
  <c r="G541" i="5"/>
  <c r="H541" i="5"/>
  <c r="I541" i="5"/>
  <c r="J541" i="5"/>
  <c r="M541" i="5"/>
  <c r="N541" i="5"/>
  <c r="G542" i="5"/>
  <c r="H542" i="5"/>
  <c r="I542" i="5"/>
  <c r="J542" i="5"/>
  <c r="M542" i="5"/>
  <c r="N542" i="5"/>
  <c r="G543" i="5"/>
  <c r="H543" i="5"/>
  <c r="I543" i="5"/>
  <c r="J543" i="5"/>
  <c r="M543" i="5"/>
  <c r="N543" i="5"/>
  <c r="G544" i="5"/>
  <c r="H544" i="5"/>
  <c r="L544" i="5" s="1"/>
  <c r="I544" i="5"/>
  <c r="J544" i="5"/>
  <c r="K544" i="5" s="1"/>
  <c r="M544" i="5"/>
  <c r="N544" i="5"/>
  <c r="G545" i="5"/>
  <c r="H545" i="5"/>
  <c r="I545" i="5"/>
  <c r="J545" i="5"/>
  <c r="M545" i="5"/>
  <c r="N545" i="5"/>
  <c r="G546" i="5"/>
  <c r="H546" i="5"/>
  <c r="I546" i="5"/>
  <c r="J546" i="5"/>
  <c r="M546" i="5"/>
  <c r="N546" i="5"/>
  <c r="G547" i="5"/>
  <c r="H547" i="5"/>
  <c r="I547" i="5"/>
  <c r="J547" i="5"/>
  <c r="M547" i="5"/>
  <c r="N547" i="5"/>
  <c r="G548" i="5"/>
  <c r="H548" i="5"/>
  <c r="I548" i="5"/>
  <c r="J548" i="5"/>
  <c r="M548" i="5"/>
  <c r="N548" i="5"/>
  <c r="G549" i="5"/>
  <c r="H549" i="5"/>
  <c r="I549" i="5"/>
  <c r="J549" i="5"/>
  <c r="M549" i="5"/>
  <c r="N549" i="5"/>
  <c r="G550" i="5"/>
  <c r="H550" i="5"/>
  <c r="I550" i="5"/>
  <c r="J550" i="5"/>
  <c r="L550" i="5" s="1"/>
  <c r="M550" i="5"/>
  <c r="N550" i="5"/>
  <c r="G551" i="5"/>
  <c r="H551" i="5"/>
  <c r="I551" i="5"/>
  <c r="J551" i="5"/>
  <c r="M551" i="5"/>
  <c r="N551" i="5"/>
  <c r="G552" i="5"/>
  <c r="H552" i="5"/>
  <c r="I552" i="5"/>
  <c r="J552" i="5"/>
  <c r="M552" i="5"/>
  <c r="N552" i="5"/>
  <c r="G553" i="5"/>
  <c r="H553" i="5"/>
  <c r="I553" i="5"/>
  <c r="J553" i="5"/>
  <c r="M553" i="5"/>
  <c r="N553" i="5"/>
  <c r="G554" i="5"/>
  <c r="H554" i="5"/>
  <c r="I554" i="5"/>
  <c r="J554" i="5"/>
  <c r="M554" i="5"/>
  <c r="N554" i="5"/>
  <c r="G555" i="5"/>
  <c r="H555" i="5"/>
  <c r="I555" i="5"/>
  <c r="J555" i="5"/>
  <c r="M555" i="5"/>
  <c r="N555" i="5"/>
  <c r="G556" i="5"/>
  <c r="H556" i="5"/>
  <c r="I556" i="5"/>
  <c r="J556" i="5"/>
  <c r="M556" i="5"/>
  <c r="N556" i="5"/>
  <c r="G557" i="5"/>
  <c r="H557" i="5"/>
  <c r="I557" i="5"/>
  <c r="J557" i="5"/>
  <c r="M557" i="5"/>
  <c r="N557" i="5"/>
  <c r="G558" i="5"/>
  <c r="H558" i="5"/>
  <c r="I558" i="5"/>
  <c r="J558" i="5"/>
  <c r="M558" i="5"/>
  <c r="N558" i="5"/>
  <c r="G559" i="5"/>
  <c r="H559" i="5"/>
  <c r="I559" i="5"/>
  <c r="J559" i="5"/>
  <c r="M559" i="5"/>
  <c r="N559" i="5"/>
  <c r="G560" i="5"/>
  <c r="H560" i="5"/>
  <c r="I560" i="5"/>
  <c r="J560" i="5"/>
  <c r="L560" i="5"/>
  <c r="M560" i="5"/>
  <c r="N560" i="5"/>
  <c r="G561" i="5"/>
  <c r="H561" i="5"/>
  <c r="I561" i="5"/>
  <c r="J561" i="5"/>
  <c r="M561" i="5"/>
  <c r="N561" i="5"/>
  <c r="G562" i="5"/>
  <c r="H562" i="5"/>
  <c r="I562" i="5"/>
  <c r="J562" i="5"/>
  <c r="M562" i="5"/>
  <c r="N562" i="5"/>
  <c r="G563" i="5"/>
  <c r="H563" i="5"/>
  <c r="I563" i="5"/>
  <c r="J563" i="5"/>
  <c r="M563" i="5"/>
  <c r="N563" i="5"/>
  <c r="G564" i="5"/>
  <c r="H564" i="5"/>
  <c r="I564" i="5"/>
  <c r="J564" i="5"/>
  <c r="M564" i="5"/>
  <c r="N564" i="5"/>
  <c r="G565" i="5"/>
  <c r="H565" i="5"/>
  <c r="I565" i="5"/>
  <c r="L565" i="5" s="1"/>
  <c r="J565" i="5"/>
  <c r="M565" i="5"/>
  <c r="N565" i="5"/>
  <c r="G566" i="5"/>
  <c r="L566" i="5" s="1"/>
  <c r="H566" i="5"/>
  <c r="I566" i="5"/>
  <c r="J566" i="5"/>
  <c r="M566" i="5"/>
  <c r="N566" i="5"/>
  <c r="G567" i="5"/>
  <c r="H567" i="5"/>
  <c r="I567" i="5"/>
  <c r="J567" i="5"/>
  <c r="M567" i="5"/>
  <c r="N567" i="5"/>
  <c r="G568" i="5"/>
  <c r="H568" i="5"/>
  <c r="I568" i="5"/>
  <c r="J568" i="5"/>
  <c r="M568" i="5"/>
  <c r="N568" i="5"/>
  <c r="G569" i="5"/>
  <c r="H569" i="5"/>
  <c r="I569" i="5"/>
  <c r="J569" i="5"/>
  <c r="M569" i="5"/>
  <c r="N569" i="5"/>
  <c r="G570" i="5"/>
  <c r="H570" i="5"/>
  <c r="I570" i="5"/>
  <c r="J570" i="5"/>
  <c r="M570" i="5"/>
  <c r="N570" i="5"/>
  <c r="G571" i="5"/>
  <c r="H571" i="5"/>
  <c r="I571" i="5"/>
  <c r="L571" i="5" s="1"/>
  <c r="J571" i="5"/>
  <c r="M571" i="5"/>
  <c r="N571" i="5"/>
  <c r="G572" i="5"/>
  <c r="H572" i="5"/>
  <c r="I572" i="5"/>
  <c r="J572" i="5"/>
  <c r="M572" i="5"/>
  <c r="N572" i="5"/>
  <c r="G573" i="5"/>
  <c r="H573" i="5"/>
  <c r="I573" i="5"/>
  <c r="J573" i="5"/>
  <c r="M573" i="5"/>
  <c r="N573" i="5"/>
  <c r="G574" i="5"/>
  <c r="K574" i="5" s="1"/>
  <c r="H574" i="5"/>
  <c r="I574" i="5"/>
  <c r="J574" i="5"/>
  <c r="L574" i="5" s="1"/>
  <c r="M574" i="5"/>
  <c r="N574" i="5"/>
  <c r="G575" i="5"/>
  <c r="L575" i="5" s="1"/>
  <c r="H575" i="5"/>
  <c r="I575" i="5"/>
  <c r="J575" i="5"/>
  <c r="M575" i="5"/>
  <c r="N575" i="5"/>
  <c r="G576" i="5"/>
  <c r="L576" i="5" s="1"/>
  <c r="H576" i="5"/>
  <c r="I576" i="5"/>
  <c r="J576" i="5"/>
  <c r="M576" i="5"/>
  <c r="N576" i="5"/>
  <c r="G577" i="5"/>
  <c r="H577" i="5"/>
  <c r="I577" i="5"/>
  <c r="J577" i="5"/>
  <c r="M577" i="5"/>
  <c r="N577" i="5"/>
  <c r="G578" i="5"/>
  <c r="H578" i="5"/>
  <c r="I578" i="5"/>
  <c r="J578" i="5"/>
  <c r="M578" i="5"/>
  <c r="N578" i="5"/>
  <c r="G579" i="5"/>
  <c r="H579" i="5"/>
  <c r="I579" i="5"/>
  <c r="J579" i="5"/>
  <c r="M579" i="5"/>
  <c r="N579" i="5"/>
  <c r="G580" i="5"/>
  <c r="L580" i="5" s="1"/>
  <c r="H580" i="5"/>
  <c r="I580" i="5"/>
  <c r="J580" i="5"/>
  <c r="M580" i="5"/>
  <c r="N580" i="5"/>
  <c r="G581" i="5"/>
  <c r="H581" i="5"/>
  <c r="I581" i="5"/>
  <c r="J581" i="5"/>
  <c r="K581" i="5" s="1"/>
  <c r="L581" i="5"/>
  <c r="M581" i="5"/>
  <c r="N581" i="5"/>
  <c r="G582" i="5"/>
  <c r="H582" i="5"/>
  <c r="I582" i="5"/>
  <c r="J582" i="5"/>
  <c r="M582" i="5"/>
  <c r="N582" i="5"/>
  <c r="G583" i="5"/>
  <c r="H583" i="5"/>
  <c r="I583" i="5"/>
  <c r="J583" i="5"/>
  <c r="M583" i="5"/>
  <c r="N583" i="5"/>
  <c r="G584" i="5"/>
  <c r="H584" i="5"/>
  <c r="I584" i="5"/>
  <c r="J584" i="5"/>
  <c r="K584" i="5"/>
  <c r="L584" i="5"/>
  <c r="M584" i="5"/>
  <c r="N584" i="5"/>
  <c r="G585" i="5"/>
  <c r="H585" i="5"/>
  <c r="L585" i="5" s="1"/>
  <c r="I585" i="5"/>
  <c r="J585" i="5"/>
  <c r="M585" i="5"/>
  <c r="N585" i="5"/>
  <c r="G586" i="5"/>
  <c r="H586" i="5"/>
  <c r="I586" i="5"/>
  <c r="L586" i="5" s="1"/>
  <c r="J586" i="5"/>
  <c r="M586" i="5"/>
  <c r="N586" i="5"/>
  <c r="G587" i="5"/>
  <c r="H587" i="5"/>
  <c r="I587" i="5"/>
  <c r="J587" i="5"/>
  <c r="M587" i="5"/>
  <c r="N587" i="5"/>
  <c r="G588" i="5"/>
  <c r="H588" i="5"/>
  <c r="I588" i="5"/>
  <c r="J588" i="5"/>
  <c r="M588" i="5"/>
  <c r="N588" i="5"/>
  <c r="G589" i="5"/>
  <c r="K589" i="5" s="1"/>
  <c r="H589" i="5"/>
  <c r="I589" i="5"/>
  <c r="J589" i="5"/>
  <c r="L589" i="5" s="1"/>
  <c r="M589" i="5"/>
  <c r="N589" i="5"/>
  <c r="G590" i="5"/>
  <c r="L590" i="5" s="1"/>
  <c r="H590" i="5"/>
  <c r="I590" i="5"/>
  <c r="J590" i="5"/>
  <c r="M590" i="5"/>
  <c r="N590" i="5"/>
  <c r="G591" i="5"/>
  <c r="L591" i="5" s="1"/>
  <c r="H591" i="5"/>
  <c r="I591" i="5"/>
  <c r="J591" i="5"/>
  <c r="M591" i="5"/>
  <c r="N591" i="5"/>
  <c r="G592" i="5"/>
  <c r="H592" i="5"/>
  <c r="I592" i="5"/>
  <c r="J592" i="5"/>
  <c r="M592" i="5"/>
  <c r="N592" i="5"/>
  <c r="G593" i="5"/>
  <c r="H593" i="5"/>
  <c r="I593" i="5"/>
  <c r="J593" i="5"/>
  <c r="M593" i="5"/>
  <c r="N593" i="5"/>
  <c r="G594" i="5"/>
  <c r="L594" i="5" s="1"/>
  <c r="H594" i="5"/>
  <c r="K594" i="5" s="1"/>
  <c r="I594" i="5"/>
  <c r="J594" i="5"/>
  <c r="M594" i="5"/>
  <c r="N594" i="5"/>
  <c r="G595" i="5"/>
  <c r="H595" i="5"/>
  <c r="I595" i="5"/>
  <c r="J595" i="5"/>
  <c r="M595" i="5"/>
  <c r="N595" i="5"/>
  <c r="G596" i="5"/>
  <c r="L596" i="5" s="1"/>
  <c r="H596" i="5"/>
  <c r="I596" i="5"/>
  <c r="J596" i="5"/>
  <c r="K596" i="5" s="1"/>
  <c r="M596" i="5"/>
  <c r="N596" i="5"/>
  <c r="G597" i="5"/>
  <c r="H597" i="5"/>
  <c r="I597" i="5"/>
  <c r="J597" i="5"/>
  <c r="M597" i="5"/>
  <c r="N597" i="5"/>
  <c r="G598" i="5"/>
  <c r="H598" i="5"/>
  <c r="I598" i="5"/>
  <c r="J598" i="5"/>
  <c r="M598" i="5"/>
  <c r="N598" i="5"/>
  <c r="G599" i="5"/>
  <c r="L599" i="5" s="1"/>
  <c r="H599" i="5"/>
  <c r="I599" i="5"/>
  <c r="J599" i="5"/>
  <c r="K599" i="5"/>
  <c r="M599" i="5"/>
  <c r="N599" i="5"/>
  <c r="G600" i="5"/>
  <c r="H600" i="5"/>
  <c r="I600" i="5"/>
  <c r="J600" i="5"/>
  <c r="M600" i="5"/>
  <c r="N600" i="5"/>
  <c r="G601" i="5"/>
  <c r="H601" i="5"/>
  <c r="I601" i="5"/>
  <c r="J601" i="5"/>
  <c r="M601" i="5"/>
  <c r="N601" i="5"/>
  <c r="G602" i="5"/>
  <c r="H602" i="5"/>
  <c r="I602" i="5"/>
  <c r="J602" i="5"/>
  <c r="M602" i="5"/>
  <c r="N602" i="5"/>
  <c r="G603" i="5"/>
  <c r="H603" i="5"/>
  <c r="I603" i="5"/>
  <c r="J603" i="5"/>
  <c r="M603" i="5"/>
  <c r="N603" i="5"/>
  <c r="G604" i="5"/>
  <c r="H604" i="5"/>
  <c r="I604" i="5"/>
  <c r="J604" i="5"/>
  <c r="M604" i="5"/>
  <c r="N604" i="5"/>
  <c r="G605" i="5"/>
  <c r="L605" i="5" s="1"/>
  <c r="H605" i="5"/>
  <c r="I605" i="5"/>
  <c r="J605" i="5"/>
  <c r="M605" i="5"/>
  <c r="N605" i="5"/>
  <c r="G606" i="5"/>
  <c r="H606" i="5"/>
  <c r="I606" i="5"/>
  <c r="J606" i="5"/>
  <c r="M606" i="5"/>
  <c r="N606" i="5"/>
  <c r="G607" i="5"/>
  <c r="H607" i="5"/>
  <c r="I607" i="5"/>
  <c r="J607" i="5"/>
  <c r="M607" i="5"/>
  <c r="N607" i="5"/>
  <c r="G608" i="5"/>
  <c r="H608" i="5"/>
  <c r="I608" i="5"/>
  <c r="J608" i="5"/>
  <c r="M608" i="5"/>
  <c r="N608" i="5"/>
  <c r="G609" i="5"/>
  <c r="H609" i="5"/>
  <c r="I609" i="5"/>
  <c r="J609" i="5"/>
  <c r="M609" i="5"/>
  <c r="N609" i="5"/>
  <c r="G610" i="5"/>
  <c r="H610" i="5"/>
  <c r="I610" i="5"/>
  <c r="J610" i="5"/>
  <c r="M610" i="5"/>
  <c r="N610" i="5"/>
  <c r="G611" i="5"/>
  <c r="H611" i="5"/>
  <c r="I611" i="5"/>
  <c r="J611" i="5"/>
  <c r="M611" i="5"/>
  <c r="N611" i="5"/>
  <c r="G612" i="5"/>
  <c r="H612" i="5"/>
  <c r="I612" i="5"/>
  <c r="J612" i="5"/>
  <c r="M612" i="5"/>
  <c r="N612" i="5"/>
  <c r="G613" i="5"/>
  <c r="H613" i="5"/>
  <c r="I613" i="5"/>
  <c r="J613" i="5"/>
  <c r="M613" i="5"/>
  <c r="N613" i="5"/>
  <c r="G614" i="5"/>
  <c r="H614" i="5"/>
  <c r="I614" i="5"/>
  <c r="J614" i="5"/>
  <c r="M614" i="5"/>
  <c r="N614" i="5"/>
  <c r="G615" i="5"/>
  <c r="H615" i="5"/>
  <c r="I615" i="5"/>
  <c r="J615" i="5"/>
  <c r="M615" i="5"/>
  <c r="N615" i="5"/>
  <c r="G616" i="5"/>
  <c r="H616" i="5"/>
  <c r="I616" i="5"/>
  <c r="J616" i="5"/>
  <c r="M616" i="5"/>
  <c r="N616" i="5"/>
  <c r="G617" i="5"/>
  <c r="H617" i="5"/>
  <c r="I617" i="5"/>
  <c r="J617" i="5"/>
  <c r="M617" i="5"/>
  <c r="N617" i="5"/>
  <c r="G618" i="5"/>
  <c r="H618" i="5"/>
  <c r="I618" i="5"/>
  <c r="J618" i="5"/>
  <c r="M618" i="5"/>
  <c r="N618" i="5"/>
  <c r="G619" i="5"/>
  <c r="H619" i="5"/>
  <c r="I619" i="5"/>
  <c r="J619" i="5"/>
  <c r="M619" i="5"/>
  <c r="N619" i="5"/>
  <c r="G620" i="5"/>
  <c r="H620" i="5"/>
  <c r="I620" i="5"/>
  <c r="J620" i="5"/>
  <c r="L620" i="5"/>
  <c r="M620" i="5"/>
  <c r="N620" i="5"/>
  <c r="G621" i="5"/>
  <c r="L621" i="5" s="1"/>
  <c r="H621" i="5"/>
  <c r="I621" i="5"/>
  <c r="J621" i="5"/>
  <c r="M621" i="5"/>
  <c r="N621" i="5"/>
  <c r="G622" i="5"/>
  <c r="H622" i="5"/>
  <c r="I622" i="5"/>
  <c r="J622" i="5"/>
  <c r="M622" i="5"/>
  <c r="N622" i="5"/>
  <c r="G623" i="5"/>
  <c r="H623" i="5"/>
  <c r="I623" i="5"/>
  <c r="J623" i="5"/>
  <c r="M623" i="5"/>
  <c r="N623" i="5"/>
  <c r="G624" i="5"/>
  <c r="L624" i="5" s="1"/>
  <c r="H624" i="5"/>
  <c r="I624" i="5"/>
  <c r="J624" i="5"/>
  <c r="M624" i="5"/>
  <c r="N624" i="5"/>
  <c r="G625" i="5"/>
  <c r="H625" i="5"/>
  <c r="I625" i="5"/>
  <c r="J625" i="5"/>
  <c r="L625" i="5" s="1"/>
  <c r="M625" i="5"/>
  <c r="N625" i="5"/>
  <c r="G626" i="5"/>
  <c r="H626" i="5"/>
  <c r="I626" i="5"/>
  <c r="J626" i="5"/>
  <c r="L626" i="5"/>
  <c r="M626" i="5"/>
  <c r="N626" i="5"/>
  <c r="G627" i="5"/>
  <c r="H627" i="5"/>
  <c r="I627" i="5"/>
  <c r="J627" i="5"/>
  <c r="M627" i="5"/>
  <c r="N627" i="5"/>
  <c r="G628" i="5"/>
  <c r="H628" i="5"/>
  <c r="I628" i="5"/>
  <c r="J628" i="5"/>
  <c r="M628" i="5"/>
  <c r="N628" i="5"/>
  <c r="G629" i="5"/>
  <c r="H629" i="5"/>
  <c r="I629" i="5"/>
  <c r="J629" i="5"/>
  <c r="M629" i="5"/>
  <c r="N629" i="5"/>
  <c r="G630" i="5"/>
  <c r="H630" i="5"/>
  <c r="I630" i="5"/>
  <c r="J630" i="5"/>
  <c r="M630" i="5"/>
  <c r="N630" i="5"/>
  <c r="G631" i="5"/>
  <c r="H631" i="5"/>
  <c r="I631" i="5"/>
  <c r="J631" i="5"/>
  <c r="M631" i="5"/>
  <c r="N631" i="5"/>
  <c r="G632" i="5"/>
  <c r="H632" i="5"/>
  <c r="I632" i="5"/>
  <c r="J632" i="5"/>
  <c r="M632" i="5"/>
  <c r="N632" i="5"/>
  <c r="G633" i="5"/>
  <c r="H633" i="5"/>
  <c r="I633" i="5"/>
  <c r="J633" i="5"/>
  <c r="M633" i="5"/>
  <c r="N633" i="5"/>
  <c r="G634" i="5"/>
  <c r="K634" i="5" s="1"/>
  <c r="H634" i="5"/>
  <c r="I634" i="5"/>
  <c r="J634" i="5"/>
  <c r="M634" i="5"/>
  <c r="N634" i="5"/>
  <c r="G635" i="5"/>
  <c r="L635" i="5" s="1"/>
  <c r="H635" i="5"/>
  <c r="I635" i="5"/>
  <c r="J635" i="5"/>
  <c r="M635" i="5"/>
  <c r="N635" i="5"/>
  <c r="G636" i="5"/>
  <c r="H636" i="5"/>
  <c r="I636" i="5"/>
  <c r="J636" i="5"/>
  <c r="M636" i="5"/>
  <c r="N636" i="5"/>
  <c r="G637" i="5"/>
  <c r="H637" i="5"/>
  <c r="I637" i="5"/>
  <c r="J637" i="5"/>
  <c r="M637" i="5"/>
  <c r="N637" i="5"/>
  <c r="G638" i="5"/>
  <c r="H638" i="5"/>
  <c r="I638" i="5"/>
  <c r="J638" i="5"/>
  <c r="M638" i="5"/>
  <c r="N638" i="5"/>
  <c r="G639" i="5"/>
  <c r="H639" i="5"/>
  <c r="I639" i="5"/>
  <c r="J639" i="5"/>
  <c r="M639" i="5"/>
  <c r="N639" i="5"/>
  <c r="G640" i="5"/>
  <c r="H640" i="5"/>
  <c r="I640" i="5"/>
  <c r="J640" i="5"/>
  <c r="M640" i="5"/>
  <c r="N640" i="5"/>
  <c r="G641" i="5"/>
  <c r="H641" i="5"/>
  <c r="I641" i="5"/>
  <c r="J641" i="5"/>
  <c r="M641" i="5"/>
  <c r="N641" i="5"/>
  <c r="G642" i="5"/>
  <c r="H642" i="5"/>
  <c r="I642" i="5"/>
  <c r="J642" i="5"/>
  <c r="M642" i="5"/>
  <c r="N642" i="5"/>
  <c r="G643" i="5"/>
  <c r="H643" i="5"/>
  <c r="I643" i="5"/>
  <c r="J643" i="5"/>
  <c r="M643" i="5"/>
  <c r="N643" i="5"/>
  <c r="G644" i="5"/>
  <c r="H644" i="5"/>
  <c r="I644" i="5"/>
  <c r="J644" i="5"/>
  <c r="M644" i="5"/>
  <c r="N644" i="5"/>
  <c r="G645" i="5"/>
  <c r="H645" i="5"/>
  <c r="I645" i="5"/>
  <c r="J645" i="5"/>
  <c r="M645" i="5"/>
  <c r="N645" i="5"/>
  <c r="G646" i="5"/>
  <c r="H646" i="5"/>
  <c r="I646" i="5"/>
  <c r="J646" i="5"/>
  <c r="M646" i="5"/>
  <c r="N646" i="5"/>
  <c r="G647" i="5"/>
  <c r="H647" i="5"/>
  <c r="I647" i="5"/>
  <c r="J647" i="5"/>
  <c r="M647" i="5"/>
  <c r="N647" i="5"/>
  <c r="G648" i="5"/>
  <c r="H648" i="5"/>
  <c r="I648" i="5"/>
  <c r="J648" i="5"/>
  <c r="M648" i="5"/>
  <c r="N648" i="5"/>
  <c r="G649" i="5"/>
  <c r="H649" i="5"/>
  <c r="I649" i="5"/>
  <c r="J649" i="5"/>
  <c r="M649" i="5"/>
  <c r="N649" i="5"/>
  <c r="G650" i="5"/>
  <c r="H650" i="5"/>
  <c r="I650" i="5"/>
  <c r="J650" i="5"/>
  <c r="M650" i="5"/>
  <c r="N650" i="5"/>
  <c r="G651" i="5"/>
  <c r="H651" i="5"/>
  <c r="I651" i="5"/>
  <c r="J651" i="5"/>
  <c r="K651" i="5" s="1"/>
  <c r="L651" i="5"/>
  <c r="M651" i="5"/>
  <c r="N651" i="5"/>
  <c r="G652" i="5"/>
  <c r="H652" i="5"/>
  <c r="I652" i="5"/>
  <c r="J652" i="5"/>
  <c r="M652" i="5"/>
  <c r="N652" i="5"/>
  <c r="G653" i="5"/>
  <c r="H653" i="5"/>
  <c r="I653" i="5"/>
  <c r="J653" i="5"/>
  <c r="M653" i="5"/>
  <c r="N653" i="5"/>
  <c r="G654" i="5"/>
  <c r="H654" i="5"/>
  <c r="I654" i="5"/>
  <c r="J654" i="5"/>
  <c r="M654" i="5"/>
  <c r="N654" i="5"/>
  <c r="G655" i="5"/>
  <c r="H655" i="5"/>
  <c r="I655" i="5"/>
  <c r="J655" i="5"/>
  <c r="M655" i="5"/>
  <c r="N655" i="5"/>
  <c r="G656" i="5"/>
  <c r="H656" i="5"/>
  <c r="I656" i="5"/>
  <c r="J656" i="5"/>
  <c r="M656" i="5"/>
  <c r="N656" i="5"/>
  <c r="G657" i="5"/>
  <c r="H657" i="5"/>
  <c r="I657" i="5"/>
  <c r="J657" i="5"/>
  <c r="M657" i="5"/>
  <c r="N657" i="5"/>
  <c r="G658" i="5"/>
  <c r="H658" i="5"/>
  <c r="I658" i="5"/>
  <c r="J658" i="5"/>
  <c r="M658" i="5"/>
  <c r="N658" i="5"/>
  <c r="G659" i="5"/>
  <c r="H659" i="5"/>
  <c r="I659" i="5"/>
  <c r="J659" i="5"/>
  <c r="M659" i="5"/>
  <c r="N659" i="5"/>
  <c r="G660" i="5"/>
  <c r="L660" i="5" s="1"/>
  <c r="H660" i="5"/>
  <c r="I660" i="5"/>
  <c r="J660" i="5"/>
  <c r="M660" i="5"/>
  <c r="N660" i="5"/>
  <c r="G661" i="5"/>
  <c r="H661" i="5"/>
  <c r="I661" i="5"/>
  <c r="J661" i="5"/>
  <c r="M661" i="5"/>
  <c r="N661" i="5"/>
  <c r="G662" i="5"/>
  <c r="H662" i="5"/>
  <c r="I662" i="5"/>
  <c r="J662" i="5"/>
  <c r="M662" i="5"/>
  <c r="N662" i="5"/>
  <c r="G663" i="5"/>
  <c r="H663" i="5"/>
  <c r="I663" i="5"/>
  <c r="J663" i="5"/>
  <c r="M663" i="5"/>
  <c r="N663" i="5"/>
  <c r="G664" i="5"/>
  <c r="H664" i="5"/>
  <c r="I664" i="5"/>
  <c r="J664" i="5"/>
  <c r="M664" i="5"/>
  <c r="N664" i="5"/>
  <c r="G665" i="5"/>
  <c r="H665" i="5"/>
  <c r="I665" i="5"/>
  <c r="J665" i="5"/>
  <c r="M665" i="5"/>
  <c r="N665" i="5"/>
  <c r="G666" i="5"/>
  <c r="H666" i="5"/>
  <c r="I666" i="5"/>
  <c r="J666" i="5"/>
  <c r="M666" i="5"/>
  <c r="N666" i="5"/>
  <c r="G667" i="5"/>
  <c r="H667" i="5"/>
  <c r="I667" i="5"/>
  <c r="J667" i="5"/>
  <c r="M667" i="5"/>
  <c r="N667" i="5"/>
  <c r="G668" i="5"/>
  <c r="H668" i="5"/>
  <c r="I668" i="5"/>
  <c r="J668" i="5"/>
  <c r="M668" i="5"/>
  <c r="N668" i="5"/>
  <c r="G669" i="5"/>
  <c r="H669" i="5"/>
  <c r="I669" i="5"/>
  <c r="J669" i="5"/>
  <c r="M669" i="5"/>
  <c r="N669" i="5"/>
  <c r="G670" i="5"/>
  <c r="H670" i="5"/>
  <c r="I670" i="5"/>
  <c r="J670" i="5"/>
  <c r="M670" i="5"/>
  <c r="N670" i="5"/>
  <c r="G671" i="5"/>
  <c r="H671" i="5"/>
  <c r="I671" i="5"/>
  <c r="J671" i="5"/>
  <c r="M671" i="5"/>
  <c r="N671" i="5"/>
  <c r="G672" i="5"/>
  <c r="H672" i="5"/>
  <c r="I672" i="5"/>
  <c r="J672" i="5"/>
  <c r="M672" i="5"/>
  <c r="N672" i="5"/>
  <c r="G673" i="5"/>
  <c r="H673" i="5"/>
  <c r="I673" i="5"/>
  <c r="J673" i="5"/>
  <c r="M673" i="5"/>
  <c r="N673" i="5"/>
  <c r="G674" i="5"/>
  <c r="H674" i="5"/>
  <c r="I674" i="5"/>
  <c r="J674" i="5"/>
  <c r="M674" i="5"/>
  <c r="N674" i="5"/>
  <c r="G675" i="5"/>
  <c r="H675" i="5"/>
  <c r="I675" i="5"/>
  <c r="J675" i="5"/>
  <c r="M675" i="5"/>
  <c r="N675" i="5"/>
  <c r="G676" i="5"/>
  <c r="L676" i="5" s="1"/>
  <c r="H676" i="5"/>
  <c r="I676" i="5"/>
  <c r="J676" i="5"/>
  <c r="M676" i="5"/>
  <c r="N676" i="5"/>
  <c r="G677" i="5"/>
  <c r="H677" i="5"/>
  <c r="I677" i="5"/>
  <c r="J677" i="5"/>
  <c r="M677" i="5"/>
  <c r="N677" i="5"/>
  <c r="G678" i="5"/>
  <c r="H678" i="5"/>
  <c r="I678" i="5"/>
  <c r="J678" i="5"/>
  <c r="M678" i="5"/>
  <c r="N678" i="5"/>
  <c r="G679" i="5"/>
  <c r="H679" i="5"/>
  <c r="I679" i="5"/>
  <c r="J679" i="5"/>
  <c r="M679" i="5"/>
  <c r="N679" i="5"/>
  <c r="G680" i="5"/>
  <c r="H680" i="5"/>
  <c r="I680" i="5"/>
  <c r="J680" i="5"/>
  <c r="M680" i="5"/>
  <c r="N680" i="5"/>
  <c r="G681" i="5"/>
  <c r="H681" i="5"/>
  <c r="I681" i="5"/>
  <c r="J681" i="5"/>
  <c r="M681" i="5"/>
  <c r="N681" i="5"/>
  <c r="G682" i="5"/>
  <c r="H682" i="5"/>
  <c r="I682" i="5"/>
  <c r="J682" i="5"/>
  <c r="M682" i="5"/>
  <c r="N682" i="5"/>
  <c r="G683" i="5"/>
  <c r="H683" i="5"/>
  <c r="I683" i="5"/>
  <c r="J683" i="5"/>
  <c r="M683" i="5"/>
  <c r="N683" i="5"/>
  <c r="G684" i="5"/>
  <c r="L684" i="5" s="1"/>
  <c r="H684" i="5"/>
  <c r="I684" i="5"/>
  <c r="J684" i="5"/>
  <c r="K684" i="5" s="1"/>
  <c r="M684" i="5"/>
  <c r="N684" i="5"/>
  <c r="G685" i="5"/>
  <c r="H685" i="5"/>
  <c r="I685" i="5"/>
  <c r="J685" i="5"/>
  <c r="L685" i="5"/>
  <c r="M685" i="5"/>
  <c r="N685" i="5"/>
  <c r="G686" i="5"/>
  <c r="L686" i="5" s="1"/>
  <c r="H686" i="5"/>
  <c r="I686" i="5"/>
  <c r="J686" i="5"/>
  <c r="M686" i="5"/>
  <c r="N686" i="5"/>
  <c r="G687" i="5"/>
  <c r="H687" i="5"/>
  <c r="I687" i="5"/>
  <c r="J687" i="5"/>
  <c r="M687" i="5"/>
  <c r="N687" i="5"/>
  <c r="G688" i="5"/>
  <c r="H688" i="5"/>
  <c r="I688" i="5"/>
  <c r="J688" i="5"/>
  <c r="M688" i="5"/>
  <c r="N688" i="5"/>
  <c r="G689" i="5"/>
  <c r="H689" i="5"/>
  <c r="I689" i="5"/>
  <c r="J689" i="5"/>
  <c r="M689" i="5"/>
  <c r="N689" i="5"/>
  <c r="G690" i="5"/>
  <c r="H690" i="5"/>
  <c r="I690" i="5"/>
  <c r="J690" i="5"/>
  <c r="L690" i="5"/>
  <c r="M690" i="5"/>
  <c r="N690" i="5"/>
  <c r="G691" i="5"/>
  <c r="H691" i="5"/>
  <c r="I691" i="5"/>
  <c r="J691" i="5"/>
  <c r="M691" i="5"/>
  <c r="N691" i="5"/>
  <c r="G692" i="5"/>
  <c r="H692" i="5"/>
  <c r="I692" i="5"/>
  <c r="J692" i="5"/>
  <c r="M692" i="5"/>
  <c r="N692" i="5"/>
  <c r="G693" i="5"/>
  <c r="H693" i="5"/>
  <c r="I693" i="5"/>
  <c r="J693" i="5"/>
  <c r="M693" i="5"/>
  <c r="N693" i="5"/>
  <c r="G694" i="5"/>
  <c r="K694" i="5" s="1"/>
  <c r="H694" i="5"/>
  <c r="I694" i="5"/>
  <c r="J694" i="5"/>
  <c r="M694" i="5"/>
  <c r="N694" i="5"/>
  <c r="G695" i="5"/>
  <c r="H695" i="5"/>
  <c r="I695" i="5"/>
  <c r="J695" i="5"/>
  <c r="M695" i="5"/>
  <c r="N695" i="5"/>
  <c r="G696" i="5"/>
  <c r="H696" i="5"/>
  <c r="I696" i="5"/>
  <c r="J696" i="5"/>
  <c r="M696" i="5"/>
  <c r="N696" i="5"/>
  <c r="G697" i="5"/>
  <c r="H697" i="5"/>
  <c r="I697" i="5"/>
  <c r="J697" i="5"/>
  <c r="M697" i="5"/>
  <c r="N697" i="5"/>
  <c r="G698" i="5"/>
  <c r="H698" i="5"/>
  <c r="I698" i="5"/>
  <c r="J698" i="5"/>
  <c r="M698" i="5"/>
  <c r="N698" i="5"/>
  <c r="G699" i="5"/>
  <c r="H699" i="5"/>
  <c r="I699" i="5"/>
  <c r="J699" i="5"/>
  <c r="M699" i="5"/>
  <c r="N699" i="5"/>
  <c r="G700" i="5"/>
  <c r="H700" i="5"/>
  <c r="I700" i="5"/>
  <c r="J700" i="5"/>
  <c r="M700" i="5"/>
  <c r="N700" i="5"/>
  <c r="G701" i="5"/>
  <c r="H701" i="5"/>
  <c r="I701" i="5"/>
  <c r="J701" i="5"/>
  <c r="L701" i="5"/>
  <c r="M701" i="5"/>
  <c r="N701" i="5"/>
  <c r="G702" i="5"/>
  <c r="H702" i="5"/>
  <c r="I702" i="5"/>
  <c r="J702" i="5"/>
  <c r="M702" i="5"/>
  <c r="N702" i="5"/>
  <c r="G703" i="5"/>
  <c r="H703" i="5"/>
  <c r="I703" i="5"/>
  <c r="J703" i="5"/>
  <c r="M703" i="5"/>
  <c r="N703" i="5"/>
  <c r="G704" i="5"/>
  <c r="H704" i="5"/>
  <c r="I704" i="5"/>
  <c r="J704" i="5"/>
  <c r="M704" i="5"/>
  <c r="N704" i="5"/>
  <c r="G705" i="5"/>
  <c r="H705" i="5"/>
  <c r="I705" i="5"/>
  <c r="J705" i="5"/>
  <c r="M705" i="5"/>
  <c r="N705" i="5"/>
  <c r="G706" i="5"/>
  <c r="H706" i="5"/>
  <c r="I706" i="5"/>
  <c r="J706" i="5"/>
  <c r="L706" i="5" s="1"/>
  <c r="M706" i="5"/>
  <c r="N706" i="5"/>
  <c r="G707" i="5"/>
  <c r="H707" i="5"/>
  <c r="I707" i="5"/>
  <c r="J707" i="5"/>
  <c r="M707" i="5"/>
  <c r="N707" i="5"/>
  <c r="G708" i="5"/>
  <c r="H708" i="5"/>
  <c r="I708" i="5"/>
  <c r="J708" i="5"/>
  <c r="M708" i="5"/>
  <c r="N708" i="5"/>
  <c r="G709" i="5"/>
  <c r="H709" i="5"/>
  <c r="I709" i="5"/>
  <c r="J709" i="5"/>
  <c r="M709" i="5"/>
  <c r="N709" i="5"/>
  <c r="G710" i="5"/>
  <c r="H710" i="5"/>
  <c r="I710" i="5"/>
  <c r="J710" i="5"/>
  <c r="M710" i="5"/>
  <c r="N710" i="5"/>
  <c r="G711" i="5"/>
  <c r="H711" i="5"/>
  <c r="I711" i="5"/>
  <c r="J711" i="5"/>
  <c r="M711" i="5"/>
  <c r="N711" i="5"/>
  <c r="G712" i="5"/>
  <c r="H712" i="5"/>
  <c r="I712" i="5"/>
  <c r="J712" i="5"/>
  <c r="M712" i="5"/>
  <c r="N712" i="5"/>
  <c r="G713" i="5"/>
  <c r="H713" i="5"/>
  <c r="I713" i="5"/>
  <c r="J713" i="5"/>
  <c r="M713" i="5"/>
  <c r="N713" i="5"/>
  <c r="G714" i="5"/>
  <c r="H714" i="5"/>
  <c r="I714" i="5"/>
  <c r="J714" i="5"/>
  <c r="M714" i="5"/>
  <c r="N714" i="5"/>
  <c r="G715" i="5"/>
  <c r="H715" i="5"/>
  <c r="I715" i="5"/>
  <c r="J715" i="5"/>
  <c r="M715" i="5"/>
  <c r="N715" i="5"/>
  <c r="G716" i="5"/>
  <c r="L716" i="5" s="1"/>
  <c r="H716" i="5"/>
  <c r="I716" i="5"/>
  <c r="J716" i="5"/>
  <c r="M716" i="5"/>
  <c r="N716" i="5"/>
  <c r="G717" i="5"/>
  <c r="H717" i="5"/>
  <c r="I717" i="5"/>
  <c r="J717" i="5"/>
  <c r="M717" i="5"/>
  <c r="N717" i="5"/>
  <c r="G718" i="5"/>
  <c r="H718" i="5"/>
  <c r="I718" i="5"/>
  <c r="J718" i="5"/>
  <c r="M718" i="5"/>
  <c r="N718" i="5"/>
  <c r="G719" i="5"/>
  <c r="H719" i="5"/>
  <c r="I719" i="5"/>
  <c r="J719" i="5"/>
  <c r="M719" i="5"/>
  <c r="N719" i="5"/>
  <c r="G720" i="5"/>
  <c r="H720" i="5"/>
  <c r="I720" i="5"/>
  <c r="J720" i="5"/>
  <c r="M720" i="5"/>
  <c r="N720" i="5"/>
  <c r="G721" i="5"/>
  <c r="H721" i="5"/>
  <c r="I721" i="5"/>
  <c r="J721" i="5"/>
  <c r="M721" i="5"/>
  <c r="N721" i="5"/>
  <c r="G722" i="5"/>
  <c r="H722" i="5"/>
  <c r="I722" i="5"/>
  <c r="J722" i="5"/>
  <c r="M722" i="5"/>
  <c r="N722" i="5"/>
  <c r="G723" i="5"/>
  <c r="H723" i="5"/>
  <c r="I723" i="5"/>
  <c r="J723" i="5"/>
  <c r="M723" i="5"/>
  <c r="N723" i="5"/>
  <c r="G724" i="5"/>
  <c r="H724" i="5"/>
  <c r="I724" i="5"/>
  <c r="J724" i="5"/>
  <c r="M724" i="5"/>
  <c r="N724" i="5"/>
  <c r="G725" i="5"/>
  <c r="L725" i="5" s="1"/>
  <c r="H725" i="5"/>
  <c r="I725" i="5"/>
  <c r="J725" i="5"/>
  <c r="M725" i="5"/>
  <c r="N725" i="5"/>
  <c r="G726" i="5"/>
  <c r="H726" i="5"/>
  <c r="I726" i="5"/>
  <c r="L726" i="5" s="1"/>
  <c r="J726" i="5"/>
  <c r="M726" i="5"/>
  <c r="N726" i="5"/>
  <c r="G727" i="5"/>
  <c r="H727" i="5"/>
  <c r="I727" i="5"/>
  <c r="J727" i="5"/>
  <c r="M727" i="5"/>
  <c r="N727" i="5"/>
  <c r="G728" i="5"/>
  <c r="H728" i="5"/>
  <c r="I728" i="5"/>
  <c r="J728" i="5"/>
  <c r="M728" i="5"/>
  <c r="N728" i="5"/>
  <c r="G729" i="5"/>
  <c r="H729" i="5"/>
  <c r="I729" i="5"/>
  <c r="J729" i="5"/>
  <c r="M729" i="5"/>
  <c r="N729" i="5"/>
  <c r="G730" i="5"/>
  <c r="H730" i="5"/>
  <c r="I730" i="5"/>
  <c r="J730" i="5"/>
  <c r="M730" i="5"/>
  <c r="N730" i="5"/>
  <c r="G731" i="5"/>
  <c r="H731" i="5"/>
  <c r="I731" i="5"/>
  <c r="J731" i="5"/>
  <c r="M731" i="5"/>
  <c r="N731" i="5"/>
  <c r="G732" i="5"/>
  <c r="H732" i="5"/>
  <c r="I732" i="5"/>
  <c r="J732" i="5"/>
  <c r="M732" i="5"/>
  <c r="N732" i="5"/>
  <c r="G733" i="5"/>
  <c r="H733" i="5"/>
  <c r="I733" i="5"/>
  <c r="J733" i="5"/>
  <c r="M733" i="5"/>
  <c r="N733" i="5"/>
  <c r="G734" i="5"/>
  <c r="H734" i="5"/>
  <c r="I734" i="5"/>
  <c r="J734" i="5"/>
  <c r="M734" i="5"/>
  <c r="N734" i="5"/>
  <c r="G735" i="5"/>
  <c r="H735" i="5"/>
  <c r="I735" i="5"/>
  <c r="L735" i="5" s="1"/>
  <c r="J735" i="5"/>
  <c r="M735" i="5"/>
  <c r="N735" i="5"/>
  <c r="G736" i="5"/>
  <c r="H736" i="5"/>
  <c r="I736" i="5"/>
  <c r="J736" i="5"/>
  <c r="M736" i="5"/>
  <c r="N736" i="5"/>
  <c r="G737" i="5"/>
  <c r="H737" i="5"/>
  <c r="I737" i="5"/>
  <c r="J737" i="5"/>
  <c r="M737" i="5"/>
  <c r="N737" i="5"/>
  <c r="G738" i="5"/>
  <c r="H738" i="5"/>
  <c r="I738" i="5"/>
  <c r="J738" i="5"/>
  <c r="M738" i="5"/>
  <c r="N738" i="5"/>
  <c r="G739" i="5"/>
  <c r="K739" i="5" s="1"/>
  <c r="H739" i="5"/>
  <c r="I739" i="5"/>
  <c r="J739" i="5"/>
  <c r="M739" i="5"/>
  <c r="N739" i="5"/>
  <c r="G740" i="5"/>
  <c r="L740" i="5" s="1"/>
  <c r="H740" i="5"/>
  <c r="I740" i="5"/>
  <c r="J740" i="5"/>
  <c r="M740" i="5"/>
  <c r="N740" i="5"/>
  <c r="G741" i="5"/>
  <c r="H741" i="5"/>
  <c r="I741" i="5"/>
  <c r="J741" i="5"/>
  <c r="M741" i="5"/>
  <c r="N741" i="5"/>
  <c r="G742" i="5"/>
  <c r="H742" i="5"/>
  <c r="I742" i="5"/>
  <c r="J742" i="5"/>
  <c r="M742" i="5"/>
  <c r="N742" i="5"/>
  <c r="G743" i="5"/>
  <c r="H743" i="5"/>
  <c r="I743" i="5"/>
  <c r="J743" i="5"/>
  <c r="M743" i="5"/>
  <c r="N743" i="5"/>
  <c r="G744" i="5"/>
  <c r="H744" i="5"/>
  <c r="I744" i="5"/>
  <c r="J744" i="5"/>
  <c r="M744" i="5"/>
  <c r="N744" i="5"/>
  <c r="G745" i="5"/>
  <c r="H745" i="5"/>
  <c r="I745" i="5"/>
  <c r="J745" i="5"/>
  <c r="M745" i="5"/>
  <c r="N745" i="5"/>
  <c r="G746" i="5"/>
  <c r="H746" i="5"/>
  <c r="I746" i="5"/>
  <c r="J746" i="5"/>
  <c r="M746" i="5"/>
  <c r="N746" i="5"/>
  <c r="G747" i="5"/>
  <c r="H747" i="5"/>
  <c r="I747" i="5"/>
  <c r="J747" i="5"/>
  <c r="M747" i="5"/>
  <c r="N747" i="5"/>
  <c r="G748" i="5"/>
  <c r="H748" i="5"/>
  <c r="I748" i="5"/>
  <c r="J748" i="5"/>
  <c r="M748" i="5"/>
  <c r="N748" i="5"/>
  <c r="G749" i="5"/>
  <c r="H749" i="5"/>
  <c r="I749" i="5"/>
  <c r="J749" i="5"/>
  <c r="M749" i="5"/>
  <c r="N749" i="5"/>
  <c r="G750" i="5"/>
  <c r="H750" i="5"/>
  <c r="I750" i="5"/>
  <c r="J750" i="5"/>
  <c r="M750" i="5"/>
  <c r="N750" i="5"/>
  <c r="G751" i="5"/>
  <c r="H751" i="5"/>
  <c r="I751" i="5"/>
  <c r="J751" i="5"/>
  <c r="M751" i="5"/>
  <c r="N751" i="5"/>
  <c r="G752" i="5"/>
  <c r="H752" i="5"/>
  <c r="I752" i="5"/>
  <c r="J752" i="5"/>
  <c r="M752" i="5"/>
  <c r="N752" i="5"/>
  <c r="G753" i="5"/>
  <c r="H753" i="5"/>
  <c r="I753" i="5"/>
  <c r="J753" i="5"/>
  <c r="M753" i="5"/>
  <c r="N753" i="5"/>
  <c r="G754" i="5"/>
  <c r="H754" i="5"/>
  <c r="I754" i="5"/>
  <c r="J754" i="5"/>
  <c r="M754" i="5"/>
  <c r="N754" i="5"/>
  <c r="G755" i="5"/>
  <c r="H755" i="5"/>
  <c r="I755" i="5"/>
  <c r="J755" i="5"/>
  <c r="M755" i="5"/>
  <c r="N755" i="5"/>
  <c r="G756" i="5"/>
  <c r="H756" i="5"/>
  <c r="I756" i="5"/>
  <c r="J756" i="5"/>
  <c r="M756" i="5"/>
  <c r="N756" i="5"/>
  <c r="G757" i="5"/>
  <c r="H757" i="5"/>
  <c r="I757" i="5"/>
  <c r="J757" i="5"/>
  <c r="M757" i="5"/>
  <c r="N757" i="5"/>
  <c r="G758" i="5"/>
  <c r="H758" i="5"/>
  <c r="I758" i="5"/>
  <c r="J758" i="5"/>
  <c r="M758" i="5"/>
  <c r="N758" i="5"/>
  <c r="G759" i="5"/>
  <c r="H759" i="5"/>
  <c r="I759" i="5"/>
  <c r="J759" i="5"/>
  <c r="M759" i="5"/>
  <c r="N759" i="5"/>
  <c r="G760" i="5"/>
  <c r="H760" i="5"/>
  <c r="I760" i="5"/>
  <c r="J760" i="5"/>
  <c r="M760" i="5"/>
  <c r="N760" i="5"/>
  <c r="G761" i="5"/>
  <c r="H761" i="5"/>
  <c r="I761" i="5"/>
  <c r="J761" i="5"/>
  <c r="M761" i="5"/>
  <c r="N761" i="5"/>
  <c r="G762" i="5"/>
  <c r="H762" i="5"/>
  <c r="I762" i="5"/>
  <c r="J762" i="5"/>
  <c r="M762" i="5"/>
  <c r="N762" i="5"/>
  <c r="G763" i="5"/>
  <c r="H763" i="5"/>
  <c r="I763" i="5"/>
  <c r="J763" i="5"/>
  <c r="M763" i="5"/>
  <c r="N763" i="5"/>
  <c r="G764" i="5"/>
  <c r="H764" i="5"/>
  <c r="I764" i="5"/>
  <c r="J764" i="5"/>
  <c r="M764" i="5"/>
  <c r="N764" i="5"/>
  <c r="G765" i="5"/>
  <c r="H765" i="5"/>
  <c r="I765" i="5"/>
  <c r="J765" i="5"/>
  <c r="M765" i="5"/>
  <c r="N765" i="5"/>
  <c r="G766" i="5"/>
  <c r="H766" i="5"/>
  <c r="I766" i="5"/>
  <c r="J766" i="5"/>
  <c r="L766" i="5" s="1"/>
  <c r="M766" i="5"/>
  <c r="N766" i="5"/>
  <c r="G767" i="5"/>
  <c r="H767" i="5"/>
  <c r="I767" i="5"/>
  <c r="J767" i="5"/>
  <c r="M767" i="5"/>
  <c r="N767" i="5"/>
  <c r="G768" i="5"/>
  <c r="H768" i="5"/>
  <c r="I768" i="5"/>
  <c r="J768" i="5"/>
  <c r="M768" i="5"/>
  <c r="N768" i="5"/>
  <c r="G769" i="5"/>
  <c r="H769" i="5"/>
  <c r="I769" i="5"/>
  <c r="J769" i="5"/>
  <c r="M769" i="5"/>
  <c r="N769" i="5"/>
  <c r="G770" i="5"/>
  <c r="H770" i="5"/>
  <c r="I770" i="5"/>
  <c r="J770" i="5"/>
  <c r="M770" i="5"/>
  <c r="N770" i="5"/>
  <c r="G771" i="5"/>
  <c r="H771" i="5"/>
  <c r="I771" i="5"/>
  <c r="J771" i="5"/>
  <c r="M771" i="5"/>
  <c r="N771" i="5"/>
  <c r="G772" i="5"/>
  <c r="H772" i="5"/>
  <c r="I772" i="5"/>
  <c r="J772" i="5"/>
  <c r="M772" i="5"/>
  <c r="N772" i="5"/>
  <c r="G773" i="5"/>
  <c r="H773" i="5"/>
  <c r="I773" i="5"/>
  <c r="J773" i="5"/>
  <c r="M773" i="5"/>
  <c r="N773" i="5"/>
  <c r="G774" i="5"/>
  <c r="K774" i="5" s="1"/>
  <c r="H774" i="5"/>
  <c r="I774" i="5"/>
  <c r="J774" i="5"/>
  <c r="M774" i="5"/>
  <c r="N774" i="5"/>
  <c r="G775" i="5"/>
  <c r="H775" i="5"/>
  <c r="I775" i="5"/>
  <c r="J775" i="5"/>
  <c r="M775" i="5"/>
  <c r="N775" i="5"/>
  <c r="G776" i="5"/>
  <c r="K776" i="5" s="1"/>
  <c r="H776" i="5"/>
  <c r="I776" i="5"/>
  <c r="J776" i="5"/>
  <c r="M776" i="5"/>
  <c r="N776" i="5"/>
  <c r="G777" i="5"/>
  <c r="H777" i="5"/>
  <c r="I777" i="5"/>
  <c r="J777" i="5"/>
  <c r="M777" i="5"/>
  <c r="N777" i="5"/>
  <c r="G778" i="5"/>
  <c r="H778" i="5"/>
  <c r="I778" i="5"/>
  <c r="J778" i="5"/>
  <c r="M778" i="5"/>
  <c r="N778" i="5"/>
  <c r="G779" i="5"/>
  <c r="H779" i="5"/>
  <c r="I779" i="5"/>
  <c r="J779" i="5"/>
  <c r="M779" i="5"/>
  <c r="N779" i="5"/>
  <c r="G780" i="5"/>
  <c r="H780" i="5"/>
  <c r="I780" i="5"/>
  <c r="J780" i="5"/>
  <c r="M780" i="5"/>
  <c r="N780" i="5"/>
  <c r="G781" i="5"/>
  <c r="H781" i="5"/>
  <c r="I781" i="5"/>
  <c r="J781" i="5"/>
  <c r="M781" i="5"/>
  <c r="N781" i="5"/>
  <c r="G782" i="5"/>
  <c r="H782" i="5"/>
  <c r="I782" i="5"/>
  <c r="J782" i="5"/>
  <c r="M782" i="5"/>
  <c r="N782" i="5"/>
  <c r="G783" i="5"/>
  <c r="H783" i="5"/>
  <c r="I783" i="5"/>
  <c r="J783" i="5"/>
  <c r="M783" i="5"/>
  <c r="N783" i="5"/>
  <c r="G784" i="5"/>
  <c r="L784" i="5" s="1"/>
  <c r="H784" i="5"/>
  <c r="I784" i="5"/>
  <c r="J784" i="5"/>
  <c r="M784" i="5"/>
  <c r="N784" i="5"/>
  <c r="G785" i="5"/>
  <c r="H785" i="5"/>
  <c r="I785" i="5"/>
  <c r="J785" i="5"/>
  <c r="M785" i="5"/>
  <c r="N785" i="5"/>
  <c r="G786" i="5"/>
  <c r="H786" i="5"/>
  <c r="I786" i="5"/>
  <c r="J786" i="5"/>
  <c r="M786" i="5"/>
  <c r="N786" i="5"/>
  <c r="G787" i="5"/>
  <c r="H787" i="5"/>
  <c r="I787" i="5"/>
  <c r="J787" i="5"/>
  <c r="M787" i="5"/>
  <c r="N787" i="5"/>
  <c r="G788" i="5"/>
  <c r="H788" i="5"/>
  <c r="I788" i="5"/>
  <c r="J788" i="5"/>
  <c r="M788" i="5"/>
  <c r="N788" i="5"/>
  <c r="G789" i="5"/>
  <c r="H789" i="5"/>
  <c r="I789" i="5"/>
  <c r="J789" i="5"/>
  <c r="M789" i="5"/>
  <c r="N789" i="5"/>
  <c r="G790" i="5"/>
  <c r="H790" i="5"/>
  <c r="I790" i="5"/>
  <c r="J790" i="5"/>
  <c r="M790" i="5"/>
  <c r="N790" i="5"/>
  <c r="G791" i="5"/>
  <c r="H791" i="5"/>
  <c r="I791" i="5"/>
  <c r="J791" i="5"/>
  <c r="M791" i="5"/>
  <c r="N791" i="5"/>
  <c r="G792" i="5"/>
  <c r="H792" i="5"/>
  <c r="I792" i="5"/>
  <c r="J792" i="5"/>
  <c r="M792" i="5"/>
  <c r="N792" i="5"/>
  <c r="G793" i="5"/>
  <c r="H793" i="5"/>
  <c r="I793" i="5"/>
  <c r="J793" i="5"/>
  <c r="M793" i="5"/>
  <c r="N793" i="5"/>
  <c r="G794" i="5"/>
  <c r="H794" i="5"/>
  <c r="I794" i="5"/>
  <c r="J794" i="5"/>
  <c r="M794" i="5"/>
  <c r="N794" i="5"/>
  <c r="G795" i="5"/>
  <c r="H795" i="5"/>
  <c r="I795" i="5"/>
  <c r="J795" i="5"/>
  <c r="M795" i="5"/>
  <c r="N795" i="5"/>
  <c r="G796" i="5"/>
  <c r="H796" i="5"/>
  <c r="I796" i="5"/>
  <c r="J796" i="5"/>
  <c r="M796" i="5"/>
  <c r="N796" i="5"/>
  <c r="G797" i="5"/>
  <c r="H797" i="5"/>
  <c r="I797" i="5"/>
  <c r="J797" i="5"/>
  <c r="M797" i="5"/>
  <c r="N797" i="5"/>
  <c r="G798" i="5"/>
  <c r="H798" i="5"/>
  <c r="I798" i="5"/>
  <c r="J798" i="5"/>
  <c r="M798" i="5"/>
  <c r="N798" i="5"/>
  <c r="G799" i="5"/>
  <c r="H799" i="5"/>
  <c r="I799" i="5"/>
  <c r="J799" i="5"/>
  <c r="M799" i="5"/>
  <c r="N799" i="5"/>
  <c r="G800" i="5"/>
  <c r="H800" i="5"/>
  <c r="I800" i="5"/>
  <c r="J800" i="5"/>
  <c r="M800" i="5"/>
  <c r="N800" i="5"/>
  <c r="G801" i="5"/>
  <c r="H801" i="5"/>
  <c r="I801" i="5"/>
  <c r="J801" i="5"/>
  <c r="M801" i="5"/>
  <c r="N801" i="5"/>
  <c r="G802" i="5"/>
  <c r="H802" i="5"/>
  <c r="I802" i="5"/>
  <c r="J802" i="5"/>
  <c r="M802" i="5"/>
  <c r="N802" i="5"/>
  <c r="G803" i="5"/>
  <c r="H803" i="5"/>
  <c r="I803" i="5"/>
  <c r="J803" i="5"/>
  <c r="M803" i="5"/>
  <c r="N803" i="5"/>
  <c r="G804" i="5"/>
  <c r="H804" i="5"/>
  <c r="I804" i="5"/>
  <c r="J804" i="5"/>
  <c r="M804" i="5"/>
  <c r="N804" i="5"/>
  <c r="G805" i="5"/>
  <c r="H805" i="5"/>
  <c r="I805" i="5"/>
  <c r="J805" i="5"/>
  <c r="L805" i="5"/>
  <c r="M805" i="5"/>
  <c r="N805" i="5"/>
  <c r="G806" i="5"/>
  <c r="H806" i="5"/>
  <c r="I806" i="5"/>
  <c r="J806" i="5"/>
  <c r="M806" i="5"/>
  <c r="N806" i="5"/>
  <c r="G807" i="5"/>
  <c r="H807" i="5"/>
  <c r="I807" i="5"/>
  <c r="J807" i="5"/>
  <c r="M807" i="5"/>
  <c r="N807" i="5"/>
  <c r="G808" i="5"/>
  <c r="H808" i="5"/>
  <c r="I808" i="5"/>
  <c r="J808" i="5"/>
  <c r="M808" i="5"/>
  <c r="N808" i="5"/>
  <c r="G809" i="5"/>
  <c r="H809" i="5"/>
  <c r="I809" i="5"/>
  <c r="J809" i="5"/>
  <c r="M809" i="5"/>
  <c r="N809" i="5"/>
  <c r="G810" i="5"/>
  <c r="H810" i="5"/>
  <c r="I810" i="5"/>
  <c r="J810" i="5"/>
  <c r="M810" i="5"/>
  <c r="N810" i="5"/>
  <c r="G811" i="5"/>
  <c r="H811" i="5"/>
  <c r="I811" i="5"/>
  <c r="J811" i="5"/>
  <c r="M811" i="5"/>
  <c r="N811" i="5"/>
  <c r="G812" i="5"/>
  <c r="H812" i="5"/>
  <c r="I812" i="5"/>
  <c r="J812" i="5"/>
  <c r="M812" i="5"/>
  <c r="N812" i="5"/>
  <c r="G813" i="5"/>
  <c r="H813" i="5"/>
  <c r="I813" i="5"/>
  <c r="J813" i="5"/>
  <c r="M813" i="5"/>
  <c r="N813" i="5"/>
  <c r="G814" i="5"/>
  <c r="H814" i="5"/>
  <c r="I814" i="5"/>
  <c r="J814" i="5"/>
  <c r="M814" i="5"/>
  <c r="N814" i="5"/>
  <c r="G815" i="5"/>
  <c r="H815" i="5"/>
  <c r="I815" i="5"/>
  <c r="J815" i="5"/>
  <c r="M815" i="5"/>
  <c r="N815" i="5"/>
  <c r="G816" i="5"/>
  <c r="H816" i="5"/>
  <c r="I816" i="5"/>
  <c r="J816" i="5"/>
  <c r="M816" i="5"/>
  <c r="N816" i="5"/>
  <c r="G817" i="5"/>
  <c r="H817" i="5"/>
  <c r="I817" i="5"/>
  <c r="J817" i="5"/>
  <c r="M817" i="5"/>
  <c r="N817" i="5"/>
  <c r="G818" i="5"/>
  <c r="H818" i="5"/>
  <c r="I818" i="5"/>
  <c r="J818" i="5"/>
  <c r="M818" i="5"/>
  <c r="N818" i="5"/>
  <c r="G819" i="5"/>
  <c r="H819" i="5"/>
  <c r="I819" i="5"/>
  <c r="J819" i="5"/>
  <c r="M819" i="5"/>
  <c r="N819" i="5"/>
  <c r="G820" i="5"/>
  <c r="H820" i="5"/>
  <c r="I820" i="5"/>
  <c r="J820" i="5"/>
  <c r="M820" i="5"/>
  <c r="N820" i="5"/>
  <c r="G821" i="5"/>
  <c r="H821" i="5"/>
  <c r="I821" i="5"/>
  <c r="J821" i="5"/>
  <c r="M821" i="5"/>
  <c r="N821" i="5"/>
  <c r="G822" i="5"/>
  <c r="H822" i="5"/>
  <c r="I822" i="5"/>
  <c r="J822" i="5"/>
  <c r="M822" i="5"/>
  <c r="N822" i="5"/>
  <c r="G823" i="5"/>
  <c r="H823" i="5"/>
  <c r="I823" i="5"/>
  <c r="J823" i="5"/>
  <c r="M823" i="5"/>
  <c r="N823" i="5"/>
  <c r="G824" i="5"/>
  <c r="H824" i="5"/>
  <c r="I824" i="5"/>
  <c r="J824" i="5"/>
  <c r="M824" i="5"/>
  <c r="N824" i="5"/>
  <c r="G825" i="5"/>
  <c r="H825" i="5"/>
  <c r="I825" i="5"/>
  <c r="J825" i="5"/>
  <c r="M825" i="5"/>
  <c r="N825" i="5"/>
  <c r="G826" i="5"/>
  <c r="H826" i="5"/>
  <c r="I826" i="5"/>
  <c r="J826" i="5"/>
  <c r="M826" i="5"/>
  <c r="N826" i="5"/>
  <c r="G827" i="5"/>
  <c r="H827" i="5"/>
  <c r="I827" i="5"/>
  <c r="J827" i="5"/>
  <c r="M827" i="5"/>
  <c r="N827" i="5"/>
  <c r="G828" i="5"/>
  <c r="H828" i="5"/>
  <c r="I828" i="5"/>
  <c r="J828" i="5"/>
  <c r="M828" i="5"/>
  <c r="N828" i="5"/>
  <c r="G829" i="5"/>
  <c r="H829" i="5"/>
  <c r="I829" i="5"/>
  <c r="J829" i="5"/>
  <c r="M829" i="5"/>
  <c r="N829" i="5"/>
  <c r="G830" i="5"/>
  <c r="H830" i="5"/>
  <c r="I830" i="5"/>
  <c r="J830" i="5"/>
  <c r="M830" i="5"/>
  <c r="N830" i="5"/>
  <c r="G831" i="5"/>
  <c r="L831" i="5" s="1"/>
  <c r="H831" i="5"/>
  <c r="I831" i="5"/>
  <c r="J831" i="5"/>
  <c r="M831" i="5"/>
  <c r="N831" i="5"/>
  <c r="G832" i="5"/>
  <c r="H832" i="5"/>
  <c r="I832" i="5"/>
  <c r="J832" i="5"/>
  <c r="M832" i="5"/>
  <c r="N832" i="5"/>
  <c r="G833" i="5"/>
  <c r="H833" i="5"/>
  <c r="I833" i="5"/>
  <c r="J833" i="5"/>
  <c r="M833" i="5"/>
  <c r="N833" i="5"/>
  <c r="G834" i="5"/>
  <c r="H834" i="5"/>
  <c r="I834" i="5"/>
  <c r="J834" i="5"/>
  <c r="M834" i="5"/>
  <c r="N834" i="5"/>
  <c r="G835" i="5"/>
  <c r="H835" i="5"/>
  <c r="I835" i="5"/>
  <c r="J835" i="5"/>
  <c r="M835" i="5"/>
  <c r="N835" i="5"/>
  <c r="G836" i="5"/>
  <c r="H836" i="5"/>
  <c r="I836" i="5"/>
  <c r="J836" i="5"/>
  <c r="M836" i="5"/>
  <c r="N836" i="5"/>
  <c r="G837" i="5"/>
  <c r="H837" i="5"/>
  <c r="I837" i="5"/>
  <c r="J837" i="5"/>
  <c r="M837" i="5"/>
  <c r="N837" i="5"/>
  <c r="G838" i="5"/>
  <c r="H838" i="5"/>
  <c r="I838" i="5"/>
  <c r="J838" i="5"/>
  <c r="M838" i="5"/>
  <c r="N838" i="5"/>
  <c r="G839" i="5"/>
  <c r="H839" i="5"/>
  <c r="I839" i="5"/>
  <c r="J839" i="5"/>
  <c r="M839" i="5"/>
  <c r="N839" i="5"/>
  <c r="G840" i="5"/>
  <c r="H840" i="5"/>
  <c r="I840" i="5"/>
  <c r="J840" i="5"/>
  <c r="M840" i="5"/>
  <c r="N840" i="5"/>
  <c r="G841" i="5"/>
  <c r="L841" i="5" s="1"/>
  <c r="H841" i="5"/>
  <c r="I841" i="5"/>
  <c r="J841" i="5"/>
  <c r="M841" i="5"/>
  <c r="N841" i="5"/>
  <c r="G842" i="5"/>
  <c r="H842" i="5"/>
  <c r="I842" i="5"/>
  <c r="J842" i="5"/>
  <c r="M842" i="5"/>
  <c r="N842" i="5"/>
  <c r="G843" i="5"/>
  <c r="H843" i="5"/>
  <c r="I843" i="5"/>
  <c r="J843" i="5"/>
  <c r="M843" i="5"/>
  <c r="N843" i="5"/>
  <c r="G844" i="5"/>
  <c r="H844" i="5"/>
  <c r="K844" i="5" s="1"/>
  <c r="I844" i="5"/>
  <c r="J844" i="5"/>
  <c r="M844" i="5"/>
  <c r="N844" i="5"/>
  <c r="G845" i="5"/>
  <c r="H845" i="5"/>
  <c r="I845" i="5"/>
  <c r="J845" i="5"/>
  <c r="M845" i="5"/>
  <c r="N845" i="5"/>
  <c r="G846" i="5"/>
  <c r="H846" i="5"/>
  <c r="I846" i="5"/>
  <c r="J846" i="5"/>
  <c r="M846" i="5"/>
  <c r="N846" i="5"/>
  <c r="G847" i="5"/>
  <c r="H847" i="5"/>
  <c r="I847" i="5"/>
  <c r="J847" i="5"/>
  <c r="M847" i="5"/>
  <c r="N847" i="5"/>
  <c r="G848" i="5"/>
  <c r="H848" i="5"/>
  <c r="I848" i="5"/>
  <c r="J848" i="5"/>
  <c r="M848" i="5"/>
  <c r="N848" i="5"/>
  <c r="G849" i="5"/>
  <c r="H849" i="5"/>
  <c r="I849" i="5"/>
  <c r="J849" i="5"/>
  <c r="M849" i="5"/>
  <c r="N849" i="5"/>
  <c r="G850" i="5"/>
  <c r="H850" i="5"/>
  <c r="I850" i="5"/>
  <c r="J850" i="5"/>
  <c r="M850" i="5"/>
  <c r="N850" i="5"/>
  <c r="G851" i="5"/>
  <c r="H851" i="5"/>
  <c r="I851" i="5"/>
  <c r="J851" i="5"/>
  <c r="M851" i="5"/>
  <c r="N851" i="5"/>
  <c r="G852" i="5"/>
  <c r="H852" i="5"/>
  <c r="I852" i="5"/>
  <c r="J852" i="5"/>
  <c r="M852" i="5"/>
  <c r="N852" i="5"/>
  <c r="G853" i="5"/>
  <c r="L853" i="5" s="1"/>
  <c r="H853" i="5"/>
  <c r="I853" i="5"/>
  <c r="J853" i="5"/>
  <c r="M853" i="5"/>
  <c r="N853" i="5"/>
  <c r="G854" i="5"/>
  <c r="H854" i="5"/>
  <c r="I854" i="5"/>
  <c r="J854" i="5"/>
  <c r="M854" i="5"/>
  <c r="N854" i="5"/>
  <c r="G855" i="5"/>
  <c r="H855" i="5"/>
  <c r="I855" i="5"/>
  <c r="J855" i="5"/>
  <c r="M855" i="5"/>
  <c r="N855" i="5"/>
  <c r="G856" i="5"/>
  <c r="L856" i="5" s="1"/>
  <c r="H856" i="5"/>
  <c r="I856" i="5"/>
  <c r="J856" i="5"/>
  <c r="M856" i="5"/>
  <c r="N856" i="5"/>
  <c r="G857" i="5"/>
  <c r="H857" i="5"/>
  <c r="I857" i="5"/>
  <c r="J857" i="5"/>
  <c r="M857" i="5"/>
  <c r="N857" i="5"/>
  <c r="G858" i="5"/>
  <c r="H858" i="5"/>
  <c r="I858" i="5"/>
  <c r="J858" i="5"/>
  <c r="M858" i="5"/>
  <c r="N858" i="5"/>
  <c r="G859" i="5"/>
  <c r="K859" i="5" s="1"/>
  <c r="H859" i="5"/>
  <c r="I859" i="5"/>
  <c r="J859" i="5"/>
  <c r="M859" i="5"/>
  <c r="N859" i="5"/>
  <c r="G860" i="5"/>
  <c r="H860" i="5"/>
  <c r="I860" i="5"/>
  <c r="J860" i="5"/>
  <c r="M860" i="5"/>
  <c r="N860" i="5"/>
  <c r="G861" i="5"/>
  <c r="H861" i="5"/>
  <c r="I861" i="5"/>
  <c r="J861" i="5"/>
  <c r="M861" i="5"/>
  <c r="N861" i="5"/>
  <c r="G862" i="5"/>
  <c r="H862" i="5"/>
  <c r="I862" i="5"/>
  <c r="J862" i="5"/>
  <c r="M862" i="5"/>
  <c r="N862" i="5"/>
  <c r="G863" i="5"/>
  <c r="H863" i="5"/>
  <c r="I863" i="5"/>
  <c r="J863" i="5"/>
  <c r="M863" i="5"/>
  <c r="N863" i="5"/>
  <c r="G864" i="5"/>
  <c r="H864" i="5"/>
  <c r="I864" i="5"/>
  <c r="J864" i="5"/>
  <c r="M864" i="5"/>
  <c r="N864" i="5"/>
  <c r="G865" i="5"/>
  <c r="H865" i="5"/>
  <c r="I865" i="5"/>
  <c r="J865" i="5"/>
  <c r="M865" i="5"/>
  <c r="N865" i="5"/>
  <c r="G866" i="5"/>
  <c r="H866" i="5"/>
  <c r="I866" i="5"/>
  <c r="J866" i="5"/>
  <c r="M866" i="5"/>
  <c r="N866" i="5"/>
  <c r="G867" i="5"/>
  <c r="H867" i="5"/>
  <c r="L867" i="5" s="1"/>
  <c r="I867" i="5"/>
  <c r="J867" i="5"/>
  <c r="M867" i="5"/>
  <c r="N867" i="5"/>
  <c r="G868" i="5"/>
  <c r="H868" i="5"/>
  <c r="I868" i="5"/>
  <c r="J868" i="5"/>
  <c r="M868" i="5"/>
  <c r="N868" i="5"/>
  <c r="G869" i="5"/>
  <c r="H869" i="5"/>
  <c r="I869" i="5"/>
  <c r="J869" i="5"/>
  <c r="M869" i="5"/>
  <c r="N869" i="5"/>
  <c r="G870" i="5"/>
  <c r="H870" i="5"/>
  <c r="I870" i="5"/>
  <c r="J870" i="5"/>
  <c r="M870" i="5"/>
  <c r="N870" i="5"/>
  <c r="G871" i="5"/>
  <c r="H871" i="5"/>
  <c r="I871" i="5"/>
  <c r="J871" i="5"/>
  <c r="K871" i="5"/>
  <c r="M871" i="5"/>
  <c r="N871" i="5"/>
  <c r="G872" i="5"/>
  <c r="H872" i="5"/>
  <c r="I872" i="5"/>
  <c r="J872" i="5"/>
  <c r="M872" i="5"/>
  <c r="N872" i="5"/>
  <c r="G873" i="5"/>
  <c r="H873" i="5"/>
  <c r="I873" i="5"/>
  <c r="J873" i="5"/>
  <c r="M873" i="5"/>
  <c r="N873" i="5"/>
  <c r="G874" i="5"/>
  <c r="H874" i="5"/>
  <c r="I874" i="5"/>
  <c r="J874" i="5"/>
  <c r="M874" i="5"/>
  <c r="N874" i="5"/>
  <c r="G875" i="5"/>
  <c r="H875" i="5"/>
  <c r="I875" i="5"/>
  <c r="J875" i="5"/>
  <c r="M875" i="5"/>
  <c r="N875" i="5"/>
  <c r="G876" i="5"/>
  <c r="H876" i="5"/>
  <c r="K876" i="5" s="1"/>
  <c r="I876" i="5"/>
  <c r="J876" i="5"/>
  <c r="M876" i="5"/>
  <c r="N876" i="5"/>
  <c r="G877" i="5"/>
  <c r="H877" i="5"/>
  <c r="I877" i="5"/>
  <c r="J877" i="5"/>
  <c r="M877" i="5"/>
  <c r="N877" i="5"/>
  <c r="G878" i="5"/>
  <c r="H878" i="5"/>
  <c r="I878" i="5"/>
  <c r="J878" i="5"/>
  <c r="M878" i="5"/>
  <c r="N878" i="5"/>
  <c r="G879" i="5"/>
  <c r="K879" i="5" s="1"/>
  <c r="H879" i="5"/>
  <c r="I879" i="5"/>
  <c r="J879" i="5"/>
  <c r="M879" i="5"/>
  <c r="N879" i="5"/>
  <c r="G880" i="5"/>
  <c r="H880" i="5"/>
  <c r="I880" i="5"/>
  <c r="J880" i="5"/>
  <c r="M880" i="5"/>
  <c r="N880" i="5"/>
  <c r="G881" i="5"/>
  <c r="H881" i="5"/>
  <c r="I881" i="5"/>
  <c r="J881" i="5"/>
  <c r="M881" i="5"/>
  <c r="N881" i="5"/>
  <c r="G882" i="5"/>
  <c r="H882" i="5"/>
  <c r="I882" i="5"/>
  <c r="J882" i="5"/>
  <c r="M882" i="5"/>
  <c r="N882" i="5"/>
  <c r="G883" i="5"/>
  <c r="H883" i="5"/>
  <c r="I883" i="5"/>
  <c r="J883" i="5"/>
  <c r="M883" i="5"/>
  <c r="N883" i="5"/>
  <c r="G884" i="5"/>
  <c r="H884" i="5"/>
  <c r="I884" i="5"/>
  <c r="J884" i="5"/>
  <c r="M884" i="5"/>
  <c r="N884" i="5"/>
  <c r="G885" i="5"/>
  <c r="H885" i="5"/>
  <c r="I885" i="5"/>
  <c r="J885" i="5"/>
  <c r="M885" i="5"/>
  <c r="N885" i="5"/>
  <c r="G886" i="5"/>
  <c r="H886" i="5"/>
  <c r="I886" i="5"/>
  <c r="J886" i="5"/>
  <c r="M886" i="5"/>
  <c r="N886" i="5"/>
  <c r="G887" i="5"/>
  <c r="H887" i="5"/>
  <c r="I887" i="5"/>
  <c r="J887" i="5"/>
  <c r="L887" i="5" s="1"/>
  <c r="M887" i="5"/>
  <c r="N887" i="5"/>
  <c r="G888" i="5"/>
  <c r="H888" i="5"/>
  <c r="I888" i="5"/>
  <c r="J888" i="5"/>
  <c r="L888" i="5" s="1"/>
  <c r="M888" i="5"/>
  <c r="N888" i="5"/>
  <c r="G889" i="5"/>
  <c r="K889" i="5" s="1"/>
  <c r="H889" i="5"/>
  <c r="I889" i="5"/>
  <c r="J889" i="5"/>
  <c r="M889" i="5"/>
  <c r="N889" i="5"/>
  <c r="G890" i="5"/>
  <c r="H890" i="5"/>
  <c r="I890" i="5"/>
  <c r="J890" i="5"/>
  <c r="M890" i="5"/>
  <c r="N890" i="5"/>
  <c r="G891" i="5"/>
  <c r="H891" i="5"/>
  <c r="I891" i="5"/>
  <c r="J891" i="5"/>
  <c r="M891" i="5"/>
  <c r="N891" i="5"/>
  <c r="G892" i="5"/>
  <c r="L892" i="5" s="1"/>
  <c r="H892" i="5"/>
  <c r="I892" i="5"/>
  <c r="J892" i="5"/>
  <c r="M892" i="5"/>
  <c r="N892" i="5"/>
  <c r="G893" i="5"/>
  <c r="H893" i="5"/>
  <c r="I893" i="5"/>
  <c r="J893" i="5"/>
  <c r="M893" i="5"/>
  <c r="N893" i="5"/>
  <c r="G894" i="5"/>
  <c r="H894" i="5"/>
  <c r="I894" i="5"/>
  <c r="J894" i="5"/>
  <c r="M894" i="5"/>
  <c r="N894" i="5"/>
  <c r="G895" i="5"/>
  <c r="H895" i="5"/>
  <c r="I895" i="5"/>
  <c r="J895" i="5"/>
  <c r="M895" i="5"/>
  <c r="N895" i="5"/>
  <c r="G896" i="5"/>
  <c r="H896" i="5"/>
  <c r="I896" i="5"/>
  <c r="J896" i="5"/>
  <c r="M896" i="5"/>
  <c r="N896" i="5"/>
  <c r="G897" i="5"/>
  <c r="H897" i="5"/>
  <c r="I897" i="5"/>
  <c r="J897" i="5"/>
  <c r="M897" i="5"/>
  <c r="N897" i="5"/>
  <c r="G898" i="5"/>
  <c r="H898" i="5"/>
  <c r="I898" i="5"/>
  <c r="J898" i="5"/>
  <c r="M898" i="5"/>
  <c r="N898" i="5"/>
  <c r="G899" i="5"/>
  <c r="H899" i="5"/>
  <c r="I899" i="5"/>
  <c r="J899" i="5"/>
  <c r="M899" i="5"/>
  <c r="N899" i="5"/>
  <c r="G900" i="5"/>
  <c r="H900" i="5"/>
  <c r="I900" i="5"/>
  <c r="J900" i="5"/>
  <c r="M900" i="5"/>
  <c r="N900" i="5"/>
  <c r="G901" i="5"/>
  <c r="L901" i="5" s="1"/>
  <c r="H901" i="5"/>
  <c r="I901" i="5"/>
  <c r="J901" i="5"/>
  <c r="M901" i="5"/>
  <c r="N901" i="5"/>
  <c r="G902" i="5"/>
  <c r="H902" i="5"/>
  <c r="I902" i="5"/>
  <c r="J902" i="5"/>
  <c r="M902" i="5"/>
  <c r="N902" i="5"/>
  <c r="G903" i="5"/>
  <c r="H903" i="5"/>
  <c r="I903" i="5"/>
  <c r="J903" i="5"/>
  <c r="M903" i="5"/>
  <c r="N903" i="5"/>
  <c r="G904" i="5"/>
  <c r="H904" i="5"/>
  <c r="I904" i="5"/>
  <c r="J904" i="5"/>
  <c r="M904" i="5"/>
  <c r="N904" i="5"/>
  <c r="G905" i="5"/>
  <c r="K905" i="5" s="1"/>
  <c r="H905" i="5"/>
  <c r="I905" i="5"/>
  <c r="J905" i="5"/>
  <c r="M905" i="5"/>
  <c r="N905" i="5"/>
  <c r="G906" i="5"/>
  <c r="H906" i="5"/>
  <c r="K906" i="5" s="1"/>
  <c r="I906" i="5"/>
  <c r="J906" i="5"/>
  <c r="L906" i="5"/>
  <c r="M906" i="5"/>
  <c r="N906" i="5"/>
  <c r="G907" i="5"/>
  <c r="H907" i="5"/>
  <c r="I907" i="5"/>
  <c r="J907" i="5"/>
  <c r="L907" i="5"/>
  <c r="M907" i="5"/>
  <c r="N907" i="5"/>
  <c r="G908" i="5"/>
  <c r="H908" i="5"/>
  <c r="I908" i="5"/>
  <c r="J908" i="5"/>
  <c r="M908" i="5"/>
  <c r="N908" i="5"/>
  <c r="G909" i="5"/>
  <c r="H909" i="5"/>
  <c r="I909" i="5"/>
  <c r="J909" i="5"/>
  <c r="M909" i="5"/>
  <c r="N909" i="5"/>
  <c r="G910" i="5"/>
  <c r="H910" i="5"/>
  <c r="I910" i="5"/>
  <c r="J910" i="5"/>
  <c r="L910" i="5"/>
  <c r="M910" i="5"/>
  <c r="N910" i="5"/>
  <c r="G911" i="5"/>
  <c r="H911" i="5"/>
  <c r="I911" i="5"/>
  <c r="J911" i="5"/>
  <c r="M911" i="5"/>
  <c r="N911" i="5"/>
  <c r="G912" i="5"/>
  <c r="H912" i="5"/>
  <c r="L912" i="5" s="1"/>
  <c r="I912" i="5"/>
  <c r="J912" i="5"/>
  <c r="M912" i="5"/>
  <c r="N912" i="5"/>
  <c r="G913" i="5"/>
  <c r="H913" i="5"/>
  <c r="I913" i="5"/>
  <c r="J913" i="5"/>
  <c r="M913" i="5"/>
  <c r="N913" i="5"/>
  <c r="G914" i="5"/>
  <c r="H914" i="5"/>
  <c r="I914" i="5"/>
  <c r="J914" i="5"/>
  <c r="M914" i="5"/>
  <c r="N914" i="5"/>
  <c r="G915" i="5"/>
  <c r="H915" i="5"/>
  <c r="I915" i="5"/>
  <c r="J915" i="5"/>
  <c r="M915" i="5"/>
  <c r="N915" i="5"/>
  <c r="G916" i="5"/>
  <c r="H916" i="5"/>
  <c r="I916" i="5"/>
  <c r="J916" i="5"/>
  <c r="M916" i="5"/>
  <c r="N916" i="5"/>
  <c r="G917" i="5"/>
  <c r="H917" i="5"/>
  <c r="I917" i="5"/>
  <c r="J917" i="5"/>
  <c r="M917" i="5"/>
  <c r="N917" i="5"/>
  <c r="G918" i="5"/>
  <c r="H918" i="5"/>
  <c r="I918" i="5"/>
  <c r="J918" i="5"/>
  <c r="M918" i="5"/>
  <c r="N918" i="5"/>
  <c r="G919" i="5"/>
  <c r="H919" i="5"/>
  <c r="I919" i="5"/>
  <c r="J919" i="5"/>
  <c r="K919" i="5" s="1"/>
  <c r="M919" i="5"/>
  <c r="N919" i="5"/>
  <c r="G920" i="5"/>
  <c r="H920" i="5"/>
  <c r="I920" i="5"/>
  <c r="J920" i="5"/>
  <c r="M920" i="5"/>
  <c r="N920" i="5"/>
  <c r="G921" i="5"/>
  <c r="H921" i="5"/>
  <c r="I921" i="5"/>
  <c r="J921" i="5"/>
  <c r="M921" i="5"/>
  <c r="N921" i="5"/>
  <c r="G922" i="5"/>
  <c r="H922" i="5"/>
  <c r="I922" i="5"/>
  <c r="J922" i="5"/>
  <c r="L922" i="5"/>
  <c r="M922" i="5"/>
  <c r="N922" i="5"/>
  <c r="G923" i="5"/>
  <c r="H923" i="5"/>
  <c r="I923" i="5"/>
  <c r="J923" i="5"/>
  <c r="M923" i="5"/>
  <c r="N923" i="5"/>
  <c r="G924" i="5"/>
  <c r="H924" i="5"/>
  <c r="I924" i="5"/>
  <c r="J924" i="5"/>
  <c r="M924" i="5"/>
  <c r="N924" i="5"/>
  <c r="G925" i="5"/>
  <c r="H925" i="5"/>
  <c r="I925" i="5"/>
  <c r="J925" i="5"/>
  <c r="M925" i="5"/>
  <c r="N925" i="5"/>
  <c r="G926" i="5"/>
  <c r="H926" i="5"/>
  <c r="I926" i="5"/>
  <c r="J926" i="5"/>
  <c r="M926" i="5"/>
  <c r="N926" i="5"/>
  <c r="G927" i="5"/>
  <c r="L927" i="5" s="1"/>
  <c r="H927" i="5"/>
  <c r="I927" i="5"/>
  <c r="J927" i="5"/>
  <c r="M927" i="5"/>
  <c r="N927" i="5"/>
  <c r="G928" i="5"/>
  <c r="H928" i="5"/>
  <c r="I928" i="5"/>
  <c r="J928" i="5"/>
  <c r="M928" i="5"/>
  <c r="N928" i="5"/>
  <c r="G929" i="5"/>
  <c r="H929" i="5"/>
  <c r="I929" i="5"/>
  <c r="J929" i="5"/>
  <c r="K929" i="5" s="1"/>
  <c r="M929" i="5"/>
  <c r="N929" i="5"/>
  <c r="G930" i="5"/>
  <c r="L930" i="5" s="1"/>
  <c r="H930" i="5"/>
  <c r="I930" i="5"/>
  <c r="J930" i="5"/>
  <c r="M930" i="5"/>
  <c r="N930" i="5"/>
  <c r="G931" i="5"/>
  <c r="H931" i="5"/>
  <c r="I931" i="5"/>
  <c r="J931" i="5"/>
  <c r="M931" i="5"/>
  <c r="N931" i="5"/>
  <c r="G932" i="5"/>
  <c r="H932" i="5"/>
  <c r="I932" i="5"/>
  <c r="J932" i="5"/>
  <c r="L932" i="5"/>
  <c r="M932" i="5"/>
  <c r="N932" i="5"/>
  <c r="G933" i="5"/>
  <c r="H933" i="5"/>
  <c r="I933" i="5"/>
  <c r="J933" i="5"/>
  <c r="M933" i="5"/>
  <c r="N933" i="5"/>
  <c r="G934" i="5"/>
  <c r="H934" i="5"/>
  <c r="I934" i="5"/>
  <c r="J934" i="5"/>
  <c r="M934" i="5"/>
  <c r="N934" i="5"/>
  <c r="G935" i="5"/>
  <c r="H935" i="5"/>
  <c r="I935" i="5"/>
  <c r="J935" i="5"/>
  <c r="L935" i="5"/>
  <c r="M935" i="5"/>
  <c r="N935" i="5"/>
  <c r="G936" i="5"/>
  <c r="H936" i="5"/>
  <c r="I936" i="5"/>
  <c r="J936" i="5"/>
  <c r="M936" i="5"/>
  <c r="N936" i="5"/>
  <c r="G937" i="5"/>
  <c r="L937" i="5" s="1"/>
  <c r="H937" i="5"/>
  <c r="I937" i="5"/>
  <c r="J937" i="5"/>
  <c r="M937" i="5"/>
  <c r="N937" i="5"/>
  <c r="G938" i="5"/>
  <c r="H938" i="5"/>
  <c r="I938" i="5"/>
  <c r="J938" i="5"/>
  <c r="M938" i="5"/>
  <c r="N938" i="5"/>
  <c r="G939" i="5"/>
  <c r="H939" i="5"/>
  <c r="I939" i="5"/>
  <c r="J939" i="5"/>
  <c r="M939" i="5"/>
  <c r="N939" i="5"/>
  <c r="G940" i="5"/>
  <c r="K940" i="5" s="1"/>
  <c r="H940" i="5"/>
  <c r="I940" i="5"/>
  <c r="J940" i="5"/>
  <c r="M940" i="5"/>
  <c r="N940" i="5"/>
  <c r="G941" i="5"/>
  <c r="H941" i="5"/>
  <c r="I941" i="5"/>
  <c r="J941" i="5"/>
  <c r="M941" i="5"/>
  <c r="N941" i="5"/>
  <c r="G942" i="5"/>
  <c r="H942" i="5"/>
  <c r="I942" i="5"/>
  <c r="J942" i="5"/>
  <c r="M942" i="5"/>
  <c r="N942" i="5"/>
  <c r="G943" i="5"/>
  <c r="H943" i="5"/>
  <c r="I943" i="5"/>
  <c r="J943" i="5"/>
  <c r="M943" i="5"/>
  <c r="N943" i="5"/>
  <c r="G944" i="5"/>
  <c r="H944" i="5"/>
  <c r="I944" i="5"/>
  <c r="J944" i="5"/>
  <c r="M944" i="5"/>
  <c r="N944" i="5"/>
  <c r="G945" i="5"/>
  <c r="H945" i="5"/>
  <c r="I945" i="5"/>
  <c r="J945" i="5"/>
  <c r="M945" i="5"/>
  <c r="N945" i="5"/>
  <c r="G946" i="5"/>
  <c r="H946" i="5"/>
  <c r="I946" i="5"/>
  <c r="J946" i="5"/>
  <c r="M946" i="5"/>
  <c r="N946" i="5"/>
  <c r="G947" i="5"/>
  <c r="L947" i="5" s="1"/>
  <c r="H947" i="5"/>
  <c r="I947" i="5"/>
  <c r="J947" i="5"/>
  <c r="M947" i="5"/>
  <c r="N947" i="5"/>
  <c r="G948" i="5"/>
  <c r="H948" i="5"/>
  <c r="I948" i="5"/>
  <c r="J948" i="5"/>
  <c r="M948" i="5"/>
  <c r="N948" i="5"/>
  <c r="G949" i="5"/>
  <c r="H949" i="5"/>
  <c r="I949" i="5"/>
  <c r="J949" i="5"/>
  <c r="M949" i="5"/>
  <c r="N949" i="5"/>
  <c r="G950" i="5"/>
  <c r="H950" i="5"/>
  <c r="I950" i="5"/>
  <c r="J950" i="5"/>
  <c r="M950" i="5"/>
  <c r="N950" i="5"/>
  <c r="G951" i="5"/>
  <c r="H951" i="5"/>
  <c r="I951" i="5"/>
  <c r="J951" i="5"/>
  <c r="M951" i="5"/>
  <c r="N951" i="5"/>
  <c r="G952" i="5"/>
  <c r="H952" i="5"/>
  <c r="I952" i="5"/>
  <c r="J952" i="5"/>
  <c r="M952" i="5"/>
  <c r="N952" i="5"/>
  <c r="G953" i="5"/>
  <c r="H953" i="5"/>
  <c r="I953" i="5"/>
  <c r="J953" i="5"/>
  <c r="M953" i="5"/>
  <c r="N953" i="5"/>
  <c r="G954" i="5"/>
  <c r="H954" i="5"/>
  <c r="I954" i="5"/>
  <c r="J954" i="5"/>
  <c r="M954" i="5"/>
  <c r="N954" i="5"/>
  <c r="G955" i="5"/>
  <c r="H955" i="5"/>
  <c r="I955" i="5"/>
  <c r="J955" i="5"/>
  <c r="L955" i="5"/>
  <c r="M955" i="5"/>
  <c r="N955" i="5"/>
  <c r="G956" i="5"/>
  <c r="H956" i="5"/>
  <c r="I956" i="5"/>
  <c r="J956" i="5"/>
  <c r="M956" i="5"/>
  <c r="N956" i="5"/>
  <c r="G957" i="5"/>
  <c r="L957" i="5" s="1"/>
  <c r="H957" i="5"/>
  <c r="I957" i="5"/>
  <c r="J957" i="5"/>
  <c r="M957" i="5"/>
  <c r="N957" i="5"/>
  <c r="G958" i="5"/>
  <c r="H958" i="5"/>
  <c r="I958" i="5"/>
  <c r="J958" i="5"/>
  <c r="K958" i="5"/>
  <c r="M958" i="5"/>
  <c r="N958" i="5"/>
  <c r="G959" i="5"/>
  <c r="H959" i="5"/>
  <c r="I959" i="5"/>
  <c r="J959" i="5"/>
  <c r="M959" i="5"/>
  <c r="N959" i="5"/>
  <c r="G960" i="5"/>
  <c r="H960" i="5"/>
  <c r="I960" i="5"/>
  <c r="J960" i="5"/>
  <c r="M960" i="5"/>
  <c r="N960" i="5"/>
  <c r="G961" i="5"/>
  <c r="H961" i="5"/>
  <c r="I961" i="5"/>
  <c r="J961" i="5"/>
  <c r="M961" i="5"/>
  <c r="N961" i="5"/>
  <c r="G962" i="5"/>
  <c r="L962" i="5" s="1"/>
  <c r="H962" i="5"/>
  <c r="I962" i="5"/>
  <c r="J962" i="5"/>
  <c r="M962" i="5"/>
  <c r="N962" i="5"/>
  <c r="G963" i="5"/>
  <c r="H963" i="5"/>
  <c r="I963" i="5"/>
  <c r="J963" i="5"/>
  <c r="M963" i="5"/>
  <c r="N963" i="5"/>
  <c r="G964" i="5"/>
  <c r="H964" i="5"/>
  <c r="I964" i="5"/>
  <c r="J964" i="5"/>
  <c r="M964" i="5"/>
  <c r="N964" i="5"/>
  <c r="G965" i="5"/>
  <c r="H965" i="5"/>
  <c r="I965" i="5"/>
  <c r="J965" i="5"/>
  <c r="M965" i="5"/>
  <c r="N965" i="5"/>
  <c r="G966" i="5"/>
  <c r="H966" i="5"/>
  <c r="I966" i="5"/>
  <c r="J966" i="5"/>
  <c r="M966" i="5"/>
  <c r="N966" i="5"/>
  <c r="G967" i="5"/>
  <c r="H967" i="5"/>
  <c r="I967" i="5"/>
  <c r="J967" i="5"/>
  <c r="M967" i="5"/>
  <c r="N967" i="5"/>
  <c r="G968" i="5"/>
  <c r="H968" i="5"/>
  <c r="I968" i="5"/>
  <c r="J968" i="5"/>
  <c r="M968" i="5"/>
  <c r="N968" i="5"/>
  <c r="G969" i="5"/>
  <c r="H969" i="5"/>
  <c r="I969" i="5"/>
  <c r="J969" i="5"/>
  <c r="M969" i="5"/>
  <c r="N969" i="5"/>
  <c r="G970" i="5"/>
  <c r="H970" i="5"/>
  <c r="I970" i="5"/>
  <c r="J970" i="5"/>
  <c r="M970" i="5"/>
  <c r="N970" i="5"/>
  <c r="G971" i="5"/>
  <c r="H971" i="5"/>
  <c r="I971" i="5"/>
  <c r="J971" i="5"/>
  <c r="M971" i="5"/>
  <c r="N971" i="5"/>
  <c r="G972" i="5"/>
  <c r="H972" i="5"/>
  <c r="I972" i="5"/>
  <c r="J972" i="5"/>
  <c r="M972" i="5"/>
  <c r="N972" i="5"/>
  <c r="G973" i="5"/>
  <c r="K973" i="5" s="1"/>
  <c r="H973" i="5"/>
  <c r="I973" i="5"/>
  <c r="J973" i="5"/>
  <c r="M973" i="5"/>
  <c r="N973" i="5"/>
  <c r="G974" i="5"/>
  <c r="H974" i="5"/>
  <c r="I974" i="5"/>
  <c r="J974" i="5"/>
  <c r="M974" i="5"/>
  <c r="N974" i="5"/>
  <c r="G975" i="5"/>
  <c r="H975" i="5"/>
  <c r="I975" i="5"/>
  <c r="J975" i="5"/>
  <c r="L975" i="5" s="1"/>
  <c r="M975" i="5"/>
  <c r="N975" i="5"/>
  <c r="G976" i="5"/>
  <c r="H976" i="5"/>
  <c r="I976" i="5"/>
  <c r="J976" i="5"/>
  <c r="M976" i="5"/>
  <c r="N976" i="5"/>
  <c r="G977" i="5"/>
  <c r="H977" i="5"/>
  <c r="I977" i="5"/>
  <c r="J977" i="5"/>
  <c r="M977" i="5"/>
  <c r="N977" i="5"/>
  <c r="G978" i="5"/>
  <c r="H978" i="5"/>
  <c r="I978" i="5"/>
  <c r="J978" i="5"/>
  <c r="K978" i="5" s="1"/>
  <c r="M978" i="5"/>
  <c r="N978" i="5"/>
  <c r="G979" i="5"/>
  <c r="H979" i="5"/>
  <c r="I979" i="5"/>
  <c r="J979" i="5"/>
  <c r="M979" i="5"/>
  <c r="N979" i="5"/>
  <c r="G980" i="5"/>
  <c r="H980" i="5"/>
  <c r="I980" i="5"/>
  <c r="J980" i="5"/>
  <c r="M980" i="5"/>
  <c r="N980" i="5"/>
  <c r="G981" i="5"/>
  <c r="H981" i="5"/>
  <c r="I981" i="5"/>
  <c r="J981" i="5"/>
  <c r="M981" i="5"/>
  <c r="N981" i="5"/>
  <c r="G982" i="5"/>
  <c r="H982" i="5"/>
  <c r="I982" i="5"/>
  <c r="J982" i="5"/>
  <c r="M982" i="5"/>
  <c r="N982" i="5"/>
  <c r="G983" i="5"/>
  <c r="H983" i="5"/>
  <c r="I983" i="5"/>
  <c r="J983" i="5"/>
  <c r="M983" i="5"/>
  <c r="N983" i="5"/>
  <c r="G984" i="5"/>
  <c r="H984" i="5"/>
  <c r="I984" i="5"/>
  <c r="J984" i="5"/>
  <c r="M984" i="5"/>
  <c r="N984" i="5"/>
  <c r="G985" i="5"/>
  <c r="H985" i="5"/>
  <c r="I985" i="5"/>
  <c r="J985" i="5"/>
  <c r="M985" i="5"/>
  <c r="N985" i="5"/>
  <c r="G986" i="5"/>
  <c r="H986" i="5"/>
  <c r="I986" i="5"/>
  <c r="J986" i="5"/>
  <c r="M986" i="5"/>
  <c r="N986" i="5"/>
  <c r="G987" i="5"/>
  <c r="H987" i="5"/>
  <c r="I987" i="5"/>
  <c r="J987" i="5"/>
  <c r="M987" i="5"/>
  <c r="N987" i="5"/>
  <c r="G988" i="5"/>
  <c r="H988" i="5"/>
  <c r="I988" i="5"/>
  <c r="J988" i="5"/>
  <c r="M988" i="5"/>
  <c r="N988" i="5"/>
  <c r="G989" i="5"/>
  <c r="H989" i="5"/>
  <c r="I989" i="5"/>
  <c r="J989" i="5"/>
  <c r="M989" i="5"/>
  <c r="N989" i="5"/>
  <c r="G990" i="5"/>
  <c r="H990" i="5"/>
  <c r="I990" i="5"/>
  <c r="J990" i="5"/>
  <c r="M990" i="5"/>
  <c r="N990" i="5"/>
  <c r="G991" i="5"/>
  <c r="H991" i="5"/>
  <c r="I991" i="5"/>
  <c r="J991" i="5"/>
  <c r="M991" i="5"/>
  <c r="N991" i="5"/>
  <c r="G992" i="5"/>
  <c r="L992" i="5" s="1"/>
  <c r="H992" i="5"/>
  <c r="I992" i="5"/>
  <c r="J992" i="5"/>
  <c r="M992" i="5"/>
  <c r="N992" i="5"/>
  <c r="G993" i="5"/>
  <c r="H993" i="5"/>
  <c r="I993" i="5"/>
  <c r="J993" i="5"/>
  <c r="M993" i="5"/>
  <c r="N993" i="5"/>
  <c r="G994" i="5"/>
  <c r="K994" i="5" s="1"/>
  <c r="H994" i="5"/>
  <c r="I994" i="5"/>
  <c r="J994" i="5"/>
  <c r="M994" i="5"/>
  <c r="N994" i="5"/>
  <c r="G995" i="5"/>
  <c r="L995" i="5" s="1"/>
  <c r="H995" i="5"/>
  <c r="I995" i="5"/>
  <c r="J995" i="5"/>
  <c r="M995" i="5"/>
  <c r="N995" i="5"/>
  <c r="G996" i="5"/>
  <c r="H996" i="5"/>
  <c r="I996" i="5"/>
  <c r="J996" i="5"/>
  <c r="M996" i="5"/>
  <c r="N996" i="5"/>
  <c r="G997" i="5"/>
  <c r="L997" i="5" s="1"/>
  <c r="H997" i="5"/>
  <c r="I997" i="5"/>
  <c r="J997" i="5"/>
  <c r="M997" i="5"/>
  <c r="N997" i="5"/>
  <c r="G998" i="5"/>
  <c r="K998" i="5" s="1"/>
  <c r="H998" i="5"/>
  <c r="I998" i="5"/>
  <c r="J998" i="5"/>
  <c r="M998" i="5"/>
  <c r="N998" i="5"/>
  <c r="G999" i="5"/>
  <c r="H999" i="5"/>
  <c r="I999" i="5"/>
  <c r="J999" i="5"/>
  <c r="M999" i="5"/>
  <c r="N999" i="5"/>
  <c r="G1000" i="5"/>
  <c r="L1000" i="5" s="1"/>
  <c r="H1000" i="5"/>
  <c r="I1000" i="5"/>
  <c r="J1000" i="5"/>
  <c r="M1000" i="5"/>
  <c r="N1000" i="5"/>
  <c r="G1001" i="5"/>
  <c r="H1001" i="5"/>
  <c r="I1001" i="5"/>
  <c r="J1001" i="5"/>
  <c r="M1001" i="5"/>
  <c r="N1001" i="5"/>
  <c r="G1002" i="5"/>
  <c r="H1002" i="5"/>
  <c r="I1002" i="5"/>
  <c r="J1002" i="5"/>
  <c r="M1002" i="5"/>
  <c r="N1002" i="5"/>
  <c r="G1003" i="5"/>
  <c r="H1003" i="5"/>
  <c r="I1003" i="5"/>
  <c r="J1003" i="5"/>
  <c r="M1003" i="5"/>
  <c r="N1003" i="5"/>
  <c r="G1004" i="5"/>
  <c r="H1004" i="5"/>
  <c r="I1004" i="5"/>
  <c r="J1004" i="5"/>
  <c r="M1004" i="5"/>
  <c r="N1004" i="5"/>
  <c r="G1005" i="5"/>
  <c r="L1005" i="5" s="1"/>
  <c r="H1005" i="5"/>
  <c r="I1005" i="5"/>
  <c r="J1005" i="5"/>
  <c r="M1005" i="5"/>
  <c r="N1005" i="5"/>
  <c r="G1006" i="5"/>
  <c r="H1006" i="5"/>
  <c r="I1006" i="5"/>
  <c r="J1006" i="5"/>
  <c r="M1006" i="5"/>
  <c r="N1006" i="5"/>
  <c r="G1007" i="5"/>
  <c r="H1007" i="5"/>
  <c r="I1007" i="5"/>
  <c r="J1007" i="5"/>
  <c r="M1007" i="5"/>
  <c r="N1007" i="5"/>
  <c r="G1008" i="5"/>
  <c r="K1008" i="5" s="1"/>
  <c r="H1008" i="5"/>
  <c r="I1008" i="5"/>
  <c r="J1008" i="5"/>
  <c r="M1008" i="5"/>
  <c r="N1008" i="5"/>
  <c r="G1009" i="5"/>
  <c r="H1009" i="5"/>
  <c r="I1009" i="5"/>
  <c r="J1009" i="5"/>
  <c r="M1009" i="5"/>
  <c r="N1009" i="5"/>
  <c r="G1010" i="5"/>
  <c r="H1010" i="5"/>
  <c r="I1010" i="5"/>
  <c r="J1010" i="5"/>
  <c r="M1010" i="5"/>
  <c r="N1010" i="5"/>
  <c r="G1011" i="5"/>
  <c r="H1011" i="5"/>
  <c r="I1011" i="5"/>
  <c r="J1011" i="5"/>
  <c r="M1011" i="5"/>
  <c r="N1011" i="5"/>
  <c r="G1012" i="5"/>
  <c r="H1012" i="5"/>
  <c r="I1012" i="5"/>
  <c r="J1012" i="5"/>
  <c r="M1012" i="5"/>
  <c r="N1012" i="5"/>
  <c r="G1013" i="5"/>
  <c r="H1013" i="5"/>
  <c r="I1013" i="5"/>
  <c r="J1013" i="5"/>
  <c r="M1013" i="5"/>
  <c r="N1013" i="5"/>
  <c r="G1014" i="5"/>
  <c r="H1014" i="5"/>
  <c r="I1014" i="5"/>
  <c r="J1014" i="5"/>
  <c r="M1014" i="5"/>
  <c r="N1014" i="5"/>
  <c r="G1015" i="5"/>
  <c r="H1015" i="5"/>
  <c r="I1015" i="5"/>
  <c r="J1015" i="5"/>
  <c r="M1015" i="5"/>
  <c r="N1015" i="5"/>
  <c r="G1016" i="5"/>
  <c r="H1016" i="5"/>
  <c r="I1016" i="5"/>
  <c r="J1016" i="5"/>
  <c r="M1016" i="5"/>
  <c r="N1016" i="5"/>
  <c r="G1017" i="5"/>
  <c r="H1017" i="5"/>
  <c r="I1017" i="5"/>
  <c r="J1017" i="5"/>
  <c r="M1017" i="5"/>
  <c r="N1017" i="5"/>
  <c r="G1018" i="5"/>
  <c r="H1018" i="5"/>
  <c r="I1018" i="5"/>
  <c r="J1018" i="5"/>
  <c r="M1018" i="5"/>
  <c r="N1018" i="5"/>
  <c r="G1019" i="5"/>
  <c r="H1019" i="5"/>
  <c r="I1019" i="5"/>
  <c r="J1019" i="5"/>
  <c r="M1019" i="5"/>
  <c r="N1019" i="5"/>
  <c r="G1020" i="5"/>
  <c r="H1020" i="5"/>
  <c r="I1020" i="5"/>
  <c r="J1020" i="5"/>
  <c r="M1020" i="5"/>
  <c r="N1020" i="5"/>
  <c r="G1021" i="5"/>
  <c r="H1021" i="5"/>
  <c r="I1021" i="5"/>
  <c r="J1021" i="5"/>
  <c r="M1021" i="5"/>
  <c r="N1021" i="5"/>
  <c r="G1022" i="5"/>
  <c r="H1022" i="5"/>
  <c r="I1022" i="5"/>
  <c r="J1022" i="5"/>
  <c r="M1022" i="5"/>
  <c r="N1022" i="5"/>
  <c r="G1023" i="5"/>
  <c r="H1023" i="5"/>
  <c r="I1023" i="5"/>
  <c r="J1023" i="5"/>
  <c r="M1023" i="5"/>
  <c r="N1023" i="5"/>
  <c r="G1024" i="5"/>
  <c r="K1024" i="5" s="1"/>
  <c r="H1024" i="5"/>
  <c r="I1024" i="5"/>
  <c r="J1024" i="5"/>
  <c r="M1024" i="5"/>
  <c r="N1024" i="5"/>
  <c r="G1025" i="5"/>
  <c r="H1025" i="5"/>
  <c r="I1025" i="5"/>
  <c r="J1025" i="5"/>
  <c r="M1025" i="5"/>
  <c r="N1025" i="5"/>
  <c r="G1026" i="5"/>
  <c r="H1026" i="5"/>
  <c r="I1026" i="5"/>
  <c r="J1026" i="5"/>
  <c r="M1026" i="5"/>
  <c r="N1026" i="5"/>
  <c r="G1027" i="5"/>
  <c r="H1027" i="5"/>
  <c r="I1027" i="5"/>
  <c r="J1027" i="5"/>
  <c r="M1027" i="5"/>
  <c r="N1027" i="5"/>
  <c r="G1028" i="5"/>
  <c r="H1028" i="5"/>
  <c r="I1028" i="5"/>
  <c r="J1028" i="5"/>
  <c r="M1028" i="5"/>
  <c r="N1028" i="5"/>
  <c r="G1029" i="5"/>
  <c r="K1029" i="5" s="1"/>
  <c r="H1029" i="5"/>
  <c r="I1029" i="5"/>
  <c r="J1029" i="5"/>
  <c r="M1029" i="5"/>
  <c r="N1029" i="5"/>
  <c r="G1030" i="5"/>
  <c r="H1030" i="5"/>
  <c r="I1030" i="5"/>
  <c r="J1030" i="5"/>
  <c r="M1030" i="5"/>
  <c r="N1030" i="5"/>
  <c r="G1031" i="5"/>
  <c r="H1031" i="5"/>
  <c r="I1031" i="5"/>
  <c r="J1031" i="5"/>
  <c r="M1031" i="5"/>
  <c r="N1031" i="5"/>
  <c r="G1032" i="5"/>
  <c r="H1032" i="5"/>
  <c r="I1032" i="5"/>
  <c r="J1032" i="5"/>
  <c r="M1032" i="5"/>
  <c r="N1032" i="5"/>
  <c r="G1033" i="5"/>
  <c r="H1033" i="5"/>
  <c r="I1033" i="5"/>
  <c r="J1033" i="5"/>
  <c r="M1033" i="5"/>
  <c r="N1033" i="5"/>
  <c r="G1034" i="5"/>
  <c r="H1034" i="5"/>
  <c r="I1034" i="5"/>
  <c r="J1034" i="5"/>
  <c r="M1034" i="5"/>
  <c r="N1034" i="5"/>
  <c r="G1035" i="5"/>
  <c r="H1035" i="5"/>
  <c r="I1035" i="5"/>
  <c r="J1035" i="5"/>
  <c r="M1035" i="5"/>
  <c r="N1035" i="5"/>
  <c r="G1036" i="5"/>
  <c r="H1036" i="5"/>
  <c r="I1036" i="5"/>
  <c r="J1036" i="5"/>
  <c r="M1036" i="5"/>
  <c r="N1036" i="5"/>
  <c r="G1037" i="5"/>
  <c r="H1037" i="5"/>
  <c r="I1037" i="5"/>
  <c r="J1037" i="5"/>
  <c r="M1037" i="5"/>
  <c r="N1037" i="5"/>
  <c r="G1038" i="5"/>
  <c r="H1038" i="5"/>
  <c r="I1038" i="5"/>
  <c r="J1038" i="5"/>
  <c r="K1038" i="5"/>
  <c r="M1038" i="5"/>
  <c r="N1038" i="5"/>
  <c r="G1039" i="5"/>
  <c r="H1039" i="5"/>
  <c r="I1039" i="5"/>
  <c r="J1039" i="5"/>
  <c r="M1039" i="5"/>
  <c r="N1039" i="5"/>
  <c r="G1040" i="5"/>
  <c r="H1040" i="5"/>
  <c r="I1040" i="5"/>
  <c r="J1040" i="5"/>
  <c r="M1040" i="5"/>
  <c r="N1040" i="5"/>
  <c r="G1041" i="5"/>
  <c r="H1041" i="5"/>
  <c r="I1041" i="5"/>
  <c r="J1041" i="5"/>
  <c r="M1041" i="5"/>
  <c r="N1041" i="5"/>
  <c r="G1042" i="5"/>
  <c r="H1042" i="5"/>
  <c r="I1042" i="5"/>
  <c r="J1042" i="5"/>
  <c r="M1042" i="5"/>
  <c r="N1042" i="5"/>
  <c r="G1043" i="5"/>
  <c r="H1043" i="5"/>
  <c r="I1043" i="5"/>
  <c r="J1043" i="5"/>
  <c r="M1043" i="5"/>
  <c r="N1043" i="5"/>
  <c r="G1044" i="5"/>
  <c r="H1044" i="5"/>
  <c r="I1044" i="5"/>
  <c r="J1044" i="5"/>
  <c r="M1044" i="5"/>
  <c r="N1044" i="5"/>
  <c r="G1045" i="5"/>
  <c r="H1045" i="5"/>
  <c r="I1045" i="5"/>
  <c r="J1045" i="5"/>
  <c r="M1045" i="5"/>
  <c r="N1045" i="5"/>
  <c r="G1046" i="5"/>
  <c r="H1046" i="5"/>
  <c r="I1046" i="5"/>
  <c r="J1046" i="5"/>
  <c r="M1046" i="5"/>
  <c r="N1046" i="5"/>
  <c r="G1047" i="5"/>
  <c r="H1047" i="5"/>
  <c r="I1047" i="5"/>
  <c r="J1047" i="5"/>
  <c r="M1047" i="5"/>
  <c r="N1047" i="5"/>
  <c r="G1048" i="5"/>
  <c r="H1048" i="5"/>
  <c r="I1048" i="5"/>
  <c r="J1048" i="5"/>
  <c r="M1048" i="5"/>
  <c r="N1048" i="5"/>
  <c r="G1049" i="5"/>
  <c r="H1049" i="5"/>
  <c r="I1049" i="5"/>
  <c r="J1049" i="5"/>
  <c r="M1049" i="5"/>
  <c r="N1049" i="5"/>
  <c r="G1050" i="5"/>
  <c r="L1050" i="5" s="1"/>
  <c r="H1050" i="5"/>
  <c r="I1050" i="5"/>
  <c r="J1050" i="5"/>
  <c r="M1050" i="5"/>
  <c r="N1050" i="5"/>
  <c r="G1051" i="5"/>
  <c r="H1051" i="5"/>
  <c r="I1051" i="5"/>
  <c r="J1051" i="5"/>
  <c r="M1051" i="5"/>
  <c r="N1051" i="5"/>
  <c r="G1052" i="5"/>
  <c r="H1052" i="5"/>
  <c r="I1052" i="5"/>
  <c r="J1052" i="5"/>
  <c r="M1052" i="5"/>
  <c r="N1052" i="5"/>
  <c r="G1053" i="5"/>
  <c r="H1053" i="5"/>
  <c r="I1053" i="5"/>
  <c r="J1053" i="5"/>
  <c r="M1053" i="5"/>
  <c r="N1053" i="5"/>
  <c r="G1054" i="5"/>
  <c r="H1054" i="5"/>
  <c r="I1054" i="5"/>
  <c r="J1054" i="5"/>
  <c r="M1054" i="5"/>
  <c r="N1054" i="5"/>
  <c r="G1055" i="5"/>
  <c r="H1055" i="5"/>
  <c r="L1055" i="5" s="1"/>
  <c r="I1055" i="5"/>
  <c r="J1055" i="5"/>
  <c r="M1055" i="5"/>
  <c r="N1055" i="5"/>
  <c r="G1056" i="5"/>
  <c r="H1056" i="5"/>
  <c r="I1056" i="5"/>
  <c r="J1056" i="5"/>
  <c r="M1056" i="5"/>
  <c r="N1056" i="5"/>
  <c r="G1057" i="5"/>
  <c r="H1057" i="5"/>
  <c r="I1057" i="5"/>
  <c r="J1057" i="5"/>
  <c r="M1057" i="5"/>
  <c r="N1057" i="5"/>
  <c r="G1058" i="5"/>
  <c r="H1058" i="5"/>
  <c r="I1058" i="5"/>
  <c r="J1058" i="5"/>
  <c r="M1058" i="5"/>
  <c r="N1058" i="5"/>
  <c r="G1059" i="5"/>
  <c r="H1059" i="5"/>
  <c r="I1059" i="5"/>
  <c r="J1059" i="5"/>
  <c r="M1059" i="5"/>
  <c r="N1059" i="5"/>
  <c r="G1060" i="5"/>
  <c r="H1060" i="5"/>
  <c r="I1060" i="5"/>
  <c r="J1060" i="5"/>
  <c r="M1060" i="5"/>
  <c r="N1060" i="5"/>
  <c r="G1061" i="5"/>
  <c r="H1061" i="5"/>
  <c r="I1061" i="5"/>
  <c r="J1061" i="5"/>
  <c r="M1061" i="5"/>
  <c r="N1061" i="5"/>
  <c r="G1062" i="5"/>
  <c r="H1062" i="5"/>
  <c r="I1062" i="5"/>
  <c r="J1062" i="5"/>
  <c r="M1062" i="5"/>
  <c r="N1062" i="5"/>
  <c r="G1063" i="5"/>
  <c r="H1063" i="5"/>
  <c r="I1063" i="5"/>
  <c r="J1063" i="5"/>
  <c r="M1063" i="5"/>
  <c r="N1063" i="5"/>
  <c r="G1064" i="5"/>
  <c r="H1064" i="5"/>
  <c r="I1064" i="5"/>
  <c r="J1064" i="5"/>
  <c r="M1064" i="5"/>
  <c r="N1064" i="5"/>
  <c r="G1065" i="5"/>
  <c r="H1065" i="5"/>
  <c r="I1065" i="5"/>
  <c r="J1065" i="5"/>
  <c r="M1065" i="5"/>
  <c r="N1065" i="5"/>
  <c r="G1066" i="5"/>
  <c r="H1066" i="5"/>
  <c r="I1066" i="5"/>
  <c r="J1066" i="5"/>
  <c r="M1066" i="5"/>
  <c r="N1066" i="5"/>
  <c r="G1067" i="5"/>
  <c r="H1067" i="5"/>
  <c r="I1067" i="5"/>
  <c r="J1067" i="5"/>
  <c r="M1067" i="5"/>
  <c r="N1067" i="5"/>
  <c r="G1068" i="5"/>
  <c r="H1068" i="5"/>
  <c r="I1068" i="5"/>
  <c r="J1068" i="5"/>
  <c r="M1068" i="5"/>
  <c r="N1068" i="5"/>
  <c r="G1069" i="5"/>
  <c r="H1069" i="5"/>
  <c r="I1069" i="5"/>
  <c r="K1069" i="5" s="1"/>
  <c r="J1069" i="5"/>
  <c r="M1069" i="5"/>
  <c r="N1069" i="5"/>
  <c r="G1070" i="5"/>
  <c r="H1070" i="5"/>
  <c r="I1070" i="5"/>
  <c r="J1070" i="5"/>
  <c r="M1070" i="5"/>
  <c r="N1070" i="5"/>
  <c r="G1071" i="5"/>
  <c r="H1071" i="5"/>
  <c r="I1071" i="5"/>
  <c r="J1071" i="5"/>
  <c r="M1071" i="5"/>
  <c r="N1071" i="5"/>
  <c r="G1072" i="5"/>
  <c r="H1072" i="5"/>
  <c r="I1072" i="5"/>
  <c r="J1072" i="5"/>
  <c r="M1072" i="5"/>
  <c r="N1072" i="5"/>
  <c r="G1073" i="5"/>
  <c r="H1073" i="5"/>
  <c r="I1073" i="5"/>
  <c r="J1073" i="5"/>
  <c r="M1073" i="5"/>
  <c r="N1073" i="5"/>
  <c r="G1074" i="5"/>
  <c r="H1074" i="5"/>
  <c r="I1074" i="5"/>
  <c r="J1074" i="5"/>
  <c r="M1074" i="5"/>
  <c r="N1074" i="5"/>
  <c r="G1075" i="5"/>
  <c r="H1075" i="5"/>
  <c r="I1075" i="5"/>
  <c r="J1075" i="5"/>
  <c r="M1075" i="5"/>
  <c r="N1075" i="5"/>
  <c r="G1076" i="5"/>
  <c r="H1076" i="5"/>
  <c r="I1076" i="5"/>
  <c r="J1076" i="5"/>
  <c r="M1076" i="5"/>
  <c r="N1076" i="5"/>
  <c r="G1077" i="5"/>
  <c r="H1077" i="5"/>
  <c r="I1077" i="5"/>
  <c r="J1077" i="5"/>
  <c r="M1077" i="5"/>
  <c r="N1077" i="5"/>
  <c r="G1078" i="5"/>
  <c r="H1078" i="5"/>
  <c r="I1078" i="5"/>
  <c r="J1078" i="5"/>
  <c r="M1078" i="5"/>
  <c r="N1078" i="5"/>
  <c r="G1079" i="5"/>
  <c r="H1079" i="5"/>
  <c r="I1079" i="5"/>
  <c r="K1079" i="5" s="1"/>
  <c r="J1079" i="5"/>
  <c r="M1079" i="5"/>
  <c r="N1079" i="5"/>
  <c r="G1080" i="5"/>
  <c r="H1080" i="5"/>
  <c r="I1080" i="5"/>
  <c r="J1080" i="5"/>
  <c r="M1080" i="5"/>
  <c r="N1080" i="5"/>
  <c r="G1081" i="5"/>
  <c r="H1081" i="5"/>
  <c r="I1081" i="5"/>
  <c r="J1081" i="5"/>
  <c r="M1081" i="5"/>
  <c r="N1081" i="5"/>
  <c r="G1082" i="5"/>
  <c r="H1082" i="5"/>
  <c r="I1082" i="5"/>
  <c r="J1082" i="5"/>
  <c r="M1082" i="5"/>
  <c r="N1082" i="5"/>
  <c r="G1083" i="5"/>
  <c r="H1083" i="5"/>
  <c r="I1083" i="5"/>
  <c r="J1083" i="5"/>
  <c r="M1083" i="5"/>
  <c r="N1083" i="5"/>
  <c r="G1084" i="5"/>
  <c r="H1084" i="5"/>
  <c r="I1084" i="5"/>
  <c r="J1084" i="5"/>
  <c r="M1084" i="5"/>
  <c r="N1084" i="5"/>
  <c r="G1085" i="5"/>
  <c r="H1085" i="5"/>
  <c r="I1085" i="5"/>
  <c r="J1085" i="5"/>
  <c r="M1085" i="5"/>
  <c r="N1085" i="5"/>
  <c r="G1086" i="5"/>
  <c r="H1086" i="5"/>
  <c r="I1086" i="5"/>
  <c r="J1086" i="5"/>
  <c r="L1086" i="5" s="1"/>
  <c r="M1086" i="5"/>
  <c r="N1086" i="5"/>
  <c r="G1087" i="5"/>
  <c r="L1087" i="5" s="1"/>
  <c r="H1087" i="5"/>
  <c r="I1087" i="5"/>
  <c r="J1087" i="5"/>
  <c r="M1087" i="5"/>
  <c r="N1087" i="5"/>
  <c r="G1088" i="5"/>
  <c r="K1088" i="5" s="1"/>
  <c r="H1088" i="5"/>
  <c r="I1088" i="5"/>
  <c r="J1088" i="5"/>
  <c r="M1088" i="5"/>
  <c r="N1088" i="5"/>
  <c r="G1089" i="5"/>
  <c r="H1089" i="5"/>
  <c r="I1089" i="5"/>
  <c r="J1089" i="5"/>
  <c r="M1089" i="5"/>
  <c r="N1089" i="5"/>
  <c r="G1090" i="5"/>
  <c r="K1090" i="5" s="1"/>
  <c r="H1090" i="5"/>
  <c r="I1090" i="5"/>
  <c r="J1090" i="5"/>
  <c r="M1090" i="5"/>
  <c r="N1090" i="5"/>
  <c r="G1091" i="5"/>
  <c r="L1091" i="5" s="1"/>
  <c r="H1091" i="5"/>
  <c r="I1091" i="5"/>
  <c r="J1091" i="5"/>
  <c r="M1091" i="5"/>
  <c r="N1091" i="5"/>
  <c r="G1092" i="5"/>
  <c r="H1092" i="5"/>
  <c r="I1092" i="5"/>
  <c r="J1092" i="5"/>
  <c r="M1092" i="5"/>
  <c r="N1092" i="5"/>
  <c r="G1093" i="5"/>
  <c r="H1093" i="5"/>
  <c r="I1093" i="5"/>
  <c r="J1093" i="5"/>
  <c r="M1093" i="5"/>
  <c r="N1093" i="5"/>
  <c r="G1094" i="5"/>
  <c r="H1094" i="5"/>
  <c r="I1094" i="5"/>
  <c r="J1094" i="5"/>
  <c r="M1094" i="5"/>
  <c r="N1094" i="5"/>
  <c r="G1095" i="5"/>
  <c r="H1095" i="5"/>
  <c r="I1095" i="5"/>
  <c r="J1095" i="5"/>
  <c r="M1095" i="5"/>
  <c r="N1095" i="5"/>
  <c r="G1096" i="5"/>
  <c r="H1096" i="5"/>
  <c r="I1096" i="5"/>
  <c r="J1096" i="5"/>
  <c r="L1096" i="5"/>
  <c r="M1096" i="5"/>
  <c r="N1096" i="5"/>
  <c r="G1097" i="5"/>
  <c r="H1097" i="5"/>
  <c r="I1097" i="5"/>
  <c r="J1097" i="5"/>
  <c r="K1097" i="5" s="1"/>
  <c r="M1097" i="5"/>
  <c r="N1097" i="5"/>
  <c r="G1098" i="5"/>
  <c r="H1098" i="5"/>
  <c r="I1098" i="5"/>
  <c r="J1098" i="5"/>
  <c r="M1098" i="5"/>
  <c r="N1098" i="5"/>
  <c r="G1099" i="5"/>
  <c r="H1099" i="5"/>
  <c r="I1099" i="5"/>
  <c r="J1099" i="5"/>
  <c r="M1099" i="5"/>
  <c r="N1099" i="5"/>
  <c r="G1100" i="5"/>
  <c r="H1100" i="5"/>
  <c r="I1100" i="5"/>
  <c r="J1100" i="5"/>
  <c r="L1100" i="5"/>
  <c r="M1100" i="5"/>
  <c r="N1100" i="5"/>
  <c r="G1101" i="5"/>
  <c r="H1101" i="5"/>
  <c r="I1101" i="5"/>
  <c r="J1101" i="5"/>
  <c r="M1101" i="5"/>
  <c r="N1101" i="5"/>
  <c r="G1102" i="5"/>
  <c r="H1102" i="5"/>
  <c r="I1102" i="5"/>
  <c r="J1102" i="5"/>
  <c r="M1102" i="5"/>
  <c r="N1102" i="5"/>
  <c r="G1103" i="5"/>
  <c r="H1103" i="5"/>
  <c r="I1103" i="5"/>
  <c r="J1103" i="5"/>
  <c r="M1103" i="5"/>
  <c r="N1103" i="5"/>
  <c r="G1104" i="5"/>
  <c r="H1104" i="5"/>
  <c r="I1104" i="5"/>
  <c r="J1104" i="5"/>
  <c r="M1104" i="5"/>
  <c r="N1104" i="5"/>
  <c r="G1105" i="5"/>
  <c r="K1105" i="5" s="1"/>
  <c r="H1105" i="5"/>
  <c r="I1105" i="5"/>
  <c r="J1105" i="5"/>
  <c r="M1105" i="5"/>
  <c r="N1105" i="5"/>
  <c r="G1106" i="5"/>
  <c r="H1106" i="5"/>
  <c r="I1106" i="5"/>
  <c r="J1106" i="5"/>
  <c r="M1106" i="5"/>
  <c r="N1106" i="5"/>
  <c r="G1107" i="5"/>
  <c r="K1107" i="5" s="1"/>
  <c r="H1107" i="5"/>
  <c r="I1107" i="5"/>
  <c r="J1107" i="5"/>
  <c r="M1107" i="5"/>
  <c r="N1107" i="5"/>
  <c r="G1108" i="5"/>
  <c r="H1108" i="5"/>
  <c r="I1108" i="5"/>
  <c r="J1108" i="5"/>
  <c r="M1108" i="5"/>
  <c r="N1108" i="5"/>
  <c r="G1109" i="5"/>
  <c r="H1109" i="5"/>
  <c r="I1109" i="5"/>
  <c r="J1109" i="5"/>
  <c r="M1109" i="5"/>
  <c r="N1109" i="5"/>
  <c r="G1110" i="5"/>
  <c r="H1110" i="5"/>
  <c r="I1110" i="5"/>
  <c r="J1110" i="5"/>
  <c r="M1110" i="5"/>
  <c r="N1110" i="5"/>
  <c r="G1111" i="5"/>
  <c r="H1111" i="5"/>
  <c r="I1111" i="5"/>
  <c r="J1111" i="5"/>
  <c r="M1111" i="5"/>
  <c r="N1111" i="5"/>
  <c r="G1112" i="5"/>
  <c r="H1112" i="5"/>
  <c r="I1112" i="5"/>
  <c r="J1112" i="5"/>
  <c r="M1112" i="5"/>
  <c r="N1112" i="5"/>
  <c r="G1113" i="5"/>
  <c r="H1113" i="5"/>
  <c r="I1113" i="5"/>
  <c r="J1113" i="5"/>
  <c r="M1113" i="5"/>
  <c r="N1113" i="5"/>
  <c r="G1114" i="5"/>
  <c r="H1114" i="5"/>
  <c r="I1114" i="5"/>
  <c r="J1114" i="5"/>
  <c r="K1114" i="5"/>
  <c r="M1114" i="5"/>
  <c r="N1114" i="5"/>
  <c r="G1115" i="5"/>
  <c r="K1115" i="5" s="1"/>
  <c r="H1115" i="5"/>
  <c r="I1115" i="5"/>
  <c r="J1115" i="5"/>
  <c r="M1115" i="5"/>
  <c r="N1115" i="5"/>
  <c r="G1116" i="5"/>
  <c r="H1116" i="5"/>
  <c r="I1116" i="5"/>
  <c r="J1116" i="5"/>
  <c r="M1116" i="5"/>
  <c r="N1116" i="5"/>
  <c r="G1117" i="5"/>
  <c r="H1117" i="5"/>
  <c r="I1117" i="5"/>
  <c r="J1117" i="5"/>
  <c r="M1117" i="5"/>
  <c r="N1117" i="5"/>
  <c r="G1118" i="5"/>
  <c r="H1118" i="5"/>
  <c r="I1118" i="5"/>
  <c r="J1118" i="5"/>
  <c r="M1118" i="5"/>
  <c r="N1118" i="5"/>
  <c r="G1119" i="5"/>
  <c r="H1119" i="5"/>
  <c r="I1119" i="5"/>
  <c r="J1119" i="5"/>
  <c r="M1119" i="5"/>
  <c r="N1119" i="5"/>
  <c r="G1120" i="5"/>
  <c r="H1120" i="5"/>
  <c r="I1120" i="5"/>
  <c r="J1120" i="5"/>
  <c r="M1120" i="5"/>
  <c r="N1120" i="5"/>
  <c r="G1121" i="5"/>
  <c r="H1121" i="5"/>
  <c r="I1121" i="5"/>
  <c r="J1121" i="5"/>
  <c r="M1121" i="5"/>
  <c r="N1121" i="5"/>
  <c r="G1122" i="5"/>
  <c r="H1122" i="5"/>
  <c r="I1122" i="5"/>
  <c r="J1122" i="5"/>
  <c r="M1122" i="5"/>
  <c r="N1122" i="5"/>
  <c r="G1123" i="5"/>
  <c r="K1123" i="5" s="1"/>
  <c r="H1123" i="5"/>
  <c r="I1123" i="5"/>
  <c r="J1123" i="5"/>
  <c r="M1123" i="5"/>
  <c r="N1123" i="5"/>
  <c r="G1124" i="5"/>
  <c r="H1124" i="5"/>
  <c r="I1124" i="5"/>
  <c r="J1124" i="5"/>
  <c r="M1124" i="5"/>
  <c r="N1124" i="5"/>
  <c r="G1125" i="5"/>
  <c r="H1125" i="5"/>
  <c r="I1125" i="5"/>
  <c r="J1125" i="5"/>
  <c r="M1125" i="5"/>
  <c r="N1125" i="5"/>
  <c r="G1126" i="5"/>
  <c r="H1126" i="5"/>
  <c r="I1126" i="5"/>
  <c r="J1126" i="5"/>
  <c r="M1126" i="5"/>
  <c r="N1126" i="5"/>
  <c r="G1127" i="5"/>
  <c r="K1127" i="5" s="1"/>
  <c r="H1127" i="5"/>
  <c r="I1127" i="5"/>
  <c r="J1127" i="5"/>
  <c r="M1127" i="5"/>
  <c r="N1127" i="5"/>
  <c r="G1128" i="5"/>
  <c r="H1128" i="5"/>
  <c r="I1128" i="5"/>
  <c r="J1128" i="5"/>
  <c r="M1128" i="5"/>
  <c r="N1128" i="5"/>
  <c r="G1129" i="5"/>
  <c r="H1129" i="5"/>
  <c r="I1129" i="5"/>
  <c r="J1129" i="5"/>
  <c r="M1129" i="5"/>
  <c r="N1129" i="5"/>
  <c r="G1130" i="5"/>
  <c r="H1130" i="5"/>
  <c r="I1130" i="5"/>
  <c r="J1130" i="5"/>
  <c r="M1130" i="5"/>
  <c r="N1130" i="5"/>
  <c r="G1131" i="5"/>
  <c r="H1131" i="5"/>
  <c r="I1131" i="5"/>
  <c r="J1131" i="5"/>
  <c r="M1131" i="5"/>
  <c r="N1131" i="5"/>
  <c r="G1132" i="5"/>
  <c r="H1132" i="5"/>
  <c r="I1132" i="5"/>
  <c r="J1132" i="5"/>
  <c r="M1132" i="5"/>
  <c r="N1132" i="5"/>
  <c r="G1133" i="5"/>
  <c r="H1133" i="5"/>
  <c r="I1133" i="5"/>
  <c r="J1133" i="5"/>
  <c r="M1133" i="5"/>
  <c r="N1133" i="5"/>
  <c r="G1134" i="5"/>
  <c r="H1134" i="5"/>
  <c r="I1134" i="5"/>
  <c r="J1134" i="5"/>
  <c r="M1134" i="5"/>
  <c r="N1134" i="5"/>
  <c r="G1135" i="5"/>
  <c r="H1135" i="5"/>
  <c r="I1135" i="5"/>
  <c r="J1135" i="5"/>
  <c r="L1135" i="5"/>
  <c r="M1135" i="5"/>
  <c r="N1135" i="5"/>
  <c r="G1136" i="5"/>
  <c r="H1136" i="5"/>
  <c r="I1136" i="5"/>
  <c r="J1136" i="5"/>
  <c r="M1136" i="5"/>
  <c r="N1136" i="5"/>
  <c r="G1137" i="5"/>
  <c r="H1137" i="5"/>
  <c r="I1137" i="5"/>
  <c r="J1137" i="5"/>
  <c r="M1137" i="5"/>
  <c r="N1137" i="5"/>
  <c r="G1138" i="5"/>
  <c r="H1138" i="5"/>
  <c r="I1138" i="5"/>
  <c r="J1138" i="5"/>
  <c r="M1138" i="5"/>
  <c r="N1138" i="5"/>
  <c r="G1139" i="5"/>
  <c r="H1139" i="5"/>
  <c r="I1139" i="5"/>
  <c r="J1139" i="5"/>
  <c r="M1139" i="5"/>
  <c r="N1139" i="5"/>
  <c r="G1140" i="5"/>
  <c r="H1140" i="5"/>
  <c r="I1140" i="5"/>
  <c r="J1140" i="5"/>
  <c r="M1140" i="5"/>
  <c r="N1140" i="5"/>
  <c r="G1141" i="5"/>
  <c r="H1141" i="5"/>
  <c r="I1141" i="5"/>
  <c r="J1141" i="5"/>
  <c r="M1141" i="5"/>
  <c r="N1141" i="5"/>
  <c r="G1142" i="5"/>
  <c r="H1142" i="5"/>
  <c r="I1142" i="5"/>
  <c r="J1142" i="5"/>
  <c r="M1142" i="5"/>
  <c r="N1142" i="5"/>
  <c r="G1143" i="5"/>
  <c r="H1143" i="5"/>
  <c r="I1143" i="5"/>
  <c r="J1143" i="5"/>
  <c r="M1143" i="5"/>
  <c r="N1143" i="5"/>
  <c r="G1144" i="5"/>
  <c r="K1144" i="5" s="1"/>
  <c r="H1144" i="5"/>
  <c r="I1144" i="5"/>
  <c r="J1144" i="5"/>
  <c r="M1144" i="5"/>
  <c r="N1144" i="5"/>
  <c r="G1145" i="5"/>
  <c r="H1145" i="5"/>
  <c r="I1145" i="5"/>
  <c r="J1145" i="5"/>
  <c r="M1145" i="5"/>
  <c r="N1145" i="5"/>
  <c r="G1146" i="5"/>
  <c r="H1146" i="5"/>
  <c r="I1146" i="5"/>
  <c r="J1146" i="5"/>
  <c r="M1146" i="5"/>
  <c r="N1146" i="5"/>
  <c r="G1147" i="5"/>
  <c r="H1147" i="5"/>
  <c r="I1147" i="5"/>
  <c r="J1147" i="5"/>
  <c r="M1147" i="5"/>
  <c r="N1147" i="5"/>
  <c r="G1148" i="5"/>
  <c r="H1148" i="5"/>
  <c r="I1148" i="5"/>
  <c r="J1148" i="5"/>
  <c r="M1148" i="5"/>
  <c r="N1148" i="5"/>
  <c r="G1149" i="5"/>
  <c r="H1149" i="5"/>
  <c r="I1149" i="5"/>
  <c r="J1149" i="5"/>
  <c r="M1149" i="5"/>
  <c r="N1149" i="5"/>
  <c r="G1150" i="5"/>
  <c r="H1150" i="5"/>
  <c r="I1150" i="5"/>
  <c r="J1150" i="5"/>
  <c r="M1150" i="5"/>
  <c r="N1150" i="5"/>
  <c r="G1151" i="5"/>
  <c r="H1151" i="5"/>
  <c r="I1151" i="5"/>
  <c r="J1151" i="5"/>
  <c r="L1151" i="5"/>
  <c r="M1151" i="5"/>
  <c r="N1151" i="5"/>
  <c r="G1152" i="5"/>
  <c r="H1152" i="5"/>
  <c r="I1152" i="5"/>
  <c r="J1152" i="5"/>
  <c r="K1152" i="5"/>
  <c r="M1152" i="5"/>
  <c r="N1152" i="5"/>
  <c r="G1153" i="5"/>
  <c r="H1153" i="5"/>
  <c r="I1153" i="5"/>
  <c r="J1153" i="5"/>
  <c r="M1153" i="5"/>
  <c r="N1153" i="5"/>
  <c r="G1154" i="5"/>
  <c r="H1154" i="5"/>
  <c r="I1154" i="5"/>
  <c r="J1154" i="5"/>
  <c r="K1154" i="5"/>
  <c r="M1154" i="5"/>
  <c r="N1154" i="5"/>
  <c r="G1155" i="5"/>
  <c r="H1155" i="5"/>
  <c r="I1155" i="5"/>
  <c r="J1155" i="5"/>
  <c r="M1155" i="5"/>
  <c r="N1155" i="5"/>
  <c r="G1156" i="5"/>
  <c r="H1156" i="5"/>
  <c r="I1156" i="5"/>
  <c r="J1156" i="5"/>
  <c r="M1156" i="5"/>
  <c r="N1156" i="5"/>
  <c r="G1157" i="5"/>
  <c r="H1157" i="5"/>
  <c r="I1157" i="5"/>
  <c r="J1157" i="5"/>
  <c r="M1157" i="5"/>
  <c r="N1157" i="5"/>
  <c r="G1158" i="5"/>
  <c r="L1158" i="5" s="1"/>
  <c r="H1158" i="5"/>
  <c r="I1158" i="5"/>
  <c r="J1158" i="5"/>
  <c r="M1158" i="5"/>
  <c r="N1158" i="5"/>
  <c r="G1159" i="5"/>
  <c r="K1159" i="5" s="1"/>
  <c r="H1159" i="5"/>
  <c r="I1159" i="5"/>
  <c r="J1159" i="5"/>
  <c r="M1159" i="5"/>
  <c r="N1159" i="5"/>
  <c r="G1160" i="5"/>
  <c r="K1160" i="5" s="1"/>
  <c r="H1160" i="5"/>
  <c r="I1160" i="5"/>
  <c r="L1160" i="5" s="1"/>
  <c r="J1160" i="5"/>
  <c r="M1160" i="5"/>
  <c r="N1160" i="5"/>
  <c r="G1161" i="5"/>
  <c r="H1161" i="5"/>
  <c r="I1161" i="5"/>
  <c r="J1161" i="5"/>
  <c r="L1161" i="5" s="1"/>
  <c r="M1161" i="5"/>
  <c r="N1161" i="5"/>
  <c r="G1162" i="5"/>
  <c r="H1162" i="5"/>
  <c r="I1162" i="5"/>
  <c r="J1162" i="5"/>
  <c r="M1162" i="5"/>
  <c r="N1162" i="5"/>
  <c r="G1163" i="5"/>
  <c r="H1163" i="5"/>
  <c r="I1163" i="5"/>
  <c r="J1163" i="5"/>
  <c r="M1163" i="5"/>
  <c r="N1163" i="5"/>
  <c r="G1164" i="5"/>
  <c r="H1164" i="5"/>
  <c r="I1164" i="5"/>
  <c r="J1164" i="5"/>
  <c r="M1164" i="5"/>
  <c r="N1164" i="5"/>
  <c r="G1165" i="5"/>
  <c r="L1165" i="5" s="1"/>
  <c r="H1165" i="5"/>
  <c r="I1165" i="5"/>
  <c r="J1165" i="5"/>
  <c r="M1165" i="5"/>
  <c r="N1165" i="5"/>
  <c r="G1166" i="5"/>
  <c r="H1166" i="5"/>
  <c r="I1166" i="5"/>
  <c r="J1166" i="5"/>
  <c r="M1166" i="5"/>
  <c r="N1166" i="5"/>
  <c r="G1167" i="5"/>
  <c r="H1167" i="5"/>
  <c r="I1167" i="5"/>
  <c r="J1167" i="5"/>
  <c r="M1167" i="5"/>
  <c r="N1167" i="5"/>
  <c r="G1168" i="5"/>
  <c r="K1168" i="5" s="1"/>
  <c r="H1168" i="5"/>
  <c r="I1168" i="5"/>
  <c r="J1168" i="5"/>
  <c r="M1168" i="5"/>
  <c r="N1168" i="5"/>
  <c r="G1169" i="5"/>
  <c r="K1169" i="5" s="1"/>
  <c r="H1169" i="5"/>
  <c r="I1169" i="5"/>
  <c r="J1169" i="5"/>
  <c r="M1169" i="5"/>
  <c r="N1169" i="5"/>
  <c r="G1170" i="5"/>
  <c r="L1170" i="5" s="1"/>
  <c r="H1170" i="5"/>
  <c r="I1170" i="5"/>
  <c r="J1170" i="5"/>
  <c r="M1170" i="5"/>
  <c r="N1170" i="5"/>
  <c r="G1171" i="5"/>
  <c r="H1171" i="5"/>
  <c r="I1171" i="5"/>
  <c r="J1171" i="5"/>
  <c r="M1171" i="5"/>
  <c r="N1171" i="5"/>
  <c r="G1172" i="5"/>
  <c r="H1172" i="5"/>
  <c r="I1172" i="5"/>
  <c r="J1172" i="5"/>
  <c r="M1172" i="5"/>
  <c r="N1172" i="5"/>
  <c r="G1173" i="5"/>
  <c r="H1173" i="5"/>
  <c r="I1173" i="5"/>
  <c r="J1173" i="5"/>
  <c r="M1173" i="5"/>
  <c r="N1173" i="5"/>
  <c r="G1174" i="5"/>
  <c r="H1174" i="5"/>
  <c r="I1174" i="5"/>
  <c r="J1174" i="5"/>
  <c r="L1174" i="5"/>
  <c r="M1174" i="5"/>
  <c r="N1174" i="5"/>
  <c r="G1175" i="5"/>
  <c r="H1175" i="5"/>
  <c r="I1175" i="5"/>
  <c r="J1175" i="5"/>
  <c r="M1175" i="5"/>
  <c r="N1175" i="5"/>
  <c r="G1176" i="5"/>
  <c r="H1176" i="5"/>
  <c r="I1176" i="5"/>
  <c r="J1176" i="5"/>
  <c r="M1176" i="5"/>
  <c r="N1176" i="5"/>
  <c r="G1177" i="5"/>
  <c r="H1177" i="5"/>
  <c r="I1177" i="5"/>
  <c r="J1177" i="5"/>
  <c r="M1177" i="5"/>
  <c r="N1177" i="5"/>
  <c r="G1178" i="5"/>
  <c r="H1178" i="5"/>
  <c r="I1178" i="5"/>
  <c r="J1178" i="5"/>
  <c r="K1178" i="5" s="1"/>
  <c r="M1178" i="5"/>
  <c r="N1178" i="5"/>
  <c r="G1179" i="5"/>
  <c r="H1179" i="5"/>
  <c r="I1179" i="5"/>
  <c r="J1179" i="5"/>
  <c r="M1179" i="5"/>
  <c r="N1179" i="5"/>
  <c r="G1180" i="5"/>
  <c r="H1180" i="5"/>
  <c r="I1180" i="5"/>
  <c r="J1180" i="5"/>
  <c r="M1180" i="5"/>
  <c r="N1180" i="5"/>
  <c r="G1181" i="5"/>
  <c r="L1181" i="5" s="1"/>
  <c r="H1181" i="5"/>
  <c r="I1181" i="5"/>
  <c r="J1181" i="5"/>
  <c r="M1181" i="5"/>
  <c r="N1181" i="5"/>
  <c r="G1182" i="5"/>
  <c r="H1182" i="5"/>
  <c r="I1182" i="5"/>
  <c r="J1182" i="5"/>
  <c r="M1182" i="5"/>
  <c r="N1182" i="5"/>
  <c r="G1183" i="5"/>
  <c r="L1183" i="5" s="1"/>
  <c r="H1183" i="5"/>
  <c r="I1183" i="5"/>
  <c r="J1183" i="5"/>
  <c r="M1183" i="5"/>
  <c r="N1183" i="5"/>
  <c r="G1184" i="5"/>
  <c r="K1184" i="5" s="1"/>
  <c r="H1184" i="5"/>
  <c r="I1184" i="5"/>
  <c r="J1184" i="5"/>
  <c r="M1184" i="5"/>
  <c r="N1184" i="5"/>
  <c r="G1185" i="5"/>
  <c r="H1185" i="5"/>
  <c r="I1185" i="5"/>
  <c r="J1185" i="5"/>
  <c r="M1185" i="5"/>
  <c r="N1185" i="5"/>
  <c r="G1186" i="5"/>
  <c r="H1186" i="5"/>
  <c r="I1186" i="5"/>
  <c r="J1186" i="5"/>
  <c r="M1186" i="5"/>
  <c r="N1186" i="5"/>
  <c r="G1187" i="5"/>
  <c r="H1187" i="5"/>
  <c r="I1187" i="5"/>
  <c r="J1187" i="5"/>
  <c r="M1187" i="5"/>
  <c r="N1187" i="5"/>
  <c r="G1188" i="5"/>
  <c r="H1188" i="5"/>
  <c r="I1188" i="5"/>
  <c r="J1188" i="5"/>
  <c r="M1188" i="5"/>
  <c r="N1188" i="5"/>
  <c r="G1189" i="5"/>
  <c r="H1189" i="5"/>
  <c r="I1189" i="5"/>
  <c r="J1189" i="5"/>
  <c r="M1189" i="5"/>
  <c r="N1189" i="5"/>
  <c r="G1190" i="5"/>
  <c r="H1190" i="5"/>
  <c r="I1190" i="5"/>
  <c r="J1190" i="5"/>
  <c r="M1190" i="5"/>
  <c r="N1190" i="5"/>
  <c r="G1191" i="5"/>
  <c r="H1191" i="5"/>
  <c r="I1191" i="5"/>
  <c r="J1191" i="5"/>
  <c r="M1191" i="5"/>
  <c r="N1191" i="5"/>
  <c r="G1192" i="5"/>
  <c r="H1192" i="5"/>
  <c r="I1192" i="5"/>
  <c r="J1192" i="5"/>
  <c r="M1192" i="5"/>
  <c r="N1192" i="5"/>
  <c r="G1193" i="5"/>
  <c r="H1193" i="5"/>
  <c r="I1193" i="5"/>
  <c r="J1193" i="5"/>
  <c r="M1193" i="5"/>
  <c r="N1193" i="5"/>
  <c r="G1194" i="5"/>
  <c r="H1194" i="5"/>
  <c r="I1194" i="5"/>
  <c r="J1194" i="5"/>
  <c r="M1194" i="5"/>
  <c r="N1194" i="5"/>
  <c r="G1195" i="5"/>
  <c r="H1195" i="5"/>
  <c r="I1195" i="5"/>
  <c r="J1195" i="5"/>
  <c r="M1195" i="5"/>
  <c r="N1195" i="5"/>
  <c r="G1196" i="5"/>
  <c r="H1196" i="5"/>
  <c r="I1196" i="5"/>
  <c r="J1196" i="5"/>
  <c r="M1196" i="5"/>
  <c r="N1196" i="5"/>
  <c r="G1197" i="5"/>
  <c r="H1197" i="5"/>
  <c r="K1197" i="5" s="1"/>
  <c r="I1197" i="5"/>
  <c r="J1197" i="5"/>
  <c r="M1197" i="5"/>
  <c r="N1197" i="5"/>
  <c r="G1198" i="5"/>
  <c r="H1198" i="5"/>
  <c r="I1198" i="5"/>
  <c r="J1198" i="5"/>
  <c r="M1198" i="5"/>
  <c r="N1198" i="5"/>
  <c r="G1199" i="5"/>
  <c r="L1199" i="5" s="1"/>
  <c r="H1199" i="5"/>
  <c r="K1199" i="5" s="1"/>
  <c r="I1199" i="5"/>
  <c r="J1199" i="5"/>
  <c r="M1199" i="5"/>
  <c r="N1199" i="5"/>
  <c r="G1200" i="5"/>
  <c r="H1200" i="5"/>
  <c r="I1200" i="5"/>
  <c r="J1200" i="5"/>
  <c r="M1200" i="5"/>
  <c r="N1200" i="5"/>
  <c r="G1201" i="5"/>
  <c r="H1201" i="5"/>
  <c r="I1201" i="5"/>
  <c r="J1201" i="5"/>
  <c r="M1201" i="5"/>
  <c r="N1201" i="5"/>
  <c r="G1202" i="5"/>
  <c r="H1202" i="5"/>
  <c r="I1202" i="5"/>
  <c r="K1202" i="5" s="1"/>
  <c r="J1202" i="5"/>
  <c r="M1202" i="5"/>
  <c r="N1202" i="5"/>
  <c r="G1203" i="5"/>
  <c r="H1203" i="5"/>
  <c r="I1203" i="5"/>
  <c r="J1203" i="5"/>
  <c r="M1203" i="5"/>
  <c r="N1203" i="5"/>
  <c r="G1204" i="5"/>
  <c r="H1204" i="5"/>
  <c r="I1204" i="5"/>
  <c r="J1204" i="5"/>
  <c r="M1204" i="5"/>
  <c r="N1204" i="5"/>
  <c r="G1205" i="5"/>
  <c r="H1205" i="5"/>
  <c r="I1205" i="5"/>
  <c r="J1205" i="5"/>
  <c r="M1205" i="5"/>
  <c r="N1205" i="5"/>
  <c r="G1206" i="5"/>
  <c r="H1206" i="5"/>
  <c r="I1206" i="5"/>
  <c r="J1206" i="5"/>
  <c r="M1206" i="5"/>
  <c r="N1206" i="5"/>
  <c r="G1207" i="5"/>
  <c r="H1207" i="5"/>
  <c r="I1207" i="5"/>
  <c r="J1207" i="5"/>
  <c r="M1207" i="5"/>
  <c r="N1207" i="5"/>
  <c r="G1208" i="5"/>
  <c r="H1208" i="5"/>
  <c r="I1208" i="5"/>
  <c r="J1208" i="5"/>
  <c r="M1208" i="5"/>
  <c r="N1208" i="5"/>
  <c r="G1209" i="5"/>
  <c r="H1209" i="5"/>
  <c r="I1209" i="5"/>
  <c r="J1209" i="5"/>
  <c r="M1209" i="5"/>
  <c r="N1209" i="5"/>
  <c r="G1210" i="5"/>
  <c r="L1210" i="5" s="1"/>
  <c r="H1210" i="5"/>
  <c r="I1210" i="5"/>
  <c r="J1210" i="5"/>
  <c r="M1210" i="5"/>
  <c r="N1210" i="5"/>
  <c r="G1211" i="5"/>
  <c r="H1211" i="5"/>
  <c r="I1211" i="5"/>
  <c r="J1211" i="5"/>
  <c r="M1211" i="5"/>
  <c r="N1211" i="5"/>
  <c r="G1212" i="5"/>
  <c r="H1212" i="5"/>
  <c r="I1212" i="5"/>
  <c r="J1212" i="5"/>
  <c r="M1212" i="5"/>
  <c r="N1212" i="5"/>
  <c r="G1213" i="5"/>
  <c r="H1213" i="5"/>
  <c r="I1213" i="5"/>
  <c r="J1213" i="5"/>
  <c r="M1213" i="5"/>
  <c r="N1213" i="5"/>
  <c r="G1214" i="5"/>
  <c r="H1214" i="5"/>
  <c r="I1214" i="5"/>
  <c r="J1214" i="5"/>
  <c r="M1214" i="5"/>
  <c r="N1214" i="5"/>
  <c r="G1215" i="5"/>
  <c r="H1215" i="5"/>
  <c r="I1215" i="5"/>
  <c r="J1215" i="5"/>
  <c r="M1215" i="5"/>
  <c r="N1215" i="5"/>
  <c r="G1216" i="5"/>
  <c r="H1216" i="5"/>
  <c r="I1216" i="5"/>
  <c r="J1216" i="5"/>
  <c r="M1216" i="5"/>
  <c r="N1216" i="5"/>
  <c r="G1217" i="5"/>
  <c r="H1217" i="5"/>
  <c r="I1217" i="5"/>
  <c r="J1217" i="5"/>
  <c r="M1217" i="5"/>
  <c r="N1217" i="5"/>
  <c r="G1218" i="5"/>
  <c r="H1218" i="5"/>
  <c r="I1218" i="5"/>
  <c r="J1218" i="5"/>
  <c r="M1218" i="5"/>
  <c r="N1218" i="5"/>
  <c r="G1219" i="5"/>
  <c r="K1219" i="5" s="1"/>
  <c r="H1219" i="5"/>
  <c r="I1219" i="5"/>
  <c r="J1219" i="5"/>
  <c r="M1219" i="5"/>
  <c r="N1219" i="5"/>
  <c r="G1220" i="5"/>
  <c r="H1220" i="5"/>
  <c r="I1220" i="5"/>
  <c r="J1220" i="5"/>
  <c r="M1220" i="5"/>
  <c r="N1220" i="5"/>
  <c r="G1221" i="5"/>
  <c r="H1221" i="5"/>
  <c r="I1221" i="5"/>
  <c r="J1221" i="5"/>
  <c r="M1221" i="5"/>
  <c r="N1221" i="5"/>
  <c r="G1222" i="5"/>
  <c r="H1222" i="5"/>
  <c r="I1222" i="5"/>
  <c r="J1222" i="5"/>
  <c r="M1222" i="5"/>
  <c r="N1222" i="5"/>
  <c r="G1223" i="5"/>
  <c r="H1223" i="5"/>
  <c r="I1223" i="5"/>
  <c r="J1223" i="5"/>
  <c r="M1223" i="5"/>
  <c r="N1223" i="5"/>
  <c r="G1224" i="5"/>
  <c r="H1224" i="5"/>
  <c r="I1224" i="5"/>
  <c r="J1224" i="5"/>
  <c r="M1224" i="5"/>
  <c r="N1224" i="5"/>
  <c r="G1225" i="5"/>
  <c r="H1225" i="5"/>
  <c r="I1225" i="5"/>
  <c r="J1225" i="5"/>
  <c r="M1225" i="5"/>
  <c r="N1225" i="5"/>
  <c r="G1226" i="5"/>
  <c r="H1226" i="5"/>
  <c r="I1226" i="5"/>
  <c r="J1226" i="5"/>
  <c r="M1226" i="5"/>
  <c r="N1226" i="5"/>
  <c r="G1227" i="5"/>
  <c r="H1227" i="5"/>
  <c r="I1227" i="5"/>
  <c r="J1227" i="5"/>
  <c r="M1227" i="5"/>
  <c r="N1227" i="5"/>
  <c r="G1228" i="5"/>
  <c r="H1228" i="5"/>
  <c r="I1228" i="5"/>
  <c r="J1228" i="5"/>
  <c r="M1228" i="5"/>
  <c r="N1228" i="5"/>
  <c r="G1229" i="5"/>
  <c r="H1229" i="5"/>
  <c r="I1229" i="5"/>
  <c r="J1229" i="5"/>
  <c r="M1229" i="5"/>
  <c r="N1229" i="5"/>
  <c r="G1230" i="5"/>
  <c r="H1230" i="5"/>
  <c r="I1230" i="5"/>
  <c r="J1230" i="5"/>
  <c r="M1230" i="5"/>
  <c r="N1230" i="5"/>
  <c r="G1231" i="5"/>
  <c r="H1231" i="5"/>
  <c r="I1231" i="5"/>
  <c r="J1231" i="5"/>
  <c r="M1231" i="5"/>
  <c r="N1231" i="5"/>
  <c r="G1232" i="5"/>
  <c r="K1232" i="5" s="1"/>
  <c r="H1232" i="5"/>
  <c r="I1232" i="5"/>
  <c r="J1232" i="5"/>
  <c r="M1232" i="5"/>
  <c r="N1232" i="5"/>
  <c r="G1233" i="5"/>
  <c r="K1233" i="5" s="1"/>
  <c r="H1233" i="5"/>
  <c r="I1233" i="5"/>
  <c r="J1233" i="5"/>
  <c r="M1233" i="5"/>
  <c r="N1233" i="5"/>
  <c r="G1234" i="5"/>
  <c r="H1234" i="5"/>
  <c r="I1234" i="5"/>
  <c r="J1234" i="5"/>
  <c r="M1234" i="5"/>
  <c r="N1234" i="5"/>
  <c r="G1235" i="5"/>
  <c r="H1235" i="5"/>
  <c r="I1235" i="5"/>
  <c r="J1235" i="5"/>
  <c r="M1235" i="5"/>
  <c r="N1235" i="5"/>
  <c r="G1236" i="5"/>
  <c r="H1236" i="5"/>
  <c r="I1236" i="5"/>
  <c r="J1236" i="5"/>
  <c r="M1236" i="5"/>
  <c r="N1236" i="5"/>
  <c r="G1237" i="5"/>
  <c r="H1237" i="5"/>
  <c r="I1237" i="5"/>
  <c r="J1237" i="5"/>
  <c r="M1237" i="5"/>
  <c r="N1237" i="5"/>
  <c r="G1238" i="5"/>
  <c r="H1238" i="5"/>
  <c r="I1238" i="5"/>
  <c r="J1238" i="5"/>
  <c r="M1238" i="5"/>
  <c r="N1238" i="5"/>
  <c r="G1239" i="5"/>
  <c r="H1239" i="5"/>
  <c r="I1239" i="5"/>
  <c r="J1239" i="5"/>
  <c r="M1239" i="5"/>
  <c r="N1239" i="5"/>
  <c r="G1240" i="5"/>
  <c r="H1240" i="5"/>
  <c r="I1240" i="5"/>
  <c r="J1240" i="5"/>
  <c r="M1240" i="5"/>
  <c r="N1240" i="5"/>
  <c r="G1241" i="5"/>
  <c r="H1241" i="5"/>
  <c r="I1241" i="5"/>
  <c r="J1241" i="5"/>
  <c r="M1241" i="5"/>
  <c r="N1241" i="5"/>
  <c r="G1242" i="5"/>
  <c r="H1242" i="5"/>
  <c r="I1242" i="5"/>
  <c r="J1242" i="5"/>
  <c r="M1242" i="5"/>
  <c r="N1242" i="5"/>
  <c r="G1243" i="5"/>
  <c r="H1243" i="5"/>
  <c r="I1243" i="5"/>
  <c r="J1243" i="5"/>
  <c r="M1243" i="5"/>
  <c r="N1243" i="5"/>
  <c r="G1244" i="5"/>
  <c r="H1244" i="5"/>
  <c r="I1244" i="5"/>
  <c r="J1244" i="5"/>
  <c r="M1244" i="5"/>
  <c r="N1244" i="5"/>
  <c r="G1245" i="5"/>
  <c r="H1245" i="5"/>
  <c r="I1245" i="5"/>
  <c r="J1245" i="5"/>
  <c r="M1245" i="5"/>
  <c r="N1245" i="5"/>
  <c r="G1246" i="5"/>
  <c r="H1246" i="5"/>
  <c r="I1246" i="5"/>
  <c r="L1246" i="5" s="1"/>
  <c r="J1246" i="5"/>
  <c r="M1246" i="5"/>
  <c r="N1246" i="5"/>
  <c r="G1247" i="5"/>
  <c r="H1247" i="5"/>
  <c r="I1247" i="5"/>
  <c r="J1247" i="5"/>
  <c r="M1247" i="5"/>
  <c r="N1247" i="5"/>
  <c r="G1248" i="5"/>
  <c r="H1248" i="5"/>
  <c r="I1248" i="5"/>
  <c r="J1248" i="5"/>
  <c r="M1248" i="5"/>
  <c r="N1248" i="5"/>
  <c r="G1249" i="5"/>
  <c r="H1249" i="5"/>
  <c r="I1249" i="5"/>
  <c r="J1249" i="5"/>
  <c r="M1249" i="5"/>
  <c r="N1249" i="5"/>
  <c r="G1250" i="5"/>
  <c r="H1250" i="5"/>
  <c r="I1250" i="5"/>
  <c r="J1250" i="5"/>
  <c r="M1250" i="5"/>
  <c r="N1250" i="5"/>
  <c r="G1251" i="5"/>
  <c r="H1251" i="5"/>
  <c r="I1251" i="5"/>
  <c r="J1251" i="5"/>
  <c r="M1251" i="5"/>
  <c r="N1251" i="5"/>
  <c r="G1252" i="5"/>
  <c r="H1252" i="5"/>
  <c r="I1252" i="5"/>
  <c r="J1252" i="5"/>
  <c r="M1252" i="5"/>
  <c r="N1252" i="5"/>
  <c r="G1253" i="5"/>
  <c r="H1253" i="5"/>
  <c r="I1253" i="5"/>
  <c r="J1253" i="5"/>
  <c r="M1253" i="5"/>
  <c r="N1253" i="5"/>
  <c r="G1254" i="5"/>
  <c r="H1254" i="5"/>
  <c r="I1254" i="5"/>
  <c r="J1254" i="5"/>
  <c r="M1254" i="5"/>
  <c r="N1254" i="5"/>
  <c r="G1255" i="5"/>
  <c r="H1255" i="5"/>
  <c r="I1255" i="5"/>
  <c r="J1255" i="5"/>
  <c r="M1255" i="5"/>
  <c r="N1255" i="5"/>
  <c r="G1256" i="5"/>
  <c r="H1256" i="5"/>
  <c r="I1256" i="5"/>
  <c r="J1256" i="5"/>
  <c r="M1256" i="5"/>
  <c r="N1256" i="5"/>
  <c r="G1257" i="5"/>
  <c r="H1257" i="5"/>
  <c r="I1257" i="5"/>
  <c r="J1257" i="5"/>
  <c r="M1257" i="5"/>
  <c r="N1257" i="5"/>
  <c r="G1258" i="5"/>
  <c r="H1258" i="5"/>
  <c r="I1258" i="5"/>
  <c r="J1258" i="5"/>
  <c r="M1258" i="5"/>
  <c r="N1258" i="5"/>
  <c r="G1259" i="5"/>
  <c r="H1259" i="5"/>
  <c r="I1259" i="5"/>
  <c r="J1259" i="5"/>
  <c r="M1259" i="5"/>
  <c r="N1259" i="5"/>
  <c r="G1260" i="5"/>
  <c r="H1260" i="5"/>
  <c r="I1260" i="5"/>
  <c r="J1260" i="5"/>
  <c r="M1260" i="5"/>
  <c r="N1260" i="5"/>
  <c r="G1261" i="5"/>
  <c r="H1261" i="5"/>
  <c r="I1261" i="5"/>
  <c r="J1261" i="5"/>
  <c r="M1261" i="5"/>
  <c r="N1261" i="5"/>
  <c r="G1262" i="5"/>
  <c r="H1262" i="5"/>
  <c r="I1262" i="5"/>
  <c r="J1262" i="5"/>
  <c r="M1262" i="5"/>
  <c r="N1262" i="5"/>
  <c r="G1263" i="5"/>
  <c r="H1263" i="5"/>
  <c r="I1263" i="5"/>
  <c r="J1263" i="5"/>
  <c r="M1263" i="5"/>
  <c r="N1263" i="5"/>
  <c r="G1264" i="5"/>
  <c r="H1264" i="5"/>
  <c r="I1264" i="5"/>
  <c r="L1264" i="5" s="1"/>
  <c r="J1264" i="5"/>
  <c r="M1264" i="5"/>
  <c r="N1264" i="5"/>
  <c r="G1265" i="5"/>
  <c r="H1265" i="5"/>
  <c r="I1265" i="5"/>
  <c r="J1265" i="5"/>
  <c r="M1265" i="5"/>
  <c r="N1265" i="5"/>
  <c r="G1266" i="5"/>
  <c r="H1266" i="5"/>
  <c r="I1266" i="5"/>
  <c r="J1266" i="5"/>
  <c r="M1266" i="5"/>
  <c r="N1266" i="5"/>
  <c r="G1267" i="5"/>
  <c r="H1267" i="5"/>
  <c r="I1267" i="5"/>
  <c r="J1267" i="5"/>
  <c r="M1267" i="5"/>
  <c r="N1267" i="5"/>
  <c r="G1268" i="5"/>
  <c r="H1268" i="5"/>
  <c r="I1268" i="5"/>
  <c r="J1268" i="5"/>
  <c r="M1268" i="5"/>
  <c r="N1268" i="5"/>
  <c r="G1269" i="5"/>
  <c r="H1269" i="5"/>
  <c r="I1269" i="5"/>
  <c r="J1269" i="5"/>
  <c r="M1269" i="5"/>
  <c r="N1269" i="5"/>
  <c r="G1270" i="5"/>
  <c r="H1270" i="5"/>
  <c r="I1270" i="5"/>
  <c r="J1270" i="5"/>
  <c r="M1270" i="5"/>
  <c r="N1270" i="5"/>
  <c r="G1271" i="5"/>
  <c r="H1271" i="5"/>
  <c r="I1271" i="5"/>
  <c r="J1271" i="5"/>
  <c r="M1271" i="5"/>
  <c r="N1271" i="5"/>
  <c r="G1272" i="5"/>
  <c r="H1272" i="5"/>
  <c r="I1272" i="5"/>
  <c r="J1272" i="5"/>
  <c r="M1272" i="5"/>
  <c r="N1272" i="5"/>
  <c r="G1273" i="5"/>
  <c r="H1273" i="5"/>
  <c r="I1273" i="5"/>
  <c r="J1273" i="5"/>
  <c r="M1273" i="5"/>
  <c r="N1273" i="5"/>
  <c r="G1274" i="5"/>
  <c r="H1274" i="5"/>
  <c r="I1274" i="5"/>
  <c r="J1274" i="5"/>
  <c r="M1274" i="5"/>
  <c r="N1274" i="5"/>
  <c r="G1275" i="5"/>
  <c r="H1275" i="5"/>
  <c r="I1275" i="5"/>
  <c r="J1275" i="5"/>
  <c r="M1275" i="5"/>
  <c r="N1275" i="5"/>
  <c r="G1276" i="5"/>
  <c r="H1276" i="5"/>
  <c r="I1276" i="5"/>
  <c r="J1276" i="5"/>
  <c r="M1276" i="5"/>
  <c r="N1276" i="5"/>
  <c r="G1277" i="5"/>
  <c r="H1277" i="5"/>
  <c r="I1277" i="5"/>
  <c r="J1277" i="5"/>
  <c r="M1277" i="5"/>
  <c r="N1277" i="5"/>
  <c r="G1278" i="5"/>
  <c r="H1278" i="5"/>
  <c r="I1278" i="5"/>
  <c r="J1278" i="5"/>
  <c r="M1278" i="5"/>
  <c r="N1278" i="5"/>
  <c r="G1279" i="5"/>
  <c r="H1279" i="5"/>
  <c r="I1279" i="5"/>
  <c r="J1279" i="5"/>
  <c r="M1279" i="5"/>
  <c r="N1279" i="5"/>
  <c r="G1280" i="5"/>
  <c r="H1280" i="5"/>
  <c r="I1280" i="5"/>
  <c r="J1280" i="5"/>
  <c r="M1280" i="5"/>
  <c r="N1280" i="5"/>
  <c r="G1281" i="5"/>
  <c r="H1281" i="5"/>
  <c r="I1281" i="5"/>
  <c r="J1281" i="5"/>
  <c r="M1281" i="5"/>
  <c r="N1281" i="5"/>
  <c r="G1282" i="5"/>
  <c r="H1282" i="5"/>
  <c r="K1282" i="5" s="1"/>
  <c r="I1282" i="5"/>
  <c r="J1282" i="5"/>
  <c r="M1282" i="5"/>
  <c r="N1282" i="5"/>
  <c r="G1283" i="5"/>
  <c r="K1283" i="5" s="1"/>
  <c r="H1283" i="5"/>
  <c r="I1283" i="5"/>
  <c r="J1283" i="5"/>
  <c r="M1283" i="5"/>
  <c r="N1283" i="5"/>
  <c r="G1284" i="5"/>
  <c r="H1284" i="5"/>
  <c r="I1284" i="5"/>
  <c r="J1284" i="5"/>
  <c r="M1284" i="5"/>
  <c r="N1284" i="5"/>
  <c r="G1285" i="5"/>
  <c r="H1285" i="5"/>
  <c r="I1285" i="5"/>
  <c r="J1285" i="5"/>
  <c r="M1285" i="5"/>
  <c r="N1285" i="5"/>
  <c r="G1286" i="5"/>
  <c r="H1286" i="5"/>
  <c r="I1286" i="5"/>
  <c r="K1286" i="5" s="1"/>
  <c r="J1286" i="5"/>
  <c r="M1286" i="5"/>
  <c r="N1286" i="5"/>
  <c r="G1287" i="5"/>
  <c r="H1287" i="5"/>
  <c r="I1287" i="5"/>
  <c r="J1287" i="5"/>
  <c r="M1287" i="5"/>
  <c r="N1287" i="5"/>
  <c r="G1288" i="5"/>
  <c r="H1288" i="5"/>
  <c r="I1288" i="5"/>
  <c r="J1288" i="5"/>
  <c r="M1288" i="5"/>
  <c r="N1288" i="5"/>
  <c r="G1289" i="5"/>
  <c r="H1289" i="5"/>
  <c r="I1289" i="5"/>
  <c r="J1289" i="5"/>
  <c r="M1289" i="5"/>
  <c r="N1289" i="5"/>
  <c r="G1290" i="5"/>
  <c r="H1290" i="5"/>
  <c r="L1290" i="5" s="1"/>
  <c r="I1290" i="5"/>
  <c r="J1290" i="5"/>
  <c r="K1290" i="5"/>
  <c r="M1290" i="5"/>
  <c r="N1290" i="5"/>
  <c r="G1291" i="5"/>
  <c r="H1291" i="5"/>
  <c r="I1291" i="5"/>
  <c r="J1291" i="5"/>
  <c r="M1291" i="5"/>
  <c r="N1291" i="5"/>
  <c r="G1292" i="5"/>
  <c r="K1292" i="5" s="1"/>
  <c r="H1292" i="5"/>
  <c r="I1292" i="5"/>
  <c r="J1292" i="5"/>
  <c r="M1292" i="5"/>
  <c r="N1292" i="5"/>
  <c r="G1293" i="5"/>
  <c r="H1293" i="5"/>
  <c r="I1293" i="5"/>
  <c r="J1293" i="5"/>
  <c r="M1293" i="5"/>
  <c r="N1293" i="5"/>
  <c r="G1294" i="5"/>
  <c r="H1294" i="5"/>
  <c r="I1294" i="5"/>
  <c r="J1294" i="5"/>
  <c r="M1294" i="5"/>
  <c r="N1294" i="5"/>
  <c r="G1295" i="5"/>
  <c r="L1295" i="5" s="1"/>
  <c r="H1295" i="5"/>
  <c r="I1295" i="5"/>
  <c r="J1295" i="5"/>
  <c r="M1295" i="5"/>
  <c r="N1295" i="5"/>
  <c r="G1296" i="5"/>
  <c r="H1296" i="5"/>
  <c r="I1296" i="5"/>
  <c r="J1296" i="5"/>
  <c r="M1296" i="5"/>
  <c r="N1296" i="5"/>
  <c r="G1297" i="5"/>
  <c r="H1297" i="5"/>
  <c r="I1297" i="5"/>
  <c r="J1297" i="5"/>
  <c r="M1297" i="5"/>
  <c r="N1297" i="5"/>
  <c r="G1298" i="5"/>
  <c r="H1298" i="5"/>
  <c r="I1298" i="5"/>
  <c r="J1298" i="5"/>
  <c r="M1298" i="5"/>
  <c r="N1298" i="5"/>
  <c r="G1299" i="5"/>
  <c r="H1299" i="5"/>
  <c r="I1299" i="5"/>
  <c r="J1299" i="5"/>
  <c r="M1299" i="5"/>
  <c r="N1299" i="5"/>
  <c r="G1300" i="5"/>
  <c r="H1300" i="5"/>
  <c r="I1300" i="5"/>
  <c r="J1300" i="5"/>
  <c r="M1300" i="5"/>
  <c r="N1300" i="5"/>
  <c r="G1301" i="5"/>
  <c r="H1301" i="5"/>
  <c r="I1301" i="5"/>
  <c r="J1301" i="5"/>
  <c r="M1301" i="5"/>
  <c r="N1301" i="5"/>
  <c r="G1302" i="5"/>
  <c r="H1302" i="5"/>
  <c r="I1302" i="5"/>
  <c r="J1302" i="5"/>
  <c r="M1302" i="5"/>
  <c r="N1302" i="5"/>
  <c r="G1303" i="5"/>
  <c r="H1303" i="5"/>
  <c r="I1303" i="5"/>
  <c r="J1303" i="5"/>
  <c r="M1303" i="5"/>
  <c r="N1303" i="5"/>
  <c r="G1304" i="5"/>
  <c r="H1304" i="5"/>
  <c r="I1304" i="5"/>
  <c r="J1304" i="5"/>
  <c r="M1304" i="5"/>
  <c r="N1304" i="5"/>
  <c r="G1305" i="5"/>
  <c r="L1305" i="5" s="1"/>
  <c r="H1305" i="5"/>
  <c r="I1305" i="5"/>
  <c r="J1305" i="5"/>
  <c r="M1305" i="5"/>
  <c r="N1305" i="5"/>
  <c r="G1306" i="5"/>
  <c r="H1306" i="5"/>
  <c r="I1306" i="5"/>
  <c r="J1306" i="5"/>
  <c r="M1306" i="5"/>
  <c r="N1306" i="5"/>
  <c r="G1307" i="5"/>
  <c r="H1307" i="5"/>
  <c r="I1307" i="5"/>
  <c r="J1307" i="5"/>
  <c r="M1307" i="5"/>
  <c r="N1307" i="5"/>
  <c r="G1308" i="5"/>
  <c r="H1308" i="5"/>
  <c r="I1308" i="5"/>
  <c r="J1308" i="5"/>
  <c r="M1308" i="5"/>
  <c r="N1308" i="5"/>
  <c r="G1309" i="5"/>
  <c r="H1309" i="5"/>
  <c r="I1309" i="5"/>
  <c r="J1309" i="5"/>
  <c r="M1309" i="5"/>
  <c r="N1309" i="5"/>
  <c r="G1310" i="5"/>
  <c r="H1310" i="5"/>
  <c r="I1310" i="5"/>
  <c r="J1310" i="5"/>
  <c r="M1310" i="5"/>
  <c r="N1310" i="5"/>
  <c r="G1311" i="5"/>
  <c r="H1311" i="5"/>
  <c r="I1311" i="5"/>
  <c r="J1311" i="5"/>
  <c r="K1311" i="5"/>
  <c r="M1311" i="5"/>
  <c r="N1311" i="5"/>
  <c r="G1312" i="5"/>
  <c r="H1312" i="5"/>
  <c r="I1312" i="5"/>
  <c r="J1312" i="5"/>
  <c r="M1312" i="5"/>
  <c r="N1312" i="5"/>
  <c r="G1313" i="5"/>
  <c r="H1313" i="5"/>
  <c r="I1313" i="5"/>
  <c r="J1313" i="5"/>
  <c r="M1313" i="5"/>
  <c r="N1313" i="5"/>
  <c r="G1314" i="5"/>
  <c r="H1314" i="5"/>
  <c r="I1314" i="5"/>
  <c r="J1314" i="5"/>
  <c r="M1314" i="5"/>
  <c r="N1314" i="5"/>
  <c r="G1315" i="5"/>
  <c r="H1315" i="5"/>
  <c r="I1315" i="5"/>
  <c r="J1315" i="5"/>
  <c r="M1315" i="5"/>
  <c r="N1315" i="5"/>
  <c r="G1316" i="5"/>
  <c r="H1316" i="5"/>
  <c r="I1316" i="5"/>
  <c r="J1316" i="5"/>
  <c r="M1316" i="5"/>
  <c r="N1316" i="5"/>
  <c r="G1317" i="5"/>
  <c r="H1317" i="5"/>
  <c r="I1317" i="5"/>
  <c r="J1317" i="5"/>
  <c r="M1317" i="5"/>
  <c r="N1317" i="5"/>
  <c r="G1318" i="5"/>
  <c r="H1318" i="5"/>
  <c r="I1318" i="5"/>
  <c r="J1318" i="5"/>
  <c r="M1318" i="5"/>
  <c r="N1318" i="5"/>
  <c r="G1319" i="5"/>
  <c r="H1319" i="5"/>
  <c r="I1319" i="5"/>
  <c r="J1319" i="5"/>
  <c r="M1319" i="5"/>
  <c r="N1319" i="5"/>
  <c r="G1320" i="5"/>
  <c r="H1320" i="5"/>
  <c r="I1320" i="5"/>
  <c r="J1320" i="5"/>
  <c r="M1320" i="5"/>
  <c r="N1320" i="5"/>
  <c r="G1321" i="5"/>
  <c r="H1321" i="5"/>
  <c r="I1321" i="5"/>
  <c r="J1321" i="5"/>
  <c r="M1321" i="5"/>
  <c r="N1321" i="5"/>
  <c r="G1322" i="5"/>
  <c r="L1322" i="5" s="1"/>
  <c r="H1322" i="5"/>
  <c r="I1322" i="5"/>
  <c r="J1322" i="5"/>
  <c r="M1322" i="5"/>
  <c r="N1322" i="5"/>
  <c r="G1323" i="5"/>
  <c r="H1323" i="5"/>
  <c r="I1323" i="5"/>
  <c r="J1323" i="5"/>
  <c r="M1323" i="5"/>
  <c r="N1323" i="5"/>
  <c r="G1324" i="5"/>
  <c r="H1324" i="5"/>
  <c r="I1324" i="5"/>
  <c r="J1324" i="5"/>
  <c r="M1324" i="5"/>
  <c r="N1324" i="5"/>
  <c r="G1325" i="5"/>
  <c r="H1325" i="5"/>
  <c r="I1325" i="5"/>
  <c r="J1325" i="5"/>
  <c r="M1325" i="5"/>
  <c r="N1325" i="5"/>
  <c r="G1326" i="5"/>
  <c r="H1326" i="5"/>
  <c r="I1326" i="5"/>
  <c r="J1326" i="5"/>
  <c r="M1326" i="5"/>
  <c r="N1326" i="5"/>
  <c r="G1327" i="5"/>
  <c r="H1327" i="5"/>
  <c r="I1327" i="5"/>
  <c r="J1327" i="5"/>
  <c r="M1327" i="5"/>
  <c r="N1327" i="5"/>
  <c r="G1328" i="5"/>
  <c r="H1328" i="5"/>
  <c r="I1328" i="5"/>
  <c r="J1328" i="5"/>
  <c r="M1328" i="5"/>
  <c r="N1328" i="5"/>
  <c r="G1329" i="5"/>
  <c r="H1329" i="5"/>
  <c r="I1329" i="5"/>
  <c r="J1329" i="5"/>
  <c r="M1329" i="5"/>
  <c r="N1329" i="5"/>
  <c r="G1330" i="5"/>
  <c r="H1330" i="5"/>
  <c r="I1330" i="5"/>
  <c r="J1330" i="5"/>
  <c r="M1330" i="5"/>
  <c r="N1330" i="5"/>
  <c r="G1331" i="5"/>
  <c r="K1331" i="5" s="1"/>
  <c r="H1331" i="5"/>
  <c r="I1331" i="5"/>
  <c r="J1331" i="5"/>
  <c r="M1331" i="5"/>
  <c r="N1331" i="5"/>
  <c r="G1332" i="5"/>
  <c r="H1332" i="5"/>
  <c r="L1332" i="5" s="1"/>
  <c r="I1332" i="5"/>
  <c r="J1332" i="5"/>
  <c r="M1332" i="5"/>
  <c r="N1332" i="5"/>
  <c r="G1333" i="5"/>
  <c r="H1333" i="5"/>
  <c r="I1333" i="5"/>
  <c r="J1333" i="5"/>
  <c r="M1333" i="5"/>
  <c r="N1333" i="5"/>
  <c r="G1334" i="5"/>
  <c r="H1334" i="5"/>
  <c r="I1334" i="5"/>
  <c r="J1334" i="5"/>
  <c r="M1334" i="5"/>
  <c r="N1334" i="5"/>
  <c r="G1335" i="5"/>
  <c r="K1335" i="5" s="1"/>
  <c r="H1335" i="5"/>
  <c r="I1335" i="5"/>
  <c r="J1335" i="5"/>
  <c r="M1335" i="5"/>
  <c r="N1335" i="5"/>
  <c r="G1336" i="5"/>
  <c r="H1336" i="5"/>
  <c r="I1336" i="5"/>
  <c r="J1336" i="5"/>
  <c r="M1336" i="5"/>
  <c r="N1336" i="5"/>
  <c r="G1337" i="5"/>
  <c r="H1337" i="5"/>
  <c r="I1337" i="5"/>
  <c r="L1337" i="5" s="1"/>
  <c r="J1337" i="5"/>
  <c r="M1337" i="5"/>
  <c r="N1337" i="5"/>
  <c r="G1338" i="5"/>
  <c r="H1338" i="5"/>
  <c r="I1338" i="5"/>
  <c r="J1338" i="5"/>
  <c r="M1338" i="5"/>
  <c r="N1338" i="5"/>
  <c r="G1339" i="5"/>
  <c r="H1339" i="5"/>
  <c r="I1339" i="5"/>
  <c r="J1339" i="5"/>
  <c r="M1339" i="5"/>
  <c r="N1339" i="5"/>
  <c r="G1340" i="5"/>
  <c r="H1340" i="5"/>
  <c r="I1340" i="5"/>
  <c r="J1340" i="5"/>
  <c r="M1340" i="5"/>
  <c r="N1340" i="5"/>
  <c r="G1341" i="5"/>
  <c r="H1341" i="5"/>
  <c r="I1341" i="5"/>
  <c r="J1341" i="5"/>
  <c r="M1341" i="5"/>
  <c r="N1341" i="5"/>
  <c r="G1342" i="5"/>
  <c r="H1342" i="5"/>
  <c r="I1342" i="5"/>
  <c r="J1342" i="5"/>
  <c r="M1342" i="5"/>
  <c r="N1342" i="5"/>
  <c r="G1343" i="5"/>
  <c r="H1343" i="5"/>
  <c r="I1343" i="5"/>
  <c r="J1343" i="5"/>
  <c r="M1343" i="5"/>
  <c r="N1343" i="5"/>
  <c r="G1344" i="5"/>
  <c r="H1344" i="5"/>
  <c r="I1344" i="5"/>
  <c r="J1344" i="5"/>
  <c r="M1344" i="5"/>
  <c r="N1344" i="5"/>
  <c r="G1345" i="5"/>
  <c r="H1345" i="5"/>
  <c r="I1345" i="5"/>
  <c r="J1345" i="5"/>
  <c r="M1345" i="5"/>
  <c r="N1345" i="5"/>
  <c r="G1346" i="5"/>
  <c r="H1346" i="5"/>
  <c r="I1346" i="5"/>
  <c r="J1346" i="5"/>
  <c r="M1346" i="5"/>
  <c r="N1346" i="5"/>
  <c r="G1347" i="5"/>
  <c r="H1347" i="5"/>
  <c r="I1347" i="5"/>
  <c r="J1347" i="5"/>
  <c r="M1347" i="5"/>
  <c r="N1347" i="5"/>
  <c r="G1348" i="5"/>
  <c r="H1348" i="5"/>
  <c r="I1348" i="5"/>
  <c r="J1348" i="5"/>
  <c r="M1348" i="5"/>
  <c r="N1348" i="5"/>
  <c r="G1349" i="5"/>
  <c r="H1349" i="5"/>
  <c r="I1349" i="5"/>
  <c r="J1349" i="5"/>
  <c r="M1349" i="5"/>
  <c r="N1349" i="5"/>
  <c r="G1350" i="5"/>
  <c r="H1350" i="5"/>
  <c r="I1350" i="5"/>
  <c r="J1350" i="5"/>
  <c r="M1350" i="5"/>
  <c r="N1350" i="5"/>
  <c r="G1351" i="5"/>
  <c r="K1351" i="5" s="1"/>
  <c r="H1351" i="5"/>
  <c r="I1351" i="5"/>
  <c r="J1351" i="5"/>
  <c r="M1351" i="5"/>
  <c r="N1351" i="5"/>
  <c r="G1352" i="5"/>
  <c r="H1352" i="5"/>
  <c r="I1352" i="5"/>
  <c r="J1352" i="5"/>
  <c r="L1352" i="5"/>
  <c r="M1352" i="5"/>
  <c r="N1352" i="5"/>
  <c r="G1353" i="5"/>
  <c r="H1353" i="5"/>
  <c r="I1353" i="5"/>
  <c r="J1353" i="5"/>
  <c r="M1353" i="5"/>
  <c r="N1353" i="5"/>
  <c r="G1354" i="5"/>
  <c r="H1354" i="5"/>
  <c r="I1354" i="5"/>
  <c r="J1354" i="5"/>
  <c r="M1354" i="5"/>
  <c r="N1354" i="5"/>
  <c r="G1355" i="5"/>
  <c r="H1355" i="5"/>
  <c r="I1355" i="5"/>
  <c r="J1355" i="5"/>
  <c r="L1355" i="5"/>
  <c r="M1355" i="5"/>
  <c r="N1355" i="5"/>
  <c r="G1356" i="5"/>
  <c r="H1356" i="5"/>
  <c r="I1356" i="5"/>
  <c r="J1356" i="5"/>
  <c r="M1356" i="5"/>
  <c r="N1356" i="5"/>
  <c r="G1357" i="5"/>
  <c r="H1357" i="5"/>
  <c r="I1357" i="5"/>
  <c r="L1357" i="5" s="1"/>
  <c r="J1357" i="5"/>
  <c r="M1357" i="5"/>
  <c r="N1357" i="5"/>
  <c r="G1358" i="5"/>
  <c r="H1358" i="5"/>
  <c r="I1358" i="5"/>
  <c r="J1358" i="5"/>
  <c r="M1358" i="5"/>
  <c r="N1358" i="5"/>
  <c r="G1359" i="5"/>
  <c r="H1359" i="5"/>
  <c r="I1359" i="5"/>
  <c r="J1359" i="5"/>
  <c r="M1359" i="5"/>
  <c r="N1359" i="5"/>
  <c r="G1360" i="5"/>
  <c r="H1360" i="5"/>
  <c r="K1360" i="5" s="1"/>
  <c r="I1360" i="5"/>
  <c r="J1360" i="5"/>
  <c r="M1360" i="5"/>
  <c r="N1360" i="5"/>
  <c r="G1361" i="5"/>
  <c r="K1361" i="5" s="1"/>
  <c r="H1361" i="5"/>
  <c r="I1361" i="5"/>
  <c r="J1361" i="5"/>
  <c r="M1361" i="5"/>
  <c r="N1361" i="5"/>
  <c r="G1362" i="5"/>
  <c r="H1362" i="5"/>
  <c r="I1362" i="5"/>
  <c r="J1362" i="5"/>
  <c r="M1362" i="5"/>
  <c r="N1362" i="5"/>
  <c r="G1363" i="5"/>
  <c r="H1363" i="5"/>
  <c r="I1363" i="5"/>
  <c r="J1363" i="5"/>
  <c r="M1363" i="5"/>
  <c r="N1363" i="5"/>
  <c r="G1364" i="5"/>
  <c r="H1364" i="5"/>
  <c r="I1364" i="5"/>
  <c r="J1364" i="5"/>
  <c r="M1364" i="5"/>
  <c r="N1364" i="5"/>
  <c r="G1365" i="5"/>
  <c r="H1365" i="5"/>
  <c r="I1365" i="5"/>
  <c r="J1365" i="5"/>
  <c r="M1365" i="5"/>
  <c r="N1365" i="5"/>
  <c r="G1366" i="5"/>
  <c r="H1366" i="5"/>
  <c r="I1366" i="5"/>
  <c r="J1366" i="5"/>
  <c r="M1366" i="5"/>
  <c r="N1366" i="5"/>
  <c r="G1367" i="5"/>
  <c r="H1367" i="5"/>
  <c r="I1367" i="5"/>
  <c r="J1367" i="5"/>
  <c r="M1367" i="5"/>
  <c r="N1367" i="5"/>
  <c r="G1368" i="5"/>
  <c r="H1368" i="5"/>
  <c r="I1368" i="5"/>
  <c r="J1368" i="5"/>
  <c r="M1368" i="5"/>
  <c r="N1368" i="5"/>
  <c r="G1369" i="5"/>
  <c r="H1369" i="5"/>
  <c r="I1369" i="5"/>
  <c r="J1369" i="5"/>
  <c r="M1369" i="5"/>
  <c r="N1369" i="5"/>
  <c r="G1370" i="5"/>
  <c r="H1370" i="5"/>
  <c r="I1370" i="5"/>
  <c r="J1370" i="5"/>
  <c r="M1370" i="5"/>
  <c r="N1370" i="5"/>
  <c r="G1371" i="5"/>
  <c r="K1371" i="5" s="1"/>
  <c r="H1371" i="5"/>
  <c r="I1371" i="5"/>
  <c r="J1371" i="5"/>
  <c r="M1371" i="5"/>
  <c r="N1371" i="5"/>
  <c r="G1372" i="5"/>
  <c r="H1372" i="5"/>
  <c r="I1372" i="5"/>
  <c r="J1372" i="5"/>
  <c r="L1372" i="5"/>
  <c r="M1372" i="5"/>
  <c r="N1372" i="5"/>
  <c r="G1373" i="5"/>
  <c r="H1373" i="5"/>
  <c r="I1373" i="5"/>
  <c r="J1373" i="5"/>
  <c r="M1373" i="5"/>
  <c r="N1373" i="5"/>
  <c r="G1374" i="5"/>
  <c r="H1374" i="5"/>
  <c r="I1374" i="5"/>
  <c r="J1374" i="5"/>
  <c r="M1374" i="5"/>
  <c r="N1374" i="5"/>
  <c r="G1375" i="5"/>
  <c r="H1375" i="5"/>
  <c r="I1375" i="5"/>
  <c r="J1375" i="5"/>
  <c r="L1375" i="5"/>
  <c r="M1375" i="5"/>
  <c r="N1375" i="5"/>
  <c r="G1376" i="5"/>
  <c r="H1376" i="5"/>
  <c r="I1376" i="5"/>
  <c r="J1376" i="5"/>
  <c r="M1376" i="5"/>
  <c r="N1376" i="5"/>
  <c r="G1377" i="5"/>
  <c r="L1377" i="5" s="1"/>
  <c r="H1377" i="5"/>
  <c r="K1377" i="5" s="1"/>
  <c r="I1377" i="5"/>
  <c r="J1377" i="5"/>
  <c r="M1377" i="5"/>
  <c r="N1377" i="5"/>
  <c r="G1378" i="5"/>
  <c r="H1378" i="5"/>
  <c r="I1378" i="5"/>
  <c r="J1378" i="5"/>
  <c r="M1378" i="5"/>
  <c r="N1378" i="5"/>
  <c r="G1379" i="5"/>
  <c r="H1379" i="5"/>
  <c r="I1379" i="5"/>
  <c r="J1379" i="5"/>
  <c r="M1379" i="5"/>
  <c r="N1379" i="5"/>
  <c r="G1380" i="5"/>
  <c r="L1380" i="5" s="1"/>
  <c r="H1380" i="5"/>
  <c r="I1380" i="5"/>
  <c r="J1380" i="5"/>
  <c r="M1380" i="5"/>
  <c r="N1380" i="5"/>
  <c r="G1381" i="5"/>
  <c r="H1381" i="5"/>
  <c r="I1381" i="5"/>
  <c r="J1381" i="5"/>
  <c r="M1381" i="5"/>
  <c r="N1381" i="5"/>
  <c r="G1382" i="5"/>
  <c r="H1382" i="5"/>
  <c r="I1382" i="5"/>
  <c r="J1382" i="5"/>
  <c r="M1382" i="5"/>
  <c r="N1382" i="5"/>
  <c r="G1383" i="5"/>
  <c r="H1383" i="5"/>
  <c r="I1383" i="5"/>
  <c r="J1383" i="5"/>
  <c r="M1383" i="5"/>
  <c r="N1383" i="5"/>
  <c r="G1384" i="5"/>
  <c r="H1384" i="5"/>
  <c r="I1384" i="5"/>
  <c r="J1384" i="5"/>
  <c r="M1384" i="5"/>
  <c r="N1384" i="5"/>
  <c r="G1385" i="5"/>
  <c r="H1385" i="5"/>
  <c r="I1385" i="5"/>
  <c r="J1385" i="5"/>
  <c r="M1385" i="5"/>
  <c r="N1385" i="5"/>
  <c r="G1386" i="5"/>
  <c r="K1386" i="5" s="1"/>
  <c r="H1386" i="5"/>
  <c r="I1386" i="5"/>
  <c r="J1386" i="5"/>
  <c r="M1386" i="5"/>
  <c r="N1386" i="5"/>
  <c r="S485" i="5"/>
  <c r="T485" i="5"/>
  <c r="S486" i="5"/>
  <c r="T486" i="5"/>
  <c r="S487" i="5"/>
  <c r="T487" i="5"/>
  <c r="S488" i="5"/>
  <c r="T488" i="5"/>
  <c r="S489" i="5"/>
  <c r="T489" i="5"/>
  <c r="S490" i="5"/>
  <c r="T490" i="5"/>
  <c r="S491" i="5"/>
  <c r="T491" i="5"/>
  <c r="S492" i="5"/>
  <c r="T492" i="5"/>
  <c r="S493" i="5"/>
  <c r="T493" i="5"/>
  <c r="S494" i="5"/>
  <c r="T494" i="5"/>
  <c r="S495" i="5"/>
  <c r="T495" i="5"/>
  <c r="S496" i="5"/>
  <c r="T496" i="5"/>
  <c r="S497" i="5"/>
  <c r="T497" i="5"/>
  <c r="S498" i="5"/>
  <c r="T498" i="5"/>
  <c r="S499" i="5"/>
  <c r="T499" i="5"/>
  <c r="S500" i="5"/>
  <c r="T500" i="5"/>
  <c r="S501" i="5"/>
  <c r="T501" i="5"/>
  <c r="S502" i="5"/>
  <c r="T502" i="5"/>
  <c r="S503" i="5"/>
  <c r="T503" i="5"/>
  <c r="S504" i="5"/>
  <c r="T504" i="5"/>
  <c r="S505" i="5"/>
  <c r="T505" i="5"/>
  <c r="S506" i="5"/>
  <c r="T506" i="5"/>
  <c r="S507" i="5"/>
  <c r="T507" i="5"/>
  <c r="S508" i="5"/>
  <c r="T508" i="5"/>
  <c r="S509" i="5"/>
  <c r="T509" i="5"/>
  <c r="S510" i="5"/>
  <c r="T510" i="5"/>
  <c r="S511" i="5"/>
  <c r="T511" i="5"/>
  <c r="S512" i="5"/>
  <c r="T512" i="5"/>
  <c r="S513" i="5"/>
  <c r="T513" i="5"/>
  <c r="S514" i="5"/>
  <c r="T514" i="5"/>
  <c r="S515" i="5"/>
  <c r="T515" i="5"/>
  <c r="S516" i="5"/>
  <c r="T516" i="5"/>
  <c r="S517" i="5"/>
  <c r="T517" i="5"/>
  <c r="S518" i="5"/>
  <c r="T518" i="5"/>
  <c r="S519" i="5"/>
  <c r="T519" i="5"/>
  <c r="S520" i="5"/>
  <c r="T520" i="5"/>
  <c r="S521" i="5"/>
  <c r="T521" i="5"/>
  <c r="S522" i="5"/>
  <c r="T522" i="5"/>
  <c r="S523" i="5"/>
  <c r="T523" i="5"/>
  <c r="S524" i="5"/>
  <c r="T524" i="5"/>
  <c r="S525" i="5"/>
  <c r="T525" i="5"/>
  <c r="S526" i="5"/>
  <c r="T526" i="5"/>
  <c r="S527" i="5"/>
  <c r="T527" i="5"/>
  <c r="S528" i="5"/>
  <c r="T528" i="5"/>
  <c r="S529" i="5"/>
  <c r="T529" i="5"/>
  <c r="S530" i="5"/>
  <c r="T530" i="5"/>
  <c r="S531" i="5"/>
  <c r="T531" i="5"/>
  <c r="S532" i="5"/>
  <c r="T532" i="5"/>
  <c r="S533" i="5"/>
  <c r="T533" i="5"/>
  <c r="S534" i="5"/>
  <c r="T534" i="5"/>
  <c r="S535" i="5"/>
  <c r="T535" i="5"/>
  <c r="S536" i="5"/>
  <c r="T536" i="5"/>
  <c r="S537" i="5"/>
  <c r="T537" i="5"/>
  <c r="S538" i="5"/>
  <c r="T538" i="5"/>
  <c r="S539" i="5"/>
  <c r="T539" i="5"/>
  <c r="S540" i="5"/>
  <c r="T540" i="5"/>
  <c r="S541" i="5"/>
  <c r="T541" i="5"/>
  <c r="S542" i="5"/>
  <c r="T542" i="5"/>
  <c r="S543" i="5"/>
  <c r="T543" i="5"/>
  <c r="S544" i="5"/>
  <c r="T544" i="5"/>
  <c r="S545" i="5"/>
  <c r="T545" i="5"/>
  <c r="S546" i="5"/>
  <c r="T546" i="5"/>
  <c r="S547" i="5"/>
  <c r="T547" i="5"/>
  <c r="S548" i="5"/>
  <c r="T548" i="5"/>
  <c r="S549" i="5"/>
  <c r="T549" i="5"/>
  <c r="S550" i="5"/>
  <c r="T550" i="5"/>
  <c r="S551" i="5"/>
  <c r="T551" i="5"/>
  <c r="S552" i="5"/>
  <c r="T552" i="5"/>
  <c r="S553" i="5"/>
  <c r="T553" i="5"/>
  <c r="S554" i="5"/>
  <c r="T554" i="5"/>
  <c r="S555" i="5"/>
  <c r="T555" i="5"/>
  <c r="S556" i="5"/>
  <c r="T556" i="5"/>
  <c r="S557" i="5"/>
  <c r="T557" i="5"/>
  <c r="S558" i="5"/>
  <c r="T558" i="5"/>
  <c r="S559" i="5"/>
  <c r="T559" i="5"/>
  <c r="S560" i="5"/>
  <c r="T560" i="5"/>
  <c r="S561" i="5"/>
  <c r="T561" i="5"/>
  <c r="S562" i="5"/>
  <c r="T562" i="5"/>
  <c r="S563" i="5"/>
  <c r="T563" i="5"/>
  <c r="S564" i="5"/>
  <c r="T564" i="5"/>
  <c r="S565" i="5"/>
  <c r="T565" i="5"/>
  <c r="S566" i="5"/>
  <c r="T566" i="5"/>
  <c r="S567" i="5"/>
  <c r="T567" i="5"/>
  <c r="S568" i="5"/>
  <c r="T568" i="5"/>
  <c r="S569" i="5"/>
  <c r="T569" i="5"/>
  <c r="S570" i="5"/>
  <c r="T570" i="5"/>
  <c r="S571" i="5"/>
  <c r="T571" i="5"/>
  <c r="S572" i="5"/>
  <c r="T572" i="5"/>
  <c r="S573" i="5"/>
  <c r="T573" i="5"/>
  <c r="S574" i="5"/>
  <c r="T574" i="5"/>
  <c r="S575" i="5"/>
  <c r="T575" i="5"/>
  <c r="S576" i="5"/>
  <c r="T576" i="5"/>
  <c r="S577" i="5"/>
  <c r="T577" i="5"/>
  <c r="S578" i="5"/>
  <c r="T578" i="5"/>
  <c r="S579" i="5"/>
  <c r="T579" i="5"/>
  <c r="S580" i="5"/>
  <c r="T580" i="5"/>
  <c r="S581" i="5"/>
  <c r="T581" i="5"/>
  <c r="S582" i="5"/>
  <c r="T582" i="5"/>
  <c r="S583" i="5"/>
  <c r="T583" i="5"/>
  <c r="S584" i="5"/>
  <c r="T584" i="5"/>
  <c r="S585" i="5"/>
  <c r="T585" i="5"/>
  <c r="S586" i="5"/>
  <c r="T586" i="5"/>
  <c r="S587" i="5"/>
  <c r="T587" i="5"/>
  <c r="S588" i="5"/>
  <c r="T588" i="5"/>
  <c r="S589" i="5"/>
  <c r="T589" i="5"/>
  <c r="S590" i="5"/>
  <c r="T590" i="5"/>
  <c r="S591" i="5"/>
  <c r="T591" i="5"/>
  <c r="S592" i="5"/>
  <c r="T592" i="5"/>
  <c r="S593" i="5"/>
  <c r="T593" i="5"/>
  <c r="S594" i="5"/>
  <c r="T594" i="5"/>
  <c r="S595" i="5"/>
  <c r="T595" i="5"/>
  <c r="S596" i="5"/>
  <c r="T596" i="5"/>
  <c r="S597" i="5"/>
  <c r="T597" i="5"/>
  <c r="S598" i="5"/>
  <c r="T598" i="5"/>
  <c r="S599" i="5"/>
  <c r="T599" i="5"/>
  <c r="S600" i="5"/>
  <c r="T600" i="5"/>
  <c r="S601" i="5"/>
  <c r="T601" i="5"/>
  <c r="S602" i="5"/>
  <c r="T602" i="5"/>
  <c r="S603" i="5"/>
  <c r="T603" i="5"/>
  <c r="S604" i="5"/>
  <c r="T604" i="5"/>
  <c r="S605" i="5"/>
  <c r="T605" i="5"/>
  <c r="S606" i="5"/>
  <c r="T606" i="5"/>
  <c r="S607" i="5"/>
  <c r="T607" i="5"/>
  <c r="S608" i="5"/>
  <c r="T608" i="5"/>
  <c r="S609" i="5"/>
  <c r="T609" i="5"/>
  <c r="S610" i="5"/>
  <c r="T610" i="5"/>
  <c r="S611" i="5"/>
  <c r="T611" i="5"/>
  <c r="S612" i="5"/>
  <c r="T612" i="5"/>
  <c r="S613" i="5"/>
  <c r="T613" i="5"/>
  <c r="S614" i="5"/>
  <c r="T614" i="5"/>
  <c r="S615" i="5"/>
  <c r="T615" i="5"/>
  <c r="S616" i="5"/>
  <c r="T616" i="5"/>
  <c r="S617" i="5"/>
  <c r="T617" i="5"/>
  <c r="S618" i="5"/>
  <c r="T618" i="5"/>
  <c r="S619" i="5"/>
  <c r="T619" i="5"/>
  <c r="S620" i="5"/>
  <c r="T620" i="5"/>
  <c r="S621" i="5"/>
  <c r="T621" i="5"/>
  <c r="S622" i="5"/>
  <c r="T622" i="5"/>
  <c r="S623" i="5"/>
  <c r="T623" i="5"/>
  <c r="S624" i="5"/>
  <c r="T624" i="5"/>
  <c r="S625" i="5"/>
  <c r="T625" i="5"/>
  <c r="S626" i="5"/>
  <c r="T626" i="5"/>
  <c r="S627" i="5"/>
  <c r="T627" i="5"/>
  <c r="S628" i="5"/>
  <c r="T628" i="5"/>
  <c r="S629" i="5"/>
  <c r="T629" i="5"/>
  <c r="S630" i="5"/>
  <c r="T630" i="5"/>
  <c r="S631" i="5"/>
  <c r="T631" i="5"/>
  <c r="S632" i="5"/>
  <c r="T632" i="5"/>
  <c r="S633" i="5"/>
  <c r="T633" i="5"/>
  <c r="S634" i="5"/>
  <c r="T634" i="5"/>
  <c r="S635" i="5"/>
  <c r="T635" i="5"/>
  <c r="S636" i="5"/>
  <c r="T636" i="5"/>
  <c r="S637" i="5"/>
  <c r="T637" i="5"/>
  <c r="S638" i="5"/>
  <c r="T638" i="5"/>
  <c r="S639" i="5"/>
  <c r="T639" i="5"/>
  <c r="S640" i="5"/>
  <c r="T640" i="5"/>
  <c r="S641" i="5"/>
  <c r="T641" i="5"/>
  <c r="S642" i="5"/>
  <c r="T642" i="5"/>
  <c r="S643" i="5"/>
  <c r="T643" i="5"/>
  <c r="S644" i="5"/>
  <c r="T644" i="5"/>
  <c r="S645" i="5"/>
  <c r="T645" i="5"/>
  <c r="S646" i="5"/>
  <c r="T646" i="5"/>
  <c r="S647" i="5"/>
  <c r="T647" i="5"/>
  <c r="S648" i="5"/>
  <c r="T648" i="5"/>
  <c r="S649" i="5"/>
  <c r="T649" i="5"/>
  <c r="S650" i="5"/>
  <c r="T650" i="5"/>
  <c r="S651" i="5"/>
  <c r="T651" i="5"/>
  <c r="S652" i="5"/>
  <c r="T652" i="5"/>
  <c r="S653" i="5"/>
  <c r="T653" i="5"/>
  <c r="S654" i="5"/>
  <c r="T654" i="5"/>
  <c r="S655" i="5"/>
  <c r="T655" i="5"/>
  <c r="S656" i="5"/>
  <c r="T656" i="5"/>
  <c r="S657" i="5"/>
  <c r="T657" i="5"/>
  <c r="S658" i="5"/>
  <c r="T658" i="5"/>
  <c r="S659" i="5"/>
  <c r="T659" i="5"/>
  <c r="S660" i="5"/>
  <c r="T660" i="5"/>
  <c r="S661" i="5"/>
  <c r="T661" i="5"/>
  <c r="S662" i="5"/>
  <c r="T662" i="5"/>
  <c r="S663" i="5"/>
  <c r="T663" i="5"/>
  <c r="S664" i="5"/>
  <c r="T664" i="5"/>
  <c r="S665" i="5"/>
  <c r="T665" i="5"/>
  <c r="S666" i="5"/>
  <c r="T666" i="5"/>
  <c r="S667" i="5"/>
  <c r="T667" i="5"/>
  <c r="S668" i="5"/>
  <c r="T668" i="5"/>
  <c r="S669" i="5"/>
  <c r="T669" i="5"/>
  <c r="S670" i="5"/>
  <c r="T670" i="5"/>
  <c r="S671" i="5"/>
  <c r="T671" i="5"/>
  <c r="S672" i="5"/>
  <c r="T672" i="5"/>
  <c r="S673" i="5"/>
  <c r="T673" i="5"/>
  <c r="S674" i="5"/>
  <c r="T674" i="5"/>
  <c r="S675" i="5"/>
  <c r="T675" i="5"/>
  <c r="S676" i="5"/>
  <c r="T676" i="5"/>
  <c r="S677" i="5"/>
  <c r="T677" i="5"/>
  <c r="S678" i="5"/>
  <c r="T678" i="5"/>
  <c r="S679" i="5"/>
  <c r="T679" i="5"/>
  <c r="S680" i="5"/>
  <c r="T680" i="5"/>
  <c r="S681" i="5"/>
  <c r="T681" i="5"/>
  <c r="S682" i="5"/>
  <c r="T682" i="5"/>
  <c r="S683" i="5"/>
  <c r="T683" i="5"/>
  <c r="S684" i="5"/>
  <c r="T684" i="5"/>
  <c r="S685" i="5"/>
  <c r="T685" i="5"/>
  <c r="S686" i="5"/>
  <c r="T686" i="5"/>
  <c r="S687" i="5"/>
  <c r="T687" i="5"/>
  <c r="S688" i="5"/>
  <c r="T688" i="5"/>
  <c r="S689" i="5"/>
  <c r="T689" i="5"/>
  <c r="S690" i="5"/>
  <c r="T690" i="5"/>
  <c r="S691" i="5"/>
  <c r="T691" i="5"/>
  <c r="S692" i="5"/>
  <c r="T692" i="5"/>
  <c r="S693" i="5"/>
  <c r="T693" i="5"/>
  <c r="S694" i="5"/>
  <c r="T694" i="5"/>
  <c r="S695" i="5"/>
  <c r="T695" i="5"/>
  <c r="S696" i="5"/>
  <c r="T696" i="5"/>
  <c r="S697" i="5"/>
  <c r="T697" i="5"/>
  <c r="S698" i="5"/>
  <c r="T698" i="5"/>
  <c r="S699" i="5"/>
  <c r="T699" i="5"/>
  <c r="S700" i="5"/>
  <c r="T700" i="5"/>
  <c r="S701" i="5"/>
  <c r="T701" i="5"/>
  <c r="S702" i="5"/>
  <c r="T702" i="5"/>
  <c r="S703" i="5"/>
  <c r="T703" i="5"/>
  <c r="S704" i="5"/>
  <c r="T704" i="5"/>
  <c r="S705" i="5"/>
  <c r="T705" i="5"/>
  <c r="S706" i="5"/>
  <c r="T706" i="5"/>
  <c r="S707" i="5"/>
  <c r="T707" i="5"/>
  <c r="S708" i="5"/>
  <c r="T708" i="5"/>
  <c r="S709" i="5"/>
  <c r="T709" i="5"/>
  <c r="S710" i="5"/>
  <c r="T710" i="5"/>
  <c r="S711" i="5"/>
  <c r="T711" i="5"/>
  <c r="S712" i="5"/>
  <c r="T712" i="5"/>
  <c r="S713" i="5"/>
  <c r="T713" i="5"/>
  <c r="S714" i="5"/>
  <c r="T714" i="5"/>
  <c r="S715" i="5"/>
  <c r="T715" i="5"/>
  <c r="S716" i="5"/>
  <c r="T716" i="5"/>
  <c r="S717" i="5"/>
  <c r="T717" i="5"/>
  <c r="S718" i="5"/>
  <c r="T718" i="5"/>
  <c r="S719" i="5"/>
  <c r="T719" i="5"/>
  <c r="S720" i="5"/>
  <c r="T720" i="5"/>
  <c r="S721" i="5"/>
  <c r="T721" i="5"/>
  <c r="S722" i="5"/>
  <c r="T722" i="5"/>
  <c r="S723" i="5"/>
  <c r="T723" i="5"/>
  <c r="S724" i="5"/>
  <c r="T724" i="5"/>
  <c r="S725" i="5"/>
  <c r="T725" i="5"/>
  <c r="S726" i="5"/>
  <c r="T726" i="5"/>
  <c r="S727" i="5"/>
  <c r="T727" i="5"/>
  <c r="S728" i="5"/>
  <c r="T728" i="5"/>
  <c r="S729" i="5"/>
  <c r="T729" i="5"/>
  <c r="S730" i="5"/>
  <c r="T730" i="5"/>
  <c r="S731" i="5"/>
  <c r="T731" i="5"/>
  <c r="S732" i="5"/>
  <c r="T732" i="5"/>
  <c r="S733" i="5"/>
  <c r="T733" i="5"/>
  <c r="S734" i="5"/>
  <c r="T734" i="5"/>
  <c r="S735" i="5"/>
  <c r="T735" i="5"/>
  <c r="S736" i="5"/>
  <c r="T736" i="5"/>
  <c r="S737" i="5"/>
  <c r="T737" i="5"/>
  <c r="S738" i="5"/>
  <c r="T738" i="5"/>
  <c r="S739" i="5"/>
  <c r="T739" i="5"/>
  <c r="S740" i="5"/>
  <c r="T740" i="5"/>
  <c r="S741" i="5"/>
  <c r="T741" i="5"/>
  <c r="S742" i="5"/>
  <c r="T742" i="5"/>
  <c r="S743" i="5"/>
  <c r="T743" i="5"/>
  <c r="S744" i="5"/>
  <c r="T744" i="5"/>
  <c r="S745" i="5"/>
  <c r="T745" i="5"/>
  <c r="S746" i="5"/>
  <c r="T746" i="5"/>
  <c r="S747" i="5"/>
  <c r="T747" i="5"/>
  <c r="S748" i="5"/>
  <c r="T748" i="5"/>
  <c r="S749" i="5"/>
  <c r="T749" i="5"/>
  <c r="S750" i="5"/>
  <c r="T750" i="5"/>
  <c r="S751" i="5"/>
  <c r="T751" i="5"/>
  <c r="S752" i="5"/>
  <c r="T752" i="5"/>
  <c r="S753" i="5"/>
  <c r="T753" i="5"/>
  <c r="S754" i="5"/>
  <c r="T754" i="5"/>
  <c r="S755" i="5"/>
  <c r="T755" i="5"/>
  <c r="S756" i="5"/>
  <c r="T756" i="5"/>
  <c r="S757" i="5"/>
  <c r="T757" i="5"/>
  <c r="S758" i="5"/>
  <c r="T758" i="5"/>
  <c r="S759" i="5"/>
  <c r="T759" i="5"/>
  <c r="S760" i="5"/>
  <c r="T760" i="5"/>
  <c r="S761" i="5"/>
  <c r="T761" i="5"/>
  <c r="S762" i="5"/>
  <c r="T762" i="5"/>
  <c r="S763" i="5"/>
  <c r="T763" i="5"/>
  <c r="S764" i="5"/>
  <c r="T764" i="5"/>
  <c r="S765" i="5"/>
  <c r="T765" i="5"/>
  <c r="S766" i="5"/>
  <c r="T766" i="5"/>
  <c r="S767" i="5"/>
  <c r="T767" i="5"/>
  <c r="S768" i="5"/>
  <c r="T768" i="5"/>
  <c r="S769" i="5"/>
  <c r="T769" i="5"/>
  <c r="S770" i="5"/>
  <c r="T770" i="5"/>
  <c r="S771" i="5"/>
  <c r="T771" i="5"/>
  <c r="S772" i="5"/>
  <c r="T772" i="5"/>
  <c r="S773" i="5"/>
  <c r="T773" i="5"/>
  <c r="S774" i="5"/>
  <c r="T774" i="5"/>
  <c r="S775" i="5"/>
  <c r="T775" i="5"/>
  <c r="S776" i="5"/>
  <c r="T776" i="5"/>
  <c r="S777" i="5"/>
  <c r="T777" i="5"/>
  <c r="S778" i="5"/>
  <c r="T778" i="5"/>
  <c r="S779" i="5"/>
  <c r="T779" i="5"/>
  <c r="S780" i="5"/>
  <c r="T780" i="5"/>
  <c r="S781" i="5"/>
  <c r="T781" i="5"/>
  <c r="S782" i="5"/>
  <c r="T782" i="5"/>
  <c r="S783" i="5"/>
  <c r="T783" i="5"/>
  <c r="S784" i="5"/>
  <c r="T784" i="5"/>
  <c r="S785" i="5"/>
  <c r="T785" i="5"/>
  <c r="S786" i="5"/>
  <c r="T786" i="5"/>
  <c r="S787" i="5"/>
  <c r="T787" i="5"/>
  <c r="S788" i="5"/>
  <c r="T788" i="5"/>
  <c r="S789" i="5"/>
  <c r="T789" i="5"/>
  <c r="S790" i="5"/>
  <c r="T790" i="5"/>
  <c r="S791" i="5"/>
  <c r="T791" i="5"/>
  <c r="S792" i="5"/>
  <c r="T792" i="5"/>
  <c r="S793" i="5"/>
  <c r="T793" i="5"/>
  <c r="S794" i="5"/>
  <c r="T794" i="5"/>
  <c r="S795" i="5"/>
  <c r="T795" i="5"/>
  <c r="S796" i="5"/>
  <c r="T796" i="5"/>
  <c r="S797" i="5"/>
  <c r="T797" i="5"/>
  <c r="S798" i="5"/>
  <c r="T798" i="5"/>
  <c r="S799" i="5"/>
  <c r="T799" i="5"/>
  <c r="S800" i="5"/>
  <c r="T800" i="5"/>
  <c r="S801" i="5"/>
  <c r="T801" i="5"/>
  <c r="S802" i="5"/>
  <c r="T802" i="5"/>
  <c r="S803" i="5"/>
  <c r="T803" i="5"/>
  <c r="S804" i="5"/>
  <c r="T804" i="5"/>
  <c r="S805" i="5"/>
  <c r="T805" i="5"/>
  <c r="S806" i="5"/>
  <c r="T806" i="5"/>
  <c r="S807" i="5"/>
  <c r="T807" i="5"/>
  <c r="S808" i="5"/>
  <c r="T808" i="5"/>
  <c r="S809" i="5"/>
  <c r="T809" i="5"/>
  <c r="S810" i="5"/>
  <c r="T810" i="5"/>
  <c r="S811" i="5"/>
  <c r="T811" i="5"/>
  <c r="S812" i="5"/>
  <c r="T812" i="5"/>
  <c r="S813" i="5"/>
  <c r="T813" i="5"/>
  <c r="S814" i="5"/>
  <c r="T814" i="5"/>
  <c r="S815" i="5"/>
  <c r="T815" i="5"/>
  <c r="S816" i="5"/>
  <c r="T816" i="5"/>
  <c r="S817" i="5"/>
  <c r="T817" i="5"/>
  <c r="S818" i="5"/>
  <c r="T818" i="5"/>
  <c r="S819" i="5"/>
  <c r="T819" i="5"/>
  <c r="S820" i="5"/>
  <c r="T820" i="5"/>
  <c r="S821" i="5"/>
  <c r="T821" i="5"/>
  <c r="S822" i="5"/>
  <c r="T822" i="5"/>
  <c r="S823" i="5"/>
  <c r="T823" i="5"/>
  <c r="S824" i="5"/>
  <c r="T824" i="5"/>
  <c r="S825" i="5"/>
  <c r="T825" i="5"/>
  <c r="S826" i="5"/>
  <c r="T826" i="5"/>
  <c r="S827" i="5"/>
  <c r="T827" i="5"/>
  <c r="S828" i="5"/>
  <c r="T828" i="5"/>
  <c r="S829" i="5"/>
  <c r="T829" i="5"/>
  <c r="S830" i="5"/>
  <c r="T830" i="5"/>
  <c r="S831" i="5"/>
  <c r="T831" i="5"/>
  <c r="S832" i="5"/>
  <c r="T832" i="5"/>
  <c r="S833" i="5"/>
  <c r="T833" i="5"/>
  <c r="S834" i="5"/>
  <c r="T834" i="5"/>
  <c r="S835" i="5"/>
  <c r="T835" i="5"/>
  <c r="S836" i="5"/>
  <c r="T836" i="5"/>
  <c r="S837" i="5"/>
  <c r="T837" i="5"/>
  <c r="S838" i="5"/>
  <c r="T838" i="5"/>
  <c r="S839" i="5"/>
  <c r="T839" i="5"/>
  <c r="S840" i="5"/>
  <c r="T840" i="5"/>
  <c r="S841" i="5"/>
  <c r="T841" i="5"/>
  <c r="S842" i="5"/>
  <c r="T842" i="5"/>
  <c r="S843" i="5"/>
  <c r="T843" i="5"/>
  <c r="S844" i="5"/>
  <c r="T844" i="5"/>
  <c r="S845" i="5"/>
  <c r="T845" i="5"/>
  <c r="S846" i="5"/>
  <c r="T846" i="5"/>
  <c r="S847" i="5"/>
  <c r="T847" i="5"/>
  <c r="S848" i="5"/>
  <c r="T848" i="5"/>
  <c r="S849" i="5"/>
  <c r="T849" i="5"/>
  <c r="S850" i="5"/>
  <c r="T850" i="5"/>
  <c r="S851" i="5"/>
  <c r="T851" i="5"/>
  <c r="S852" i="5"/>
  <c r="T852" i="5"/>
  <c r="S853" i="5"/>
  <c r="T853" i="5"/>
  <c r="S854" i="5"/>
  <c r="T854" i="5"/>
  <c r="S855" i="5"/>
  <c r="T855" i="5"/>
  <c r="S856" i="5"/>
  <c r="T856" i="5"/>
  <c r="S857" i="5"/>
  <c r="T857" i="5"/>
  <c r="S858" i="5"/>
  <c r="T858" i="5"/>
  <c r="S859" i="5"/>
  <c r="T859" i="5"/>
  <c r="S860" i="5"/>
  <c r="T860" i="5"/>
  <c r="S861" i="5"/>
  <c r="T861" i="5"/>
  <c r="S862" i="5"/>
  <c r="T862" i="5"/>
  <c r="S863" i="5"/>
  <c r="T863" i="5"/>
  <c r="S864" i="5"/>
  <c r="T864" i="5"/>
  <c r="S865" i="5"/>
  <c r="T865" i="5"/>
  <c r="S866" i="5"/>
  <c r="T866" i="5"/>
  <c r="S867" i="5"/>
  <c r="T867" i="5"/>
  <c r="S868" i="5"/>
  <c r="T868" i="5"/>
  <c r="S869" i="5"/>
  <c r="T869" i="5"/>
  <c r="S870" i="5"/>
  <c r="T870" i="5"/>
  <c r="S871" i="5"/>
  <c r="T871" i="5"/>
  <c r="S872" i="5"/>
  <c r="T872" i="5"/>
  <c r="S873" i="5"/>
  <c r="T873" i="5"/>
  <c r="S874" i="5"/>
  <c r="T874" i="5"/>
  <c r="S875" i="5"/>
  <c r="T875" i="5"/>
  <c r="S876" i="5"/>
  <c r="T876" i="5"/>
  <c r="S877" i="5"/>
  <c r="T877" i="5"/>
  <c r="S878" i="5"/>
  <c r="T878" i="5"/>
  <c r="S879" i="5"/>
  <c r="T879" i="5"/>
  <c r="S880" i="5"/>
  <c r="T880" i="5"/>
  <c r="S881" i="5"/>
  <c r="T881" i="5"/>
  <c r="S882" i="5"/>
  <c r="T882" i="5"/>
  <c r="S883" i="5"/>
  <c r="T883" i="5"/>
  <c r="S884" i="5"/>
  <c r="T884" i="5"/>
  <c r="S885" i="5"/>
  <c r="T885" i="5"/>
  <c r="S886" i="5"/>
  <c r="T886" i="5"/>
  <c r="S887" i="5"/>
  <c r="T887" i="5"/>
  <c r="S888" i="5"/>
  <c r="T888" i="5"/>
  <c r="S889" i="5"/>
  <c r="T889" i="5"/>
  <c r="S890" i="5"/>
  <c r="T890" i="5"/>
  <c r="S891" i="5"/>
  <c r="T891" i="5"/>
  <c r="S892" i="5"/>
  <c r="T892" i="5"/>
  <c r="S893" i="5"/>
  <c r="T893" i="5"/>
  <c r="S894" i="5"/>
  <c r="T894" i="5"/>
  <c r="S895" i="5"/>
  <c r="T895" i="5"/>
  <c r="S896" i="5"/>
  <c r="T896" i="5"/>
  <c r="S897" i="5"/>
  <c r="T897" i="5"/>
  <c r="S898" i="5"/>
  <c r="T898" i="5"/>
  <c r="S899" i="5"/>
  <c r="T899" i="5"/>
  <c r="S900" i="5"/>
  <c r="T900" i="5"/>
  <c r="S901" i="5"/>
  <c r="T901" i="5"/>
  <c r="S902" i="5"/>
  <c r="T902" i="5"/>
  <c r="S903" i="5"/>
  <c r="T903" i="5"/>
  <c r="S904" i="5"/>
  <c r="T904" i="5"/>
  <c r="S905" i="5"/>
  <c r="T905" i="5"/>
  <c r="S906" i="5"/>
  <c r="T906" i="5"/>
  <c r="S907" i="5"/>
  <c r="T907" i="5"/>
  <c r="S908" i="5"/>
  <c r="T908" i="5"/>
  <c r="S909" i="5"/>
  <c r="T909" i="5"/>
  <c r="S910" i="5"/>
  <c r="T910" i="5"/>
  <c r="S911" i="5"/>
  <c r="T911" i="5"/>
  <c r="S912" i="5"/>
  <c r="T912" i="5"/>
  <c r="S913" i="5"/>
  <c r="T913" i="5"/>
  <c r="S914" i="5"/>
  <c r="T914" i="5"/>
  <c r="S915" i="5"/>
  <c r="T915" i="5"/>
  <c r="S916" i="5"/>
  <c r="T916" i="5"/>
  <c r="S917" i="5"/>
  <c r="T917" i="5"/>
  <c r="S918" i="5"/>
  <c r="T918" i="5"/>
  <c r="S919" i="5"/>
  <c r="T919" i="5"/>
  <c r="S920" i="5"/>
  <c r="T920" i="5"/>
  <c r="S921" i="5"/>
  <c r="T921" i="5"/>
  <c r="S922" i="5"/>
  <c r="T922" i="5"/>
  <c r="S923" i="5"/>
  <c r="T923" i="5"/>
  <c r="S924" i="5"/>
  <c r="T924" i="5"/>
  <c r="S925" i="5"/>
  <c r="T925" i="5"/>
  <c r="S926" i="5"/>
  <c r="T926" i="5"/>
  <c r="S927" i="5"/>
  <c r="T927" i="5"/>
  <c r="S928" i="5"/>
  <c r="T928" i="5"/>
  <c r="S929" i="5"/>
  <c r="T929" i="5"/>
  <c r="S930" i="5"/>
  <c r="T930" i="5"/>
  <c r="S931" i="5"/>
  <c r="T931" i="5"/>
  <c r="S932" i="5"/>
  <c r="T932" i="5"/>
  <c r="S933" i="5"/>
  <c r="T933" i="5"/>
  <c r="S934" i="5"/>
  <c r="T934" i="5"/>
  <c r="S935" i="5"/>
  <c r="T935" i="5"/>
  <c r="S936" i="5"/>
  <c r="T936" i="5"/>
  <c r="S937" i="5"/>
  <c r="T937" i="5"/>
  <c r="S938" i="5"/>
  <c r="T938" i="5"/>
  <c r="S939" i="5"/>
  <c r="T939" i="5"/>
  <c r="S940" i="5"/>
  <c r="T940" i="5"/>
  <c r="S941" i="5"/>
  <c r="T941" i="5"/>
  <c r="S942" i="5"/>
  <c r="T942" i="5"/>
  <c r="S943" i="5"/>
  <c r="T943" i="5"/>
  <c r="S944" i="5"/>
  <c r="T944" i="5"/>
  <c r="S945" i="5"/>
  <c r="T945" i="5"/>
  <c r="S946" i="5"/>
  <c r="T946" i="5"/>
  <c r="S947" i="5"/>
  <c r="T947" i="5"/>
  <c r="S948" i="5"/>
  <c r="T948" i="5"/>
  <c r="S949" i="5"/>
  <c r="T949" i="5"/>
  <c r="S950" i="5"/>
  <c r="T950" i="5"/>
  <c r="S951" i="5"/>
  <c r="T951" i="5"/>
  <c r="S952" i="5"/>
  <c r="T952" i="5"/>
  <c r="S953" i="5"/>
  <c r="T953" i="5"/>
  <c r="S954" i="5"/>
  <c r="T954" i="5"/>
  <c r="S955" i="5"/>
  <c r="T955" i="5"/>
  <c r="S956" i="5"/>
  <c r="T956" i="5"/>
  <c r="S957" i="5"/>
  <c r="T957" i="5"/>
  <c r="S958" i="5"/>
  <c r="T958" i="5"/>
  <c r="S959" i="5"/>
  <c r="T959" i="5"/>
  <c r="S960" i="5"/>
  <c r="T960" i="5"/>
  <c r="S961" i="5"/>
  <c r="T961" i="5"/>
  <c r="S962" i="5"/>
  <c r="T962" i="5"/>
  <c r="S963" i="5"/>
  <c r="T963" i="5"/>
  <c r="S964" i="5"/>
  <c r="T964" i="5"/>
  <c r="S965" i="5"/>
  <c r="T965" i="5"/>
  <c r="S966" i="5"/>
  <c r="T966" i="5"/>
  <c r="S967" i="5"/>
  <c r="T967" i="5"/>
  <c r="S968" i="5"/>
  <c r="T968" i="5"/>
  <c r="S969" i="5"/>
  <c r="T969" i="5"/>
  <c r="S970" i="5"/>
  <c r="T970" i="5"/>
  <c r="S971" i="5"/>
  <c r="T971" i="5"/>
  <c r="S972" i="5"/>
  <c r="T972" i="5"/>
  <c r="S973" i="5"/>
  <c r="T973" i="5"/>
  <c r="S974" i="5"/>
  <c r="T974" i="5"/>
  <c r="S975" i="5"/>
  <c r="T975" i="5"/>
  <c r="S976" i="5"/>
  <c r="T976" i="5"/>
  <c r="S977" i="5"/>
  <c r="T977" i="5"/>
  <c r="S978" i="5"/>
  <c r="T978" i="5"/>
  <c r="S979" i="5"/>
  <c r="T979" i="5"/>
  <c r="S980" i="5"/>
  <c r="T980" i="5"/>
  <c r="S981" i="5"/>
  <c r="T981" i="5"/>
  <c r="S982" i="5"/>
  <c r="T982" i="5"/>
  <c r="S983" i="5"/>
  <c r="T983" i="5"/>
  <c r="S984" i="5"/>
  <c r="T984" i="5"/>
  <c r="S985" i="5"/>
  <c r="T985" i="5"/>
  <c r="S986" i="5"/>
  <c r="T986" i="5"/>
  <c r="S987" i="5"/>
  <c r="T987" i="5"/>
  <c r="S988" i="5"/>
  <c r="T988" i="5"/>
  <c r="S989" i="5"/>
  <c r="T989" i="5"/>
  <c r="S990" i="5"/>
  <c r="T990" i="5"/>
  <c r="S991" i="5"/>
  <c r="T991" i="5"/>
  <c r="S992" i="5"/>
  <c r="T992" i="5"/>
  <c r="S993" i="5"/>
  <c r="T993" i="5"/>
  <c r="S994" i="5"/>
  <c r="T994" i="5"/>
  <c r="S995" i="5"/>
  <c r="T995" i="5"/>
  <c r="S996" i="5"/>
  <c r="T996" i="5"/>
  <c r="S997" i="5"/>
  <c r="T997" i="5"/>
  <c r="S998" i="5"/>
  <c r="T998" i="5"/>
  <c r="S999" i="5"/>
  <c r="T999" i="5"/>
  <c r="S1000" i="5"/>
  <c r="T1000" i="5"/>
  <c r="S1001" i="5"/>
  <c r="T1001" i="5"/>
  <c r="S1002" i="5"/>
  <c r="T1002" i="5"/>
  <c r="S1003" i="5"/>
  <c r="T1003" i="5"/>
  <c r="S1004" i="5"/>
  <c r="T1004" i="5"/>
  <c r="S1005" i="5"/>
  <c r="T1005" i="5"/>
  <c r="S1006" i="5"/>
  <c r="T1006" i="5"/>
  <c r="S1007" i="5"/>
  <c r="T1007" i="5"/>
  <c r="S1008" i="5"/>
  <c r="T1008" i="5"/>
  <c r="S1009" i="5"/>
  <c r="T1009" i="5"/>
  <c r="S1010" i="5"/>
  <c r="T1010" i="5"/>
  <c r="S1011" i="5"/>
  <c r="T1011" i="5"/>
  <c r="S1012" i="5"/>
  <c r="T1012" i="5"/>
  <c r="S1013" i="5"/>
  <c r="T1013" i="5"/>
  <c r="S1014" i="5"/>
  <c r="T1014" i="5"/>
  <c r="S1015" i="5"/>
  <c r="T1015" i="5"/>
  <c r="S1016" i="5"/>
  <c r="T1016" i="5"/>
  <c r="S1017" i="5"/>
  <c r="T1017" i="5"/>
  <c r="S1018" i="5"/>
  <c r="T1018" i="5"/>
  <c r="S1019" i="5"/>
  <c r="T1019" i="5"/>
  <c r="S1020" i="5"/>
  <c r="T1020" i="5"/>
  <c r="S1021" i="5"/>
  <c r="T1021" i="5"/>
  <c r="S1022" i="5"/>
  <c r="T1022" i="5"/>
  <c r="S1023" i="5"/>
  <c r="T1023" i="5"/>
  <c r="S1024" i="5"/>
  <c r="T1024" i="5"/>
  <c r="S1025" i="5"/>
  <c r="T1025" i="5"/>
  <c r="S1026" i="5"/>
  <c r="T1026" i="5"/>
  <c r="S1027" i="5"/>
  <c r="T1027" i="5"/>
  <c r="S1028" i="5"/>
  <c r="T1028" i="5"/>
  <c r="S1029" i="5"/>
  <c r="T1029" i="5"/>
  <c r="S1030" i="5"/>
  <c r="T1030" i="5"/>
  <c r="S1031" i="5"/>
  <c r="T1031" i="5"/>
  <c r="S1032" i="5"/>
  <c r="T1032" i="5"/>
  <c r="S1033" i="5"/>
  <c r="T1033" i="5"/>
  <c r="S1034" i="5"/>
  <c r="T1034" i="5"/>
  <c r="S1035" i="5"/>
  <c r="T1035" i="5"/>
  <c r="S1036" i="5"/>
  <c r="T1036" i="5"/>
  <c r="S1037" i="5"/>
  <c r="T1037" i="5"/>
  <c r="S1038" i="5"/>
  <c r="T1038" i="5"/>
  <c r="S1039" i="5"/>
  <c r="T1039" i="5"/>
  <c r="S1040" i="5"/>
  <c r="T1040" i="5"/>
  <c r="S1041" i="5"/>
  <c r="T1041" i="5"/>
  <c r="S1042" i="5"/>
  <c r="T1042" i="5"/>
  <c r="S1043" i="5"/>
  <c r="T1043" i="5"/>
  <c r="S1044" i="5"/>
  <c r="T1044" i="5"/>
  <c r="S1045" i="5"/>
  <c r="T1045" i="5"/>
  <c r="S1046" i="5"/>
  <c r="T1046" i="5"/>
  <c r="S1047" i="5"/>
  <c r="T1047" i="5"/>
  <c r="S1048" i="5"/>
  <c r="T1048" i="5"/>
  <c r="S1049" i="5"/>
  <c r="T1049" i="5"/>
  <c r="S1050" i="5"/>
  <c r="T1050" i="5"/>
  <c r="S1051" i="5"/>
  <c r="T1051" i="5"/>
  <c r="S1052" i="5"/>
  <c r="T1052" i="5"/>
  <c r="S1053" i="5"/>
  <c r="T1053" i="5"/>
  <c r="S1054" i="5"/>
  <c r="T1054" i="5"/>
  <c r="S1055" i="5"/>
  <c r="T1055" i="5"/>
  <c r="S1056" i="5"/>
  <c r="T1056" i="5"/>
  <c r="S1057" i="5"/>
  <c r="T1057" i="5"/>
  <c r="S1058" i="5"/>
  <c r="T1058" i="5"/>
  <c r="S1059" i="5"/>
  <c r="T1059" i="5"/>
  <c r="S1060" i="5"/>
  <c r="T1060" i="5"/>
  <c r="S1061" i="5"/>
  <c r="T1061" i="5"/>
  <c r="S1062" i="5"/>
  <c r="T1062" i="5"/>
  <c r="S1063" i="5"/>
  <c r="T1063" i="5"/>
  <c r="S1064" i="5"/>
  <c r="T1064" i="5"/>
  <c r="S1065" i="5"/>
  <c r="T1065" i="5"/>
  <c r="S1066" i="5"/>
  <c r="T1066" i="5"/>
  <c r="S1067" i="5"/>
  <c r="T1067" i="5"/>
  <c r="S1068" i="5"/>
  <c r="T1068" i="5"/>
  <c r="S1069" i="5"/>
  <c r="T1069" i="5"/>
  <c r="S1070" i="5"/>
  <c r="T1070" i="5"/>
  <c r="S1071" i="5"/>
  <c r="T1071" i="5"/>
  <c r="S1072" i="5"/>
  <c r="T1072" i="5"/>
  <c r="S1073" i="5"/>
  <c r="T1073" i="5"/>
  <c r="S1074" i="5"/>
  <c r="T1074" i="5"/>
  <c r="S1075" i="5"/>
  <c r="T1075" i="5"/>
  <c r="S1076" i="5"/>
  <c r="T1076" i="5"/>
  <c r="S1077" i="5"/>
  <c r="T1077" i="5"/>
  <c r="S1078" i="5"/>
  <c r="T1078" i="5"/>
  <c r="S1079" i="5"/>
  <c r="T1079" i="5"/>
  <c r="S1080" i="5"/>
  <c r="T1080" i="5"/>
  <c r="S1081" i="5"/>
  <c r="T1081" i="5"/>
  <c r="S1082" i="5"/>
  <c r="T1082" i="5"/>
  <c r="S1083" i="5"/>
  <c r="T1083" i="5"/>
  <c r="S1084" i="5"/>
  <c r="T1084" i="5"/>
  <c r="S1085" i="5"/>
  <c r="T1085" i="5"/>
  <c r="S1086" i="5"/>
  <c r="T1086" i="5"/>
  <c r="S1087" i="5"/>
  <c r="T1087" i="5"/>
  <c r="S1088" i="5"/>
  <c r="T1088" i="5"/>
  <c r="S1089" i="5"/>
  <c r="T1089" i="5"/>
  <c r="S1090" i="5"/>
  <c r="T1090" i="5"/>
  <c r="S1091" i="5"/>
  <c r="T1091" i="5"/>
  <c r="S1092" i="5"/>
  <c r="T1092" i="5"/>
  <c r="S1093" i="5"/>
  <c r="T1093" i="5"/>
  <c r="S1094" i="5"/>
  <c r="T1094" i="5"/>
  <c r="S1095" i="5"/>
  <c r="T1095" i="5"/>
  <c r="S1096" i="5"/>
  <c r="T1096" i="5"/>
  <c r="S1097" i="5"/>
  <c r="T1097" i="5"/>
  <c r="S1098" i="5"/>
  <c r="T1098" i="5"/>
  <c r="S1099" i="5"/>
  <c r="T1099" i="5"/>
  <c r="S1100" i="5"/>
  <c r="T1100" i="5"/>
  <c r="S1101" i="5"/>
  <c r="T1101" i="5"/>
  <c r="S1102" i="5"/>
  <c r="T1102" i="5"/>
  <c r="S1103" i="5"/>
  <c r="T1103" i="5"/>
  <c r="S1104" i="5"/>
  <c r="T1104" i="5"/>
  <c r="S1105" i="5"/>
  <c r="T1105" i="5"/>
  <c r="S1106" i="5"/>
  <c r="T1106" i="5"/>
  <c r="S1107" i="5"/>
  <c r="T1107" i="5"/>
  <c r="S1108" i="5"/>
  <c r="T1108" i="5"/>
  <c r="S1109" i="5"/>
  <c r="T1109" i="5"/>
  <c r="S1110" i="5"/>
  <c r="T1110" i="5"/>
  <c r="S1111" i="5"/>
  <c r="T1111" i="5"/>
  <c r="S1112" i="5"/>
  <c r="T1112" i="5"/>
  <c r="S1113" i="5"/>
  <c r="T1113" i="5"/>
  <c r="S1114" i="5"/>
  <c r="T1114" i="5"/>
  <c r="S1115" i="5"/>
  <c r="T1115" i="5"/>
  <c r="S1116" i="5"/>
  <c r="T1116" i="5"/>
  <c r="S1117" i="5"/>
  <c r="T1117" i="5"/>
  <c r="S1118" i="5"/>
  <c r="T1118" i="5"/>
  <c r="S1119" i="5"/>
  <c r="T1119" i="5"/>
  <c r="S1120" i="5"/>
  <c r="T1120" i="5"/>
  <c r="S1121" i="5"/>
  <c r="T1121" i="5"/>
  <c r="S1122" i="5"/>
  <c r="T1122" i="5"/>
  <c r="S1123" i="5"/>
  <c r="T1123" i="5"/>
  <c r="S1124" i="5"/>
  <c r="T1124" i="5"/>
  <c r="S1125" i="5"/>
  <c r="T1125" i="5"/>
  <c r="S1126" i="5"/>
  <c r="T1126" i="5"/>
  <c r="S1127" i="5"/>
  <c r="T1127" i="5"/>
  <c r="S1128" i="5"/>
  <c r="T1128" i="5"/>
  <c r="S1129" i="5"/>
  <c r="T1129" i="5"/>
  <c r="S1130" i="5"/>
  <c r="T1130" i="5"/>
  <c r="S1131" i="5"/>
  <c r="T1131" i="5"/>
  <c r="S1132" i="5"/>
  <c r="T1132" i="5"/>
  <c r="S1133" i="5"/>
  <c r="T1133" i="5"/>
  <c r="S1134" i="5"/>
  <c r="T1134" i="5"/>
  <c r="S1135" i="5"/>
  <c r="T1135" i="5"/>
  <c r="S1136" i="5"/>
  <c r="T1136" i="5"/>
  <c r="S1137" i="5"/>
  <c r="T1137" i="5"/>
  <c r="S1138" i="5"/>
  <c r="T1138" i="5"/>
  <c r="S1139" i="5"/>
  <c r="T1139" i="5"/>
  <c r="S1140" i="5"/>
  <c r="T1140" i="5"/>
  <c r="S1141" i="5"/>
  <c r="T1141" i="5"/>
  <c r="S1142" i="5"/>
  <c r="T1142" i="5"/>
  <c r="S1143" i="5"/>
  <c r="T1143" i="5"/>
  <c r="S1144" i="5"/>
  <c r="T1144" i="5"/>
  <c r="S1145" i="5"/>
  <c r="T1145" i="5"/>
  <c r="S1146" i="5"/>
  <c r="T1146" i="5"/>
  <c r="S1147" i="5"/>
  <c r="T1147" i="5"/>
  <c r="S1148" i="5"/>
  <c r="T1148" i="5"/>
  <c r="S1149" i="5"/>
  <c r="T1149" i="5"/>
  <c r="S1150" i="5"/>
  <c r="T1150" i="5"/>
  <c r="S1151" i="5"/>
  <c r="T1151" i="5"/>
  <c r="S1152" i="5"/>
  <c r="T1152" i="5"/>
  <c r="S1153" i="5"/>
  <c r="T1153" i="5"/>
  <c r="S1154" i="5"/>
  <c r="T1154" i="5"/>
  <c r="S1155" i="5"/>
  <c r="T1155" i="5"/>
  <c r="S1156" i="5"/>
  <c r="T1156" i="5"/>
  <c r="S1157" i="5"/>
  <c r="T1157" i="5"/>
  <c r="S1158" i="5"/>
  <c r="T1158" i="5"/>
  <c r="S1159" i="5"/>
  <c r="T1159" i="5"/>
  <c r="S1160" i="5"/>
  <c r="T1160" i="5"/>
  <c r="S1161" i="5"/>
  <c r="T1161" i="5"/>
  <c r="S1162" i="5"/>
  <c r="T1162" i="5"/>
  <c r="S1163" i="5"/>
  <c r="T1163" i="5"/>
  <c r="S1164" i="5"/>
  <c r="T1164" i="5"/>
  <c r="S1165" i="5"/>
  <c r="T1165" i="5"/>
  <c r="S1166" i="5"/>
  <c r="T1166" i="5"/>
  <c r="S1167" i="5"/>
  <c r="T1167" i="5"/>
  <c r="S1168" i="5"/>
  <c r="T1168" i="5"/>
  <c r="S1169" i="5"/>
  <c r="T1169" i="5"/>
  <c r="S1170" i="5"/>
  <c r="T1170" i="5"/>
  <c r="S1171" i="5"/>
  <c r="T1171" i="5"/>
  <c r="S1172" i="5"/>
  <c r="T1172" i="5"/>
  <c r="S1173" i="5"/>
  <c r="T1173" i="5"/>
  <c r="S1174" i="5"/>
  <c r="T1174" i="5"/>
  <c r="S1175" i="5"/>
  <c r="T1175" i="5"/>
  <c r="S1176" i="5"/>
  <c r="T1176" i="5"/>
  <c r="S1177" i="5"/>
  <c r="T1177" i="5"/>
  <c r="S1178" i="5"/>
  <c r="T1178" i="5"/>
  <c r="S1179" i="5"/>
  <c r="T1179" i="5"/>
  <c r="S1180" i="5"/>
  <c r="T1180" i="5"/>
  <c r="S1181" i="5"/>
  <c r="T1181" i="5"/>
  <c r="S1182" i="5"/>
  <c r="T1182" i="5"/>
  <c r="S1183" i="5"/>
  <c r="T1183" i="5"/>
  <c r="S1184" i="5"/>
  <c r="T1184" i="5"/>
  <c r="S1185" i="5"/>
  <c r="T1185" i="5"/>
  <c r="S1186" i="5"/>
  <c r="T1186" i="5"/>
  <c r="S1187" i="5"/>
  <c r="T1187" i="5"/>
  <c r="S1188" i="5"/>
  <c r="T1188" i="5"/>
  <c r="S1189" i="5"/>
  <c r="T1189" i="5"/>
  <c r="S1190" i="5"/>
  <c r="T1190" i="5"/>
  <c r="S1191" i="5"/>
  <c r="T1191" i="5"/>
  <c r="S1192" i="5"/>
  <c r="T1192" i="5"/>
  <c r="S1193" i="5"/>
  <c r="T1193" i="5"/>
  <c r="S1194" i="5"/>
  <c r="T1194" i="5"/>
  <c r="S1195" i="5"/>
  <c r="T1195" i="5"/>
  <c r="S1196" i="5"/>
  <c r="T1196" i="5"/>
  <c r="S1197" i="5"/>
  <c r="T1197" i="5"/>
  <c r="S1198" i="5"/>
  <c r="T1198" i="5"/>
  <c r="S1199" i="5"/>
  <c r="T1199" i="5"/>
  <c r="S1200" i="5"/>
  <c r="T1200" i="5"/>
  <c r="S1201" i="5"/>
  <c r="T1201" i="5"/>
  <c r="S1202" i="5"/>
  <c r="T1202" i="5"/>
  <c r="S1203" i="5"/>
  <c r="T1203" i="5"/>
  <c r="S1204" i="5"/>
  <c r="T1204" i="5"/>
  <c r="S1205" i="5"/>
  <c r="T1205" i="5"/>
  <c r="S1206" i="5"/>
  <c r="T1206" i="5"/>
  <c r="S1207" i="5"/>
  <c r="T1207" i="5"/>
  <c r="S1208" i="5"/>
  <c r="T1208" i="5"/>
  <c r="S1209" i="5"/>
  <c r="T1209" i="5"/>
  <c r="S1210" i="5"/>
  <c r="T1210" i="5"/>
  <c r="S1211" i="5"/>
  <c r="T1211" i="5"/>
  <c r="S1212" i="5"/>
  <c r="T1212" i="5"/>
  <c r="S1213" i="5"/>
  <c r="T1213" i="5"/>
  <c r="S1214" i="5"/>
  <c r="T1214" i="5"/>
  <c r="S1215" i="5"/>
  <c r="T1215" i="5"/>
  <c r="S1216" i="5"/>
  <c r="T1216" i="5"/>
  <c r="S1217" i="5"/>
  <c r="T1217" i="5"/>
  <c r="S1218" i="5"/>
  <c r="T1218" i="5"/>
  <c r="S1219" i="5"/>
  <c r="T1219" i="5"/>
  <c r="S1220" i="5"/>
  <c r="T1220" i="5"/>
  <c r="S1221" i="5"/>
  <c r="T1221" i="5"/>
  <c r="S1222" i="5"/>
  <c r="T1222" i="5"/>
  <c r="S1223" i="5"/>
  <c r="T1223" i="5"/>
  <c r="S1224" i="5"/>
  <c r="T1224" i="5"/>
  <c r="S1225" i="5"/>
  <c r="T1225" i="5"/>
  <c r="S1226" i="5"/>
  <c r="T1226" i="5"/>
  <c r="S1227" i="5"/>
  <c r="T1227" i="5"/>
  <c r="S1228" i="5"/>
  <c r="T1228" i="5"/>
  <c r="S1229" i="5"/>
  <c r="T1229" i="5"/>
  <c r="S1230" i="5"/>
  <c r="T1230" i="5"/>
  <c r="S1231" i="5"/>
  <c r="T1231" i="5"/>
  <c r="S1232" i="5"/>
  <c r="T1232" i="5"/>
  <c r="S1233" i="5"/>
  <c r="T1233" i="5"/>
  <c r="S1234" i="5"/>
  <c r="T1234" i="5"/>
  <c r="S1235" i="5"/>
  <c r="T1235" i="5"/>
  <c r="S1236" i="5"/>
  <c r="T1236" i="5"/>
  <c r="S1237" i="5"/>
  <c r="T1237" i="5"/>
  <c r="S1238" i="5"/>
  <c r="T1238" i="5"/>
  <c r="S1239" i="5"/>
  <c r="T1239" i="5"/>
  <c r="S1240" i="5"/>
  <c r="T1240" i="5"/>
  <c r="S1241" i="5"/>
  <c r="T1241" i="5"/>
  <c r="S1242" i="5"/>
  <c r="T1242" i="5"/>
  <c r="S1243" i="5"/>
  <c r="T1243" i="5"/>
  <c r="S1244" i="5"/>
  <c r="T1244" i="5"/>
  <c r="S1245" i="5"/>
  <c r="T1245" i="5"/>
  <c r="S1246" i="5"/>
  <c r="T1246" i="5"/>
  <c r="S1247" i="5"/>
  <c r="T1247" i="5"/>
  <c r="S1248" i="5"/>
  <c r="T1248" i="5"/>
  <c r="S1249" i="5"/>
  <c r="T1249" i="5"/>
  <c r="S1250" i="5"/>
  <c r="T1250" i="5"/>
  <c r="S1251" i="5"/>
  <c r="T1251" i="5"/>
  <c r="S1252" i="5"/>
  <c r="T1252" i="5"/>
  <c r="S1253" i="5"/>
  <c r="T1253" i="5"/>
  <c r="S1254" i="5"/>
  <c r="T1254" i="5"/>
  <c r="S1255" i="5"/>
  <c r="T1255" i="5"/>
  <c r="S1256" i="5"/>
  <c r="T1256" i="5"/>
  <c r="S1257" i="5"/>
  <c r="T1257" i="5"/>
  <c r="S1258" i="5"/>
  <c r="T1258" i="5"/>
  <c r="S1259" i="5"/>
  <c r="T1259" i="5"/>
  <c r="S1260" i="5"/>
  <c r="T1260" i="5"/>
  <c r="S1261" i="5"/>
  <c r="T1261" i="5"/>
  <c r="S1262" i="5"/>
  <c r="T1262" i="5"/>
  <c r="S1263" i="5"/>
  <c r="T1263" i="5"/>
  <c r="S1264" i="5"/>
  <c r="T1264" i="5"/>
  <c r="S1265" i="5"/>
  <c r="T1265" i="5"/>
  <c r="S1266" i="5"/>
  <c r="T1266" i="5"/>
  <c r="S1267" i="5"/>
  <c r="T1267" i="5"/>
  <c r="S1268" i="5"/>
  <c r="T1268" i="5"/>
  <c r="S1269" i="5"/>
  <c r="T1269" i="5"/>
  <c r="S1270" i="5"/>
  <c r="T1270" i="5"/>
  <c r="S1271" i="5"/>
  <c r="T1271" i="5"/>
  <c r="S1272" i="5"/>
  <c r="T1272" i="5"/>
  <c r="S1273" i="5"/>
  <c r="T1273" i="5"/>
  <c r="S1274" i="5"/>
  <c r="T1274" i="5"/>
  <c r="S1275" i="5"/>
  <c r="T1275" i="5"/>
  <c r="S1276" i="5"/>
  <c r="T1276" i="5"/>
  <c r="S1277" i="5"/>
  <c r="T1277" i="5"/>
  <c r="S1278" i="5"/>
  <c r="T1278" i="5"/>
  <c r="S1279" i="5"/>
  <c r="T1279" i="5"/>
  <c r="S1280" i="5"/>
  <c r="T1280" i="5"/>
  <c r="S1281" i="5"/>
  <c r="T1281" i="5"/>
  <c r="S1282" i="5"/>
  <c r="T1282" i="5"/>
  <c r="S1283" i="5"/>
  <c r="T1283" i="5"/>
  <c r="S1284" i="5"/>
  <c r="T1284" i="5"/>
  <c r="S1285" i="5"/>
  <c r="T1285" i="5"/>
  <c r="S1286" i="5"/>
  <c r="T1286" i="5"/>
  <c r="S1287" i="5"/>
  <c r="T1287" i="5"/>
  <c r="S1288" i="5"/>
  <c r="T1288" i="5"/>
  <c r="S1289" i="5"/>
  <c r="T1289" i="5"/>
  <c r="S1290" i="5"/>
  <c r="T1290" i="5"/>
  <c r="S1291" i="5"/>
  <c r="T1291" i="5"/>
  <c r="S1292" i="5"/>
  <c r="T1292" i="5"/>
  <c r="S1293" i="5"/>
  <c r="T1293" i="5"/>
  <c r="S1294" i="5"/>
  <c r="T1294" i="5"/>
  <c r="S1295" i="5"/>
  <c r="T1295" i="5"/>
  <c r="S1296" i="5"/>
  <c r="T1296" i="5"/>
  <c r="S1297" i="5"/>
  <c r="T1297" i="5"/>
  <c r="S1298" i="5"/>
  <c r="T1298" i="5"/>
  <c r="S1299" i="5"/>
  <c r="T1299" i="5"/>
  <c r="S1300" i="5"/>
  <c r="T1300" i="5"/>
  <c r="S1301" i="5"/>
  <c r="T1301" i="5"/>
  <c r="S1302" i="5"/>
  <c r="T1302" i="5"/>
  <c r="S1303" i="5"/>
  <c r="T1303" i="5"/>
  <c r="S1304" i="5"/>
  <c r="T1304" i="5"/>
  <c r="S1305" i="5"/>
  <c r="T1305" i="5"/>
  <c r="S1306" i="5"/>
  <c r="T1306" i="5"/>
  <c r="S1307" i="5"/>
  <c r="T1307" i="5"/>
  <c r="S1308" i="5"/>
  <c r="T1308" i="5"/>
  <c r="S1309" i="5"/>
  <c r="T1309" i="5"/>
  <c r="S1310" i="5"/>
  <c r="T1310" i="5"/>
  <c r="S1311" i="5"/>
  <c r="T1311" i="5"/>
  <c r="S1312" i="5"/>
  <c r="T1312" i="5"/>
  <c r="S1313" i="5"/>
  <c r="T1313" i="5"/>
  <c r="S1314" i="5"/>
  <c r="T1314" i="5"/>
  <c r="S1315" i="5"/>
  <c r="T1315" i="5"/>
  <c r="S1316" i="5"/>
  <c r="T1316" i="5"/>
  <c r="S1317" i="5"/>
  <c r="T1317" i="5"/>
  <c r="S1318" i="5"/>
  <c r="T1318" i="5"/>
  <c r="S1319" i="5"/>
  <c r="T1319" i="5"/>
  <c r="S1320" i="5"/>
  <c r="T1320" i="5"/>
  <c r="S1321" i="5"/>
  <c r="T1321" i="5"/>
  <c r="S1322" i="5"/>
  <c r="T1322" i="5"/>
  <c r="S1323" i="5"/>
  <c r="T1323" i="5"/>
  <c r="S1324" i="5"/>
  <c r="T1324" i="5"/>
  <c r="S1325" i="5"/>
  <c r="T1325" i="5"/>
  <c r="S1326" i="5"/>
  <c r="T1326" i="5"/>
  <c r="S1327" i="5"/>
  <c r="T1327" i="5"/>
  <c r="S1328" i="5"/>
  <c r="T1328" i="5"/>
  <c r="S1329" i="5"/>
  <c r="T1329" i="5"/>
  <c r="S1330" i="5"/>
  <c r="T1330" i="5"/>
  <c r="S1331" i="5"/>
  <c r="T1331" i="5"/>
  <c r="S1332" i="5"/>
  <c r="T1332" i="5"/>
  <c r="S1333" i="5"/>
  <c r="T1333" i="5"/>
  <c r="S1334" i="5"/>
  <c r="T1334" i="5"/>
  <c r="S1335" i="5"/>
  <c r="T1335" i="5"/>
  <c r="S1336" i="5"/>
  <c r="T1336" i="5"/>
  <c r="S1337" i="5"/>
  <c r="T1337" i="5"/>
  <c r="S1338" i="5"/>
  <c r="T1338" i="5"/>
  <c r="S1339" i="5"/>
  <c r="T1339" i="5"/>
  <c r="S1340" i="5"/>
  <c r="T1340" i="5"/>
  <c r="S1341" i="5"/>
  <c r="T1341" i="5"/>
  <c r="S1342" i="5"/>
  <c r="T1342" i="5"/>
  <c r="S1343" i="5"/>
  <c r="T1343" i="5"/>
  <c r="S1344" i="5"/>
  <c r="T1344" i="5"/>
  <c r="S1345" i="5"/>
  <c r="T1345" i="5"/>
  <c r="S1346" i="5"/>
  <c r="T1346" i="5"/>
  <c r="S1347" i="5"/>
  <c r="T1347" i="5"/>
  <c r="S1348" i="5"/>
  <c r="T1348" i="5"/>
  <c r="S1349" i="5"/>
  <c r="T1349" i="5"/>
  <c r="S1350" i="5"/>
  <c r="T1350" i="5"/>
  <c r="S1351" i="5"/>
  <c r="T1351" i="5"/>
  <c r="S1352" i="5"/>
  <c r="T1352" i="5"/>
  <c r="S1353" i="5"/>
  <c r="T1353" i="5"/>
  <c r="S1354" i="5"/>
  <c r="T1354" i="5"/>
  <c r="S1355" i="5"/>
  <c r="T1355" i="5"/>
  <c r="S1356" i="5"/>
  <c r="T1356" i="5"/>
  <c r="S1357" i="5"/>
  <c r="T1357" i="5"/>
  <c r="S1358" i="5"/>
  <c r="T1358" i="5"/>
  <c r="S1359" i="5"/>
  <c r="T1359" i="5"/>
  <c r="S1360" i="5"/>
  <c r="T1360" i="5"/>
  <c r="S1361" i="5"/>
  <c r="T1361" i="5"/>
  <c r="S1362" i="5"/>
  <c r="T1362" i="5"/>
  <c r="S1363" i="5"/>
  <c r="T1363" i="5"/>
  <c r="S1364" i="5"/>
  <c r="T1364" i="5"/>
  <c r="S1365" i="5"/>
  <c r="T1365" i="5"/>
  <c r="S1366" i="5"/>
  <c r="T1366" i="5"/>
  <c r="S1367" i="5"/>
  <c r="T1367" i="5"/>
  <c r="S1368" i="5"/>
  <c r="T1368" i="5"/>
  <c r="S1369" i="5"/>
  <c r="T1369" i="5"/>
  <c r="S1370" i="5"/>
  <c r="T1370" i="5"/>
  <c r="S1371" i="5"/>
  <c r="T1371" i="5"/>
  <c r="S1372" i="5"/>
  <c r="T1372" i="5"/>
  <c r="S1373" i="5"/>
  <c r="T1373" i="5"/>
  <c r="S1374" i="5"/>
  <c r="T1374" i="5"/>
  <c r="S1375" i="5"/>
  <c r="T1375" i="5"/>
  <c r="S1376" i="5"/>
  <c r="T1376" i="5"/>
  <c r="S1377" i="5"/>
  <c r="T1377" i="5"/>
  <c r="S1378" i="5"/>
  <c r="T1378" i="5"/>
  <c r="S1379" i="5"/>
  <c r="T1379" i="5"/>
  <c r="S1380" i="5"/>
  <c r="T1380" i="5"/>
  <c r="S1381" i="5"/>
  <c r="T1381" i="5"/>
  <c r="S1382" i="5"/>
  <c r="T1382" i="5"/>
  <c r="S1383" i="5"/>
  <c r="T1383" i="5"/>
  <c r="S1384" i="5"/>
  <c r="T1384" i="5"/>
  <c r="S1385" i="5"/>
  <c r="T1385" i="5"/>
  <c r="S1386" i="5"/>
  <c r="T1386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179" i="5"/>
  <c r="H180" i="5"/>
  <c r="H181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T2" i="5"/>
  <c r="T3" i="5"/>
  <c r="T4" i="5"/>
  <c r="S2" i="5"/>
  <c r="T178" i="5"/>
  <c r="S178" i="5"/>
  <c r="T177" i="5"/>
  <c r="S177" i="5"/>
  <c r="T176" i="5"/>
  <c r="S176" i="5"/>
  <c r="T175" i="5"/>
  <c r="S175" i="5"/>
  <c r="T174" i="5"/>
  <c r="S174" i="5"/>
  <c r="T173" i="5"/>
  <c r="S173" i="5"/>
  <c r="T172" i="5"/>
  <c r="S172" i="5"/>
  <c r="T171" i="5"/>
  <c r="S171" i="5"/>
  <c r="T170" i="5"/>
  <c r="S170" i="5"/>
  <c r="T169" i="5"/>
  <c r="S169" i="5"/>
  <c r="T168" i="5"/>
  <c r="S168" i="5"/>
  <c r="T167" i="5"/>
  <c r="S167" i="5"/>
  <c r="T166" i="5"/>
  <c r="S166" i="5"/>
  <c r="T165" i="5"/>
  <c r="S165" i="5"/>
  <c r="T164" i="5"/>
  <c r="S164" i="5"/>
  <c r="T163" i="5"/>
  <c r="S163" i="5"/>
  <c r="T162" i="5"/>
  <c r="S162" i="5"/>
  <c r="T161" i="5"/>
  <c r="S161" i="5"/>
  <c r="T160" i="5"/>
  <c r="S160" i="5"/>
  <c r="T159" i="5"/>
  <c r="S159" i="5"/>
  <c r="T158" i="5"/>
  <c r="S158" i="5"/>
  <c r="T157" i="5"/>
  <c r="S157" i="5"/>
  <c r="T156" i="5"/>
  <c r="S156" i="5"/>
  <c r="T155" i="5"/>
  <c r="S155" i="5"/>
  <c r="T154" i="5"/>
  <c r="S154" i="5"/>
  <c r="T153" i="5"/>
  <c r="S153" i="5"/>
  <c r="T152" i="5"/>
  <c r="S152" i="5"/>
  <c r="T151" i="5"/>
  <c r="S151" i="5"/>
  <c r="T150" i="5"/>
  <c r="S150" i="5"/>
  <c r="T149" i="5"/>
  <c r="S149" i="5"/>
  <c r="T148" i="5"/>
  <c r="S148" i="5"/>
  <c r="T147" i="5"/>
  <c r="S147" i="5"/>
  <c r="T146" i="5"/>
  <c r="S146" i="5"/>
  <c r="T145" i="5"/>
  <c r="S145" i="5"/>
  <c r="T144" i="5"/>
  <c r="S144" i="5"/>
  <c r="T143" i="5"/>
  <c r="S143" i="5"/>
  <c r="T142" i="5"/>
  <c r="S142" i="5"/>
  <c r="T141" i="5"/>
  <c r="S141" i="5"/>
  <c r="T140" i="5"/>
  <c r="S140" i="5"/>
  <c r="T139" i="5"/>
  <c r="S139" i="5"/>
  <c r="T138" i="5"/>
  <c r="S138" i="5"/>
  <c r="T137" i="5"/>
  <c r="S137" i="5"/>
  <c r="T136" i="5"/>
  <c r="S136" i="5"/>
  <c r="T135" i="5"/>
  <c r="S135" i="5"/>
  <c r="T134" i="5"/>
  <c r="S134" i="5"/>
  <c r="T133" i="5"/>
  <c r="S133" i="5"/>
  <c r="T132" i="5"/>
  <c r="S132" i="5"/>
  <c r="T131" i="5"/>
  <c r="S131" i="5"/>
  <c r="T130" i="5"/>
  <c r="S130" i="5"/>
  <c r="T129" i="5"/>
  <c r="S129" i="5"/>
  <c r="T128" i="5"/>
  <c r="S128" i="5"/>
  <c r="T127" i="5"/>
  <c r="S127" i="5"/>
  <c r="T126" i="5"/>
  <c r="S126" i="5"/>
  <c r="T125" i="5"/>
  <c r="S125" i="5"/>
  <c r="T124" i="5"/>
  <c r="S124" i="5"/>
  <c r="T123" i="5"/>
  <c r="S123" i="5"/>
  <c r="T122" i="5"/>
  <c r="S122" i="5"/>
  <c r="T121" i="5"/>
  <c r="S121" i="5"/>
  <c r="T120" i="5"/>
  <c r="S120" i="5"/>
  <c r="T119" i="5"/>
  <c r="S119" i="5"/>
  <c r="T118" i="5"/>
  <c r="S118" i="5"/>
  <c r="T117" i="5"/>
  <c r="S117" i="5"/>
  <c r="T116" i="5"/>
  <c r="S116" i="5"/>
  <c r="T115" i="5"/>
  <c r="S115" i="5"/>
  <c r="T114" i="5"/>
  <c r="S114" i="5"/>
  <c r="T113" i="5"/>
  <c r="S113" i="5"/>
  <c r="T112" i="5"/>
  <c r="S112" i="5"/>
  <c r="T111" i="5"/>
  <c r="S111" i="5"/>
  <c r="T110" i="5"/>
  <c r="S110" i="5"/>
  <c r="T109" i="5"/>
  <c r="S109" i="5"/>
  <c r="T108" i="5"/>
  <c r="S108" i="5"/>
  <c r="T107" i="5"/>
  <c r="S107" i="5"/>
  <c r="T106" i="5"/>
  <c r="S106" i="5"/>
  <c r="T105" i="5"/>
  <c r="S105" i="5"/>
  <c r="T104" i="5"/>
  <c r="S104" i="5"/>
  <c r="T103" i="5"/>
  <c r="S103" i="5"/>
  <c r="T102" i="5"/>
  <c r="S102" i="5"/>
  <c r="T101" i="5"/>
  <c r="S101" i="5"/>
  <c r="T100" i="5"/>
  <c r="S100" i="5"/>
  <c r="T99" i="5"/>
  <c r="S99" i="5"/>
  <c r="T98" i="5"/>
  <c r="S98" i="5"/>
  <c r="T97" i="5"/>
  <c r="S97" i="5"/>
  <c r="T96" i="5"/>
  <c r="S96" i="5"/>
  <c r="T95" i="5"/>
  <c r="S95" i="5"/>
  <c r="T94" i="5"/>
  <c r="S94" i="5"/>
  <c r="T93" i="5"/>
  <c r="S93" i="5"/>
  <c r="T92" i="5"/>
  <c r="S92" i="5"/>
  <c r="T91" i="5"/>
  <c r="S91" i="5"/>
  <c r="T90" i="5"/>
  <c r="S90" i="5"/>
  <c r="T89" i="5"/>
  <c r="S89" i="5"/>
  <c r="T88" i="5"/>
  <c r="S88" i="5"/>
  <c r="T87" i="5"/>
  <c r="S87" i="5"/>
  <c r="T86" i="5"/>
  <c r="S86" i="5"/>
  <c r="T85" i="5"/>
  <c r="S85" i="5"/>
  <c r="T84" i="5"/>
  <c r="S84" i="5"/>
  <c r="T83" i="5"/>
  <c r="S83" i="5"/>
  <c r="T82" i="5"/>
  <c r="S82" i="5"/>
  <c r="T81" i="5"/>
  <c r="S81" i="5"/>
  <c r="T80" i="5"/>
  <c r="S80" i="5"/>
  <c r="T79" i="5"/>
  <c r="S79" i="5"/>
  <c r="T78" i="5"/>
  <c r="S78" i="5"/>
  <c r="T77" i="5"/>
  <c r="S77" i="5"/>
  <c r="T76" i="5"/>
  <c r="S76" i="5"/>
  <c r="T75" i="5"/>
  <c r="S75" i="5"/>
  <c r="T74" i="5"/>
  <c r="S74" i="5"/>
  <c r="T73" i="5"/>
  <c r="S73" i="5"/>
  <c r="T72" i="5"/>
  <c r="S72" i="5"/>
  <c r="T71" i="5"/>
  <c r="S71" i="5"/>
  <c r="T70" i="5"/>
  <c r="S70" i="5"/>
  <c r="T69" i="5"/>
  <c r="S69" i="5"/>
  <c r="T68" i="5"/>
  <c r="S68" i="5"/>
  <c r="T67" i="5"/>
  <c r="S67" i="5"/>
  <c r="T66" i="5"/>
  <c r="S66" i="5"/>
  <c r="T65" i="5"/>
  <c r="S65" i="5"/>
  <c r="T64" i="5"/>
  <c r="S64" i="5"/>
  <c r="T63" i="5"/>
  <c r="S63" i="5"/>
  <c r="T62" i="5"/>
  <c r="S62" i="5"/>
  <c r="T61" i="5"/>
  <c r="S61" i="5"/>
  <c r="T60" i="5"/>
  <c r="S60" i="5"/>
  <c r="T59" i="5"/>
  <c r="S59" i="5"/>
  <c r="T58" i="5"/>
  <c r="S58" i="5"/>
  <c r="T57" i="5"/>
  <c r="S57" i="5"/>
  <c r="T56" i="5"/>
  <c r="S56" i="5"/>
  <c r="T55" i="5"/>
  <c r="S55" i="5"/>
  <c r="T54" i="5"/>
  <c r="S54" i="5"/>
  <c r="T53" i="5"/>
  <c r="S53" i="5"/>
  <c r="T52" i="5"/>
  <c r="S52" i="5"/>
  <c r="T51" i="5"/>
  <c r="S51" i="5"/>
  <c r="T50" i="5"/>
  <c r="S50" i="5"/>
  <c r="T49" i="5"/>
  <c r="S49" i="5"/>
  <c r="T48" i="5"/>
  <c r="S48" i="5"/>
  <c r="T47" i="5"/>
  <c r="S47" i="5"/>
  <c r="T46" i="5"/>
  <c r="S46" i="5"/>
  <c r="T45" i="5"/>
  <c r="S45" i="5"/>
  <c r="T44" i="5"/>
  <c r="S44" i="5"/>
  <c r="T43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L1370" i="5" l="1"/>
  <c r="K1380" i="5"/>
  <c r="K1203" i="5"/>
  <c r="L1325" i="5"/>
  <c r="K1312" i="5"/>
  <c r="K1256" i="5"/>
  <c r="K1236" i="5"/>
  <c r="L1226" i="5"/>
  <c r="K1357" i="5"/>
  <c r="K1341" i="5"/>
  <c r="K1315" i="5"/>
  <c r="L1302" i="5"/>
  <c r="K1269" i="5"/>
  <c r="K1259" i="5"/>
  <c r="K1249" i="5"/>
  <c r="K1295" i="5"/>
  <c r="L1367" i="5"/>
  <c r="L1360" i="5"/>
  <c r="K1279" i="5"/>
  <c r="L1272" i="5"/>
  <c r="L1259" i="5"/>
  <c r="L1249" i="5"/>
  <c r="K1337" i="5"/>
  <c r="K1228" i="5"/>
  <c r="L1382" i="5"/>
  <c r="K1317" i="5"/>
  <c r="K1238" i="5"/>
  <c r="K1218" i="5"/>
  <c r="L1385" i="5"/>
  <c r="K1320" i="5"/>
  <c r="L1297" i="5"/>
  <c r="K1321" i="5"/>
  <c r="K1376" i="5"/>
  <c r="K1285" i="5"/>
  <c r="L1317" i="5"/>
  <c r="L1320" i="5"/>
  <c r="L1330" i="5"/>
  <c r="L1261" i="5"/>
  <c r="K1251" i="5"/>
  <c r="L1241" i="5"/>
  <c r="K1231" i="5"/>
  <c r="L1211" i="5"/>
  <c r="K1242" i="5"/>
  <c r="K1346" i="5"/>
  <c r="K1336" i="5"/>
  <c r="L1307" i="5"/>
  <c r="L1300" i="5"/>
  <c r="K1297" i="5"/>
  <c r="K1284" i="5"/>
  <c r="K1254" i="5"/>
  <c r="K1252" i="5"/>
  <c r="L1340" i="5"/>
  <c r="K1225" i="5"/>
  <c r="K1340" i="5"/>
  <c r="K1248" i="5"/>
  <c r="K1372" i="5"/>
  <c r="K1287" i="5"/>
  <c r="K1274" i="5"/>
  <c r="L1254" i="5"/>
  <c r="L1244" i="5"/>
  <c r="K1272" i="5"/>
  <c r="K1255" i="5"/>
  <c r="K1356" i="5"/>
  <c r="K1375" i="5"/>
  <c r="K1381" i="5"/>
  <c r="K1326" i="5"/>
  <c r="L1310" i="5"/>
  <c r="K1300" i="5"/>
  <c r="K1267" i="5"/>
  <c r="K1237" i="5"/>
  <c r="L1347" i="5"/>
  <c r="L1327" i="5"/>
  <c r="L1365" i="5"/>
  <c r="K1352" i="5"/>
  <c r="L1335" i="5"/>
  <c r="K1316" i="5"/>
  <c r="L1296" i="5"/>
  <c r="K1277" i="5"/>
  <c r="K1210" i="5"/>
  <c r="L1202" i="5"/>
  <c r="K1205" i="5"/>
  <c r="K1355" i="5"/>
  <c r="L1342" i="5"/>
  <c r="K1215" i="5"/>
  <c r="K1278" i="5"/>
  <c r="L1362" i="5"/>
  <c r="L1312" i="5"/>
  <c r="K1306" i="5"/>
  <c r="L1260" i="5"/>
  <c r="K1253" i="5"/>
  <c r="K1230" i="5"/>
  <c r="L1220" i="5"/>
  <c r="L1350" i="5"/>
  <c r="K1301" i="5"/>
  <c r="K1366" i="5"/>
  <c r="L1345" i="5"/>
  <c r="K1332" i="5"/>
  <c r="L1315" i="5"/>
  <c r="K1296" i="5"/>
  <c r="K1132" i="5"/>
  <c r="L1017" i="5"/>
  <c r="K1189" i="5"/>
  <c r="K1179" i="5"/>
  <c r="L1176" i="5"/>
  <c r="L1157" i="5"/>
  <c r="L1122" i="5"/>
  <c r="K1080" i="5"/>
  <c r="L1047" i="5"/>
  <c r="L1030" i="5"/>
  <c r="L1067" i="5"/>
  <c r="K1125" i="5"/>
  <c r="K1070" i="5"/>
  <c r="L1060" i="5"/>
  <c r="L1020" i="5"/>
  <c r="K1073" i="5"/>
  <c r="K1092" i="5"/>
  <c r="K1095" i="5"/>
  <c r="K1053" i="5"/>
  <c r="L1033" i="5"/>
  <c r="L1162" i="5"/>
  <c r="K1098" i="5"/>
  <c r="K1049" i="5"/>
  <c r="K1039" i="5"/>
  <c r="L1197" i="5"/>
  <c r="L1194" i="5"/>
  <c r="K1134" i="5"/>
  <c r="L1141" i="5"/>
  <c r="L1191" i="5"/>
  <c r="L1029" i="5"/>
  <c r="K1003" i="5"/>
  <c r="L1106" i="5"/>
  <c r="K1044" i="5"/>
  <c r="K1119" i="5"/>
  <c r="K1117" i="5"/>
  <c r="K1019" i="5"/>
  <c r="K1130" i="5"/>
  <c r="K1085" i="5"/>
  <c r="L1075" i="5"/>
  <c r="L1142" i="5"/>
  <c r="K1131" i="5"/>
  <c r="K1058" i="5"/>
  <c r="L1045" i="5"/>
  <c r="K1022" i="5"/>
  <c r="K1122" i="5"/>
  <c r="L1182" i="5"/>
  <c r="K1133" i="5"/>
  <c r="L1035" i="5"/>
  <c r="K1190" i="5"/>
  <c r="K1177" i="5"/>
  <c r="K1142" i="5"/>
  <c r="K1048" i="5"/>
  <c r="L1167" i="5"/>
  <c r="K1192" i="5"/>
  <c r="K1185" i="5"/>
  <c r="L1196" i="5"/>
  <c r="K1180" i="5"/>
  <c r="L1152" i="5"/>
  <c r="K1113" i="5"/>
  <c r="K1116" i="5"/>
  <c r="K1074" i="5"/>
  <c r="K988" i="5"/>
  <c r="K913" i="5"/>
  <c r="L865" i="5"/>
  <c r="L848" i="5"/>
  <c r="K809" i="5"/>
  <c r="K968" i="5"/>
  <c r="L952" i="5"/>
  <c r="L881" i="5"/>
  <c r="K955" i="5"/>
  <c r="K803" i="5"/>
  <c r="L806" i="5"/>
  <c r="K948" i="5"/>
  <c r="L871" i="5"/>
  <c r="L984" i="5"/>
  <c r="K909" i="5"/>
  <c r="L844" i="5"/>
  <c r="K900" i="5"/>
  <c r="L987" i="5"/>
  <c r="L977" i="5"/>
  <c r="L925" i="5"/>
  <c r="L828" i="5"/>
  <c r="K818" i="5"/>
  <c r="K980" i="5"/>
  <c r="K970" i="5"/>
  <c r="K880" i="5"/>
  <c r="K841" i="5"/>
  <c r="K875" i="5"/>
  <c r="L970" i="5"/>
  <c r="K915" i="5"/>
  <c r="K896" i="5"/>
  <c r="L850" i="5"/>
  <c r="L965" i="5"/>
  <c r="K963" i="5"/>
  <c r="K834" i="5"/>
  <c r="K933" i="5"/>
  <c r="L950" i="5"/>
  <c r="K908" i="5"/>
  <c r="L902" i="5"/>
  <c r="L879" i="5"/>
  <c r="L820" i="5"/>
  <c r="L810" i="5"/>
  <c r="L845" i="5"/>
  <c r="K989" i="5"/>
  <c r="L895" i="5"/>
  <c r="L972" i="5"/>
  <c r="L872" i="5"/>
  <c r="K816" i="5"/>
  <c r="K744" i="5"/>
  <c r="L610" i="5"/>
  <c r="L770" i="5"/>
  <c r="L721" i="5"/>
  <c r="K626" i="5"/>
  <c r="L715" i="5"/>
  <c r="K734" i="5"/>
  <c r="L711" i="5"/>
  <c r="K649" i="5"/>
  <c r="K639" i="5"/>
  <c r="K790" i="5"/>
  <c r="K764" i="5"/>
  <c r="L750" i="5"/>
  <c r="K724" i="5"/>
  <c r="L675" i="5"/>
  <c r="L655" i="5"/>
  <c r="K616" i="5"/>
  <c r="K606" i="5"/>
  <c r="K760" i="5"/>
  <c r="L720" i="5"/>
  <c r="K665" i="5"/>
  <c r="L616" i="5"/>
  <c r="L776" i="5"/>
  <c r="K641" i="5"/>
  <c r="L661" i="5"/>
  <c r="L756" i="5"/>
  <c r="K759" i="5"/>
  <c r="K674" i="5"/>
  <c r="K644" i="5"/>
  <c r="L634" i="5"/>
  <c r="L795" i="5"/>
  <c r="K749" i="5"/>
  <c r="L670" i="5"/>
  <c r="L775" i="5"/>
  <c r="L680" i="5"/>
  <c r="L640" i="5"/>
  <c r="K608" i="5"/>
  <c r="L656" i="5"/>
  <c r="L781" i="5"/>
  <c r="L774" i="5"/>
  <c r="L771" i="5"/>
  <c r="L765" i="5"/>
  <c r="L699" i="5"/>
  <c r="L666" i="5"/>
  <c r="K656" i="5"/>
  <c r="L611" i="5"/>
  <c r="L521" i="5"/>
  <c r="L505" i="5"/>
  <c r="K559" i="5"/>
  <c r="L546" i="5"/>
  <c r="K536" i="5"/>
  <c r="K511" i="5"/>
  <c r="L511" i="5"/>
  <c r="L556" i="5"/>
  <c r="K543" i="5"/>
  <c r="L536" i="5"/>
  <c r="L595" i="5"/>
  <c r="K586" i="5"/>
  <c r="K571" i="5"/>
  <c r="L601" i="5"/>
  <c r="L561" i="5"/>
  <c r="K558" i="5"/>
  <c r="L551" i="5"/>
  <c r="K541" i="5"/>
  <c r="K516" i="5"/>
  <c r="K591" i="5"/>
  <c r="K576" i="5"/>
  <c r="K538" i="5"/>
  <c r="L501" i="5"/>
  <c r="K528" i="5"/>
  <c r="K570" i="5"/>
  <c r="K529" i="5"/>
  <c r="K585" i="5"/>
  <c r="L531" i="5"/>
  <c r="L545" i="5"/>
  <c r="K566" i="5"/>
  <c r="K521" i="5"/>
  <c r="K549" i="5"/>
  <c r="L539" i="5"/>
  <c r="L520" i="5"/>
  <c r="K556" i="5"/>
  <c r="K534" i="5"/>
  <c r="K496" i="5"/>
  <c r="K493" i="5"/>
  <c r="K1364" i="5"/>
  <c r="K1324" i="5"/>
  <c r="L1301" i="5"/>
  <c r="K1265" i="5"/>
  <c r="K1247" i="5"/>
  <c r="K1235" i="5"/>
  <c r="K1204" i="5"/>
  <c r="K1358" i="5"/>
  <c r="K1318" i="5"/>
  <c r="K1298" i="5"/>
  <c r="K1289" i="5"/>
  <c r="K1384" i="5"/>
  <c r="L1361" i="5"/>
  <c r="L1341" i="5"/>
  <c r="L1321" i="5"/>
  <c r="K1280" i="5"/>
  <c r="K1271" i="5"/>
  <c r="K1250" i="5"/>
  <c r="K1338" i="5"/>
  <c r="L1231" i="5"/>
  <c r="L1219" i="5"/>
  <c r="K1216" i="5"/>
  <c r="L1207" i="5"/>
  <c r="L1381" i="5"/>
  <c r="K1344" i="5"/>
  <c r="K1304" i="5"/>
  <c r="K1268" i="5"/>
  <c r="K1229" i="5"/>
  <c r="K1378" i="5"/>
  <c r="L1292" i="5"/>
  <c r="L1279" i="5"/>
  <c r="K1222" i="5"/>
  <c r="L1282" i="5"/>
  <c r="L1366" i="5"/>
  <c r="L1346" i="5"/>
  <c r="K1329" i="5"/>
  <c r="K1309" i="5"/>
  <c r="L1306" i="5"/>
  <c r="K1261" i="5"/>
  <c r="L1243" i="5"/>
  <c r="L1237" i="5"/>
  <c r="L1215" i="5"/>
  <c r="L1206" i="5"/>
  <c r="L1386" i="5"/>
  <c r="K1369" i="5"/>
  <c r="K1349" i="5"/>
  <c r="L1326" i="5"/>
  <c r="K1383" i="5"/>
  <c r="L1363" i="5"/>
  <c r="K1343" i="5"/>
  <c r="K1323" i="5"/>
  <c r="K1303" i="5"/>
  <c r="K1264" i="5"/>
  <c r="L1258" i="5"/>
  <c r="L1255" i="5"/>
  <c r="K1246" i="5"/>
  <c r="K1240" i="5"/>
  <c r="K1234" i="5"/>
  <c r="L1209" i="5"/>
  <c r="K1273" i="5"/>
  <c r="L1288" i="5"/>
  <c r="K1260" i="5"/>
  <c r="L1236" i="5"/>
  <c r="K1385" i="5"/>
  <c r="K1382" i="5"/>
  <c r="K1374" i="5"/>
  <c r="L1371" i="5"/>
  <c r="K1365" i="5"/>
  <c r="K1362" i="5"/>
  <c r="K1354" i="5"/>
  <c r="L1351" i="5"/>
  <c r="K1345" i="5"/>
  <c r="K1342" i="5"/>
  <c r="K1334" i="5"/>
  <c r="L1331" i="5"/>
  <c r="K1325" i="5"/>
  <c r="K1322" i="5"/>
  <c r="K1314" i="5"/>
  <c r="L1311" i="5"/>
  <c r="K1305" i="5"/>
  <c r="K1302" i="5"/>
  <c r="K1294" i="5"/>
  <c r="K1276" i="5"/>
  <c r="L1267" i="5"/>
  <c r="L1242" i="5"/>
  <c r="K1212" i="5"/>
  <c r="K1221" i="5"/>
  <c r="K1368" i="5"/>
  <c r="K1348" i="5"/>
  <c r="K1328" i="5"/>
  <c r="K1308" i="5"/>
  <c r="K1266" i="5"/>
  <c r="K1245" i="5"/>
  <c r="K1227" i="5"/>
  <c r="K1224" i="5"/>
  <c r="L1285" i="5"/>
  <c r="K1270" i="5"/>
  <c r="K1209" i="5"/>
  <c r="K1291" i="5"/>
  <c r="L1266" i="5"/>
  <c r="K1263" i="5"/>
  <c r="K1257" i="5"/>
  <c r="K1239" i="5"/>
  <c r="K1275" i="5"/>
  <c r="L1230" i="5"/>
  <c r="K1217" i="5"/>
  <c r="K1379" i="5"/>
  <c r="L1376" i="5"/>
  <c r="K1370" i="5"/>
  <c r="K1367" i="5"/>
  <c r="K1359" i="5"/>
  <c r="L1356" i="5"/>
  <c r="K1350" i="5"/>
  <c r="K1347" i="5"/>
  <c r="K1339" i="5"/>
  <c r="L1336" i="5"/>
  <c r="K1330" i="5"/>
  <c r="K1327" i="5"/>
  <c r="K1319" i="5"/>
  <c r="L1316" i="5"/>
  <c r="K1310" i="5"/>
  <c r="K1307" i="5"/>
  <c r="K1299" i="5"/>
  <c r="L1269" i="5"/>
  <c r="L1256" i="5"/>
  <c r="K1244" i="5"/>
  <c r="K1226" i="5"/>
  <c r="K1223" i="5"/>
  <c r="K1220" i="5"/>
  <c r="K1214" i="5"/>
  <c r="L1205" i="5"/>
  <c r="K1373" i="5"/>
  <c r="K1353" i="5"/>
  <c r="K1333" i="5"/>
  <c r="K1313" i="5"/>
  <c r="L1217" i="5"/>
  <c r="K1387" i="5"/>
  <c r="L1277" i="5"/>
  <c r="L1274" i="5"/>
  <c r="K1281" i="5"/>
  <c r="L1251" i="5"/>
  <c r="K1262" i="5"/>
  <c r="K1241" i="5"/>
  <c r="K1207" i="5"/>
  <c r="K1167" i="5"/>
  <c r="K1143" i="5"/>
  <c r="L1085" i="5"/>
  <c r="L1022" i="5"/>
  <c r="K1013" i="5"/>
  <c r="K1195" i="5"/>
  <c r="K1146" i="5"/>
  <c r="K1140" i="5"/>
  <c r="K1060" i="5"/>
  <c r="L1057" i="5"/>
  <c r="K1035" i="5"/>
  <c r="K1201" i="5"/>
  <c r="K1182" i="5"/>
  <c r="K1173" i="5"/>
  <c r="K1170" i="5"/>
  <c r="K1164" i="5"/>
  <c r="K1155" i="5"/>
  <c r="L1130" i="5"/>
  <c r="L1127" i="5"/>
  <c r="L1115" i="5"/>
  <c r="K1103" i="5"/>
  <c r="K1100" i="5"/>
  <c r="L1097" i="5"/>
  <c r="K1094" i="5"/>
  <c r="K1063" i="5"/>
  <c r="K1149" i="5"/>
  <c r="K1198" i="5"/>
  <c r="K1161" i="5"/>
  <c r="K1091" i="5"/>
  <c r="K1082" i="5"/>
  <c r="L1072" i="5"/>
  <c r="K1025" i="5"/>
  <c r="L1019" i="5"/>
  <c r="K1009" i="5"/>
  <c r="K1050" i="5"/>
  <c r="L1139" i="5"/>
  <c r="K1124" i="5"/>
  <c r="K1034" i="5"/>
  <c r="K1157" i="5"/>
  <c r="K1015" i="5"/>
  <c r="L1169" i="5"/>
  <c r="K1096" i="5"/>
  <c r="L1090" i="5"/>
  <c r="K1084" i="5"/>
  <c r="K1081" i="5"/>
  <c r="K1040" i="5"/>
  <c r="L1037" i="5"/>
  <c r="K1018" i="5"/>
  <c r="K1172" i="5"/>
  <c r="K1166" i="5"/>
  <c r="K1151" i="5"/>
  <c r="K1108" i="5"/>
  <c r="K1102" i="5"/>
  <c r="K1065" i="5"/>
  <c r="L1024" i="5"/>
  <c r="K1005" i="5"/>
  <c r="K1002" i="5"/>
  <c r="K1106" i="5"/>
  <c r="K1112" i="5"/>
  <c r="L1154" i="5"/>
  <c r="L1184" i="5"/>
  <c r="L1175" i="5"/>
  <c r="K1138" i="5"/>
  <c r="K1043" i="5"/>
  <c r="K1194" i="5"/>
  <c r="L1190" i="5"/>
  <c r="K1135" i="5"/>
  <c r="L1129" i="5"/>
  <c r="L1105" i="5"/>
  <c r="L1095" i="5"/>
  <c r="L1074" i="5"/>
  <c r="L1068" i="5"/>
  <c r="K1033" i="5"/>
  <c r="K1030" i="5"/>
  <c r="K1027" i="5"/>
  <c r="K1014" i="5"/>
  <c r="K1075" i="5"/>
  <c r="K1078" i="5"/>
  <c r="K1193" i="5"/>
  <c r="L1132" i="5"/>
  <c r="K1126" i="5"/>
  <c r="K1120" i="5"/>
  <c r="L1117" i="5"/>
  <c r="L1114" i="5"/>
  <c r="K1111" i="5"/>
  <c r="L1077" i="5"/>
  <c r="K1055" i="5"/>
  <c r="K1052" i="5"/>
  <c r="K1145" i="5"/>
  <c r="K1047" i="5"/>
  <c r="L1028" i="5"/>
  <c r="K1121" i="5"/>
  <c r="K1099" i="5"/>
  <c r="K1153" i="5"/>
  <c r="K1141" i="5"/>
  <c r="L1107" i="5"/>
  <c r="K1089" i="5"/>
  <c r="L1070" i="5"/>
  <c r="K1064" i="5"/>
  <c r="K1023" i="5"/>
  <c r="K1004" i="5"/>
  <c r="K1136" i="5"/>
  <c r="K1118" i="5"/>
  <c r="K1191" i="5"/>
  <c r="K1059" i="5"/>
  <c r="K1187" i="5"/>
  <c r="K1147" i="5"/>
  <c r="L1189" i="5"/>
  <c r="L1186" i="5"/>
  <c r="K1174" i="5"/>
  <c r="K1171" i="5"/>
  <c r="K1162" i="5"/>
  <c r="K1156" i="5"/>
  <c r="K1150" i="5"/>
  <c r="L1125" i="5"/>
  <c r="K1104" i="5"/>
  <c r="K1101" i="5"/>
  <c r="L1092" i="5"/>
  <c r="L1042" i="5"/>
  <c r="K1020" i="5"/>
  <c r="K1188" i="5"/>
  <c r="K1028" i="5"/>
  <c r="K1200" i="5"/>
  <c r="K1012" i="5"/>
  <c r="L1148" i="5"/>
  <c r="K1175" i="5"/>
  <c r="K1165" i="5"/>
  <c r="L1146" i="5"/>
  <c r="K1137" i="5"/>
  <c r="K1086" i="5"/>
  <c r="L1083" i="5"/>
  <c r="K1017" i="5"/>
  <c r="K1181" i="5"/>
  <c r="K1110" i="5"/>
  <c r="K1054" i="5"/>
  <c r="K1045" i="5"/>
  <c r="L1032" i="5"/>
  <c r="K1010" i="5"/>
  <c r="K1007" i="5"/>
  <c r="K954" i="5"/>
  <c r="L868" i="5"/>
  <c r="K849" i="5"/>
  <c r="K843" i="5"/>
  <c r="K942" i="5"/>
  <c r="K920" i="5"/>
  <c r="K824" i="5"/>
  <c r="L988" i="5"/>
  <c r="L929" i="5"/>
  <c r="K901" i="5"/>
  <c r="K895" i="5"/>
  <c r="K886" i="5"/>
  <c r="L855" i="5"/>
  <c r="L830" i="5"/>
  <c r="L808" i="5"/>
  <c r="K960" i="5"/>
  <c r="K938" i="5"/>
  <c r="L858" i="5"/>
  <c r="L833" i="5"/>
  <c r="L824" i="5"/>
  <c r="K1000" i="5"/>
  <c r="K957" i="5"/>
  <c r="L889" i="5"/>
  <c r="L823" i="5"/>
  <c r="K944" i="5"/>
  <c r="K935" i="5"/>
  <c r="K910" i="5"/>
  <c r="K892" i="5"/>
  <c r="K923" i="5"/>
  <c r="K984" i="5"/>
  <c r="K975" i="5"/>
  <c r="K953" i="5"/>
  <c r="L919" i="5"/>
  <c r="K945" i="5"/>
  <c r="K999" i="5"/>
  <c r="K990" i="5"/>
  <c r="K950" i="5"/>
  <c r="K947" i="5"/>
  <c r="K928" i="5"/>
  <c r="K922" i="5"/>
  <c r="L900" i="5"/>
  <c r="K873" i="5"/>
  <c r="K870" i="5"/>
  <c r="L816" i="5"/>
  <c r="K993" i="5"/>
  <c r="K987" i="5"/>
  <c r="L940" i="5"/>
  <c r="K934" i="5"/>
  <c r="K925" i="5"/>
  <c r="L915" i="5"/>
  <c r="L860" i="5"/>
  <c r="L835" i="5"/>
  <c r="K819" i="5"/>
  <c r="K972" i="5"/>
  <c r="L980" i="5"/>
  <c r="L934" i="5"/>
  <c r="L909" i="5"/>
  <c r="K891" i="5"/>
  <c r="K881" i="5"/>
  <c r="L813" i="5"/>
  <c r="K997" i="5"/>
  <c r="K918" i="5"/>
  <c r="L897" i="5"/>
  <c r="L875" i="5"/>
  <c r="K967" i="5"/>
  <c r="K917" i="5"/>
  <c r="K874" i="5"/>
  <c r="K983" i="5"/>
  <c r="L974" i="5"/>
  <c r="K965" i="5"/>
  <c r="K962" i="5"/>
  <c r="K943" i="5"/>
  <c r="K937" i="5"/>
  <c r="K924" i="5"/>
  <c r="K912" i="5"/>
  <c r="K866" i="5"/>
  <c r="L863" i="5"/>
  <c r="L838" i="5"/>
  <c r="L809" i="5"/>
  <c r="L803" i="5"/>
  <c r="L825" i="5"/>
  <c r="K806" i="5"/>
  <c r="L849" i="5"/>
  <c r="K982" i="5"/>
  <c r="K977" i="5"/>
  <c r="L896" i="5"/>
  <c r="L884" i="5"/>
  <c r="L859" i="5"/>
  <c r="K850" i="5"/>
  <c r="L834" i="5"/>
  <c r="K825" i="5"/>
  <c r="K985" i="5"/>
  <c r="L905" i="5"/>
  <c r="K884" i="5"/>
  <c r="K856" i="5"/>
  <c r="K831" i="5"/>
  <c r="L818" i="5"/>
  <c r="K932" i="5"/>
  <c r="K995" i="5"/>
  <c r="L967" i="5"/>
  <c r="K952" i="5"/>
  <c r="L942" i="5"/>
  <c r="K927" i="5"/>
  <c r="L917" i="5"/>
  <c r="K914" i="5"/>
  <c r="L878" i="5"/>
  <c r="L815" i="5"/>
  <c r="K992" i="5"/>
  <c r="L982" i="5"/>
  <c r="L945" i="5"/>
  <c r="K930" i="5"/>
  <c r="L920" i="5"/>
  <c r="L908" i="5"/>
  <c r="L880" i="5"/>
  <c r="K853" i="5"/>
  <c r="L843" i="5"/>
  <c r="K828" i="5"/>
  <c r="K840" i="5"/>
  <c r="L985" i="5"/>
  <c r="L883" i="5"/>
  <c r="K865" i="5"/>
  <c r="K846" i="5"/>
  <c r="L840" i="5"/>
  <c r="K821" i="5"/>
  <c r="K815" i="5"/>
  <c r="K676" i="5"/>
  <c r="K745" i="5"/>
  <c r="K784" i="5"/>
  <c r="K781" i="5"/>
  <c r="K699" i="5"/>
  <c r="L674" i="5"/>
  <c r="L671" i="5"/>
  <c r="K624" i="5"/>
  <c r="K621" i="5"/>
  <c r="L695" i="5"/>
  <c r="K761" i="5"/>
  <c r="L800" i="5"/>
  <c r="L749" i="5"/>
  <c r="L746" i="5"/>
  <c r="L724" i="5"/>
  <c r="L630" i="5"/>
  <c r="K618" i="5"/>
  <c r="K614" i="5"/>
  <c r="K793" i="5"/>
  <c r="L745" i="5"/>
  <c r="K701" i="5"/>
  <c r="L639" i="5"/>
  <c r="K636" i="5"/>
  <c r="K615" i="5"/>
  <c r="K664" i="5"/>
  <c r="K796" i="5"/>
  <c r="K800" i="5"/>
  <c r="L790" i="5"/>
  <c r="L705" i="5"/>
  <c r="K686" i="5"/>
  <c r="K661" i="5"/>
  <c r="L793" i="5"/>
  <c r="L736" i="5"/>
  <c r="L730" i="5"/>
  <c r="K689" i="5"/>
  <c r="K611" i="5"/>
  <c r="K670" i="5"/>
  <c r="K799" i="5"/>
  <c r="K783" i="5"/>
  <c r="K720" i="5"/>
  <c r="L691" i="5"/>
  <c r="K679" i="5"/>
  <c r="K620" i="5"/>
  <c r="L755" i="5"/>
  <c r="K768" i="5"/>
  <c r="L780" i="5"/>
  <c r="K729" i="5"/>
  <c r="L710" i="5"/>
  <c r="K666" i="5"/>
  <c r="L739" i="5"/>
  <c r="L799" i="5"/>
  <c r="L798" i="5"/>
  <c r="L741" i="5"/>
  <c r="K710" i="5"/>
  <c r="K660" i="5"/>
  <c r="L650" i="5"/>
  <c r="L644" i="5"/>
  <c r="K613" i="5"/>
  <c r="L783" i="5"/>
  <c r="L785" i="5"/>
  <c r="K770" i="5"/>
  <c r="L760" i="5"/>
  <c r="K716" i="5"/>
  <c r="L700" i="5"/>
  <c r="L694" i="5"/>
  <c r="K610" i="5"/>
  <c r="L681" i="5"/>
  <c r="K631" i="5"/>
  <c r="L606" i="5"/>
  <c r="K711" i="5"/>
  <c r="K605" i="5"/>
  <c r="L773" i="5"/>
  <c r="L744" i="5"/>
  <c r="K625" i="5"/>
  <c r="K629" i="5"/>
  <c r="K791" i="5"/>
  <c r="L788" i="5"/>
  <c r="K773" i="5"/>
  <c r="L734" i="5"/>
  <c r="L731" i="5"/>
  <c r="L665" i="5"/>
  <c r="K603" i="5"/>
  <c r="K726" i="5"/>
  <c r="K779" i="5"/>
  <c r="K766" i="5"/>
  <c r="L763" i="5"/>
  <c r="K659" i="5"/>
  <c r="L649" i="5"/>
  <c r="L615" i="5"/>
  <c r="K794" i="5"/>
  <c r="K763" i="5"/>
  <c r="K709" i="5"/>
  <c r="L696" i="5"/>
  <c r="K609" i="5"/>
  <c r="L570" i="5"/>
  <c r="L446" i="5"/>
  <c r="K525" i="5"/>
  <c r="K513" i="5"/>
  <c r="K498" i="5"/>
  <c r="K495" i="5"/>
  <c r="K540" i="5"/>
  <c r="K600" i="5"/>
  <c r="K551" i="5"/>
  <c r="K504" i="5"/>
  <c r="K555" i="5"/>
  <c r="K588" i="5"/>
  <c r="K579" i="5"/>
  <c r="K573" i="5"/>
  <c r="K510" i="5"/>
  <c r="K489" i="5"/>
  <c r="K593" i="5"/>
  <c r="K578" i="5"/>
  <c r="L541" i="5"/>
  <c r="K488" i="5"/>
  <c r="K533" i="5"/>
  <c r="K500" i="5"/>
  <c r="K485" i="5"/>
  <c r="K553" i="5"/>
  <c r="L514" i="5"/>
  <c r="K509" i="5"/>
  <c r="K601" i="5"/>
  <c r="K550" i="5"/>
  <c r="K503" i="5"/>
  <c r="K535" i="5"/>
  <c r="K508" i="5"/>
  <c r="K413" i="5"/>
  <c r="L472" i="5"/>
  <c r="L452" i="5"/>
  <c r="L432" i="5"/>
  <c r="L412" i="5"/>
  <c r="K598" i="5"/>
  <c r="K568" i="5"/>
  <c r="L549" i="5"/>
  <c r="K520" i="5"/>
  <c r="K518" i="5"/>
  <c r="K563" i="5"/>
  <c r="K530" i="5"/>
  <c r="K515" i="5"/>
  <c r="K590" i="5"/>
  <c r="K595" i="5"/>
  <c r="K565" i="5"/>
  <c r="L555" i="5"/>
  <c r="K546" i="5"/>
  <c r="L540" i="5"/>
  <c r="L516" i="5"/>
  <c r="K505" i="5"/>
  <c r="K490" i="5"/>
  <c r="K545" i="5"/>
  <c r="K560" i="5"/>
  <c r="L485" i="5"/>
  <c r="K575" i="5"/>
  <c r="K583" i="5"/>
  <c r="L534" i="5"/>
  <c r="L525" i="5"/>
  <c r="K548" i="5"/>
  <c r="K524" i="5"/>
  <c r="L433" i="5"/>
  <c r="L600" i="5"/>
  <c r="K580" i="5"/>
  <c r="K561" i="5"/>
  <c r="K531" i="5"/>
  <c r="L386" i="5"/>
  <c r="L266" i="5"/>
  <c r="L326" i="5"/>
  <c r="L273" i="5"/>
  <c r="K253" i="5"/>
  <c r="L393" i="5"/>
  <c r="L392" i="5"/>
  <c r="L372" i="5"/>
  <c r="L352" i="5"/>
  <c r="L332" i="5"/>
  <c r="L312" i="5"/>
  <c r="L292" i="5"/>
  <c r="L272" i="5"/>
  <c r="L252" i="5"/>
  <c r="L232" i="5"/>
  <c r="L212" i="5"/>
  <c r="K274" i="5"/>
  <c r="L192" i="5"/>
  <c r="L1387" i="5"/>
  <c r="T5" i="5"/>
  <c r="K617" i="5"/>
  <c r="L617" i="5"/>
  <c r="K931" i="5"/>
  <c r="L931" i="5"/>
  <c r="K713" i="5"/>
  <c r="L713" i="5"/>
  <c r="K657" i="5"/>
  <c r="L657" i="5"/>
  <c r="L1287" i="5"/>
  <c r="L1213" i="5"/>
  <c r="L1163" i="5"/>
  <c r="L1144" i="5"/>
  <c r="K1076" i="5"/>
  <c r="L1076" i="5"/>
  <c r="K1056" i="5"/>
  <c r="L1056" i="5"/>
  <c r="K1006" i="5"/>
  <c r="L1006" i="5"/>
  <c r="K979" i="5"/>
  <c r="L964" i="5"/>
  <c r="K946" i="5"/>
  <c r="L946" i="5"/>
  <c r="L943" i="5"/>
  <c r="K904" i="5"/>
  <c r="K663" i="5"/>
  <c r="L663" i="5"/>
  <c r="L1059" i="5"/>
  <c r="K964" i="5"/>
  <c r="K1176" i="5"/>
  <c r="L1111" i="5"/>
  <c r="L1098" i="5"/>
  <c r="L1081" i="5"/>
  <c r="L1053" i="5"/>
  <c r="L1044" i="5"/>
  <c r="L1003" i="5"/>
  <c r="L994" i="5"/>
  <c r="L979" i="5"/>
  <c r="K961" i="5"/>
  <c r="L961" i="5"/>
  <c r="L958" i="5"/>
  <c r="K719" i="5"/>
  <c r="L719" i="5"/>
  <c r="K604" i="5"/>
  <c r="L604" i="5"/>
  <c r="K502" i="5"/>
  <c r="L502" i="5"/>
  <c r="K499" i="5"/>
  <c r="L499" i="5"/>
  <c r="K654" i="5"/>
  <c r="L654" i="5"/>
  <c r="L913" i="5"/>
  <c r="L1109" i="5"/>
  <c r="L1218" i="5"/>
  <c r="L1168" i="5"/>
  <c r="L1133" i="5"/>
  <c r="K1087" i="5"/>
  <c r="L1073" i="5"/>
  <c r="K1041" i="5"/>
  <c r="L1041" i="5"/>
  <c r="K991" i="5"/>
  <c r="L991" i="5"/>
  <c r="K976" i="5"/>
  <c r="L976" i="5"/>
  <c r="L973" i="5"/>
  <c r="K882" i="5"/>
  <c r="L882" i="5"/>
  <c r="K769" i="5"/>
  <c r="L769" i="5"/>
  <c r="K669" i="5"/>
  <c r="L669" i="5"/>
  <c r="K607" i="5"/>
  <c r="L607" i="5"/>
  <c r="K592" i="5"/>
  <c r="L592" i="5"/>
  <c r="L1009" i="5"/>
  <c r="K898" i="5"/>
  <c r="L898" i="5"/>
  <c r="L1212" i="5"/>
  <c r="L1149" i="5"/>
  <c r="L1084" i="5"/>
  <c r="L1038" i="5"/>
  <c r="K885" i="5"/>
  <c r="L885" i="5"/>
  <c r="K861" i="5"/>
  <c r="L861" i="5"/>
  <c r="K1021" i="5"/>
  <c r="L1021" i="5"/>
  <c r="K916" i="5"/>
  <c r="L916" i="5"/>
  <c r="K797" i="5"/>
  <c r="L797" i="5"/>
  <c r="L1079" i="5"/>
  <c r="L1018" i="5"/>
  <c r="L1284" i="5"/>
  <c r="K1243" i="5"/>
  <c r="L1225" i="5"/>
  <c r="L1223" i="5"/>
  <c r="L1204" i="5"/>
  <c r="K1183" i="5"/>
  <c r="L1173" i="5"/>
  <c r="L1116" i="5"/>
  <c r="L1103" i="5"/>
  <c r="K1067" i="5"/>
  <c r="L1064" i="5"/>
  <c r="L1052" i="5"/>
  <c r="K1032" i="5"/>
  <c r="K1026" i="5"/>
  <c r="L1026" i="5"/>
  <c r="L1002" i="5"/>
  <c r="L960" i="5"/>
  <c r="K939" i="5"/>
  <c r="L924" i="5"/>
  <c r="L1289" i="5"/>
  <c r="L1271" i="5"/>
  <c r="L1228" i="5"/>
  <c r="K1186" i="5"/>
  <c r="L1138" i="5"/>
  <c r="L1119" i="5"/>
  <c r="K1061" i="5"/>
  <c r="L1061" i="5"/>
  <c r="L1040" i="5"/>
  <c r="L1023" i="5"/>
  <c r="L1014" i="5"/>
  <c r="L990" i="5"/>
  <c r="L939" i="5"/>
  <c r="K921" i="5"/>
  <c r="L921" i="5"/>
  <c r="L918" i="5"/>
  <c r="K836" i="5"/>
  <c r="L836" i="5"/>
  <c r="K619" i="5"/>
  <c r="L619" i="5"/>
  <c r="L1293" i="5"/>
  <c r="L1208" i="5"/>
  <c r="L949" i="5"/>
  <c r="L1379" i="5"/>
  <c r="L1369" i="5"/>
  <c r="L1364" i="5"/>
  <c r="L1359" i="5"/>
  <c r="L1354" i="5"/>
  <c r="L1349" i="5"/>
  <c r="L1344" i="5"/>
  <c r="L1339" i="5"/>
  <c r="L1334" i="5"/>
  <c r="L1329" i="5"/>
  <c r="L1324" i="5"/>
  <c r="L1319" i="5"/>
  <c r="L1314" i="5"/>
  <c r="L1309" i="5"/>
  <c r="L1304" i="5"/>
  <c r="L1299" i="5"/>
  <c r="L1294" i="5"/>
  <c r="L1276" i="5"/>
  <c r="L1235" i="5"/>
  <c r="L1233" i="5"/>
  <c r="L1180" i="5"/>
  <c r="L1178" i="5"/>
  <c r="L1140" i="5"/>
  <c r="K1011" i="5"/>
  <c r="L1011" i="5"/>
  <c r="K969" i="5"/>
  <c r="L954" i="5"/>
  <c r="K936" i="5"/>
  <c r="L936" i="5"/>
  <c r="L933" i="5"/>
  <c r="K903" i="5"/>
  <c r="L903" i="5"/>
  <c r="K864" i="5"/>
  <c r="L864" i="5"/>
  <c r="K646" i="5"/>
  <c r="L646" i="5"/>
  <c r="K522" i="5"/>
  <c r="L522" i="5"/>
  <c r="K519" i="5"/>
  <c r="L519" i="5"/>
  <c r="K1062" i="5"/>
  <c r="L1384" i="5"/>
  <c r="L1374" i="5"/>
  <c r="L1281" i="5"/>
  <c r="K1258" i="5"/>
  <c r="L1240" i="5"/>
  <c r="L1238" i="5"/>
  <c r="L1222" i="5"/>
  <c r="L1201" i="5"/>
  <c r="L1172" i="5"/>
  <c r="K1148" i="5"/>
  <c r="L1121" i="5"/>
  <c r="L1108" i="5"/>
  <c r="L1102" i="5"/>
  <c r="L1089" i="5"/>
  <c r="K1083" i="5"/>
  <c r="L1078" i="5"/>
  <c r="L1058" i="5"/>
  <c r="L1049" i="5"/>
  <c r="L1025" i="5"/>
  <c r="L1008" i="5"/>
  <c r="L999" i="5"/>
  <c r="L969" i="5"/>
  <c r="K951" i="5"/>
  <c r="L951" i="5"/>
  <c r="L948" i="5"/>
  <c r="K894" i="5"/>
  <c r="L894" i="5"/>
  <c r="K811" i="5"/>
  <c r="L811" i="5"/>
  <c r="K564" i="5"/>
  <c r="L1286" i="5"/>
  <c r="L1245" i="5"/>
  <c r="L1227" i="5"/>
  <c r="L1214" i="5"/>
  <c r="L1185" i="5"/>
  <c r="L1164" i="5"/>
  <c r="L1156" i="5"/>
  <c r="L1143" i="5"/>
  <c r="L1137" i="5"/>
  <c r="K1129" i="5"/>
  <c r="L1124" i="5"/>
  <c r="L1110" i="5"/>
  <c r="L1080" i="5"/>
  <c r="K1046" i="5"/>
  <c r="L1046" i="5"/>
  <c r="K996" i="5"/>
  <c r="L996" i="5"/>
  <c r="K966" i="5"/>
  <c r="L966" i="5"/>
  <c r="L963" i="5"/>
  <c r="L866" i="5"/>
  <c r="K839" i="5"/>
  <c r="L839" i="5"/>
  <c r="K786" i="5"/>
  <c r="L786" i="5"/>
  <c r="L689" i="5"/>
  <c r="K567" i="5"/>
  <c r="L567" i="5"/>
  <c r="L1291" i="5"/>
  <c r="L1250" i="5"/>
  <c r="L1248" i="5"/>
  <c r="L1232" i="5"/>
  <c r="K1196" i="5"/>
  <c r="L1177" i="5"/>
  <c r="L1159" i="5"/>
  <c r="L1145" i="5"/>
  <c r="K1072" i="5"/>
  <c r="L1069" i="5"/>
  <c r="L1043" i="5"/>
  <c r="L1034" i="5"/>
  <c r="L1010" i="5"/>
  <c r="L993" i="5"/>
  <c r="K981" i="5"/>
  <c r="L981" i="5"/>
  <c r="L978" i="5"/>
  <c r="K851" i="5"/>
  <c r="L851" i="5"/>
  <c r="K736" i="5"/>
  <c r="L1253" i="5"/>
  <c r="L1188" i="5"/>
  <c r="L1126" i="5"/>
  <c r="L1113" i="5"/>
  <c r="L1094" i="5"/>
  <c r="K1066" i="5"/>
  <c r="L1066" i="5"/>
  <c r="K1037" i="5"/>
  <c r="K1031" i="5"/>
  <c r="L1031" i="5"/>
  <c r="L1007" i="5"/>
  <c r="L914" i="5"/>
  <c r="K814" i="5"/>
  <c r="L814" i="5"/>
  <c r="K780" i="5"/>
  <c r="L636" i="5"/>
  <c r="K911" i="5"/>
  <c r="L911" i="5"/>
  <c r="K890" i="5"/>
  <c r="L890" i="5"/>
  <c r="K854" i="5"/>
  <c r="L854" i="5"/>
  <c r="K826" i="5"/>
  <c r="L826" i="5"/>
  <c r="K742" i="5"/>
  <c r="L742" i="5"/>
  <c r="K554" i="5"/>
  <c r="L554" i="5"/>
  <c r="K757" i="5"/>
  <c r="L757" i="5"/>
  <c r="L1093" i="5"/>
  <c r="L1265" i="5"/>
  <c r="L1263" i="5"/>
  <c r="L1247" i="5"/>
  <c r="L1224" i="5"/>
  <c r="L1195" i="5"/>
  <c r="L1193" i="5"/>
  <c r="L1150" i="5"/>
  <c r="L1063" i="5"/>
  <c r="K1016" i="5"/>
  <c r="L1016" i="5"/>
  <c r="K959" i="5"/>
  <c r="L944" i="5"/>
  <c r="K926" i="5"/>
  <c r="L926" i="5"/>
  <c r="L923" i="5"/>
  <c r="K869" i="5"/>
  <c r="L869" i="5"/>
  <c r="L819" i="5"/>
  <c r="K789" i="5"/>
  <c r="L789" i="5"/>
  <c r="K751" i="5"/>
  <c r="L751" i="5"/>
  <c r="K692" i="5"/>
  <c r="L692" i="5"/>
  <c r="K557" i="5"/>
  <c r="L557" i="5"/>
  <c r="K542" i="5"/>
  <c r="L542" i="5"/>
  <c r="K1288" i="5"/>
  <c r="L1270" i="5"/>
  <c r="L1268" i="5"/>
  <c r="L1252" i="5"/>
  <c r="L1229" i="5"/>
  <c r="L1216" i="5"/>
  <c r="K1206" i="5"/>
  <c r="L1187" i="5"/>
  <c r="L1166" i="5"/>
  <c r="K1158" i="5"/>
  <c r="L1131" i="5"/>
  <c r="L1118" i="5"/>
  <c r="L1112" i="5"/>
  <c r="L1099" i="5"/>
  <c r="K1068" i="5"/>
  <c r="L1065" i="5"/>
  <c r="L1054" i="5"/>
  <c r="L1013" i="5"/>
  <c r="L1004" i="5"/>
  <c r="K974" i="5"/>
  <c r="L959" i="5"/>
  <c r="K941" i="5"/>
  <c r="L941" i="5"/>
  <c r="L938" i="5"/>
  <c r="K899" i="5"/>
  <c r="K893" i="5"/>
  <c r="L893" i="5"/>
  <c r="K829" i="5"/>
  <c r="L829" i="5"/>
  <c r="K801" i="5"/>
  <c r="L801" i="5"/>
  <c r="K748" i="5"/>
  <c r="L748" i="5"/>
  <c r="K714" i="5"/>
  <c r="K695" i="5"/>
  <c r="L645" i="5"/>
  <c r="L1128" i="5"/>
  <c r="L1378" i="5"/>
  <c r="L1373" i="5"/>
  <c r="L1358" i="5"/>
  <c r="L1338" i="5"/>
  <c r="L1323" i="5"/>
  <c r="L1313" i="5"/>
  <c r="L1303" i="5"/>
  <c r="L1298" i="5"/>
  <c r="L1275" i="5"/>
  <c r="L1273" i="5"/>
  <c r="L1257" i="5"/>
  <c r="L1234" i="5"/>
  <c r="K1208" i="5"/>
  <c r="L1200" i="5"/>
  <c r="L1198" i="5"/>
  <c r="L1179" i="5"/>
  <c r="L1153" i="5"/>
  <c r="L1147" i="5"/>
  <c r="K1139" i="5"/>
  <c r="L1134" i="5"/>
  <c r="L1120" i="5"/>
  <c r="K1093" i="5"/>
  <c r="L1082" i="5"/>
  <c r="K1077" i="5"/>
  <c r="K1057" i="5"/>
  <c r="K1051" i="5"/>
  <c r="L1051" i="5"/>
  <c r="L1027" i="5"/>
  <c r="K1001" i="5"/>
  <c r="L1001" i="5"/>
  <c r="K956" i="5"/>
  <c r="L956" i="5"/>
  <c r="L953" i="5"/>
  <c r="L874" i="5"/>
  <c r="K847" i="5"/>
  <c r="L847" i="5"/>
  <c r="L794" i="5"/>
  <c r="K717" i="5"/>
  <c r="L717" i="5"/>
  <c r="K698" i="5"/>
  <c r="L698" i="5"/>
  <c r="K642" i="5"/>
  <c r="L642" i="5"/>
  <c r="K877" i="5"/>
  <c r="L877" i="5"/>
  <c r="K707" i="5"/>
  <c r="L707" i="5"/>
  <c r="K949" i="5"/>
  <c r="L928" i="5"/>
  <c r="L1368" i="5"/>
  <c r="L1348" i="5"/>
  <c r="L1333" i="5"/>
  <c r="L1318" i="5"/>
  <c r="L1308" i="5"/>
  <c r="K1363" i="5"/>
  <c r="L1280" i="5"/>
  <c r="L1278" i="5"/>
  <c r="L1262" i="5"/>
  <c r="L1239" i="5"/>
  <c r="L1221" i="5"/>
  <c r="K1211" i="5"/>
  <c r="L1192" i="5"/>
  <c r="L1171" i="5"/>
  <c r="L1155" i="5"/>
  <c r="K1128" i="5"/>
  <c r="L1101" i="5"/>
  <c r="L1088" i="5"/>
  <c r="K1071" i="5"/>
  <c r="L1071" i="5"/>
  <c r="L1062" i="5"/>
  <c r="L1048" i="5"/>
  <c r="L1039" i="5"/>
  <c r="L1015" i="5"/>
  <c r="L998" i="5"/>
  <c r="L989" i="5"/>
  <c r="K971" i="5"/>
  <c r="L971" i="5"/>
  <c r="L968" i="5"/>
  <c r="K804" i="5"/>
  <c r="L804" i="5"/>
  <c r="L791" i="5"/>
  <c r="K767" i="5"/>
  <c r="L767" i="5"/>
  <c r="K754" i="5"/>
  <c r="L754" i="5"/>
  <c r="K704" i="5"/>
  <c r="L704" i="5"/>
  <c r="K667" i="5"/>
  <c r="L667" i="5"/>
  <c r="K645" i="5"/>
  <c r="K569" i="5"/>
  <c r="L569" i="5"/>
  <c r="L1383" i="5"/>
  <c r="L1353" i="5"/>
  <c r="L1343" i="5"/>
  <c r="L1328" i="5"/>
  <c r="K1293" i="5"/>
  <c r="L1283" i="5"/>
  <c r="K1213" i="5"/>
  <c r="L1203" i="5"/>
  <c r="K1163" i="5"/>
  <c r="L1136" i="5"/>
  <c r="L1123" i="5"/>
  <c r="K1109" i="5"/>
  <c r="L1104" i="5"/>
  <c r="K1042" i="5"/>
  <c r="K1036" i="5"/>
  <c r="L1036" i="5"/>
  <c r="L1012" i="5"/>
  <c r="K986" i="5"/>
  <c r="L986" i="5"/>
  <c r="L983" i="5"/>
  <c r="K822" i="5"/>
  <c r="L822" i="5"/>
  <c r="K648" i="5"/>
  <c r="L648" i="5"/>
  <c r="L876" i="5"/>
  <c r="K858" i="5"/>
  <c r="K855" i="5"/>
  <c r="K833" i="5"/>
  <c r="K830" i="5"/>
  <c r="K808" i="5"/>
  <c r="K805" i="5"/>
  <c r="K777" i="5"/>
  <c r="L777" i="5"/>
  <c r="K771" i="5"/>
  <c r="L759" i="5"/>
  <c r="K733" i="5"/>
  <c r="L733" i="5"/>
  <c r="K730" i="5"/>
  <c r="K721" i="5"/>
  <c r="L709" i="5"/>
  <c r="K683" i="5"/>
  <c r="L683" i="5"/>
  <c r="K671" i="5"/>
  <c r="L659" i="5"/>
  <c r="K633" i="5"/>
  <c r="L633" i="5"/>
  <c r="L609" i="5"/>
  <c r="L559" i="5"/>
  <c r="K887" i="5"/>
  <c r="L846" i="5"/>
  <c r="L821" i="5"/>
  <c r="L796" i="5"/>
  <c r="K727" i="5"/>
  <c r="L727" i="5"/>
  <c r="K680" i="5"/>
  <c r="K677" i="5"/>
  <c r="L677" i="5"/>
  <c r="K630" i="5"/>
  <c r="K627" i="5"/>
  <c r="L627" i="5"/>
  <c r="K577" i="5"/>
  <c r="L577" i="5"/>
  <c r="K527" i="5"/>
  <c r="L527" i="5"/>
  <c r="K507" i="5"/>
  <c r="L507" i="5"/>
  <c r="K487" i="5"/>
  <c r="L487" i="5"/>
  <c r="K852" i="5"/>
  <c r="L852" i="5"/>
  <c r="K827" i="5"/>
  <c r="L827" i="5"/>
  <c r="K802" i="5"/>
  <c r="L802" i="5"/>
  <c r="L768" i="5"/>
  <c r="K765" i="5"/>
  <c r="K756" i="5"/>
  <c r="K718" i="5"/>
  <c r="L718" i="5"/>
  <c r="K715" i="5"/>
  <c r="K706" i="5"/>
  <c r="K668" i="5"/>
  <c r="L668" i="5"/>
  <c r="L641" i="5"/>
  <c r="L779" i="5"/>
  <c r="K762" i="5"/>
  <c r="L762" i="5"/>
  <c r="K712" i="5"/>
  <c r="L712" i="5"/>
  <c r="K662" i="5"/>
  <c r="L662" i="5"/>
  <c r="K612" i="5"/>
  <c r="L612" i="5"/>
  <c r="K562" i="5"/>
  <c r="L562" i="5"/>
  <c r="L886" i="5"/>
  <c r="L873" i="5"/>
  <c r="K863" i="5"/>
  <c r="K860" i="5"/>
  <c r="K838" i="5"/>
  <c r="K835" i="5"/>
  <c r="K813" i="5"/>
  <c r="K810" i="5"/>
  <c r="K788" i="5"/>
  <c r="K785" i="5"/>
  <c r="K753" i="5"/>
  <c r="L753" i="5"/>
  <c r="K750" i="5"/>
  <c r="K741" i="5"/>
  <c r="L729" i="5"/>
  <c r="K703" i="5"/>
  <c r="L703" i="5"/>
  <c r="K700" i="5"/>
  <c r="K691" i="5"/>
  <c r="L679" i="5"/>
  <c r="K653" i="5"/>
  <c r="L653" i="5"/>
  <c r="L629" i="5"/>
  <c r="L579" i="5"/>
  <c r="L529" i="5"/>
  <c r="L509" i="5"/>
  <c r="L489" i="5"/>
  <c r="L899" i="5"/>
  <c r="K897" i="5"/>
  <c r="K782" i="5"/>
  <c r="L782" i="5"/>
  <c r="K747" i="5"/>
  <c r="L747" i="5"/>
  <c r="K697" i="5"/>
  <c r="L697" i="5"/>
  <c r="K650" i="5"/>
  <c r="K647" i="5"/>
  <c r="L647" i="5"/>
  <c r="K597" i="5"/>
  <c r="L597" i="5"/>
  <c r="K547" i="5"/>
  <c r="L547" i="5"/>
  <c r="L904" i="5"/>
  <c r="K902" i="5"/>
  <c r="L891" i="5"/>
  <c r="L870" i="5"/>
  <c r="K868" i="5"/>
  <c r="K857" i="5"/>
  <c r="L857" i="5"/>
  <c r="K832" i="5"/>
  <c r="L832" i="5"/>
  <c r="K807" i="5"/>
  <c r="L807" i="5"/>
  <c r="L764" i="5"/>
  <c r="L761" i="5"/>
  <c r="K738" i="5"/>
  <c r="L738" i="5"/>
  <c r="K735" i="5"/>
  <c r="L714" i="5"/>
  <c r="K688" i="5"/>
  <c r="L688" i="5"/>
  <c r="L664" i="5"/>
  <c r="K638" i="5"/>
  <c r="L638" i="5"/>
  <c r="L614" i="5"/>
  <c r="L564" i="5"/>
  <c r="K512" i="5"/>
  <c r="L512" i="5"/>
  <c r="K492" i="5"/>
  <c r="L492" i="5"/>
  <c r="K907" i="5"/>
  <c r="K732" i="5"/>
  <c r="L732" i="5"/>
  <c r="K685" i="5"/>
  <c r="K682" i="5"/>
  <c r="L682" i="5"/>
  <c r="K635" i="5"/>
  <c r="K632" i="5"/>
  <c r="L632" i="5"/>
  <c r="K582" i="5"/>
  <c r="L582" i="5"/>
  <c r="K532" i="5"/>
  <c r="L532" i="5"/>
  <c r="K723" i="5"/>
  <c r="L723" i="5"/>
  <c r="K673" i="5"/>
  <c r="L673" i="5"/>
  <c r="K623" i="5"/>
  <c r="L623" i="5"/>
  <c r="K878" i="5"/>
  <c r="K862" i="5"/>
  <c r="L862" i="5"/>
  <c r="K837" i="5"/>
  <c r="L837" i="5"/>
  <c r="K812" i="5"/>
  <c r="L812" i="5"/>
  <c r="K787" i="5"/>
  <c r="L787" i="5"/>
  <c r="K758" i="5"/>
  <c r="L758" i="5"/>
  <c r="K755" i="5"/>
  <c r="K746" i="5"/>
  <c r="K708" i="5"/>
  <c r="L708" i="5"/>
  <c r="K705" i="5"/>
  <c r="K696" i="5"/>
  <c r="K658" i="5"/>
  <c r="L658" i="5"/>
  <c r="L631" i="5"/>
  <c r="K752" i="5"/>
  <c r="L752" i="5"/>
  <c r="K702" i="5"/>
  <c r="L702" i="5"/>
  <c r="K655" i="5"/>
  <c r="K652" i="5"/>
  <c r="L652" i="5"/>
  <c r="K602" i="5"/>
  <c r="L602" i="5"/>
  <c r="K552" i="5"/>
  <c r="L552" i="5"/>
  <c r="K517" i="5"/>
  <c r="L517" i="5"/>
  <c r="K497" i="5"/>
  <c r="L497" i="5"/>
  <c r="K883" i="5"/>
  <c r="K848" i="5"/>
  <c r="K845" i="5"/>
  <c r="K823" i="5"/>
  <c r="K820" i="5"/>
  <c r="K798" i="5"/>
  <c r="K795" i="5"/>
  <c r="K743" i="5"/>
  <c r="L743" i="5"/>
  <c r="K740" i="5"/>
  <c r="K731" i="5"/>
  <c r="K693" i="5"/>
  <c r="L693" i="5"/>
  <c r="K681" i="5"/>
  <c r="K643" i="5"/>
  <c r="L643" i="5"/>
  <c r="K867" i="5"/>
  <c r="L778" i="5"/>
  <c r="K737" i="5"/>
  <c r="L737" i="5"/>
  <c r="K690" i="5"/>
  <c r="K687" i="5"/>
  <c r="L687" i="5"/>
  <c r="K640" i="5"/>
  <c r="K637" i="5"/>
  <c r="L637" i="5"/>
  <c r="K587" i="5"/>
  <c r="L587" i="5"/>
  <c r="K537" i="5"/>
  <c r="L537" i="5"/>
  <c r="K888" i="5"/>
  <c r="K842" i="5"/>
  <c r="L842" i="5"/>
  <c r="K817" i="5"/>
  <c r="L817" i="5"/>
  <c r="K792" i="5"/>
  <c r="L792" i="5"/>
  <c r="K778" i="5"/>
  <c r="K775" i="5"/>
  <c r="K728" i="5"/>
  <c r="L728" i="5"/>
  <c r="K725" i="5"/>
  <c r="K678" i="5"/>
  <c r="L678" i="5"/>
  <c r="K628" i="5"/>
  <c r="L628" i="5"/>
  <c r="K872" i="5"/>
  <c r="K772" i="5"/>
  <c r="L772" i="5"/>
  <c r="K722" i="5"/>
  <c r="L722" i="5"/>
  <c r="K675" i="5"/>
  <c r="K672" i="5"/>
  <c r="L672" i="5"/>
  <c r="K622" i="5"/>
  <c r="L622" i="5"/>
  <c r="K572" i="5"/>
  <c r="L572" i="5"/>
  <c r="L618" i="5"/>
  <c r="L613" i="5"/>
  <c r="L608" i="5"/>
  <c r="L603" i="5"/>
  <c r="L598" i="5"/>
  <c r="L593" i="5"/>
  <c r="L588" i="5"/>
  <c r="L583" i="5"/>
  <c r="L578" i="5"/>
  <c r="L573" i="5"/>
  <c r="L568" i="5"/>
  <c r="L563" i="5"/>
  <c r="L558" i="5"/>
  <c r="L553" i="5"/>
  <c r="L548" i="5"/>
  <c r="L543" i="5"/>
  <c r="L538" i="5"/>
  <c r="L533" i="5"/>
  <c r="L528" i="5"/>
  <c r="L523" i="5"/>
  <c r="L518" i="5"/>
  <c r="L513" i="5"/>
  <c r="L508" i="5"/>
  <c r="L503" i="5"/>
  <c r="L498" i="5"/>
  <c r="L493" i="5"/>
  <c r="L488" i="5"/>
  <c r="K461" i="5"/>
  <c r="K201" i="5"/>
  <c r="L434" i="5"/>
  <c r="L440" i="5"/>
  <c r="L380" i="5"/>
  <c r="K260" i="5"/>
  <c r="L220" i="5"/>
  <c r="K439" i="5"/>
  <c r="K379" i="5"/>
  <c r="K299" i="5"/>
  <c r="K259" i="5"/>
  <c r="K199" i="5"/>
  <c r="L459" i="5"/>
  <c r="L399" i="5"/>
  <c r="L339" i="5"/>
  <c r="K279" i="5"/>
  <c r="K219" i="5"/>
  <c r="L438" i="5"/>
  <c r="L378" i="5"/>
  <c r="L338" i="5"/>
  <c r="L318" i="5"/>
  <c r="L278" i="5"/>
  <c r="L258" i="5"/>
  <c r="L218" i="5"/>
  <c r="L198" i="5"/>
  <c r="K407" i="5"/>
  <c r="K247" i="5"/>
  <c r="L207" i="5"/>
  <c r="K187" i="5"/>
  <c r="K479" i="5"/>
  <c r="L419" i="5"/>
  <c r="K359" i="5"/>
  <c r="K319" i="5"/>
  <c r="K239" i="5"/>
  <c r="K248" i="5"/>
  <c r="K181" i="5"/>
  <c r="K465" i="5"/>
  <c r="K445" i="5"/>
  <c r="K425" i="5"/>
  <c r="K405" i="5"/>
  <c r="K385" i="5"/>
  <c r="K365" i="5"/>
  <c r="K345" i="5"/>
  <c r="K325" i="5"/>
  <c r="K305" i="5"/>
  <c r="K285" i="5"/>
  <c r="K265" i="5"/>
  <c r="K245" i="5"/>
  <c r="K225" i="5"/>
  <c r="K205" i="5"/>
  <c r="K185" i="5"/>
  <c r="K474" i="5"/>
  <c r="L394" i="5"/>
  <c r="L374" i="5"/>
  <c r="L354" i="5"/>
  <c r="L334" i="5"/>
  <c r="K314" i="5"/>
  <c r="L274" i="5"/>
  <c r="L254" i="5"/>
  <c r="L234" i="5"/>
  <c r="L214" i="5"/>
  <c r="L194" i="5"/>
  <c r="K408" i="5"/>
  <c r="K473" i="5"/>
  <c r="K433" i="5"/>
  <c r="L413" i="5"/>
  <c r="K393" i="5"/>
  <c r="K373" i="5"/>
  <c r="L353" i="5"/>
  <c r="L333" i="5"/>
  <c r="K313" i="5"/>
  <c r="K273" i="5"/>
  <c r="L253" i="5"/>
  <c r="L233" i="5"/>
  <c r="K213" i="5"/>
  <c r="L193" i="5"/>
  <c r="L414" i="5"/>
  <c r="L320" i="5"/>
  <c r="K200" i="5"/>
  <c r="K360" i="5"/>
  <c r="K460" i="5"/>
  <c r="L314" i="5"/>
  <c r="K454" i="5"/>
  <c r="K294" i="5"/>
  <c r="L453" i="5"/>
  <c r="L313" i="5"/>
  <c r="K293" i="5"/>
  <c r="L294" i="5"/>
  <c r="K361" i="5"/>
  <c r="L293" i="5"/>
  <c r="K468" i="5"/>
  <c r="K368" i="5"/>
  <c r="K308" i="5"/>
  <c r="K180" i="5"/>
  <c r="K467" i="5"/>
  <c r="L387" i="5"/>
  <c r="K367" i="5"/>
  <c r="L327" i="5"/>
  <c r="K307" i="5"/>
  <c r="K267" i="5"/>
  <c r="K419" i="5"/>
  <c r="K292" i="5"/>
  <c r="K414" i="5"/>
  <c r="K188" i="5"/>
  <c r="K272" i="5"/>
  <c r="L279" i="5"/>
  <c r="L480" i="5"/>
  <c r="L460" i="5"/>
  <c r="K440" i="5"/>
  <c r="K420" i="5"/>
  <c r="L400" i="5"/>
  <c r="K380" i="5"/>
  <c r="L360" i="5"/>
  <c r="L340" i="5"/>
  <c r="K320" i="5"/>
  <c r="K300" i="5"/>
  <c r="L280" i="5"/>
  <c r="L260" i="5"/>
  <c r="K240" i="5"/>
  <c r="K220" i="5"/>
  <c r="L200" i="5"/>
  <c r="L426" i="5"/>
  <c r="L406" i="5"/>
  <c r="L366" i="5"/>
  <c r="L206" i="5"/>
  <c r="K394" i="5"/>
  <c r="K254" i="5"/>
  <c r="L187" i="5"/>
  <c r="K374" i="5"/>
  <c r="K252" i="5"/>
  <c r="L267" i="5"/>
  <c r="K234" i="5"/>
  <c r="K392" i="5"/>
  <c r="L373" i="5"/>
  <c r="L247" i="5"/>
  <c r="L227" i="5"/>
  <c r="K207" i="5"/>
  <c r="K354" i="5"/>
  <c r="K412" i="5"/>
  <c r="K428" i="5"/>
  <c r="K388" i="5"/>
  <c r="K288" i="5"/>
  <c r="K228" i="5"/>
  <c r="K208" i="5"/>
  <c r="L213" i="5"/>
  <c r="K372" i="5"/>
  <c r="L454" i="5"/>
  <c r="K214" i="5"/>
  <c r="K353" i="5"/>
  <c r="L219" i="5"/>
  <c r="L478" i="5"/>
  <c r="L298" i="5"/>
  <c r="L346" i="5"/>
  <c r="L306" i="5"/>
  <c r="K312" i="5"/>
  <c r="K194" i="5"/>
  <c r="K352" i="5"/>
  <c r="K212" i="5"/>
  <c r="L458" i="5"/>
  <c r="L418" i="5"/>
  <c r="L358" i="5"/>
  <c r="L246" i="5"/>
  <c r="K179" i="5"/>
  <c r="L465" i="5"/>
  <c r="L445" i="5"/>
  <c r="L425" i="5"/>
  <c r="L405" i="5"/>
  <c r="L385" i="5"/>
  <c r="L365" i="5"/>
  <c r="L345" i="5"/>
  <c r="L325" i="5"/>
  <c r="L305" i="5"/>
  <c r="L285" i="5"/>
  <c r="L265" i="5"/>
  <c r="L245" i="5"/>
  <c r="L225" i="5"/>
  <c r="L205" i="5"/>
  <c r="L185" i="5"/>
  <c r="K334" i="5"/>
  <c r="K193" i="5"/>
  <c r="K481" i="5"/>
  <c r="K441" i="5"/>
  <c r="K421" i="5"/>
  <c r="K401" i="5"/>
  <c r="K381" i="5"/>
  <c r="K341" i="5"/>
  <c r="K321" i="5"/>
  <c r="K301" i="5"/>
  <c r="K281" i="5"/>
  <c r="K261" i="5"/>
  <c r="K241" i="5"/>
  <c r="K221" i="5"/>
  <c r="K192" i="5"/>
  <c r="L467" i="5"/>
  <c r="K447" i="5"/>
  <c r="K427" i="5"/>
  <c r="L407" i="5"/>
  <c r="K387" i="5"/>
  <c r="L367" i="5"/>
  <c r="L347" i="5"/>
  <c r="K327" i="5"/>
  <c r="L307" i="5"/>
  <c r="L287" i="5"/>
  <c r="K453" i="5"/>
  <c r="K333" i="5"/>
  <c r="K233" i="5"/>
  <c r="K472" i="5"/>
  <c r="K432" i="5"/>
  <c r="K332" i="5"/>
  <c r="K232" i="5"/>
  <c r="L474" i="5"/>
  <c r="K434" i="5"/>
  <c r="L238" i="5"/>
  <c r="L180" i="5"/>
  <c r="L466" i="5"/>
  <c r="L286" i="5"/>
  <c r="L226" i="5"/>
  <c r="L186" i="5"/>
  <c r="K452" i="5"/>
  <c r="L447" i="5"/>
  <c r="K470" i="5"/>
  <c r="L470" i="5"/>
  <c r="K410" i="5"/>
  <c r="L410" i="5"/>
  <c r="K330" i="5"/>
  <c r="L330" i="5"/>
  <c r="K230" i="5"/>
  <c r="L230" i="5"/>
  <c r="L439" i="5"/>
  <c r="K409" i="5"/>
  <c r="L409" i="5"/>
  <c r="K329" i="5"/>
  <c r="L329" i="5"/>
  <c r="K249" i="5"/>
  <c r="L249" i="5"/>
  <c r="L408" i="5"/>
  <c r="L328" i="5"/>
  <c r="L248" i="5"/>
  <c r="L319" i="5"/>
  <c r="K400" i="5"/>
  <c r="L259" i="5"/>
  <c r="K426" i="5"/>
  <c r="K366" i="5"/>
  <c r="K286" i="5"/>
  <c r="K206" i="5"/>
  <c r="K399" i="5"/>
  <c r="L484" i="5"/>
  <c r="K484" i="5"/>
  <c r="L444" i="5"/>
  <c r="K444" i="5"/>
  <c r="L404" i="5"/>
  <c r="K404" i="5"/>
  <c r="L364" i="5"/>
  <c r="K364" i="5"/>
  <c r="L324" i="5"/>
  <c r="K324" i="5"/>
  <c r="L284" i="5"/>
  <c r="K284" i="5"/>
  <c r="L244" i="5"/>
  <c r="K244" i="5"/>
  <c r="L204" i="5"/>
  <c r="K204" i="5"/>
  <c r="L420" i="5"/>
  <c r="L483" i="5"/>
  <c r="K483" i="5"/>
  <c r="L443" i="5"/>
  <c r="K443" i="5"/>
  <c r="L423" i="5"/>
  <c r="K423" i="5"/>
  <c r="L403" i="5"/>
  <c r="K403" i="5"/>
  <c r="L363" i="5"/>
  <c r="K363" i="5"/>
  <c r="L323" i="5"/>
  <c r="K323" i="5"/>
  <c r="L283" i="5"/>
  <c r="K283" i="5"/>
  <c r="L243" i="5"/>
  <c r="K243" i="5"/>
  <c r="L203" i="5"/>
  <c r="K203" i="5"/>
  <c r="K287" i="5"/>
  <c r="L482" i="5"/>
  <c r="K482" i="5"/>
  <c r="L462" i="5"/>
  <c r="K462" i="5"/>
  <c r="L442" i="5"/>
  <c r="K442" i="5"/>
  <c r="L422" i="5"/>
  <c r="K422" i="5"/>
  <c r="L402" i="5"/>
  <c r="K402" i="5"/>
  <c r="L382" i="5"/>
  <c r="K382" i="5"/>
  <c r="L362" i="5"/>
  <c r="K362" i="5"/>
  <c r="L342" i="5"/>
  <c r="K342" i="5"/>
  <c r="L322" i="5"/>
  <c r="K322" i="5"/>
  <c r="L302" i="5"/>
  <c r="K302" i="5"/>
  <c r="L282" i="5"/>
  <c r="K282" i="5"/>
  <c r="L262" i="5"/>
  <c r="K262" i="5"/>
  <c r="L242" i="5"/>
  <c r="K242" i="5"/>
  <c r="L222" i="5"/>
  <c r="K222" i="5"/>
  <c r="L202" i="5"/>
  <c r="K202" i="5"/>
  <c r="L182" i="5"/>
  <c r="K182" i="5"/>
  <c r="K471" i="5"/>
  <c r="L471" i="5"/>
  <c r="K451" i="5"/>
  <c r="L451" i="5"/>
  <c r="K431" i="5"/>
  <c r="L431" i="5"/>
  <c r="K411" i="5"/>
  <c r="L411" i="5"/>
  <c r="K391" i="5"/>
  <c r="L391" i="5"/>
  <c r="K371" i="5"/>
  <c r="L371" i="5"/>
  <c r="K351" i="5"/>
  <c r="L351" i="5"/>
  <c r="K331" i="5"/>
  <c r="L331" i="5"/>
  <c r="K311" i="5"/>
  <c r="L311" i="5"/>
  <c r="K291" i="5"/>
  <c r="L291" i="5"/>
  <c r="K271" i="5"/>
  <c r="L271" i="5"/>
  <c r="K251" i="5"/>
  <c r="L251" i="5"/>
  <c r="K231" i="5"/>
  <c r="L231" i="5"/>
  <c r="K211" i="5"/>
  <c r="L211" i="5"/>
  <c r="K191" i="5"/>
  <c r="L191" i="5"/>
  <c r="K339" i="5"/>
  <c r="K227" i="5"/>
  <c r="L359" i="5"/>
  <c r="L300" i="5"/>
  <c r="L481" i="5"/>
  <c r="L461" i="5"/>
  <c r="L441" i="5"/>
  <c r="L421" i="5"/>
  <c r="L401" i="5"/>
  <c r="L381" i="5"/>
  <c r="L361" i="5"/>
  <c r="L341" i="5"/>
  <c r="L321" i="5"/>
  <c r="L301" i="5"/>
  <c r="L281" i="5"/>
  <c r="L261" i="5"/>
  <c r="L241" i="5"/>
  <c r="L221" i="5"/>
  <c r="L201" i="5"/>
  <c r="L181" i="5"/>
  <c r="K280" i="5"/>
  <c r="L473" i="5"/>
  <c r="L299" i="5"/>
  <c r="L240" i="5"/>
  <c r="K430" i="5"/>
  <c r="L430" i="5"/>
  <c r="K350" i="5"/>
  <c r="L350" i="5"/>
  <c r="K270" i="5"/>
  <c r="L270" i="5"/>
  <c r="K190" i="5"/>
  <c r="L190" i="5"/>
  <c r="K429" i="5"/>
  <c r="L429" i="5"/>
  <c r="K349" i="5"/>
  <c r="L349" i="5"/>
  <c r="K269" i="5"/>
  <c r="L269" i="5"/>
  <c r="K189" i="5"/>
  <c r="L189" i="5"/>
  <c r="L379" i="5"/>
  <c r="L448" i="5"/>
  <c r="L348" i="5"/>
  <c r="L268" i="5"/>
  <c r="L188" i="5"/>
  <c r="K446" i="5"/>
  <c r="K346" i="5"/>
  <c r="K266" i="5"/>
  <c r="K186" i="5"/>
  <c r="L427" i="5"/>
  <c r="L199" i="5"/>
  <c r="L464" i="5"/>
  <c r="K464" i="5"/>
  <c r="L424" i="5"/>
  <c r="K424" i="5"/>
  <c r="L384" i="5"/>
  <c r="K384" i="5"/>
  <c r="L344" i="5"/>
  <c r="K344" i="5"/>
  <c r="L304" i="5"/>
  <c r="K304" i="5"/>
  <c r="L264" i="5"/>
  <c r="K264" i="5"/>
  <c r="L224" i="5"/>
  <c r="K224" i="5"/>
  <c r="L184" i="5"/>
  <c r="K184" i="5"/>
  <c r="L479" i="5"/>
  <c r="L463" i="5"/>
  <c r="K463" i="5"/>
  <c r="L383" i="5"/>
  <c r="K383" i="5"/>
  <c r="L343" i="5"/>
  <c r="K343" i="5"/>
  <c r="L303" i="5"/>
  <c r="K303" i="5"/>
  <c r="L263" i="5"/>
  <c r="K263" i="5"/>
  <c r="L223" i="5"/>
  <c r="K223" i="5"/>
  <c r="L183" i="5"/>
  <c r="K183" i="5"/>
  <c r="K340" i="5"/>
  <c r="L239" i="5"/>
  <c r="K480" i="5"/>
  <c r="L179" i="5"/>
  <c r="K450" i="5"/>
  <c r="L450" i="5"/>
  <c r="K370" i="5"/>
  <c r="L370" i="5"/>
  <c r="K290" i="5"/>
  <c r="L290" i="5"/>
  <c r="K210" i="5"/>
  <c r="L210" i="5"/>
  <c r="K459" i="5"/>
  <c r="K469" i="5"/>
  <c r="L469" i="5"/>
  <c r="K389" i="5"/>
  <c r="L389" i="5"/>
  <c r="K309" i="5"/>
  <c r="L309" i="5"/>
  <c r="K229" i="5"/>
  <c r="L229" i="5"/>
  <c r="L468" i="5"/>
  <c r="L388" i="5"/>
  <c r="L308" i="5"/>
  <c r="L228" i="5"/>
  <c r="K466" i="5"/>
  <c r="K386" i="5"/>
  <c r="K306" i="5"/>
  <c r="K226" i="5"/>
  <c r="K448" i="5"/>
  <c r="K348" i="5"/>
  <c r="K347" i="5"/>
  <c r="K478" i="5"/>
  <c r="K438" i="5"/>
  <c r="K398" i="5"/>
  <c r="K358" i="5"/>
  <c r="K318" i="5"/>
  <c r="K278" i="5"/>
  <c r="K238" i="5"/>
  <c r="K198" i="5"/>
  <c r="K328" i="5"/>
  <c r="L457" i="5"/>
  <c r="K457" i="5"/>
  <c r="L417" i="5"/>
  <c r="K417" i="5"/>
  <c r="L377" i="5"/>
  <c r="K377" i="5"/>
  <c r="L337" i="5"/>
  <c r="K337" i="5"/>
  <c r="L297" i="5"/>
  <c r="K297" i="5"/>
  <c r="L257" i="5"/>
  <c r="K257" i="5"/>
  <c r="L217" i="5"/>
  <c r="K217" i="5"/>
  <c r="L456" i="5"/>
  <c r="K456" i="5"/>
  <c r="L416" i="5"/>
  <c r="K416" i="5"/>
  <c r="L376" i="5"/>
  <c r="K376" i="5"/>
  <c r="L336" i="5"/>
  <c r="K336" i="5"/>
  <c r="L296" i="5"/>
  <c r="K296" i="5"/>
  <c r="L256" i="5"/>
  <c r="K256" i="5"/>
  <c r="L216" i="5"/>
  <c r="K216" i="5"/>
  <c r="L196" i="5"/>
  <c r="K196" i="5"/>
  <c r="K390" i="5"/>
  <c r="L390" i="5"/>
  <c r="K310" i="5"/>
  <c r="L310" i="5"/>
  <c r="K250" i="5"/>
  <c r="L250" i="5"/>
  <c r="K449" i="5"/>
  <c r="L449" i="5"/>
  <c r="K369" i="5"/>
  <c r="L369" i="5"/>
  <c r="K289" i="5"/>
  <c r="L289" i="5"/>
  <c r="K209" i="5"/>
  <c r="L209" i="5"/>
  <c r="L428" i="5"/>
  <c r="L368" i="5"/>
  <c r="L288" i="5"/>
  <c r="L208" i="5"/>
  <c r="K406" i="5"/>
  <c r="K326" i="5"/>
  <c r="K246" i="5"/>
  <c r="K458" i="5"/>
  <c r="K418" i="5"/>
  <c r="K378" i="5"/>
  <c r="K338" i="5"/>
  <c r="K298" i="5"/>
  <c r="K258" i="5"/>
  <c r="K218" i="5"/>
  <c r="L477" i="5"/>
  <c r="K477" i="5"/>
  <c r="L437" i="5"/>
  <c r="K437" i="5"/>
  <c r="L397" i="5"/>
  <c r="K397" i="5"/>
  <c r="L357" i="5"/>
  <c r="K357" i="5"/>
  <c r="L317" i="5"/>
  <c r="K317" i="5"/>
  <c r="L277" i="5"/>
  <c r="K277" i="5"/>
  <c r="L237" i="5"/>
  <c r="K237" i="5"/>
  <c r="L197" i="5"/>
  <c r="K197" i="5"/>
  <c r="K268" i="5"/>
  <c r="L476" i="5"/>
  <c r="K476" i="5"/>
  <c r="L436" i="5"/>
  <c r="K436" i="5"/>
  <c r="L396" i="5"/>
  <c r="K396" i="5"/>
  <c r="L356" i="5"/>
  <c r="K356" i="5"/>
  <c r="L316" i="5"/>
  <c r="K316" i="5"/>
  <c r="L276" i="5"/>
  <c r="K276" i="5"/>
  <c r="L236" i="5"/>
  <c r="K236" i="5"/>
  <c r="L475" i="5"/>
  <c r="K475" i="5"/>
  <c r="L455" i="5"/>
  <c r="K455" i="5"/>
  <c r="L435" i="5"/>
  <c r="K435" i="5"/>
  <c r="L415" i="5"/>
  <c r="K415" i="5"/>
  <c r="L395" i="5"/>
  <c r="K395" i="5"/>
  <c r="L375" i="5"/>
  <c r="K375" i="5"/>
  <c r="L355" i="5"/>
  <c r="K355" i="5"/>
  <c r="L335" i="5"/>
  <c r="K335" i="5"/>
  <c r="L315" i="5"/>
  <c r="K315" i="5"/>
  <c r="L295" i="5"/>
  <c r="K295" i="5"/>
  <c r="L275" i="5"/>
  <c r="K275" i="5"/>
  <c r="L255" i="5"/>
  <c r="K255" i="5"/>
  <c r="L235" i="5"/>
  <c r="K235" i="5"/>
  <c r="L215" i="5"/>
  <c r="K215" i="5"/>
  <c r="L195" i="5"/>
  <c r="K195" i="5"/>
  <c r="L398" i="5"/>
  <c r="N2" i="5"/>
  <c r="N178" i="5"/>
  <c r="M178" i="5"/>
  <c r="J178" i="5"/>
  <c r="I178" i="5"/>
  <c r="H178" i="5"/>
  <c r="G178" i="5"/>
  <c r="N177" i="5"/>
  <c r="M177" i="5"/>
  <c r="J177" i="5"/>
  <c r="I177" i="5"/>
  <c r="H177" i="5"/>
  <c r="G177" i="5"/>
  <c r="N176" i="5"/>
  <c r="M176" i="5"/>
  <c r="J176" i="5"/>
  <c r="I176" i="5"/>
  <c r="H176" i="5"/>
  <c r="G176" i="5"/>
  <c r="N175" i="5"/>
  <c r="M175" i="5"/>
  <c r="J175" i="5"/>
  <c r="I175" i="5"/>
  <c r="H175" i="5"/>
  <c r="G175" i="5"/>
  <c r="N174" i="5"/>
  <c r="M174" i="5"/>
  <c r="J174" i="5"/>
  <c r="I174" i="5"/>
  <c r="H174" i="5"/>
  <c r="G174" i="5"/>
  <c r="N173" i="5"/>
  <c r="M173" i="5"/>
  <c r="J173" i="5"/>
  <c r="I173" i="5"/>
  <c r="H173" i="5"/>
  <c r="G173" i="5"/>
  <c r="N172" i="5"/>
  <c r="M172" i="5"/>
  <c r="J172" i="5"/>
  <c r="I172" i="5"/>
  <c r="H172" i="5"/>
  <c r="G172" i="5"/>
  <c r="N171" i="5"/>
  <c r="M171" i="5"/>
  <c r="J171" i="5"/>
  <c r="I171" i="5"/>
  <c r="H171" i="5"/>
  <c r="G171" i="5"/>
  <c r="N170" i="5"/>
  <c r="M170" i="5"/>
  <c r="J170" i="5"/>
  <c r="I170" i="5"/>
  <c r="H170" i="5"/>
  <c r="G170" i="5"/>
  <c r="N169" i="5"/>
  <c r="M169" i="5"/>
  <c r="J169" i="5"/>
  <c r="I169" i="5"/>
  <c r="H169" i="5"/>
  <c r="G169" i="5"/>
  <c r="N168" i="5"/>
  <c r="M168" i="5"/>
  <c r="J168" i="5"/>
  <c r="I168" i="5"/>
  <c r="H168" i="5"/>
  <c r="G168" i="5"/>
  <c r="N167" i="5"/>
  <c r="M167" i="5"/>
  <c r="J167" i="5"/>
  <c r="I167" i="5"/>
  <c r="H167" i="5"/>
  <c r="G167" i="5"/>
  <c r="N166" i="5"/>
  <c r="M166" i="5"/>
  <c r="J166" i="5"/>
  <c r="I166" i="5"/>
  <c r="H166" i="5"/>
  <c r="G166" i="5"/>
  <c r="N165" i="5"/>
  <c r="M165" i="5"/>
  <c r="J165" i="5"/>
  <c r="I165" i="5"/>
  <c r="H165" i="5"/>
  <c r="G165" i="5"/>
  <c r="N164" i="5"/>
  <c r="M164" i="5"/>
  <c r="J164" i="5"/>
  <c r="I164" i="5"/>
  <c r="H164" i="5"/>
  <c r="G164" i="5"/>
  <c r="N163" i="5"/>
  <c r="M163" i="5"/>
  <c r="J163" i="5"/>
  <c r="I163" i="5"/>
  <c r="H163" i="5"/>
  <c r="G163" i="5"/>
  <c r="N162" i="5"/>
  <c r="M162" i="5"/>
  <c r="J162" i="5"/>
  <c r="I162" i="5"/>
  <c r="H162" i="5"/>
  <c r="G162" i="5"/>
  <c r="N161" i="5"/>
  <c r="M161" i="5"/>
  <c r="J161" i="5"/>
  <c r="I161" i="5"/>
  <c r="H161" i="5"/>
  <c r="G161" i="5"/>
  <c r="N160" i="5"/>
  <c r="M160" i="5"/>
  <c r="J160" i="5"/>
  <c r="I160" i="5"/>
  <c r="H160" i="5"/>
  <c r="G160" i="5"/>
  <c r="N159" i="5"/>
  <c r="M159" i="5"/>
  <c r="J159" i="5"/>
  <c r="I159" i="5"/>
  <c r="H159" i="5"/>
  <c r="G159" i="5"/>
  <c r="N158" i="5"/>
  <c r="M158" i="5"/>
  <c r="J158" i="5"/>
  <c r="I158" i="5"/>
  <c r="H158" i="5"/>
  <c r="G158" i="5"/>
  <c r="N157" i="5"/>
  <c r="M157" i="5"/>
  <c r="J157" i="5"/>
  <c r="I157" i="5"/>
  <c r="H157" i="5"/>
  <c r="G157" i="5"/>
  <c r="N156" i="5"/>
  <c r="M156" i="5"/>
  <c r="J156" i="5"/>
  <c r="I156" i="5"/>
  <c r="H156" i="5"/>
  <c r="G156" i="5"/>
  <c r="N155" i="5"/>
  <c r="M155" i="5"/>
  <c r="J155" i="5"/>
  <c r="I155" i="5"/>
  <c r="H155" i="5"/>
  <c r="G155" i="5"/>
  <c r="N154" i="5"/>
  <c r="M154" i="5"/>
  <c r="J154" i="5"/>
  <c r="I154" i="5"/>
  <c r="H154" i="5"/>
  <c r="G154" i="5"/>
  <c r="N153" i="5"/>
  <c r="M153" i="5"/>
  <c r="J153" i="5"/>
  <c r="I153" i="5"/>
  <c r="H153" i="5"/>
  <c r="G153" i="5"/>
  <c r="N152" i="5"/>
  <c r="M152" i="5"/>
  <c r="J152" i="5"/>
  <c r="I152" i="5"/>
  <c r="H152" i="5"/>
  <c r="G152" i="5"/>
  <c r="N151" i="5"/>
  <c r="M151" i="5"/>
  <c r="J151" i="5"/>
  <c r="I151" i="5"/>
  <c r="H151" i="5"/>
  <c r="G151" i="5"/>
  <c r="N150" i="5"/>
  <c r="M150" i="5"/>
  <c r="J150" i="5"/>
  <c r="I150" i="5"/>
  <c r="H150" i="5"/>
  <c r="G150" i="5"/>
  <c r="N149" i="5"/>
  <c r="M149" i="5"/>
  <c r="J149" i="5"/>
  <c r="I149" i="5"/>
  <c r="H149" i="5"/>
  <c r="G149" i="5"/>
  <c r="N148" i="5"/>
  <c r="M148" i="5"/>
  <c r="J148" i="5"/>
  <c r="I148" i="5"/>
  <c r="H148" i="5"/>
  <c r="G148" i="5"/>
  <c r="N147" i="5"/>
  <c r="M147" i="5"/>
  <c r="J147" i="5"/>
  <c r="I147" i="5"/>
  <c r="H147" i="5"/>
  <c r="G147" i="5"/>
  <c r="N146" i="5"/>
  <c r="M146" i="5"/>
  <c r="J146" i="5"/>
  <c r="I146" i="5"/>
  <c r="H146" i="5"/>
  <c r="G146" i="5"/>
  <c r="N145" i="5"/>
  <c r="M145" i="5"/>
  <c r="J145" i="5"/>
  <c r="I145" i="5"/>
  <c r="H145" i="5"/>
  <c r="G145" i="5"/>
  <c r="N144" i="5"/>
  <c r="M144" i="5"/>
  <c r="J144" i="5"/>
  <c r="I144" i="5"/>
  <c r="H144" i="5"/>
  <c r="G144" i="5"/>
  <c r="N143" i="5"/>
  <c r="M143" i="5"/>
  <c r="J143" i="5"/>
  <c r="I143" i="5"/>
  <c r="H143" i="5"/>
  <c r="G143" i="5"/>
  <c r="N142" i="5"/>
  <c r="M142" i="5"/>
  <c r="J142" i="5"/>
  <c r="I142" i="5"/>
  <c r="H142" i="5"/>
  <c r="G142" i="5"/>
  <c r="N141" i="5"/>
  <c r="M141" i="5"/>
  <c r="J141" i="5"/>
  <c r="I141" i="5"/>
  <c r="H141" i="5"/>
  <c r="G141" i="5"/>
  <c r="N140" i="5"/>
  <c r="M140" i="5"/>
  <c r="J140" i="5"/>
  <c r="I140" i="5"/>
  <c r="H140" i="5"/>
  <c r="G140" i="5"/>
  <c r="N139" i="5"/>
  <c r="M139" i="5"/>
  <c r="J139" i="5"/>
  <c r="I139" i="5"/>
  <c r="H139" i="5"/>
  <c r="G139" i="5"/>
  <c r="N138" i="5"/>
  <c r="M138" i="5"/>
  <c r="J138" i="5"/>
  <c r="I138" i="5"/>
  <c r="H138" i="5"/>
  <c r="G138" i="5"/>
  <c r="N137" i="5"/>
  <c r="M137" i="5"/>
  <c r="J137" i="5"/>
  <c r="I137" i="5"/>
  <c r="H137" i="5"/>
  <c r="G137" i="5"/>
  <c r="N136" i="5"/>
  <c r="M136" i="5"/>
  <c r="J136" i="5"/>
  <c r="I136" i="5"/>
  <c r="H136" i="5"/>
  <c r="G136" i="5"/>
  <c r="N135" i="5"/>
  <c r="M135" i="5"/>
  <c r="J135" i="5"/>
  <c r="I135" i="5"/>
  <c r="H135" i="5"/>
  <c r="G135" i="5"/>
  <c r="N134" i="5"/>
  <c r="M134" i="5"/>
  <c r="J134" i="5"/>
  <c r="I134" i="5"/>
  <c r="H134" i="5"/>
  <c r="G134" i="5"/>
  <c r="N133" i="5"/>
  <c r="M133" i="5"/>
  <c r="J133" i="5"/>
  <c r="I133" i="5"/>
  <c r="H133" i="5"/>
  <c r="G133" i="5"/>
  <c r="N132" i="5"/>
  <c r="M132" i="5"/>
  <c r="J132" i="5"/>
  <c r="I132" i="5"/>
  <c r="H132" i="5"/>
  <c r="G132" i="5"/>
  <c r="N131" i="5"/>
  <c r="M131" i="5"/>
  <c r="J131" i="5"/>
  <c r="I131" i="5"/>
  <c r="H131" i="5"/>
  <c r="G131" i="5"/>
  <c r="N130" i="5"/>
  <c r="M130" i="5"/>
  <c r="J130" i="5"/>
  <c r="I130" i="5"/>
  <c r="H130" i="5"/>
  <c r="G130" i="5"/>
  <c r="N129" i="5"/>
  <c r="M129" i="5"/>
  <c r="J129" i="5"/>
  <c r="I129" i="5"/>
  <c r="H129" i="5"/>
  <c r="G129" i="5"/>
  <c r="N128" i="5"/>
  <c r="M128" i="5"/>
  <c r="J128" i="5"/>
  <c r="I128" i="5"/>
  <c r="H128" i="5"/>
  <c r="G128" i="5"/>
  <c r="N127" i="5"/>
  <c r="M127" i="5"/>
  <c r="J127" i="5"/>
  <c r="I127" i="5"/>
  <c r="H127" i="5"/>
  <c r="G127" i="5"/>
  <c r="N126" i="5"/>
  <c r="M126" i="5"/>
  <c r="J126" i="5"/>
  <c r="I126" i="5"/>
  <c r="H126" i="5"/>
  <c r="G126" i="5"/>
  <c r="N125" i="5"/>
  <c r="M125" i="5"/>
  <c r="J125" i="5"/>
  <c r="I125" i="5"/>
  <c r="H125" i="5"/>
  <c r="G125" i="5"/>
  <c r="N124" i="5"/>
  <c r="M124" i="5"/>
  <c r="J124" i="5"/>
  <c r="I124" i="5"/>
  <c r="H124" i="5"/>
  <c r="G124" i="5"/>
  <c r="N123" i="5"/>
  <c r="M123" i="5"/>
  <c r="J123" i="5"/>
  <c r="I123" i="5"/>
  <c r="H123" i="5"/>
  <c r="G123" i="5"/>
  <c r="N122" i="5"/>
  <c r="M122" i="5"/>
  <c r="J122" i="5"/>
  <c r="I122" i="5"/>
  <c r="H122" i="5"/>
  <c r="G122" i="5"/>
  <c r="N121" i="5"/>
  <c r="M121" i="5"/>
  <c r="J121" i="5"/>
  <c r="I121" i="5"/>
  <c r="H121" i="5"/>
  <c r="G121" i="5"/>
  <c r="N120" i="5"/>
  <c r="M120" i="5"/>
  <c r="J120" i="5"/>
  <c r="I120" i="5"/>
  <c r="H120" i="5"/>
  <c r="G120" i="5"/>
  <c r="N119" i="5"/>
  <c r="M119" i="5"/>
  <c r="J119" i="5"/>
  <c r="I119" i="5"/>
  <c r="H119" i="5"/>
  <c r="G119" i="5"/>
  <c r="N118" i="5"/>
  <c r="M118" i="5"/>
  <c r="J118" i="5"/>
  <c r="I118" i="5"/>
  <c r="H118" i="5"/>
  <c r="G118" i="5"/>
  <c r="N117" i="5"/>
  <c r="M117" i="5"/>
  <c r="J117" i="5"/>
  <c r="I117" i="5"/>
  <c r="H117" i="5"/>
  <c r="G117" i="5"/>
  <c r="N116" i="5"/>
  <c r="M116" i="5"/>
  <c r="J116" i="5"/>
  <c r="I116" i="5"/>
  <c r="H116" i="5"/>
  <c r="G116" i="5"/>
  <c r="N115" i="5"/>
  <c r="M115" i="5"/>
  <c r="J115" i="5"/>
  <c r="I115" i="5"/>
  <c r="H115" i="5"/>
  <c r="G115" i="5"/>
  <c r="N114" i="5"/>
  <c r="M114" i="5"/>
  <c r="J114" i="5"/>
  <c r="I114" i="5"/>
  <c r="H114" i="5"/>
  <c r="G114" i="5"/>
  <c r="N113" i="5"/>
  <c r="M113" i="5"/>
  <c r="J113" i="5"/>
  <c r="I113" i="5"/>
  <c r="H113" i="5"/>
  <c r="G113" i="5"/>
  <c r="N112" i="5"/>
  <c r="M112" i="5"/>
  <c r="J112" i="5"/>
  <c r="I112" i="5"/>
  <c r="H112" i="5"/>
  <c r="G112" i="5"/>
  <c r="N111" i="5"/>
  <c r="M111" i="5"/>
  <c r="J111" i="5"/>
  <c r="I111" i="5"/>
  <c r="H111" i="5"/>
  <c r="G111" i="5"/>
  <c r="N110" i="5"/>
  <c r="M110" i="5"/>
  <c r="J110" i="5"/>
  <c r="I110" i="5"/>
  <c r="H110" i="5"/>
  <c r="G110" i="5"/>
  <c r="N109" i="5"/>
  <c r="M109" i="5"/>
  <c r="J109" i="5"/>
  <c r="I109" i="5"/>
  <c r="H109" i="5"/>
  <c r="G109" i="5"/>
  <c r="N108" i="5"/>
  <c r="M108" i="5"/>
  <c r="J108" i="5"/>
  <c r="I108" i="5"/>
  <c r="H108" i="5"/>
  <c r="G108" i="5"/>
  <c r="N107" i="5"/>
  <c r="M107" i="5"/>
  <c r="J107" i="5"/>
  <c r="I107" i="5"/>
  <c r="H107" i="5"/>
  <c r="G107" i="5"/>
  <c r="N106" i="5"/>
  <c r="M106" i="5"/>
  <c r="J106" i="5"/>
  <c r="I106" i="5"/>
  <c r="H106" i="5"/>
  <c r="G106" i="5"/>
  <c r="N105" i="5"/>
  <c r="M105" i="5"/>
  <c r="J105" i="5"/>
  <c r="I105" i="5"/>
  <c r="H105" i="5"/>
  <c r="G105" i="5"/>
  <c r="N104" i="5"/>
  <c r="M104" i="5"/>
  <c r="J104" i="5"/>
  <c r="I104" i="5"/>
  <c r="H104" i="5"/>
  <c r="G104" i="5"/>
  <c r="N103" i="5"/>
  <c r="M103" i="5"/>
  <c r="J103" i="5"/>
  <c r="I103" i="5"/>
  <c r="H103" i="5"/>
  <c r="G103" i="5"/>
  <c r="N102" i="5"/>
  <c r="M102" i="5"/>
  <c r="J102" i="5"/>
  <c r="I102" i="5"/>
  <c r="H102" i="5"/>
  <c r="G102" i="5"/>
  <c r="N101" i="5"/>
  <c r="M101" i="5"/>
  <c r="J101" i="5"/>
  <c r="I101" i="5"/>
  <c r="H101" i="5"/>
  <c r="G101" i="5"/>
  <c r="N100" i="5"/>
  <c r="M100" i="5"/>
  <c r="J100" i="5"/>
  <c r="I100" i="5"/>
  <c r="H100" i="5"/>
  <c r="G100" i="5"/>
  <c r="N99" i="5"/>
  <c r="M99" i="5"/>
  <c r="J99" i="5"/>
  <c r="I99" i="5"/>
  <c r="H99" i="5"/>
  <c r="G99" i="5"/>
  <c r="N98" i="5"/>
  <c r="M98" i="5"/>
  <c r="J98" i="5"/>
  <c r="I98" i="5"/>
  <c r="H98" i="5"/>
  <c r="G98" i="5"/>
  <c r="N97" i="5"/>
  <c r="M97" i="5"/>
  <c r="J97" i="5"/>
  <c r="I97" i="5"/>
  <c r="H97" i="5"/>
  <c r="G97" i="5"/>
  <c r="N96" i="5"/>
  <c r="M96" i="5"/>
  <c r="J96" i="5"/>
  <c r="I96" i="5"/>
  <c r="H96" i="5"/>
  <c r="G96" i="5"/>
  <c r="N95" i="5"/>
  <c r="M95" i="5"/>
  <c r="J95" i="5"/>
  <c r="I95" i="5"/>
  <c r="H95" i="5"/>
  <c r="G95" i="5"/>
  <c r="N94" i="5"/>
  <c r="M94" i="5"/>
  <c r="J94" i="5"/>
  <c r="I94" i="5"/>
  <c r="H94" i="5"/>
  <c r="G94" i="5"/>
  <c r="N93" i="5"/>
  <c r="M93" i="5"/>
  <c r="J93" i="5"/>
  <c r="I93" i="5"/>
  <c r="H93" i="5"/>
  <c r="G93" i="5"/>
  <c r="N92" i="5"/>
  <c r="M92" i="5"/>
  <c r="J92" i="5"/>
  <c r="I92" i="5"/>
  <c r="H92" i="5"/>
  <c r="G92" i="5"/>
  <c r="N91" i="5"/>
  <c r="M91" i="5"/>
  <c r="J91" i="5"/>
  <c r="I91" i="5"/>
  <c r="H91" i="5"/>
  <c r="G91" i="5"/>
  <c r="N90" i="5"/>
  <c r="M90" i="5"/>
  <c r="J90" i="5"/>
  <c r="I90" i="5"/>
  <c r="H90" i="5"/>
  <c r="G90" i="5"/>
  <c r="N89" i="5"/>
  <c r="M89" i="5"/>
  <c r="J89" i="5"/>
  <c r="I89" i="5"/>
  <c r="H89" i="5"/>
  <c r="G89" i="5"/>
  <c r="N88" i="5"/>
  <c r="M88" i="5"/>
  <c r="J88" i="5"/>
  <c r="I88" i="5"/>
  <c r="H88" i="5"/>
  <c r="G88" i="5"/>
  <c r="N87" i="5"/>
  <c r="M87" i="5"/>
  <c r="J87" i="5"/>
  <c r="I87" i="5"/>
  <c r="H87" i="5"/>
  <c r="G87" i="5"/>
  <c r="N86" i="5"/>
  <c r="M86" i="5"/>
  <c r="J86" i="5"/>
  <c r="I86" i="5"/>
  <c r="H86" i="5"/>
  <c r="G86" i="5"/>
  <c r="N85" i="5"/>
  <c r="M85" i="5"/>
  <c r="J85" i="5"/>
  <c r="I85" i="5"/>
  <c r="H85" i="5"/>
  <c r="G85" i="5"/>
  <c r="N84" i="5"/>
  <c r="M84" i="5"/>
  <c r="J84" i="5"/>
  <c r="I84" i="5"/>
  <c r="H84" i="5"/>
  <c r="G84" i="5"/>
  <c r="N83" i="5"/>
  <c r="M83" i="5"/>
  <c r="J83" i="5"/>
  <c r="I83" i="5"/>
  <c r="H83" i="5"/>
  <c r="G83" i="5"/>
  <c r="N82" i="5"/>
  <c r="M82" i="5"/>
  <c r="J82" i="5"/>
  <c r="I82" i="5"/>
  <c r="H82" i="5"/>
  <c r="G82" i="5"/>
  <c r="N81" i="5"/>
  <c r="M81" i="5"/>
  <c r="J81" i="5"/>
  <c r="I81" i="5"/>
  <c r="H81" i="5"/>
  <c r="G81" i="5"/>
  <c r="N80" i="5"/>
  <c r="M80" i="5"/>
  <c r="J80" i="5"/>
  <c r="I80" i="5"/>
  <c r="H80" i="5"/>
  <c r="G80" i="5"/>
  <c r="N79" i="5"/>
  <c r="M79" i="5"/>
  <c r="J79" i="5"/>
  <c r="I79" i="5"/>
  <c r="H79" i="5"/>
  <c r="G79" i="5"/>
  <c r="N78" i="5"/>
  <c r="M78" i="5"/>
  <c r="J78" i="5"/>
  <c r="I78" i="5"/>
  <c r="H78" i="5"/>
  <c r="G78" i="5"/>
  <c r="N77" i="5"/>
  <c r="M77" i="5"/>
  <c r="J77" i="5"/>
  <c r="I77" i="5"/>
  <c r="H77" i="5"/>
  <c r="G77" i="5"/>
  <c r="N76" i="5"/>
  <c r="M76" i="5"/>
  <c r="J76" i="5"/>
  <c r="I76" i="5"/>
  <c r="H76" i="5"/>
  <c r="G76" i="5"/>
  <c r="N75" i="5"/>
  <c r="M75" i="5"/>
  <c r="J75" i="5"/>
  <c r="I75" i="5"/>
  <c r="H75" i="5"/>
  <c r="G75" i="5"/>
  <c r="N74" i="5"/>
  <c r="M74" i="5"/>
  <c r="J74" i="5"/>
  <c r="I74" i="5"/>
  <c r="H74" i="5"/>
  <c r="G74" i="5"/>
  <c r="N73" i="5"/>
  <c r="M73" i="5"/>
  <c r="J73" i="5"/>
  <c r="I73" i="5"/>
  <c r="H73" i="5"/>
  <c r="G73" i="5"/>
  <c r="N72" i="5"/>
  <c r="M72" i="5"/>
  <c r="J72" i="5"/>
  <c r="I72" i="5"/>
  <c r="H72" i="5"/>
  <c r="G72" i="5"/>
  <c r="N71" i="5"/>
  <c r="M71" i="5"/>
  <c r="J71" i="5"/>
  <c r="I71" i="5"/>
  <c r="H71" i="5"/>
  <c r="G71" i="5"/>
  <c r="N70" i="5"/>
  <c r="M70" i="5"/>
  <c r="J70" i="5"/>
  <c r="I70" i="5"/>
  <c r="H70" i="5"/>
  <c r="G70" i="5"/>
  <c r="N69" i="5"/>
  <c r="M69" i="5"/>
  <c r="J69" i="5"/>
  <c r="I69" i="5"/>
  <c r="H69" i="5"/>
  <c r="G69" i="5"/>
  <c r="N68" i="5"/>
  <c r="M68" i="5"/>
  <c r="J68" i="5"/>
  <c r="I68" i="5"/>
  <c r="H68" i="5"/>
  <c r="G68" i="5"/>
  <c r="N67" i="5"/>
  <c r="M67" i="5"/>
  <c r="J67" i="5"/>
  <c r="I67" i="5"/>
  <c r="H67" i="5"/>
  <c r="G67" i="5"/>
  <c r="N66" i="5"/>
  <c r="M66" i="5"/>
  <c r="J66" i="5"/>
  <c r="I66" i="5"/>
  <c r="H66" i="5"/>
  <c r="G66" i="5"/>
  <c r="N65" i="5"/>
  <c r="M65" i="5"/>
  <c r="J65" i="5"/>
  <c r="I65" i="5"/>
  <c r="H65" i="5"/>
  <c r="G65" i="5"/>
  <c r="N64" i="5"/>
  <c r="M64" i="5"/>
  <c r="J64" i="5"/>
  <c r="I64" i="5"/>
  <c r="H64" i="5"/>
  <c r="G64" i="5"/>
  <c r="N63" i="5"/>
  <c r="M63" i="5"/>
  <c r="J63" i="5"/>
  <c r="I63" i="5"/>
  <c r="H63" i="5"/>
  <c r="G63" i="5"/>
  <c r="N62" i="5"/>
  <c r="M62" i="5"/>
  <c r="J62" i="5"/>
  <c r="I62" i="5"/>
  <c r="H62" i="5"/>
  <c r="G62" i="5"/>
  <c r="N61" i="5"/>
  <c r="M61" i="5"/>
  <c r="J61" i="5"/>
  <c r="I61" i="5"/>
  <c r="H61" i="5"/>
  <c r="G61" i="5"/>
  <c r="N60" i="5"/>
  <c r="M60" i="5"/>
  <c r="J60" i="5"/>
  <c r="I60" i="5"/>
  <c r="H60" i="5"/>
  <c r="G60" i="5"/>
  <c r="N59" i="5"/>
  <c r="M59" i="5"/>
  <c r="J59" i="5"/>
  <c r="I59" i="5"/>
  <c r="H59" i="5"/>
  <c r="G59" i="5"/>
  <c r="N58" i="5"/>
  <c r="M58" i="5"/>
  <c r="J58" i="5"/>
  <c r="I58" i="5"/>
  <c r="H58" i="5"/>
  <c r="G58" i="5"/>
  <c r="N57" i="5"/>
  <c r="M57" i="5"/>
  <c r="J57" i="5"/>
  <c r="I57" i="5"/>
  <c r="H57" i="5"/>
  <c r="G57" i="5"/>
  <c r="N56" i="5"/>
  <c r="M56" i="5"/>
  <c r="J56" i="5"/>
  <c r="I56" i="5"/>
  <c r="H56" i="5"/>
  <c r="G56" i="5"/>
  <c r="N55" i="5"/>
  <c r="M55" i="5"/>
  <c r="J55" i="5"/>
  <c r="I55" i="5"/>
  <c r="H55" i="5"/>
  <c r="G55" i="5"/>
  <c r="N54" i="5"/>
  <c r="M54" i="5"/>
  <c r="J54" i="5"/>
  <c r="I54" i="5"/>
  <c r="H54" i="5"/>
  <c r="G54" i="5"/>
  <c r="N53" i="5"/>
  <c r="M53" i="5"/>
  <c r="J53" i="5"/>
  <c r="I53" i="5"/>
  <c r="H53" i="5"/>
  <c r="G53" i="5"/>
  <c r="N52" i="5"/>
  <c r="M52" i="5"/>
  <c r="J52" i="5"/>
  <c r="I52" i="5"/>
  <c r="H52" i="5"/>
  <c r="G52" i="5"/>
  <c r="N51" i="5"/>
  <c r="M51" i="5"/>
  <c r="J51" i="5"/>
  <c r="I51" i="5"/>
  <c r="H51" i="5"/>
  <c r="G51" i="5"/>
  <c r="N50" i="5"/>
  <c r="M50" i="5"/>
  <c r="J50" i="5"/>
  <c r="I50" i="5"/>
  <c r="H50" i="5"/>
  <c r="G50" i="5"/>
  <c r="N49" i="5"/>
  <c r="M49" i="5"/>
  <c r="J49" i="5"/>
  <c r="I49" i="5"/>
  <c r="H49" i="5"/>
  <c r="G49" i="5"/>
  <c r="N48" i="5"/>
  <c r="M48" i="5"/>
  <c r="J48" i="5"/>
  <c r="I48" i="5"/>
  <c r="H48" i="5"/>
  <c r="G48" i="5"/>
  <c r="N47" i="5"/>
  <c r="M47" i="5"/>
  <c r="J47" i="5"/>
  <c r="I47" i="5"/>
  <c r="H47" i="5"/>
  <c r="G47" i="5"/>
  <c r="N46" i="5"/>
  <c r="M46" i="5"/>
  <c r="J46" i="5"/>
  <c r="I46" i="5"/>
  <c r="H46" i="5"/>
  <c r="G46" i="5"/>
  <c r="N45" i="5"/>
  <c r="M45" i="5"/>
  <c r="J45" i="5"/>
  <c r="I45" i="5"/>
  <c r="H45" i="5"/>
  <c r="G45" i="5"/>
  <c r="N44" i="5"/>
  <c r="M44" i="5"/>
  <c r="J44" i="5"/>
  <c r="I44" i="5"/>
  <c r="H44" i="5"/>
  <c r="G44" i="5"/>
  <c r="N43" i="5"/>
  <c r="M43" i="5"/>
  <c r="J43" i="5"/>
  <c r="I43" i="5"/>
  <c r="H43" i="5"/>
  <c r="G43" i="5"/>
  <c r="N42" i="5"/>
  <c r="M42" i="5"/>
  <c r="J42" i="5"/>
  <c r="I42" i="5"/>
  <c r="H42" i="5"/>
  <c r="G42" i="5"/>
  <c r="N41" i="5"/>
  <c r="M41" i="5"/>
  <c r="J41" i="5"/>
  <c r="I41" i="5"/>
  <c r="H41" i="5"/>
  <c r="G41" i="5"/>
  <c r="N40" i="5"/>
  <c r="M40" i="5"/>
  <c r="J40" i="5"/>
  <c r="I40" i="5"/>
  <c r="H40" i="5"/>
  <c r="G40" i="5"/>
  <c r="N39" i="5"/>
  <c r="M39" i="5"/>
  <c r="J39" i="5"/>
  <c r="I39" i="5"/>
  <c r="H39" i="5"/>
  <c r="G39" i="5"/>
  <c r="N38" i="5"/>
  <c r="M38" i="5"/>
  <c r="J38" i="5"/>
  <c r="I38" i="5"/>
  <c r="H38" i="5"/>
  <c r="G38" i="5"/>
  <c r="N37" i="5"/>
  <c r="M37" i="5"/>
  <c r="J37" i="5"/>
  <c r="I37" i="5"/>
  <c r="H37" i="5"/>
  <c r="G37" i="5"/>
  <c r="N36" i="5"/>
  <c r="M36" i="5"/>
  <c r="J36" i="5"/>
  <c r="I36" i="5"/>
  <c r="H36" i="5"/>
  <c r="G36" i="5"/>
  <c r="N35" i="5"/>
  <c r="M35" i="5"/>
  <c r="J35" i="5"/>
  <c r="I35" i="5"/>
  <c r="H35" i="5"/>
  <c r="G35" i="5"/>
  <c r="N34" i="5"/>
  <c r="M34" i="5"/>
  <c r="J34" i="5"/>
  <c r="I34" i="5"/>
  <c r="H34" i="5"/>
  <c r="G34" i="5"/>
  <c r="N33" i="5"/>
  <c r="M33" i="5"/>
  <c r="J33" i="5"/>
  <c r="I33" i="5"/>
  <c r="H33" i="5"/>
  <c r="G33" i="5"/>
  <c r="N32" i="5"/>
  <c r="M32" i="5"/>
  <c r="J32" i="5"/>
  <c r="I32" i="5"/>
  <c r="H32" i="5"/>
  <c r="G32" i="5"/>
  <c r="N31" i="5"/>
  <c r="M31" i="5"/>
  <c r="J31" i="5"/>
  <c r="I31" i="5"/>
  <c r="H31" i="5"/>
  <c r="G31" i="5"/>
  <c r="N30" i="5"/>
  <c r="M30" i="5"/>
  <c r="J30" i="5"/>
  <c r="I30" i="5"/>
  <c r="H30" i="5"/>
  <c r="G30" i="5"/>
  <c r="N29" i="5"/>
  <c r="M29" i="5"/>
  <c r="J29" i="5"/>
  <c r="I29" i="5"/>
  <c r="H29" i="5"/>
  <c r="G29" i="5"/>
  <c r="N28" i="5"/>
  <c r="M28" i="5"/>
  <c r="J28" i="5"/>
  <c r="I28" i="5"/>
  <c r="H28" i="5"/>
  <c r="G28" i="5"/>
  <c r="N27" i="5"/>
  <c r="M27" i="5"/>
  <c r="J27" i="5"/>
  <c r="I27" i="5"/>
  <c r="H27" i="5"/>
  <c r="G27" i="5"/>
  <c r="N26" i="5"/>
  <c r="M26" i="5"/>
  <c r="J26" i="5"/>
  <c r="I26" i="5"/>
  <c r="H26" i="5"/>
  <c r="G26" i="5"/>
  <c r="N25" i="5"/>
  <c r="M25" i="5"/>
  <c r="J25" i="5"/>
  <c r="I25" i="5"/>
  <c r="H25" i="5"/>
  <c r="G25" i="5"/>
  <c r="N24" i="5"/>
  <c r="M24" i="5"/>
  <c r="J24" i="5"/>
  <c r="I24" i="5"/>
  <c r="H24" i="5"/>
  <c r="G24" i="5"/>
  <c r="N23" i="5"/>
  <c r="M23" i="5"/>
  <c r="J23" i="5"/>
  <c r="I23" i="5"/>
  <c r="H23" i="5"/>
  <c r="G23" i="5"/>
  <c r="N22" i="5"/>
  <c r="M22" i="5"/>
  <c r="J22" i="5"/>
  <c r="I22" i="5"/>
  <c r="H22" i="5"/>
  <c r="G22" i="5"/>
  <c r="N21" i="5"/>
  <c r="M21" i="5"/>
  <c r="J21" i="5"/>
  <c r="I21" i="5"/>
  <c r="H21" i="5"/>
  <c r="G21" i="5"/>
  <c r="N20" i="5"/>
  <c r="M20" i="5"/>
  <c r="J20" i="5"/>
  <c r="I20" i="5"/>
  <c r="H20" i="5"/>
  <c r="G20" i="5"/>
  <c r="N19" i="5"/>
  <c r="M19" i="5"/>
  <c r="J19" i="5"/>
  <c r="I19" i="5"/>
  <c r="H19" i="5"/>
  <c r="G19" i="5"/>
  <c r="N18" i="5"/>
  <c r="M18" i="5"/>
  <c r="J18" i="5"/>
  <c r="I18" i="5"/>
  <c r="H18" i="5"/>
  <c r="G18" i="5"/>
  <c r="N17" i="5"/>
  <c r="M17" i="5"/>
  <c r="J17" i="5"/>
  <c r="I17" i="5"/>
  <c r="H17" i="5"/>
  <c r="G17" i="5"/>
  <c r="N16" i="5"/>
  <c r="M16" i="5"/>
  <c r="J16" i="5"/>
  <c r="I16" i="5"/>
  <c r="H16" i="5"/>
  <c r="G16" i="5"/>
  <c r="N15" i="5"/>
  <c r="M15" i="5"/>
  <c r="J15" i="5"/>
  <c r="I15" i="5"/>
  <c r="H15" i="5"/>
  <c r="G15" i="5"/>
  <c r="N14" i="5"/>
  <c r="M14" i="5"/>
  <c r="J14" i="5"/>
  <c r="I14" i="5"/>
  <c r="H14" i="5"/>
  <c r="G14" i="5"/>
  <c r="N13" i="5"/>
  <c r="M13" i="5"/>
  <c r="J13" i="5"/>
  <c r="I13" i="5"/>
  <c r="H13" i="5"/>
  <c r="G13" i="5"/>
  <c r="N12" i="5"/>
  <c r="M12" i="5"/>
  <c r="J12" i="5"/>
  <c r="I12" i="5"/>
  <c r="H12" i="5"/>
  <c r="G12" i="5"/>
  <c r="N11" i="5"/>
  <c r="M11" i="5"/>
  <c r="J11" i="5"/>
  <c r="I11" i="5"/>
  <c r="H11" i="5"/>
  <c r="G11" i="5"/>
  <c r="N10" i="5"/>
  <c r="M10" i="5"/>
  <c r="J10" i="5"/>
  <c r="I10" i="5"/>
  <c r="H10" i="5"/>
  <c r="G10" i="5"/>
  <c r="N9" i="5"/>
  <c r="M9" i="5"/>
  <c r="J9" i="5"/>
  <c r="I9" i="5"/>
  <c r="H9" i="5"/>
  <c r="G9" i="5"/>
  <c r="N8" i="5"/>
  <c r="M8" i="5"/>
  <c r="J8" i="5"/>
  <c r="I8" i="5"/>
  <c r="H8" i="5"/>
  <c r="G8" i="5"/>
  <c r="N7" i="5"/>
  <c r="M7" i="5"/>
  <c r="J7" i="5"/>
  <c r="I7" i="5"/>
  <c r="H7" i="5"/>
  <c r="G7" i="5"/>
  <c r="N6" i="5"/>
  <c r="M6" i="5"/>
  <c r="J6" i="5"/>
  <c r="I6" i="5"/>
  <c r="H6" i="5"/>
  <c r="G6" i="5"/>
  <c r="N5" i="5"/>
  <c r="M5" i="5"/>
  <c r="J5" i="5"/>
  <c r="I5" i="5"/>
  <c r="H5" i="5"/>
  <c r="G5" i="5"/>
  <c r="N4" i="5"/>
  <c r="M4" i="5"/>
  <c r="J4" i="5"/>
  <c r="I4" i="5"/>
  <c r="H4" i="5"/>
  <c r="G4" i="5"/>
  <c r="N3" i="5"/>
  <c r="M3" i="5"/>
  <c r="J3" i="5"/>
  <c r="I3" i="5"/>
  <c r="H3" i="5"/>
  <c r="G3" i="5"/>
  <c r="G2" i="5"/>
  <c r="H2" i="5"/>
  <c r="I2" i="5"/>
  <c r="J2" i="5"/>
  <c r="T6" i="5" l="1"/>
  <c r="K2" i="5"/>
  <c r="L148" i="5"/>
  <c r="L82" i="5"/>
  <c r="L112" i="5"/>
  <c r="L118" i="5"/>
  <c r="L85" i="5"/>
  <c r="L58" i="5"/>
  <c r="K68" i="5"/>
  <c r="K18" i="5"/>
  <c r="K36" i="5"/>
  <c r="L136" i="5"/>
  <c r="L158" i="5"/>
  <c r="K160" i="5"/>
  <c r="K42" i="5"/>
  <c r="L13" i="5"/>
  <c r="L15" i="5"/>
  <c r="L25" i="5"/>
  <c r="L27" i="5"/>
  <c r="L31" i="5"/>
  <c r="L35" i="5"/>
  <c r="L43" i="5"/>
  <c r="L145" i="5"/>
  <c r="L167" i="5"/>
  <c r="K169" i="5"/>
  <c r="L171" i="5"/>
  <c r="L173" i="5"/>
  <c r="K175" i="5"/>
  <c r="L151" i="5"/>
  <c r="K153" i="5"/>
  <c r="L10" i="5"/>
  <c r="L12" i="5"/>
  <c r="L14" i="5"/>
  <c r="L65" i="5"/>
  <c r="L67" i="5"/>
  <c r="L8" i="5"/>
  <c r="K6" i="5"/>
  <c r="L16" i="5"/>
  <c r="L18" i="5"/>
  <c r="K53" i="5"/>
  <c r="K59" i="5"/>
  <c r="L142" i="5"/>
  <c r="K32" i="5"/>
  <c r="L36" i="5"/>
  <c r="K93" i="5"/>
  <c r="L166" i="5"/>
  <c r="L178" i="5"/>
  <c r="L123" i="5"/>
  <c r="L131" i="5"/>
  <c r="L135" i="5"/>
  <c r="K24" i="5"/>
  <c r="L48" i="5"/>
  <c r="K50" i="5"/>
  <c r="L56" i="5"/>
  <c r="L109" i="5"/>
  <c r="K113" i="5"/>
  <c r="L115" i="5"/>
  <c r="L121" i="5"/>
  <c r="L137" i="5"/>
  <c r="L129" i="5"/>
  <c r="K133" i="5"/>
  <c r="K44" i="5"/>
  <c r="L155" i="5"/>
  <c r="K157" i="5"/>
  <c r="K9" i="5"/>
  <c r="L88" i="5"/>
  <c r="L98" i="5"/>
  <c r="K100" i="5"/>
  <c r="L110" i="5"/>
  <c r="K112" i="5"/>
  <c r="K149" i="5"/>
  <c r="K165" i="5"/>
  <c r="K56" i="5"/>
  <c r="K161" i="5"/>
  <c r="L163" i="5"/>
  <c r="L134" i="5"/>
  <c r="K136" i="5"/>
  <c r="L157" i="5"/>
  <c r="K3" i="5"/>
  <c r="K15" i="5"/>
  <c r="K21" i="5"/>
  <c r="L49" i="5"/>
  <c r="L76" i="5"/>
  <c r="L124" i="5"/>
  <c r="K126" i="5"/>
  <c r="K132" i="5"/>
  <c r="K47" i="5"/>
  <c r="K122" i="5"/>
  <c r="L152" i="5"/>
  <c r="K154" i="5"/>
  <c r="K86" i="5"/>
  <c r="K90" i="5"/>
  <c r="K96" i="5"/>
  <c r="K129" i="5"/>
  <c r="K167" i="5"/>
  <c r="K171" i="5"/>
  <c r="K33" i="5"/>
  <c r="K92" i="5"/>
  <c r="L94" i="5"/>
  <c r="K125" i="5"/>
  <c r="L127" i="5"/>
  <c r="K131" i="5"/>
  <c r="K135" i="5"/>
  <c r="K152" i="5"/>
  <c r="K156" i="5"/>
  <c r="K150" i="5"/>
  <c r="K27" i="5"/>
  <c r="K39" i="5"/>
  <c r="K54" i="5"/>
  <c r="K65" i="5"/>
  <c r="L81" i="5"/>
  <c r="K98" i="5"/>
  <c r="K102" i="5"/>
  <c r="K108" i="5"/>
  <c r="L114" i="5"/>
  <c r="K141" i="5"/>
  <c r="L143" i="5"/>
  <c r="K145" i="5"/>
  <c r="L169" i="5"/>
  <c r="K173" i="5"/>
  <c r="K123" i="5"/>
  <c r="L5" i="5"/>
  <c r="L22" i="5"/>
  <c r="L37" i="5"/>
  <c r="K104" i="5"/>
  <c r="L106" i="5"/>
  <c r="K110" i="5"/>
  <c r="K114" i="5"/>
  <c r="L133" i="5"/>
  <c r="K137" i="5"/>
  <c r="L139" i="5"/>
  <c r="L147" i="5"/>
  <c r="L154" i="5"/>
  <c r="K158" i="5"/>
  <c r="K162" i="5"/>
  <c r="L164" i="5"/>
  <c r="K166" i="5"/>
  <c r="K146" i="5"/>
  <c r="L20" i="5"/>
  <c r="K12" i="5"/>
  <c r="L24" i="5"/>
  <c r="L3" i="5"/>
  <c r="L7" i="5"/>
  <c r="L9" i="5"/>
  <c r="L26" i="5"/>
  <c r="L47" i="5"/>
  <c r="L73" i="5"/>
  <c r="L79" i="5"/>
  <c r="L100" i="5"/>
  <c r="K116" i="5"/>
  <c r="K120" i="5"/>
  <c r="K143" i="5"/>
  <c r="K147" i="5"/>
  <c r="L149" i="5"/>
  <c r="K151" i="5"/>
  <c r="L175" i="5"/>
  <c r="L11" i="5"/>
  <c r="L28" i="5"/>
  <c r="L30" i="5"/>
  <c r="K45" i="5"/>
  <c r="L66" i="5"/>
  <c r="L93" i="5"/>
  <c r="L95" i="5"/>
  <c r="K97" i="5"/>
  <c r="L128" i="5"/>
  <c r="L153" i="5"/>
  <c r="L160" i="5"/>
  <c r="K164" i="5"/>
  <c r="K168" i="5"/>
  <c r="L170" i="5"/>
  <c r="K172" i="5"/>
  <c r="L17" i="5"/>
  <c r="K40" i="5"/>
  <c r="K62" i="5"/>
  <c r="L74" i="5"/>
  <c r="K76" i="5"/>
  <c r="K89" i="5"/>
  <c r="L91" i="5"/>
  <c r="K95" i="5"/>
  <c r="L107" i="5"/>
  <c r="L111" i="5"/>
  <c r="K128" i="5"/>
  <c r="L130" i="5"/>
  <c r="L140" i="5"/>
  <c r="K142" i="5"/>
  <c r="L159" i="5"/>
  <c r="K170" i="5"/>
  <c r="L176" i="5"/>
  <c r="K178" i="5"/>
  <c r="L21" i="5"/>
  <c r="L57" i="5"/>
  <c r="L78" i="5"/>
  <c r="K105" i="5"/>
  <c r="K111" i="5"/>
  <c r="L117" i="5"/>
  <c r="K134" i="5"/>
  <c r="K138" i="5"/>
  <c r="K155" i="5"/>
  <c r="K159" i="5"/>
  <c r="L161" i="5"/>
  <c r="K163" i="5"/>
  <c r="K63" i="5"/>
  <c r="K119" i="5"/>
  <c r="L19" i="5"/>
  <c r="L4" i="5"/>
  <c r="L6" i="5"/>
  <c r="L23" i="5"/>
  <c r="K74" i="5"/>
  <c r="L97" i="5"/>
  <c r="K101" i="5"/>
  <c r="L103" i="5"/>
  <c r="K107" i="5"/>
  <c r="K117" i="5"/>
  <c r="K140" i="5"/>
  <c r="K144" i="5"/>
  <c r="L146" i="5"/>
  <c r="K148" i="5"/>
  <c r="L165" i="5"/>
  <c r="L172" i="5"/>
  <c r="K176" i="5"/>
  <c r="L29" i="5"/>
  <c r="K34" i="5"/>
  <c r="K46" i="5"/>
  <c r="K55" i="5"/>
  <c r="K64" i="5"/>
  <c r="L75" i="5"/>
  <c r="L92" i="5"/>
  <c r="K94" i="5"/>
  <c r="K130" i="5"/>
  <c r="L41" i="5"/>
  <c r="K71" i="5"/>
  <c r="K75" i="5"/>
  <c r="L77" i="5"/>
  <c r="K79" i="5"/>
  <c r="L96" i="5"/>
  <c r="L113" i="5"/>
  <c r="K115" i="5"/>
  <c r="L132" i="5"/>
  <c r="L168" i="5"/>
  <c r="K43" i="5"/>
  <c r="K48" i="5"/>
  <c r="L50" i="5"/>
  <c r="K57" i="5"/>
  <c r="L59" i="5"/>
  <c r="K66" i="5"/>
  <c r="L68" i="5"/>
  <c r="K77" i="5"/>
  <c r="K81" i="5"/>
  <c r="L83" i="5"/>
  <c r="K85" i="5"/>
  <c r="L102" i="5"/>
  <c r="L119" i="5"/>
  <c r="K121" i="5"/>
  <c r="L138" i="5"/>
  <c r="K8" i="5"/>
  <c r="K11" i="5"/>
  <c r="K14" i="5"/>
  <c r="K17" i="5"/>
  <c r="K20" i="5"/>
  <c r="K23" i="5"/>
  <c r="K26" i="5"/>
  <c r="K29" i="5"/>
  <c r="L34" i="5"/>
  <c r="L38" i="5"/>
  <c r="L46" i="5"/>
  <c r="K52" i="5"/>
  <c r="L55" i="5"/>
  <c r="K61" i="5"/>
  <c r="L64" i="5"/>
  <c r="K70" i="5"/>
  <c r="L87" i="5"/>
  <c r="L104" i="5"/>
  <c r="K106" i="5"/>
  <c r="L174" i="5"/>
  <c r="K174" i="5"/>
  <c r="K5" i="5"/>
  <c r="L33" i="5"/>
  <c r="K41" i="5"/>
  <c r="L45" i="5"/>
  <c r="L72" i="5"/>
  <c r="K83" i="5"/>
  <c r="K87" i="5"/>
  <c r="L89" i="5"/>
  <c r="K91" i="5"/>
  <c r="L108" i="5"/>
  <c r="L125" i="5"/>
  <c r="K127" i="5"/>
  <c r="L144" i="5"/>
  <c r="K31" i="5"/>
  <c r="L54" i="5"/>
  <c r="L63" i="5"/>
  <c r="K72" i="5"/>
  <c r="L150" i="5"/>
  <c r="K7" i="5"/>
  <c r="K10" i="5"/>
  <c r="K13" i="5"/>
  <c r="K16" i="5"/>
  <c r="K19" i="5"/>
  <c r="K22" i="5"/>
  <c r="K25" i="5"/>
  <c r="K28" i="5"/>
  <c r="K38" i="5"/>
  <c r="L42" i="5"/>
  <c r="K49" i="5"/>
  <c r="L52" i="5"/>
  <c r="K58" i="5"/>
  <c r="L61" i="5"/>
  <c r="K67" i="5"/>
  <c r="L70" i="5"/>
  <c r="K78" i="5"/>
  <c r="L80" i="5"/>
  <c r="K82" i="5"/>
  <c r="L99" i="5"/>
  <c r="L116" i="5"/>
  <c r="K118" i="5"/>
  <c r="K4" i="5"/>
  <c r="K37" i="5"/>
  <c r="L84" i="5"/>
  <c r="K99" i="5"/>
  <c r="L101" i="5"/>
  <c r="K103" i="5"/>
  <c r="L120" i="5"/>
  <c r="K139" i="5"/>
  <c r="L156" i="5"/>
  <c r="L32" i="5"/>
  <c r="L40" i="5"/>
  <c r="L44" i="5"/>
  <c r="L51" i="5"/>
  <c r="L60" i="5"/>
  <c r="L69" i="5"/>
  <c r="K80" i="5"/>
  <c r="K84" i="5"/>
  <c r="L86" i="5"/>
  <c r="K88" i="5"/>
  <c r="L105" i="5"/>
  <c r="L122" i="5"/>
  <c r="K124" i="5"/>
  <c r="L141" i="5"/>
  <c r="K30" i="5"/>
  <c r="K35" i="5"/>
  <c r="L39" i="5"/>
  <c r="K51" i="5"/>
  <c r="L53" i="5"/>
  <c r="K60" i="5"/>
  <c r="L62" i="5"/>
  <c r="K69" i="5"/>
  <c r="L71" i="5"/>
  <c r="K73" i="5"/>
  <c r="L90" i="5"/>
  <c r="K109" i="5"/>
  <c r="L126" i="5"/>
  <c r="L162" i="5"/>
  <c r="L177" i="5"/>
  <c r="K177" i="5"/>
  <c r="T7" i="5" l="1"/>
  <c r="M2" i="5"/>
  <c r="T8" i="5" l="1"/>
  <c r="L2" i="5"/>
  <c r="T9" i="5" l="1"/>
  <c r="T10" i="5" l="1"/>
  <c r="T11" i="5" l="1"/>
  <c r="T12" i="5" l="1"/>
  <c r="T13" i="5" l="1"/>
  <c r="T14" i="5" l="1"/>
  <c r="T15" i="5" l="1"/>
  <c r="T16" i="5" l="1"/>
  <c r="T17" i="5" l="1"/>
  <c r="T18" i="5" l="1"/>
  <c r="T19" i="5" l="1"/>
  <c r="T20" i="5" l="1"/>
  <c r="T21" i="5" l="1"/>
  <c r="T22" i="5" l="1"/>
  <c r="T23" i="5" l="1"/>
  <c r="T24" i="5" l="1"/>
  <c r="T25" i="5" l="1"/>
  <c r="T26" i="5" l="1"/>
  <c r="T27" i="5" l="1"/>
  <c r="T28" i="5" l="1"/>
  <c r="T29" i="5" l="1"/>
  <c r="T30" i="5" l="1"/>
  <c r="T31" i="5" l="1"/>
  <c r="T32" i="5" l="1"/>
  <c r="T33" i="5" l="1"/>
  <c r="T34" i="5" l="1"/>
  <c r="T35" i="5" l="1"/>
  <c r="T36" i="5" l="1"/>
  <c r="T37" i="5" l="1"/>
  <c r="T38" i="5" l="1"/>
  <c r="T39" i="5" l="1"/>
  <c r="T40" i="5" l="1"/>
  <c r="T41" i="5" l="1"/>
  <c r="T42" i="5"/>
</calcChain>
</file>

<file path=xl/sharedStrings.xml><?xml version="1.0" encoding="utf-8"?>
<sst xmlns="http://schemas.openxmlformats.org/spreadsheetml/2006/main" count="88" uniqueCount="88">
  <si>
    <t>Offset</t>
  </si>
  <si>
    <t>S11 Re</t>
  </si>
  <si>
    <t>S11 Im</t>
  </si>
  <si>
    <t>S21 Re</t>
  </si>
  <si>
    <t>S21 Im</t>
  </si>
  <si>
    <t>Z11 Re</t>
  </si>
  <si>
    <t>Z11 Im</t>
  </si>
  <si>
    <t>Z12 Re</t>
  </si>
  <si>
    <t>Z12 Im</t>
  </si>
  <si>
    <t>L=Lcav</t>
  </si>
  <si>
    <t>Re[Vcav]</t>
  </si>
  <si>
    <t>Im[Vcav]</t>
  </si>
  <si>
    <t>Re[Vrad]</t>
  </si>
  <si>
    <t>Im[Vrad]</t>
  </si>
  <si>
    <t>|rho|</t>
  </si>
  <si>
    <t>arg(rho)</t>
  </si>
  <si>
    <t>Rself</t>
  </si>
  <si>
    <t>Xself</t>
  </si>
  <si>
    <t>Gself</t>
  </si>
  <si>
    <t>Bself</t>
  </si>
  <si>
    <t>Column1</t>
  </si>
  <si>
    <t>Column2</t>
  </si>
  <si>
    <t>Peak1</t>
  </si>
  <si>
    <t>Bzero1</t>
  </si>
  <si>
    <t>Peak2</t>
  </si>
  <si>
    <t>Bzero2</t>
  </si>
  <si>
    <t>Peak3</t>
  </si>
  <si>
    <t>Bzero3</t>
  </si>
  <si>
    <t>Peak4</t>
  </si>
  <si>
    <t>Bzero4</t>
  </si>
  <si>
    <t>Peak5</t>
  </si>
  <si>
    <t>Bzero5</t>
  </si>
  <si>
    <t>Peak6</t>
  </si>
  <si>
    <t>Bzero6</t>
  </si>
  <si>
    <t>Peak7</t>
  </si>
  <si>
    <t>Bzero7</t>
  </si>
  <si>
    <t>Peak8</t>
  </si>
  <si>
    <t>Bzero8</t>
  </si>
  <si>
    <t>Peak9</t>
  </si>
  <si>
    <t>Bzero9</t>
  </si>
  <si>
    <t>Peak10</t>
  </si>
  <si>
    <t>Bzero10</t>
  </si>
  <si>
    <t>Peak11</t>
  </si>
  <si>
    <t>Bzero11</t>
  </si>
  <si>
    <t>Peak12</t>
  </si>
  <si>
    <t>Bzero12</t>
  </si>
  <si>
    <t>Peak13</t>
  </si>
  <si>
    <t>Bzero13</t>
  </si>
  <si>
    <t>Peak14</t>
  </si>
  <si>
    <t>Bzero14</t>
  </si>
  <si>
    <t>Peak15</t>
  </si>
  <si>
    <t>Bzero15</t>
  </si>
  <si>
    <t>Peak16</t>
  </si>
  <si>
    <t>Bzero16</t>
  </si>
  <si>
    <t>Peak17</t>
  </si>
  <si>
    <t>Bzero17</t>
  </si>
  <si>
    <t>Peak18</t>
  </si>
  <si>
    <t>Bzero18</t>
  </si>
  <si>
    <t>Peak19</t>
  </si>
  <si>
    <t>Bzero19</t>
  </si>
  <si>
    <t>Peak20</t>
  </si>
  <si>
    <t>Bzero20</t>
  </si>
  <si>
    <t>Peak21</t>
  </si>
  <si>
    <t>Bzero21</t>
  </si>
  <si>
    <t>Peak22</t>
  </si>
  <si>
    <t>Bzero22</t>
  </si>
  <si>
    <t>Peak23</t>
  </si>
  <si>
    <t>Bzero23</t>
  </si>
  <si>
    <t>Peak24</t>
  </si>
  <si>
    <t>Bzero24</t>
  </si>
  <si>
    <t>Peak25</t>
  </si>
  <si>
    <t>Bzero25</t>
  </si>
  <si>
    <t>Peak26</t>
  </si>
  <si>
    <t>Bzero26</t>
  </si>
  <si>
    <t>Peak27</t>
  </si>
  <si>
    <t>Bzero27</t>
  </si>
  <si>
    <t>Peak28</t>
  </si>
  <si>
    <t>Bzero28</t>
  </si>
  <si>
    <t>Peak29</t>
  </si>
  <si>
    <t>Bzero29</t>
  </si>
  <si>
    <t>Peak30</t>
  </si>
  <si>
    <t>Bzero30</t>
  </si>
  <si>
    <t>Peak31</t>
  </si>
  <si>
    <t>Bzero31</t>
  </si>
  <si>
    <t>Peak32</t>
  </si>
  <si>
    <t>Bzero32</t>
  </si>
  <si>
    <t>Peak33</t>
  </si>
  <si>
    <t>Bzero33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</si>
</sst>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9">
    <xf numFmtId="0" fontId="0" fillId="0" borderId="0" xfId="0"/>
    <xf numFmtId="0" fontId="1" fillId="5" borderId="0" xfId="4" applyFont="1" applyAlignment="1">
      <alignment horizontal="center"/>
    </xf>
    <xf numFmtId="0" fontId="1" fillId="2" borderId="0" xfId="1" applyFont="1" applyAlignment="1">
      <alignment horizontal="center"/>
    </xf>
    <xf numFmtId="0" fontId="1" fillId="3" borderId="0" xfId="2" applyFont="1" applyAlignment="1">
      <alignment horizontal="center"/>
    </xf>
    <xf numFmtId="11" fontId="0" fillId="0" borderId="0" xfId="0" applyNumberFormat="1"/>
    <xf numFmtId="164" fontId="0" fillId="0" borderId="0" xfId="0" applyNumberFormat="1"/>
    <xf numFmtId="0" fontId="1" fillId="6" borderId="0" xfId="3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  <xf numFmtId="0" fontId="0" fillId="0" borderId="0" xfId="0" applyBorder="1"/>
    <xf numFmtId="0" fontId="0" fillId="6" borderId="0" xfId="0" applyFill="1" applyBorder="1"/>
    <xf numFmtId="0" fontId="0" fillId="9" borderId="0" xfId="0" applyFill="1" applyBorder="1"/>
    <xf numFmtId="0" fontId="0" fillId="8" borderId="0" xfId="0" applyFill="1" applyBorder="1"/>
    <xf numFmtId="0" fontId="0" fillId="0" borderId="1" xfId="0" applyBorder="1"/>
  </cellXfs>
  <cellStyles count="5">
    <cellStyle name="60% - Accent1" xfId="1" builtinId="32"/>
    <cellStyle name="60% - Accent3" xfId="2" builtinId="40"/>
    <cellStyle name="60% - Accent4" xfId="3" builtinId="44"/>
    <cellStyle name="Accent6" xfId="4" builtinId="49"/>
    <cellStyle name="Normal" xfId="0" builtinId="0"/>
  </cellStyles>
  <dxfs count="9"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701795918161979E-2"/>
          <c:w val="0.92107220075755036"/>
          <c:h val="0.78336731932241011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DATA!$M$2:$M$43</c:f>
              <c:numCache>
                <c:formatCode>General</c:formatCode>
                <c:ptCount val="42"/>
                <c:pt idx="0">
                  <c:v>2.5942479275347001E-3</c:v>
                </c:pt>
                <c:pt idx="1">
                  <c:v>3.14049333254949E-3</c:v>
                </c:pt>
                <c:pt idx="2">
                  <c:v>3.35763765737638E-3</c:v>
                </c:pt>
                <c:pt idx="3">
                  <c:v>3.60397903306097E-3</c:v>
                </c:pt>
                <c:pt idx="4">
                  <c:v>3.8787509958260599E-3</c:v>
                </c:pt>
                <c:pt idx="5">
                  <c:v>4.1800465869758297E-3</c:v>
                </c:pt>
                <c:pt idx="6">
                  <c:v>4.5076371505735104E-3</c:v>
                </c:pt>
                <c:pt idx="7">
                  <c:v>4.8620238997880696E-3</c:v>
                </c:pt>
                <c:pt idx="8">
                  <c:v>5.2438380048764202E-3</c:v>
                </c:pt>
                <c:pt idx="9">
                  <c:v>5.6535650684682399E-3</c:v>
                </c:pt>
                <c:pt idx="10">
                  <c:v>6.0914191151263198E-3</c:v>
                </c:pt>
                <c:pt idx="11">
                  <c:v>6.5573595369451199E-3</c:v>
                </c:pt>
                <c:pt idx="12">
                  <c:v>7.0509588300251697E-3</c:v>
                </c:pt>
                <c:pt idx="13">
                  <c:v>7.5712241339195002E-3</c:v>
                </c:pt>
                <c:pt idx="14">
                  <c:v>8.1162457399402092E-3</c:v>
                </c:pt>
                <c:pt idx="15">
                  <c:v>8.6828034279748702E-3</c:v>
                </c:pt>
                <c:pt idx="16">
                  <c:v>9.2658618153166807E-3</c:v>
                </c:pt>
                <c:pt idx="17">
                  <c:v>9.8583420483851006E-3</c:v>
                </c:pt>
                <c:pt idx="18">
                  <c:v>1.0450930222581201E-2</c:v>
                </c:pt>
                <c:pt idx="19">
                  <c:v>1.10306754751602E-2</c:v>
                </c:pt>
                <c:pt idx="20">
                  <c:v>1.15864073844616E-2</c:v>
                </c:pt>
                <c:pt idx="21">
                  <c:v>1.21022860226938E-2</c:v>
                </c:pt>
                <c:pt idx="22">
                  <c:v>1.2563351055457601E-2</c:v>
                </c:pt>
                <c:pt idx="23">
                  <c:v>1.2955417276817699E-2</c:v>
                </c:pt>
                <c:pt idx="24">
                  <c:v>1.3247867290273699E-2</c:v>
                </c:pt>
                <c:pt idx="25">
                  <c:v>1.34685899545609E-2</c:v>
                </c:pt>
                <c:pt idx="26">
                  <c:v>1.3596575953804001E-2</c:v>
                </c:pt>
                <c:pt idx="27">
                  <c:v>1.3630635615071E-2</c:v>
                </c:pt>
                <c:pt idx="28">
                  <c:v>1.3575948463836401E-2</c:v>
                </c:pt>
                <c:pt idx="29">
                  <c:v>1.3447873074452801E-2</c:v>
                </c:pt>
                <c:pt idx="30">
                  <c:v>1.32392707776567E-2</c:v>
                </c:pt>
                <c:pt idx="31">
                  <c:v>1.2964101396472499E-2</c:v>
                </c:pt>
                <c:pt idx="32">
                  <c:v>1.26328815387099E-2</c:v>
                </c:pt>
                <c:pt idx="33">
                  <c:v>1.23002558167709E-2</c:v>
                </c:pt>
                <c:pt idx="34">
                  <c:v>1.1878347464808399E-2</c:v>
                </c:pt>
                <c:pt idx="35">
                  <c:v>1.14700417458794E-2</c:v>
                </c:pt>
                <c:pt idx="36">
                  <c:v>1.10558858686807E-2</c:v>
                </c:pt>
                <c:pt idx="37">
                  <c:v>1.06406691240032E-2</c:v>
                </c:pt>
                <c:pt idx="38">
                  <c:v>1.02282304703364E-2</c:v>
                </c:pt>
                <c:pt idx="39">
                  <c:v>9.88995377794827E-3</c:v>
                </c:pt>
                <c:pt idx="40">
                  <c:v>9.4225684056198095E-3</c:v>
                </c:pt>
                <c:pt idx="41">
                  <c:v>9.4053382221917902E-3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F-4220-A070-DA87FFF8C6FD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DATA!$N$2:$N$43</c:f>
              <c:numCache>
                <c:formatCode>General</c:formatCode>
                <c:ptCount val="42"/>
                <c:pt idx="0">
                  <c:v>-2.41165518331202E-3</c:v>
                </c:pt>
                <c:pt idx="1">
                  <c:v>-1.9867068311014602E-3</c:v>
                </c:pt>
                <c:pt idx="2">
                  <c:v>-1.80880746693934E-3</c:v>
                </c:pt>
                <c:pt idx="3">
                  <c:v>-1.6515698375788399E-3</c:v>
                </c:pt>
                <c:pt idx="4">
                  <c:v>-1.50905862107269E-3</c:v>
                </c:pt>
                <c:pt idx="5">
                  <c:v>-1.3788447543088E-3</c:v>
                </c:pt>
                <c:pt idx="6">
                  <c:v>-1.26134602230383E-3</c:v>
                </c:pt>
                <c:pt idx="7">
                  <c:v>-1.1585882655845701E-3</c:v>
                </c:pt>
                <c:pt idx="8">
                  <c:v>-1.0734933759625901E-3</c:v>
                </c:pt>
                <c:pt idx="9">
                  <c:v>-1.0095198287593001E-3</c:v>
                </c:pt>
                <c:pt idx="10">
                  <c:v>-9.7050557374658397E-4</c:v>
                </c:pt>
                <c:pt idx="11">
                  <c:v>-9.6067412934294804E-4</c:v>
                </c:pt>
                <c:pt idx="12">
                  <c:v>-9.8474432594400406E-4</c:v>
                </c:pt>
                <c:pt idx="13">
                  <c:v>-1.04808004244478E-3</c:v>
                </c:pt>
                <c:pt idx="14">
                  <c:v>-1.15677284249333E-3</c:v>
                </c:pt>
                <c:pt idx="15">
                  <c:v>-1.3175387984144899E-3</c:v>
                </c:pt>
                <c:pt idx="16">
                  <c:v>-1.53740241656256E-3</c:v>
                </c:pt>
                <c:pt idx="17">
                  <c:v>-1.8231700459154299E-3</c:v>
                </c:pt>
                <c:pt idx="18">
                  <c:v>-2.1807816441837798E-3</c:v>
                </c:pt>
                <c:pt idx="19">
                  <c:v>-2.6188173224100698E-3</c:v>
                </c:pt>
                <c:pt idx="20">
                  <c:v>-3.1336208641452698E-3</c:v>
                </c:pt>
                <c:pt idx="21">
                  <c:v>-3.7262951909432102E-3</c:v>
                </c:pt>
                <c:pt idx="22">
                  <c:v>-4.3926403646296101E-3</c:v>
                </c:pt>
                <c:pt idx="23">
                  <c:v>-5.1240875403942704E-3</c:v>
                </c:pt>
                <c:pt idx="24">
                  <c:v>-5.5881798322806996E-3</c:v>
                </c:pt>
                <c:pt idx="25">
                  <c:v>-6.3560729408204796E-3</c:v>
                </c:pt>
                <c:pt idx="26">
                  <c:v>-7.1405925114029004E-3</c:v>
                </c:pt>
                <c:pt idx="27">
                  <c:v>-7.9236513799717904E-3</c:v>
                </c:pt>
                <c:pt idx="28">
                  <c:v>-8.6913667482102896E-3</c:v>
                </c:pt>
                <c:pt idx="29">
                  <c:v>-9.7269917343434705E-3</c:v>
                </c:pt>
                <c:pt idx="30">
                  <c:v>-1.04141824776808E-2</c:v>
                </c:pt>
                <c:pt idx="31">
                  <c:v>-1.10204295065613E-2</c:v>
                </c:pt>
                <c:pt idx="32">
                  <c:v>-1.1359181931412899E-2</c:v>
                </c:pt>
                <c:pt idx="33">
                  <c:v>-1.1900201530949599E-2</c:v>
                </c:pt>
                <c:pt idx="34">
                  <c:v>-1.2363932953495501E-2</c:v>
                </c:pt>
                <c:pt idx="35">
                  <c:v>-1.27796222821171E-2</c:v>
                </c:pt>
                <c:pt idx="36">
                  <c:v>-1.31382244713331E-2</c:v>
                </c:pt>
                <c:pt idx="37">
                  <c:v>-1.34438514941438E-2</c:v>
                </c:pt>
                <c:pt idx="38">
                  <c:v>-1.36916146701509E-2</c:v>
                </c:pt>
                <c:pt idx="39">
                  <c:v>-1.3921791679637901E-2</c:v>
                </c:pt>
                <c:pt idx="40">
                  <c:v>-1.4120645688710401E-2</c:v>
                </c:pt>
                <c:pt idx="41">
                  <c:v>-1.44410571343639E-2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2F-4220-A070-DA87FFF8C6FD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_markers!$A$2:$A$43</c:f>
              <c:numCache>
                <c:formatCode>General</c:formatCode>
                <c:ptCount val="42"/>
                <c:pt idx="27">
                  <c:v>1.3630635615071E-2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2F-4220-A070-DA87FFF8C6FD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DATA!$B$2:$B$43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_markers!$B$2:$B$43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2F-4220-A070-DA87FFF8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2094256"/>
        <c:axId val="1302091856"/>
      </c:lineChart>
      <c:catAx>
        <c:axId val="130209425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91856"/>
        <c:crosses val="autoZero"/>
        <c:auto val="1"/>
        <c:lblAlgn val="ctr"/>
        <c:lblOffset val="100"/>
        <c:tickLblSkip val="1"/>
        <c:noMultiLvlLbl val="0"/>
      </c:catAx>
      <c:valAx>
        <c:axId val="130209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9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0.7375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DATA!$M$44:$M$85</c:f>
              <c:numCache>
                <c:formatCode>General</c:formatCode>
                <c:ptCount val="42"/>
                <c:pt idx="0">
                  <c:v>4.1742950746664004E-3</c:v>
                </c:pt>
                <c:pt idx="1">
                  <c:v>4.5919451143526498E-3</c:v>
                </c:pt>
                <c:pt idx="2">
                  <c:v>4.78693664885344E-3</c:v>
                </c:pt>
                <c:pt idx="3">
                  <c:v>5.1705881913974502E-3</c:v>
                </c:pt>
                <c:pt idx="4">
                  <c:v>5.5813830298362902E-3</c:v>
                </c:pt>
                <c:pt idx="5">
                  <c:v>6.0264806579512498E-3</c:v>
                </c:pt>
                <c:pt idx="6">
                  <c:v>6.5112080697595897E-3</c:v>
                </c:pt>
                <c:pt idx="7">
                  <c:v>7.0396951884866901E-3</c:v>
                </c:pt>
                <c:pt idx="8">
                  <c:v>7.6151118530137403E-3</c:v>
                </c:pt>
                <c:pt idx="9">
                  <c:v>8.2394334991354092E-3</c:v>
                </c:pt>
                <c:pt idx="10">
                  <c:v>8.9130478831293807E-3</c:v>
                </c:pt>
                <c:pt idx="11">
                  <c:v>9.6344337184014594E-3</c:v>
                </c:pt>
                <c:pt idx="12">
                  <c:v>1.0400502900148999E-2</c:v>
                </c:pt>
                <c:pt idx="13">
                  <c:v>1.12072408699801E-2</c:v>
                </c:pt>
                <c:pt idx="14">
                  <c:v>1.2049925254297E-2</c:v>
                </c:pt>
                <c:pt idx="15">
                  <c:v>1.29224498776157E-2</c:v>
                </c:pt>
                <c:pt idx="16">
                  <c:v>1.3816306635036199E-2</c:v>
                </c:pt>
                <c:pt idx="17">
                  <c:v>1.47199792261892E-2</c:v>
                </c:pt>
                <c:pt idx="18">
                  <c:v>1.5619285062494E-2</c:v>
                </c:pt>
                <c:pt idx="19">
                  <c:v>1.6496865923909299E-2</c:v>
                </c:pt>
                <c:pt idx="20">
                  <c:v>1.73327366866954E-2</c:v>
                </c:pt>
                <c:pt idx="21">
                  <c:v>1.8106421615238101E-2</c:v>
                </c:pt>
                <c:pt idx="22">
                  <c:v>1.8797149142976002E-2</c:v>
                </c:pt>
                <c:pt idx="23">
                  <c:v>1.9386637780042099E-2</c:v>
                </c:pt>
                <c:pt idx="24">
                  <c:v>1.98566112287334E-2</c:v>
                </c:pt>
                <c:pt idx="25">
                  <c:v>2.0194964510989399E-2</c:v>
                </c:pt>
                <c:pt idx="26">
                  <c:v>2.0394594748119901E-2</c:v>
                </c:pt>
                <c:pt idx="27">
                  <c:v>2.0454293810469999E-2</c:v>
                </c:pt>
                <c:pt idx="28">
                  <c:v>2.0378635392999601E-2</c:v>
                </c:pt>
                <c:pt idx="29">
                  <c:v>2.0177431802846299E-2</c:v>
                </c:pt>
                <c:pt idx="30">
                  <c:v>1.9867519408919398E-2</c:v>
                </c:pt>
                <c:pt idx="31">
                  <c:v>1.9459604347845601E-2</c:v>
                </c:pt>
                <c:pt idx="32">
                  <c:v>1.8977483734280001E-2</c:v>
                </c:pt>
                <c:pt idx="33">
                  <c:v>1.8434556780651201E-2</c:v>
                </c:pt>
                <c:pt idx="34">
                  <c:v>1.7927333750985E-2</c:v>
                </c:pt>
                <c:pt idx="35">
                  <c:v>1.7334461673330599E-2</c:v>
                </c:pt>
                <c:pt idx="36">
                  <c:v>1.6716282892631398E-2</c:v>
                </c:pt>
                <c:pt idx="37">
                  <c:v>1.6104962194256799E-2</c:v>
                </c:pt>
                <c:pt idx="38">
                  <c:v>1.54804561080179E-2</c:v>
                </c:pt>
                <c:pt idx="39">
                  <c:v>1.48856358321405E-2</c:v>
                </c:pt>
                <c:pt idx="40">
                  <c:v>1.4240160423366901E-2</c:v>
                </c:pt>
                <c:pt idx="41">
                  <c:v>1.4353164089329601E-2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EB-8737-40A3E9654BB4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DATA!$N$44:$N$85</c:f>
              <c:numCache>
                <c:formatCode>General</c:formatCode>
                <c:ptCount val="42"/>
                <c:pt idx="0">
                  <c:v>5.6919497910460997E-4</c:v>
                </c:pt>
                <c:pt idx="1">
                  <c:v>8.8812289895651695E-4</c:v>
                </c:pt>
                <c:pt idx="2">
                  <c:v>1.0898358579959899E-3</c:v>
                </c:pt>
                <c:pt idx="3">
                  <c:v>1.2985379246482601E-3</c:v>
                </c:pt>
                <c:pt idx="4">
                  <c:v>1.51016701443363E-3</c:v>
                </c:pt>
                <c:pt idx="5">
                  <c:v>1.7176541575746401E-3</c:v>
                </c:pt>
                <c:pt idx="6">
                  <c:v>1.9150055904088999E-3</c:v>
                </c:pt>
                <c:pt idx="7">
                  <c:v>2.0965526022380999E-3</c:v>
                </c:pt>
                <c:pt idx="8">
                  <c:v>2.25655998558087E-3</c:v>
                </c:pt>
                <c:pt idx="9">
                  <c:v>2.3890256059060202E-3</c:v>
                </c:pt>
                <c:pt idx="10">
                  <c:v>2.4873918251296602E-3</c:v>
                </c:pt>
                <c:pt idx="11">
                  <c:v>2.5441280960083498E-3</c:v>
                </c:pt>
                <c:pt idx="12">
                  <c:v>2.5504998830397502E-3</c:v>
                </c:pt>
                <c:pt idx="13">
                  <c:v>2.4968578702536499E-3</c:v>
                </c:pt>
                <c:pt idx="14">
                  <c:v>2.3733202496573399E-3</c:v>
                </c:pt>
                <c:pt idx="15">
                  <c:v>2.1702333620389602E-3</c:v>
                </c:pt>
                <c:pt idx="16">
                  <c:v>1.8782778359596099E-3</c:v>
                </c:pt>
                <c:pt idx="17">
                  <c:v>1.48864948195137E-3</c:v>
                </c:pt>
                <c:pt idx="18">
                  <c:v>9.9401740102918602E-4</c:v>
                </c:pt>
                <c:pt idx="19">
                  <c:v>3.8788337925515099E-4</c:v>
                </c:pt>
                <c:pt idx="20">
                  <c:v>-3.3118380723343301E-4</c:v>
                </c:pt>
                <c:pt idx="21">
                  <c:v>-1.1611153076126299E-3</c:v>
                </c:pt>
                <c:pt idx="22">
                  <c:v>-2.0947252663124799E-3</c:v>
                </c:pt>
                <c:pt idx="23">
                  <c:v>-3.1179780627097801E-3</c:v>
                </c:pt>
                <c:pt idx="24">
                  <c:v>-4.2163900696269296E-3</c:v>
                </c:pt>
                <c:pt idx="25">
                  <c:v>-5.3671523781630903E-3</c:v>
                </c:pt>
                <c:pt idx="26">
                  <c:v>-6.5459889833569696E-3</c:v>
                </c:pt>
                <c:pt idx="27">
                  <c:v>-7.7276739125419604E-3</c:v>
                </c:pt>
                <c:pt idx="28">
                  <c:v>-8.8876592762107201E-3</c:v>
                </c:pt>
                <c:pt idx="29">
                  <c:v>-1.0003625647993101E-2</c:v>
                </c:pt>
                <c:pt idx="30">
                  <c:v>-1.1062151544640301E-2</c:v>
                </c:pt>
                <c:pt idx="31">
                  <c:v>-1.2039503174107E-2</c:v>
                </c:pt>
                <c:pt idx="32">
                  <c:v>-1.2928627216452901E-2</c:v>
                </c:pt>
                <c:pt idx="33">
                  <c:v>-1.3728480481331899E-2</c:v>
                </c:pt>
                <c:pt idx="34">
                  <c:v>-1.45451681242404E-2</c:v>
                </c:pt>
                <c:pt idx="35">
                  <c:v>-1.51735432709472E-2</c:v>
                </c:pt>
                <c:pt idx="36">
                  <c:v>-1.5714345538872899E-2</c:v>
                </c:pt>
                <c:pt idx="37">
                  <c:v>-1.6098687669521598E-2</c:v>
                </c:pt>
                <c:pt idx="38">
                  <c:v>-1.65696535828747E-2</c:v>
                </c:pt>
                <c:pt idx="39">
                  <c:v>-1.68930601666176E-2</c:v>
                </c:pt>
                <c:pt idx="40">
                  <c:v>-1.7051971384516099E-2</c:v>
                </c:pt>
                <c:pt idx="41">
                  <c:v>-1.74221539434853E-2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B6-4FEB-8737-40A3E9654BB4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_markers!$C$2:$C$43</c:f>
              <c:numCache>
                <c:formatCode>General</c:formatCode>
                <c:ptCount val="42"/>
                <c:pt idx="27">
                  <c:v>2.0454293810469999E-2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B6-4FEB-8737-40A3E9654BB4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DATA!$B$44:$B$85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_markers!$D$2:$D$43</c:f>
              <c:numCache>
                <c:formatCode>General</c:formatCode>
                <c:ptCount val="42"/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B6-4FEB-8737-40A3E9654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3167120"/>
        <c:axId val="1543173360"/>
      </c:lineChart>
      <c:catAx>
        <c:axId val="154316712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173360"/>
        <c:crosses val="autoZero"/>
        <c:auto val="1"/>
        <c:lblAlgn val="ctr"/>
        <c:lblOffset val="100"/>
        <c:tickLblSkip val="1"/>
        <c:noMultiLvlLbl val="0"/>
      </c:catAx>
      <c:valAx>
        <c:axId val="154317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31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DATA!$M$86:$M$127</c:f>
              <c:numCache>
                <c:formatCode>General</c:formatCode>
                <c:ptCount val="42"/>
                <c:pt idx="0">
                  <c:v>5.9405845042913999E-3</c:v>
                </c:pt>
                <c:pt idx="1">
                  <c:v>6.5611437527426097E-3</c:v>
                </c:pt>
                <c:pt idx="2">
                  <c:v>7.0683305557522301E-3</c:v>
                </c:pt>
                <c:pt idx="3">
                  <c:v>7.5972373847707003E-3</c:v>
                </c:pt>
                <c:pt idx="4">
                  <c:v>8.1408401140626897E-3</c:v>
                </c:pt>
                <c:pt idx="5">
                  <c:v>8.7477294456564693E-3</c:v>
                </c:pt>
                <c:pt idx="6">
                  <c:v>9.4110622674247295E-3</c:v>
                </c:pt>
                <c:pt idx="7">
                  <c:v>1.0137566384891701E-2</c:v>
                </c:pt>
                <c:pt idx="8">
                  <c:v>1.09306154625945E-2</c:v>
                </c:pt>
                <c:pt idx="9">
                  <c:v>1.1789976589892E-2</c:v>
                </c:pt>
                <c:pt idx="10">
                  <c:v>1.2713343727852801E-2</c:v>
                </c:pt>
                <c:pt idx="11">
                  <c:v>1.36978977540365E-2</c:v>
                </c:pt>
                <c:pt idx="12">
                  <c:v>1.4740865762228401E-2</c:v>
                </c:pt>
                <c:pt idx="13">
                  <c:v>1.5839324907983499E-2</c:v>
                </c:pt>
                <c:pt idx="14">
                  <c:v>1.69881972710621E-2</c:v>
                </c:pt>
                <c:pt idx="15">
                  <c:v>1.8194724910096299E-2</c:v>
                </c:pt>
                <c:pt idx="16">
                  <c:v>1.9416568931369501E-2</c:v>
                </c:pt>
                <c:pt idx="17">
                  <c:v>2.0669847760233801E-2</c:v>
                </c:pt>
                <c:pt idx="18">
                  <c:v>2.1924298410480499E-2</c:v>
                </c:pt>
                <c:pt idx="19">
                  <c:v>2.3159105697474799E-2</c:v>
                </c:pt>
                <c:pt idx="20">
                  <c:v>2.43442667099068E-2</c:v>
                </c:pt>
                <c:pt idx="21">
                  <c:v>2.54507971185341E-2</c:v>
                </c:pt>
                <c:pt idx="22">
                  <c:v>2.6566216528915599E-2</c:v>
                </c:pt>
                <c:pt idx="23">
                  <c:v>2.7417618630283299E-2</c:v>
                </c:pt>
                <c:pt idx="24">
                  <c:v>2.81072085851038E-2</c:v>
                </c:pt>
                <c:pt idx="25">
                  <c:v>2.86174883954033E-2</c:v>
                </c:pt>
                <c:pt idx="26">
                  <c:v>2.8937650432017199E-2</c:v>
                </c:pt>
                <c:pt idx="27">
                  <c:v>2.90612012948008E-2</c:v>
                </c:pt>
                <c:pt idx="28">
                  <c:v>2.8994831206348499E-2</c:v>
                </c:pt>
                <c:pt idx="29">
                  <c:v>2.8746445871219901E-2</c:v>
                </c:pt>
                <c:pt idx="30">
                  <c:v>2.8343696915760601E-2</c:v>
                </c:pt>
                <c:pt idx="31">
                  <c:v>2.7804895693684901E-2</c:v>
                </c:pt>
                <c:pt idx="32">
                  <c:v>2.6999769447761699E-2</c:v>
                </c:pt>
                <c:pt idx="33">
                  <c:v>2.62572147257467E-2</c:v>
                </c:pt>
                <c:pt idx="34">
                  <c:v>2.5453369801534498E-2</c:v>
                </c:pt>
                <c:pt idx="35">
                  <c:v>2.46110851927719E-2</c:v>
                </c:pt>
                <c:pt idx="36">
                  <c:v>2.37499405083774E-2</c:v>
                </c:pt>
                <c:pt idx="37">
                  <c:v>2.2752659385363399E-2</c:v>
                </c:pt>
                <c:pt idx="38">
                  <c:v>2.1870529327869901E-2</c:v>
                </c:pt>
                <c:pt idx="39">
                  <c:v>2.11879263823763E-2</c:v>
                </c:pt>
                <c:pt idx="40">
                  <c:v>2.05310695052053E-2</c:v>
                </c:pt>
                <c:pt idx="41">
                  <c:v>2.0519134867827402E-2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93-408B-8F9F-0ED99B15936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DATA!$N$86:$N$127</c:f>
              <c:numCache>
                <c:formatCode>General</c:formatCode>
                <c:ptCount val="42"/>
                <c:pt idx="0">
                  <c:v>4.0081569801419898E-3</c:v>
                </c:pt>
                <c:pt idx="1">
                  <c:v>4.3696628431891503E-3</c:v>
                </c:pt>
                <c:pt idx="2">
                  <c:v>4.6564413614048096E-3</c:v>
                </c:pt>
                <c:pt idx="3">
                  <c:v>4.9348390095358702E-3</c:v>
                </c:pt>
                <c:pt idx="4">
                  <c:v>5.2245580278587203E-3</c:v>
                </c:pt>
                <c:pt idx="5">
                  <c:v>5.5227196591726901E-3</c:v>
                </c:pt>
                <c:pt idx="6">
                  <c:v>5.8174575190582797E-3</c:v>
                </c:pt>
                <c:pt idx="7">
                  <c:v>6.0897538142250301E-3</c:v>
                </c:pt>
                <c:pt idx="8">
                  <c:v>6.3287478090603196E-3</c:v>
                </c:pt>
                <c:pt idx="9">
                  <c:v>6.5206459400685502E-3</c:v>
                </c:pt>
                <c:pt idx="10">
                  <c:v>6.6541103035007796E-3</c:v>
                </c:pt>
                <c:pt idx="11">
                  <c:v>6.7199033583256497E-3</c:v>
                </c:pt>
                <c:pt idx="12">
                  <c:v>6.7098905693235098E-3</c:v>
                </c:pt>
                <c:pt idx="13">
                  <c:v>6.6160760973417703E-3</c:v>
                </c:pt>
                <c:pt idx="14">
                  <c:v>6.5420404335685602E-3</c:v>
                </c:pt>
                <c:pt idx="15">
                  <c:v>6.2736835272490599E-3</c:v>
                </c:pt>
                <c:pt idx="16">
                  <c:v>5.7326116166995502E-3</c:v>
                </c:pt>
                <c:pt idx="17">
                  <c:v>5.1967265861278299E-3</c:v>
                </c:pt>
                <c:pt idx="18">
                  <c:v>4.5225841616950598E-3</c:v>
                </c:pt>
                <c:pt idx="19">
                  <c:v>3.6947002062151599E-3</c:v>
                </c:pt>
                <c:pt idx="20">
                  <c:v>2.71193900419698E-3</c:v>
                </c:pt>
                <c:pt idx="21">
                  <c:v>1.57430855439729E-3</c:v>
                </c:pt>
                <c:pt idx="22">
                  <c:v>2.12938796414887E-4</c:v>
                </c:pt>
                <c:pt idx="23">
                  <c:v>-1.20009747253786E-3</c:v>
                </c:pt>
                <c:pt idx="24">
                  <c:v>-2.72279450935423E-3</c:v>
                </c:pt>
                <c:pt idx="25">
                  <c:v>-4.32595196802217E-3</c:v>
                </c:pt>
                <c:pt idx="26">
                  <c:v>-5.9756936957846597E-3</c:v>
                </c:pt>
                <c:pt idx="27">
                  <c:v>-7.6460191183703001E-3</c:v>
                </c:pt>
                <c:pt idx="28">
                  <c:v>-9.2826225853229905E-3</c:v>
                </c:pt>
                <c:pt idx="29">
                  <c:v>-1.0866484611939099E-2</c:v>
                </c:pt>
                <c:pt idx="30">
                  <c:v>-1.2363864937767101E-2</c:v>
                </c:pt>
                <c:pt idx="31">
                  <c:v>-1.37574238471428E-2</c:v>
                </c:pt>
                <c:pt idx="32">
                  <c:v>-1.49534165484376E-2</c:v>
                </c:pt>
                <c:pt idx="33">
                  <c:v>-1.6093552979433101E-2</c:v>
                </c:pt>
                <c:pt idx="34">
                  <c:v>-1.7106637880866998E-2</c:v>
                </c:pt>
                <c:pt idx="35">
                  <c:v>-1.7995357694516802E-2</c:v>
                </c:pt>
                <c:pt idx="36">
                  <c:v>-1.87656384598003E-2</c:v>
                </c:pt>
                <c:pt idx="37">
                  <c:v>-1.94505628490244E-2</c:v>
                </c:pt>
                <c:pt idx="38">
                  <c:v>-2.00577127121302E-2</c:v>
                </c:pt>
                <c:pt idx="39">
                  <c:v>-2.0453897970229899E-2</c:v>
                </c:pt>
                <c:pt idx="40">
                  <c:v>-2.0937083986770501E-2</c:v>
                </c:pt>
                <c:pt idx="41">
                  <c:v>-2.1456226045227199E-2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93-408B-8F9F-0ED99B15936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_markers!$E$2:$E$43</c:f>
              <c:numCache>
                <c:formatCode>General</c:formatCode>
                <c:ptCount val="42"/>
                <c:pt idx="27">
                  <c:v>2.90612012948008E-2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93-408B-8F9F-0ED99B15936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DATA!$B$86:$B$127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_markers!$F$2:$F$43</c:f>
              <c:numCache>
                <c:formatCode>General</c:formatCode>
                <c:ptCount val="42"/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93-408B-8F9F-0ED99B159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953312"/>
        <c:axId val="1684954752"/>
      </c:lineChart>
      <c:catAx>
        <c:axId val="16849533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54752"/>
        <c:crosses val="autoZero"/>
        <c:auto val="1"/>
        <c:lblAlgn val="ctr"/>
        <c:lblOffset val="100"/>
        <c:tickLblSkip val="1"/>
        <c:noMultiLvlLbl val="0"/>
      </c:catAx>
      <c:valAx>
        <c:axId val="168495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5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1.0125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DATA!$M$128:$M$169</c:f>
              <c:numCache>
                <c:formatCode>General</c:formatCode>
                <c:ptCount val="42"/>
                <c:pt idx="0">
                  <c:v>8.0962705618952604E-3</c:v>
                </c:pt>
                <c:pt idx="1">
                  <c:v>8.5829471413624899E-3</c:v>
                </c:pt>
                <c:pt idx="2">
                  <c:v>9.3885578793843107E-3</c:v>
                </c:pt>
                <c:pt idx="3">
                  <c:v>1.00739057393428E-2</c:v>
                </c:pt>
                <c:pt idx="4">
                  <c:v>1.0817777456430399E-2</c:v>
                </c:pt>
                <c:pt idx="5">
                  <c:v>1.16242193628452E-2</c:v>
                </c:pt>
                <c:pt idx="6">
                  <c:v>1.2497511123907901E-2</c:v>
                </c:pt>
                <c:pt idx="7">
                  <c:v>1.34420981215338E-2</c:v>
                </c:pt>
                <c:pt idx="8">
                  <c:v>1.4462362384619299E-2</c:v>
                </c:pt>
                <c:pt idx="9">
                  <c:v>1.55623371645561E-2</c:v>
                </c:pt>
                <c:pt idx="10">
                  <c:v>1.67453528784757E-2</c:v>
                </c:pt>
                <c:pt idx="11">
                  <c:v>1.80135864691384E-2</c:v>
                </c:pt>
                <c:pt idx="12">
                  <c:v>1.9367396508003301E-2</c:v>
                </c:pt>
                <c:pt idx="13">
                  <c:v>2.0804473772927799E-2</c:v>
                </c:pt>
                <c:pt idx="14">
                  <c:v>2.2318899433079999E-2</c:v>
                </c:pt>
                <c:pt idx="15">
                  <c:v>2.3900366756786799E-2</c:v>
                </c:pt>
                <c:pt idx="16">
                  <c:v>2.55338856333116E-2</c:v>
                </c:pt>
                <c:pt idx="17">
                  <c:v>2.72001737268254E-2</c:v>
                </c:pt>
                <c:pt idx="18">
                  <c:v>2.8851398618245799E-2</c:v>
                </c:pt>
                <c:pt idx="19">
                  <c:v>3.05055430889511E-2</c:v>
                </c:pt>
                <c:pt idx="20">
                  <c:v>3.2106314492083003E-2</c:v>
                </c:pt>
                <c:pt idx="21">
                  <c:v>3.3616582475137297E-2</c:v>
                </c:pt>
                <c:pt idx="22">
                  <c:v>3.49907141911504E-2</c:v>
                </c:pt>
                <c:pt idx="23">
                  <c:v>3.61848048152675E-2</c:v>
                </c:pt>
                <c:pt idx="24">
                  <c:v>3.7183082004210798E-2</c:v>
                </c:pt>
                <c:pt idx="25">
                  <c:v>3.7945940963165697E-2</c:v>
                </c:pt>
                <c:pt idx="26">
                  <c:v>3.8456448103050503E-2</c:v>
                </c:pt>
                <c:pt idx="27">
                  <c:v>3.8705949019210699E-2</c:v>
                </c:pt>
                <c:pt idx="28">
                  <c:v>3.8697444837531E-2</c:v>
                </c:pt>
                <c:pt idx="29">
                  <c:v>3.8277662161454798E-2</c:v>
                </c:pt>
                <c:pt idx="30">
                  <c:v>3.7801310892173902E-2</c:v>
                </c:pt>
                <c:pt idx="31">
                  <c:v>3.7134327117818902E-2</c:v>
                </c:pt>
                <c:pt idx="32">
                  <c:v>3.6325539796760203E-2</c:v>
                </c:pt>
                <c:pt idx="33">
                  <c:v>3.53780297881423E-2</c:v>
                </c:pt>
                <c:pt idx="34">
                  <c:v>3.4390034666222397E-2</c:v>
                </c:pt>
                <c:pt idx="35">
                  <c:v>3.3296672315403598E-2</c:v>
                </c:pt>
                <c:pt idx="36">
                  <c:v>3.2195013823539002E-2</c:v>
                </c:pt>
                <c:pt idx="37">
                  <c:v>3.1086279422670102E-2</c:v>
                </c:pt>
                <c:pt idx="38">
                  <c:v>2.9841441355174001E-2</c:v>
                </c:pt>
                <c:pt idx="39">
                  <c:v>2.8749853270683901E-2</c:v>
                </c:pt>
                <c:pt idx="40">
                  <c:v>2.7682474825257899E-2</c:v>
                </c:pt>
                <c:pt idx="41">
                  <c:v>2.7428733652064701E-2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5E-4252-AACA-5086E40C353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DATA!$N$128:$N$169</c:f>
              <c:numCache>
                <c:formatCode>General</c:formatCode>
                <c:ptCount val="42"/>
                <c:pt idx="0">
                  <c:v>7.8849861403666593E-3</c:v>
                </c:pt>
                <c:pt idx="1">
                  <c:v>8.3951070626407803E-3</c:v>
                </c:pt>
                <c:pt idx="2">
                  <c:v>8.85081599403598E-3</c:v>
                </c:pt>
                <c:pt idx="3">
                  <c:v>9.2518162090725001E-3</c:v>
                </c:pt>
                <c:pt idx="4">
                  <c:v>9.6436462434429208E-3</c:v>
                </c:pt>
                <c:pt idx="5">
                  <c:v>1.0023265082534301E-2</c:v>
                </c:pt>
                <c:pt idx="6">
                  <c:v>1.03849834814949E-2</c:v>
                </c:pt>
                <c:pt idx="7">
                  <c:v>1.07214806936903E-2</c:v>
                </c:pt>
                <c:pt idx="8">
                  <c:v>1.1023905487532799E-2</c:v>
                </c:pt>
                <c:pt idx="9">
                  <c:v>1.12817482280862E-2</c:v>
                </c:pt>
                <c:pt idx="10">
                  <c:v>1.1482694641405901E-2</c:v>
                </c:pt>
                <c:pt idx="11">
                  <c:v>1.1612536325980799E-2</c:v>
                </c:pt>
                <c:pt idx="12">
                  <c:v>1.16552033122704E-2</c:v>
                </c:pt>
                <c:pt idx="13">
                  <c:v>1.15930023067793E-2</c:v>
                </c:pt>
                <c:pt idx="14">
                  <c:v>1.1407130224446499E-2</c:v>
                </c:pt>
                <c:pt idx="15">
                  <c:v>1.10786196836611E-2</c:v>
                </c:pt>
                <c:pt idx="16">
                  <c:v>1.0589778204106601E-2</c:v>
                </c:pt>
                <c:pt idx="17">
                  <c:v>9.9254722794574306E-3</c:v>
                </c:pt>
                <c:pt idx="18">
                  <c:v>9.0631264778797491E-3</c:v>
                </c:pt>
                <c:pt idx="19">
                  <c:v>8.0113250915466293E-3</c:v>
                </c:pt>
                <c:pt idx="20">
                  <c:v>6.7542660748935203E-3</c:v>
                </c:pt>
                <c:pt idx="21">
                  <c:v>5.2886987347605099E-3</c:v>
                </c:pt>
                <c:pt idx="22">
                  <c:v>3.62019140362441E-3</c:v>
                </c:pt>
                <c:pt idx="23">
                  <c:v>1.7638513577270399E-3</c:v>
                </c:pt>
                <c:pt idx="24">
                  <c:v>-2.38053412929319E-4</c:v>
                </c:pt>
                <c:pt idx="25">
                  <c:v>-2.3541399354299899E-3</c:v>
                </c:pt>
                <c:pt idx="26">
                  <c:v>-4.5430601281353797E-3</c:v>
                </c:pt>
                <c:pt idx="27">
                  <c:v>-6.7579574031560296E-3</c:v>
                </c:pt>
                <c:pt idx="28">
                  <c:v>-8.9529806808773902E-3</c:v>
                </c:pt>
                <c:pt idx="29">
                  <c:v>-1.0998077792026601E-2</c:v>
                </c:pt>
                <c:pt idx="30">
                  <c:v>-1.3045667656039201E-2</c:v>
                </c:pt>
                <c:pt idx="31">
                  <c:v>-1.49620934769416E-2</c:v>
                </c:pt>
                <c:pt idx="32">
                  <c:v>-1.6730197803458802E-2</c:v>
                </c:pt>
                <c:pt idx="33">
                  <c:v>-1.8333194765706801E-2</c:v>
                </c:pt>
                <c:pt idx="34">
                  <c:v>-1.9761558431057299E-2</c:v>
                </c:pt>
                <c:pt idx="35">
                  <c:v>-2.1031735826008899E-2</c:v>
                </c:pt>
                <c:pt idx="36">
                  <c:v>-2.2206653428394899E-2</c:v>
                </c:pt>
                <c:pt idx="37">
                  <c:v>-2.31787268667039E-2</c:v>
                </c:pt>
                <c:pt idx="38">
                  <c:v>-2.39189833243879E-2</c:v>
                </c:pt>
                <c:pt idx="39">
                  <c:v>-2.45818168816558E-2</c:v>
                </c:pt>
                <c:pt idx="40">
                  <c:v>-2.5132215297045801E-2</c:v>
                </c:pt>
                <c:pt idx="41">
                  <c:v>-2.59074304743694E-2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5E-4252-AACA-5086E40C353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_markers!$G$2:$G$43</c:f>
              <c:numCache>
                <c:formatCode>General</c:formatCode>
                <c:ptCount val="42"/>
                <c:pt idx="27">
                  <c:v>3.8705949019210699E-2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5E-4252-AACA-5086E40C3531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DATA!$B$128:$B$169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_markers!$H$2:$H$43</c:f>
              <c:numCache>
                <c:formatCode>General</c:formatCode>
                <c:ptCount val="42"/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65E-4252-AACA-5086E40C3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969632"/>
        <c:axId val="1684964352"/>
      </c:lineChart>
      <c:catAx>
        <c:axId val="168496963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64352"/>
        <c:crosses val="autoZero"/>
        <c:auto val="1"/>
        <c:lblAlgn val="ctr"/>
        <c:lblOffset val="100"/>
        <c:tickLblSkip val="1"/>
        <c:noMultiLvlLbl val="0"/>
      </c:catAx>
      <c:valAx>
        <c:axId val="16849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6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1.15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DATA!$M$170:$M$211</c:f>
              <c:numCache>
                <c:formatCode>General</c:formatCode>
                <c:ptCount val="42"/>
                <c:pt idx="0">
                  <c:v>1.02548377661822E-2</c:v>
                </c:pt>
                <c:pt idx="1">
                  <c:v>1.09863013169738E-2</c:v>
                </c:pt>
                <c:pt idx="2">
                  <c:v>1.18158527987718E-2</c:v>
                </c:pt>
                <c:pt idx="3">
                  <c:v>1.27111539220958E-2</c:v>
                </c:pt>
                <c:pt idx="4">
                  <c:v>1.36799770231522E-2</c:v>
                </c:pt>
                <c:pt idx="5">
                  <c:v>1.4728769463927699E-2</c:v>
                </c:pt>
                <c:pt idx="6">
                  <c:v>1.5864200401690998E-2</c:v>
                </c:pt>
                <c:pt idx="7">
                  <c:v>1.7093003407213599E-2</c:v>
                </c:pt>
                <c:pt idx="8">
                  <c:v>1.84216706472339E-2</c:v>
                </c:pt>
                <c:pt idx="9">
                  <c:v>1.9855976822174298E-2</c:v>
                </c:pt>
                <c:pt idx="10">
                  <c:v>2.1400057174083002E-2</c:v>
                </c:pt>
                <c:pt idx="11">
                  <c:v>2.3054927363243601E-2</c:v>
                </c:pt>
                <c:pt idx="12">
                  <c:v>2.4565384957229999E-2</c:v>
                </c:pt>
                <c:pt idx="13">
                  <c:v>2.6420438081261401E-2</c:v>
                </c:pt>
                <c:pt idx="14">
                  <c:v>2.8373063204494099E-2</c:v>
                </c:pt>
                <c:pt idx="15">
                  <c:v>3.0409314902016201E-2</c:v>
                </c:pt>
                <c:pt idx="16">
                  <c:v>3.2510985812176402E-2</c:v>
                </c:pt>
                <c:pt idx="17">
                  <c:v>3.4655870068433701E-2</c:v>
                </c:pt>
                <c:pt idx="18">
                  <c:v>3.6816221794831301E-2</c:v>
                </c:pt>
                <c:pt idx="19">
                  <c:v>3.89572765160019E-2</c:v>
                </c:pt>
                <c:pt idx="20">
                  <c:v>4.1037605864896999E-2</c:v>
                </c:pt>
                <c:pt idx="21">
                  <c:v>4.3010855938586501E-2</c:v>
                </c:pt>
                <c:pt idx="22">
                  <c:v>4.4828196220781297E-2</c:v>
                </c:pt>
                <c:pt idx="23">
                  <c:v>4.6440858412785203E-2</c:v>
                </c:pt>
                <c:pt idx="24">
                  <c:v>4.7920638720995903E-2</c:v>
                </c:pt>
                <c:pt idx="25">
                  <c:v>4.8815083189319597E-2</c:v>
                </c:pt>
                <c:pt idx="26">
                  <c:v>4.9558329686112103E-2</c:v>
                </c:pt>
                <c:pt idx="27">
                  <c:v>4.9974567089200297E-2</c:v>
                </c:pt>
                <c:pt idx="28">
                  <c:v>5.0063177492946698E-2</c:v>
                </c:pt>
                <c:pt idx="29">
                  <c:v>4.9718222520866898E-2</c:v>
                </c:pt>
                <c:pt idx="30">
                  <c:v>4.9195808693847799E-2</c:v>
                </c:pt>
                <c:pt idx="31">
                  <c:v>4.84172066029325E-2</c:v>
                </c:pt>
                <c:pt idx="32">
                  <c:v>4.7408752875403498E-2</c:v>
                </c:pt>
                <c:pt idx="33">
                  <c:v>4.6236348630839301E-2</c:v>
                </c:pt>
                <c:pt idx="34">
                  <c:v>4.4896386525842498E-2</c:v>
                </c:pt>
                <c:pt idx="35">
                  <c:v>4.3514079105340102E-2</c:v>
                </c:pt>
                <c:pt idx="36">
                  <c:v>4.2057839597023097E-2</c:v>
                </c:pt>
                <c:pt idx="37">
                  <c:v>4.0567826182862199E-2</c:v>
                </c:pt>
                <c:pt idx="38">
                  <c:v>3.9090930942068502E-2</c:v>
                </c:pt>
                <c:pt idx="39">
                  <c:v>3.7643482313421801E-2</c:v>
                </c:pt>
                <c:pt idx="40">
                  <c:v>3.6204589402206798E-2</c:v>
                </c:pt>
                <c:pt idx="41">
                  <c:v>3.6503342853122699E-2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E-4A64-B75D-1CAAD9449D9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DATA!$N$170:$N$211</c:f>
              <c:numCache>
                <c:formatCode>General</c:formatCode>
                <c:ptCount val="42"/>
                <c:pt idx="0">
                  <c:v>1.2565531438311701E-2</c:v>
                </c:pt>
                <c:pt idx="1">
                  <c:v>1.31132375880066E-2</c:v>
                </c:pt>
                <c:pt idx="2">
                  <c:v>1.36521087097486E-2</c:v>
                </c:pt>
                <c:pt idx="3">
                  <c:v>1.4172040457378099E-2</c:v>
                </c:pt>
                <c:pt idx="4">
                  <c:v>1.46778507757817E-2</c:v>
                </c:pt>
                <c:pt idx="5">
                  <c:v>1.51663832508307E-2</c:v>
                </c:pt>
                <c:pt idx="6">
                  <c:v>1.5631369866507899E-2</c:v>
                </c:pt>
                <c:pt idx="7">
                  <c:v>1.606437850366E-2</c:v>
                </c:pt>
                <c:pt idx="8">
                  <c:v>1.6454883042683499E-2</c:v>
                </c:pt>
                <c:pt idx="9">
                  <c:v>1.6789935418644399E-2</c:v>
                </c:pt>
                <c:pt idx="10">
                  <c:v>1.70537341885936E-2</c:v>
                </c:pt>
                <c:pt idx="11">
                  <c:v>1.7227795094890499E-2</c:v>
                </c:pt>
                <c:pt idx="12">
                  <c:v>1.7183085701644799E-2</c:v>
                </c:pt>
                <c:pt idx="13">
                  <c:v>1.7135870264962199E-2</c:v>
                </c:pt>
                <c:pt idx="14">
                  <c:v>1.6939298185182899E-2</c:v>
                </c:pt>
                <c:pt idx="15">
                  <c:v>1.6570571022791102E-2</c:v>
                </c:pt>
                <c:pt idx="16">
                  <c:v>1.6006069907380901E-2</c:v>
                </c:pt>
                <c:pt idx="17">
                  <c:v>1.52215879697493E-2</c:v>
                </c:pt>
                <c:pt idx="18">
                  <c:v>1.4194217970676701E-2</c:v>
                </c:pt>
                <c:pt idx="19">
                  <c:v>1.29054785929716E-2</c:v>
                </c:pt>
                <c:pt idx="20">
                  <c:v>1.13442676859065E-2</c:v>
                </c:pt>
                <c:pt idx="21">
                  <c:v>9.5091860409666391E-3</c:v>
                </c:pt>
                <c:pt idx="22">
                  <c:v>7.4104165808662097E-3</c:v>
                </c:pt>
                <c:pt idx="23">
                  <c:v>5.0709275282098797E-3</c:v>
                </c:pt>
                <c:pt idx="24">
                  <c:v>2.62970658375841E-3</c:v>
                </c:pt>
                <c:pt idx="25">
                  <c:v>-1.7827400257460499E-4</c:v>
                </c:pt>
                <c:pt idx="26">
                  <c:v>-2.9978500195085001E-3</c:v>
                </c:pt>
                <c:pt idx="27">
                  <c:v>-5.8655258017970497E-3</c:v>
                </c:pt>
                <c:pt idx="28">
                  <c:v>-8.7204024629147503E-3</c:v>
                </c:pt>
                <c:pt idx="29">
                  <c:v>-1.1453857864717599E-2</c:v>
                </c:pt>
                <c:pt idx="30">
                  <c:v>-1.41187492309364E-2</c:v>
                </c:pt>
                <c:pt idx="31">
                  <c:v>-1.6534327297365099E-2</c:v>
                </c:pt>
                <c:pt idx="32">
                  <c:v>-1.8931550376569E-2</c:v>
                </c:pt>
                <c:pt idx="33">
                  <c:v>-2.1055073761352801E-2</c:v>
                </c:pt>
                <c:pt idx="34">
                  <c:v>-2.29625260979445E-2</c:v>
                </c:pt>
                <c:pt idx="35">
                  <c:v>-2.4690647126305199E-2</c:v>
                </c:pt>
                <c:pt idx="36">
                  <c:v>-2.61614814280876E-2</c:v>
                </c:pt>
                <c:pt idx="37">
                  <c:v>-2.74017139191811E-2</c:v>
                </c:pt>
                <c:pt idx="38">
                  <c:v>-2.8504718810828601E-2</c:v>
                </c:pt>
                <c:pt idx="39">
                  <c:v>-2.94242459222116E-2</c:v>
                </c:pt>
                <c:pt idx="40">
                  <c:v>-3.0176301322036799E-2</c:v>
                </c:pt>
                <c:pt idx="41">
                  <c:v>-3.0574938797596402E-2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E-4A64-B75D-1CAAD9449D9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_markers!$I$2:$I$43</c:f>
              <c:numCache>
                <c:formatCode>General</c:formatCode>
                <c:ptCount val="42"/>
                <c:pt idx="28">
                  <c:v>5.0063177492946698E-2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EE-4A64-B75D-1CAAD9449D9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DATA!$B$170:$B$211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_markers!$J$2:$J$43</c:f>
              <c:numCache>
                <c:formatCode>General</c:formatCode>
                <c:ptCount val="42"/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EE-4A64-B75D-1CAAD9449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965792"/>
        <c:axId val="1684950912"/>
      </c:lineChart>
      <c:catAx>
        <c:axId val="16849657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50912"/>
        <c:crosses val="autoZero"/>
        <c:auto val="1"/>
        <c:lblAlgn val="ctr"/>
        <c:lblOffset val="100"/>
        <c:tickLblSkip val="1"/>
        <c:noMultiLvlLbl val="0"/>
      </c:catAx>
      <c:valAx>
        <c:axId val="168495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496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1.2875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DATA!$M$212:$M$253</c:f>
              <c:numCache>
                <c:formatCode>General</c:formatCode>
                <c:ptCount val="42"/>
                <c:pt idx="0">
                  <c:v>1.267717997481E-2</c:v>
                </c:pt>
                <c:pt idx="1">
                  <c:v>1.3544665072782101E-2</c:v>
                </c:pt>
                <c:pt idx="2">
                  <c:v>1.4525557653974E-2</c:v>
                </c:pt>
                <c:pt idx="3">
                  <c:v>1.5594764928320201E-2</c:v>
                </c:pt>
                <c:pt idx="4">
                  <c:v>1.6756949051495801E-2</c:v>
                </c:pt>
                <c:pt idx="5">
                  <c:v>1.8056716812098601E-2</c:v>
                </c:pt>
                <c:pt idx="6">
                  <c:v>1.9421423342187299E-2</c:v>
                </c:pt>
                <c:pt idx="7">
                  <c:v>2.0899771598158499E-2</c:v>
                </c:pt>
                <c:pt idx="8">
                  <c:v>2.2498562655575101E-2</c:v>
                </c:pt>
                <c:pt idx="9">
                  <c:v>2.42241435335903E-2</c:v>
                </c:pt>
                <c:pt idx="10">
                  <c:v>2.6081788049914099E-2</c:v>
                </c:pt>
                <c:pt idx="11">
                  <c:v>2.8075052506143901E-2</c:v>
                </c:pt>
                <c:pt idx="12">
                  <c:v>3.0204869290970399E-2</c:v>
                </c:pt>
                <c:pt idx="13">
                  <c:v>3.2468603112021301E-2</c:v>
                </c:pt>
                <c:pt idx="14">
                  <c:v>3.4858918810697401E-2</c:v>
                </c:pt>
                <c:pt idx="15">
                  <c:v>3.7362763445099097E-2</c:v>
                </c:pt>
                <c:pt idx="16">
                  <c:v>3.9960342061535897E-2</c:v>
                </c:pt>
                <c:pt idx="17">
                  <c:v>4.2624203778380401E-2</c:v>
                </c:pt>
                <c:pt idx="18">
                  <c:v>4.5316274679992601E-2</c:v>
                </c:pt>
                <c:pt idx="19">
                  <c:v>4.79995968688487E-2</c:v>
                </c:pt>
                <c:pt idx="20">
                  <c:v>5.0613486389195897E-2</c:v>
                </c:pt>
                <c:pt idx="21">
                  <c:v>5.3105743991589099E-2</c:v>
                </c:pt>
                <c:pt idx="22">
                  <c:v>5.5415686142928099E-2</c:v>
                </c:pt>
                <c:pt idx="23">
                  <c:v>5.74792887877432E-2</c:v>
                </c:pt>
                <c:pt idx="24">
                  <c:v>5.9240720389976798E-2</c:v>
                </c:pt>
                <c:pt idx="25">
                  <c:v>6.0364483643875901E-2</c:v>
                </c:pt>
                <c:pt idx="26">
                  <c:v>6.1379340988696802E-2</c:v>
                </c:pt>
                <c:pt idx="27">
                  <c:v>6.1989742517940399E-2</c:v>
                </c:pt>
                <c:pt idx="28">
                  <c:v>6.2191274444438401E-2</c:v>
                </c:pt>
                <c:pt idx="29">
                  <c:v>6.1998018079438201E-2</c:v>
                </c:pt>
                <c:pt idx="30">
                  <c:v>6.1438665945644802E-2</c:v>
                </c:pt>
                <c:pt idx="31">
                  <c:v>6.0553233601858603E-2</c:v>
                </c:pt>
                <c:pt idx="32">
                  <c:v>5.9393654410996199E-2</c:v>
                </c:pt>
                <c:pt idx="33">
                  <c:v>5.8004365992551501E-2</c:v>
                </c:pt>
                <c:pt idx="34">
                  <c:v>5.6440416965813797E-2</c:v>
                </c:pt>
                <c:pt idx="35">
                  <c:v>5.4673127456823699E-2</c:v>
                </c:pt>
                <c:pt idx="36">
                  <c:v>5.29734813112301E-2</c:v>
                </c:pt>
                <c:pt idx="37">
                  <c:v>5.1214533950623899E-2</c:v>
                </c:pt>
                <c:pt idx="38">
                  <c:v>4.94319237774999E-2</c:v>
                </c:pt>
                <c:pt idx="39">
                  <c:v>4.7558924149292497E-2</c:v>
                </c:pt>
                <c:pt idx="40">
                  <c:v>4.5877389818028601E-2</c:v>
                </c:pt>
                <c:pt idx="41">
                  <c:v>4.6247710310089798E-2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9C-45F7-AE56-0A08517024F9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DATA!$N$212:$N$253</c:f>
              <c:numCache>
                <c:formatCode>General</c:formatCode>
                <c:ptCount val="42"/>
                <c:pt idx="0">
                  <c:v>1.7278102175270701E-2</c:v>
                </c:pt>
                <c:pt idx="1">
                  <c:v>1.7930639575994899E-2</c:v>
                </c:pt>
                <c:pt idx="2">
                  <c:v>1.8587393935862499E-2</c:v>
                </c:pt>
                <c:pt idx="3">
                  <c:v>1.9232049497797301E-2</c:v>
                </c:pt>
                <c:pt idx="4">
                  <c:v>1.9866166760703501E-2</c:v>
                </c:pt>
                <c:pt idx="5">
                  <c:v>2.05379743714308E-2</c:v>
                </c:pt>
                <c:pt idx="6">
                  <c:v>2.1132525235006701E-2</c:v>
                </c:pt>
                <c:pt idx="7">
                  <c:v>2.16917221941831E-2</c:v>
                </c:pt>
                <c:pt idx="8">
                  <c:v>2.2202849067766001E-2</c:v>
                </c:pt>
                <c:pt idx="9">
                  <c:v>2.26508105715999E-2</c:v>
                </c:pt>
                <c:pt idx="10">
                  <c:v>2.30178971651754E-2</c:v>
                </c:pt>
                <c:pt idx="11">
                  <c:v>2.32835845521863E-2</c:v>
                </c:pt>
                <c:pt idx="12">
                  <c:v>2.3424458883382699E-2</c:v>
                </c:pt>
                <c:pt idx="13">
                  <c:v>2.3414345365415E-2</c:v>
                </c:pt>
                <c:pt idx="14">
                  <c:v>2.3224699948818699E-2</c:v>
                </c:pt>
                <c:pt idx="15">
                  <c:v>2.2825308920201501E-2</c:v>
                </c:pt>
                <c:pt idx="16">
                  <c:v>2.2185352070293301E-2</c:v>
                </c:pt>
                <c:pt idx="17">
                  <c:v>2.12749006387579E-2</c:v>
                </c:pt>
                <c:pt idx="18">
                  <c:v>2.0067178945973201E-2</c:v>
                </c:pt>
                <c:pt idx="19">
                  <c:v>1.8538190923660498E-2</c:v>
                </c:pt>
                <c:pt idx="20">
                  <c:v>1.6678607350305401E-2</c:v>
                </c:pt>
                <c:pt idx="21">
                  <c:v>1.4480514810129E-2</c:v>
                </c:pt>
                <c:pt idx="22">
                  <c:v>1.1953087786014199E-2</c:v>
                </c:pt>
                <c:pt idx="23">
                  <c:v>9.1224940410245502E-3</c:v>
                </c:pt>
                <c:pt idx="24">
                  <c:v>6.0263011898336501E-3</c:v>
                </c:pt>
                <c:pt idx="25">
                  <c:v>2.7121918283476302E-3</c:v>
                </c:pt>
                <c:pt idx="26">
                  <c:v>-7.3163124549695496E-4</c:v>
                </c:pt>
                <c:pt idx="27">
                  <c:v>-4.2592151430708904E-3</c:v>
                </c:pt>
                <c:pt idx="28">
                  <c:v>-7.7921155984327101E-3</c:v>
                </c:pt>
                <c:pt idx="29">
                  <c:v>-1.1258523027365399E-2</c:v>
                </c:pt>
                <c:pt idx="30">
                  <c:v>-1.4600226254436599E-2</c:v>
                </c:pt>
                <c:pt idx="31">
                  <c:v>-1.7762943544728699E-2</c:v>
                </c:pt>
                <c:pt idx="32">
                  <c:v>-2.0699689760966301E-2</c:v>
                </c:pt>
                <c:pt idx="33">
                  <c:v>-2.3396249881411299E-2</c:v>
                </c:pt>
                <c:pt idx="34">
                  <c:v>-2.5830621555544199E-2</c:v>
                </c:pt>
                <c:pt idx="35">
                  <c:v>-2.8064344772752499E-2</c:v>
                </c:pt>
                <c:pt idx="36">
                  <c:v>-2.9933466073759098E-2</c:v>
                </c:pt>
                <c:pt idx="37">
                  <c:v>-3.1574619591721503E-2</c:v>
                </c:pt>
                <c:pt idx="38">
                  <c:v>-3.3032873044396602E-2</c:v>
                </c:pt>
                <c:pt idx="39">
                  <c:v>-3.4226493629521397E-2</c:v>
                </c:pt>
                <c:pt idx="40">
                  <c:v>-3.5216236532383198E-2</c:v>
                </c:pt>
                <c:pt idx="41">
                  <c:v>-3.6251102416756803E-2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9C-45F7-AE56-0A08517024F9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_markers!$K$2:$K$43</c:f>
              <c:numCache>
                <c:formatCode>General</c:formatCode>
                <c:ptCount val="42"/>
                <c:pt idx="28">
                  <c:v>6.2191274444438401E-2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9C-45F7-AE56-0A08517024F9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DATA!$B$212:$B$253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_markers!$L$2:$L$43</c:f>
              <c:numCache>
                <c:formatCode>General</c:formatCode>
                <c:ptCount val="42"/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9C-45F7-AE56-0A0851702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576751"/>
        <c:axId val="169574351"/>
      </c:lineChart>
      <c:catAx>
        <c:axId val="169576751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74351"/>
        <c:crosses val="autoZero"/>
        <c:auto val="1"/>
        <c:lblAlgn val="ctr"/>
        <c:lblOffset val="100"/>
        <c:tickLblSkip val="1"/>
        <c:noMultiLvlLbl val="0"/>
      </c:catAx>
      <c:valAx>
        <c:axId val="16957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76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1.425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DATA!$M$254:$M$295</c:f>
              <c:numCache>
                <c:formatCode>General</c:formatCode>
                <c:ptCount val="42"/>
                <c:pt idx="0">
                  <c:v>1.52002670613021E-2</c:v>
                </c:pt>
                <c:pt idx="1">
                  <c:v>1.6243061054235699E-2</c:v>
                </c:pt>
                <c:pt idx="2">
                  <c:v>1.7454182607036999E-2</c:v>
                </c:pt>
                <c:pt idx="3">
                  <c:v>1.8712831942070698E-2</c:v>
                </c:pt>
                <c:pt idx="4">
                  <c:v>2.0080751290364102E-2</c:v>
                </c:pt>
                <c:pt idx="5">
                  <c:v>2.15788686225366E-2</c:v>
                </c:pt>
                <c:pt idx="6">
                  <c:v>2.3264463178413099E-2</c:v>
                </c:pt>
                <c:pt idx="7">
                  <c:v>2.5120048551660501E-2</c:v>
                </c:pt>
                <c:pt idx="8">
                  <c:v>2.7100141314644399E-2</c:v>
                </c:pt>
                <c:pt idx="9">
                  <c:v>2.9020089710324E-2</c:v>
                </c:pt>
                <c:pt idx="10">
                  <c:v>3.1234470499465601E-2</c:v>
                </c:pt>
                <c:pt idx="11">
                  <c:v>3.3623748933086298E-2</c:v>
                </c:pt>
                <c:pt idx="12">
                  <c:v>3.6178035836308499E-2</c:v>
                </c:pt>
                <c:pt idx="13">
                  <c:v>3.88932897119331E-2</c:v>
                </c:pt>
                <c:pt idx="14">
                  <c:v>4.1764854018651799E-2</c:v>
                </c:pt>
                <c:pt idx="15">
                  <c:v>4.47761420520826E-2</c:v>
                </c:pt>
                <c:pt idx="16">
                  <c:v>4.7905618458678703E-2</c:v>
                </c:pt>
                <c:pt idx="17">
                  <c:v>5.1123519068998098E-2</c:v>
                </c:pt>
                <c:pt idx="18">
                  <c:v>5.43898538406229E-2</c:v>
                </c:pt>
                <c:pt idx="19">
                  <c:v>5.7653697084616901E-2</c:v>
                </c:pt>
                <c:pt idx="20">
                  <c:v>6.0857709274573998E-2</c:v>
                </c:pt>
                <c:pt idx="21">
                  <c:v>6.3931888966645298E-2</c:v>
                </c:pt>
                <c:pt idx="22">
                  <c:v>6.6803455272407497E-2</c:v>
                </c:pt>
                <c:pt idx="23">
                  <c:v>6.9398134839623205E-2</c:v>
                </c:pt>
                <c:pt idx="24">
                  <c:v>7.1645283805140597E-2</c:v>
                </c:pt>
                <c:pt idx="25">
                  <c:v>7.3487994264253897E-2</c:v>
                </c:pt>
                <c:pt idx="26">
                  <c:v>7.4868657475721898E-2</c:v>
                </c:pt>
                <c:pt idx="27">
                  <c:v>7.5761608125184801E-2</c:v>
                </c:pt>
                <c:pt idx="28">
                  <c:v>7.6159202981273696E-2</c:v>
                </c:pt>
                <c:pt idx="29">
                  <c:v>7.6071657080433897E-2</c:v>
                </c:pt>
                <c:pt idx="30">
                  <c:v>7.5476651697347796E-2</c:v>
                </c:pt>
                <c:pt idx="31">
                  <c:v>7.4520780565083905E-2</c:v>
                </c:pt>
                <c:pt idx="32">
                  <c:v>7.3206208030424699E-2</c:v>
                </c:pt>
                <c:pt idx="33">
                  <c:v>7.1596171144629697E-2</c:v>
                </c:pt>
                <c:pt idx="34">
                  <c:v>6.9754355675156504E-2</c:v>
                </c:pt>
                <c:pt idx="35">
                  <c:v>6.7742911900086397E-2</c:v>
                </c:pt>
                <c:pt idx="36">
                  <c:v>6.5628412614730805E-2</c:v>
                </c:pt>
                <c:pt idx="37">
                  <c:v>6.3418156539598897E-2</c:v>
                </c:pt>
                <c:pt idx="38">
                  <c:v>6.1241991959317503E-2</c:v>
                </c:pt>
                <c:pt idx="39">
                  <c:v>5.9136137319648299E-2</c:v>
                </c:pt>
                <c:pt idx="40">
                  <c:v>5.6998311514972699E-2</c:v>
                </c:pt>
                <c:pt idx="41">
                  <c:v>5.7412532738590899E-2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11-4262-B114-C91F8CE83E1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DATA!$N$254:$N$295</c:f>
              <c:numCache>
                <c:formatCode>General</c:formatCode>
                <c:ptCount val="42"/>
                <c:pt idx="0">
                  <c:v>2.28399667549977E-2</c:v>
                </c:pt>
                <c:pt idx="1">
                  <c:v>2.3549329012041102E-2</c:v>
                </c:pt>
                <c:pt idx="2">
                  <c:v>2.4414007680815902E-2</c:v>
                </c:pt>
                <c:pt idx="3">
                  <c:v>2.5175427189995301E-2</c:v>
                </c:pt>
                <c:pt idx="4">
                  <c:v>2.59094264706889E-2</c:v>
                </c:pt>
                <c:pt idx="5">
                  <c:v>2.6566094697306902E-2</c:v>
                </c:pt>
                <c:pt idx="6">
                  <c:v>2.7242072141751901E-2</c:v>
                </c:pt>
                <c:pt idx="7">
                  <c:v>2.7893896257307399E-2</c:v>
                </c:pt>
                <c:pt idx="8">
                  <c:v>2.8534203532367599E-2</c:v>
                </c:pt>
                <c:pt idx="9">
                  <c:v>2.9216907733603002E-2</c:v>
                </c:pt>
                <c:pt idx="10">
                  <c:v>2.9690822409314501E-2</c:v>
                </c:pt>
                <c:pt idx="11">
                  <c:v>3.0043441280714601E-2</c:v>
                </c:pt>
                <c:pt idx="12">
                  <c:v>3.0250013265673701E-2</c:v>
                </c:pt>
                <c:pt idx="13">
                  <c:v>3.02818173272923E-2</c:v>
                </c:pt>
                <c:pt idx="14">
                  <c:v>3.0105006766146601E-2</c:v>
                </c:pt>
                <c:pt idx="15">
                  <c:v>2.9684410489816099E-2</c:v>
                </c:pt>
                <c:pt idx="16">
                  <c:v>2.8983139553048001E-2</c:v>
                </c:pt>
                <c:pt idx="17">
                  <c:v>2.7964513956122102E-2</c:v>
                </c:pt>
                <c:pt idx="18">
                  <c:v>2.6594626335301599E-2</c:v>
                </c:pt>
                <c:pt idx="19">
                  <c:v>2.4845830115111201E-2</c:v>
                </c:pt>
                <c:pt idx="20">
                  <c:v>2.2695884910836E-2</c:v>
                </c:pt>
                <c:pt idx="21">
                  <c:v>2.0138374469942499E-2</c:v>
                </c:pt>
                <c:pt idx="22">
                  <c:v>1.7179793406887599E-2</c:v>
                </c:pt>
                <c:pt idx="23">
                  <c:v>1.3843718893504799E-2</c:v>
                </c:pt>
                <c:pt idx="24">
                  <c:v>1.01715771291685E-2</c:v>
                </c:pt>
                <c:pt idx="25">
                  <c:v>6.2094006657871697E-3</c:v>
                </c:pt>
                <c:pt idx="26">
                  <c:v>2.0517981013466299E-3</c:v>
                </c:pt>
                <c:pt idx="27">
                  <c:v>-2.21442312980285E-3</c:v>
                </c:pt>
                <c:pt idx="28">
                  <c:v>-6.5250923757552296E-3</c:v>
                </c:pt>
                <c:pt idx="29">
                  <c:v>-1.07811719444291E-2</c:v>
                </c:pt>
                <c:pt idx="30">
                  <c:v>-1.48135718683703E-2</c:v>
                </c:pt>
                <c:pt idx="31">
                  <c:v>-1.87564267186585E-2</c:v>
                </c:pt>
                <c:pt idx="32">
                  <c:v>-2.24365721176106E-2</c:v>
                </c:pt>
                <c:pt idx="33">
                  <c:v>-2.58264283407207E-2</c:v>
                </c:pt>
                <c:pt idx="34">
                  <c:v>-2.89034602139253E-2</c:v>
                </c:pt>
                <c:pt idx="35">
                  <c:v>-3.1658416681973001E-2</c:v>
                </c:pt>
                <c:pt idx="36">
                  <c:v>-3.4206482415071501E-2</c:v>
                </c:pt>
                <c:pt idx="37">
                  <c:v>-3.6339599095253597E-2</c:v>
                </c:pt>
                <c:pt idx="38">
                  <c:v>-3.81489498457371E-2</c:v>
                </c:pt>
                <c:pt idx="39">
                  <c:v>-3.97026513090602E-2</c:v>
                </c:pt>
                <c:pt idx="40">
                  <c:v>-4.09225975579737E-2</c:v>
                </c:pt>
                <c:pt idx="41">
                  <c:v>-4.1895348819224798E-2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11-4262-B114-C91F8CE83E1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_markers!$M$2:$M$43</c:f>
              <c:numCache>
                <c:formatCode>General</c:formatCode>
                <c:ptCount val="42"/>
                <c:pt idx="28">
                  <c:v>7.6159202981273696E-2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11-4262-B114-C91F8CE83E1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DATA!$B$254:$B$295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_markers!$N$2:$N$43</c:f>
              <c:numCache>
                <c:formatCode>General</c:formatCode>
                <c:ptCount val="42"/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11-4262-B114-C91F8CE83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19840"/>
        <c:axId val="1600021760"/>
      </c:lineChart>
      <c:catAx>
        <c:axId val="160001984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21760"/>
        <c:crosses val="autoZero"/>
        <c:auto val="1"/>
        <c:lblAlgn val="ctr"/>
        <c:lblOffset val="100"/>
        <c:tickLblSkip val="1"/>
        <c:noMultiLvlLbl val="0"/>
      </c:catAx>
      <c:valAx>
        <c:axId val="16000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1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1.5625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DATA!$M$296:$M$337</c:f>
              <c:numCache>
                <c:formatCode>General</c:formatCode>
                <c:ptCount val="42"/>
                <c:pt idx="0">
                  <c:v>1.77985606139218E-2</c:v>
                </c:pt>
                <c:pt idx="1">
                  <c:v>1.9066865863049301E-2</c:v>
                </c:pt>
                <c:pt idx="2">
                  <c:v>2.0448381514441099E-2</c:v>
                </c:pt>
                <c:pt idx="3">
                  <c:v>2.1942492866853201E-2</c:v>
                </c:pt>
                <c:pt idx="4">
                  <c:v>2.3562410270353201E-2</c:v>
                </c:pt>
                <c:pt idx="5">
                  <c:v>2.5318843834738401E-2</c:v>
                </c:pt>
                <c:pt idx="6">
                  <c:v>2.7222205210611999E-2</c:v>
                </c:pt>
                <c:pt idx="7">
                  <c:v>2.9282764584073698E-2</c:v>
                </c:pt>
                <c:pt idx="8">
                  <c:v>3.1510480354966799E-2</c:v>
                </c:pt>
                <c:pt idx="9">
                  <c:v>3.3914605192181597E-2</c:v>
                </c:pt>
                <c:pt idx="10">
                  <c:v>3.6577044180412799E-2</c:v>
                </c:pt>
                <c:pt idx="11">
                  <c:v>3.9356900728765201E-2</c:v>
                </c:pt>
                <c:pt idx="12">
                  <c:v>4.2331048423468097E-2</c:v>
                </c:pt>
                <c:pt idx="13">
                  <c:v>4.5498483549608199E-2</c:v>
                </c:pt>
                <c:pt idx="14">
                  <c:v>4.8852819188830103E-2</c:v>
                </c:pt>
                <c:pt idx="15">
                  <c:v>5.2380811908259897E-2</c:v>
                </c:pt>
                <c:pt idx="16">
                  <c:v>5.6060779764336398E-2</c:v>
                </c:pt>
                <c:pt idx="17">
                  <c:v>5.9861121960987897E-2</c:v>
                </c:pt>
                <c:pt idx="18">
                  <c:v>6.3739111240403004E-2</c:v>
                </c:pt>
                <c:pt idx="19">
                  <c:v>6.7640190842645498E-2</c:v>
                </c:pt>
                <c:pt idx="20">
                  <c:v>7.1498204487871198E-2</c:v>
                </c:pt>
                <c:pt idx="21">
                  <c:v>7.5239284265808407E-2</c:v>
                </c:pt>
                <c:pt idx="22">
                  <c:v>7.8774691515221998E-2</c:v>
                </c:pt>
                <c:pt idx="23">
                  <c:v>8.20178828238015E-2</c:v>
                </c:pt>
                <c:pt idx="24">
                  <c:v>8.4882059944235894E-2</c:v>
                </c:pt>
                <c:pt idx="25">
                  <c:v>8.7289937559875505E-2</c:v>
                </c:pt>
                <c:pt idx="26">
                  <c:v>8.9017119107848805E-2</c:v>
                </c:pt>
                <c:pt idx="27">
                  <c:v>9.0336268720128302E-2</c:v>
                </c:pt>
                <c:pt idx="28">
                  <c:v>9.1075589202306906E-2</c:v>
                </c:pt>
                <c:pt idx="29">
                  <c:v>9.1230602915104694E-2</c:v>
                </c:pt>
                <c:pt idx="30">
                  <c:v>9.0829838438119898E-2</c:v>
                </c:pt>
                <c:pt idx="31">
                  <c:v>8.99197126450485E-2</c:v>
                </c:pt>
                <c:pt idx="32">
                  <c:v>8.8558311616868807E-2</c:v>
                </c:pt>
                <c:pt idx="33">
                  <c:v>8.6846095727202796E-2</c:v>
                </c:pt>
                <c:pt idx="34">
                  <c:v>8.4799271889251196E-2</c:v>
                </c:pt>
                <c:pt idx="35">
                  <c:v>8.2565472003996193E-2</c:v>
                </c:pt>
                <c:pt idx="36">
                  <c:v>8.0141907498523401E-2</c:v>
                </c:pt>
                <c:pt idx="37">
                  <c:v>7.7589936086925507E-2</c:v>
                </c:pt>
                <c:pt idx="38">
                  <c:v>7.4987842416666201E-2</c:v>
                </c:pt>
                <c:pt idx="39">
                  <c:v>7.2389284902130105E-2</c:v>
                </c:pt>
                <c:pt idx="40">
                  <c:v>6.9860189570880402E-2</c:v>
                </c:pt>
                <c:pt idx="41">
                  <c:v>6.98142816082402E-2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A-4337-8FF2-B70C48FECE2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DATA!$N$296:$N$337</c:f>
              <c:numCache>
                <c:formatCode>General</c:formatCode>
                <c:ptCount val="42"/>
                <c:pt idx="0">
                  <c:v>2.8461660041526001E-2</c:v>
                </c:pt>
                <c:pt idx="1">
                  <c:v>2.9396876276725398E-2</c:v>
                </c:pt>
                <c:pt idx="2">
                  <c:v>3.0337851610826999E-2</c:v>
                </c:pt>
                <c:pt idx="3">
                  <c:v>3.1274740255311101E-2</c:v>
                </c:pt>
                <c:pt idx="4">
                  <c:v>3.2202299375766498E-2</c:v>
                </c:pt>
                <c:pt idx="5">
                  <c:v>3.3112016508632297E-2</c:v>
                </c:pt>
                <c:pt idx="6">
                  <c:v>3.3992578285547997E-2</c:v>
                </c:pt>
                <c:pt idx="7">
                  <c:v>3.4830113953457802E-2</c:v>
                </c:pt>
                <c:pt idx="8">
                  <c:v>3.5608018502653403E-2</c:v>
                </c:pt>
                <c:pt idx="9">
                  <c:v>3.63066344390277E-2</c:v>
                </c:pt>
                <c:pt idx="10">
                  <c:v>3.6976348502937198E-2</c:v>
                </c:pt>
                <c:pt idx="11">
                  <c:v>3.7444796903421201E-2</c:v>
                </c:pt>
                <c:pt idx="12">
                  <c:v>3.7753847570730997E-2</c:v>
                </c:pt>
                <c:pt idx="13">
                  <c:v>3.7868890890061402E-2</c:v>
                </c:pt>
                <c:pt idx="14">
                  <c:v>3.7751692439643998E-2</c:v>
                </c:pt>
                <c:pt idx="15">
                  <c:v>3.7361027125369699E-2</c:v>
                </c:pt>
                <c:pt idx="16">
                  <c:v>3.6653782507187198E-2</c:v>
                </c:pt>
                <c:pt idx="17">
                  <c:v>3.5586629033781701E-2</c:v>
                </c:pt>
                <c:pt idx="18">
                  <c:v>3.4118328066153898E-2</c:v>
                </c:pt>
                <c:pt idx="19">
                  <c:v>3.2212676287553303E-2</c:v>
                </c:pt>
                <c:pt idx="20">
                  <c:v>2.9841979000200199E-2</c:v>
                </c:pt>
                <c:pt idx="21">
                  <c:v>2.69816872831889E-2</c:v>
                </c:pt>
                <c:pt idx="22">
                  <c:v>2.3647588667103699E-2</c:v>
                </c:pt>
                <c:pt idx="23">
                  <c:v>1.98534567334658E-2</c:v>
                </c:pt>
                <c:pt idx="24">
                  <c:v>1.5633057137341401E-2</c:v>
                </c:pt>
                <c:pt idx="25">
                  <c:v>1.1060936633698001E-2</c:v>
                </c:pt>
                <c:pt idx="26">
                  <c:v>6.2855152316400997E-3</c:v>
                </c:pt>
                <c:pt idx="27">
                  <c:v>1.2602153221985301E-3</c:v>
                </c:pt>
                <c:pt idx="28">
                  <c:v>-3.8632581639610202E-3</c:v>
                </c:pt>
                <c:pt idx="29">
                  <c:v>-8.9588128180015901E-3</c:v>
                </c:pt>
                <c:pt idx="30">
                  <c:v>-1.39365670671603E-2</c:v>
                </c:pt>
                <c:pt idx="31">
                  <c:v>-1.87072924397872E-2</c:v>
                </c:pt>
                <c:pt idx="32">
                  <c:v>-2.3211322979449701E-2</c:v>
                </c:pt>
                <c:pt idx="33">
                  <c:v>-2.7455822611280101E-2</c:v>
                </c:pt>
                <c:pt idx="34">
                  <c:v>-3.1271933829975798E-2</c:v>
                </c:pt>
                <c:pt idx="35">
                  <c:v>-3.4768863968687599E-2</c:v>
                </c:pt>
                <c:pt idx="36">
                  <c:v>-3.7982196295794503E-2</c:v>
                </c:pt>
                <c:pt idx="37">
                  <c:v>-4.0691768747269298E-2</c:v>
                </c:pt>
                <c:pt idx="38">
                  <c:v>-4.3044345989291202E-2</c:v>
                </c:pt>
                <c:pt idx="39">
                  <c:v>-4.5018840048353603E-2</c:v>
                </c:pt>
                <c:pt idx="40">
                  <c:v>-4.67337899212278E-2</c:v>
                </c:pt>
                <c:pt idx="41">
                  <c:v>-4.7837895023150299E-2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A-4337-8FF2-B70C48FECE2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_markers!$O$2:$O$43</c:f>
              <c:numCache>
                <c:formatCode>General</c:formatCode>
                <c:ptCount val="42"/>
                <c:pt idx="29">
                  <c:v>9.1230602915104694E-2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A-4337-8FF2-B70C48FECE2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DATA!$B$296:$B$337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_markers!$P$2:$P$43</c:f>
              <c:numCache>
                <c:formatCode>General</c:formatCode>
                <c:ptCount val="42"/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7A-4337-8FF2-B70C48FEC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66912"/>
        <c:axId val="1574967872"/>
      </c:lineChart>
      <c:catAx>
        <c:axId val="15749669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67872"/>
        <c:crosses val="autoZero"/>
        <c:auto val="1"/>
        <c:lblAlgn val="ctr"/>
        <c:lblOffset val="100"/>
        <c:tickLblSkip val="1"/>
        <c:noMultiLvlLbl val="0"/>
      </c:catAx>
      <c:valAx>
        <c:axId val="15749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6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1.7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DATA!$M$338:$M$379</c:f>
              <c:numCache>
                <c:formatCode>General</c:formatCode>
                <c:ptCount val="42"/>
                <c:pt idx="0">
                  <c:v>2.07821527567893E-2</c:v>
                </c:pt>
                <c:pt idx="1">
                  <c:v>2.2193218438837401E-2</c:v>
                </c:pt>
                <c:pt idx="2">
                  <c:v>2.3798811915417901E-2</c:v>
                </c:pt>
                <c:pt idx="3">
                  <c:v>2.55310620609706E-2</c:v>
                </c:pt>
                <c:pt idx="4">
                  <c:v>2.7403863936579301E-2</c:v>
                </c:pt>
                <c:pt idx="5">
                  <c:v>2.9430673814035701E-2</c:v>
                </c:pt>
                <c:pt idx="6">
                  <c:v>3.1624426590074903E-2</c:v>
                </c:pt>
                <c:pt idx="7">
                  <c:v>3.3997736158867503E-2</c:v>
                </c:pt>
                <c:pt idx="8">
                  <c:v>3.6562787484369898E-2</c:v>
                </c:pt>
                <c:pt idx="9">
                  <c:v>3.9330922505088801E-2</c:v>
                </c:pt>
                <c:pt idx="10">
                  <c:v>4.2312171219055401E-2</c:v>
                </c:pt>
                <c:pt idx="11">
                  <c:v>4.5514389676388899E-2</c:v>
                </c:pt>
                <c:pt idx="12">
                  <c:v>4.8896359233393701E-2</c:v>
                </c:pt>
                <c:pt idx="13">
                  <c:v>5.2545635380432797E-2</c:v>
                </c:pt>
                <c:pt idx="14">
                  <c:v>5.64153125053636E-2</c:v>
                </c:pt>
                <c:pt idx="15">
                  <c:v>6.0492527454771898E-2</c:v>
                </c:pt>
                <c:pt idx="16">
                  <c:v>6.4755217968660503E-2</c:v>
                </c:pt>
                <c:pt idx="17">
                  <c:v>6.9170449930975597E-2</c:v>
                </c:pt>
                <c:pt idx="18">
                  <c:v>7.3514357166942296E-2</c:v>
                </c:pt>
                <c:pt idx="19">
                  <c:v>7.8091207978610397E-2</c:v>
                </c:pt>
                <c:pt idx="20">
                  <c:v>8.2642781117550301E-2</c:v>
                </c:pt>
                <c:pt idx="21">
                  <c:v>8.7093581972995299E-2</c:v>
                </c:pt>
                <c:pt idx="22">
                  <c:v>9.1330370029055905E-2</c:v>
                </c:pt>
                <c:pt idx="23">
                  <c:v>9.5255561553873103E-2</c:v>
                </c:pt>
                <c:pt idx="24">
                  <c:v>9.8784071055348602E-2</c:v>
                </c:pt>
                <c:pt idx="25">
                  <c:v>0.10181433118668901</c:v>
                </c:pt>
                <c:pt idx="26">
                  <c:v>0.10426687228689201</c:v>
                </c:pt>
                <c:pt idx="27">
                  <c:v>0.106082542433323</c:v>
                </c:pt>
                <c:pt idx="28">
                  <c:v>0.107226401060332</c:v>
                </c:pt>
                <c:pt idx="29">
                  <c:v>0.107690939992556</c:v>
                </c:pt>
                <c:pt idx="30">
                  <c:v>0.10749605061131801</c:v>
                </c:pt>
                <c:pt idx="31">
                  <c:v>0.106685819676044</c:v>
                </c:pt>
                <c:pt idx="32">
                  <c:v>0.105336911365981</c:v>
                </c:pt>
                <c:pt idx="33">
                  <c:v>0.10356818643424801</c:v>
                </c:pt>
                <c:pt idx="34">
                  <c:v>0.101333286121218</c:v>
                </c:pt>
                <c:pt idx="35">
                  <c:v>9.8784154293509105E-2</c:v>
                </c:pt>
                <c:pt idx="36">
                  <c:v>9.6031122983995895E-2</c:v>
                </c:pt>
                <c:pt idx="37">
                  <c:v>9.3120618276720593E-2</c:v>
                </c:pt>
                <c:pt idx="38">
                  <c:v>9.0216575160738693E-2</c:v>
                </c:pt>
                <c:pt idx="39">
                  <c:v>8.7093280431760303E-2</c:v>
                </c:pt>
                <c:pt idx="40">
                  <c:v>8.4215806946133204E-2</c:v>
                </c:pt>
                <c:pt idx="41">
                  <c:v>8.4895324952831905E-2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25-428A-BC84-31C837944A42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DATA!$N$338:$N$379</c:f>
              <c:numCache>
                <c:formatCode>General</c:formatCode>
                <c:ptCount val="42"/>
                <c:pt idx="0">
                  <c:v>3.4704741979478801E-2</c:v>
                </c:pt>
                <c:pt idx="1">
                  <c:v>3.5817961236214398E-2</c:v>
                </c:pt>
                <c:pt idx="2">
                  <c:v>3.6951554940061901E-2</c:v>
                </c:pt>
                <c:pt idx="3">
                  <c:v>3.8072409120760001E-2</c:v>
                </c:pt>
                <c:pt idx="4">
                  <c:v>3.9179227990710497E-2</c:v>
                </c:pt>
                <c:pt idx="5">
                  <c:v>4.0265183083351599E-2</c:v>
                </c:pt>
                <c:pt idx="6">
                  <c:v>4.1319275901535703E-2</c:v>
                </c:pt>
                <c:pt idx="7">
                  <c:v>4.23270278021321E-2</c:v>
                </c:pt>
                <c:pt idx="8">
                  <c:v>4.3270531130139699E-2</c:v>
                </c:pt>
                <c:pt idx="9">
                  <c:v>4.4128243659727097E-2</c:v>
                </c:pt>
                <c:pt idx="10">
                  <c:v>4.4874682303385899E-2</c:v>
                </c:pt>
                <c:pt idx="11">
                  <c:v>4.5480117956000501E-2</c:v>
                </c:pt>
                <c:pt idx="12">
                  <c:v>4.58027939114619E-2</c:v>
                </c:pt>
                <c:pt idx="13">
                  <c:v>4.60158511184421E-2</c:v>
                </c:pt>
                <c:pt idx="14">
                  <c:v>4.5971917984903403E-2</c:v>
                </c:pt>
                <c:pt idx="15">
                  <c:v>4.5624253747622197E-2</c:v>
                </c:pt>
                <c:pt idx="16">
                  <c:v>4.4923469219882203E-2</c:v>
                </c:pt>
                <c:pt idx="17">
                  <c:v>4.3819246503140598E-2</c:v>
                </c:pt>
                <c:pt idx="18">
                  <c:v>4.23605940451608E-2</c:v>
                </c:pt>
                <c:pt idx="19">
                  <c:v>4.0311129873375103E-2</c:v>
                </c:pt>
                <c:pt idx="20">
                  <c:v>3.7727692486534098E-2</c:v>
                </c:pt>
                <c:pt idx="21">
                  <c:v>3.4580451324118702E-2</c:v>
                </c:pt>
                <c:pt idx="22">
                  <c:v>3.0878318036049901E-2</c:v>
                </c:pt>
                <c:pt idx="23">
                  <c:v>2.6641561473088701E-2</c:v>
                </c:pt>
                <c:pt idx="24">
                  <c:v>2.1885395718921698E-2</c:v>
                </c:pt>
                <c:pt idx="25">
                  <c:v>1.6682786440185698E-2</c:v>
                </c:pt>
                <c:pt idx="26">
                  <c:v>1.1117966067665099E-2</c:v>
                </c:pt>
                <c:pt idx="27">
                  <c:v>5.2926848766190202E-3</c:v>
                </c:pt>
                <c:pt idx="28">
                  <c:v>-6.7860210554668797E-4</c:v>
                </c:pt>
                <c:pt idx="29">
                  <c:v>-6.6761642278996497E-3</c:v>
                </c:pt>
                <c:pt idx="30">
                  <c:v>-1.2584689727487801E-2</c:v>
                </c:pt>
                <c:pt idx="31">
                  <c:v>-1.82990438659856E-2</c:v>
                </c:pt>
                <c:pt idx="32">
                  <c:v>-2.3746909108341201E-2</c:v>
                </c:pt>
                <c:pt idx="33">
                  <c:v>-2.8977726698796599E-2</c:v>
                </c:pt>
                <c:pt idx="34">
                  <c:v>-3.3670014158105298E-2</c:v>
                </c:pt>
                <c:pt idx="35">
                  <c:v>-3.7835369919558E-2</c:v>
                </c:pt>
                <c:pt idx="36">
                  <c:v>-4.1744524164797903E-2</c:v>
                </c:pt>
                <c:pt idx="37">
                  <c:v>-4.5020149495964203E-2</c:v>
                </c:pt>
                <c:pt idx="38">
                  <c:v>-4.7864881791877298E-2</c:v>
                </c:pt>
                <c:pt idx="39">
                  <c:v>-5.0464777008668298E-2</c:v>
                </c:pt>
                <c:pt idx="40">
                  <c:v>-5.2612034795877199E-2</c:v>
                </c:pt>
                <c:pt idx="41">
                  <c:v>-5.3734445541647601E-2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25-428A-BC84-31C837944A42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_markers!$Q$2:$Q$43</c:f>
              <c:numCache>
                <c:formatCode>General</c:formatCode>
                <c:ptCount val="42"/>
                <c:pt idx="29">
                  <c:v>0.107690939992556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25-428A-BC84-31C837944A42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DATA!$B$338:$B$379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_markers!$R$2:$R$43</c:f>
              <c:numCache>
                <c:formatCode>General</c:formatCode>
                <c:ptCount val="42"/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25-428A-BC84-31C837944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78912"/>
        <c:axId val="1574979392"/>
      </c:lineChart>
      <c:catAx>
        <c:axId val="15749789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79392"/>
        <c:crosses val="autoZero"/>
        <c:auto val="1"/>
        <c:lblAlgn val="ctr"/>
        <c:lblOffset val="100"/>
        <c:tickLblSkip val="1"/>
        <c:noMultiLvlLbl val="0"/>
      </c:catAx>
      <c:valAx>
        <c:axId val="15749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7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1.8375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DATA!$M$380:$M$421</c:f>
              <c:numCache>
                <c:formatCode>General</c:formatCode>
                <c:ptCount val="42"/>
                <c:pt idx="0">
                  <c:v>2.3570577382690999E-2</c:v>
                </c:pt>
                <c:pt idx="1">
                  <c:v>2.5246902298062101E-2</c:v>
                </c:pt>
                <c:pt idx="2">
                  <c:v>2.7071519764989799E-2</c:v>
                </c:pt>
                <c:pt idx="3">
                  <c:v>2.9035449533119699E-2</c:v>
                </c:pt>
                <c:pt idx="4">
                  <c:v>3.11585800793064E-2</c:v>
                </c:pt>
                <c:pt idx="5">
                  <c:v>3.3463964820427398E-2</c:v>
                </c:pt>
                <c:pt idx="6">
                  <c:v>3.59522177489024E-2</c:v>
                </c:pt>
                <c:pt idx="7">
                  <c:v>3.8641030199770297E-2</c:v>
                </c:pt>
                <c:pt idx="8">
                  <c:v>4.15445739296917E-2</c:v>
                </c:pt>
                <c:pt idx="9">
                  <c:v>4.4676805443622E-2</c:v>
                </c:pt>
                <c:pt idx="10">
                  <c:v>4.80833677318563E-2</c:v>
                </c:pt>
                <c:pt idx="11">
                  <c:v>5.1715979690772497E-2</c:v>
                </c:pt>
                <c:pt idx="12">
                  <c:v>5.5607478338874403E-2</c:v>
                </c:pt>
                <c:pt idx="13">
                  <c:v>5.9759868729660701E-2</c:v>
                </c:pt>
                <c:pt idx="14">
                  <c:v>6.4168972249535397E-2</c:v>
                </c:pt>
                <c:pt idx="15">
                  <c:v>6.8822625527193801E-2</c:v>
                </c:pt>
                <c:pt idx="16">
                  <c:v>7.3698638309680195E-2</c:v>
                </c:pt>
                <c:pt idx="17">
                  <c:v>7.8762789624938698E-2</c:v>
                </c:pt>
                <c:pt idx="18">
                  <c:v>8.3967061226362605E-2</c:v>
                </c:pt>
                <c:pt idx="19">
                  <c:v>8.9248435928441797E-2</c:v>
                </c:pt>
                <c:pt idx="20">
                  <c:v>9.4547194765092005E-2</c:v>
                </c:pt>
                <c:pt idx="21">
                  <c:v>9.9736790191168795E-2</c:v>
                </c:pt>
                <c:pt idx="22">
                  <c:v>0.10472662828358099</c:v>
                </c:pt>
                <c:pt idx="23">
                  <c:v>0.109404218560091</c:v>
                </c:pt>
                <c:pt idx="24">
                  <c:v>0.113652698619502</c:v>
                </c:pt>
                <c:pt idx="25">
                  <c:v>0.11751455487321</c:v>
                </c:pt>
                <c:pt idx="26">
                  <c:v>0.12061950913094199</c:v>
                </c:pt>
                <c:pt idx="27">
                  <c:v>0.12301364863555</c:v>
                </c:pt>
                <c:pt idx="28">
                  <c:v>0.124648051919277</c:v>
                </c:pt>
                <c:pt idx="29">
                  <c:v>0.125486977431221</c:v>
                </c:pt>
                <c:pt idx="30">
                  <c:v>0.12562641037096101</c:v>
                </c:pt>
                <c:pt idx="31">
                  <c:v>0.12497529411455501</c:v>
                </c:pt>
                <c:pt idx="32">
                  <c:v>0.123646728440108</c:v>
                </c:pt>
                <c:pt idx="33">
                  <c:v>0.1216994276289</c:v>
                </c:pt>
                <c:pt idx="34">
                  <c:v>0.11930554917004101</c:v>
                </c:pt>
                <c:pt idx="35">
                  <c:v>0.116590091131934</c:v>
                </c:pt>
                <c:pt idx="36">
                  <c:v>0.113503696362482</c:v>
                </c:pt>
                <c:pt idx="37">
                  <c:v>0.11022464512786601</c:v>
                </c:pt>
                <c:pt idx="38">
                  <c:v>0.106766654600268</c:v>
                </c:pt>
                <c:pt idx="39">
                  <c:v>0.103314333935141</c:v>
                </c:pt>
                <c:pt idx="40">
                  <c:v>0.10001292370314301</c:v>
                </c:pt>
                <c:pt idx="41">
                  <c:v>0.100508490654746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97-43FA-BD92-248E690A0E38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DATA!$N$380:$N$421</c:f>
              <c:numCache>
                <c:formatCode>General</c:formatCode>
                <c:ptCount val="42"/>
                <c:pt idx="0">
                  <c:v>4.13588164383389E-2</c:v>
                </c:pt>
                <c:pt idx="1">
                  <c:v>4.2694666064688198E-2</c:v>
                </c:pt>
                <c:pt idx="2">
                  <c:v>4.3972170384572601E-2</c:v>
                </c:pt>
                <c:pt idx="3">
                  <c:v>4.5235364176948699E-2</c:v>
                </c:pt>
                <c:pt idx="4">
                  <c:v>4.6487906075449101E-2</c:v>
                </c:pt>
                <c:pt idx="5">
                  <c:v>4.7759775315247902E-2</c:v>
                </c:pt>
                <c:pt idx="6">
                  <c:v>4.8973607419699701E-2</c:v>
                </c:pt>
                <c:pt idx="7">
                  <c:v>5.0138870111653099E-2</c:v>
                </c:pt>
                <c:pt idx="8">
                  <c:v>5.1235681748400201E-2</c:v>
                </c:pt>
                <c:pt idx="9">
                  <c:v>5.2241614181405202E-2</c:v>
                </c:pt>
                <c:pt idx="10">
                  <c:v>5.32886691754288E-2</c:v>
                </c:pt>
                <c:pt idx="11">
                  <c:v>5.4040909100309099E-2</c:v>
                </c:pt>
                <c:pt idx="12">
                  <c:v>5.4603127593611002E-2</c:v>
                </c:pt>
                <c:pt idx="13">
                  <c:v>5.4932289342580598E-2</c:v>
                </c:pt>
                <c:pt idx="14">
                  <c:v>5.4980349302733801E-2</c:v>
                </c:pt>
                <c:pt idx="15">
                  <c:v>5.4694806296451598E-2</c:v>
                </c:pt>
                <c:pt idx="16">
                  <c:v>5.4019759867359698E-2</c:v>
                </c:pt>
                <c:pt idx="17">
                  <c:v>5.2897611692934797E-2</c:v>
                </c:pt>
                <c:pt idx="18">
                  <c:v>5.1271502710424403E-2</c:v>
                </c:pt>
                <c:pt idx="19">
                  <c:v>4.90886189209341E-2</c:v>
                </c:pt>
                <c:pt idx="20">
                  <c:v>4.62915111587359E-2</c:v>
                </c:pt>
                <c:pt idx="21">
                  <c:v>4.2869616245001303E-2</c:v>
                </c:pt>
                <c:pt idx="22">
                  <c:v>3.8800476213591999E-2</c:v>
                </c:pt>
                <c:pt idx="23">
                  <c:v>3.4092800737468301E-2</c:v>
                </c:pt>
                <c:pt idx="24">
                  <c:v>2.8786787011863098E-2</c:v>
                </c:pt>
                <c:pt idx="25">
                  <c:v>2.29290351226882E-2</c:v>
                </c:pt>
                <c:pt idx="26">
                  <c:v>1.6617922134622602E-2</c:v>
                </c:pt>
                <c:pt idx="27">
                  <c:v>9.9628869693659198E-3</c:v>
                </c:pt>
                <c:pt idx="28">
                  <c:v>3.1049022391830298E-3</c:v>
                </c:pt>
                <c:pt idx="29">
                  <c:v>-3.8715277080571E-3</c:v>
                </c:pt>
                <c:pt idx="30">
                  <c:v>-1.07662174680633E-2</c:v>
                </c:pt>
                <c:pt idx="31">
                  <c:v>-1.7489986648459101E-2</c:v>
                </c:pt>
                <c:pt idx="32">
                  <c:v>-2.3922730644812699E-2</c:v>
                </c:pt>
                <c:pt idx="33">
                  <c:v>-2.9935362984177202E-2</c:v>
                </c:pt>
                <c:pt idx="34">
                  <c:v>-3.5547383709613099E-2</c:v>
                </c:pt>
                <c:pt idx="35">
                  <c:v>-4.0670430520900303E-2</c:v>
                </c:pt>
                <c:pt idx="36">
                  <c:v>-4.5299571844453601E-2</c:v>
                </c:pt>
                <c:pt idx="37">
                  <c:v>-4.9414462814221502E-2</c:v>
                </c:pt>
                <c:pt idx="38">
                  <c:v>-5.3065702129733501E-2</c:v>
                </c:pt>
                <c:pt idx="39">
                  <c:v>-5.6215581489583499E-2</c:v>
                </c:pt>
                <c:pt idx="40">
                  <c:v>-5.8859087397268799E-2</c:v>
                </c:pt>
                <c:pt idx="41">
                  <c:v>-6.0132513593155898E-2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97-43FA-BD92-248E690A0E38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_markers!$S$2:$S$43</c:f>
              <c:numCache>
                <c:formatCode>General</c:formatCode>
                <c:ptCount val="42"/>
                <c:pt idx="30">
                  <c:v>0.12562641037096101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97-43FA-BD92-248E690A0E38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DATA!$B$380:$B$421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_markers!$T$2:$T$43</c:f>
              <c:numCache>
                <c:formatCode>General</c:formatCode>
                <c:ptCount val="42"/>
                <c:pt idx="2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97-43FA-BD92-248E690A0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83712"/>
        <c:axId val="1574984192"/>
      </c:lineChart>
      <c:catAx>
        <c:axId val="157498371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84192"/>
        <c:crosses val="autoZero"/>
        <c:auto val="1"/>
        <c:lblAlgn val="ctr"/>
        <c:lblOffset val="100"/>
        <c:tickLblSkip val="1"/>
        <c:noMultiLvlLbl val="0"/>
      </c:catAx>
      <c:valAx>
        <c:axId val="15749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8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1.975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DATA!$M$422:$M$463</c:f>
              <c:numCache>
                <c:formatCode>General</c:formatCode>
                <c:ptCount val="42"/>
                <c:pt idx="0">
                  <c:v>2.6606243183704501E-2</c:v>
                </c:pt>
                <c:pt idx="1">
                  <c:v>2.8557739451866199E-2</c:v>
                </c:pt>
                <c:pt idx="2">
                  <c:v>3.0623877204759599E-2</c:v>
                </c:pt>
                <c:pt idx="3">
                  <c:v>3.2834028721330101E-2</c:v>
                </c:pt>
                <c:pt idx="4">
                  <c:v>3.5218398888914197E-2</c:v>
                </c:pt>
                <c:pt idx="5">
                  <c:v>3.7796890179853097E-2</c:v>
                </c:pt>
                <c:pt idx="6">
                  <c:v>4.0586699778289097E-2</c:v>
                </c:pt>
                <c:pt idx="7">
                  <c:v>4.3604288911402798E-2</c:v>
                </c:pt>
                <c:pt idx="8">
                  <c:v>4.6865711474283298E-2</c:v>
                </c:pt>
                <c:pt idx="9">
                  <c:v>5.0386303982540501E-2</c:v>
                </c:pt>
                <c:pt idx="10">
                  <c:v>5.41800972673371E-2</c:v>
                </c:pt>
                <c:pt idx="11">
                  <c:v>5.8258999537599998E-2</c:v>
                </c:pt>
                <c:pt idx="12">
                  <c:v>6.2631628113651E-2</c:v>
                </c:pt>
                <c:pt idx="13">
                  <c:v>6.7301932234339307E-2</c:v>
                </c:pt>
                <c:pt idx="14">
                  <c:v>7.2267519283217299E-2</c:v>
                </c:pt>
                <c:pt idx="15">
                  <c:v>7.7517702983179601E-2</c:v>
                </c:pt>
                <c:pt idx="16">
                  <c:v>8.3031376586423206E-2</c:v>
                </c:pt>
                <c:pt idx="17">
                  <c:v>8.8774772851393305E-2</c:v>
                </c:pt>
                <c:pt idx="18">
                  <c:v>9.4699366068718899E-2</c:v>
                </c:pt>
                <c:pt idx="19">
                  <c:v>0.100740260169459</c:v>
                </c:pt>
                <c:pt idx="20">
                  <c:v>0.106684648730887</c:v>
                </c:pt>
                <c:pt idx="21">
                  <c:v>0.11267899864521599</c:v>
                </c:pt>
                <c:pt idx="22">
                  <c:v>0.11850706399354501</c:v>
                </c:pt>
                <c:pt idx="23">
                  <c:v>0.124029298781952</c:v>
                </c:pt>
                <c:pt idx="24">
                  <c:v>0.12911424401883501</c:v>
                </c:pt>
                <c:pt idx="25">
                  <c:v>0.13363164286020601</c:v>
                </c:pt>
                <c:pt idx="26">
                  <c:v>0.13734373701274599</c:v>
                </c:pt>
                <c:pt idx="27">
                  <c:v>0.14040727238728201</c:v>
                </c:pt>
                <c:pt idx="28">
                  <c:v>0.142626319764319</c:v>
                </c:pt>
                <c:pt idx="29">
                  <c:v>0.14396345241234501</c:v>
                </c:pt>
                <c:pt idx="30">
                  <c:v>0.14441724745294099</c:v>
                </c:pt>
                <c:pt idx="31">
                  <c:v>0.14410443276705401</c:v>
                </c:pt>
                <c:pt idx="32">
                  <c:v>0.14295014696269601</c:v>
                </c:pt>
                <c:pt idx="33">
                  <c:v>0.14106718589410899</c:v>
                </c:pt>
                <c:pt idx="34">
                  <c:v>0.138685207031467</c:v>
                </c:pt>
                <c:pt idx="35">
                  <c:v>0.135595942874945</c:v>
                </c:pt>
                <c:pt idx="36">
                  <c:v>0.13223719196922601</c:v>
                </c:pt>
                <c:pt idx="37">
                  <c:v>0.128674397820987</c:v>
                </c:pt>
                <c:pt idx="38">
                  <c:v>0.124879279560608</c:v>
                </c:pt>
                <c:pt idx="39">
                  <c:v>0.12096631922906299</c:v>
                </c:pt>
                <c:pt idx="40">
                  <c:v>0.117041407867761</c:v>
                </c:pt>
                <c:pt idx="41">
                  <c:v>0.11821907544428301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FA-4DC7-A022-ECA6A90A7E37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DATA!$N$422:$N$463</c:f>
              <c:numCache>
                <c:formatCode>General</c:formatCode>
                <c:ptCount val="42"/>
                <c:pt idx="0">
                  <c:v>4.8329410854246302E-2</c:v>
                </c:pt>
                <c:pt idx="1">
                  <c:v>4.9875381705892799E-2</c:v>
                </c:pt>
                <c:pt idx="2">
                  <c:v>5.1387078013559101E-2</c:v>
                </c:pt>
                <c:pt idx="3">
                  <c:v>5.2877960535564102E-2</c:v>
                </c:pt>
                <c:pt idx="4">
                  <c:v>5.4356300318222903E-2</c:v>
                </c:pt>
                <c:pt idx="5">
                  <c:v>5.5815398337408798E-2</c:v>
                </c:pt>
                <c:pt idx="6">
                  <c:v>5.7242319483440197E-2</c:v>
                </c:pt>
                <c:pt idx="7">
                  <c:v>5.8619847984770199E-2</c:v>
                </c:pt>
                <c:pt idx="8">
                  <c:v>5.99267222751814E-2</c:v>
                </c:pt>
                <c:pt idx="9">
                  <c:v>6.1137353243768698E-2</c:v>
                </c:pt>
                <c:pt idx="10">
                  <c:v>6.2221401743469101E-2</c:v>
                </c:pt>
                <c:pt idx="11">
                  <c:v>6.3143342396455193E-2</c:v>
                </c:pt>
                <c:pt idx="12">
                  <c:v>6.3862080541490701E-2</c:v>
                </c:pt>
                <c:pt idx="13">
                  <c:v>6.4330752755006604E-2</c:v>
                </c:pt>
                <c:pt idx="14">
                  <c:v>6.4496767487725107E-2</c:v>
                </c:pt>
                <c:pt idx="15">
                  <c:v>6.4302252191516501E-2</c:v>
                </c:pt>
                <c:pt idx="16">
                  <c:v>6.3685037350499504E-2</c:v>
                </c:pt>
                <c:pt idx="17">
                  <c:v>6.2580335551144603E-2</c:v>
                </c:pt>
                <c:pt idx="18">
                  <c:v>6.0923239997472102E-2</c:v>
                </c:pt>
                <c:pt idx="19">
                  <c:v>5.8652165045153699E-2</c:v>
                </c:pt>
                <c:pt idx="20">
                  <c:v>5.5571599933988101E-2</c:v>
                </c:pt>
                <c:pt idx="21">
                  <c:v>5.1924738069781901E-2</c:v>
                </c:pt>
                <c:pt idx="22">
                  <c:v>4.7538789255182803E-2</c:v>
                </c:pt>
                <c:pt idx="23">
                  <c:v>4.2420674870394103E-2</c:v>
                </c:pt>
                <c:pt idx="24">
                  <c:v>3.6600786887047702E-2</c:v>
                </c:pt>
                <c:pt idx="25">
                  <c:v>3.0142418050334401E-2</c:v>
                </c:pt>
                <c:pt idx="26">
                  <c:v>2.3281373592096699E-2</c:v>
                </c:pt>
                <c:pt idx="27">
                  <c:v>1.5832688047289399E-2</c:v>
                </c:pt>
                <c:pt idx="28">
                  <c:v>8.0791989592487994E-3</c:v>
                </c:pt>
                <c:pt idx="29">
                  <c:v>1.7234663369685799E-4</c:v>
                </c:pt>
                <c:pt idx="30">
                  <c:v>-7.7375699899828801E-3</c:v>
                </c:pt>
                <c:pt idx="31">
                  <c:v>-1.55886028294102E-2</c:v>
                </c:pt>
                <c:pt idx="32">
                  <c:v>-2.2988402315065298E-2</c:v>
                </c:pt>
                <c:pt idx="33">
                  <c:v>-3.0088646564581E-2</c:v>
                </c:pt>
                <c:pt idx="34">
                  <c:v>-3.6725839528740603E-2</c:v>
                </c:pt>
                <c:pt idx="35">
                  <c:v>-4.2866610556944899E-2</c:v>
                </c:pt>
                <c:pt idx="36">
                  <c:v>-4.8402634809728097E-2</c:v>
                </c:pt>
                <c:pt idx="37">
                  <c:v>-5.3320030427475698E-2</c:v>
                </c:pt>
                <c:pt idx="38">
                  <c:v>-5.7718215212464903E-2</c:v>
                </c:pt>
                <c:pt idx="39">
                  <c:v>-6.1574310912976798E-2</c:v>
                </c:pt>
                <c:pt idx="40">
                  <c:v>-6.4805017913101406E-2</c:v>
                </c:pt>
                <c:pt idx="41">
                  <c:v>-6.6174986643740899E-2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FA-4DC7-A022-ECA6A90A7E37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_markers!$U$2:$U$43</c:f>
              <c:numCache>
                <c:formatCode>General</c:formatCode>
                <c:ptCount val="42"/>
                <c:pt idx="30">
                  <c:v>0.14441724745294099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FA-4DC7-A022-ECA6A90A7E37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DATA!$B$422:$B$463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_markers!$V$2:$V$43</c:f>
              <c:numCache>
                <c:formatCode>General</c:formatCode>
                <c:ptCount val="42"/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FA-4DC7-A022-ECA6A90A7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01472"/>
        <c:axId val="1575000512"/>
      </c:lineChart>
      <c:catAx>
        <c:axId val="157500147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0512"/>
        <c:crosses val="autoZero"/>
        <c:auto val="1"/>
        <c:lblAlgn val="ctr"/>
        <c:lblOffset val="100"/>
        <c:tickLblSkip val="1"/>
        <c:noMultiLvlLbl val="0"/>
      </c:catAx>
      <c:valAx>
        <c:axId val="157500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2.1125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DATA!$M$464:$M$505</c:f>
              <c:numCache>
                <c:formatCode>General</c:formatCode>
                <c:ptCount val="42"/>
                <c:pt idx="0">
                  <c:v>2.9674659619508902E-2</c:v>
                </c:pt>
                <c:pt idx="1">
                  <c:v>3.1683528980689102E-2</c:v>
                </c:pt>
                <c:pt idx="2">
                  <c:v>3.39374204105478E-2</c:v>
                </c:pt>
                <c:pt idx="3">
                  <c:v>3.6360608947930403E-2</c:v>
                </c:pt>
                <c:pt idx="4">
                  <c:v>3.8976898847824001E-2</c:v>
                </c:pt>
                <c:pt idx="5">
                  <c:v>4.1805746170381901E-2</c:v>
                </c:pt>
                <c:pt idx="6">
                  <c:v>4.4865478017621203E-2</c:v>
                </c:pt>
                <c:pt idx="7">
                  <c:v>4.8250488601852999E-2</c:v>
                </c:pt>
                <c:pt idx="8">
                  <c:v>5.1829278679091199E-2</c:v>
                </c:pt>
                <c:pt idx="9">
                  <c:v>5.56920786017506E-2</c:v>
                </c:pt>
                <c:pt idx="10">
                  <c:v>5.9855292900967597E-2</c:v>
                </c:pt>
                <c:pt idx="11">
                  <c:v>6.4333468172512606E-2</c:v>
                </c:pt>
                <c:pt idx="12">
                  <c:v>6.9138166990440897E-2</c:v>
                </c:pt>
                <c:pt idx="13">
                  <c:v>7.4276481941764602E-2</c:v>
                </c:pt>
                <c:pt idx="14">
                  <c:v>7.9749252087790101E-2</c:v>
                </c:pt>
                <c:pt idx="15">
                  <c:v>8.5549047967746705E-2</c:v>
                </c:pt>
                <c:pt idx="16">
                  <c:v>9.1657852746157106E-2</c:v>
                </c:pt>
                <c:pt idx="17">
                  <c:v>9.8044740065085595E-2</c:v>
                </c:pt>
                <c:pt idx="18">
                  <c:v>0.104659717259352</c:v>
                </c:pt>
                <c:pt idx="19">
                  <c:v>0.111451887769172</c:v>
                </c:pt>
                <c:pt idx="20">
                  <c:v>0.11832664076850601</c:v>
                </c:pt>
                <c:pt idx="21">
                  <c:v>0.12518448765965501</c:v>
                </c:pt>
                <c:pt idx="22">
                  <c:v>0.13190642602250599</c:v>
                </c:pt>
                <c:pt idx="23">
                  <c:v>0.138350638897385</c:v>
                </c:pt>
                <c:pt idx="24">
                  <c:v>0.14439455209636301</c:v>
                </c:pt>
                <c:pt idx="25">
                  <c:v>0.14988015146132</c:v>
                </c:pt>
                <c:pt idx="26">
                  <c:v>0.15466934192168499</c:v>
                </c:pt>
                <c:pt idx="27">
                  <c:v>0.15852607666354501</c:v>
                </c:pt>
                <c:pt idx="28">
                  <c:v>0.16158890562512301</c:v>
                </c:pt>
                <c:pt idx="29">
                  <c:v>0.16367554230161099</c:v>
                </c:pt>
                <c:pt idx="30">
                  <c:v>0.16491937955265401</c:v>
                </c:pt>
                <c:pt idx="31">
                  <c:v>0.16499403320407799</c:v>
                </c:pt>
                <c:pt idx="32">
                  <c:v>0.164212826926661</c:v>
                </c:pt>
                <c:pt idx="33">
                  <c:v>0.16261694419884201</c:v>
                </c:pt>
                <c:pt idx="34">
                  <c:v>0.160236859360296</c:v>
                </c:pt>
                <c:pt idx="35">
                  <c:v>0.15721826209919701</c:v>
                </c:pt>
                <c:pt idx="36">
                  <c:v>0.15367479061631301</c:v>
                </c:pt>
                <c:pt idx="37">
                  <c:v>0.149793460499275</c:v>
                </c:pt>
                <c:pt idx="38">
                  <c:v>0.14559401048983001</c:v>
                </c:pt>
                <c:pt idx="39">
                  <c:v>0.14135154511998199</c:v>
                </c:pt>
                <c:pt idx="40">
                  <c:v>0.13707072579572799</c:v>
                </c:pt>
                <c:pt idx="41">
                  <c:v>0.13831043523002401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0-48CA-9AE2-C3447280823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DATA!$N$464:$N$505</c:f>
              <c:numCache>
                <c:formatCode>General</c:formatCode>
                <c:ptCount val="42"/>
                <c:pt idx="0">
                  <c:v>5.5569146985692597E-2</c:v>
                </c:pt>
                <c:pt idx="1">
                  <c:v>5.7267958577238501E-2</c:v>
                </c:pt>
                <c:pt idx="2">
                  <c:v>5.8966991029980001E-2</c:v>
                </c:pt>
                <c:pt idx="3">
                  <c:v>6.06537212635294E-2</c:v>
                </c:pt>
                <c:pt idx="4">
                  <c:v>6.2334097628622603E-2</c:v>
                </c:pt>
                <c:pt idx="5">
                  <c:v>6.3999633675962703E-2</c:v>
                </c:pt>
                <c:pt idx="6">
                  <c:v>6.5636367257718001E-2</c:v>
                </c:pt>
                <c:pt idx="7">
                  <c:v>6.7270039028329703E-2</c:v>
                </c:pt>
                <c:pt idx="8">
                  <c:v>6.8792086854620405E-2</c:v>
                </c:pt>
                <c:pt idx="9">
                  <c:v>7.0217767730891098E-2</c:v>
                </c:pt>
                <c:pt idx="10">
                  <c:v>7.1515327485495606E-2</c:v>
                </c:pt>
                <c:pt idx="11">
                  <c:v>7.26475594666674E-2</c:v>
                </c:pt>
                <c:pt idx="12">
                  <c:v>7.3571360094081301E-2</c:v>
                </c:pt>
                <c:pt idx="13">
                  <c:v>7.4237367078712396E-2</c:v>
                </c:pt>
                <c:pt idx="14">
                  <c:v>7.4589816576583604E-2</c:v>
                </c:pt>
                <c:pt idx="15">
                  <c:v>7.4566785711465994E-2</c:v>
                </c:pt>
                <c:pt idx="16">
                  <c:v>7.4100989739420406E-2</c:v>
                </c:pt>
                <c:pt idx="17">
                  <c:v>7.3121273495452499E-2</c:v>
                </c:pt>
                <c:pt idx="18">
                  <c:v>7.1554716336390004E-2</c:v>
                </c:pt>
                <c:pt idx="19">
                  <c:v>6.9328877447303303E-2</c:v>
                </c:pt>
                <c:pt idx="20">
                  <c:v>6.6381045465720004E-2</c:v>
                </c:pt>
                <c:pt idx="21">
                  <c:v>6.2657387481546395E-2</c:v>
                </c:pt>
                <c:pt idx="22">
                  <c:v>5.8121568028506501E-2</c:v>
                </c:pt>
                <c:pt idx="23">
                  <c:v>5.2768823442365699E-2</c:v>
                </c:pt>
                <c:pt idx="24">
                  <c:v>4.6594585333642399E-2</c:v>
                </c:pt>
                <c:pt idx="25">
                  <c:v>3.9655395683328799E-2</c:v>
                </c:pt>
                <c:pt idx="26">
                  <c:v>3.2038284443654703E-2</c:v>
                </c:pt>
                <c:pt idx="27">
                  <c:v>2.3911762431369301E-2</c:v>
                </c:pt>
                <c:pt idx="28">
                  <c:v>1.53094579750023E-2</c:v>
                </c:pt>
                <c:pt idx="29">
                  <c:v>6.4421132540433898E-3</c:v>
                </c:pt>
                <c:pt idx="30">
                  <c:v>-2.6300924309631702E-3</c:v>
                </c:pt>
                <c:pt idx="31">
                  <c:v>-1.1489401367655401E-2</c:v>
                </c:pt>
                <c:pt idx="32">
                  <c:v>-2.01869345724262E-2</c:v>
                </c:pt>
                <c:pt idx="33">
                  <c:v>-2.8505829435474798E-2</c:v>
                </c:pt>
                <c:pt idx="34">
                  <c:v>-3.6341160899613201E-2</c:v>
                </c:pt>
                <c:pt idx="35">
                  <c:v>-4.3437163444274299E-2</c:v>
                </c:pt>
                <c:pt idx="36">
                  <c:v>-5.0178368262314303E-2</c:v>
                </c:pt>
                <c:pt idx="37">
                  <c:v>-5.6202046273348703E-2</c:v>
                </c:pt>
                <c:pt idx="38">
                  <c:v>-6.1596743226913699E-2</c:v>
                </c:pt>
                <c:pt idx="39">
                  <c:v>-6.6325407296488906E-2</c:v>
                </c:pt>
                <c:pt idx="40">
                  <c:v>-7.0361882152237501E-2</c:v>
                </c:pt>
                <c:pt idx="41">
                  <c:v>-7.1793318727261898E-2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40-48CA-9AE2-C3447280823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_markers!$W$2:$W$43</c:f>
              <c:numCache>
                <c:formatCode>General</c:formatCode>
                <c:ptCount val="42"/>
                <c:pt idx="31">
                  <c:v>0.16499403320407799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40-48CA-9AE2-C3447280823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DATA!$B$464:$B$505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_markers!$X$2:$X$43</c:f>
              <c:numCache>
                <c:formatCode>General</c:formatCode>
                <c:ptCount val="42"/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40-48CA-9AE2-C34472808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30400"/>
        <c:axId val="1600030880"/>
      </c:lineChart>
      <c:catAx>
        <c:axId val="160003040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30880"/>
        <c:crosses val="autoZero"/>
        <c:auto val="1"/>
        <c:lblAlgn val="ctr"/>
        <c:lblOffset val="100"/>
        <c:tickLblSkip val="1"/>
        <c:noMultiLvlLbl val="0"/>
      </c:catAx>
      <c:valAx>
        <c:axId val="160003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3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DATA!$M$506:$M$547</c:f>
              <c:numCache>
                <c:formatCode>General</c:formatCode>
                <c:ptCount val="42"/>
                <c:pt idx="0">
                  <c:v>3.2960147283365299E-2</c:v>
                </c:pt>
                <c:pt idx="1">
                  <c:v>3.5341688919452698E-2</c:v>
                </c:pt>
                <c:pt idx="2">
                  <c:v>3.7823283391372399E-2</c:v>
                </c:pt>
                <c:pt idx="3">
                  <c:v>4.04933490827055E-2</c:v>
                </c:pt>
                <c:pt idx="4">
                  <c:v>4.3373838516630799E-2</c:v>
                </c:pt>
                <c:pt idx="5">
                  <c:v>4.6485397708541799E-2</c:v>
                </c:pt>
                <c:pt idx="6">
                  <c:v>4.9848249034652202E-2</c:v>
                </c:pt>
                <c:pt idx="7">
                  <c:v>5.3482539543564099E-2</c:v>
                </c:pt>
                <c:pt idx="8">
                  <c:v>5.7408362066418799E-2</c:v>
                </c:pt>
                <c:pt idx="9">
                  <c:v>6.1645349948474301E-2</c:v>
                </c:pt>
                <c:pt idx="10">
                  <c:v>6.6212117421537098E-2</c:v>
                </c:pt>
                <c:pt idx="11">
                  <c:v>7.1125394356271507E-2</c:v>
                </c:pt>
                <c:pt idx="12">
                  <c:v>7.6271240945802302E-2</c:v>
                </c:pt>
                <c:pt idx="13">
                  <c:v>8.1910562145035101E-2</c:v>
                </c:pt>
                <c:pt idx="14">
                  <c:v>8.7922052635044795E-2</c:v>
                </c:pt>
                <c:pt idx="15">
                  <c:v>9.4300585914317697E-2</c:v>
                </c:pt>
                <c:pt idx="16">
                  <c:v>0.101030483587568</c:v>
                </c:pt>
                <c:pt idx="17">
                  <c:v>0.108072419717422</c:v>
                </c:pt>
                <c:pt idx="18">
                  <c:v>0.115413578999828</c:v>
                </c:pt>
                <c:pt idx="19">
                  <c:v>0.122961994006312</c:v>
                </c:pt>
                <c:pt idx="20">
                  <c:v>0.13064295363595499</c:v>
                </c:pt>
                <c:pt idx="21">
                  <c:v>0.13835078269561599</c:v>
                </c:pt>
                <c:pt idx="22">
                  <c:v>0.145956901936213</c:v>
                </c:pt>
                <c:pt idx="23">
                  <c:v>0.15333207025031001</c:v>
                </c:pt>
                <c:pt idx="24">
                  <c:v>0.160314452617034</c:v>
                </c:pt>
                <c:pt idx="25">
                  <c:v>0.16674291913546399</c:v>
                </c:pt>
                <c:pt idx="26">
                  <c:v>0.17237647190710501</c:v>
                </c:pt>
                <c:pt idx="27">
                  <c:v>0.177247917361255</c:v>
                </c:pt>
                <c:pt idx="28">
                  <c:v>0.181165217751489</c:v>
                </c:pt>
                <c:pt idx="29">
                  <c:v>0.18403309626693901</c:v>
                </c:pt>
                <c:pt idx="30">
                  <c:v>0.185808714940184</c:v>
                </c:pt>
                <c:pt idx="31">
                  <c:v>0.18661710955458</c:v>
                </c:pt>
                <c:pt idx="32">
                  <c:v>0.18624691186211201</c:v>
                </c:pt>
                <c:pt idx="33">
                  <c:v>0.18489834627378601</c:v>
                </c:pt>
                <c:pt idx="34">
                  <c:v>0.18267574067147799</c:v>
                </c:pt>
                <c:pt idx="35">
                  <c:v>0.17969619549453</c:v>
                </c:pt>
                <c:pt idx="36">
                  <c:v>0.17616792529287101</c:v>
                </c:pt>
                <c:pt idx="37">
                  <c:v>0.17198832989429999</c:v>
                </c:pt>
                <c:pt idx="38">
                  <c:v>0.167454164923969</c:v>
                </c:pt>
                <c:pt idx="39">
                  <c:v>0.16276423886690999</c:v>
                </c:pt>
                <c:pt idx="40">
                  <c:v>0.15794418823751899</c:v>
                </c:pt>
                <c:pt idx="41">
                  <c:v>0.15854335022003599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8C-4463-B69E-280A470D1743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DATA!$N$506:$N$547</c:f>
              <c:numCache>
                <c:formatCode>General</c:formatCode>
                <c:ptCount val="42"/>
                <c:pt idx="0">
                  <c:v>6.3241748498372302E-2</c:v>
                </c:pt>
                <c:pt idx="1">
                  <c:v>6.5331967849033695E-2</c:v>
                </c:pt>
                <c:pt idx="2">
                  <c:v>6.7249880692409197E-2</c:v>
                </c:pt>
                <c:pt idx="3">
                  <c:v>6.9154799138501505E-2</c:v>
                </c:pt>
                <c:pt idx="4">
                  <c:v>7.1050927743941006E-2</c:v>
                </c:pt>
                <c:pt idx="5">
                  <c:v>7.2931195615854205E-2</c:v>
                </c:pt>
                <c:pt idx="6">
                  <c:v>7.4782377453325194E-2</c:v>
                </c:pt>
                <c:pt idx="7">
                  <c:v>7.6586441242508393E-2</c:v>
                </c:pt>
                <c:pt idx="8">
                  <c:v>7.8320698001616604E-2</c:v>
                </c:pt>
                <c:pt idx="9">
                  <c:v>7.9957490661773101E-2</c:v>
                </c:pt>
                <c:pt idx="10">
                  <c:v>8.1463732641106595E-2</c:v>
                </c:pt>
                <c:pt idx="11">
                  <c:v>8.2800383480671105E-2</c:v>
                </c:pt>
                <c:pt idx="12">
                  <c:v>8.3780026147447395E-2</c:v>
                </c:pt>
                <c:pt idx="13">
                  <c:v>8.4634021045889005E-2</c:v>
                </c:pt>
                <c:pt idx="14">
                  <c:v>8.5161230080310305E-2</c:v>
                </c:pt>
                <c:pt idx="15">
                  <c:v>8.5295478806126507E-2</c:v>
                </c:pt>
                <c:pt idx="16">
                  <c:v>8.4964448434294002E-2</c:v>
                </c:pt>
                <c:pt idx="17">
                  <c:v>8.4093525452652806E-2</c:v>
                </c:pt>
                <c:pt idx="18">
                  <c:v>8.2595919079292604E-2</c:v>
                </c:pt>
                <c:pt idx="19">
                  <c:v>8.0398134225032294E-2</c:v>
                </c:pt>
                <c:pt idx="20">
                  <c:v>7.7423727056903799E-2</c:v>
                </c:pt>
                <c:pt idx="21">
                  <c:v>7.3609469024947805E-2</c:v>
                </c:pt>
                <c:pt idx="22">
                  <c:v>6.8910651241070903E-2</c:v>
                </c:pt>
                <c:pt idx="23">
                  <c:v>6.3295321950020605E-2</c:v>
                </c:pt>
                <c:pt idx="24">
                  <c:v>5.6771839194281998E-2</c:v>
                </c:pt>
                <c:pt idx="25">
                  <c:v>4.9380699404044298E-2</c:v>
                </c:pt>
                <c:pt idx="26">
                  <c:v>4.1296814365665797E-2</c:v>
                </c:pt>
                <c:pt idx="27">
                  <c:v>3.2441749061548703E-2</c:v>
                </c:pt>
                <c:pt idx="28">
                  <c:v>2.30208474171762E-2</c:v>
                </c:pt>
                <c:pt idx="29">
                  <c:v>1.32257156298885E-2</c:v>
                </c:pt>
                <c:pt idx="30">
                  <c:v>3.2378528695277101E-3</c:v>
                </c:pt>
                <c:pt idx="31">
                  <c:v>-6.8554716160407897E-3</c:v>
                </c:pt>
                <c:pt idx="32">
                  <c:v>-1.6684846653105202E-2</c:v>
                </c:pt>
                <c:pt idx="33">
                  <c:v>-2.6173626092320001E-2</c:v>
                </c:pt>
                <c:pt idx="34">
                  <c:v>-3.5153880162189302E-2</c:v>
                </c:pt>
                <c:pt idx="35">
                  <c:v>-4.36020801860761E-2</c:v>
                </c:pt>
                <c:pt idx="36">
                  <c:v>-5.1340884194684598E-2</c:v>
                </c:pt>
                <c:pt idx="37">
                  <c:v>-5.8605433284938002E-2</c:v>
                </c:pt>
                <c:pt idx="38">
                  <c:v>-6.5131086690838502E-2</c:v>
                </c:pt>
                <c:pt idx="39">
                  <c:v>-7.0821620641472793E-2</c:v>
                </c:pt>
                <c:pt idx="40">
                  <c:v>-7.5836887906693295E-2</c:v>
                </c:pt>
                <c:pt idx="41">
                  <c:v>-7.80496954009266E-2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8C-4463-B69E-280A470D1743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_markers!$Y$2:$Y$43</c:f>
              <c:numCache>
                <c:formatCode>General</c:formatCode>
                <c:ptCount val="42"/>
                <c:pt idx="31">
                  <c:v>0.18661710955458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8C-4463-B69E-280A470D1743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DATA!$B$506:$B$547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_markers!$Z$2:$Z$43</c:f>
              <c:numCache>
                <c:formatCode>General</c:formatCode>
                <c:ptCount val="42"/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8C-4463-B69E-280A470D1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50560"/>
        <c:axId val="1600057760"/>
      </c:lineChart>
      <c:catAx>
        <c:axId val="160005056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57760"/>
        <c:crosses val="autoZero"/>
        <c:auto val="1"/>
        <c:lblAlgn val="ctr"/>
        <c:lblOffset val="100"/>
        <c:tickLblSkip val="1"/>
        <c:noMultiLvlLbl val="0"/>
      </c:catAx>
      <c:valAx>
        <c:axId val="160005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5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2.3875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DATA!$M$548:$M$589</c:f>
              <c:numCache>
                <c:formatCode>General</c:formatCode>
                <c:ptCount val="42"/>
                <c:pt idx="0">
                  <c:v>3.6253837408789097E-2</c:v>
                </c:pt>
                <c:pt idx="1">
                  <c:v>3.8758485810226603E-2</c:v>
                </c:pt>
                <c:pt idx="2">
                  <c:v>4.14565623063477E-2</c:v>
                </c:pt>
                <c:pt idx="3">
                  <c:v>4.4360349620803298E-2</c:v>
                </c:pt>
                <c:pt idx="4">
                  <c:v>4.7493988064564202E-2</c:v>
                </c:pt>
                <c:pt idx="5">
                  <c:v>5.0879223770962101E-2</c:v>
                </c:pt>
                <c:pt idx="6">
                  <c:v>5.4537472934970702E-2</c:v>
                </c:pt>
                <c:pt idx="7">
                  <c:v>5.8411655270006101E-2</c:v>
                </c:pt>
                <c:pt idx="8">
                  <c:v>6.2678751375518094E-2</c:v>
                </c:pt>
                <c:pt idx="9">
                  <c:v>6.7284189975127306E-2</c:v>
                </c:pt>
                <c:pt idx="10">
                  <c:v>7.2248796959353198E-2</c:v>
                </c:pt>
                <c:pt idx="11">
                  <c:v>7.7591791192964901E-2</c:v>
                </c:pt>
                <c:pt idx="12">
                  <c:v>8.3329638648467805E-2</c:v>
                </c:pt>
                <c:pt idx="13">
                  <c:v>8.9474602350481006E-2</c:v>
                </c:pt>
                <c:pt idx="14">
                  <c:v>9.6032968723428397E-2</c:v>
                </c:pt>
                <c:pt idx="15">
                  <c:v>0.103002887930856</c:v>
                </c:pt>
                <c:pt idx="16">
                  <c:v>0.110371876627435</c:v>
                </c:pt>
                <c:pt idx="17">
                  <c:v>0.118114134219433</c:v>
                </c:pt>
                <c:pt idx="18">
                  <c:v>0.12618759565224999</c:v>
                </c:pt>
                <c:pt idx="19">
                  <c:v>0.13453238518653701</c:v>
                </c:pt>
                <c:pt idx="20">
                  <c:v>0.14307040657765799</c:v>
                </c:pt>
                <c:pt idx="21">
                  <c:v>0.15168448328959</c:v>
                </c:pt>
                <c:pt idx="22">
                  <c:v>0.16030133750106301</c:v>
                </c:pt>
                <c:pt idx="23">
                  <c:v>0.16868835731022699</c:v>
                </c:pt>
                <c:pt idx="24">
                  <c:v>0.176710059383337</c:v>
                </c:pt>
                <c:pt idx="25">
                  <c:v>0.18419691163490401</c:v>
                </c:pt>
                <c:pt idx="26">
                  <c:v>0.19097576429163199</c:v>
                </c:pt>
                <c:pt idx="27">
                  <c:v>0.196883628302193</c:v>
                </c:pt>
                <c:pt idx="28">
                  <c:v>0.20190393115327199</c:v>
                </c:pt>
                <c:pt idx="29">
                  <c:v>0.205684814792153</c:v>
                </c:pt>
                <c:pt idx="30">
                  <c:v>0.20827660554979099</c:v>
                </c:pt>
                <c:pt idx="31">
                  <c:v>0.20966098367970701</c:v>
                </c:pt>
                <c:pt idx="32">
                  <c:v>0.20985875714426899</c:v>
                </c:pt>
                <c:pt idx="33">
                  <c:v>0.208757338584731</c:v>
                </c:pt>
                <c:pt idx="34">
                  <c:v>0.206796364125194</c:v>
                </c:pt>
                <c:pt idx="35">
                  <c:v>0.20393936570087201</c:v>
                </c:pt>
                <c:pt idx="36">
                  <c:v>0.20030871803849401</c:v>
                </c:pt>
                <c:pt idx="37">
                  <c:v>0.19613416005311601</c:v>
                </c:pt>
                <c:pt idx="38">
                  <c:v>0.19140096531645401</c:v>
                </c:pt>
                <c:pt idx="39">
                  <c:v>0.18640513194348299</c:v>
                </c:pt>
                <c:pt idx="40">
                  <c:v>0.18118026251123301</c:v>
                </c:pt>
                <c:pt idx="41">
                  <c:v>0.18240613189697799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6-4425-A7FD-A5F7C9C3F1B6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DATA!$N$548:$N$589</c:f>
              <c:numCache>
                <c:formatCode>General</c:formatCode>
                <c:ptCount val="42"/>
                <c:pt idx="0">
                  <c:v>7.1497269820734802E-2</c:v>
                </c:pt>
                <c:pt idx="1">
                  <c:v>7.3606247865425301E-2</c:v>
                </c:pt>
                <c:pt idx="2">
                  <c:v>7.5723687216946695E-2</c:v>
                </c:pt>
                <c:pt idx="3">
                  <c:v>7.7840760495925504E-2</c:v>
                </c:pt>
                <c:pt idx="4">
                  <c:v>7.9958345267350003E-2</c:v>
                </c:pt>
                <c:pt idx="5">
                  <c:v>8.2067078914169506E-2</c:v>
                </c:pt>
                <c:pt idx="6">
                  <c:v>8.4152116407769206E-2</c:v>
                </c:pt>
                <c:pt idx="7">
                  <c:v>8.6164686197346796E-2</c:v>
                </c:pt>
                <c:pt idx="8">
                  <c:v>8.8135821383540799E-2</c:v>
                </c:pt>
                <c:pt idx="9">
                  <c:v>9.0011006070700297E-2</c:v>
                </c:pt>
                <c:pt idx="10">
                  <c:v>9.1755677638429803E-2</c:v>
                </c:pt>
                <c:pt idx="11">
                  <c:v>9.3329030906663502E-2</c:v>
                </c:pt>
                <c:pt idx="12">
                  <c:v>9.4683408381725107E-2</c:v>
                </c:pt>
                <c:pt idx="13">
                  <c:v>9.5763822006464799E-2</c:v>
                </c:pt>
                <c:pt idx="14">
                  <c:v>9.6507636184038903E-2</c:v>
                </c:pt>
                <c:pt idx="15">
                  <c:v>9.6844616194557101E-2</c:v>
                </c:pt>
                <c:pt idx="16">
                  <c:v>9.6697426166959102E-2</c:v>
                </c:pt>
                <c:pt idx="17">
                  <c:v>9.5982804875786101E-2</c:v>
                </c:pt>
                <c:pt idx="18">
                  <c:v>9.4613566364272803E-2</c:v>
                </c:pt>
                <c:pt idx="19">
                  <c:v>9.2535052502490903E-2</c:v>
                </c:pt>
                <c:pt idx="20">
                  <c:v>8.9592281096583196E-2</c:v>
                </c:pt>
                <c:pt idx="21">
                  <c:v>8.5748297886990898E-2</c:v>
                </c:pt>
                <c:pt idx="22">
                  <c:v>8.0916670070959998E-2</c:v>
                </c:pt>
                <c:pt idx="23">
                  <c:v>7.5091222964783197E-2</c:v>
                </c:pt>
                <c:pt idx="24">
                  <c:v>6.8255021466372398E-2</c:v>
                </c:pt>
                <c:pt idx="25">
                  <c:v>6.0431132040388302E-2</c:v>
                </c:pt>
                <c:pt idx="26">
                  <c:v>5.16833920494306E-2</c:v>
                </c:pt>
                <c:pt idx="27">
                  <c:v>4.21159489814905E-2</c:v>
                </c:pt>
                <c:pt idx="28">
                  <c:v>3.1857699256543803E-2</c:v>
                </c:pt>
                <c:pt idx="29">
                  <c:v>2.1109262246840298E-2</c:v>
                </c:pt>
                <c:pt idx="30">
                  <c:v>1.00712964343026E-2</c:v>
                </c:pt>
                <c:pt idx="31">
                  <c:v>-1.06702818935331E-3</c:v>
                </c:pt>
                <c:pt idx="32">
                  <c:v>-1.21130976464532E-2</c:v>
                </c:pt>
                <c:pt idx="33">
                  <c:v>-2.2802414083233399E-2</c:v>
                </c:pt>
                <c:pt idx="34">
                  <c:v>-3.3101194025055999E-2</c:v>
                </c:pt>
                <c:pt idx="35">
                  <c:v>-4.2822437487692801E-2</c:v>
                </c:pt>
                <c:pt idx="36">
                  <c:v>-5.1931406746796999E-2</c:v>
                </c:pt>
                <c:pt idx="37">
                  <c:v>-6.0293246487596E-2</c:v>
                </c:pt>
                <c:pt idx="38">
                  <c:v>-6.7786313865575307E-2</c:v>
                </c:pt>
                <c:pt idx="39">
                  <c:v>-7.4547371960935999E-2</c:v>
                </c:pt>
                <c:pt idx="40">
                  <c:v>-8.0517702315388795E-2</c:v>
                </c:pt>
                <c:pt idx="41">
                  <c:v>-8.2076331179551307E-2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36-4425-A7FD-A5F7C9C3F1B6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_markers!$AA$2:$AA$43</c:f>
              <c:numCache>
                <c:formatCode>General</c:formatCode>
                <c:ptCount val="42"/>
                <c:pt idx="32">
                  <c:v>0.20985875714426899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6-4425-A7FD-A5F7C9C3F1B6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DATA!$B$548:$B$589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_markers!$AB$2:$AB$43</c:f>
              <c:numCache>
                <c:formatCode>General</c:formatCode>
                <c:ptCount val="42"/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6-4425-A7FD-A5F7C9C3F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061600"/>
        <c:axId val="1600061120"/>
      </c:lineChart>
      <c:catAx>
        <c:axId val="160006160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61120"/>
        <c:crosses val="autoZero"/>
        <c:auto val="1"/>
        <c:lblAlgn val="ctr"/>
        <c:lblOffset val="100"/>
        <c:tickLblSkip val="1"/>
        <c:noMultiLvlLbl val="0"/>
      </c:catAx>
      <c:valAx>
        <c:axId val="160006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061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2.525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DATA!$M$590:$M$631</c:f>
              <c:numCache>
                <c:formatCode>General</c:formatCode>
                <c:ptCount val="42"/>
                <c:pt idx="0">
                  <c:v>3.9504395355774803E-2</c:v>
                </c:pt>
                <c:pt idx="1">
                  <c:v>4.2278541305693002E-2</c:v>
                </c:pt>
                <c:pt idx="2">
                  <c:v>4.5221107967985001E-2</c:v>
                </c:pt>
                <c:pt idx="3">
                  <c:v>4.83937398866136E-2</c:v>
                </c:pt>
                <c:pt idx="4">
                  <c:v>5.1831983138145701E-2</c:v>
                </c:pt>
                <c:pt idx="5">
                  <c:v>5.5505361772528503E-2</c:v>
                </c:pt>
                <c:pt idx="6">
                  <c:v>5.9436265469510502E-2</c:v>
                </c:pt>
                <c:pt idx="7">
                  <c:v>6.37178726753065E-2</c:v>
                </c:pt>
                <c:pt idx="8">
                  <c:v>6.8340557769732205E-2</c:v>
                </c:pt>
                <c:pt idx="9">
                  <c:v>7.33290007536197E-2</c:v>
                </c:pt>
                <c:pt idx="10">
                  <c:v>7.8706671173272805E-2</c:v>
                </c:pt>
                <c:pt idx="11">
                  <c:v>8.4495253910037593E-2</c:v>
                </c:pt>
                <c:pt idx="12">
                  <c:v>9.07137567514084E-2</c:v>
                </c:pt>
                <c:pt idx="13">
                  <c:v>9.7377014694781702E-2</c:v>
                </c:pt>
                <c:pt idx="14">
                  <c:v>0.104493965109832</c:v>
                </c:pt>
                <c:pt idx="15">
                  <c:v>0.112065381263328</c:v>
                </c:pt>
                <c:pt idx="16">
                  <c:v>0.120081380679496</c:v>
                </c:pt>
                <c:pt idx="17">
                  <c:v>0.128581420908918</c:v>
                </c:pt>
                <c:pt idx="18">
                  <c:v>0.13740050603279799</c:v>
                </c:pt>
                <c:pt idx="19">
                  <c:v>0.14654078049477201</c:v>
                </c:pt>
                <c:pt idx="20">
                  <c:v>0.155920232588144</c:v>
                </c:pt>
                <c:pt idx="21">
                  <c:v>0.16541835623072501</c:v>
                </c:pt>
                <c:pt idx="22">
                  <c:v>0.174936128737195</c:v>
                </c:pt>
                <c:pt idx="23">
                  <c:v>0.184261987953938</c:v>
                </c:pt>
                <c:pt idx="24">
                  <c:v>0.19331007149767199</c:v>
                </c:pt>
                <c:pt idx="25">
                  <c:v>0.201824634028341</c:v>
                </c:pt>
                <c:pt idx="26">
                  <c:v>0.209643490672489</c:v>
                </c:pt>
                <c:pt idx="27">
                  <c:v>0.216574696951849</c:v>
                </c:pt>
                <c:pt idx="28">
                  <c:v>0.22245667134448999</c:v>
                </c:pt>
                <c:pt idx="29">
                  <c:v>0.227155655060575</c:v>
                </c:pt>
                <c:pt idx="30">
                  <c:v>0.23055406807030401</c:v>
                </c:pt>
                <c:pt idx="31">
                  <c:v>0.23266075793368499</c:v>
                </c:pt>
                <c:pt idx="32">
                  <c:v>0.23345263802284599</c:v>
                </c:pt>
                <c:pt idx="33">
                  <c:v>0.23299874777357099</c:v>
                </c:pt>
                <c:pt idx="34">
                  <c:v>0.23136523899393899</c:v>
                </c:pt>
                <c:pt idx="35">
                  <c:v>0.22869057379237301</c:v>
                </c:pt>
                <c:pt idx="36">
                  <c:v>0.225081462006779</c:v>
                </c:pt>
                <c:pt idx="37">
                  <c:v>0.22082402744553301</c:v>
                </c:pt>
                <c:pt idx="38">
                  <c:v>0.215923254383036</c:v>
                </c:pt>
                <c:pt idx="39">
                  <c:v>0.21056141240533799</c:v>
                </c:pt>
                <c:pt idx="40">
                  <c:v>0.20503295899850901</c:v>
                </c:pt>
                <c:pt idx="41">
                  <c:v>0.20676370743886899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B-4906-BC32-28FED8F77A30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DATA!$N$590:$N$631</c:f>
              <c:numCache>
                <c:formatCode>General</c:formatCode>
                <c:ptCount val="42"/>
                <c:pt idx="0">
                  <c:v>7.9846216777491097E-2</c:v>
                </c:pt>
                <c:pt idx="1">
                  <c:v>8.2227211964999894E-2</c:v>
                </c:pt>
                <c:pt idx="2">
                  <c:v>8.4566330129678194E-2</c:v>
                </c:pt>
                <c:pt idx="3">
                  <c:v>8.6953623603907307E-2</c:v>
                </c:pt>
                <c:pt idx="4">
                  <c:v>8.9280662882403106E-2</c:v>
                </c:pt>
                <c:pt idx="5">
                  <c:v>9.1614771121014293E-2</c:v>
                </c:pt>
                <c:pt idx="6">
                  <c:v>9.3808579127992495E-2</c:v>
                </c:pt>
                <c:pt idx="7">
                  <c:v>9.6105045632317296E-2</c:v>
                </c:pt>
                <c:pt idx="8">
                  <c:v>9.8330451449646902E-2</c:v>
                </c:pt>
                <c:pt idx="9">
                  <c:v>0.100456179923399</c:v>
                </c:pt>
                <c:pt idx="10">
                  <c:v>0.10244716548693</c:v>
                </c:pt>
                <c:pt idx="11">
                  <c:v>0.10426140269036401</c:v>
                </c:pt>
                <c:pt idx="12">
                  <c:v>0.105849417665273</c:v>
                </c:pt>
                <c:pt idx="13">
                  <c:v>0.107153756597708</c:v>
                </c:pt>
                <c:pt idx="14">
                  <c:v>0.108108653920773</c:v>
                </c:pt>
                <c:pt idx="15">
                  <c:v>0.10863996973944701</c:v>
                </c:pt>
                <c:pt idx="16">
                  <c:v>0.10866560869032001</c:v>
                </c:pt>
                <c:pt idx="17">
                  <c:v>0.108122626775216</c:v>
                </c:pt>
                <c:pt idx="18">
                  <c:v>0.10686258136912601</c:v>
                </c:pt>
                <c:pt idx="19">
                  <c:v>0.10481821280968</c:v>
                </c:pt>
                <c:pt idx="20">
                  <c:v>0.101895595644002</c:v>
                </c:pt>
                <c:pt idx="21">
                  <c:v>9.8014708075240597E-2</c:v>
                </c:pt>
                <c:pt idx="22">
                  <c:v>9.30904119008992E-2</c:v>
                </c:pt>
                <c:pt idx="23">
                  <c:v>8.7076277861684301E-2</c:v>
                </c:pt>
                <c:pt idx="24">
                  <c:v>7.9937034739882007E-2</c:v>
                </c:pt>
                <c:pt idx="25">
                  <c:v>7.1719121932163205E-2</c:v>
                </c:pt>
                <c:pt idx="26">
                  <c:v>6.2451192973123203E-2</c:v>
                </c:pt>
                <c:pt idx="27">
                  <c:v>5.2239476354149203E-2</c:v>
                </c:pt>
                <c:pt idx="28">
                  <c:v>4.1221335746251003E-2</c:v>
                </c:pt>
                <c:pt idx="29">
                  <c:v>2.9574039585532799E-2</c:v>
                </c:pt>
                <c:pt idx="30">
                  <c:v>1.7596221820844599E-2</c:v>
                </c:pt>
                <c:pt idx="31">
                  <c:v>5.3295836536672797E-3</c:v>
                </c:pt>
                <c:pt idx="32">
                  <c:v>-6.9200310322412696E-3</c:v>
                </c:pt>
                <c:pt idx="33">
                  <c:v>-1.8900398664752599E-2</c:v>
                </c:pt>
                <c:pt idx="34">
                  <c:v>-3.0503790280698301E-2</c:v>
                </c:pt>
                <c:pt idx="35">
                  <c:v>-4.1520429497073998E-2</c:v>
                </c:pt>
                <c:pt idx="36">
                  <c:v>-5.19252114143171E-2</c:v>
                </c:pt>
                <c:pt idx="37">
                  <c:v>-6.1529367900642097E-2</c:v>
                </c:pt>
                <c:pt idx="38">
                  <c:v>-7.0253922244692596E-2</c:v>
                </c:pt>
                <c:pt idx="39">
                  <c:v>-7.8126663319802503E-2</c:v>
                </c:pt>
                <c:pt idx="40">
                  <c:v>-8.5075717365666395E-2</c:v>
                </c:pt>
                <c:pt idx="41">
                  <c:v>-8.6442223995350495E-2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BB-4906-BC32-28FED8F77A30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_markers!$AC$2:$AC$43</c:f>
              <c:numCache>
                <c:formatCode>General</c:formatCode>
                <c:ptCount val="42"/>
                <c:pt idx="32">
                  <c:v>0.23345263802284599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BB-4906-BC32-28FED8F77A30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DATA!$B$590:$B$631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_markers!$AD$2:$AD$43</c:f>
              <c:numCache>
                <c:formatCode>General</c:formatCode>
                <c:ptCount val="42"/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BB-4906-BC32-28FED8F77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2079856"/>
        <c:axId val="1302080816"/>
      </c:lineChart>
      <c:catAx>
        <c:axId val="130207985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80816"/>
        <c:crosses val="autoZero"/>
        <c:auto val="1"/>
        <c:lblAlgn val="ctr"/>
        <c:lblOffset val="100"/>
        <c:tickLblSkip val="1"/>
        <c:noMultiLvlLbl val="0"/>
      </c:catAx>
      <c:valAx>
        <c:axId val="130208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07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2.6625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DATA!$M$632:$M$673</c:f>
              <c:numCache>
                <c:formatCode>General</c:formatCode>
                <c:ptCount val="42"/>
                <c:pt idx="0">
                  <c:v>4.2563054342549499E-2</c:v>
                </c:pt>
                <c:pt idx="1">
                  <c:v>4.5537691908953799E-2</c:v>
                </c:pt>
                <c:pt idx="2">
                  <c:v>4.8676371946746698E-2</c:v>
                </c:pt>
                <c:pt idx="3">
                  <c:v>5.2037392241018401E-2</c:v>
                </c:pt>
                <c:pt idx="4">
                  <c:v>5.5655713381810898E-2</c:v>
                </c:pt>
                <c:pt idx="5">
                  <c:v>5.9558750566578299E-2</c:v>
                </c:pt>
                <c:pt idx="6">
                  <c:v>6.3772129458426294E-2</c:v>
                </c:pt>
                <c:pt idx="7">
                  <c:v>6.8321323448490498E-2</c:v>
                </c:pt>
                <c:pt idx="8">
                  <c:v>7.3231977206598797E-2</c:v>
                </c:pt>
                <c:pt idx="9">
                  <c:v>7.8529796512100597E-2</c:v>
                </c:pt>
                <c:pt idx="10">
                  <c:v>8.4240031838297605E-2</c:v>
                </c:pt>
                <c:pt idx="11">
                  <c:v>9.0386733685186002E-2</c:v>
                </c:pt>
                <c:pt idx="12">
                  <c:v>9.6991714380242997E-2</c:v>
                </c:pt>
                <c:pt idx="13">
                  <c:v>0.104073149053374</c:v>
                </c:pt>
                <c:pt idx="14">
                  <c:v>0.111576596797785</c:v>
                </c:pt>
                <c:pt idx="15">
                  <c:v>0.11963987820033101</c:v>
                </c:pt>
                <c:pt idx="16">
                  <c:v>0.12819428797322699</c:v>
                </c:pt>
                <c:pt idx="17">
                  <c:v>0.13722212879580201</c:v>
                </c:pt>
                <c:pt idx="18">
                  <c:v>0.146689896459337</c:v>
                </c:pt>
                <c:pt idx="19">
                  <c:v>0.15654522985036001</c:v>
                </c:pt>
                <c:pt idx="20">
                  <c:v>0.166713171526683</c:v>
                </c:pt>
                <c:pt idx="21">
                  <c:v>0.17708822999731599</c:v>
                </c:pt>
                <c:pt idx="22">
                  <c:v>0.187463066408767</c:v>
                </c:pt>
                <c:pt idx="23">
                  <c:v>0.19791486255064999</c:v>
                </c:pt>
                <c:pt idx="24">
                  <c:v>0.20803077174083801</c:v>
                </c:pt>
                <c:pt idx="25">
                  <c:v>0.217744174467419</c:v>
                </c:pt>
                <c:pt idx="26">
                  <c:v>0.22683906430054901</c:v>
                </c:pt>
                <c:pt idx="27">
                  <c:v>0.235070244409535</c:v>
                </c:pt>
                <c:pt idx="28">
                  <c:v>0.24226930104730099</c:v>
                </c:pt>
                <c:pt idx="29">
                  <c:v>0.24850010288587199</c:v>
                </c:pt>
                <c:pt idx="30">
                  <c:v>0.25319325150600702</c:v>
                </c:pt>
                <c:pt idx="31">
                  <c:v>0.25648380487214101</c:v>
                </c:pt>
                <c:pt idx="32">
                  <c:v>0.25832651745013302</c:v>
                </c:pt>
                <c:pt idx="33">
                  <c:v>0.25879854803567198</c:v>
                </c:pt>
                <c:pt idx="34">
                  <c:v>0.25790339608038698</c:v>
                </c:pt>
                <c:pt idx="35">
                  <c:v>0.25572103017617698</c:v>
                </c:pt>
                <c:pt idx="36">
                  <c:v>0.25250748109993798</c:v>
                </c:pt>
                <c:pt idx="37">
                  <c:v>0.248393450076069</c:v>
                </c:pt>
                <c:pt idx="38">
                  <c:v>0.24360140539873101</c:v>
                </c:pt>
                <c:pt idx="39">
                  <c:v>0.238162376037377</c:v>
                </c:pt>
                <c:pt idx="40">
                  <c:v>0.232376237706928</c:v>
                </c:pt>
                <c:pt idx="41">
                  <c:v>0.23387080835555399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1-494D-B6DB-CF0521514DE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DATA!$N$632:$N$673</c:f>
              <c:numCache>
                <c:formatCode>General</c:formatCode>
                <c:ptCount val="42"/>
                <c:pt idx="0">
                  <c:v>8.8089992362670996E-2</c:v>
                </c:pt>
                <c:pt idx="1">
                  <c:v>9.0771043869532206E-2</c:v>
                </c:pt>
                <c:pt idx="2">
                  <c:v>9.3349357797816696E-2</c:v>
                </c:pt>
                <c:pt idx="3">
                  <c:v>9.5920317798214694E-2</c:v>
                </c:pt>
                <c:pt idx="4">
                  <c:v>9.8497154800699205E-2</c:v>
                </c:pt>
                <c:pt idx="5">
                  <c:v>0.101073546065411</c:v>
                </c:pt>
                <c:pt idx="6">
                  <c:v>0.103635309556801</c:v>
                </c:pt>
                <c:pt idx="7">
                  <c:v>0.106162917969423</c:v>
                </c:pt>
                <c:pt idx="8">
                  <c:v>0.10863180541343399</c:v>
                </c:pt>
                <c:pt idx="9">
                  <c:v>0.111012004404938</c:v>
                </c:pt>
                <c:pt idx="10">
                  <c:v>0.113267561842749</c:v>
                </c:pt>
                <c:pt idx="11">
                  <c:v>0.115355835845584</c:v>
                </c:pt>
                <c:pt idx="12">
                  <c:v>0.117226785951124</c:v>
                </c:pt>
                <c:pt idx="13">
                  <c:v>0.11882230768930301</c:v>
                </c:pt>
                <c:pt idx="14">
                  <c:v>0.12007842918525399</c:v>
                </c:pt>
                <c:pt idx="15">
                  <c:v>0.120913567827448</c:v>
                </c:pt>
                <c:pt idx="16">
                  <c:v>0.121246152299822</c:v>
                </c:pt>
                <c:pt idx="17">
                  <c:v>0.120984297566101</c:v>
                </c:pt>
                <c:pt idx="18">
                  <c:v>0.120030204916383</c:v>
                </c:pt>
                <c:pt idx="19">
                  <c:v>0.118281965679975</c:v>
                </c:pt>
                <c:pt idx="20">
                  <c:v>0.11563637210010499</c:v>
                </c:pt>
                <c:pt idx="21">
                  <c:v>0.111997045276522</c:v>
                </c:pt>
                <c:pt idx="22">
                  <c:v>0.107217770233953</c:v>
                </c:pt>
                <c:pt idx="23">
                  <c:v>0.101299542006485</c:v>
                </c:pt>
                <c:pt idx="24">
                  <c:v>9.4232925667020295E-2</c:v>
                </c:pt>
                <c:pt idx="25">
                  <c:v>8.5950399184717599E-2</c:v>
                </c:pt>
                <c:pt idx="26">
                  <c:v>7.6463613363323704E-2</c:v>
                </c:pt>
                <c:pt idx="27">
                  <c:v>6.59166363062582E-2</c:v>
                </c:pt>
                <c:pt idx="28">
                  <c:v>5.4404635036501503E-2</c:v>
                </c:pt>
                <c:pt idx="29">
                  <c:v>4.2002635564821103E-2</c:v>
                </c:pt>
                <c:pt idx="30">
                  <c:v>2.9060251848674799E-2</c:v>
                </c:pt>
                <c:pt idx="31">
                  <c:v>1.5742749337695199E-2</c:v>
                </c:pt>
                <c:pt idx="32">
                  <c:v>2.3858973945816799E-3</c:v>
                </c:pt>
                <c:pt idx="33">
                  <c:v>-1.1071091651323001E-2</c:v>
                </c:pt>
                <c:pt idx="34">
                  <c:v>-2.3979910150093799E-2</c:v>
                </c:pt>
                <c:pt idx="35">
                  <c:v>-3.6458899129316699E-2</c:v>
                </c:pt>
                <c:pt idx="36">
                  <c:v>-4.8297142301155498E-2</c:v>
                </c:pt>
                <c:pt idx="37">
                  <c:v>-5.9382603777096997E-2</c:v>
                </c:pt>
                <c:pt idx="38">
                  <c:v>-6.9505647413935306E-2</c:v>
                </c:pt>
                <c:pt idx="39">
                  <c:v>-7.8797461225166093E-2</c:v>
                </c:pt>
                <c:pt idx="40">
                  <c:v>-8.7123097452037501E-2</c:v>
                </c:pt>
                <c:pt idx="41">
                  <c:v>-8.8860206781119597E-2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1-494D-B6DB-CF0521514DE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_markers!$AE$2:$AE$43</c:f>
              <c:numCache>
                <c:formatCode>General</c:formatCode>
                <c:ptCount val="42"/>
                <c:pt idx="33">
                  <c:v>0.25879854803567198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1-494D-B6DB-CF0521514DE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DATA!$B$632:$B$673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_markers!$AF$2:$AF$43</c:f>
              <c:numCache>
                <c:formatCode>General</c:formatCode>
                <c:ptCount val="42"/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1-494D-B6DB-CF0521514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982896"/>
        <c:axId val="1301975696"/>
      </c:lineChart>
      <c:catAx>
        <c:axId val="130198289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75696"/>
        <c:crosses val="autoZero"/>
        <c:auto val="1"/>
        <c:lblAlgn val="ctr"/>
        <c:lblOffset val="100"/>
        <c:tickLblSkip val="1"/>
        <c:noMultiLvlLbl val="0"/>
      </c:catAx>
      <c:valAx>
        <c:axId val="130197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8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701795918161979E-2"/>
          <c:w val="0.92107220075755036"/>
          <c:h val="0.78336731932241011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DATA!$M$674:$M$715</c:f>
              <c:numCache>
                <c:formatCode>General</c:formatCode>
                <c:ptCount val="42"/>
                <c:pt idx="0">
                  <c:v>4.5736256228841497E-2</c:v>
                </c:pt>
                <c:pt idx="1">
                  <c:v>4.8779946043455202E-2</c:v>
                </c:pt>
                <c:pt idx="2">
                  <c:v>5.2071932991491598E-2</c:v>
                </c:pt>
                <c:pt idx="3">
                  <c:v>5.5609516674813501E-2</c:v>
                </c:pt>
                <c:pt idx="4">
                  <c:v>5.9452758237096198E-2</c:v>
                </c:pt>
                <c:pt idx="5">
                  <c:v>6.3569442501474296E-2</c:v>
                </c:pt>
                <c:pt idx="6">
                  <c:v>6.8012079784026597E-2</c:v>
                </c:pt>
                <c:pt idx="7">
                  <c:v>7.2871351688334293E-2</c:v>
                </c:pt>
                <c:pt idx="8">
                  <c:v>7.8056175450049503E-2</c:v>
                </c:pt>
                <c:pt idx="9">
                  <c:v>8.3590410085444405E-2</c:v>
                </c:pt>
                <c:pt idx="10">
                  <c:v>8.9621744784014398E-2</c:v>
                </c:pt>
                <c:pt idx="11">
                  <c:v>9.61103869410459E-2</c:v>
                </c:pt>
                <c:pt idx="12">
                  <c:v>0.103112438534869</c:v>
                </c:pt>
                <c:pt idx="13">
                  <c:v>0.110586256617856</c:v>
                </c:pt>
                <c:pt idx="14">
                  <c:v>0.118580361895006</c:v>
                </c:pt>
                <c:pt idx="15">
                  <c:v>0.12710546600300501</c:v>
                </c:pt>
                <c:pt idx="16">
                  <c:v>0.13616255502962701</c:v>
                </c:pt>
                <c:pt idx="17">
                  <c:v>0.145740170871165</c:v>
                </c:pt>
                <c:pt idx="18">
                  <c:v>0.15581144519062601</c:v>
                </c:pt>
                <c:pt idx="19">
                  <c:v>0.16633071030249599</c:v>
                </c:pt>
                <c:pt idx="20">
                  <c:v>0.17723031964719399</c:v>
                </c:pt>
                <c:pt idx="21">
                  <c:v>0.18841768758893601</c:v>
                </c:pt>
                <c:pt idx="22">
                  <c:v>0.19977331513975999</c:v>
                </c:pt>
                <c:pt idx="23">
                  <c:v>0.21115015975075599</c:v>
                </c:pt>
                <c:pt idx="24">
                  <c:v>0.2223926479478</c:v>
                </c:pt>
                <c:pt idx="25">
                  <c:v>0.233278856305948</c:v>
                </c:pt>
                <c:pt idx="26">
                  <c:v>0.24360085582221599</c:v>
                </c:pt>
                <c:pt idx="27">
                  <c:v>0.2531453994949</c:v>
                </c:pt>
                <c:pt idx="28">
                  <c:v>0.261675617641771</c:v>
                </c:pt>
                <c:pt idx="29">
                  <c:v>0.269057398167591</c:v>
                </c:pt>
                <c:pt idx="30">
                  <c:v>0.275102315129991</c:v>
                </c:pt>
                <c:pt idx="31">
                  <c:v>0.27969559684636802</c:v>
                </c:pt>
                <c:pt idx="32">
                  <c:v>0.28278412016141502</c:v>
                </c:pt>
                <c:pt idx="33">
                  <c:v>0.28444691558615998</c:v>
                </c:pt>
                <c:pt idx="34">
                  <c:v>0.28452599729814798</c:v>
                </c:pt>
                <c:pt idx="35">
                  <c:v>0.28323671393146499</c:v>
                </c:pt>
                <c:pt idx="36">
                  <c:v>0.28067069368296699</c:v>
                </c:pt>
                <c:pt idx="37">
                  <c:v>0.276978270205892</c:v>
                </c:pt>
                <c:pt idx="38">
                  <c:v>0.27241895975620301</c:v>
                </c:pt>
                <c:pt idx="39">
                  <c:v>0.26712640908496899</c:v>
                </c:pt>
                <c:pt idx="40">
                  <c:v>0.26141237077261098</c:v>
                </c:pt>
                <c:pt idx="41">
                  <c:v>0.26208789438033098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FE-40A2-881C-6E5BB4F2B94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DATA!$N$674:$N$715</c:f>
              <c:numCache>
                <c:formatCode>General</c:formatCode>
                <c:ptCount val="42"/>
                <c:pt idx="0">
                  <c:v>9.6771254207372995E-2</c:v>
                </c:pt>
                <c:pt idx="1">
                  <c:v>9.9531532695276301E-2</c:v>
                </c:pt>
                <c:pt idx="2">
                  <c:v>0.102307542350764</c:v>
                </c:pt>
                <c:pt idx="3">
                  <c:v>0.105091193269944</c:v>
                </c:pt>
                <c:pt idx="4">
                  <c:v>0.107947734867554</c:v>
                </c:pt>
                <c:pt idx="5">
                  <c:v>0.11075954718113599</c:v>
                </c:pt>
                <c:pt idx="6">
                  <c:v>0.113561330239009</c:v>
                </c:pt>
                <c:pt idx="7">
                  <c:v>0.116362472179825</c:v>
                </c:pt>
                <c:pt idx="8">
                  <c:v>0.11909207393836201</c:v>
                </c:pt>
                <c:pt idx="9">
                  <c:v>0.121708051094293</c:v>
                </c:pt>
                <c:pt idx="10">
                  <c:v>0.124246018674788</c:v>
                </c:pt>
                <c:pt idx="11">
                  <c:v>0.12662646525784599</c:v>
                </c:pt>
                <c:pt idx="12">
                  <c:v>0.12872283612594501</c:v>
                </c:pt>
                <c:pt idx="13">
                  <c:v>0.13063159193062199</c:v>
                </c:pt>
                <c:pt idx="14">
                  <c:v>0.132201777534385</c:v>
                </c:pt>
                <c:pt idx="15">
                  <c:v>0.13335820424219899</c:v>
                </c:pt>
                <c:pt idx="16">
                  <c:v>0.13401609846986001</c:v>
                </c:pt>
                <c:pt idx="17">
                  <c:v>0.13408163474725401</c:v>
                </c:pt>
                <c:pt idx="18">
                  <c:v>0.13345320842532599</c:v>
                </c:pt>
                <c:pt idx="19">
                  <c:v>0.132023590002605</c:v>
                </c:pt>
                <c:pt idx="20">
                  <c:v>0.12968323160675699</c:v>
                </c:pt>
                <c:pt idx="21">
                  <c:v>0.12632480092260301</c:v>
                </c:pt>
                <c:pt idx="22">
                  <c:v>0.12184908820972</c:v>
                </c:pt>
                <c:pt idx="23">
                  <c:v>0.116172089390981</c:v>
                </c:pt>
                <c:pt idx="24">
                  <c:v>0.10922281877343799</c:v>
                </c:pt>
                <c:pt idx="25">
                  <c:v>0.100983148689896</c:v>
                </c:pt>
                <c:pt idx="26">
                  <c:v>9.1464825997619306E-2</c:v>
                </c:pt>
                <c:pt idx="27">
                  <c:v>8.0721017415554194E-2</c:v>
                </c:pt>
                <c:pt idx="28">
                  <c:v>6.8943702324828507E-2</c:v>
                </c:pt>
                <c:pt idx="29">
                  <c:v>5.6106192599616203E-2</c:v>
                </c:pt>
                <c:pt idx="30">
                  <c:v>4.2490324382592398E-2</c:v>
                </c:pt>
                <c:pt idx="31">
                  <c:v>2.8266787060411101E-2</c:v>
                </c:pt>
                <c:pt idx="32">
                  <c:v>1.37719928383728E-2</c:v>
                </c:pt>
                <c:pt idx="33">
                  <c:v>-8.3188976487099102E-4</c:v>
                </c:pt>
                <c:pt idx="34">
                  <c:v>-1.5187053597447601E-2</c:v>
                </c:pt>
                <c:pt idx="35">
                  <c:v>-2.9072452287647099E-2</c:v>
                </c:pt>
                <c:pt idx="36">
                  <c:v>-4.2371701614556202E-2</c:v>
                </c:pt>
                <c:pt idx="37">
                  <c:v>-5.4958446150044402E-2</c:v>
                </c:pt>
                <c:pt idx="38">
                  <c:v>-6.6651206020140005E-2</c:v>
                </c:pt>
                <c:pt idx="39">
                  <c:v>-7.7395537580973006E-2</c:v>
                </c:pt>
                <c:pt idx="40">
                  <c:v>-8.7018103176063802E-2</c:v>
                </c:pt>
                <c:pt idx="41">
                  <c:v>-9.0740677251871696E-2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FE-40A2-881C-6E5BB4F2B94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_markers!$AG$2:$AG$43</c:f>
              <c:numCache>
                <c:formatCode>General</c:formatCode>
                <c:ptCount val="42"/>
                <c:pt idx="34">
                  <c:v>0.28452599729814798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FE-40A2-881C-6E5BB4F2B94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DATA!$B$674:$B$715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_markers!$AH$2:$AH$43</c:f>
              <c:numCache>
                <c:formatCode>General</c:formatCode>
                <c:ptCount val="42"/>
                <c:pt idx="3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FE-40A2-881C-6E5BB4F2B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973296"/>
        <c:axId val="1301996816"/>
      </c:lineChart>
      <c:catAx>
        <c:axId val="130197329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96816"/>
        <c:crosses val="autoZero"/>
        <c:auto val="1"/>
        <c:lblAlgn val="ctr"/>
        <c:lblOffset val="100"/>
        <c:tickLblSkip val="1"/>
        <c:noMultiLvlLbl val="0"/>
      </c:catAx>
      <c:valAx>
        <c:axId val="13019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7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2.9375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DATA!$M$716:$M$757</c:f>
              <c:numCache>
                <c:formatCode>General</c:formatCode>
                <c:ptCount val="42"/>
                <c:pt idx="0">
                  <c:v>4.9198733910669201E-2</c:v>
                </c:pt>
                <c:pt idx="1">
                  <c:v>5.2463402330447502E-2</c:v>
                </c:pt>
                <c:pt idx="2">
                  <c:v>5.5993495878704898E-2</c:v>
                </c:pt>
                <c:pt idx="3">
                  <c:v>5.9783865612000497E-2</c:v>
                </c:pt>
                <c:pt idx="4">
                  <c:v>6.3861802339284707E-2</c:v>
                </c:pt>
                <c:pt idx="5">
                  <c:v>6.8255451383514895E-2</c:v>
                </c:pt>
                <c:pt idx="6">
                  <c:v>7.2992689451831294E-2</c:v>
                </c:pt>
                <c:pt idx="7">
                  <c:v>7.8101784667962804E-2</c:v>
                </c:pt>
                <c:pt idx="8">
                  <c:v>8.3611487660208095E-2</c:v>
                </c:pt>
                <c:pt idx="9">
                  <c:v>8.9550993538343407E-2</c:v>
                </c:pt>
                <c:pt idx="10">
                  <c:v>9.5949489374870994E-2</c:v>
                </c:pt>
                <c:pt idx="11">
                  <c:v>0.10283548058769799</c:v>
                </c:pt>
                <c:pt idx="12">
                  <c:v>0.110235828162232</c:v>
                </c:pt>
                <c:pt idx="13">
                  <c:v>0.118174539198016</c:v>
                </c:pt>
                <c:pt idx="14">
                  <c:v>0.12667112264334901</c:v>
                </c:pt>
                <c:pt idx="15">
                  <c:v>0.13573857991861299</c:v>
                </c:pt>
                <c:pt idx="16">
                  <c:v>0.14538097697216501</c:v>
                </c:pt>
                <c:pt idx="17">
                  <c:v>0.155572224746513</c:v>
                </c:pt>
                <c:pt idx="18">
                  <c:v>0.166314020424983</c:v>
                </c:pt>
                <c:pt idx="19">
                  <c:v>0.17758065615806601</c:v>
                </c:pt>
                <c:pt idx="20">
                  <c:v>0.18928054988926199</c:v>
                </c:pt>
                <c:pt idx="21">
                  <c:v>0.20133497635974201</c:v>
                </c:pt>
                <c:pt idx="22">
                  <c:v>0.213625199565603</c:v>
                </c:pt>
                <c:pt idx="23">
                  <c:v>0.22600000176538901</c:v>
                </c:pt>
                <c:pt idx="24">
                  <c:v>0.238214001125024</c:v>
                </c:pt>
                <c:pt idx="25">
                  <c:v>0.25022035629552702</c:v>
                </c:pt>
                <c:pt idx="26">
                  <c:v>0.261726294314438</c:v>
                </c:pt>
                <c:pt idx="27">
                  <c:v>0.27250351436889803</c:v>
                </c:pt>
                <c:pt idx="28">
                  <c:v>0.28236248336279202</c:v>
                </c:pt>
                <c:pt idx="29">
                  <c:v>0.29111043159832001</c:v>
                </c:pt>
                <c:pt idx="30">
                  <c:v>0.29841708968992797</c:v>
                </c:pt>
                <c:pt idx="31">
                  <c:v>0.30421877349101201</c:v>
                </c:pt>
                <c:pt idx="32">
                  <c:v>0.308431061255378</c:v>
                </c:pt>
                <c:pt idx="33">
                  <c:v>0.31101113831246602</c:v>
                </c:pt>
                <c:pt idx="34">
                  <c:v>0.311939820842488</c:v>
                </c:pt>
                <c:pt idx="35">
                  <c:v>0.31137223624152</c:v>
                </c:pt>
                <c:pt idx="36">
                  <c:v>0.30939607146790199</c:v>
                </c:pt>
                <c:pt idx="37">
                  <c:v>0.30601976131611303</c:v>
                </c:pt>
                <c:pt idx="38">
                  <c:v>0.301667047404516</c:v>
                </c:pt>
                <c:pt idx="39">
                  <c:v>0.29645740010444899</c:v>
                </c:pt>
                <c:pt idx="40">
                  <c:v>0.29084886883433098</c:v>
                </c:pt>
                <c:pt idx="41">
                  <c:v>0.29172439821925999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F-4FB5-A40F-4BBEF8EDB7E9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DATA!$N$716:$N$757</c:f>
              <c:numCache>
                <c:formatCode>General</c:formatCode>
                <c:ptCount val="42"/>
                <c:pt idx="0">
                  <c:v>0.10588344630018399</c:v>
                </c:pt>
                <c:pt idx="1">
                  <c:v>0.108958664379833</c:v>
                </c:pt>
                <c:pt idx="2">
                  <c:v>0.111995531046896</c:v>
                </c:pt>
                <c:pt idx="3">
                  <c:v>0.115039522198236</c:v>
                </c:pt>
                <c:pt idx="4">
                  <c:v>0.11809858123564</c:v>
                </c:pt>
                <c:pt idx="5">
                  <c:v>0.12116681195144299</c:v>
                </c:pt>
                <c:pt idx="6">
                  <c:v>0.124230904650869</c:v>
                </c:pt>
                <c:pt idx="7">
                  <c:v>0.12727191872716401</c:v>
                </c:pt>
                <c:pt idx="8">
                  <c:v>0.13026558800900001</c:v>
                </c:pt>
                <c:pt idx="9">
                  <c:v>0.13318202437075499</c:v>
                </c:pt>
                <c:pt idx="10">
                  <c:v>0.13598513441930701</c:v>
                </c:pt>
                <c:pt idx="11">
                  <c:v>0.138631898512559</c:v>
                </c:pt>
                <c:pt idx="12">
                  <c:v>0.14107159619666201</c:v>
                </c:pt>
                <c:pt idx="13">
                  <c:v>0.14324502828809901</c:v>
                </c:pt>
                <c:pt idx="14">
                  <c:v>0.145083834056663</c:v>
                </c:pt>
                <c:pt idx="15">
                  <c:v>0.14651000131753</c:v>
                </c:pt>
                <c:pt idx="16">
                  <c:v>0.14743568427009601</c:v>
                </c:pt>
                <c:pt idx="17">
                  <c:v>0.14776280684294599</c:v>
                </c:pt>
                <c:pt idx="18">
                  <c:v>0.147313609498118</c:v>
                </c:pt>
                <c:pt idx="19">
                  <c:v>0.14611669890412901</c:v>
                </c:pt>
                <c:pt idx="20">
                  <c:v>0.14398626859525199</c:v>
                </c:pt>
                <c:pt idx="21">
                  <c:v>0.140803608040384</c:v>
                </c:pt>
                <c:pt idx="22">
                  <c:v>0.136461067706245</c:v>
                </c:pt>
                <c:pt idx="23">
                  <c:v>0.13086419048099199</c:v>
                </c:pt>
                <c:pt idx="24">
                  <c:v>0.123932166765643</c:v>
                </c:pt>
                <c:pt idx="25">
                  <c:v>0.115628794741115</c:v>
                </c:pt>
                <c:pt idx="26">
                  <c:v>0.10594089181294999</c:v>
                </c:pt>
                <c:pt idx="27">
                  <c:v>9.4905546967291199E-2</c:v>
                </c:pt>
                <c:pt idx="28">
                  <c:v>8.2618571442644603E-2</c:v>
                </c:pt>
                <c:pt idx="29">
                  <c:v>6.9184116358897305E-2</c:v>
                </c:pt>
                <c:pt idx="30">
                  <c:v>5.48141020154689E-2</c:v>
                </c:pt>
                <c:pt idx="31">
                  <c:v>3.97452607599761E-2</c:v>
                </c:pt>
                <c:pt idx="32">
                  <c:v>2.4201908985259799E-2</c:v>
                </c:pt>
                <c:pt idx="33">
                  <c:v>8.46419864665004E-3</c:v>
                </c:pt>
                <c:pt idx="34">
                  <c:v>-7.0700025274461004E-3</c:v>
                </c:pt>
                <c:pt idx="35">
                  <c:v>-2.2396369480100601E-2</c:v>
                </c:pt>
                <c:pt idx="36">
                  <c:v>-3.7149233852844701E-2</c:v>
                </c:pt>
                <c:pt idx="37">
                  <c:v>-5.1221080484649399E-2</c:v>
                </c:pt>
                <c:pt idx="38">
                  <c:v>-6.4416307219960001E-2</c:v>
                </c:pt>
                <c:pt idx="39">
                  <c:v>-7.6617845220014205E-2</c:v>
                </c:pt>
                <c:pt idx="40">
                  <c:v>-8.7620938011992694E-2</c:v>
                </c:pt>
                <c:pt idx="41">
                  <c:v>-9.0809253989674196E-2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F-4FB5-A40F-4BBEF8EDB7E9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_markers!$AI$2:$AI$43</c:f>
              <c:numCache>
                <c:formatCode>General</c:formatCode>
                <c:ptCount val="42"/>
                <c:pt idx="34">
                  <c:v>0.311939820842488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F-4FB5-A40F-4BBEF8EDB7E9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DATA!$B$716:$B$757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_markers!$AJ$2:$AJ$43</c:f>
              <c:numCache>
                <c:formatCode>General</c:formatCode>
                <c:ptCount val="42"/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2F-4FB5-A40F-4BBEF8EDB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9067904"/>
        <c:axId val="1609067424"/>
      </c:lineChart>
      <c:catAx>
        <c:axId val="1609067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67424"/>
        <c:crosses val="autoZero"/>
        <c:auto val="1"/>
        <c:lblAlgn val="ctr"/>
        <c:lblOffset val="100"/>
        <c:tickLblSkip val="1"/>
        <c:noMultiLvlLbl val="0"/>
      </c:catAx>
      <c:valAx>
        <c:axId val="160906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6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3.075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DATA!$M$758:$M$799</c:f>
              <c:numCache>
                <c:formatCode>General</c:formatCode>
                <c:ptCount val="42"/>
                <c:pt idx="0">
                  <c:v>5.21268178543677E-2</c:v>
                </c:pt>
                <c:pt idx="1">
                  <c:v>5.5637383114455097E-2</c:v>
                </c:pt>
                <c:pt idx="2">
                  <c:v>5.93384616746968E-2</c:v>
                </c:pt>
                <c:pt idx="3">
                  <c:v>6.3297930973322702E-2</c:v>
                </c:pt>
                <c:pt idx="4">
                  <c:v>6.7555002620027393E-2</c:v>
                </c:pt>
                <c:pt idx="5">
                  <c:v>7.21395090098092E-2</c:v>
                </c:pt>
                <c:pt idx="6">
                  <c:v>7.7079980277618795E-2</c:v>
                </c:pt>
                <c:pt idx="7">
                  <c:v>8.2405446033812099E-2</c:v>
                </c:pt>
                <c:pt idx="8">
                  <c:v>8.8145742193090806E-2</c:v>
                </c:pt>
                <c:pt idx="9">
                  <c:v>9.4331443197138903E-2</c:v>
                </c:pt>
                <c:pt idx="10">
                  <c:v>0.10099346719520499</c:v>
                </c:pt>
                <c:pt idx="11">
                  <c:v>0.108162438807874</c:v>
                </c:pt>
                <c:pt idx="12">
                  <c:v>0.115867871388861</c:v>
                </c:pt>
                <c:pt idx="13">
                  <c:v>0.124136985622299</c:v>
                </c:pt>
                <c:pt idx="14">
                  <c:v>0.13299318196481799</c:v>
                </c:pt>
                <c:pt idx="15">
                  <c:v>0.142429067316488</c:v>
                </c:pt>
                <c:pt idx="16">
                  <c:v>0.152475850301003</c:v>
                </c:pt>
                <c:pt idx="17">
                  <c:v>0.16316221292699501</c:v>
                </c:pt>
                <c:pt idx="18">
                  <c:v>0.17444702320387301</c:v>
                </c:pt>
                <c:pt idx="19">
                  <c:v>0.186298207420727</c:v>
                </c:pt>
                <c:pt idx="20">
                  <c:v>0.19864394378345401</c:v>
                </c:pt>
                <c:pt idx="21">
                  <c:v>0.21145387451514</c:v>
                </c:pt>
                <c:pt idx="22">
                  <c:v>0.224587789571566</c:v>
                </c:pt>
                <c:pt idx="23">
                  <c:v>0.23791587846562301</c:v>
                </c:pt>
                <c:pt idx="24">
                  <c:v>0.251273949899534</c:v>
                </c:pt>
                <c:pt idx="25">
                  <c:v>0.26440483455820102</c:v>
                </c:pt>
                <c:pt idx="26">
                  <c:v>0.27720564729657499</c:v>
                </c:pt>
                <c:pt idx="27">
                  <c:v>0.28939963277974701</c:v>
                </c:pt>
                <c:pt idx="28">
                  <c:v>0.30073662740622797</c:v>
                </c:pt>
                <c:pt idx="29">
                  <c:v>0.31098122952983598</c:v>
                </c:pt>
                <c:pt idx="30">
                  <c:v>0.31998769608727601</c:v>
                </c:pt>
                <c:pt idx="31">
                  <c:v>0.32743537671070799</c:v>
                </c:pt>
                <c:pt idx="32">
                  <c:v>0.33325500604200398</c:v>
                </c:pt>
                <c:pt idx="33">
                  <c:v>0.33736501841410899</c:v>
                </c:pt>
                <c:pt idx="34">
                  <c:v>0.33974585820355802</c:v>
                </c:pt>
                <c:pt idx="35">
                  <c:v>0.34044420722559599</c:v>
                </c:pt>
                <c:pt idx="36">
                  <c:v>0.33958571864274301</c:v>
                </c:pt>
                <c:pt idx="37">
                  <c:v>0.33718998362752001</c:v>
                </c:pt>
                <c:pt idx="38">
                  <c:v>0.333550273078492</c:v>
                </c:pt>
                <c:pt idx="39">
                  <c:v>0.32883718619415397</c:v>
                </c:pt>
                <c:pt idx="40">
                  <c:v>0.32337630129903899</c:v>
                </c:pt>
                <c:pt idx="41">
                  <c:v>0.323769694326907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3-4DD2-BF70-8E6E8E074B7C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DATA!$N$758:$N$799</c:f>
              <c:numCache>
                <c:formatCode>General</c:formatCode>
                <c:ptCount val="42"/>
                <c:pt idx="0">
                  <c:v>0.114688415405474</c:v>
                </c:pt>
                <c:pt idx="1">
                  <c:v>0.117998664586022</c:v>
                </c:pt>
                <c:pt idx="2">
                  <c:v>0.121247893190428</c:v>
                </c:pt>
                <c:pt idx="3">
                  <c:v>0.124514096863813</c:v>
                </c:pt>
                <c:pt idx="4">
                  <c:v>0.127807712945505</c:v>
                </c:pt>
                <c:pt idx="5">
                  <c:v>0.13112196447136101</c:v>
                </c:pt>
                <c:pt idx="6">
                  <c:v>0.13444301382769999</c:v>
                </c:pt>
                <c:pt idx="7">
                  <c:v>0.13775192891761401</c:v>
                </c:pt>
                <c:pt idx="8">
                  <c:v>0.14102483823155601</c:v>
                </c:pt>
                <c:pt idx="9">
                  <c:v>0.144232517781678</c:v>
                </c:pt>
                <c:pt idx="10">
                  <c:v>0.147339729602186</c:v>
                </c:pt>
                <c:pt idx="11">
                  <c:v>0.15030445648562399</c:v>
                </c:pt>
                <c:pt idx="12">
                  <c:v>0.153077060606258</c:v>
                </c:pt>
                <c:pt idx="13">
                  <c:v>0.15559946577769199</c:v>
                </c:pt>
                <c:pt idx="14">
                  <c:v>0.15780434690550599</c:v>
                </c:pt>
                <c:pt idx="15">
                  <c:v>0.15957239679510299</c:v>
                </c:pt>
                <c:pt idx="16">
                  <c:v>0.16089297229359201</c:v>
                </c:pt>
                <c:pt idx="17">
                  <c:v>0.16163769735582001</c:v>
                </c:pt>
                <c:pt idx="18">
                  <c:v>0.161694865100209</c:v>
                </c:pt>
                <c:pt idx="19">
                  <c:v>0.160949107627958</c:v>
                </c:pt>
                <c:pt idx="20">
                  <c:v>0.15928159568050401</c:v>
                </c:pt>
                <c:pt idx="21">
                  <c:v>0.15656335598516899</c:v>
                </c:pt>
                <c:pt idx="22">
                  <c:v>0.15267858166229401</c:v>
                </c:pt>
                <c:pt idx="23">
                  <c:v>0.14751547295614501</c:v>
                </c:pt>
                <c:pt idx="24">
                  <c:v>0.14097989061424901</c:v>
                </c:pt>
                <c:pt idx="25">
                  <c:v>0.133063988631795</c:v>
                </c:pt>
                <c:pt idx="26">
                  <c:v>0.12361905704168</c:v>
                </c:pt>
                <c:pt idx="27">
                  <c:v>0.112703797296531</c:v>
                </c:pt>
                <c:pt idx="28">
                  <c:v>0.10038136940448</c:v>
                </c:pt>
                <c:pt idx="29">
                  <c:v>8.6761361985184096E-2</c:v>
                </c:pt>
                <c:pt idx="30">
                  <c:v>7.1962784366645396E-2</c:v>
                </c:pt>
                <c:pt idx="31">
                  <c:v>5.6269821096807303E-2</c:v>
                </c:pt>
                <c:pt idx="32">
                  <c:v>3.9898264218384098E-2</c:v>
                </c:pt>
                <c:pt idx="33">
                  <c:v>2.312328305634E-2</c:v>
                </c:pt>
                <c:pt idx="34">
                  <c:v>6.2201228772178502E-3</c:v>
                </c:pt>
                <c:pt idx="35">
                  <c:v>-1.0545383625307801E-2</c:v>
                </c:pt>
                <c:pt idx="36">
                  <c:v>-2.6838406796683801E-2</c:v>
                </c:pt>
                <c:pt idx="37">
                  <c:v>-4.2470103459865197E-2</c:v>
                </c:pt>
                <c:pt idx="38">
                  <c:v>-5.7330610469059802E-2</c:v>
                </c:pt>
                <c:pt idx="39">
                  <c:v>-7.1210517851844402E-2</c:v>
                </c:pt>
                <c:pt idx="40">
                  <c:v>-8.3950112439451302E-2</c:v>
                </c:pt>
                <c:pt idx="41">
                  <c:v>-8.8299982976644598E-2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3-4DD2-BF70-8E6E8E074B7C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_markers!$AK$2:$AK$43</c:f>
              <c:numCache>
                <c:formatCode>General</c:formatCode>
                <c:ptCount val="42"/>
                <c:pt idx="35">
                  <c:v>0.34044420722559599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3-4DD2-BF70-8E6E8E074B7C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DATA!$B$758:$B$799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_markers!$AL$2:$AL$43</c:f>
              <c:numCache>
                <c:formatCode>General</c:formatCode>
                <c:ptCount val="42"/>
                <c:pt idx="3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A3-4DD2-BF70-8E6E8E074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9087104"/>
        <c:axId val="1609081824"/>
      </c:lineChart>
      <c:catAx>
        <c:axId val="16090871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1824"/>
        <c:crosses val="autoZero"/>
        <c:auto val="1"/>
        <c:lblAlgn val="ctr"/>
        <c:lblOffset val="100"/>
        <c:tickLblSkip val="1"/>
        <c:noMultiLvlLbl val="0"/>
      </c:catAx>
      <c:valAx>
        <c:axId val="160908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3.2125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DATA!$M$800:$M$841</c:f>
              <c:numCache>
                <c:formatCode>General</c:formatCode>
                <c:ptCount val="42"/>
                <c:pt idx="0">
                  <c:v>5.5262527541572702E-2</c:v>
                </c:pt>
                <c:pt idx="1">
                  <c:v>5.8868927964723698E-2</c:v>
                </c:pt>
                <c:pt idx="2">
                  <c:v>6.2737371453163396E-2</c:v>
                </c:pt>
                <c:pt idx="3">
                  <c:v>6.6885169828066707E-2</c:v>
                </c:pt>
                <c:pt idx="4">
                  <c:v>7.1342532635636696E-2</c:v>
                </c:pt>
                <c:pt idx="5">
                  <c:v>7.6139680946144497E-2</c:v>
                </c:pt>
                <c:pt idx="6">
                  <c:v>8.1306556468282803E-2</c:v>
                </c:pt>
                <c:pt idx="7">
                  <c:v>8.6873610973452697E-2</c:v>
                </c:pt>
                <c:pt idx="8">
                  <c:v>9.2913850116277494E-2</c:v>
                </c:pt>
                <c:pt idx="9">
                  <c:v>9.9374344384735705E-2</c:v>
                </c:pt>
                <c:pt idx="10">
                  <c:v>0.106331081992941</c:v>
                </c:pt>
                <c:pt idx="11">
                  <c:v>0.113816694175859</c:v>
                </c:pt>
                <c:pt idx="12">
                  <c:v>0.121862964672869</c:v>
                </c:pt>
                <c:pt idx="13">
                  <c:v>0.13049975900031099</c:v>
                </c:pt>
                <c:pt idx="14">
                  <c:v>0.13975365872504</c:v>
                </c:pt>
                <c:pt idx="15">
                  <c:v>0.14964615034613199</c:v>
                </c:pt>
                <c:pt idx="16">
                  <c:v>0.160191426815468</c:v>
                </c:pt>
                <c:pt idx="17">
                  <c:v>0.17139376448156299</c:v>
                </c:pt>
                <c:pt idx="18">
                  <c:v>0.18324443822885</c:v>
                </c:pt>
                <c:pt idx="19">
                  <c:v>0.19563582276906399</c:v>
                </c:pt>
                <c:pt idx="20">
                  <c:v>0.20868520943289401</c:v>
                </c:pt>
                <c:pt idx="21">
                  <c:v>0.22223296671968701</c:v>
                </c:pt>
                <c:pt idx="22">
                  <c:v>0.236232906935885</c:v>
                </c:pt>
                <c:pt idx="23">
                  <c:v>0.25049106054488901</c:v>
                </c:pt>
                <c:pt idx="24">
                  <c:v>0.26487592426118001</c:v>
                </c:pt>
                <c:pt idx="25">
                  <c:v>0.279255201201346</c:v>
                </c:pt>
                <c:pt idx="26">
                  <c:v>0.29330716242912402</c:v>
                </c:pt>
                <c:pt idx="27">
                  <c:v>0.306837132358873</c:v>
                </c:pt>
                <c:pt idx="28">
                  <c:v>0.31959682668574202</c:v>
                </c:pt>
                <c:pt idx="29">
                  <c:v>0.331334947226958</c:v>
                </c:pt>
                <c:pt idx="30">
                  <c:v>0.34192538641301301</c:v>
                </c:pt>
                <c:pt idx="31">
                  <c:v>0.35093597121150499</c:v>
                </c:pt>
                <c:pt idx="32">
                  <c:v>0.358302915070702</c:v>
                </c:pt>
                <c:pt idx="33">
                  <c:v>0.36390845746252598</c:v>
                </c:pt>
                <c:pt idx="34">
                  <c:v>0.36781425294987002</c:v>
                </c:pt>
                <c:pt idx="35">
                  <c:v>0.36979044953658402</c:v>
                </c:pt>
                <c:pt idx="36">
                  <c:v>0.36994171366423101</c:v>
                </c:pt>
                <c:pt idx="37">
                  <c:v>0.36853515462604902</c:v>
                </c:pt>
                <c:pt idx="38">
                  <c:v>0.36577636851752399</c:v>
                </c:pt>
                <c:pt idx="39">
                  <c:v>0.36153301100063301</c:v>
                </c:pt>
                <c:pt idx="40">
                  <c:v>0.35633470018684299</c:v>
                </c:pt>
                <c:pt idx="41">
                  <c:v>0.35623457340824899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1-469E-B732-7A4F1C880CE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DATA!$N$800:$N$841</c:f>
              <c:numCache>
                <c:formatCode>General</c:formatCode>
                <c:ptCount val="42"/>
                <c:pt idx="0">
                  <c:v>0.12414991044111</c:v>
                </c:pt>
                <c:pt idx="1">
                  <c:v>0.12761013424422901</c:v>
                </c:pt>
                <c:pt idx="2">
                  <c:v>0.13109794818519699</c:v>
                </c:pt>
                <c:pt idx="3">
                  <c:v>0.134612129436739</c:v>
                </c:pt>
                <c:pt idx="4">
                  <c:v>0.138159724041686</c:v>
                </c:pt>
                <c:pt idx="5">
                  <c:v>0.14173479988651699</c:v>
                </c:pt>
                <c:pt idx="6">
                  <c:v>0.14532443048559901</c:v>
                </c:pt>
                <c:pt idx="7">
                  <c:v>0.14891039866490999</c:v>
                </c:pt>
                <c:pt idx="8">
                  <c:v>0.15246572137327499</c:v>
                </c:pt>
                <c:pt idx="9">
                  <c:v>0.155966193613745</c:v>
                </c:pt>
                <c:pt idx="10">
                  <c:v>0.15937605737260099</c:v>
                </c:pt>
                <c:pt idx="11">
                  <c:v>0.16265376286181801</c:v>
                </c:pt>
                <c:pt idx="12">
                  <c:v>0.16575012056629401</c:v>
                </c:pt>
                <c:pt idx="13">
                  <c:v>0.16860742857056399</c:v>
                </c:pt>
                <c:pt idx="14">
                  <c:v>0.17115865657214799</c:v>
                </c:pt>
                <c:pt idx="15">
                  <c:v>0.17332671799965799</c:v>
                </c:pt>
                <c:pt idx="16">
                  <c:v>0.17502397242463</c:v>
                </c:pt>
                <c:pt idx="17">
                  <c:v>0.17615206923940899</c:v>
                </c:pt>
                <c:pt idx="18">
                  <c:v>0.17660230492160001</c:v>
                </c:pt>
                <c:pt idx="19">
                  <c:v>0.17631328358728501</c:v>
                </c:pt>
                <c:pt idx="20">
                  <c:v>0.17504944029442801</c:v>
                </c:pt>
                <c:pt idx="21">
                  <c:v>0.172737972649327</c:v>
                </c:pt>
                <c:pt idx="22">
                  <c:v>0.169232964146421</c:v>
                </c:pt>
                <c:pt idx="23">
                  <c:v>0.164436986670142</c:v>
                </c:pt>
                <c:pt idx="24">
                  <c:v>0.15823177642088199</c:v>
                </c:pt>
                <c:pt idx="25">
                  <c:v>0.15049578472443101</c:v>
                </c:pt>
                <c:pt idx="26">
                  <c:v>0.141231392154198</c:v>
                </c:pt>
                <c:pt idx="27">
                  <c:v>0.130402912933899</c:v>
                </c:pt>
                <c:pt idx="28">
                  <c:v>0.118042466374184</c:v>
                </c:pt>
                <c:pt idx="29">
                  <c:v>0.104236166262146</c:v>
                </c:pt>
                <c:pt idx="30">
                  <c:v>8.9088818500613995E-2</c:v>
                </c:pt>
                <c:pt idx="31">
                  <c:v>7.2853765100496598E-2</c:v>
                </c:pt>
                <c:pt idx="32">
                  <c:v>5.5745273304087399E-2</c:v>
                </c:pt>
                <c:pt idx="33">
                  <c:v>3.8035756757755702E-2</c:v>
                </c:pt>
                <c:pt idx="34">
                  <c:v>1.9925610981727199E-2</c:v>
                </c:pt>
                <c:pt idx="35">
                  <c:v>1.88175925636499E-3</c:v>
                </c:pt>
                <c:pt idx="36">
                  <c:v>-1.5743036130372801E-2</c:v>
                </c:pt>
                <c:pt idx="37">
                  <c:v>-3.2989655083957299E-2</c:v>
                </c:pt>
                <c:pt idx="38">
                  <c:v>-4.9476157323016003E-2</c:v>
                </c:pt>
                <c:pt idx="39">
                  <c:v>-6.5048331353626906E-2</c:v>
                </c:pt>
                <c:pt idx="40">
                  <c:v>-7.9449654049606994E-2</c:v>
                </c:pt>
                <c:pt idx="41">
                  <c:v>-8.5107172951489202E-2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1-469E-B732-7A4F1C880CE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_markers!$AM$2:$AM$43</c:f>
              <c:numCache>
                <c:formatCode>General</c:formatCode>
                <c:ptCount val="42"/>
                <c:pt idx="36">
                  <c:v>0.36994171366423101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1-469E-B732-7A4F1C880CE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DATA!$B$800:$B$841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_markers!$AN$2:$AN$43</c:f>
              <c:numCache>
                <c:formatCode>General</c:formatCode>
                <c:ptCount val="42"/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1-469E-B732-7A4F1C880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9089504"/>
        <c:axId val="1609093344"/>
      </c:lineChart>
      <c:catAx>
        <c:axId val="16090895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3344"/>
        <c:crosses val="autoZero"/>
        <c:auto val="1"/>
        <c:lblAlgn val="ctr"/>
        <c:lblOffset val="100"/>
        <c:tickLblSkip val="1"/>
        <c:noMultiLvlLbl val="0"/>
      </c:catAx>
      <c:valAx>
        <c:axId val="160909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3.35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DATA!$M$842:$M$883</c:f>
              <c:numCache>
                <c:formatCode>General</c:formatCode>
                <c:ptCount val="42"/>
                <c:pt idx="0">
                  <c:v>5.8303649191609797E-2</c:v>
                </c:pt>
                <c:pt idx="1">
                  <c:v>6.2156194844700502E-2</c:v>
                </c:pt>
                <c:pt idx="2">
                  <c:v>6.6223258003599295E-2</c:v>
                </c:pt>
                <c:pt idx="3">
                  <c:v>7.0567826738909906E-2</c:v>
                </c:pt>
                <c:pt idx="4">
                  <c:v>7.5229525998399396E-2</c:v>
                </c:pt>
                <c:pt idx="5">
                  <c:v>8.0240546107964106E-2</c:v>
                </c:pt>
                <c:pt idx="6">
                  <c:v>8.5632052483426702E-2</c:v>
                </c:pt>
                <c:pt idx="7">
                  <c:v>9.1435712100883998E-2</c:v>
                </c:pt>
                <c:pt idx="8">
                  <c:v>9.7690071899542305E-2</c:v>
                </c:pt>
                <c:pt idx="9">
                  <c:v>0.104414984695837</c:v>
                </c:pt>
                <c:pt idx="10">
                  <c:v>0.11165256759577299</c:v>
                </c:pt>
                <c:pt idx="11">
                  <c:v>0.11943742625639001</c:v>
                </c:pt>
                <c:pt idx="12">
                  <c:v>0.127803702493135</c:v>
                </c:pt>
                <c:pt idx="13">
                  <c:v>0.13678406300021401</c:v>
                </c:pt>
                <c:pt idx="14">
                  <c:v>0.14640840306942701</c:v>
                </c:pt>
                <c:pt idx="15">
                  <c:v>0.156702147883135</c:v>
                </c:pt>
                <c:pt idx="16">
                  <c:v>0.16768419852046099</c:v>
                </c:pt>
                <c:pt idx="17">
                  <c:v>0.179364440770617</c:v>
                </c:pt>
                <c:pt idx="18">
                  <c:v>0.191655299720073</c:v>
                </c:pt>
                <c:pt idx="19">
                  <c:v>0.204703656971884</c:v>
                </c:pt>
                <c:pt idx="20">
                  <c:v>0.218394028682875</c:v>
                </c:pt>
                <c:pt idx="21">
                  <c:v>0.232666831387073</c:v>
                </c:pt>
                <c:pt idx="22">
                  <c:v>0.247440468703786</c:v>
                </c:pt>
                <c:pt idx="23">
                  <c:v>0.26261164097786499</c:v>
                </c:pt>
                <c:pt idx="24">
                  <c:v>0.27813052269406602</c:v>
                </c:pt>
                <c:pt idx="25">
                  <c:v>0.29358991328414202</c:v>
                </c:pt>
                <c:pt idx="26">
                  <c:v>0.30888181981207502</c:v>
                </c:pt>
                <c:pt idx="27">
                  <c:v>0.32376931752475702</c:v>
                </c:pt>
                <c:pt idx="28">
                  <c:v>0.337981975847086</c:v>
                </c:pt>
                <c:pt idx="29">
                  <c:v>0.35128438660175998</c:v>
                </c:pt>
                <c:pt idx="30">
                  <c:v>0.36339516170633601</c:v>
                </c:pt>
                <c:pt idx="31">
                  <c:v>0.374062757600294</c:v>
                </c:pt>
                <c:pt idx="32">
                  <c:v>0.38310068415463699</c:v>
                </c:pt>
                <c:pt idx="33">
                  <c:v>0.39033474135341201</c:v>
                </c:pt>
                <c:pt idx="34">
                  <c:v>0.39568617726469302</c:v>
                </c:pt>
                <c:pt idx="35">
                  <c:v>0.39905832068673802</c:v>
                </c:pt>
                <c:pt idx="36">
                  <c:v>0.40059066642139202</c:v>
                </c:pt>
                <c:pt idx="37">
                  <c:v>0.40040663427851397</c:v>
                </c:pt>
                <c:pt idx="38">
                  <c:v>0.39848346058310202</c:v>
                </c:pt>
                <c:pt idx="39">
                  <c:v>0.39506478796649103</c:v>
                </c:pt>
                <c:pt idx="40">
                  <c:v>0.39045247411418499</c:v>
                </c:pt>
                <c:pt idx="41">
                  <c:v>0.39064539115501801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9-4799-A365-EF2C37EEA8C6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DATA!$N$842:$N$883</c:f>
              <c:numCache>
                <c:formatCode>General</c:formatCode>
                <c:ptCount val="42"/>
                <c:pt idx="0">
                  <c:v>0.13345932142662101</c:v>
                </c:pt>
                <c:pt idx="1">
                  <c:v>0.13735766799766799</c:v>
                </c:pt>
                <c:pt idx="2">
                  <c:v>0.14109284469748801</c:v>
                </c:pt>
                <c:pt idx="3">
                  <c:v>0.14485781343399301</c:v>
                </c:pt>
                <c:pt idx="4">
                  <c:v>0.14866265644329299</c:v>
                </c:pt>
                <c:pt idx="5">
                  <c:v>0.152501802502333</c:v>
                </c:pt>
                <c:pt idx="6">
                  <c:v>0.15636279178040999</c:v>
                </c:pt>
                <c:pt idx="7">
                  <c:v>0.160228046812565</c:v>
                </c:pt>
                <c:pt idx="8">
                  <c:v>0.16397820701445501</c:v>
                </c:pt>
                <c:pt idx="9">
                  <c:v>0.16777641251654299</c:v>
                </c:pt>
                <c:pt idx="10">
                  <c:v>0.17149421609292301</c:v>
                </c:pt>
                <c:pt idx="11">
                  <c:v>0.175091012765517</c:v>
                </c:pt>
                <c:pt idx="12">
                  <c:v>0.178518609637658</c:v>
                </c:pt>
                <c:pt idx="13">
                  <c:v>0.181720342546664</c:v>
                </c:pt>
                <c:pt idx="14">
                  <c:v>0.184630178630486</c:v>
                </c:pt>
                <c:pt idx="15">
                  <c:v>0.18717191245877501</c:v>
                </c:pt>
                <c:pt idx="16">
                  <c:v>0.18925852856303399</c:v>
                </c:pt>
                <c:pt idx="17">
                  <c:v>0.190791869748517</c:v>
                </c:pt>
                <c:pt idx="18">
                  <c:v>0.19166587626546</c:v>
                </c:pt>
                <c:pt idx="19">
                  <c:v>0.19175909157803001</c:v>
                </c:pt>
                <c:pt idx="20">
                  <c:v>0.19094249794645299</c:v>
                </c:pt>
                <c:pt idx="21">
                  <c:v>0.18908189072738099</c:v>
                </c:pt>
                <c:pt idx="22">
                  <c:v>0.186040195450588</c:v>
                </c:pt>
                <c:pt idx="23">
                  <c:v>0.18168120793249401</c:v>
                </c:pt>
                <c:pt idx="24">
                  <c:v>0.175963229206622</c:v>
                </c:pt>
                <c:pt idx="25">
                  <c:v>0.16861457543540601</c:v>
                </c:pt>
                <c:pt idx="26">
                  <c:v>0.159646590941565</c:v>
                </c:pt>
                <c:pt idx="27">
                  <c:v>0.14901911650730501</c:v>
                </c:pt>
                <c:pt idx="28">
                  <c:v>0.13675094757914499</c:v>
                </c:pt>
                <c:pt idx="29">
                  <c:v>0.122873920595582</c:v>
                </c:pt>
                <c:pt idx="30">
                  <c:v>0.107508318885243</c:v>
                </c:pt>
                <c:pt idx="31">
                  <c:v>9.07633815136943E-2</c:v>
                </c:pt>
                <c:pt idx="32">
                  <c:v>7.3010027135928496E-2</c:v>
                </c:pt>
                <c:pt idx="33">
                  <c:v>5.4468326891186102E-2</c:v>
                </c:pt>
                <c:pt idx="34">
                  <c:v>3.5382628981783598E-2</c:v>
                </c:pt>
                <c:pt idx="35">
                  <c:v>1.6157023533851001E-2</c:v>
                </c:pt>
                <c:pt idx="36">
                  <c:v>-2.9540593960902901E-3</c:v>
                </c:pt>
                <c:pt idx="37">
                  <c:v>-2.1691092748467901E-2</c:v>
                </c:pt>
                <c:pt idx="38">
                  <c:v>-3.9818528711636603E-2</c:v>
                </c:pt>
                <c:pt idx="39">
                  <c:v>-5.6802804120280902E-2</c:v>
                </c:pt>
                <c:pt idx="40">
                  <c:v>-7.3439343206266702E-2</c:v>
                </c:pt>
                <c:pt idx="41">
                  <c:v>-7.8082979969016905E-2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9-4799-A365-EF2C37EEA8C6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_markers!$AO$2:$AO$43</c:f>
              <c:numCache>
                <c:formatCode>General</c:formatCode>
                <c:ptCount val="42"/>
                <c:pt idx="36">
                  <c:v>0.40059066642139202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99-4799-A365-EF2C37EEA8C6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DATA!$B$842:$B$883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_markers!$AP$2:$AP$43</c:f>
              <c:numCache>
                <c:formatCode>General</c:formatCode>
                <c:ptCount val="42"/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99-4799-A365-EF2C37EEA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327888"/>
        <c:axId val="1427328368"/>
      </c:lineChart>
      <c:catAx>
        <c:axId val="142732788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328368"/>
        <c:crosses val="autoZero"/>
        <c:auto val="1"/>
        <c:lblAlgn val="ctr"/>
        <c:lblOffset val="100"/>
        <c:tickLblSkip val="1"/>
        <c:noMultiLvlLbl val="0"/>
      </c:catAx>
      <c:valAx>
        <c:axId val="142732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32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3.4875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DATA!$M$884:$M$925</c:f>
              <c:numCache>
                <c:formatCode>General</c:formatCode>
                <c:ptCount val="42"/>
                <c:pt idx="0">
                  <c:v>6.1229680439727999E-2</c:v>
                </c:pt>
                <c:pt idx="1">
                  <c:v>6.5195901619403293E-2</c:v>
                </c:pt>
                <c:pt idx="2">
                  <c:v>6.9405082850468799E-2</c:v>
                </c:pt>
                <c:pt idx="3">
                  <c:v>7.3903856154289696E-2</c:v>
                </c:pt>
                <c:pt idx="4">
                  <c:v>7.8730089219708893E-2</c:v>
                </c:pt>
                <c:pt idx="5">
                  <c:v>8.3915963898260601E-2</c:v>
                </c:pt>
                <c:pt idx="6">
                  <c:v>8.9493120547218794E-2</c:v>
                </c:pt>
                <c:pt idx="7">
                  <c:v>9.5493905766899007E-2</c:v>
                </c:pt>
                <c:pt idx="8">
                  <c:v>0.101951783516763</c:v>
                </c:pt>
                <c:pt idx="9">
                  <c:v>0.10890132009796701</c:v>
                </c:pt>
                <c:pt idx="10">
                  <c:v>0.116378022305636</c:v>
                </c:pt>
                <c:pt idx="11">
                  <c:v>0.124417890551178</c:v>
                </c:pt>
                <c:pt idx="12">
                  <c:v>0.13305675902717901</c:v>
                </c:pt>
                <c:pt idx="13">
                  <c:v>0.142329457977485</c:v>
                </c:pt>
                <c:pt idx="14">
                  <c:v>0.15225262677469201</c:v>
                </c:pt>
                <c:pt idx="15">
                  <c:v>0.16288436473742399</c:v>
                </c:pt>
                <c:pt idx="16">
                  <c:v>0.174233865883762</c:v>
                </c:pt>
                <c:pt idx="17">
                  <c:v>0.18631601110739501</c:v>
                </c:pt>
                <c:pt idx="18">
                  <c:v>0.19913476032688199</c:v>
                </c:pt>
                <c:pt idx="19">
                  <c:v>0.212679890407625</c:v>
                </c:pt>
                <c:pt idx="20">
                  <c:v>0.22692326933745399</c:v>
                </c:pt>
                <c:pt idx="21">
                  <c:v>0.24176412568465899</c:v>
                </c:pt>
                <c:pt idx="22">
                  <c:v>0.25722919002786798</c:v>
                </c:pt>
                <c:pt idx="23">
                  <c:v>0.27316664602379698</c:v>
                </c:pt>
                <c:pt idx="24">
                  <c:v>0.28943181808825102</c:v>
                </c:pt>
                <c:pt idx="25">
                  <c:v>0.30587501168628001</c:v>
                </c:pt>
                <c:pt idx="26">
                  <c:v>0.32243403256635</c:v>
                </c:pt>
                <c:pt idx="27">
                  <c:v>0.33875335224893299</c:v>
                </c:pt>
                <c:pt idx="28">
                  <c:v>0.35436986567567003</c:v>
                </c:pt>
                <c:pt idx="29">
                  <c:v>0.36917112908588601</c:v>
                </c:pt>
                <c:pt idx="30">
                  <c:v>0.38288711862721397</c:v>
                </c:pt>
                <c:pt idx="31">
                  <c:v>0.395283230860137</c:v>
                </c:pt>
                <c:pt idx="32">
                  <c:v>0.40603735697184901</c:v>
                </c:pt>
                <c:pt idx="33">
                  <c:v>0.41503608613598703</c:v>
                </c:pt>
                <c:pt idx="34">
                  <c:v>0.42209875829774601</c:v>
                </c:pt>
                <c:pt idx="35">
                  <c:v>0.42718059779961098</c:v>
                </c:pt>
                <c:pt idx="36">
                  <c:v>0.43019934269990201</c:v>
                </c:pt>
                <c:pt idx="37">
                  <c:v>0.43132036763569698</c:v>
                </c:pt>
                <c:pt idx="38">
                  <c:v>0.43063239853459301</c:v>
                </c:pt>
                <c:pt idx="39">
                  <c:v>0.428260100291743</c:v>
                </c:pt>
                <c:pt idx="40">
                  <c:v>0.42445750270585603</c:v>
                </c:pt>
                <c:pt idx="41">
                  <c:v>0.42501964241365398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BE-4AE8-86F0-86D66F54FFB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DATA!$N$884:$N$925</c:f>
              <c:numCache>
                <c:formatCode>General</c:formatCode>
                <c:ptCount val="42"/>
                <c:pt idx="0">
                  <c:v>0.14276675694510199</c:v>
                </c:pt>
                <c:pt idx="1">
                  <c:v>0.14673928342650799</c:v>
                </c:pt>
                <c:pt idx="2">
                  <c:v>0.150700506420401</c:v>
                </c:pt>
                <c:pt idx="3">
                  <c:v>0.154700105804739</c:v>
                </c:pt>
                <c:pt idx="4">
                  <c:v>0.158745632691348</c:v>
                </c:pt>
                <c:pt idx="5">
                  <c:v>0.16283280220566199</c:v>
                </c:pt>
                <c:pt idx="6">
                  <c:v>0.166950418301686</c:v>
                </c:pt>
                <c:pt idx="7">
                  <c:v>0.17108192725087201</c:v>
                </c:pt>
                <c:pt idx="8">
                  <c:v>0.17520572177886801</c:v>
                </c:pt>
                <c:pt idx="9">
                  <c:v>0.179294850064944</c:v>
                </c:pt>
                <c:pt idx="10">
                  <c:v>0.18331647391370501</c:v>
                </c:pt>
                <c:pt idx="11">
                  <c:v>0.18723111791845301</c:v>
                </c:pt>
                <c:pt idx="12">
                  <c:v>0.190991839268498</c:v>
                </c:pt>
                <c:pt idx="13">
                  <c:v>0.194543327526218</c:v>
                </c:pt>
                <c:pt idx="14">
                  <c:v>0.19775134092949001</c:v>
                </c:pt>
                <c:pt idx="15">
                  <c:v>0.200675859471486</c:v>
                </c:pt>
                <c:pt idx="16">
                  <c:v>0.20316564961019401</c:v>
                </c:pt>
                <c:pt idx="17">
                  <c:v>0.20512368943109199</c:v>
                </c:pt>
                <c:pt idx="18">
                  <c:v>0.20644147958884901</c:v>
                </c:pt>
                <c:pt idx="19">
                  <c:v>0.206999520294529</c:v>
                </c:pt>
                <c:pt idx="20">
                  <c:v>0.206668499930831</c:v>
                </c:pt>
                <c:pt idx="21">
                  <c:v>0.205368773684169</c:v>
                </c:pt>
                <c:pt idx="22">
                  <c:v>0.20285193352449701</c:v>
                </c:pt>
                <c:pt idx="23">
                  <c:v>0.19902395232293699</c:v>
                </c:pt>
                <c:pt idx="24">
                  <c:v>0.19375845618014201</c:v>
                </c:pt>
                <c:pt idx="25">
                  <c:v>0.18691998491414299</c:v>
                </c:pt>
                <c:pt idx="26">
                  <c:v>0.17837491965284799</c:v>
                </c:pt>
                <c:pt idx="27">
                  <c:v>0.16803236019991599</c:v>
                </c:pt>
                <c:pt idx="28">
                  <c:v>0.156028819735617</c:v>
                </c:pt>
                <c:pt idx="29">
                  <c:v>0.142312023025541</c:v>
                </c:pt>
                <c:pt idx="30">
                  <c:v>0.126964771539815</c:v>
                </c:pt>
                <c:pt idx="31">
                  <c:v>0.110080616910861</c:v>
                </c:pt>
                <c:pt idx="32">
                  <c:v>9.2082127649834505E-2</c:v>
                </c:pt>
                <c:pt idx="33">
                  <c:v>7.28587752193397E-2</c:v>
                </c:pt>
                <c:pt idx="34">
                  <c:v>5.3129729462459703E-2</c:v>
                </c:pt>
                <c:pt idx="35">
                  <c:v>3.2865747310599103E-2</c:v>
                </c:pt>
                <c:pt idx="36">
                  <c:v>1.24300973978098E-2</c:v>
                </c:pt>
                <c:pt idx="37">
                  <c:v>-7.7253710151594501E-3</c:v>
                </c:pt>
                <c:pt idx="38">
                  <c:v>-2.74363469082636E-2</c:v>
                </c:pt>
                <c:pt idx="39">
                  <c:v>-4.6211737044366402E-2</c:v>
                </c:pt>
                <c:pt idx="40">
                  <c:v>-6.4058811817537101E-2</c:v>
                </c:pt>
                <c:pt idx="41">
                  <c:v>-7.1427753029152996E-2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E-4AE8-86F0-86D66F54FFBA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_markers!$AQ$2:$AQ$43</c:f>
              <c:numCache>
                <c:formatCode>General</c:formatCode>
                <c:ptCount val="42"/>
                <c:pt idx="37">
                  <c:v>0.43132036763569698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BE-4AE8-86F0-86D66F54FFBA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DATA!$B$884:$B$925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_markers!$AR$2:$AR$43</c:f>
              <c:numCache>
                <c:formatCode>General</c:formatCode>
                <c:ptCount val="42"/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BE-4AE8-86F0-86D66F54F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869328"/>
        <c:axId val="1227869808"/>
      </c:lineChart>
      <c:catAx>
        <c:axId val="122786932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869808"/>
        <c:crosses val="autoZero"/>
        <c:auto val="1"/>
        <c:lblAlgn val="ctr"/>
        <c:lblOffset val="100"/>
        <c:tickLblSkip val="1"/>
        <c:noMultiLvlLbl val="0"/>
      </c:catAx>
      <c:valAx>
        <c:axId val="122786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86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DATA!$M$926:$M$967</c:f>
              <c:numCache>
                <c:formatCode>General</c:formatCode>
                <c:ptCount val="42"/>
                <c:pt idx="0">
                  <c:v>6.4059420103030104E-2</c:v>
                </c:pt>
                <c:pt idx="1">
                  <c:v>6.82543380372157E-2</c:v>
                </c:pt>
                <c:pt idx="2">
                  <c:v>7.26330314849577E-2</c:v>
                </c:pt>
                <c:pt idx="3">
                  <c:v>7.73042317740536E-2</c:v>
                </c:pt>
                <c:pt idx="4">
                  <c:v>8.2310495018898394E-2</c:v>
                </c:pt>
                <c:pt idx="5">
                  <c:v>8.7685961630822595E-2</c:v>
                </c:pt>
                <c:pt idx="6">
                  <c:v>9.3463252635987704E-2</c:v>
                </c:pt>
                <c:pt idx="7">
                  <c:v>9.9675433421516593E-2</c:v>
                </c:pt>
                <c:pt idx="8">
                  <c:v>0.10637520432637999</c:v>
                </c:pt>
                <c:pt idx="9">
                  <c:v>0.113562683590174</c:v>
                </c:pt>
                <c:pt idx="10">
                  <c:v>0.121292262789425</c:v>
                </c:pt>
                <c:pt idx="11">
                  <c:v>0.129623486732447</c:v>
                </c:pt>
                <c:pt idx="12">
                  <c:v>0.13854921797865</c:v>
                </c:pt>
                <c:pt idx="13">
                  <c:v>0.14812912363721001</c:v>
                </c:pt>
                <c:pt idx="14">
                  <c:v>0.15839833585481</c:v>
                </c:pt>
                <c:pt idx="15">
                  <c:v>0.16938865144385401</c:v>
                </c:pt>
                <c:pt idx="16">
                  <c:v>0.181126623016342</c:v>
                </c:pt>
                <c:pt idx="17">
                  <c:v>0.19363132524823901</c:v>
                </c:pt>
                <c:pt idx="18">
                  <c:v>0.20693266710795</c:v>
                </c:pt>
                <c:pt idx="19">
                  <c:v>0.22098743865509901</c:v>
                </c:pt>
                <c:pt idx="20">
                  <c:v>0.235803073111363</c:v>
                </c:pt>
                <c:pt idx="21">
                  <c:v>0.251340220062436</c:v>
                </c:pt>
                <c:pt idx="22">
                  <c:v>0.26753065271364801</c:v>
                </c:pt>
                <c:pt idx="23">
                  <c:v>0.28426548039646099</c:v>
                </c:pt>
                <c:pt idx="24">
                  <c:v>0.30141240030181299</c:v>
                </c:pt>
                <c:pt idx="25">
                  <c:v>0.31882617540993802</c:v>
                </c:pt>
                <c:pt idx="26">
                  <c:v>0.33632272740985403</c:v>
                </c:pt>
                <c:pt idx="27">
                  <c:v>0.35367049882567703</c:v>
                </c:pt>
                <c:pt idx="28">
                  <c:v>0.37061371818704503</c:v>
                </c:pt>
                <c:pt idx="29">
                  <c:v>0.38687631457687799</c:v>
                </c:pt>
                <c:pt idx="30">
                  <c:v>0.40217317810494402</c:v>
                </c:pt>
                <c:pt idx="31">
                  <c:v>0.41615076401851703</c:v>
                </c:pt>
                <c:pt idx="32">
                  <c:v>0.42875911565246599</c:v>
                </c:pt>
                <c:pt idx="33">
                  <c:v>0.43949130913255002</c:v>
                </c:pt>
                <c:pt idx="34">
                  <c:v>0.44838772688481598</c:v>
                </c:pt>
                <c:pt idx="35">
                  <c:v>0.45521549330740002</c:v>
                </c:pt>
                <c:pt idx="36">
                  <c:v>0.45999516821029002</c:v>
                </c:pt>
                <c:pt idx="37">
                  <c:v>0.46276776094438399</c:v>
                </c:pt>
                <c:pt idx="38">
                  <c:v>0.46350055564897102</c:v>
                </c:pt>
                <c:pt idx="39">
                  <c:v>0.46238182167782699</c:v>
                </c:pt>
                <c:pt idx="40">
                  <c:v>0.45974978119743198</c:v>
                </c:pt>
                <c:pt idx="41">
                  <c:v>0.46011239683241301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8-4690-884D-55939AC5790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DATA!$N$926:$N$967</c:f>
              <c:numCache>
                <c:formatCode>General</c:formatCode>
                <c:ptCount val="42"/>
                <c:pt idx="0">
                  <c:v>0.15235601384410799</c:v>
                </c:pt>
                <c:pt idx="1">
                  <c:v>0.15658475863338001</c:v>
                </c:pt>
                <c:pt idx="2">
                  <c:v>0.16079623965225101</c:v>
                </c:pt>
                <c:pt idx="3">
                  <c:v>0.16504714357251099</c:v>
                </c:pt>
                <c:pt idx="4">
                  <c:v>0.169350352234481</c:v>
                </c:pt>
                <c:pt idx="5">
                  <c:v>0.173702992373717</c:v>
                </c:pt>
                <c:pt idx="6">
                  <c:v>0.17809450178584399</c:v>
                </c:pt>
                <c:pt idx="7">
                  <c:v>0.18250893894633999</c:v>
                </c:pt>
                <c:pt idx="8">
                  <c:v>0.186925939165627</c:v>
                </c:pt>
                <c:pt idx="9">
                  <c:v>0.19131756897145999</c:v>
                </c:pt>
                <c:pt idx="10">
                  <c:v>0.19564125695501</c:v>
                </c:pt>
                <c:pt idx="11">
                  <c:v>0.19987668528081101</c:v>
                </c:pt>
                <c:pt idx="12">
                  <c:v>0.20397493862515401</c:v>
                </c:pt>
                <c:pt idx="13">
                  <c:v>0.20787789244614799</c:v>
                </c:pt>
                <c:pt idx="14">
                  <c:v>0.21152196122085501</c:v>
                </c:pt>
                <c:pt idx="15">
                  <c:v>0.21483342296591301</c:v>
                </c:pt>
                <c:pt idx="16">
                  <c:v>0.21772764951384899</c:v>
                </c:pt>
                <c:pt idx="17">
                  <c:v>0.220108656045297</c:v>
                </c:pt>
                <c:pt idx="18">
                  <c:v>0.22188166545579399</c:v>
                </c:pt>
                <c:pt idx="19">
                  <c:v>0.22290930074641499</c:v>
                </c:pt>
                <c:pt idx="20">
                  <c:v>0.22306707818507701</c:v>
                </c:pt>
                <c:pt idx="21">
                  <c:v>0.22221410223247501</c:v>
                </c:pt>
                <c:pt idx="22">
                  <c:v>0.22020656838501401</c:v>
                </c:pt>
                <c:pt idx="23">
                  <c:v>0.21689787387451601</c:v>
                </c:pt>
                <c:pt idx="24">
                  <c:v>0.21214867745420901</c:v>
                </c:pt>
                <c:pt idx="25">
                  <c:v>0.20582839766282701</c:v>
                </c:pt>
                <c:pt idx="26">
                  <c:v>0.19781394195982299</c:v>
                </c:pt>
                <c:pt idx="27">
                  <c:v>0.188023547140136</c:v>
                </c:pt>
                <c:pt idx="28">
                  <c:v>0.176411510166431</c:v>
                </c:pt>
                <c:pt idx="29">
                  <c:v>0.16298100091366499</c:v>
                </c:pt>
                <c:pt idx="30">
                  <c:v>0.147790798741642</c:v>
                </c:pt>
                <c:pt idx="31">
                  <c:v>0.13102563872200701</c:v>
                </c:pt>
                <c:pt idx="32">
                  <c:v>0.112666727141641</c:v>
                </c:pt>
                <c:pt idx="33">
                  <c:v>9.3228803392249093E-2</c:v>
                </c:pt>
                <c:pt idx="34">
                  <c:v>7.2757802773144906E-2</c:v>
                </c:pt>
                <c:pt idx="35">
                  <c:v>5.1592749351242501E-2</c:v>
                </c:pt>
                <c:pt idx="36">
                  <c:v>3.0150997127902101E-2</c:v>
                </c:pt>
                <c:pt idx="37">
                  <c:v>8.7052414568536598E-3</c:v>
                </c:pt>
                <c:pt idx="38">
                  <c:v>-1.2345839910381001E-2</c:v>
                </c:pt>
                <c:pt idx="39">
                  <c:v>-3.2788851992921503E-2</c:v>
                </c:pt>
                <c:pt idx="40">
                  <c:v>-5.17746068479044E-2</c:v>
                </c:pt>
                <c:pt idx="41">
                  <c:v>-6.0361222824464399E-2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8-4690-884D-55939AC5790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_markers!$AS$2:$AS$43</c:f>
              <c:numCache>
                <c:formatCode>General</c:formatCode>
                <c:ptCount val="42"/>
                <c:pt idx="38">
                  <c:v>0.46350055564897102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8-4690-884D-55939AC5790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DATA!$B$926:$B$967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_markers!$AT$2:$AT$43</c:f>
              <c:numCache>
                <c:formatCode>General</c:formatCode>
                <c:ptCount val="42"/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48-4690-884D-55939AC57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2940672"/>
        <c:axId val="1622941152"/>
      </c:lineChart>
      <c:catAx>
        <c:axId val="162294067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941152"/>
        <c:crosses val="autoZero"/>
        <c:auto val="1"/>
        <c:lblAlgn val="ctr"/>
        <c:lblOffset val="100"/>
        <c:tickLblSkip val="1"/>
        <c:noMultiLvlLbl val="0"/>
      </c:catAx>
      <c:valAx>
        <c:axId val="162294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294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3.7625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DATA!$M$968:$M$1009</c:f>
              <c:numCache>
                <c:formatCode>General</c:formatCode>
                <c:ptCount val="42"/>
                <c:pt idx="0">
                  <c:v>6.7397060310617596E-2</c:v>
                </c:pt>
                <c:pt idx="1">
                  <c:v>7.1656937283162497E-2</c:v>
                </c:pt>
                <c:pt idx="2">
                  <c:v>7.6195811843405306E-2</c:v>
                </c:pt>
                <c:pt idx="3">
                  <c:v>8.1045081006904302E-2</c:v>
                </c:pt>
                <c:pt idx="4">
                  <c:v>8.6241038872806E-2</c:v>
                </c:pt>
                <c:pt idx="5">
                  <c:v>9.1817370488329206E-2</c:v>
                </c:pt>
                <c:pt idx="6">
                  <c:v>9.7807371676620694E-2</c:v>
                </c:pt>
                <c:pt idx="7">
                  <c:v>0.104245165503541</c:v>
                </c:pt>
                <c:pt idx="8">
                  <c:v>0.11116616022795101</c:v>
                </c:pt>
                <c:pt idx="9">
                  <c:v>0.118607141079179</c:v>
                </c:pt>
                <c:pt idx="10">
                  <c:v>0.12660615503574901</c:v>
                </c:pt>
                <c:pt idx="11">
                  <c:v>0.135202140345792</c:v>
                </c:pt>
                <c:pt idx="12">
                  <c:v>0.144434460107039</c:v>
                </c:pt>
                <c:pt idx="13">
                  <c:v>0.15434208804357599</c:v>
                </c:pt>
                <c:pt idx="14">
                  <c:v>0.164962599512776</c:v>
                </c:pt>
                <c:pt idx="15">
                  <c:v>0.17633081501744799</c:v>
                </c:pt>
                <c:pt idx="16">
                  <c:v>0.188477097288821</c:v>
                </c:pt>
                <c:pt idx="17">
                  <c:v>0.201415387706017</c:v>
                </c:pt>
                <c:pt idx="18">
                  <c:v>0.21518324895708099</c:v>
                </c:pt>
                <c:pt idx="19">
                  <c:v>0.229750344638181</c:v>
                </c:pt>
                <c:pt idx="20">
                  <c:v>0.24513916760367899</c:v>
                </c:pt>
                <c:pt idx="21">
                  <c:v>0.261212059361489</c:v>
                </c:pt>
                <c:pt idx="22">
                  <c:v>0.27810839244797098</c:v>
                </c:pt>
                <c:pt idx="23">
                  <c:v>0.29561696346118899</c:v>
                </c:pt>
                <c:pt idx="24">
                  <c:v>0.313636982617918</c:v>
                </c:pt>
                <c:pt idx="25">
                  <c:v>0.33204350964458001</c:v>
                </c:pt>
                <c:pt idx="26">
                  <c:v>0.3506392412789</c:v>
                </c:pt>
                <c:pt idx="27">
                  <c:v>0.36916315322187299</c:v>
                </c:pt>
                <c:pt idx="28">
                  <c:v>0.38739865010486102</c:v>
                </c:pt>
                <c:pt idx="29">
                  <c:v>0.40506624012103598</c:v>
                </c:pt>
                <c:pt idx="30">
                  <c:v>0.421884622037067</c:v>
                </c:pt>
                <c:pt idx="31">
                  <c:v>0.43769728873390301</c:v>
                </c:pt>
                <c:pt idx="32">
                  <c:v>0.45192058671718899</c:v>
                </c:pt>
                <c:pt idx="33">
                  <c:v>0.464311620072554</c:v>
                </c:pt>
                <c:pt idx="34">
                  <c:v>0.47492511388842201</c:v>
                </c:pt>
                <c:pt idx="35">
                  <c:v>0.48342989108587198</c:v>
                </c:pt>
                <c:pt idx="36">
                  <c:v>0.489953327078266</c:v>
                </c:pt>
                <c:pt idx="37">
                  <c:v>0.49421172457102802</c:v>
                </c:pt>
                <c:pt idx="38">
                  <c:v>0.49632498621770399</c:v>
                </c:pt>
                <c:pt idx="39">
                  <c:v>0.49645535823409298</c:v>
                </c:pt>
                <c:pt idx="40">
                  <c:v>0.49474685205201302</c:v>
                </c:pt>
                <c:pt idx="41">
                  <c:v>0.49575461110754598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0-4D83-A29A-10A564616BBD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DATA!$N$968:$N$1009</c:f>
              <c:numCache>
                <c:formatCode>General</c:formatCode>
                <c:ptCount val="42"/>
                <c:pt idx="0">
                  <c:v>0.162338588157181</c:v>
                </c:pt>
                <c:pt idx="1">
                  <c:v>0.16675892689108501</c:v>
                </c:pt>
                <c:pt idx="2">
                  <c:v>0.17121401554492899</c:v>
                </c:pt>
                <c:pt idx="3">
                  <c:v>0.17571730928694099</c:v>
                </c:pt>
                <c:pt idx="4">
                  <c:v>0.18027924442098001</c:v>
                </c:pt>
                <c:pt idx="5">
                  <c:v>0.184897155053178</c:v>
                </c:pt>
                <c:pt idx="6">
                  <c:v>0.18956123502295699</c:v>
                </c:pt>
                <c:pt idx="7">
                  <c:v>0.19425630565903801</c:v>
                </c:pt>
                <c:pt idx="8">
                  <c:v>0.19896217275805</c:v>
                </c:pt>
                <c:pt idx="9">
                  <c:v>0.203653392800729</c:v>
                </c:pt>
                <c:pt idx="10">
                  <c:v>0.20829875662672001</c:v>
                </c:pt>
                <c:pt idx="11">
                  <c:v>0.21286056993009</c:v>
                </c:pt>
                <c:pt idx="12">
                  <c:v>0.21729383595518001</c:v>
                </c:pt>
                <c:pt idx="13">
                  <c:v>0.22154533953027</c:v>
                </c:pt>
                <c:pt idx="14">
                  <c:v>0.225552689606764</c:v>
                </c:pt>
                <c:pt idx="15">
                  <c:v>0.22924337238110301</c:v>
                </c:pt>
                <c:pt idx="16">
                  <c:v>0.23253387405606499</c:v>
                </c:pt>
                <c:pt idx="17">
                  <c:v>0.23532616786260699</c:v>
                </c:pt>
                <c:pt idx="18">
                  <c:v>0.23751933514554799</c:v>
                </c:pt>
                <c:pt idx="19">
                  <c:v>0.23900813303100599</c:v>
                </c:pt>
                <c:pt idx="20">
                  <c:v>0.239624354241914</c:v>
                </c:pt>
                <c:pt idx="21">
                  <c:v>0.239209428995482</c:v>
                </c:pt>
                <c:pt idx="22">
                  <c:v>0.237682704963917</c:v>
                </c:pt>
                <c:pt idx="23">
                  <c:v>0.23486085144498201</c:v>
                </c:pt>
                <c:pt idx="24">
                  <c:v>0.230591403113207</c:v>
                </c:pt>
                <c:pt idx="25">
                  <c:v>0.22471933777255701</c:v>
                </c:pt>
                <c:pt idx="26">
                  <c:v>0.217118328532658</c:v>
                </c:pt>
                <c:pt idx="27">
                  <c:v>0.20771296393618399</c:v>
                </c:pt>
                <c:pt idx="28">
                  <c:v>0.19641983486946701</c:v>
                </c:pt>
                <c:pt idx="29">
                  <c:v>0.183214112579762</c:v>
                </c:pt>
                <c:pt idx="30">
                  <c:v>0.16808862072261199</c:v>
                </c:pt>
                <c:pt idx="31">
                  <c:v>0.15116412821091699</c:v>
                </c:pt>
                <c:pt idx="32">
                  <c:v>0.132643233906279</c:v>
                </c:pt>
                <c:pt idx="33">
                  <c:v>0.112722909790325</c:v>
                </c:pt>
                <c:pt idx="34">
                  <c:v>9.1635287021536005E-2</c:v>
                </c:pt>
                <c:pt idx="35">
                  <c:v>6.9648092864035394E-2</c:v>
                </c:pt>
                <c:pt idx="36">
                  <c:v>4.7339933786083699E-2</c:v>
                </c:pt>
                <c:pt idx="37">
                  <c:v>2.4732336347413699E-2</c:v>
                </c:pt>
                <c:pt idx="38">
                  <c:v>2.20521122520653E-3</c:v>
                </c:pt>
                <c:pt idx="39">
                  <c:v>-1.9729013584580998E-2</c:v>
                </c:pt>
                <c:pt idx="40">
                  <c:v>-4.0683429911442998E-2</c:v>
                </c:pt>
                <c:pt idx="41">
                  <c:v>-4.7235670371272902E-2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60-4D83-A29A-10A564616BBD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_markers!$AU$2:$AU$43</c:f>
              <c:numCache>
                <c:formatCode>General</c:formatCode>
                <c:ptCount val="42"/>
                <c:pt idx="39">
                  <c:v>0.49645535823409298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60-4D83-A29A-10A564616BBD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DATA!$B$968:$B$1009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_markers!$AV$2:$AV$43</c:f>
              <c:numCache>
                <c:formatCode>General</c:formatCode>
                <c:ptCount val="42"/>
                <c:pt idx="3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60-4D83-A29A-10A564616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00992"/>
        <c:axId val="1575002432"/>
      </c:lineChart>
      <c:catAx>
        <c:axId val="15750009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2432"/>
        <c:crosses val="autoZero"/>
        <c:auto val="1"/>
        <c:lblAlgn val="ctr"/>
        <c:lblOffset val="100"/>
        <c:tickLblSkip val="1"/>
        <c:noMultiLvlLbl val="0"/>
      </c:catAx>
      <c:valAx>
        <c:axId val="157500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0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3.9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DATA!$M$1010:$M$1051</c:f>
              <c:numCache>
                <c:formatCode>General</c:formatCode>
                <c:ptCount val="42"/>
                <c:pt idx="0">
                  <c:v>7.0054755900079396E-2</c:v>
                </c:pt>
                <c:pt idx="1">
                  <c:v>7.4451739066691905E-2</c:v>
                </c:pt>
                <c:pt idx="2">
                  <c:v>7.9104299495198802E-2</c:v>
                </c:pt>
                <c:pt idx="3">
                  <c:v>8.4079525253879406E-2</c:v>
                </c:pt>
                <c:pt idx="4">
                  <c:v>8.9411181004002499E-2</c:v>
                </c:pt>
                <c:pt idx="5">
                  <c:v>9.5131090450405506E-2</c:v>
                </c:pt>
                <c:pt idx="6">
                  <c:v>0.10127246007565401</c:v>
                </c:pt>
                <c:pt idx="7">
                  <c:v>0.10786874533289401</c:v>
                </c:pt>
                <c:pt idx="8">
                  <c:v>0.11495582049545899</c:v>
                </c:pt>
                <c:pt idx="9">
                  <c:v>0.122570938502571</c:v>
                </c:pt>
                <c:pt idx="10">
                  <c:v>0.13075277575515401</c:v>
                </c:pt>
                <c:pt idx="11">
                  <c:v>0.13954114117824301</c:v>
                </c:pt>
                <c:pt idx="12">
                  <c:v>0.14897653349777601</c:v>
                </c:pt>
                <c:pt idx="13">
                  <c:v>0.159099377046172</c:v>
                </c:pt>
                <c:pt idx="14">
                  <c:v>0.16994917422262801</c:v>
                </c:pt>
                <c:pt idx="15">
                  <c:v>0.18156322497691299</c:v>
                </c:pt>
                <c:pt idx="16">
                  <c:v>0.19398756261648001</c:v>
                </c:pt>
                <c:pt idx="17">
                  <c:v>0.20722732374623401</c:v>
                </c:pt>
                <c:pt idx="18">
                  <c:v>0.22131419938765101</c:v>
                </c:pt>
                <c:pt idx="19">
                  <c:v>0.23625539018528399</c:v>
                </c:pt>
                <c:pt idx="20">
                  <c:v>0.25204407087867298</c:v>
                </c:pt>
                <c:pt idx="21">
                  <c:v>0.26865685738790002</c:v>
                </c:pt>
                <c:pt idx="22">
                  <c:v>0.286048153066147</c:v>
                </c:pt>
                <c:pt idx="23">
                  <c:v>0.30408474416424303</c:v>
                </c:pt>
                <c:pt idx="24">
                  <c:v>0.32278491325488701</c:v>
                </c:pt>
                <c:pt idx="25">
                  <c:v>0.34195547096699402</c:v>
                </c:pt>
                <c:pt idx="26">
                  <c:v>0.361426334549726</c:v>
                </c:pt>
                <c:pt idx="27">
                  <c:v>0.38099175014089798</c:v>
                </c:pt>
                <c:pt idx="28">
                  <c:v>0.40047060173655502</c:v>
                </c:pt>
                <c:pt idx="29">
                  <c:v>0.41961579280284</c:v>
                </c:pt>
                <c:pt idx="30">
                  <c:v>0.43793630660072003</c:v>
                </c:pt>
                <c:pt idx="31">
                  <c:v>0.45525319606836401</c:v>
                </c:pt>
                <c:pt idx="32">
                  <c:v>0.47129938156684598</c:v>
                </c:pt>
                <c:pt idx="33">
                  <c:v>0.48574897749556301</c:v>
                </c:pt>
                <c:pt idx="34">
                  <c:v>0.49833188260081601</c:v>
                </c:pt>
                <c:pt idx="35">
                  <c:v>0.5088599960072</c:v>
                </c:pt>
                <c:pt idx="36">
                  <c:v>0.51725234392244501</c:v>
                </c:pt>
                <c:pt idx="37">
                  <c:v>0.52349946222385202</c:v>
                </c:pt>
                <c:pt idx="38">
                  <c:v>0.52744403062880296</c:v>
                </c:pt>
                <c:pt idx="39">
                  <c:v>0.52919529212306005</c:v>
                </c:pt>
                <c:pt idx="40">
                  <c:v>0.52901884670337795</c:v>
                </c:pt>
                <c:pt idx="41">
                  <c:v>0.53129739102791695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7-433F-843D-754D529DE59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DATA!$N$1010:$N$1051</c:f>
              <c:numCache>
                <c:formatCode>General</c:formatCode>
                <c:ptCount val="42"/>
                <c:pt idx="0">
                  <c:v>0.171585907961708</c:v>
                </c:pt>
                <c:pt idx="1">
                  <c:v>0.17628744660984699</c:v>
                </c:pt>
                <c:pt idx="2">
                  <c:v>0.180944790707082</c:v>
                </c:pt>
                <c:pt idx="3">
                  <c:v>0.18566589190378099</c:v>
                </c:pt>
                <c:pt idx="4">
                  <c:v>0.190457976599369</c:v>
                </c:pt>
                <c:pt idx="5">
                  <c:v>0.19531683513032599</c:v>
                </c:pt>
                <c:pt idx="6">
                  <c:v>0.200232147343573</c:v>
                </c:pt>
                <c:pt idx="7">
                  <c:v>0.20518914059617399</c:v>
                </c:pt>
                <c:pt idx="8">
                  <c:v>0.210168232502361</c:v>
                </c:pt>
                <c:pt idx="9">
                  <c:v>0.21514493896666601</c:v>
                </c:pt>
                <c:pt idx="10">
                  <c:v>0.22008926409142199</c:v>
                </c:pt>
                <c:pt idx="11">
                  <c:v>0.22496498626117201</c:v>
                </c:pt>
                <c:pt idx="12">
                  <c:v>0.22972884462912699</c:v>
                </c:pt>
                <c:pt idx="13">
                  <c:v>0.23432960088177501</c:v>
                </c:pt>
                <c:pt idx="14">
                  <c:v>0.23870713633681001</c:v>
                </c:pt>
                <c:pt idx="15">
                  <c:v>0.24279141187277101</c:v>
                </c:pt>
                <c:pt idx="16">
                  <c:v>0.246503460442869</c:v>
                </c:pt>
                <c:pt idx="17">
                  <c:v>0.249672932789573</c:v>
                </c:pt>
                <c:pt idx="18">
                  <c:v>0.25234020967526199</c:v>
                </c:pt>
                <c:pt idx="19">
                  <c:v>0.25431826131820201</c:v>
                </c:pt>
                <c:pt idx="20">
                  <c:v>0.25547785356352398</c:v>
                </c:pt>
                <c:pt idx="21">
                  <c:v>0.25567897216413998</c:v>
                </c:pt>
                <c:pt idx="22">
                  <c:v>0.25477250651857197</c:v>
                </c:pt>
                <c:pt idx="23">
                  <c:v>0.25264617609449902</c:v>
                </c:pt>
                <c:pt idx="24">
                  <c:v>0.24906057253757999</c:v>
                </c:pt>
                <c:pt idx="25">
                  <c:v>0.243904360865005</c:v>
                </c:pt>
                <c:pt idx="26">
                  <c:v>0.23703739977594701</c:v>
                </c:pt>
                <c:pt idx="27">
                  <c:v>0.22834005425742901</c:v>
                </c:pt>
                <c:pt idx="28">
                  <c:v>0.21769670183449699</c:v>
                </c:pt>
                <c:pt idx="29">
                  <c:v>0.20509734868640001</c:v>
                </c:pt>
                <c:pt idx="30">
                  <c:v>0.19052817551416401</c:v>
                </c:pt>
                <c:pt idx="31">
                  <c:v>0.17404287498582199</c:v>
                </c:pt>
                <c:pt idx="32">
                  <c:v>0.15567765956926599</c:v>
                </c:pt>
                <c:pt idx="33">
                  <c:v>0.13572009825081899</c:v>
                </c:pt>
                <c:pt idx="34">
                  <c:v>0.114447742994554</c:v>
                </c:pt>
                <c:pt idx="35">
                  <c:v>9.2013690445003099E-2</c:v>
                </c:pt>
                <c:pt idx="36">
                  <c:v>6.8884124606272495E-2</c:v>
                </c:pt>
                <c:pt idx="37">
                  <c:v>4.5309786201990998E-2</c:v>
                </c:pt>
                <c:pt idx="38">
                  <c:v>2.1774964254433499E-2</c:v>
                </c:pt>
                <c:pt idx="39">
                  <c:v>-1.48307406554424E-3</c:v>
                </c:pt>
                <c:pt idx="40">
                  <c:v>-2.4099394139185201E-2</c:v>
                </c:pt>
                <c:pt idx="41">
                  <c:v>-2.85786759044095E-2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47-433F-843D-754D529DE59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_markers!$AW$2:$AW$43</c:f>
              <c:numCache>
                <c:formatCode>General</c:formatCode>
                <c:ptCount val="42"/>
                <c:pt idx="41">
                  <c:v>0.53129739102791695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47-433F-843D-754D529DE59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DATA!$B$1010:$B$1051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_markers!$AX$2:$AX$43</c:f>
              <c:numCache>
                <c:formatCode>General</c:formatCode>
                <c:ptCount val="42"/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47-433F-843D-754D529D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994752"/>
        <c:axId val="1575016832"/>
      </c:lineChart>
      <c:catAx>
        <c:axId val="157499475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16832"/>
        <c:crosses val="autoZero"/>
        <c:auto val="1"/>
        <c:lblAlgn val="ctr"/>
        <c:lblOffset val="100"/>
        <c:tickLblSkip val="1"/>
        <c:noMultiLvlLbl val="0"/>
      </c:catAx>
      <c:valAx>
        <c:axId val="157501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99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4.0375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DATA!$M$1052:$M$1093</c:f>
              <c:numCache>
                <c:formatCode>General</c:formatCode>
                <c:ptCount val="42"/>
                <c:pt idx="0">
                  <c:v>7.2554790978768505E-2</c:v>
                </c:pt>
                <c:pt idx="1">
                  <c:v>7.7076972514774703E-2</c:v>
                </c:pt>
                <c:pt idx="2">
                  <c:v>8.1864808968691097E-2</c:v>
                </c:pt>
                <c:pt idx="3">
                  <c:v>8.6968558444196403E-2</c:v>
                </c:pt>
                <c:pt idx="4">
                  <c:v>9.2429097237034505E-2</c:v>
                </c:pt>
                <c:pt idx="5">
                  <c:v>9.8281499726148802E-2</c:v>
                </c:pt>
                <c:pt idx="6">
                  <c:v>0.104559753054666</c:v>
                </c:pt>
                <c:pt idx="7">
                  <c:v>0.111298598776449</c:v>
                </c:pt>
                <c:pt idx="8">
                  <c:v>0.11853419820022799</c:v>
                </c:pt>
                <c:pt idx="9">
                  <c:v>0.12630432994823601</c:v>
                </c:pt>
                <c:pt idx="10">
                  <c:v>0.13464833556106001</c:v>
                </c:pt>
                <c:pt idx="11">
                  <c:v>0.14360688443556499</c:v>
                </c:pt>
                <c:pt idx="12">
                  <c:v>0.15322160260553699</c:v>
                </c:pt>
                <c:pt idx="13">
                  <c:v>0.16353443088951999</c:v>
                </c:pt>
                <c:pt idx="14">
                  <c:v>0.17458676855413499</c:v>
                </c:pt>
                <c:pt idx="15">
                  <c:v>0.186418615057342</c:v>
                </c:pt>
                <c:pt idx="16">
                  <c:v>0.199066658352898</c:v>
                </c:pt>
                <c:pt idx="17">
                  <c:v>0.21253445764378501</c:v>
                </c:pt>
                <c:pt idx="18">
                  <c:v>0.226849002885742</c:v>
                </c:pt>
                <c:pt idx="19">
                  <c:v>0.24210824148125501</c:v>
                </c:pt>
                <c:pt idx="20">
                  <c:v>0.25826161989026902</c:v>
                </c:pt>
                <c:pt idx="21">
                  <c:v>0.27529172873250302</c:v>
                </c:pt>
                <c:pt idx="22">
                  <c:v>0.29316189096625</c:v>
                </c:pt>
                <c:pt idx="23">
                  <c:v>0.31181624415175202</c:v>
                </c:pt>
                <c:pt idx="24">
                  <c:v>0.33116838057583797</c:v>
                </c:pt>
                <c:pt idx="25">
                  <c:v>0.35109636450138898</c:v>
                </c:pt>
                <c:pt idx="26">
                  <c:v>0.37139027022362298</c:v>
                </c:pt>
                <c:pt idx="27">
                  <c:v>0.39197407683272101</c:v>
                </c:pt>
                <c:pt idx="28">
                  <c:v>0.41270852098558702</c:v>
                </c:pt>
                <c:pt idx="29">
                  <c:v>0.43306833478899398</c:v>
                </c:pt>
                <c:pt idx="30">
                  <c:v>0.45289761706474402</c:v>
                </c:pt>
                <c:pt idx="31">
                  <c:v>0.471949706733645</c:v>
                </c:pt>
                <c:pt idx="32">
                  <c:v>0.48981563386307397</c:v>
                </c:pt>
                <c:pt idx="33">
                  <c:v>0.50609047219799796</c:v>
                </c:pt>
                <c:pt idx="34">
                  <c:v>0.52079456106773803</c:v>
                </c:pt>
                <c:pt idx="35">
                  <c:v>0.53355003034929205</c:v>
                </c:pt>
                <c:pt idx="36">
                  <c:v>0.54422197520104598</c:v>
                </c:pt>
                <c:pt idx="37">
                  <c:v>0.55255313133011796</c:v>
                </c:pt>
                <c:pt idx="38">
                  <c:v>0.55868708087228902</c:v>
                </c:pt>
                <c:pt idx="39">
                  <c:v>0.56252905225954897</c:v>
                </c:pt>
                <c:pt idx="40">
                  <c:v>0.56431299436752902</c:v>
                </c:pt>
                <c:pt idx="41">
                  <c:v>0.56651710605897099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1-43C9-BCF5-7D1D35A3434E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DATA!$N$1052:$N$1093</c:f>
              <c:numCache>
                <c:formatCode>General</c:formatCode>
                <c:ptCount val="42"/>
                <c:pt idx="0">
                  <c:v>0.181063713061624</c:v>
                </c:pt>
                <c:pt idx="1">
                  <c:v>0.185963887023777</c:v>
                </c:pt>
                <c:pt idx="2">
                  <c:v>0.19085682028165099</c:v>
                </c:pt>
                <c:pt idx="3">
                  <c:v>0.19581573855392301</c:v>
                </c:pt>
                <c:pt idx="4">
                  <c:v>0.200852972355232</c:v>
                </c:pt>
                <c:pt idx="5">
                  <c:v>0.205966062333404</c:v>
                </c:pt>
                <c:pt idx="6">
                  <c:v>0.21114577644117999</c:v>
                </c:pt>
                <c:pt idx="7">
                  <c:v>0.21637811806635801</c:v>
                </c:pt>
                <c:pt idx="8">
                  <c:v>0.221644632115158</c:v>
                </c:pt>
                <c:pt idx="9">
                  <c:v>0.22692213751319601</c:v>
                </c:pt>
                <c:pt idx="10">
                  <c:v>0.232182161272147</c:v>
                </c:pt>
                <c:pt idx="11">
                  <c:v>0.237390260573735</c:v>
                </c:pt>
                <c:pt idx="12">
                  <c:v>0.242505223953808</c:v>
                </c:pt>
                <c:pt idx="13">
                  <c:v>0.24747815826383601</c:v>
                </c:pt>
                <c:pt idx="14">
                  <c:v>0.252251492561607</c:v>
                </c:pt>
                <c:pt idx="15">
                  <c:v>0.25675820984391501</c:v>
                </c:pt>
                <c:pt idx="16">
                  <c:v>0.26092042164668</c:v>
                </c:pt>
                <c:pt idx="17">
                  <c:v>0.26464198983047599</c:v>
                </c:pt>
                <c:pt idx="18">
                  <c:v>0.26778532669044802</c:v>
                </c:pt>
                <c:pt idx="19">
                  <c:v>0.27032626661144199</c:v>
                </c:pt>
                <c:pt idx="20">
                  <c:v>0.27209124325751499</c:v>
                </c:pt>
                <c:pt idx="21">
                  <c:v>0.27294076049504201</c:v>
                </c:pt>
                <c:pt idx="22">
                  <c:v>0.27272702911695101</c:v>
                </c:pt>
                <c:pt idx="23">
                  <c:v>0.27129336042923302</c:v>
                </c:pt>
                <c:pt idx="24">
                  <c:v>0.26848004041926998</c:v>
                </c:pt>
                <c:pt idx="25">
                  <c:v>0.264127864120967</c:v>
                </c:pt>
                <c:pt idx="26">
                  <c:v>0.25814867674347203</c:v>
                </c:pt>
                <c:pt idx="27">
                  <c:v>0.25028378493623898</c:v>
                </c:pt>
                <c:pt idx="28">
                  <c:v>0.24046134770107699</c:v>
                </c:pt>
                <c:pt idx="29">
                  <c:v>0.22864067706247501</c:v>
                </c:pt>
                <c:pt idx="30">
                  <c:v>0.21477524474267101</c:v>
                </c:pt>
                <c:pt idx="31">
                  <c:v>0.19898125147088699</c:v>
                </c:pt>
                <c:pt idx="32">
                  <c:v>0.181158876983185</c:v>
                </c:pt>
                <c:pt idx="33">
                  <c:v>0.161592886159484</c:v>
                </c:pt>
                <c:pt idx="34">
                  <c:v>0.14039139197470099</c:v>
                </c:pt>
                <c:pt idx="35">
                  <c:v>0.117866774763235</c:v>
                </c:pt>
                <c:pt idx="36">
                  <c:v>9.4257622911104399E-2</c:v>
                </c:pt>
                <c:pt idx="37">
                  <c:v>7.0101028831991499E-2</c:v>
                </c:pt>
                <c:pt idx="38">
                  <c:v>4.5475533170380597E-2</c:v>
                </c:pt>
                <c:pt idx="39">
                  <c:v>2.1008259369012499E-2</c:v>
                </c:pt>
                <c:pt idx="40">
                  <c:v>-2.3352763298700599E-3</c:v>
                </c:pt>
                <c:pt idx="41">
                  <c:v>-1.0326577384632401E-2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21-43C9-BCF5-7D1D35A3434E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_markers!$AY$2:$AY$43</c:f>
              <c:numCache>
                <c:formatCode>General</c:formatCode>
                <c:ptCount val="42"/>
                <c:pt idx="41">
                  <c:v>0.56651710605897099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21-43C9-BCF5-7D1D35A3434E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DATA!$B$1052:$B$1093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_markers!$AZ$2:$AZ$43</c:f>
              <c:numCache>
                <c:formatCode>General</c:formatCode>
                <c:ptCount val="42"/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21-43C9-BCF5-7D1D35A34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20192"/>
        <c:axId val="1575029792"/>
      </c:lineChart>
      <c:catAx>
        <c:axId val="15750201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9792"/>
        <c:crosses val="autoZero"/>
        <c:auto val="1"/>
        <c:lblAlgn val="ctr"/>
        <c:lblOffset val="100"/>
        <c:tickLblSkip val="1"/>
        <c:noMultiLvlLbl val="0"/>
      </c:catAx>
      <c:valAx>
        <c:axId val="157502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4.175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DATA!$M$1094:$M$1135</c:f>
              <c:numCache>
                <c:formatCode>General</c:formatCode>
                <c:ptCount val="42"/>
                <c:pt idx="0">
                  <c:v>7.5213861563006204E-2</c:v>
                </c:pt>
                <c:pt idx="1">
                  <c:v>7.9784862921584904E-2</c:v>
                </c:pt>
                <c:pt idx="2">
                  <c:v>8.4644663109965906E-2</c:v>
                </c:pt>
                <c:pt idx="3">
                  <c:v>8.9842788045785493E-2</c:v>
                </c:pt>
                <c:pt idx="4">
                  <c:v>9.5409996768678895E-2</c:v>
                </c:pt>
                <c:pt idx="5">
                  <c:v>0.101377483035292</c:v>
                </c:pt>
                <c:pt idx="6">
                  <c:v>0.10777773168377899</c:v>
                </c:pt>
                <c:pt idx="7">
                  <c:v>0.114644825655444</c:v>
                </c:pt>
                <c:pt idx="8">
                  <c:v>0.12201466074065299</c:v>
                </c:pt>
                <c:pt idx="9">
                  <c:v>0.12992495462641501</c:v>
                </c:pt>
                <c:pt idx="10">
                  <c:v>0.13841518374253001</c:v>
                </c:pt>
                <c:pt idx="11">
                  <c:v>0.14752634359428199</c:v>
                </c:pt>
                <c:pt idx="12">
                  <c:v>0.15730054628168499</c:v>
                </c:pt>
                <c:pt idx="13">
                  <c:v>0.16778053638859899</c:v>
                </c:pt>
                <c:pt idx="14">
                  <c:v>0.17900890674397399</c:v>
                </c:pt>
                <c:pt idx="15">
                  <c:v>0.19098676130526601</c:v>
                </c:pt>
                <c:pt idx="16">
                  <c:v>0.20383222259082401</c:v>
                </c:pt>
                <c:pt idx="17">
                  <c:v>0.217541691512038</c:v>
                </c:pt>
                <c:pt idx="18">
                  <c:v>0.232132606174726</c:v>
                </c:pt>
                <c:pt idx="19">
                  <c:v>0.247654907240238</c:v>
                </c:pt>
                <c:pt idx="20">
                  <c:v>0.26409523737665602</c:v>
                </c:pt>
                <c:pt idx="21">
                  <c:v>0.28145029241299302</c:v>
                </c:pt>
                <c:pt idx="22">
                  <c:v>0.29963238523771002</c:v>
                </c:pt>
                <c:pt idx="23">
                  <c:v>0.31869446308053101</c:v>
                </c:pt>
                <c:pt idx="24">
                  <c:v>0.33854471432428401</c:v>
                </c:pt>
                <c:pt idx="25">
                  <c:v>0.359067939026117</c:v>
                </c:pt>
                <c:pt idx="26">
                  <c:v>0.38012417634603102</c:v>
                </c:pt>
                <c:pt idx="27">
                  <c:v>0.40176180599608702</c:v>
                </c:pt>
                <c:pt idx="28">
                  <c:v>0.42336091683586202</c:v>
                </c:pt>
                <c:pt idx="29">
                  <c:v>0.44485629435913498</c:v>
                </c:pt>
                <c:pt idx="30">
                  <c:v>0.46597839850335299</c:v>
                </c:pt>
                <c:pt idx="31">
                  <c:v>0.48644109743823499</c:v>
                </c:pt>
                <c:pt idx="32">
                  <c:v>0.50593101234840898</c:v>
                </c:pt>
                <c:pt idx="33">
                  <c:v>0.52414221860671395</c:v>
                </c:pt>
                <c:pt idx="34">
                  <c:v>0.54061766656940602</c:v>
                </c:pt>
                <c:pt idx="35">
                  <c:v>0.55540831878786101</c:v>
                </c:pt>
                <c:pt idx="36">
                  <c:v>0.56814583689174403</c:v>
                </c:pt>
                <c:pt idx="37">
                  <c:v>0.57889250794417801</c:v>
                </c:pt>
                <c:pt idx="38">
                  <c:v>0.587147549329748</c:v>
                </c:pt>
                <c:pt idx="39">
                  <c:v>0.59307676783919605</c:v>
                </c:pt>
                <c:pt idx="40">
                  <c:v>0.59661425581114802</c:v>
                </c:pt>
                <c:pt idx="41">
                  <c:v>0.60051617754702102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A-4A40-BB7F-786A05207FF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DATA!$N$1094:$N$1135</c:f>
              <c:numCache>
                <c:formatCode>General</c:formatCode>
                <c:ptCount val="42"/>
                <c:pt idx="0">
                  <c:v>0.190541681198268</c:v>
                </c:pt>
                <c:pt idx="1">
                  <c:v>0.19561268426432901</c:v>
                </c:pt>
                <c:pt idx="2">
                  <c:v>0.20069302202609299</c:v>
                </c:pt>
                <c:pt idx="3">
                  <c:v>0.20585553834322301</c:v>
                </c:pt>
                <c:pt idx="4">
                  <c:v>0.211108860333209</c:v>
                </c:pt>
                <c:pt idx="5">
                  <c:v>0.216449203251731</c:v>
                </c:pt>
                <c:pt idx="6">
                  <c:v>0.22186706721452601</c:v>
                </c:pt>
                <c:pt idx="7">
                  <c:v>0.227348693976996</c:v>
                </c:pt>
                <c:pt idx="8">
                  <c:v>0.232876230936441</c:v>
                </c:pt>
                <c:pt idx="9">
                  <c:v>0.23842740499085999</c:v>
                </c:pt>
                <c:pt idx="10">
                  <c:v>0.24397494178113299</c:v>
                </c:pt>
                <c:pt idx="11">
                  <c:v>0.24948590528755801</c:v>
                </c:pt>
                <c:pt idx="12">
                  <c:v>0.25492090160353797</c:v>
                </c:pt>
                <c:pt idx="13">
                  <c:v>0.26023314937058101</c:v>
                </c:pt>
                <c:pt idx="14">
                  <c:v>0.26536758897514301</c:v>
                </c:pt>
                <c:pt idx="15">
                  <c:v>0.27013097796522201</c:v>
                </c:pt>
                <c:pt idx="16">
                  <c:v>0.274701330834142</c:v>
                </c:pt>
                <c:pt idx="17">
                  <c:v>0.27886822979110798</c:v>
                </c:pt>
                <c:pt idx="18">
                  <c:v>0.282532091232783</c:v>
                </c:pt>
                <c:pt idx="19">
                  <c:v>0.28558771045836401</c:v>
                </c:pt>
                <c:pt idx="20">
                  <c:v>0.28790829844629201</c:v>
                </c:pt>
                <c:pt idx="21">
                  <c:v>0.28935952985594998</c:v>
                </c:pt>
                <c:pt idx="22">
                  <c:v>0.28988138014438602</c:v>
                </c:pt>
                <c:pt idx="23">
                  <c:v>0.28915463714310102</c:v>
                </c:pt>
                <c:pt idx="24">
                  <c:v>0.28709991972114302</c:v>
                </c:pt>
                <c:pt idx="25">
                  <c:v>0.28355296853178702</c:v>
                </c:pt>
                <c:pt idx="26">
                  <c:v>0.27835511077053599</c:v>
                </c:pt>
                <c:pt idx="27">
                  <c:v>0.27139439304583901</c:v>
                </c:pt>
                <c:pt idx="28">
                  <c:v>0.262458376641237</c:v>
                </c:pt>
                <c:pt idx="29">
                  <c:v>0.251505833364085</c:v>
                </c:pt>
                <c:pt idx="30">
                  <c:v>0.238474424248966</c:v>
                </c:pt>
                <c:pt idx="31">
                  <c:v>0.22317770024439901</c:v>
                </c:pt>
                <c:pt idx="32">
                  <c:v>0.20599535695573601</c:v>
                </c:pt>
                <c:pt idx="33">
                  <c:v>0.18687775716257901</c:v>
                </c:pt>
                <c:pt idx="34">
                  <c:v>0.16598833547243499</c:v>
                </c:pt>
                <c:pt idx="35">
                  <c:v>0.14357767453108899</c:v>
                </c:pt>
                <c:pt idx="36">
                  <c:v>0.119927366173762</c:v>
                </c:pt>
                <c:pt idx="37">
                  <c:v>9.5393885585067797E-2</c:v>
                </c:pt>
                <c:pt idx="38">
                  <c:v>7.0274892033609399E-2</c:v>
                </c:pt>
                <c:pt idx="39">
                  <c:v>4.5035112761367797E-2</c:v>
                </c:pt>
                <c:pt idx="40">
                  <c:v>1.9969677618779099E-2</c:v>
                </c:pt>
                <c:pt idx="41">
                  <c:v>1.1693394093808301E-2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8A-4A40-BB7F-786A05207FFB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_markers!$BA$2:$BA$43</c:f>
              <c:numCache>
                <c:formatCode>General</c:formatCode>
                <c:ptCount val="42"/>
                <c:pt idx="41">
                  <c:v>0.60051617754702102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8A-4A40-BB7F-786A05207FFB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DATA!$B$1094:$B$1135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_markers!$BB$2:$BB$43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8A-4A40-BB7F-786A05207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25472"/>
        <c:axId val="1575027872"/>
      </c:lineChart>
      <c:catAx>
        <c:axId val="157502547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7872"/>
        <c:crosses val="autoZero"/>
        <c:auto val="1"/>
        <c:lblAlgn val="ctr"/>
        <c:lblOffset val="100"/>
        <c:tickLblSkip val="1"/>
        <c:noMultiLvlLbl val="0"/>
      </c:catAx>
      <c:valAx>
        <c:axId val="15750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4.3125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DATA!$M$1136:$M$1177</c:f>
              <c:numCache>
                <c:formatCode>General</c:formatCode>
                <c:ptCount val="42"/>
                <c:pt idx="0">
                  <c:v>7.7538253371930793E-2</c:v>
                </c:pt>
                <c:pt idx="1">
                  <c:v>8.22447230076115E-2</c:v>
                </c:pt>
                <c:pt idx="2">
                  <c:v>8.7247528894124002E-2</c:v>
                </c:pt>
                <c:pt idx="3">
                  <c:v>9.2575991074210301E-2</c:v>
                </c:pt>
                <c:pt idx="4">
                  <c:v>9.8272060603718597E-2</c:v>
                </c:pt>
                <c:pt idx="5">
                  <c:v>0.104370707910394</c:v>
                </c:pt>
                <c:pt idx="6">
                  <c:v>0.110905994469115</c:v>
                </c:pt>
                <c:pt idx="7">
                  <c:v>0.11791291966737</c:v>
                </c:pt>
                <c:pt idx="8">
                  <c:v>0.12542805856228401</c:v>
                </c:pt>
                <c:pt idx="9">
                  <c:v>0.13348978791729901</c:v>
                </c:pt>
                <c:pt idx="10">
                  <c:v>0.14213829171712</c:v>
                </c:pt>
                <c:pt idx="11">
                  <c:v>0.151415374366554</c:v>
                </c:pt>
                <c:pt idx="12">
                  <c:v>0.16136418520932799</c:v>
                </c:pt>
                <c:pt idx="13">
                  <c:v>0.17202875711637</c:v>
                </c:pt>
                <c:pt idx="14">
                  <c:v>0.183453309974351</c:v>
                </c:pt>
                <c:pt idx="15">
                  <c:v>0.19568142331771299</c:v>
                </c:pt>
                <c:pt idx="16">
                  <c:v>0.20867460542546301</c:v>
                </c:pt>
                <c:pt idx="17">
                  <c:v>0.22262889757749199</c:v>
                </c:pt>
                <c:pt idx="18">
                  <c:v>0.23749957538035801</c:v>
                </c:pt>
                <c:pt idx="19">
                  <c:v>0.25331683617886003</c:v>
                </c:pt>
                <c:pt idx="20">
                  <c:v>0.27009010554788299</c:v>
                </c:pt>
                <c:pt idx="21">
                  <c:v>0.28786673817805403</c:v>
                </c:pt>
                <c:pt idx="22">
                  <c:v>0.30656339433547097</c:v>
                </c:pt>
                <c:pt idx="23">
                  <c:v>0.32616366019099702</c:v>
                </c:pt>
                <c:pt idx="24">
                  <c:v>0.34660991628118898</c:v>
                </c:pt>
                <c:pt idx="25">
                  <c:v>0.36780530408314299</c:v>
                </c:pt>
                <c:pt idx="26">
                  <c:v>0.38964338073490601</c:v>
                </c:pt>
                <c:pt idx="27">
                  <c:v>0.41205271266465499</c:v>
                </c:pt>
                <c:pt idx="28">
                  <c:v>0.43467715517295902</c:v>
                </c:pt>
                <c:pt idx="29">
                  <c:v>0.457303629335924</c:v>
                </c:pt>
                <c:pt idx="30">
                  <c:v>0.47977953356436398</c:v>
                </c:pt>
                <c:pt idx="31">
                  <c:v>0.50182737115431997</c:v>
                </c:pt>
                <c:pt idx="32">
                  <c:v>0.52308179939703403</c:v>
                </c:pt>
                <c:pt idx="33">
                  <c:v>0.54313972234139796</c:v>
                </c:pt>
                <c:pt idx="34">
                  <c:v>0.56176044748790299</c:v>
                </c:pt>
                <c:pt idx="35">
                  <c:v>0.57851537762574901</c:v>
                </c:pt>
                <c:pt idx="36">
                  <c:v>0.59341337288107399</c:v>
                </c:pt>
                <c:pt idx="37">
                  <c:v>0.60620943073645595</c:v>
                </c:pt>
                <c:pt idx="38">
                  <c:v>0.61674857366639702</c:v>
                </c:pt>
                <c:pt idx="39">
                  <c:v>0.62484039662545399</c:v>
                </c:pt>
                <c:pt idx="40">
                  <c:v>0.63051196080565897</c:v>
                </c:pt>
                <c:pt idx="41">
                  <c:v>0.63365137934904503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8-48C5-A783-59C2102B1A5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DATA!$N$1136:$N$1177</c:f>
              <c:numCache>
                <c:formatCode>General</c:formatCode>
                <c:ptCount val="42"/>
                <c:pt idx="0">
                  <c:v>0.20024773368541501</c:v>
                </c:pt>
                <c:pt idx="1">
                  <c:v>0.20553068588773801</c:v>
                </c:pt>
                <c:pt idx="2">
                  <c:v>0.21087167480963501</c:v>
                </c:pt>
                <c:pt idx="3">
                  <c:v>0.21629061219338</c:v>
                </c:pt>
                <c:pt idx="4">
                  <c:v>0.22180349647300099</c:v>
                </c:pt>
                <c:pt idx="5">
                  <c:v>0.22740972798189699</c:v>
                </c:pt>
                <c:pt idx="6">
                  <c:v>0.233101715761519</c:v>
                </c:pt>
                <c:pt idx="7">
                  <c:v>0.23886722903254201</c:v>
                </c:pt>
                <c:pt idx="8">
                  <c:v>0.244689790571124</c:v>
                </c:pt>
                <c:pt idx="9">
                  <c:v>0.250548547245522</c:v>
                </c:pt>
                <c:pt idx="10">
                  <c:v>0.25641775553068702</c:v>
                </c:pt>
                <c:pt idx="11">
                  <c:v>0.262266126689785</c:v>
                </c:pt>
                <c:pt idx="12">
                  <c:v>0.268056106571812</c:v>
                </c:pt>
                <c:pt idx="13">
                  <c:v>0.273743004453601</c:v>
                </c:pt>
                <c:pt idx="14">
                  <c:v>0.27927405485075901</c:v>
                </c:pt>
                <c:pt idx="15">
                  <c:v>0.28458747812116902</c:v>
                </c:pt>
                <c:pt idx="16">
                  <c:v>0.28954699049955102</c:v>
                </c:pt>
                <c:pt idx="17">
                  <c:v>0.29419657015759099</c:v>
                </c:pt>
                <c:pt idx="18">
                  <c:v>0.29837883843108898</c:v>
                </c:pt>
                <c:pt idx="19">
                  <c:v>0.301987582346531</c:v>
                </c:pt>
                <c:pt idx="20">
                  <c:v>0.304901969062286</c:v>
                </c:pt>
                <c:pt idx="21">
                  <c:v>0.30698570104960898</c:v>
                </c:pt>
                <c:pt idx="22">
                  <c:v>0.30810068736466301</c:v>
                </c:pt>
                <c:pt idx="23">
                  <c:v>0.30808747752367199</c:v>
                </c:pt>
                <c:pt idx="24">
                  <c:v>0.30678399001430601</c:v>
                </c:pt>
                <c:pt idx="25">
                  <c:v>0.30397237374768898</c:v>
                </c:pt>
                <c:pt idx="26">
                  <c:v>0.29958523834144901</c:v>
                </c:pt>
                <c:pt idx="27">
                  <c:v>0.29352156905490201</c:v>
                </c:pt>
                <c:pt idx="28">
                  <c:v>0.285432918520518</c:v>
                </c:pt>
                <c:pt idx="29">
                  <c:v>0.27533424542511398</c:v>
                </c:pt>
                <c:pt idx="30">
                  <c:v>0.26308955739939199</c:v>
                </c:pt>
                <c:pt idx="31">
                  <c:v>0.248630257642969</c:v>
                </c:pt>
                <c:pt idx="32">
                  <c:v>0.23194413955759799</c:v>
                </c:pt>
                <c:pt idx="33">
                  <c:v>0.213289425246147</c:v>
                </c:pt>
                <c:pt idx="34">
                  <c:v>0.19270711307819199</c:v>
                </c:pt>
                <c:pt idx="35">
                  <c:v>0.17052774752500199</c:v>
                </c:pt>
                <c:pt idx="36">
                  <c:v>0.146813650419794</c:v>
                </c:pt>
                <c:pt idx="37">
                  <c:v>0.121652683139642</c:v>
                </c:pt>
                <c:pt idx="38">
                  <c:v>9.5888523688713298E-2</c:v>
                </c:pt>
                <c:pt idx="39">
                  <c:v>6.9680996118195407E-2</c:v>
                </c:pt>
                <c:pt idx="40">
                  <c:v>4.3472938221428802E-2</c:v>
                </c:pt>
                <c:pt idx="41">
                  <c:v>3.4459928255886597E-2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8-48C5-A783-59C2102B1A51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_markers!$BC$2:$BC$43</c:f>
              <c:numCache>
                <c:formatCode>General</c:formatCode>
                <c:ptCount val="42"/>
                <c:pt idx="41">
                  <c:v>0.63365137934904503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F8-48C5-A783-59C2102B1A51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DATA!$B$1136:$B$1177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_markers!$BD$2:$BD$43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F8-48C5-A783-59C2102B1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70320"/>
        <c:axId val="1303064560"/>
      </c:lineChart>
      <c:catAx>
        <c:axId val="130307032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64560"/>
        <c:crosses val="autoZero"/>
        <c:auto val="1"/>
        <c:lblAlgn val="ctr"/>
        <c:lblOffset val="100"/>
        <c:tickLblSkip val="1"/>
        <c:noMultiLvlLbl val="0"/>
      </c:catAx>
      <c:valAx>
        <c:axId val="13030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7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4.45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DATA!$M$1178:$M$1219</c:f>
              <c:numCache>
                <c:formatCode>General</c:formatCode>
                <c:ptCount val="42"/>
                <c:pt idx="0">
                  <c:v>7.9614844569984106E-2</c:v>
                </c:pt>
                <c:pt idx="1">
                  <c:v>8.44433878644337E-2</c:v>
                </c:pt>
                <c:pt idx="2">
                  <c:v>8.9524820714278197E-2</c:v>
                </c:pt>
                <c:pt idx="3">
                  <c:v>9.4937629475455795E-2</c:v>
                </c:pt>
                <c:pt idx="4">
                  <c:v>0.10072296672044399</c:v>
                </c:pt>
                <c:pt idx="5">
                  <c:v>0.10691425128127301</c:v>
                </c:pt>
                <c:pt idx="6">
                  <c:v>0.11354471291755799</c:v>
                </c:pt>
                <c:pt idx="7">
                  <c:v>0.12064897139670699</c:v>
                </c:pt>
                <c:pt idx="8">
                  <c:v>0.12826342676598901</c:v>
                </c:pt>
                <c:pt idx="9">
                  <c:v>0.13642643660419301</c:v>
                </c:pt>
                <c:pt idx="10">
                  <c:v>0.145178264262975</c:v>
                </c:pt>
                <c:pt idx="11">
                  <c:v>0.154560959931134</c:v>
                </c:pt>
                <c:pt idx="12">
                  <c:v>0.164618067597467</c:v>
                </c:pt>
                <c:pt idx="13">
                  <c:v>0.17539422868766799</c:v>
                </c:pt>
                <c:pt idx="14">
                  <c:v>0.18692416528846201</c:v>
                </c:pt>
                <c:pt idx="15">
                  <c:v>0.199276041974042</c:v>
                </c:pt>
                <c:pt idx="16">
                  <c:v>0.21245326454322699</c:v>
                </c:pt>
                <c:pt idx="17">
                  <c:v>0.22654939237199201</c:v>
                </c:pt>
                <c:pt idx="18">
                  <c:v>0.24156925011355701</c:v>
                </c:pt>
                <c:pt idx="19">
                  <c:v>0.25749926664316503</c:v>
                </c:pt>
                <c:pt idx="20">
                  <c:v>0.27446137113223801</c:v>
                </c:pt>
                <c:pt idx="21">
                  <c:v>0.292413669485865</c:v>
                </c:pt>
                <c:pt idx="22">
                  <c:v>0.311395043224651</c:v>
                </c:pt>
                <c:pt idx="23">
                  <c:v>0.33138692819431298</c:v>
                </c:pt>
                <c:pt idx="24">
                  <c:v>0.35223100043796102</c:v>
                </c:pt>
                <c:pt idx="25">
                  <c:v>0.373900837680116</c:v>
                </c:pt>
                <c:pt idx="26">
                  <c:v>0.39630026392984902</c:v>
                </c:pt>
                <c:pt idx="27">
                  <c:v>0.41925197437186101</c:v>
                </c:pt>
                <c:pt idx="28">
                  <c:v>0.44266269530160401</c:v>
                </c:pt>
                <c:pt idx="29">
                  <c:v>0.46627426702595998</c:v>
                </c:pt>
                <c:pt idx="30">
                  <c:v>0.48995954354299398</c:v>
                </c:pt>
                <c:pt idx="31">
                  <c:v>0.51324087919185701</c:v>
                </c:pt>
                <c:pt idx="32">
                  <c:v>0.53601384524126205</c:v>
                </c:pt>
                <c:pt idx="33">
                  <c:v>0.55776313594675597</c:v>
                </c:pt>
                <c:pt idx="34">
                  <c:v>0.57826460465705798</c:v>
                </c:pt>
                <c:pt idx="35">
                  <c:v>0.59704070583097901</c:v>
                </c:pt>
                <c:pt idx="36">
                  <c:v>0.61414058758686296</c:v>
                </c:pt>
                <c:pt idx="37">
                  <c:v>0.62923831430728205</c:v>
                </c:pt>
                <c:pt idx="38">
                  <c:v>0.64200905669115105</c:v>
                </c:pt>
                <c:pt idx="39">
                  <c:v>0.65250000556876497</c:v>
                </c:pt>
                <c:pt idx="40">
                  <c:v>0.66052136558442298</c:v>
                </c:pt>
                <c:pt idx="41">
                  <c:v>0.66535750611484601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E-4093-8A05-9BE5E6D79F55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DATA!$N$1178:$N$1219</c:f>
              <c:numCache>
                <c:formatCode>General</c:formatCode>
                <c:ptCount val="42"/>
                <c:pt idx="0">
                  <c:v>0.20913264402423101</c:v>
                </c:pt>
                <c:pt idx="1">
                  <c:v>0.21465271147457299</c:v>
                </c:pt>
                <c:pt idx="2">
                  <c:v>0.22021057862056201</c:v>
                </c:pt>
                <c:pt idx="3">
                  <c:v>0.22585540250328301</c:v>
                </c:pt>
                <c:pt idx="4">
                  <c:v>0.23160157782867599</c:v>
                </c:pt>
                <c:pt idx="5">
                  <c:v>0.237448524563492</c:v>
                </c:pt>
                <c:pt idx="6">
                  <c:v>0.243389339575309</c:v>
                </c:pt>
                <c:pt idx="7">
                  <c:v>0.24941275542272001</c:v>
                </c:pt>
                <c:pt idx="8">
                  <c:v>0.25550360815415801</c:v>
                </c:pt>
                <c:pt idx="9">
                  <c:v>0.26164245235433597</c:v>
                </c:pt>
                <c:pt idx="10">
                  <c:v>0.26780522642101101</c:v>
                </c:pt>
                <c:pt idx="11">
                  <c:v>0.27396254077985099</c:v>
                </c:pt>
                <c:pt idx="12">
                  <c:v>0.28007902083133401</c:v>
                </c:pt>
                <c:pt idx="13">
                  <c:v>0.28611244840849698</c:v>
                </c:pt>
                <c:pt idx="14">
                  <c:v>0.29200795101638499</c:v>
                </c:pt>
                <c:pt idx="15">
                  <c:v>0.29771762786515998</c:v>
                </c:pt>
                <c:pt idx="16">
                  <c:v>0.303154441664017</c:v>
                </c:pt>
                <c:pt idx="17">
                  <c:v>0.30826612201910703</c:v>
                </c:pt>
                <c:pt idx="18">
                  <c:v>0.31294649895420101</c:v>
                </c:pt>
                <c:pt idx="19">
                  <c:v>0.31704700118224499</c:v>
                </c:pt>
                <c:pt idx="20">
                  <c:v>0.32054531855691398</c:v>
                </c:pt>
                <c:pt idx="21">
                  <c:v>0.323268555201142</c:v>
                </c:pt>
                <c:pt idx="22">
                  <c:v>0.32507587036077701</c:v>
                </c:pt>
                <c:pt idx="23">
                  <c:v>0.32581359405402699</c:v>
                </c:pt>
                <c:pt idx="24">
                  <c:v>0.32531599846047698</c:v>
                </c:pt>
                <c:pt idx="25">
                  <c:v>0.32342058924323902</c:v>
                </c:pt>
                <c:pt idx="26">
                  <c:v>0.31995957945676101</c:v>
                </c:pt>
                <c:pt idx="27">
                  <c:v>0.31481090358889902</c:v>
                </c:pt>
                <c:pt idx="28">
                  <c:v>0.30774250486009203</c:v>
                </c:pt>
                <c:pt idx="29">
                  <c:v>0.298662078229882</c:v>
                </c:pt>
                <c:pt idx="30">
                  <c:v>0.28740716936564298</c:v>
                </c:pt>
                <c:pt idx="31">
                  <c:v>0.27400417417859801</c:v>
                </c:pt>
                <c:pt idx="32">
                  <c:v>0.25840272159594502</c:v>
                </c:pt>
                <c:pt idx="33">
                  <c:v>0.24062227711987499</c:v>
                </c:pt>
                <c:pt idx="34">
                  <c:v>0.220777393978808</c:v>
                </c:pt>
                <c:pt idx="35">
                  <c:v>0.19909193639720199</c:v>
                </c:pt>
                <c:pt idx="36">
                  <c:v>0.175682140745402</c:v>
                </c:pt>
                <c:pt idx="37">
                  <c:v>0.15088284768089499</c:v>
                </c:pt>
                <c:pt idx="38">
                  <c:v>0.12500432952875301</c:v>
                </c:pt>
                <c:pt idx="39">
                  <c:v>9.8464084352175102E-2</c:v>
                </c:pt>
                <c:pt idx="40">
                  <c:v>7.1700257104903395E-2</c:v>
                </c:pt>
                <c:pt idx="41">
                  <c:v>5.9533953741970701E-2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DE-4093-8A05-9BE5E6D79F55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_markers!$BE$2:$BE$43</c:f>
              <c:numCache>
                <c:formatCode>General</c:formatCode>
                <c:ptCount val="42"/>
                <c:pt idx="41">
                  <c:v>0.66535750611484601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DE-4093-8A05-9BE5E6D79F55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DATA!$B$1178:$B$1219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_markers!$BF$2:$BF$43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DE-4093-8A05-9BE5E6D79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59280"/>
        <c:axId val="1303054480"/>
      </c:lineChart>
      <c:catAx>
        <c:axId val="130305928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54480"/>
        <c:crosses val="autoZero"/>
        <c:auto val="1"/>
        <c:lblAlgn val="ctr"/>
        <c:lblOffset val="100"/>
        <c:tickLblSkip val="1"/>
        <c:noMultiLvlLbl val="0"/>
      </c:catAx>
      <c:valAx>
        <c:axId val="130305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5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4.5875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701785667403286E-2"/>
          <c:w val="0.92107220075755036"/>
          <c:h val="0.78336710052904712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DATA!$M$1220:$M$1261</c:f>
              <c:numCache>
                <c:formatCode>General</c:formatCode>
                <c:ptCount val="42"/>
                <c:pt idx="0">
                  <c:v>8.2171409431346903E-2</c:v>
                </c:pt>
                <c:pt idx="1">
                  <c:v>8.7083494124952102E-2</c:v>
                </c:pt>
                <c:pt idx="2">
                  <c:v>9.2304005021936794E-2</c:v>
                </c:pt>
                <c:pt idx="3">
                  <c:v>9.7859345606015002E-2</c:v>
                </c:pt>
                <c:pt idx="4">
                  <c:v>0.103789684062221</c:v>
                </c:pt>
                <c:pt idx="5">
                  <c:v>0.110129905632172</c:v>
                </c:pt>
                <c:pt idx="6">
                  <c:v>0.1169145449903</c:v>
                </c:pt>
                <c:pt idx="7">
                  <c:v>0.124179141823171</c:v>
                </c:pt>
                <c:pt idx="8">
                  <c:v>0.13196080974107399</c:v>
                </c:pt>
                <c:pt idx="9">
                  <c:v>0.140298471391023</c:v>
                </c:pt>
                <c:pt idx="10">
                  <c:v>0.14923293037972901</c:v>
                </c:pt>
                <c:pt idx="11">
                  <c:v>0.15880676478148001</c:v>
                </c:pt>
                <c:pt idx="12">
                  <c:v>0.16906415316746601</c:v>
                </c:pt>
                <c:pt idx="13">
                  <c:v>0.180050473157194</c:v>
                </c:pt>
                <c:pt idx="14">
                  <c:v>0.19181179010209001</c:v>
                </c:pt>
                <c:pt idx="15">
                  <c:v>0.20439381506632301</c:v>
                </c:pt>
                <c:pt idx="16">
                  <c:v>0.21784862456576601</c:v>
                </c:pt>
                <c:pt idx="17">
                  <c:v>0.23216530722866199</c:v>
                </c:pt>
                <c:pt idx="18">
                  <c:v>0.24747269602574101</c:v>
                </c:pt>
                <c:pt idx="19">
                  <c:v>0.26376947312111299</c:v>
                </c:pt>
                <c:pt idx="20">
                  <c:v>0.28113920688890398</c:v>
                </c:pt>
                <c:pt idx="21">
                  <c:v>0.29948574787688798</c:v>
                </c:pt>
                <c:pt idx="22">
                  <c:v>0.31884436013373801</c:v>
                </c:pt>
                <c:pt idx="23">
                  <c:v>0.33920745246663397</c:v>
                </c:pt>
                <c:pt idx="24">
                  <c:v>0.360534361646213</c:v>
                </c:pt>
                <c:pt idx="25">
                  <c:v>0.38269991540168902</c:v>
                </c:pt>
                <c:pt idx="26">
                  <c:v>0.40572236747298102</c:v>
                </c:pt>
                <c:pt idx="27">
                  <c:v>0.429422655890567</c:v>
                </c:pt>
                <c:pt idx="28">
                  <c:v>0.45363693702671398</c:v>
                </c:pt>
                <c:pt idx="29">
                  <c:v>0.47816703337184702</c:v>
                </c:pt>
                <c:pt idx="30">
                  <c:v>0.50277702305865202</c:v>
                </c:pt>
                <c:pt idx="31">
                  <c:v>0.52720632860182404</c:v>
                </c:pt>
                <c:pt idx="32">
                  <c:v>0.55127804228726496</c:v>
                </c:pt>
                <c:pt idx="33">
                  <c:v>0.57443971303415098</c:v>
                </c:pt>
                <c:pt idx="34">
                  <c:v>0.59640701707436705</c:v>
                </c:pt>
                <c:pt idx="35">
                  <c:v>0.61700584639725398</c:v>
                </c:pt>
                <c:pt idx="36">
                  <c:v>0.63592266179901502</c:v>
                </c:pt>
                <c:pt idx="37">
                  <c:v>0.65287906997061396</c:v>
                </c:pt>
                <c:pt idx="38">
                  <c:v>0.66765735775044999</c:v>
                </c:pt>
                <c:pt idx="39">
                  <c:v>0.67997485352626497</c:v>
                </c:pt>
                <c:pt idx="40">
                  <c:v>0.69003698990390105</c:v>
                </c:pt>
                <c:pt idx="41">
                  <c:v>0.69527357475157303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5-4B8D-9B4D-38128942499E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DATA!$N$1220:$N$1261</c:f>
              <c:numCache>
                <c:formatCode>General</c:formatCode>
                <c:ptCount val="42"/>
                <c:pt idx="0">
                  <c:v>0.21876718277374299</c:v>
                </c:pt>
                <c:pt idx="1">
                  <c:v>0.224469351902714</c:v>
                </c:pt>
                <c:pt idx="2">
                  <c:v>0.23026207021308401</c:v>
                </c:pt>
                <c:pt idx="3">
                  <c:v>0.23614124837581699</c:v>
                </c:pt>
                <c:pt idx="4">
                  <c:v>0.24212480839015499</c:v>
                </c:pt>
                <c:pt idx="5">
                  <c:v>0.248214533381341</c:v>
                </c:pt>
                <c:pt idx="6">
                  <c:v>0.25440513319483399</c:v>
                </c:pt>
                <c:pt idx="7">
                  <c:v>0.26068650058759402</c:v>
                </c:pt>
                <c:pt idx="8">
                  <c:v>0.26704426826927302</c:v>
                </c:pt>
                <c:pt idx="9">
                  <c:v>0.27345977317583198</c:v>
                </c:pt>
                <c:pt idx="10">
                  <c:v>0.27990975480038799</c:v>
                </c:pt>
                <c:pt idx="11">
                  <c:v>0.28636571926725901</c:v>
                </c:pt>
                <c:pt idx="12">
                  <c:v>0.29279328074850902</c:v>
                </c:pt>
                <c:pt idx="13">
                  <c:v>0.29915140177176203</c:v>
                </c:pt>
                <c:pt idx="14">
                  <c:v>0.30539153082077197</c:v>
                </c:pt>
                <c:pt idx="15">
                  <c:v>0.31145597511725198</c:v>
                </c:pt>
                <c:pt idx="16">
                  <c:v>0.31728185783034302</c:v>
                </c:pt>
                <c:pt idx="17">
                  <c:v>0.32266781448678999</c:v>
                </c:pt>
                <c:pt idx="18">
                  <c:v>0.32776021262932298</c:v>
                </c:pt>
                <c:pt idx="19">
                  <c:v>0.33234909219952202</c:v>
                </c:pt>
                <c:pt idx="20">
                  <c:v>0.33632510296450902</c:v>
                </c:pt>
                <c:pt idx="21">
                  <c:v>0.33954207486282101</c:v>
                </c:pt>
                <c:pt idx="22">
                  <c:v>0.341871892915172</c:v>
                </c:pt>
                <c:pt idx="23">
                  <c:v>0.34316380147542302</c:v>
                </c:pt>
                <c:pt idx="24">
                  <c:v>0.34325805046185898</c:v>
                </c:pt>
                <c:pt idx="25">
                  <c:v>0.34206234501942601</c:v>
                </c:pt>
                <c:pt idx="26">
                  <c:v>0.33925993252374498</c:v>
                </c:pt>
                <c:pt idx="27">
                  <c:v>0.33475221991300302</c:v>
                </c:pt>
                <c:pt idx="28">
                  <c:v>0.32838030312066002</c:v>
                </c:pt>
                <c:pt idx="29">
                  <c:v>0.32000064730405298</c:v>
                </c:pt>
                <c:pt idx="30">
                  <c:v>0.30949639013557101</c:v>
                </c:pt>
                <c:pt idx="31">
                  <c:v>0.29679581985944098</c:v>
                </c:pt>
                <c:pt idx="32">
                  <c:v>0.28170458304181301</c:v>
                </c:pt>
                <c:pt idx="33">
                  <c:v>0.264497467834658</c:v>
                </c:pt>
                <c:pt idx="34">
                  <c:v>0.24516687516364699</c:v>
                </c:pt>
                <c:pt idx="35">
                  <c:v>0.223786718595961</c:v>
                </c:pt>
                <c:pt idx="36">
                  <c:v>0.20054561686383299</c:v>
                </c:pt>
                <c:pt idx="37">
                  <c:v>0.17569151027218399</c:v>
                </c:pt>
                <c:pt idx="38">
                  <c:v>0.149517199342901</c:v>
                </c:pt>
                <c:pt idx="39">
                  <c:v>0.122632250819099</c:v>
                </c:pt>
                <c:pt idx="40">
                  <c:v>9.5081535577999698E-2</c:v>
                </c:pt>
                <c:pt idx="41">
                  <c:v>8.68489422911526E-2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5-4B8D-9B4D-38128942499E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_markers!$BG$2:$BG$43</c:f>
              <c:numCache>
                <c:formatCode>General</c:formatCode>
                <c:ptCount val="42"/>
                <c:pt idx="41">
                  <c:v>0.69527357475157303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5-4B8D-9B4D-38128942499E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DATA!$B$1220:$B$1261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_markers!$BH$2:$BH$43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5-4B8D-9B4D-381289424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61680"/>
        <c:axId val="1303078480"/>
      </c:lineChart>
      <c:catAx>
        <c:axId val="130306168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78480"/>
        <c:crosses val="autoZero"/>
        <c:auto val="1"/>
        <c:lblAlgn val="ctr"/>
        <c:lblOffset val="100"/>
        <c:tickLblSkip val="1"/>
        <c:noMultiLvlLbl val="0"/>
      </c:catAx>
      <c:valAx>
        <c:axId val="130307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6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4.725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93737969949E-2"/>
          <c:w val="0.92107220075755036"/>
          <c:h val="0.77980067132398934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DATA!$M$1262:$M$1303</c:f>
              <c:numCache>
                <c:formatCode>General</c:formatCode>
                <c:ptCount val="42"/>
                <c:pt idx="0">
                  <c:v>8.4260248668475604E-2</c:v>
                </c:pt>
                <c:pt idx="1">
                  <c:v>8.9257133036704697E-2</c:v>
                </c:pt>
                <c:pt idx="2">
                  <c:v>9.4567322220579397E-2</c:v>
                </c:pt>
                <c:pt idx="3">
                  <c:v>0.100218329441515</c:v>
                </c:pt>
                <c:pt idx="4">
                  <c:v>0.106250046667188</c:v>
                </c:pt>
                <c:pt idx="5">
                  <c:v>0.112697486724551</c:v>
                </c:pt>
                <c:pt idx="6">
                  <c:v>0.11959507047231201</c:v>
                </c:pt>
                <c:pt idx="7">
                  <c:v>0.12697827031782799</c:v>
                </c:pt>
                <c:pt idx="8">
                  <c:v>0.13488429506772001</c:v>
                </c:pt>
                <c:pt idx="9">
                  <c:v>0.14335232796308001</c:v>
                </c:pt>
                <c:pt idx="10">
                  <c:v>0.152423561177607</c:v>
                </c:pt>
                <c:pt idx="11">
                  <c:v>0.162141157704419</c:v>
                </c:pt>
                <c:pt idx="12">
                  <c:v>0.17254998365058699</c:v>
                </c:pt>
                <c:pt idx="13">
                  <c:v>0.18372661808999499</c:v>
                </c:pt>
                <c:pt idx="14">
                  <c:v>0.19566040720531899</c:v>
                </c:pt>
                <c:pt idx="15">
                  <c:v>0.20842678586007199</c:v>
                </c:pt>
                <c:pt idx="16">
                  <c:v>0.22207266783298299</c:v>
                </c:pt>
                <c:pt idx="17">
                  <c:v>0.236643223616429</c:v>
                </c:pt>
                <c:pt idx="18">
                  <c:v>0.25216261802645101</c:v>
                </c:pt>
                <c:pt idx="19">
                  <c:v>0.26881777906786802</c:v>
                </c:pt>
                <c:pt idx="20">
                  <c:v>0.28644943769185499</c:v>
                </c:pt>
                <c:pt idx="21">
                  <c:v>0.30510217801392903</c:v>
                </c:pt>
                <c:pt idx="22">
                  <c:v>0.32483262262283502</c:v>
                </c:pt>
                <c:pt idx="23">
                  <c:v>0.34555680908928899</c:v>
                </c:pt>
                <c:pt idx="24">
                  <c:v>0.36734869243698798</c:v>
                </c:pt>
                <c:pt idx="25">
                  <c:v>0.39010437821463601</c:v>
                </c:pt>
                <c:pt idx="26">
                  <c:v>0.413740052151574</c:v>
                </c:pt>
                <c:pt idx="27">
                  <c:v>0.43814469862641697</c:v>
                </c:pt>
                <c:pt idx="28">
                  <c:v>0.46321736771335398</c:v>
                </c:pt>
                <c:pt idx="29">
                  <c:v>0.48868459916117402</c:v>
                </c:pt>
                <c:pt idx="30">
                  <c:v>0.51443866851001196</c:v>
                </c:pt>
                <c:pt idx="31">
                  <c:v>0.54007993452409597</c:v>
                </c:pt>
                <c:pt idx="32">
                  <c:v>0.565388471963018</c:v>
                </c:pt>
                <c:pt idx="33">
                  <c:v>0.58999355850056401</c:v>
                </c:pt>
                <c:pt idx="34">
                  <c:v>0.61369023243804299</c:v>
                </c:pt>
                <c:pt idx="35">
                  <c:v>0.63611937650188999</c:v>
                </c:pt>
                <c:pt idx="36">
                  <c:v>0.65692708719100201</c:v>
                </c:pt>
                <c:pt idx="37">
                  <c:v>0.67583558189693405</c:v>
                </c:pt>
                <c:pt idx="38">
                  <c:v>0.69256741590589799</c:v>
                </c:pt>
                <c:pt idx="39">
                  <c:v>0.70718851444266995</c:v>
                </c:pt>
                <c:pt idx="40">
                  <c:v>0.71934344072124201</c:v>
                </c:pt>
                <c:pt idx="41">
                  <c:v>0.72463432923058402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04-414E-83C3-79C94C054D73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DATA!$N$1262:$N$1303</c:f>
              <c:numCache>
                <c:formatCode>General</c:formatCode>
                <c:ptCount val="42"/>
                <c:pt idx="0">
                  <c:v>0.22793537818602999</c:v>
                </c:pt>
                <c:pt idx="1">
                  <c:v>0.23386629758678101</c:v>
                </c:pt>
                <c:pt idx="2">
                  <c:v>0.239877148291578</c:v>
                </c:pt>
                <c:pt idx="3">
                  <c:v>0.245986390162719</c:v>
                </c:pt>
                <c:pt idx="4">
                  <c:v>0.25221066851412899</c:v>
                </c:pt>
                <c:pt idx="5">
                  <c:v>0.25855172103721702</c:v>
                </c:pt>
                <c:pt idx="6">
                  <c:v>0.265004300060248</c:v>
                </c:pt>
                <c:pt idx="7">
                  <c:v>0.27155852331698299</c:v>
                </c:pt>
                <c:pt idx="8">
                  <c:v>0.27820058038002299</c:v>
                </c:pt>
                <c:pt idx="9">
                  <c:v>0.28491261467104501</c:v>
                </c:pt>
                <c:pt idx="10">
                  <c:v>0.29167238197276601</c:v>
                </c:pt>
                <c:pt idx="11">
                  <c:v>0.298452575837578</c:v>
                </c:pt>
                <c:pt idx="12">
                  <c:v>0.30522027721727801</c:v>
                </c:pt>
                <c:pt idx="13">
                  <c:v>0.31191273868482899</c:v>
                </c:pt>
                <c:pt idx="14">
                  <c:v>0.318528464437554</c:v>
                </c:pt>
                <c:pt idx="15">
                  <c:v>0.32499034381008002</c:v>
                </c:pt>
                <c:pt idx="16">
                  <c:v>0.33123413837982002</c:v>
                </c:pt>
                <c:pt idx="17">
                  <c:v>0.33718545995591198</c:v>
                </c:pt>
                <c:pt idx="18">
                  <c:v>0.34275404843166202</c:v>
                </c:pt>
                <c:pt idx="19">
                  <c:v>0.34789969621538303</c:v>
                </c:pt>
                <c:pt idx="20">
                  <c:v>0.35242480111996399</c:v>
                </c:pt>
                <c:pt idx="21">
                  <c:v>0.35623129212869897</c:v>
                </c:pt>
                <c:pt idx="22">
                  <c:v>0.35918944183761797</c:v>
                </c:pt>
                <c:pt idx="23">
                  <c:v>0.36117918666669502</c:v>
                </c:pt>
                <c:pt idx="24">
                  <c:v>0.36197961067629503</c:v>
                </c:pt>
                <c:pt idx="25">
                  <c:v>0.36145415564038702</c:v>
                </c:pt>
                <c:pt idx="26">
                  <c:v>0.35942992740755297</c:v>
                </c:pt>
                <c:pt idx="27">
                  <c:v>0.35573376517354799</c:v>
                </c:pt>
                <c:pt idx="28">
                  <c:v>0.350208547283756</c:v>
                </c:pt>
                <c:pt idx="29">
                  <c:v>0.34267461655347198</c:v>
                </c:pt>
                <c:pt idx="30">
                  <c:v>0.33296721208212199</c:v>
                </c:pt>
                <c:pt idx="31">
                  <c:v>0.32106326974199501</c:v>
                </c:pt>
                <c:pt idx="32">
                  <c:v>0.30686547835099698</c:v>
                </c:pt>
                <c:pt idx="33">
                  <c:v>0.29040422606462801</c:v>
                </c:pt>
                <c:pt idx="34">
                  <c:v>0.271642971060019</c:v>
                </c:pt>
                <c:pt idx="35">
                  <c:v>0.250715576734725</c:v>
                </c:pt>
                <c:pt idx="36">
                  <c:v>0.22780936585245901</c:v>
                </c:pt>
                <c:pt idx="37">
                  <c:v>0.20318023760190601</c:v>
                </c:pt>
                <c:pt idx="38">
                  <c:v>0.17724766066515299</c:v>
                </c:pt>
                <c:pt idx="39">
                  <c:v>0.14978076624078901</c:v>
                </c:pt>
                <c:pt idx="40">
                  <c:v>0.12183041463196601</c:v>
                </c:pt>
                <c:pt idx="41">
                  <c:v>0.111591860501962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04-414E-83C3-79C94C054D73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_markers!$BI$2:$BI$43</c:f>
              <c:numCache>
                <c:formatCode>General</c:formatCode>
                <c:ptCount val="42"/>
                <c:pt idx="41">
                  <c:v>0.72463432923058402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04-414E-83C3-79C94C054D73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DATA!$B$1262:$B$1303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_markers!$BJ$2:$BJ$43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04-414E-83C3-79C94C054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87120"/>
        <c:axId val="1303087600"/>
      </c:lineChart>
      <c:catAx>
        <c:axId val="130308712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87600"/>
        <c:crosses val="autoZero"/>
        <c:auto val="1"/>
        <c:lblAlgn val="ctr"/>
        <c:lblOffset val="100"/>
        <c:tickLblSkip val="1"/>
        <c:noMultiLvlLbl val="0"/>
      </c:catAx>
      <c:valAx>
        <c:axId val="130308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8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4.8625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DATA!$M$1304:$M$1345</c:f>
              <c:numCache>
                <c:formatCode>General</c:formatCode>
                <c:ptCount val="42"/>
                <c:pt idx="0">
                  <c:v>8.5774062906310497E-2</c:v>
                </c:pt>
                <c:pt idx="1">
                  <c:v>9.08341106145477E-2</c:v>
                </c:pt>
                <c:pt idx="2">
                  <c:v>9.6186957412223495E-2</c:v>
                </c:pt>
                <c:pt idx="3">
                  <c:v>0.101881996225665</c:v>
                </c:pt>
                <c:pt idx="4">
                  <c:v>0.10795898094872899</c:v>
                </c:pt>
                <c:pt idx="5">
                  <c:v>0.114452224905205</c:v>
                </c:pt>
                <c:pt idx="6">
                  <c:v>0.121395485006016</c:v>
                </c:pt>
                <c:pt idx="7">
                  <c:v>0.12882364022752901</c:v>
                </c:pt>
                <c:pt idx="8">
                  <c:v>0.13677337847951501</c:v>
                </c:pt>
                <c:pt idx="9">
                  <c:v>0.14528338495956</c:v>
                </c:pt>
                <c:pt idx="10">
                  <c:v>0.15439442518363</c:v>
                </c:pt>
                <c:pt idx="11">
                  <c:v>0.16414923021337399</c:v>
                </c:pt>
                <c:pt idx="12">
                  <c:v>0.174592398818224</c:v>
                </c:pt>
                <c:pt idx="13">
                  <c:v>0.18577003447273499</c:v>
                </c:pt>
                <c:pt idx="14">
                  <c:v>0.19772940915114601</c:v>
                </c:pt>
                <c:pt idx="15">
                  <c:v>0.21050975555408899</c:v>
                </c:pt>
                <c:pt idx="16">
                  <c:v>0.22417766274829101</c:v>
                </c:pt>
                <c:pt idx="17">
                  <c:v>0.23875765262609</c:v>
                </c:pt>
                <c:pt idx="18">
                  <c:v>0.25432576361943199</c:v>
                </c:pt>
                <c:pt idx="19">
                  <c:v>0.270896910412045</c:v>
                </c:pt>
                <c:pt idx="20">
                  <c:v>0.28850491490135399</c:v>
                </c:pt>
                <c:pt idx="21">
                  <c:v>0.30722991088842899</c:v>
                </c:pt>
                <c:pt idx="22">
                  <c:v>0.32700621126399299</c:v>
                </c:pt>
                <c:pt idx="23">
                  <c:v>0.34785185172125799</c:v>
                </c:pt>
                <c:pt idx="24">
                  <c:v>0.36975186395536003</c:v>
                </c:pt>
                <c:pt idx="25">
                  <c:v>0.39266623290796898</c:v>
                </c:pt>
                <c:pt idx="26">
                  <c:v>0.41652869141408999</c:v>
                </c:pt>
                <c:pt idx="27">
                  <c:v>0.44118092842622197</c:v>
                </c:pt>
                <c:pt idx="28">
                  <c:v>0.46661917526984797</c:v>
                </c:pt>
                <c:pt idx="29">
                  <c:v>0.49261813468496202</c:v>
                </c:pt>
                <c:pt idx="30">
                  <c:v>0.518978444071161</c:v>
                </c:pt>
                <c:pt idx="31">
                  <c:v>0.54552356293434201</c:v>
                </c:pt>
                <c:pt idx="32">
                  <c:v>0.57195115357049897</c:v>
                </c:pt>
                <c:pt idx="33">
                  <c:v>0.59787375757424699</c:v>
                </c:pt>
                <c:pt idx="34">
                  <c:v>0.62304804931831803</c:v>
                </c:pt>
                <c:pt idx="35">
                  <c:v>0.64705792866720302</c:v>
                </c:pt>
                <c:pt idx="36">
                  <c:v>0.66973274333087995</c:v>
                </c:pt>
                <c:pt idx="37">
                  <c:v>0.690914472968709</c:v>
                </c:pt>
                <c:pt idx="38">
                  <c:v>0.71013779597668403</c:v>
                </c:pt>
                <c:pt idx="39">
                  <c:v>0.727412179027359</c:v>
                </c:pt>
                <c:pt idx="40">
                  <c:v>0.74191306446229999</c:v>
                </c:pt>
                <c:pt idx="41">
                  <c:v>0.75270077991929696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E-4259-9CB0-214C8F46541C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DATA!$N$1304:$N$1345</c:f>
              <c:numCache>
                <c:formatCode>General</c:formatCode>
                <c:ptCount val="42"/>
                <c:pt idx="0">
                  <c:v>0.23638114962815801</c:v>
                </c:pt>
                <c:pt idx="1">
                  <c:v>0.24253915585453401</c:v>
                </c:pt>
                <c:pt idx="2">
                  <c:v>0.24873229092687299</c:v>
                </c:pt>
                <c:pt idx="3">
                  <c:v>0.25503292290347701</c:v>
                </c:pt>
                <c:pt idx="4">
                  <c:v>0.26145896810036801</c:v>
                </c:pt>
                <c:pt idx="5">
                  <c:v>0.26801192404992802</c:v>
                </c:pt>
                <c:pt idx="6">
                  <c:v>0.27468661363631403</c:v>
                </c:pt>
                <c:pt idx="7">
                  <c:v>0.28147372980877899</c:v>
                </c:pt>
                <c:pt idx="8">
                  <c:v>0.28836031084719199</c:v>
                </c:pt>
                <c:pt idx="9">
                  <c:v>0.29532967420851902</c:v>
                </c:pt>
                <c:pt idx="10">
                  <c:v>0.302360984044095</c:v>
                </c:pt>
                <c:pt idx="11">
                  <c:v>0.30942870196213501</c:v>
                </c:pt>
                <c:pt idx="12">
                  <c:v>0.31650192104309</c:v>
                </c:pt>
                <c:pt idx="13">
                  <c:v>0.32354372188719699</c:v>
                </c:pt>
                <c:pt idx="14">
                  <c:v>0.330510177471319</c:v>
                </c:pt>
                <c:pt idx="15">
                  <c:v>0.33734363557893898</c:v>
                </c:pt>
                <c:pt idx="16">
                  <c:v>0.343997053199111</c:v>
                </c:pt>
                <c:pt idx="17">
                  <c:v>0.35029852537501299</c:v>
                </c:pt>
                <c:pt idx="18">
                  <c:v>0.35635456958647299</c:v>
                </c:pt>
                <c:pt idx="19">
                  <c:v>0.361977413406944</c:v>
                </c:pt>
                <c:pt idx="20">
                  <c:v>0.367064419540576</c:v>
                </c:pt>
                <c:pt idx="21">
                  <c:v>0.371505845715843</c:v>
                </c:pt>
                <c:pt idx="22">
                  <c:v>0.375157586308693</c:v>
                </c:pt>
                <c:pt idx="23">
                  <c:v>0.37788219059204597</c:v>
                </c:pt>
                <c:pt idx="24">
                  <c:v>0.37952710952068902</c:v>
                </c:pt>
                <c:pt idx="25">
                  <c:v>0.37992953707718402</c:v>
                </c:pt>
                <c:pt idx="26">
                  <c:v>0.37891990927066199</c:v>
                </c:pt>
                <c:pt idx="27">
                  <c:v>0.37640473176245098</c:v>
                </c:pt>
                <c:pt idx="28">
                  <c:v>0.37206255494037199</c:v>
                </c:pt>
                <c:pt idx="29">
                  <c:v>0.365805788444238</c:v>
                </c:pt>
                <c:pt idx="30">
                  <c:v>0.35749028453876702</c:v>
                </c:pt>
                <c:pt idx="31">
                  <c:v>0.34693212244906801</c:v>
                </c:pt>
                <c:pt idx="32">
                  <c:v>0.33418088225124398</c:v>
                </c:pt>
                <c:pt idx="33">
                  <c:v>0.31910972504316198</c:v>
                </c:pt>
                <c:pt idx="34">
                  <c:v>0.30174827693314099</c:v>
                </c:pt>
                <c:pt idx="35">
                  <c:v>0.282186372562305</c:v>
                </c:pt>
                <c:pt idx="36">
                  <c:v>0.26052649830462099</c:v>
                </c:pt>
                <c:pt idx="37">
                  <c:v>0.23688893368546901</c:v>
                </c:pt>
                <c:pt idx="38">
                  <c:v>0.21147133673486501</c:v>
                </c:pt>
                <c:pt idx="39">
                  <c:v>0.18447381823591999</c:v>
                </c:pt>
                <c:pt idx="40">
                  <c:v>0.157224528963676</c:v>
                </c:pt>
                <c:pt idx="41">
                  <c:v>0.14043409049137601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0E-4259-9CB0-214C8F46541C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_markers!$BK$2:$BK$43</c:f>
              <c:numCache>
                <c:formatCode>General</c:formatCode>
                <c:ptCount val="42"/>
                <c:pt idx="41">
                  <c:v>0.75270077991929696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0E-4259-9CB0-214C8F46541C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DATA!$B$1304:$B$1345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_markers!$BL$2:$BL$43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0E-4259-9CB0-214C8F465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040560"/>
        <c:axId val="1303032880"/>
      </c:lineChart>
      <c:catAx>
        <c:axId val="130304056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32880"/>
        <c:crosses val="autoZero"/>
        <c:auto val="1"/>
        <c:lblAlgn val="ctr"/>
        <c:lblOffset val="100"/>
        <c:tickLblSkip val="1"/>
        <c:noMultiLvlLbl val="0"/>
      </c:catAx>
      <c:valAx>
        <c:axId val="130303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04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5.5699829743180829E-2"/>
          <c:y val="3.6534683580341544E-2"/>
          <c:w val="0.92107220075755036"/>
          <c:h val="0.77980045451840985"/>
        </c:manualLayout>
      </c:layout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DATA!$M$1346:$M$1387</c:f>
              <c:numCache>
                <c:formatCode>General</c:formatCode>
                <c:ptCount val="42"/>
                <c:pt idx="0">
                  <c:v>8.7614637018759794E-2</c:v>
                </c:pt>
                <c:pt idx="1">
                  <c:v>9.2704526468637E-2</c:v>
                </c:pt>
                <c:pt idx="2">
                  <c:v>9.8169539002998699E-2</c:v>
                </c:pt>
                <c:pt idx="3">
                  <c:v>0.10397748467948099</c:v>
                </c:pt>
                <c:pt idx="4">
                  <c:v>0.110169992484125</c:v>
                </c:pt>
                <c:pt idx="5">
                  <c:v>0.11678331861669899</c:v>
                </c:pt>
                <c:pt idx="6">
                  <c:v>0.123847825770944</c:v>
                </c:pt>
                <c:pt idx="7">
                  <c:v>0.13140849156901699</c:v>
                </c:pt>
                <c:pt idx="8">
                  <c:v>0.139497964168419</c:v>
                </c:pt>
                <c:pt idx="9">
                  <c:v>0.14815554353061</c:v>
                </c:pt>
                <c:pt idx="10">
                  <c:v>0.15743509327778399</c:v>
                </c:pt>
                <c:pt idx="11">
                  <c:v>0.16735569803997599</c:v>
                </c:pt>
                <c:pt idx="12">
                  <c:v>0.177977200201657</c:v>
                </c:pt>
                <c:pt idx="13">
                  <c:v>0.18934417407465801</c:v>
                </c:pt>
                <c:pt idx="14">
                  <c:v>0.20150237820306</c:v>
                </c:pt>
                <c:pt idx="15">
                  <c:v>0.214500686033228</c:v>
                </c:pt>
                <c:pt idx="16">
                  <c:v>0.22839392806150999</c:v>
                </c:pt>
                <c:pt idx="17">
                  <c:v>0.24325047968609001</c:v>
                </c:pt>
                <c:pt idx="18">
                  <c:v>0.25908411381243801</c:v>
                </c:pt>
                <c:pt idx="19">
                  <c:v>0.27594068426836998</c:v>
                </c:pt>
                <c:pt idx="20">
                  <c:v>0.29386375758712902</c:v>
                </c:pt>
                <c:pt idx="21">
                  <c:v>0.31287717982088398</c:v>
                </c:pt>
                <c:pt idx="22">
                  <c:v>0.33300244869356399</c:v>
                </c:pt>
                <c:pt idx="23">
                  <c:v>0.35422392700781202</c:v>
                </c:pt>
                <c:pt idx="24">
                  <c:v>0.37656177714865602</c:v>
                </c:pt>
                <c:pt idx="25">
                  <c:v>0.39996478461420598</c:v>
                </c:pt>
                <c:pt idx="26">
                  <c:v>0.42438008909656499</c:v>
                </c:pt>
                <c:pt idx="27">
                  <c:v>0.44977928210129597</c:v>
                </c:pt>
                <c:pt idx="28">
                  <c:v>0.47592716036944999</c:v>
                </c:pt>
                <c:pt idx="29">
                  <c:v>0.50272735478513797</c:v>
                </c:pt>
                <c:pt idx="30">
                  <c:v>0.529990191674512</c:v>
                </c:pt>
                <c:pt idx="31">
                  <c:v>0.55750148860971205</c:v>
                </c:pt>
                <c:pt idx="32">
                  <c:v>0.584990318586462</c:v>
                </c:pt>
                <c:pt idx="33">
                  <c:v>0.61217119365977901</c:v>
                </c:pt>
                <c:pt idx="34">
                  <c:v>0.63873359905373495</c:v>
                </c:pt>
                <c:pt idx="35">
                  <c:v>0.66446946662333894</c:v>
                </c:pt>
                <c:pt idx="36">
                  <c:v>0.68886715785450103</c:v>
                </c:pt>
                <c:pt idx="37">
                  <c:v>0.71200310357278296</c:v>
                </c:pt>
                <c:pt idx="38">
                  <c:v>0.73296439636075505</c:v>
                </c:pt>
                <c:pt idx="39">
                  <c:v>0.75177373974664996</c:v>
                </c:pt>
                <c:pt idx="40">
                  <c:v>0.76828437102276903</c:v>
                </c:pt>
                <c:pt idx="41">
                  <c:v>0.77756968355702205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0-44D0-BDF6-9469F6FE43E9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DATA!$N$1346:$N$1387</c:f>
              <c:numCache>
                <c:formatCode>General</c:formatCode>
                <c:ptCount val="42"/>
                <c:pt idx="0">
                  <c:v>0.24517992587940701</c:v>
                </c:pt>
                <c:pt idx="1">
                  <c:v>0.25154850173244703</c:v>
                </c:pt>
                <c:pt idx="2">
                  <c:v>0.25800723035490902</c:v>
                </c:pt>
                <c:pt idx="3">
                  <c:v>0.26456845390429801</c:v>
                </c:pt>
                <c:pt idx="4">
                  <c:v>0.27125596579279898</c:v>
                </c:pt>
                <c:pt idx="5">
                  <c:v>0.278075453854224</c:v>
                </c:pt>
                <c:pt idx="6">
                  <c:v>0.28502011647487802</c:v>
                </c:pt>
                <c:pt idx="7">
                  <c:v>0.29209029775831302</c:v>
                </c:pt>
                <c:pt idx="8">
                  <c:v>0.29926985523727201</c:v>
                </c:pt>
                <c:pt idx="9">
                  <c:v>0.30654301527989902</c:v>
                </c:pt>
                <c:pt idx="10">
                  <c:v>0.31389821989925099</c:v>
                </c:pt>
                <c:pt idx="11">
                  <c:v>0.32129380457865497</c:v>
                </c:pt>
                <c:pt idx="12">
                  <c:v>0.32871002743649702</c:v>
                </c:pt>
                <c:pt idx="13">
                  <c:v>0.33610923276016502</c:v>
                </c:pt>
                <c:pt idx="14">
                  <c:v>0.34344726262896202</c:v>
                </c:pt>
                <c:pt idx="15">
                  <c:v>0.35067249713904602</c:v>
                </c:pt>
                <c:pt idx="16">
                  <c:v>0.35773193676186998</c:v>
                </c:pt>
                <c:pt idx="17">
                  <c:v>0.36451673087643499</c:v>
                </c:pt>
                <c:pt idx="18">
                  <c:v>0.37101969343889402</c:v>
                </c:pt>
                <c:pt idx="19">
                  <c:v>0.37711201525139898</c:v>
                </c:pt>
                <c:pt idx="20">
                  <c:v>0.382694131438784</c:v>
                </c:pt>
                <c:pt idx="21">
                  <c:v>0.38764929144713001</c:v>
                </c:pt>
                <c:pt idx="22">
                  <c:v>0.39185080761552599</c:v>
                </c:pt>
                <c:pt idx="23">
                  <c:v>0.395209825411589</c:v>
                </c:pt>
                <c:pt idx="24">
                  <c:v>0.39747294196749899</c:v>
                </c:pt>
                <c:pt idx="25">
                  <c:v>0.398526414518451</c:v>
                </c:pt>
                <c:pt idx="26">
                  <c:v>0.39819992885225902</c:v>
                </c:pt>
                <c:pt idx="27">
                  <c:v>0.39627628399354198</c:v>
                </c:pt>
                <c:pt idx="28">
                  <c:v>0.39265513036776101</c:v>
                </c:pt>
                <c:pt idx="29">
                  <c:v>0.38713555372991598</c:v>
                </c:pt>
                <c:pt idx="30">
                  <c:v>0.37956397676194698</c:v>
                </c:pt>
                <c:pt idx="31">
                  <c:v>0.36988568571806202</c:v>
                </c:pt>
                <c:pt idx="32">
                  <c:v>0.357850952134383</c:v>
                </c:pt>
                <c:pt idx="33">
                  <c:v>0.34347288215294097</c:v>
                </c:pt>
                <c:pt idx="34">
                  <c:v>0.32674193878705199</c:v>
                </c:pt>
                <c:pt idx="35">
                  <c:v>0.307603454144943</c:v>
                </c:pt>
                <c:pt idx="36">
                  <c:v>0.286383067504004</c:v>
                </c:pt>
                <c:pt idx="37">
                  <c:v>0.26267779281394898</c:v>
                </c:pt>
                <c:pt idx="38">
                  <c:v>0.237475070317577</c:v>
                </c:pt>
                <c:pt idx="39">
                  <c:v>0.210816550704295</c:v>
                </c:pt>
                <c:pt idx="40">
                  <c:v>0.183064721673206</c:v>
                </c:pt>
                <c:pt idx="41">
                  <c:v>0.17131448490214499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20-44D0-BDF6-9469F6FE43E9}"/>
            </c:ext>
          </c:extLst>
        </c:ser>
        <c:ser>
          <c:idx val="2"/>
          <c:order val="2"/>
          <c:tx>
            <c:v>Peak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_markers!$BM$2:$BM$43</c:f>
              <c:numCache>
                <c:formatCode>General</c:formatCode>
                <c:ptCount val="42"/>
                <c:pt idx="41">
                  <c:v>0.77756968355702205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20-44D0-BDF6-9469F6FE43E9}"/>
            </c:ext>
          </c:extLst>
        </c:ser>
        <c:ser>
          <c:idx val="3"/>
          <c:order val="3"/>
          <c:tx>
            <c:v>Bzero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008B"/>
              </a:solidFill>
              <a:ln w="9525">
                <a:solidFill>
                  <a:srgbClr val="00008B"/>
                </a:solidFill>
                <a:prstDash val="solid"/>
              </a:ln>
              <a:effectLst/>
            </c:spPr>
          </c:marker>
          <c:cat>
            <c:numRef>
              <c:f>DATA!$B$1346:$B$1387</c:f>
              <c:numCache>
                <c:formatCode>General</c:formatCode>
                <c:ptCount val="42"/>
                <c:pt idx="0">
                  <c:v>15</c:v>
                </c:pt>
                <c:pt idx="1">
                  <c:v>15.0488</c:v>
                </c:pt>
                <c:pt idx="2">
                  <c:v>15.0976</c:v>
                </c:pt>
                <c:pt idx="3">
                  <c:v>15.1464</c:v>
                </c:pt>
                <c:pt idx="4">
                  <c:v>15.1952</c:v>
                </c:pt>
                <c:pt idx="5">
                  <c:v>15.244</c:v>
                </c:pt>
                <c:pt idx="6">
                  <c:v>15.2928</c:v>
                </c:pt>
                <c:pt idx="7">
                  <c:v>15.3416</c:v>
                </c:pt>
                <c:pt idx="8">
                  <c:v>15.3904</c:v>
                </c:pt>
                <c:pt idx="9">
                  <c:v>15.4392</c:v>
                </c:pt>
                <c:pt idx="10">
                  <c:v>15.488</c:v>
                </c:pt>
                <c:pt idx="11">
                  <c:v>15.536799999999999</c:v>
                </c:pt>
                <c:pt idx="12">
                  <c:v>15.585599999999999</c:v>
                </c:pt>
                <c:pt idx="13">
                  <c:v>15.634399999999999</c:v>
                </c:pt>
                <c:pt idx="14">
                  <c:v>15.683199999999999</c:v>
                </c:pt>
                <c:pt idx="15">
                  <c:v>15.731999999999999</c:v>
                </c:pt>
                <c:pt idx="16">
                  <c:v>15.780799999999999</c:v>
                </c:pt>
                <c:pt idx="17">
                  <c:v>15.829599999999999</c:v>
                </c:pt>
                <c:pt idx="18">
                  <c:v>15.878399999999999</c:v>
                </c:pt>
                <c:pt idx="19">
                  <c:v>15.927199999999999</c:v>
                </c:pt>
                <c:pt idx="20">
                  <c:v>15.976000000000001</c:v>
                </c:pt>
                <c:pt idx="21">
                  <c:v>16.024799999999999</c:v>
                </c:pt>
                <c:pt idx="22">
                  <c:v>16.073599999999999</c:v>
                </c:pt>
                <c:pt idx="23">
                  <c:v>16.122399999999999</c:v>
                </c:pt>
                <c:pt idx="24">
                  <c:v>16.171199999999999</c:v>
                </c:pt>
                <c:pt idx="25">
                  <c:v>16.22</c:v>
                </c:pt>
                <c:pt idx="26">
                  <c:v>16.268799999999999</c:v>
                </c:pt>
                <c:pt idx="27">
                  <c:v>16.317599999999999</c:v>
                </c:pt>
                <c:pt idx="28">
                  <c:v>16.366399999999999</c:v>
                </c:pt>
                <c:pt idx="29">
                  <c:v>16.415199999999999</c:v>
                </c:pt>
                <c:pt idx="30">
                  <c:v>16.463999999999999</c:v>
                </c:pt>
                <c:pt idx="31">
                  <c:v>16.512799999999999</c:v>
                </c:pt>
                <c:pt idx="32">
                  <c:v>16.561599999999999</c:v>
                </c:pt>
                <c:pt idx="33">
                  <c:v>16.610399999999998</c:v>
                </c:pt>
                <c:pt idx="34">
                  <c:v>16.659199999999998</c:v>
                </c:pt>
                <c:pt idx="35">
                  <c:v>16.707999999999998</c:v>
                </c:pt>
                <c:pt idx="36">
                  <c:v>16.756799999999998</c:v>
                </c:pt>
                <c:pt idx="37">
                  <c:v>16.805599999999998</c:v>
                </c:pt>
                <c:pt idx="38">
                  <c:v>16.854399999999998</c:v>
                </c:pt>
                <c:pt idx="39">
                  <c:v>16.903200000000002</c:v>
                </c:pt>
                <c:pt idx="40">
                  <c:v>16.952000000000002</c:v>
                </c:pt>
                <c:pt idx="41">
                  <c:v>17</c:v>
                </c:pt>
              </c:numCache>
            </c:numRef>
          </c:cat>
          <c:val>
            <c:numRef>
              <c:f>_markers!$BN$2:$BN$43</c:f>
              <c:numCache>
                <c:formatCode>General</c:formatCode>
                <c:ptCount val="4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20-44D0-BDF6-9469F6FE4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037952"/>
        <c:axId val="1575022112"/>
      </c:lineChart>
      <c:catAx>
        <c:axId val="157503795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22112"/>
        <c:crosses val="autoZero"/>
        <c:auto val="1"/>
        <c:lblAlgn val="ctr"/>
        <c:lblOffset val="100"/>
        <c:tickLblSkip val="1"/>
        <c:noMultiLvlLbl val="0"/>
      </c:catAx>
      <c:valAx>
        <c:axId val="157502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03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8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558800</xdr:colOff>
      <xdr:row>17</xdr:row>
      <xdr:rowOff>171450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0153971C-8E76-B43F-5178-657A492C2E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330200</xdr:colOff>
      <xdr:row>0</xdr:row>
      <xdr:rowOff>0</xdr:rowOff>
    </xdr:from>
    <xdr:to>
      <xdr:col>16</xdr:col>
      <xdr:colOff>279400</xdr:colOff>
      <xdr:row>17</xdr:row>
      <xdr:rowOff>171450</xdr:rowOff>
    </xdr:to>
    <xdr:graphicFrame macro="">
      <xdr:nvGraphicFramePr>
        <xdr:cNvPr id="26" name="Chart 2">
          <a:extLst>
            <a:ext uri="{FF2B5EF4-FFF2-40B4-BE49-F238E27FC236}">
              <a16:creationId xmlns:a16="http://schemas.microsoft.com/office/drawing/2014/main" id="{1A844BA5-029A-7779-D687-636CBC8B7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50800</xdr:colOff>
      <xdr:row>0</xdr:row>
      <xdr:rowOff>0</xdr:rowOff>
    </xdr:from>
    <xdr:to>
      <xdr:col>25</xdr:col>
      <xdr:colOff>0</xdr:colOff>
      <xdr:row>17</xdr:row>
      <xdr:rowOff>171450</xdr:rowOff>
    </xdr:to>
    <xdr:graphicFrame macro="">
      <xdr:nvGraphicFramePr>
        <xdr:cNvPr id="27" name="Chart 3">
          <a:extLst>
            <a:ext uri="{FF2B5EF4-FFF2-40B4-BE49-F238E27FC236}">
              <a16:creationId xmlns:a16="http://schemas.microsoft.com/office/drawing/2014/main" id="{1610EAB0-A0D8-ED2B-CEF1-8516B4F93C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381000</xdr:colOff>
      <xdr:row>0</xdr:row>
      <xdr:rowOff>0</xdr:rowOff>
    </xdr:from>
    <xdr:to>
      <xdr:col>33</xdr:col>
      <xdr:colOff>330200</xdr:colOff>
      <xdr:row>17</xdr:row>
      <xdr:rowOff>171450</xdr:rowOff>
    </xdr:to>
    <xdr:graphicFrame macro="">
      <xdr:nvGraphicFramePr>
        <xdr:cNvPr id="28" name="Chart 4">
          <a:extLst>
            <a:ext uri="{FF2B5EF4-FFF2-40B4-BE49-F238E27FC236}">
              <a16:creationId xmlns:a16="http://schemas.microsoft.com/office/drawing/2014/main" id="{B722BE4A-4B71-B568-E6C9-09C7B7044A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101600</xdr:colOff>
      <xdr:row>0</xdr:row>
      <xdr:rowOff>0</xdr:rowOff>
    </xdr:from>
    <xdr:to>
      <xdr:col>42</xdr:col>
      <xdr:colOff>50800</xdr:colOff>
      <xdr:row>17</xdr:row>
      <xdr:rowOff>171450</xdr:rowOff>
    </xdr:to>
    <xdr:graphicFrame macro="">
      <xdr:nvGraphicFramePr>
        <xdr:cNvPr id="29" name="Chart 5">
          <a:extLst>
            <a:ext uri="{FF2B5EF4-FFF2-40B4-BE49-F238E27FC236}">
              <a16:creationId xmlns:a16="http://schemas.microsoft.com/office/drawing/2014/main" id="{12DC044B-8636-7EEC-B171-EAE8641E5B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20</xdr:row>
      <xdr:rowOff>127000</xdr:rowOff>
    </xdr:from>
    <xdr:to>
      <xdr:col>7</xdr:col>
      <xdr:colOff>558800</xdr:colOff>
      <xdr:row>38</xdr:row>
      <xdr:rowOff>114300</xdr:rowOff>
    </xdr:to>
    <xdr:graphicFrame macro="">
      <xdr:nvGraphicFramePr>
        <xdr:cNvPr id="30" name="Chart 6">
          <a:extLst>
            <a:ext uri="{FF2B5EF4-FFF2-40B4-BE49-F238E27FC236}">
              <a16:creationId xmlns:a16="http://schemas.microsoft.com/office/drawing/2014/main" id="{8A1544F3-EE71-09D7-9DD7-44D97FFB0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330200</xdr:colOff>
      <xdr:row>20</xdr:row>
      <xdr:rowOff>127000</xdr:rowOff>
    </xdr:from>
    <xdr:to>
      <xdr:col>16</xdr:col>
      <xdr:colOff>279400</xdr:colOff>
      <xdr:row>38</xdr:row>
      <xdr:rowOff>114300</xdr:rowOff>
    </xdr:to>
    <xdr:graphicFrame macro="">
      <xdr:nvGraphicFramePr>
        <xdr:cNvPr id="31" name="Chart 7">
          <a:extLst>
            <a:ext uri="{FF2B5EF4-FFF2-40B4-BE49-F238E27FC236}">
              <a16:creationId xmlns:a16="http://schemas.microsoft.com/office/drawing/2014/main" id="{BD51EA0E-C680-29E1-7DE2-9ACE0F34D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50800</xdr:colOff>
      <xdr:row>20</xdr:row>
      <xdr:rowOff>127000</xdr:rowOff>
    </xdr:from>
    <xdr:to>
      <xdr:col>25</xdr:col>
      <xdr:colOff>0</xdr:colOff>
      <xdr:row>38</xdr:row>
      <xdr:rowOff>114300</xdr:rowOff>
    </xdr:to>
    <xdr:graphicFrame macro="">
      <xdr:nvGraphicFramePr>
        <xdr:cNvPr id="32" name="Chart 8">
          <a:extLst>
            <a:ext uri="{FF2B5EF4-FFF2-40B4-BE49-F238E27FC236}">
              <a16:creationId xmlns:a16="http://schemas.microsoft.com/office/drawing/2014/main" id="{13EDA75A-1134-D097-3C23-700A77D6CD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381000</xdr:colOff>
      <xdr:row>20</xdr:row>
      <xdr:rowOff>127000</xdr:rowOff>
    </xdr:from>
    <xdr:to>
      <xdr:col>33</xdr:col>
      <xdr:colOff>330200</xdr:colOff>
      <xdr:row>38</xdr:row>
      <xdr:rowOff>114300</xdr:rowOff>
    </xdr:to>
    <xdr:graphicFrame macro="">
      <xdr:nvGraphicFramePr>
        <xdr:cNvPr id="33" name="Chart 9">
          <a:extLst>
            <a:ext uri="{FF2B5EF4-FFF2-40B4-BE49-F238E27FC236}">
              <a16:creationId xmlns:a16="http://schemas.microsoft.com/office/drawing/2014/main" id="{40B413C5-B17F-7B65-319A-E704395B00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101600</xdr:colOff>
      <xdr:row>20</xdr:row>
      <xdr:rowOff>127000</xdr:rowOff>
    </xdr:from>
    <xdr:to>
      <xdr:col>42</xdr:col>
      <xdr:colOff>50800</xdr:colOff>
      <xdr:row>38</xdr:row>
      <xdr:rowOff>114300</xdr:rowOff>
    </xdr:to>
    <xdr:graphicFrame macro="">
      <xdr:nvGraphicFramePr>
        <xdr:cNvPr id="34" name="Chart 10">
          <a:extLst>
            <a:ext uri="{FF2B5EF4-FFF2-40B4-BE49-F238E27FC236}">
              <a16:creationId xmlns:a16="http://schemas.microsoft.com/office/drawing/2014/main" id="{E4DCB81D-F8F0-26CB-6EA7-C54022434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41</xdr:row>
      <xdr:rowOff>69850</xdr:rowOff>
    </xdr:from>
    <xdr:to>
      <xdr:col>7</xdr:col>
      <xdr:colOff>558800</xdr:colOff>
      <xdr:row>59</xdr:row>
      <xdr:rowOff>57150</xdr:rowOff>
    </xdr:to>
    <xdr:graphicFrame macro="">
      <xdr:nvGraphicFramePr>
        <xdr:cNvPr id="35" name="Chart 11">
          <a:extLst>
            <a:ext uri="{FF2B5EF4-FFF2-40B4-BE49-F238E27FC236}">
              <a16:creationId xmlns:a16="http://schemas.microsoft.com/office/drawing/2014/main" id="{6C04272C-6B6E-5683-A1CF-BDB9C58FE1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330200</xdr:colOff>
      <xdr:row>41</xdr:row>
      <xdr:rowOff>69850</xdr:rowOff>
    </xdr:from>
    <xdr:to>
      <xdr:col>16</xdr:col>
      <xdr:colOff>279400</xdr:colOff>
      <xdr:row>59</xdr:row>
      <xdr:rowOff>57150</xdr:rowOff>
    </xdr:to>
    <xdr:graphicFrame macro="">
      <xdr:nvGraphicFramePr>
        <xdr:cNvPr id="36" name="Chart 12">
          <a:extLst>
            <a:ext uri="{FF2B5EF4-FFF2-40B4-BE49-F238E27FC236}">
              <a16:creationId xmlns:a16="http://schemas.microsoft.com/office/drawing/2014/main" id="{14064250-1A85-9040-7EAC-C13B806B0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50800</xdr:colOff>
      <xdr:row>41</xdr:row>
      <xdr:rowOff>69850</xdr:rowOff>
    </xdr:from>
    <xdr:to>
      <xdr:col>25</xdr:col>
      <xdr:colOff>0</xdr:colOff>
      <xdr:row>59</xdr:row>
      <xdr:rowOff>57150</xdr:rowOff>
    </xdr:to>
    <xdr:graphicFrame macro="">
      <xdr:nvGraphicFramePr>
        <xdr:cNvPr id="37" name="Chart 13">
          <a:extLst>
            <a:ext uri="{FF2B5EF4-FFF2-40B4-BE49-F238E27FC236}">
              <a16:creationId xmlns:a16="http://schemas.microsoft.com/office/drawing/2014/main" id="{9FF56B3C-2F7B-8452-B409-09E467F87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381000</xdr:colOff>
      <xdr:row>41</xdr:row>
      <xdr:rowOff>69850</xdr:rowOff>
    </xdr:from>
    <xdr:to>
      <xdr:col>33</xdr:col>
      <xdr:colOff>330200</xdr:colOff>
      <xdr:row>59</xdr:row>
      <xdr:rowOff>57150</xdr:rowOff>
    </xdr:to>
    <xdr:graphicFrame macro="">
      <xdr:nvGraphicFramePr>
        <xdr:cNvPr id="38" name="Chart 14">
          <a:extLst>
            <a:ext uri="{FF2B5EF4-FFF2-40B4-BE49-F238E27FC236}">
              <a16:creationId xmlns:a16="http://schemas.microsoft.com/office/drawing/2014/main" id="{8C134F87-1844-9614-E7F5-180CF9C1E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34</xdr:col>
      <xdr:colOff>101600</xdr:colOff>
      <xdr:row>41</xdr:row>
      <xdr:rowOff>69850</xdr:rowOff>
    </xdr:from>
    <xdr:to>
      <xdr:col>42</xdr:col>
      <xdr:colOff>50800</xdr:colOff>
      <xdr:row>59</xdr:row>
      <xdr:rowOff>57150</xdr:rowOff>
    </xdr:to>
    <xdr:graphicFrame macro="">
      <xdr:nvGraphicFramePr>
        <xdr:cNvPr id="39" name="Chart 15">
          <a:extLst>
            <a:ext uri="{FF2B5EF4-FFF2-40B4-BE49-F238E27FC236}">
              <a16:creationId xmlns:a16="http://schemas.microsoft.com/office/drawing/2014/main" id="{D416A699-3912-ABAE-72E1-56B0650C6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62</xdr:row>
      <xdr:rowOff>12700</xdr:rowOff>
    </xdr:from>
    <xdr:to>
      <xdr:col>7</xdr:col>
      <xdr:colOff>558800</xdr:colOff>
      <xdr:row>80</xdr:row>
      <xdr:rowOff>0</xdr:rowOff>
    </xdr:to>
    <xdr:graphicFrame macro="">
      <xdr:nvGraphicFramePr>
        <xdr:cNvPr id="40" name="Chart 16">
          <a:extLst>
            <a:ext uri="{FF2B5EF4-FFF2-40B4-BE49-F238E27FC236}">
              <a16:creationId xmlns:a16="http://schemas.microsoft.com/office/drawing/2014/main" id="{27F88E21-ED30-155A-6161-214FB6E17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330200</xdr:colOff>
      <xdr:row>62</xdr:row>
      <xdr:rowOff>12700</xdr:rowOff>
    </xdr:from>
    <xdr:to>
      <xdr:col>16</xdr:col>
      <xdr:colOff>279400</xdr:colOff>
      <xdr:row>80</xdr:row>
      <xdr:rowOff>0</xdr:rowOff>
    </xdr:to>
    <xdr:graphicFrame macro="">
      <xdr:nvGraphicFramePr>
        <xdr:cNvPr id="41" name="Chart 17">
          <a:extLst>
            <a:ext uri="{FF2B5EF4-FFF2-40B4-BE49-F238E27FC236}">
              <a16:creationId xmlns:a16="http://schemas.microsoft.com/office/drawing/2014/main" id="{46F286C0-162C-8CB6-B2E4-6D5F3A5E23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50800</xdr:colOff>
      <xdr:row>62</xdr:row>
      <xdr:rowOff>12700</xdr:rowOff>
    </xdr:from>
    <xdr:to>
      <xdr:col>25</xdr:col>
      <xdr:colOff>0</xdr:colOff>
      <xdr:row>80</xdr:row>
      <xdr:rowOff>0</xdr:rowOff>
    </xdr:to>
    <xdr:graphicFrame macro="">
      <xdr:nvGraphicFramePr>
        <xdr:cNvPr id="42" name="Chart 18">
          <a:extLst>
            <a:ext uri="{FF2B5EF4-FFF2-40B4-BE49-F238E27FC236}">
              <a16:creationId xmlns:a16="http://schemas.microsoft.com/office/drawing/2014/main" id="{4D8FC2ED-DE29-FF72-6E1E-CAE5248179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381000</xdr:colOff>
      <xdr:row>62</xdr:row>
      <xdr:rowOff>12700</xdr:rowOff>
    </xdr:from>
    <xdr:to>
      <xdr:col>33</xdr:col>
      <xdr:colOff>330200</xdr:colOff>
      <xdr:row>80</xdr:row>
      <xdr:rowOff>0</xdr:rowOff>
    </xdr:to>
    <xdr:graphicFrame macro="">
      <xdr:nvGraphicFramePr>
        <xdr:cNvPr id="43" name="Chart 19">
          <a:extLst>
            <a:ext uri="{FF2B5EF4-FFF2-40B4-BE49-F238E27FC236}">
              <a16:creationId xmlns:a16="http://schemas.microsoft.com/office/drawing/2014/main" id="{1E837537-AF30-4D79-6141-CA13D4CC64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34</xdr:col>
      <xdr:colOff>101600</xdr:colOff>
      <xdr:row>62</xdr:row>
      <xdr:rowOff>12700</xdr:rowOff>
    </xdr:from>
    <xdr:to>
      <xdr:col>42</xdr:col>
      <xdr:colOff>50800</xdr:colOff>
      <xdr:row>80</xdr:row>
      <xdr:rowOff>0</xdr:rowOff>
    </xdr:to>
    <xdr:graphicFrame macro="">
      <xdr:nvGraphicFramePr>
        <xdr:cNvPr id="44" name="Chart 20">
          <a:extLst>
            <a:ext uri="{FF2B5EF4-FFF2-40B4-BE49-F238E27FC236}">
              <a16:creationId xmlns:a16="http://schemas.microsoft.com/office/drawing/2014/main" id="{C1C86400-C48D-E0A5-88AE-643E93A17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82</xdr:row>
      <xdr:rowOff>139700</xdr:rowOff>
    </xdr:from>
    <xdr:to>
      <xdr:col>7</xdr:col>
      <xdr:colOff>558800</xdr:colOff>
      <xdr:row>100</xdr:row>
      <xdr:rowOff>127000</xdr:rowOff>
    </xdr:to>
    <xdr:graphicFrame macro="">
      <xdr:nvGraphicFramePr>
        <xdr:cNvPr id="45" name="Chart 21">
          <a:extLst>
            <a:ext uri="{FF2B5EF4-FFF2-40B4-BE49-F238E27FC236}">
              <a16:creationId xmlns:a16="http://schemas.microsoft.com/office/drawing/2014/main" id="{1BDBBC3A-5356-BE5D-697E-40E961394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330200</xdr:colOff>
      <xdr:row>82</xdr:row>
      <xdr:rowOff>139700</xdr:rowOff>
    </xdr:from>
    <xdr:to>
      <xdr:col>16</xdr:col>
      <xdr:colOff>279400</xdr:colOff>
      <xdr:row>100</xdr:row>
      <xdr:rowOff>127000</xdr:rowOff>
    </xdr:to>
    <xdr:graphicFrame macro="">
      <xdr:nvGraphicFramePr>
        <xdr:cNvPr id="46" name="Chart 22">
          <a:extLst>
            <a:ext uri="{FF2B5EF4-FFF2-40B4-BE49-F238E27FC236}">
              <a16:creationId xmlns:a16="http://schemas.microsoft.com/office/drawing/2014/main" id="{317938E8-7CF9-43A1-0E05-DB7029B891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17</xdr:col>
      <xdr:colOff>50800</xdr:colOff>
      <xdr:row>82</xdr:row>
      <xdr:rowOff>139700</xdr:rowOff>
    </xdr:from>
    <xdr:to>
      <xdr:col>25</xdr:col>
      <xdr:colOff>0</xdr:colOff>
      <xdr:row>100</xdr:row>
      <xdr:rowOff>127000</xdr:rowOff>
    </xdr:to>
    <xdr:graphicFrame macro="">
      <xdr:nvGraphicFramePr>
        <xdr:cNvPr id="47" name="Chart 23">
          <a:extLst>
            <a:ext uri="{FF2B5EF4-FFF2-40B4-BE49-F238E27FC236}">
              <a16:creationId xmlns:a16="http://schemas.microsoft.com/office/drawing/2014/main" id="{CA5083FB-5830-D796-8113-B72313C95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381000</xdr:colOff>
      <xdr:row>82</xdr:row>
      <xdr:rowOff>139700</xdr:rowOff>
    </xdr:from>
    <xdr:to>
      <xdr:col>33</xdr:col>
      <xdr:colOff>330200</xdr:colOff>
      <xdr:row>100</xdr:row>
      <xdr:rowOff>127000</xdr:rowOff>
    </xdr:to>
    <xdr:graphicFrame macro="">
      <xdr:nvGraphicFramePr>
        <xdr:cNvPr id="48" name="Chart 24">
          <a:extLst>
            <a:ext uri="{FF2B5EF4-FFF2-40B4-BE49-F238E27FC236}">
              <a16:creationId xmlns:a16="http://schemas.microsoft.com/office/drawing/2014/main" id="{61BB6FEA-E7A9-3C72-3C59-BD859086DC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34</xdr:col>
      <xdr:colOff>101600</xdr:colOff>
      <xdr:row>82</xdr:row>
      <xdr:rowOff>139700</xdr:rowOff>
    </xdr:from>
    <xdr:to>
      <xdr:col>42</xdr:col>
      <xdr:colOff>50800</xdr:colOff>
      <xdr:row>100</xdr:row>
      <xdr:rowOff>127000</xdr:rowOff>
    </xdr:to>
    <xdr:graphicFrame macro="">
      <xdr:nvGraphicFramePr>
        <xdr:cNvPr id="49" name="Chart 25">
          <a:extLst>
            <a:ext uri="{FF2B5EF4-FFF2-40B4-BE49-F238E27FC236}">
              <a16:creationId xmlns:a16="http://schemas.microsoft.com/office/drawing/2014/main" id="{AD3FB6AA-F568-38F4-0942-DD0C602DF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103</xdr:row>
      <xdr:rowOff>82550</xdr:rowOff>
    </xdr:from>
    <xdr:to>
      <xdr:col>7</xdr:col>
      <xdr:colOff>558800</xdr:colOff>
      <xdr:row>121</xdr:row>
      <xdr:rowOff>69850</xdr:rowOff>
    </xdr:to>
    <xdr:graphicFrame macro="">
      <xdr:nvGraphicFramePr>
        <xdr:cNvPr id="50" name="Chart 26">
          <a:extLst>
            <a:ext uri="{FF2B5EF4-FFF2-40B4-BE49-F238E27FC236}">
              <a16:creationId xmlns:a16="http://schemas.microsoft.com/office/drawing/2014/main" id="{43842F84-12D8-4119-6D24-AF1CFCB2A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</xdr:col>
      <xdr:colOff>330200</xdr:colOff>
      <xdr:row>103</xdr:row>
      <xdr:rowOff>82550</xdr:rowOff>
    </xdr:from>
    <xdr:to>
      <xdr:col>16</xdr:col>
      <xdr:colOff>279400</xdr:colOff>
      <xdr:row>121</xdr:row>
      <xdr:rowOff>69850</xdr:rowOff>
    </xdr:to>
    <xdr:graphicFrame macro="">
      <xdr:nvGraphicFramePr>
        <xdr:cNvPr id="51" name="Chart 27">
          <a:extLst>
            <a:ext uri="{FF2B5EF4-FFF2-40B4-BE49-F238E27FC236}">
              <a16:creationId xmlns:a16="http://schemas.microsoft.com/office/drawing/2014/main" id="{0084381C-A025-2F39-F0BB-E48F0A051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17</xdr:col>
      <xdr:colOff>50800</xdr:colOff>
      <xdr:row>103</xdr:row>
      <xdr:rowOff>82550</xdr:rowOff>
    </xdr:from>
    <xdr:to>
      <xdr:col>25</xdr:col>
      <xdr:colOff>0</xdr:colOff>
      <xdr:row>121</xdr:row>
      <xdr:rowOff>69850</xdr:rowOff>
    </xdr:to>
    <xdr:graphicFrame macro="">
      <xdr:nvGraphicFramePr>
        <xdr:cNvPr id="52" name="Chart 28">
          <a:extLst>
            <a:ext uri="{FF2B5EF4-FFF2-40B4-BE49-F238E27FC236}">
              <a16:creationId xmlns:a16="http://schemas.microsoft.com/office/drawing/2014/main" id="{DDF85CC2-0BC8-A2F2-72F0-8C34099F7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25</xdr:col>
      <xdr:colOff>381000</xdr:colOff>
      <xdr:row>103</xdr:row>
      <xdr:rowOff>82550</xdr:rowOff>
    </xdr:from>
    <xdr:to>
      <xdr:col>33</xdr:col>
      <xdr:colOff>330200</xdr:colOff>
      <xdr:row>121</xdr:row>
      <xdr:rowOff>69850</xdr:rowOff>
    </xdr:to>
    <xdr:graphicFrame macro="">
      <xdr:nvGraphicFramePr>
        <xdr:cNvPr id="53" name="Chart 29">
          <a:extLst>
            <a:ext uri="{FF2B5EF4-FFF2-40B4-BE49-F238E27FC236}">
              <a16:creationId xmlns:a16="http://schemas.microsoft.com/office/drawing/2014/main" id="{B87B2C83-9FCB-6442-1498-99E3AC283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34</xdr:col>
      <xdr:colOff>101600</xdr:colOff>
      <xdr:row>103</xdr:row>
      <xdr:rowOff>82550</xdr:rowOff>
    </xdr:from>
    <xdr:to>
      <xdr:col>42</xdr:col>
      <xdr:colOff>50800</xdr:colOff>
      <xdr:row>121</xdr:row>
      <xdr:rowOff>69850</xdr:rowOff>
    </xdr:to>
    <xdr:graphicFrame macro="">
      <xdr:nvGraphicFramePr>
        <xdr:cNvPr id="54" name="Chart 30">
          <a:extLst>
            <a:ext uri="{FF2B5EF4-FFF2-40B4-BE49-F238E27FC236}">
              <a16:creationId xmlns:a16="http://schemas.microsoft.com/office/drawing/2014/main" id="{CE7016B8-5F4A-0CF2-F1AD-1BBC3A14A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124</xdr:row>
      <xdr:rowOff>25400</xdr:rowOff>
    </xdr:from>
    <xdr:to>
      <xdr:col>7</xdr:col>
      <xdr:colOff>558800</xdr:colOff>
      <xdr:row>142</xdr:row>
      <xdr:rowOff>12700</xdr:rowOff>
    </xdr:to>
    <xdr:graphicFrame macro="">
      <xdr:nvGraphicFramePr>
        <xdr:cNvPr id="55" name="Chart 31">
          <a:extLst>
            <a:ext uri="{FF2B5EF4-FFF2-40B4-BE49-F238E27FC236}">
              <a16:creationId xmlns:a16="http://schemas.microsoft.com/office/drawing/2014/main" id="{9FFE63A8-0BF7-5509-2DB5-C9CB6056A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8</xdr:col>
      <xdr:colOff>330200</xdr:colOff>
      <xdr:row>124</xdr:row>
      <xdr:rowOff>25400</xdr:rowOff>
    </xdr:from>
    <xdr:to>
      <xdr:col>16</xdr:col>
      <xdr:colOff>279400</xdr:colOff>
      <xdr:row>142</xdr:row>
      <xdr:rowOff>12700</xdr:rowOff>
    </xdr:to>
    <xdr:graphicFrame macro="">
      <xdr:nvGraphicFramePr>
        <xdr:cNvPr id="56" name="Chart 32">
          <a:extLst>
            <a:ext uri="{FF2B5EF4-FFF2-40B4-BE49-F238E27FC236}">
              <a16:creationId xmlns:a16="http://schemas.microsoft.com/office/drawing/2014/main" id="{33D28C50-DD29-646F-6BB0-A8C293488A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17</xdr:col>
      <xdr:colOff>50800</xdr:colOff>
      <xdr:row>124</xdr:row>
      <xdr:rowOff>25400</xdr:rowOff>
    </xdr:from>
    <xdr:to>
      <xdr:col>25</xdr:col>
      <xdr:colOff>0</xdr:colOff>
      <xdr:row>142</xdr:row>
      <xdr:rowOff>12700</xdr:rowOff>
    </xdr:to>
    <xdr:graphicFrame macro="">
      <xdr:nvGraphicFramePr>
        <xdr:cNvPr id="57" name="Chart 33">
          <a:extLst>
            <a:ext uri="{FF2B5EF4-FFF2-40B4-BE49-F238E27FC236}">
              <a16:creationId xmlns:a16="http://schemas.microsoft.com/office/drawing/2014/main" id="{A281738E-6874-5FAB-9472-6C2315C0C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7D747-4EFE-429B-A0D7-419E02E40AA2}" name="Table1" displayName="Table1" ref="A1:V484" totalsRowShown="0">
  <autoFilter ref="A1:V484" xr:uid="{5E97D747-4EFE-429B-A0D7-419E02E40AA2}"/>
  <tableColumns count="22">
    <tableColumn id="1" xr3:uid="{2513BE9D-84CE-491D-9700-1D3C7CF44BB2}" name="Offset"/>
    <tableColumn id="2" xr3:uid="{EC79AD33-D5DD-4F26-8309-4295E723B99B}" name="L=Lcav" dataDxfId="8"/>
    <tableColumn id="3" xr3:uid="{70889754-2CBD-45AB-A4FF-3DC3736E317E}" name="S11 Re"/>
    <tableColumn id="4" xr3:uid="{D19AC076-C630-4536-BC54-5D8BC2E026A5}" name="S11 Im"/>
    <tableColumn id="5" xr3:uid="{CBA55ED6-2C80-4532-AAE9-D40EA22E464E}" name="S21 Re"/>
    <tableColumn id="6" xr3:uid="{B3556530-43B7-4526-9EBD-1AEC51D1A915}" name="S21 Im"/>
    <tableColumn id="7" xr3:uid="{5A86BF7D-CCD8-46DD-8EC5-6F733D590E6D}" name="Z11 Re">
      <calculatedColumnFormula>IMREAL(IMDIV(IMSUM(IMPRODUCT(COMPLEX(1 + C2,D2),COMPLEX(1 - C2, - D2)),IMPRODUCT(COMPLEX(E2,F2),COMPLEX(E2,F2))),IMSUB(IMPRODUCT(COMPLEX(1 - C2, - D2),COMPLEX(1 - C2, - D2)),IMPRODUCT(COMPLEX(E2,F2),COMPLEX(E2,F2)))))</calculatedColumnFormula>
    </tableColumn>
    <tableColumn id="8" xr3:uid="{8B17F374-2141-46EF-A8DB-CDDC9202F717}" name="Z11 Im">
      <calculatedColumnFormula>IMAGINARY(IMDIV(IMSUM(IMPRODUCT(COMPLEX(1 + C2,D2),COMPLEX(1 - C2, - D2)),IMPRODUCT(COMPLEX(E2,F2),COMPLEX(E2,F2))),IMSUB(IMPRODUCT(COMPLEX(1 - C2, - D2),COMPLEX(1 - C2, - D2)),IMPRODUCT(COMPLEX(E2,F2),COMPLEX(E2,F2)))))</calculatedColumnFormula>
    </tableColumn>
    <tableColumn id="9" xr3:uid="{57EA0F02-E62E-4C16-B8CB-D7A47E7286F8}" name="Z12 Re">
      <calculatedColumnFormula>IMREAL(IMDIV(IMPRODUCT(COMPLEX(2,0),COMPLEX(E2,F2)),IMSUB(IMPRODUCT(COMPLEX(1 - C2, - D2),COMPLEX(1 - C2, - D2)),IMPRODUCT(COMPLEX(E2,F2),COMPLEX(E2,F2)))))</calculatedColumnFormula>
    </tableColumn>
    <tableColumn id="10" xr3:uid="{CB6902E8-4453-4E4E-B850-D7E90E4E8105}" name="Z12 Im">
      <calculatedColumnFormula>IMAGINARY(IMDIV(IMPRODUCT(COMPLEX(2,0),COMPLEX(E2,F2)),IMSUB(IMPRODUCT(COMPLEX(1 - C2, - D2),COMPLEX(1 - C2, - D2)),IMPRODUCT(COMPLEX(E2,F2),COMPLEX(E2,F2)))))</calculatedColumnFormula>
    </tableColumn>
    <tableColumn id="11" xr3:uid="{24C1BE14-2950-4619-B2EA-BB78C2CE76A7}" name="Rself" dataDxfId="7">
      <calculatedColumnFormula>IMREAL(IMSUB(COMPLEX(G2,H2),COMPLEX(I2,J2)))</calculatedColumnFormula>
    </tableColumn>
    <tableColumn id="12" xr3:uid="{686F1441-507A-49DD-AFE0-56BADB6F9068}" name="Xself" dataDxfId="6">
      <calculatedColumnFormula>IMAGINARY(IMSUB(COMPLEX(G2,H2),COMPLEX(I2,J2)))</calculatedColumnFormula>
    </tableColumn>
    <tableColumn id="13" xr3:uid="{77E17CA3-A747-4717-9C3A-D1A0CFB25085}" name="Gself" dataDxfId="5">
      <calculatedColumnFormula>IMREAL(IMDIV(IMSUB(IMPRODUCT(COMPLEX(1 - C2, - D2),COMPLEX(1 - C2, - D2)),IMPRODUCT(COMPLEX(E2,F2),COMPLEX(E2,F2))),IMPRODUCT(COMPLEX(2,0),COMPLEX(E2,F2))))</calculatedColumnFormula>
    </tableColumn>
    <tableColumn id="14" xr3:uid="{9374055B-1525-4D0A-9005-FE959CAFC7F4}" name="Bself" dataDxfId="4">
      <calculatedColumnFormula>IMAGINARY(IMDIV(IMSUB(IMPRODUCT(COMPLEX(1 - C2, - D2),COMPLEX(1 - C2, - D2)),IMPRODUCT(COMPLEX(E2,F2),COMPLEX(E2,F2))),IMPRODUCT(COMPLEX(2,0),COMPLEX(E2,F2))))</calculatedColumnFormula>
    </tableColumn>
    <tableColumn id="15" xr3:uid="{AAA615D7-8102-47CC-8330-7B7A5524380C}" name="Re[Vcav]"/>
    <tableColumn id="16" xr3:uid="{45531EEE-CB7B-4265-90DE-395C7FC277DF}" name="Im[Vcav]"/>
    <tableColumn id="17" xr3:uid="{7921AC3A-1DA2-42EF-A201-66E22041E5DB}" name="Re[Vrad]"/>
    <tableColumn id="18" xr3:uid="{ED01122A-BB3F-4B7C-B0B1-2591A1B2DADD}" name="Im[Vrad]"/>
    <tableColumn id="19" xr3:uid="{DEDA3FE3-CA31-44CA-B855-4F0E8FA609F4}" name="|rho|" dataDxfId="3">
      <calculatedColumnFormula>IMABS(COMPLEX(Q2,R2))/IMABS(COMPLEX(O2,P2))</calculatedColumnFormula>
    </tableColumn>
    <tableColumn id="20" xr3:uid="{8726D354-B8FF-4D2F-A2A9-D21714AE0420}" name="arg(rho)" dataDxfId="2">
      <calculatedColumnFormula>IMARGUMENT(IMDIV(COMPLEX(Q2,R2),COMPLEX(O2/B2,P2/B2)))/PI()*180</calculatedColumnFormula>
    </tableColumn>
    <tableColumn id="21" xr3:uid="{A6804CBD-F45A-4DD6-9569-7C118617F827}" name="Column1" dataDxfId="1"/>
    <tableColumn id="22" xr3:uid="{0F81E51C-E2FC-4AD5-9344-9497C0A26A05}" name="Column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AD3810-65A4-4376-8437-9266C366DC1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fed9994-243f-4d65-9f35-3287be66d1f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A462-76AA-4B0D-9C47-01D39BDAF6CD}">
  <dimension ref="A1:V2288"/>
  <sheetViews>
    <sheetView tabSelected="1" topLeftCell="A1381" zoomScale="81" zoomScaleNormal="115" workbookViewId="0">
      <selection activeCell="AN288" sqref="AN288"/>
    </sheetView>
  </sheetViews>
  <sheetFormatPr defaultRowHeight="14.5" x14ac:dyDescent="0.35"/>
  <cols>
    <col min="2" max="2" width="9.1796875" style="5"/>
    <col min="3" max="14" width="9.1796875" customWidth="1"/>
    <col min="15" max="16" width="10.81640625" customWidth="1"/>
    <col min="17" max="18" width="11.1796875" customWidth="1"/>
    <col min="20" max="20" width="10.453125" customWidth="1"/>
    <col min="21" max="22" width="9.81640625" hidden="1" customWidth="1"/>
    <col min="39" max="39" width="9.90625" customWidth="1"/>
    <col min="40" max="40" width="10.90625" customWidth="1"/>
  </cols>
  <sheetData>
    <row r="1" spans="1:22" ht="28" customHeight="1" x14ac:dyDescent="0.35">
      <c r="A1" s="1" t="s">
        <v>0</v>
      </c>
      <c r="B1" s="1" t="s">
        <v>9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6" t="s">
        <v>16</v>
      </c>
      <c r="L1" s="6" t="s">
        <v>17</v>
      </c>
      <c r="M1" s="6" t="s">
        <v>18</v>
      </c>
      <c r="N1" s="6" t="s">
        <v>19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s="8" t="s">
        <v>20</v>
      </c>
      <c r="V1" s="8" t="s">
        <v>21</v>
      </c>
    </row>
    <row r="2" spans="1:22" x14ac:dyDescent="0.35">
      <c r="A2" s="14">
        <v>0.6</v>
      </c>
      <c r="B2" s="14">
        <v>15</v>
      </c>
      <c r="C2" s="14">
        <v>-1.4676396E-3</v>
      </c>
      <c r="D2" s="14">
        <v>1.9170636999999999E-3</v>
      </c>
      <c r="E2" s="14">
        <v>0.99887386</v>
      </c>
      <c r="F2" s="14">
        <v>4.8834512000000001E-4</v>
      </c>
      <c r="G2" s="14">
        <f t="shared" ref="G2" si="0">IMREAL(IMDIV(IMSUM(IMPRODUCT(COMPLEX(1 + C2,D2),COMPLEX(1 - C2, - D2)),IMPRODUCT(COMPLEX(E2,F2),COMPLEX(E2,F2))),IMSUB(IMPRODUCT(COMPLEX(1 - C2, - D2),COMPLEX(1 - C2, - D2)),IMPRODUCT(COMPLEX(E2,F2),COMPLEX(E2,F2)))))</f>
        <v>206.77537040291699</v>
      </c>
      <c r="H2" s="14">
        <f t="shared" ref="H2" si="1">IMAGINARY(IMDIV(IMSUM(IMPRODUCT(COMPLEX(1 + C2,D2),COMPLEX(1 - C2, - D2)),IMPRODUCT(COMPLEX(E2,F2),COMPLEX(E2,F2))),IMSUB(IMPRODUCT(COMPLEX(1 - C2, - D2),COMPLEX(1 - C2, - D2)),IMPRODUCT(COMPLEX(E2,F2),COMPLEX(E2,F2)))))</f>
        <v>192.22262994277099</v>
      </c>
      <c r="I2" s="14">
        <f t="shared" ref="I2" si="2">IMREAL(IMDIV(IMPRODUCT(COMPLEX(2,0),COMPLEX(E2,F2)),IMSUB(IMPRODUCT(COMPLEX(1 - C2, - D2),COMPLEX(1 - C2, - D2)),IMPRODUCT(COMPLEX(E2,F2),COMPLEX(E2,F2)))))</f>
        <v>206.77554163361501</v>
      </c>
      <c r="J2" s="14">
        <f t="shared" ref="J2" si="3">IMAGINARY(IMDIV(IMPRODUCT(COMPLEX(2,0),COMPLEX(E2,F2)),IMSUB(IMPRODUCT(COMPLEX(1 - C2, - D2),COMPLEX(1 - C2, - D2)),IMPRODUCT(COMPLEX(E2,F2),COMPLEX(E2,F2)))))</f>
        <v>192.22191582773701</v>
      </c>
      <c r="K2" s="15">
        <f>IMREAL(IMSUB(COMPLEX(G2,H2),COMPLEX(I2,J2)))</f>
        <v>-1.7123069801527901E-4</v>
      </c>
      <c r="L2" s="15">
        <f>IMAGINARY(IMSUB(COMPLEX(G2,H2),COMPLEX(I2,J2)))</f>
        <v>7.14115033986218E-4</v>
      </c>
      <c r="M2" s="15">
        <f t="shared" ref="M2" si="4">IMREAL(IMDIV(IMSUB(IMPRODUCT(COMPLEX(1 - C2, - D2),COMPLEX(1 - C2, - D2)),IMPRODUCT(COMPLEX(E2,F2),COMPLEX(E2,F2))),IMPRODUCT(COMPLEX(2,0),COMPLEX(E2,F2))))</f>
        <v>2.5942479275347001E-3</v>
      </c>
      <c r="N2" s="15">
        <f t="shared" ref="N2" si="5">IMAGINARY(IMDIV(IMSUB(IMPRODUCT(COMPLEX(1 - C2, - D2),COMPLEX(1 - C2, - D2)),IMPRODUCT(COMPLEX(E2,F2),COMPLEX(E2,F2))),IMPRODUCT(COMPLEX(2,0),COMPLEX(E2,F2))))</f>
        <v>-2.41165518331202E-3</v>
      </c>
      <c r="O2" s="14">
        <v>1.6156024</v>
      </c>
      <c r="P2" s="14">
        <v>-0.87314649</v>
      </c>
      <c r="Q2" s="14">
        <v>1.1026838000000001</v>
      </c>
      <c r="R2" s="14">
        <v>-1.4009628999999999</v>
      </c>
      <c r="S2" s="14">
        <f>IMABS(COMPLEX(Q2,R2))/IMABS(COMPLEX(O2,P2))</f>
        <v>0.97082052327925061</v>
      </c>
      <c r="T2" s="14">
        <f>IMARGUMENT(IMDIV(COMPLEX(Q2,R2),COMPLEX(O2/B2,P2/B2)))/PI()*180</f>
        <v>-23.405227725349611</v>
      </c>
      <c r="U2" s="8"/>
      <c r="V2" s="8"/>
    </row>
    <row r="3" spans="1:22" x14ac:dyDescent="0.35">
      <c r="A3" s="14">
        <v>0.6</v>
      </c>
      <c r="B3" s="14">
        <v>15.0488</v>
      </c>
      <c r="C3" s="14">
        <v>-1.5747687000000001E-3</v>
      </c>
      <c r="D3" s="14">
        <v>1.8378967999999999E-3</v>
      </c>
      <c r="E3" s="14">
        <v>0.99843724</v>
      </c>
      <c r="F3" s="14">
        <v>1.4258606E-4</v>
      </c>
      <c r="G3" s="14">
        <f t="shared" ref="G3:G66" si="6">IMREAL(IMDIV(IMSUM(IMPRODUCT(COMPLEX(1 + C3,D3),COMPLEX(1 - C3, - D3)),IMPRODUCT(COMPLEX(E3,F3),COMPLEX(E3,F3))),IMSUB(IMPRODUCT(COMPLEX(1 - C3, - D3),COMPLEX(1 - C3, - D3)),IMPRODUCT(COMPLEX(E3,F3),COMPLEX(E3,F3)))))</f>
        <v>227.41208664123599</v>
      </c>
      <c r="H3" s="14">
        <f t="shared" ref="H3:H66" si="7">IMAGINARY(IMDIV(IMSUM(IMPRODUCT(COMPLEX(1 + C3,D3),COMPLEX(1 - C3, - D3)),IMPRODUCT(COMPLEX(E3,F3),COMPLEX(E3,F3))),IMSUB(IMPRODUCT(COMPLEX(1 - C3, - D3),COMPLEX(1 - C3, - D3)),IMPRODUCT(COMPLEX(E3,F3),COMPLEX(E3,F3)))))</f>
        <v>143.86396452458999</v>
      </c>
      <c r="I3" s="14">
        <f t="shared" ref="I3:I66" si="8">IMREAL(IMDIV(IMPRODUCT(COMPLEX(2,0),COMPLEX(E3,F3)),IMSUB(IMPRODUCT(COMPLEX(1 - C3, - D3),COMPLEX(1 - C3, - D3)),IMPRODUCT(COMPLEX(E3,F3),COMPLEX(E3,F3)))))</f>
        <v>227.41209336405601</v>
      </c>
      <c r="J3" s="14">
        <f t="shared" ref="J3:J66" si="9">IMAGINARY(IMDIV(IMPRODUCT(COMPLEX(2,0),COMPLEX(E3,F3)),IMSUB(IMPRODUCT(COMPLEX(1 - C3, - D3),COMPLEX(1 - C3, - D3)),IMPRODUCT(COMPLEX(E3,F3),COMPLEX(E3,F3)))))</f>
        <v>143.86311688000799</v>
      </c>
      <c r="K3" s="15">
        <f t="shared" ref="K3:K66" si="10">IMREAL(IMSUB(COMPLEX(G3,H3),COMPLEX(I3,J3)))</f>
        <v>-6.7228200180125003E-6</v>
      </c>
      <c r="L3" s="15">
        <f t="shared" ref="L3:L66" si="11">IMAGINARY(IMSUB(COMPLEX(G3,H3),COMPLEX(I3,J3)))</f>
        <v>8.4764458199515502E-4</v>
      </c>
      <c r="M3" s="15">
        <f t="shared" ref="M3:M66" si="12">IMREAL(IMDIV(IMSUB(IMPRODUCT(COMPLEX(1 - C3, - D3),COMPLEX(1 - C3, - D3)),IMPRODUCT(COMPLEX(E3,F3),COMPLEX(E3,F3))),IMPRODUCT(COMPLEX(2,0),COMPLEX(E3,F3))))</f>
        <v>3.14049333254949E-3</v>
      </c>
      <c r="N3" s="15">
        <f t="shared" ref="N3:N66" si="13">IMAGINARY(IMDIV(IMSUB(IMPRODUCT(COMPLEX(1 - C3, - D3),COMPLEX(1 - C3, - D3)),IMPRODUCT(COMPLEX(E3,F3),COMPLEX(E3,F3))),IMPRODUCT(COMPLEX(2,0),COMPLEX(E3,F3))))</f>
        <v>-1.9867068311014602E-3</v>
      </c>
      <c r="O3" s="14">
        <v>1.6481596999999999</v>
      </c>
      <c r="P3" s="14">
        <v>-0.93555849000000002</v>
      </c>
      <c r="Q3" s="14">
        <v>1.1102878</v>
      </c>
      <c r="R3" s="14">
        <v>-1.4744253</v>
      </c>
      <c r="S3" s="14">
        <f t="shared" ref="S3:S66" si="14">IMABS(COMPLEX(Q3,R3))/IMABS(COMPLEX(O3,P3))</f>
        <v>0.97390127525958436</v>
      </c>
      <c r="T3" s="14">
        <f t="shared" ref="T3:T66" si="15">IMARGUMENT(IMDIV(COMPLEX(Q3,R3),COMPLEX(O3/B3,P3/B3)))/PI()*180</f>
        <v>-23.438221505384139</v>
      </c>
      <c r="U3" s="8"/>
      <c r="V3" s="8"/>
    </row>
    <row r="4" spans="1:22" ht="18" customHeight="1" x14ac:dyDescent="0.35">
      <c r="A4" s="14">
        <v>0.6</v>
      </c>
      <c r="B4" s="14">
        <v>15.0976</v>
      </c>
      <c r="C4">
        <v>-1.6913227999999999E-3</v>
      </c>
      <c r="D4">
        <v>1.7581655000000001E-3</v>
      </c>
      <c r="E4">
        <v>0.99833769000000006</v>
      </c>
      <c r="F4">
        <v>4.4585955E-5</v>
      </c>
      <c r="G4">
        <f t="shared" si="6"/>
        <v>230.836612850433</v>
      </c>
      <c r="H4">
        <f t="shared" si="7"/>
        <v>124.355852490591</v>
      </c>
      <c r="I4">
        <f t="shared" si="8"/>
        <v>230.836628090679</v>
      </c>
      <c r="J4">
        <f t="shared" si="9"/>
        <v>124.354995726304</v>
      </c>
      <c r="K4" s="7">
        <f t="shared" si="10"/>
        <v>-1.52402460003032E-5</v>
      </c>
      <c r="L4" s="7">
        <f t="shared" si="11"/>
        <v>8.5676428700765005E-4</v>
      </c>
      <c r="M4" s="7">
        <f t="shared" si="12"/>
        <v>3.35763765737638E-3</v>
      </c>
      <c r="N4" s="7">
        <f t="shared" si="13"/>
        <v>-1.80880746693934E-3</v>
      </c>
      <c r="O4">
        <v>1.6850927</v>
      </c>
      <c r="P4">
        <v>-1.0020336000000001</v>
      </c>
      <c r="Q4">
        <v>1.1192757</v>
      </c>
      <c r="R4">
        <v>-1.5511161</v>
      </c>
      <c r="S4">
        <f t="shared" si="14"/>
        <v>0.97565470514782182</v>
      </c>
      <c r="T4">
        <f t="shared" si="15"/>
        <v>-23.448355906732516</v>
      </c>
      <c r="U4" s="8"/>
      <c r="V4" s="8"/>
    </row>
    <row r="5" spans="1:22" x14ac:dyDescent="0.35">
      <c r="A5" s="14">
        <v>0.6</v>
      </c>
      <c r="B5" s="14">
        <v>15.1464</v>
      </c>
      <c r="C5">
        <v>-1.8173079000000001E-3</v>
      </c>
      <c r="D5">
        <v>1.6792258E-3</v>
      </c>
      <c r="E5">
        <v>0.99821846000000003</v>
      </c>
      <c r="F5">
        <v>-3.3588757000000002E-5</v>
      </c>
      <c r="G5">
        <f t="shared" si="6"/>
        <v>229.31401026043801</v>
      </c>
      <c r="H5">
        <f t="shared" si="7"/>
        <v>105.08696535541399</v>
      </c>
      <c r="I5">
        <f t="shared" si="8"/>
        <v>229.31402887746199</v>
      </c>
      <c r="J5">
        <f t="shared" si="9"/>
        <v>105.086108979394</v>
      </c>
      <c r="K5" s="7">
        <f t="shared" si="10"/>
        <v>-1.8617023982869799E-5</v>
      </c>
      <c r="L5" s="7">
        <f t="shared" si="11"/>
        <v>8.5637601999621904E-4</v>
      </c>
      <c r="M5" s="7">
        <f t="shared" si="12"/>
        <v>3.60397903306097E-3</v>
      </c>
      <c r="N5" s="7">
        <f t="shared" si="13"/>
        <v>-1.6515698375788399E-3</v>
      </c>
      <c r="O5">
        <v>1.721516</v>
      </c>
      <c r="P5">
        <v>-1.0741413</v>
      </c>
      <c r="Q5">
        <v>1.1254321</v>
      </c>
      <c r="R5">
        <v>-1.6325267999999999</v>
      </c>
      <c r="S5">
        <f t="shared" si="14"/>
        <v>0.97719468169711921</v>
      </c>
      <c r="T5">
        <f t="shared" si="15"/>
        <v>-23.456244097310893</v>
      </c>
      <c r="U5" s="8"/>
      <c r="V5" s="8"/>
    </row>
    <row r="6" spans="1:22" x14ac:dyDescent="0.35">
      <c r="A6" s="14">
        <v>0.6</v>
      </c>
      <c r="B6" s="14">
        <v>15.1952</v>
      </c>
      <c r="C6">
        <v>-1.9538303999999999E-3</v>
      </c>
      <c r="D6">
        <v>1.601632E-3</v>
      </c>
      <c r="E6">
        <v>0.99808145999999998</v>
      </c>
      <c r="F6">
        <v>-9.8404990999999999E-5</v>
      </c>
      <c r="G6">
        <f t="shared" si="6"/>
        <v>223.92091098923299</v>
      </c>
      <c r="H6">
        <f t="shared" si="7"/>
        <v>87.119050988111894</v>
      </c>
      <c r="I6">
        <f t="shared" si="8"/>
        <v>223.92092935661401</v>
      </c>
      <c r="J6">
        <f t="shared" si="9"/>
        <v>87.118201000227302</v>
      </c>
      <c r="K6" s="7">
        <f t="shared" si="10"/>
        <v>-1.8367381017014799E-5</v>
      </c>
      <c r="L6" s="7">
        <f t="shared" si="11"/>
        <v>8.4998788459245101E-4</v>
      </c>
      <c r="M6" s="7">
        <f t="shared" si="12"/>
        <v>3.8787509958260599E-3</v>
      </c>
      <c r="N6" s="7">
        <f t="shared" si="13"/>
        <v>-1.50905862107269E-3</v>
      </c>
      <c r="O6">
        <v>1.7567596999999999</v>
      </c>
      <c r="P6">
        <v>-1.1522581999999999</v>
      </c>
      <c r="Q6">
        <v>1.1281406</v>
      </c>
      <c r="R6">
        <v>-1.7189998</v>
      </c>
      <c r="S6">
        <f t="shared" si="14"/>
        <v>0.97867542408820418</v>
      </c>
      <c r="T6">
        <f t="shared" si="15"/>
        <v>-23.463159793468026</v>
      </c>
      <c r="U6" s="8"/>
      <c r="V6" s="8"/>
    </row>
    <row r="7" spans="1:22" x14ac:dyDescent="0.35">
      <c r="A7" s="14">
        <v>0.6</v>
      </c>
      <c r="B7" s="14">
        <v>15.244</v>
      </c>
      <c r="C7">
        <v>-2.1018384000000001E-3</v>
      </c>
      <c r="D7">
        <v>1.5263879E-3</v>
      </c>
      <c r="E7">
        <v>0.99792957000000004</v>
      </c>
      <c r="F7">
        <v>-1.532828E-4</v>
      </c>
      <c r="G7">
        <f t="shared" si="6"/>
        <v>215.75543342959199</v>
      </c>
      <c r="H7">
        <f t="shared" si="7"/>
        <v>71.170685415063701</v>
      </c>
      <c r="I7">
        <f t="shared" si="8"/>
        <v>215.75544983883501</v>
      </c>
      <c r="J7">
        <f t="shared" si="9"/>
        <v>71.169845606683197</v>
      </c>
      <c r="K7" s="7">
        <f t="shared" si="10"/>
        <v>-1.64092430168239E-5</v>
      </c>
      <c r="L7" s="7">
        <f t="shared" si="11"/>
        <v>8.39808380504792E-4</v>
      </c>
      <c r="M7" s="7">
        <f t="shared" si="12"/>
        <v>4.1800465869758297E-3</v>
      </c>
      <c r="N7" s="7">
        <f t="shared" si="13"/>
        <v>-1.3788447543088E-3</v>
      </c>
      <c r="O7">
        <v>1.7902453</v>
      </c>
      <c r="P7">
        <v>-1.2368015999999999</v>
      </c>
      <c r="Q7">
        <v>1.126728</v>
      </c>
      <c r="R7">
        <v>-1.8107579</v>
      </c>
      <c r="S7">
        <f t="shared" si="14"/>
        <v>0.98012888491129113</v>
      </c>
      <c r="T7">
        <f t="shared" si="15"/>
        <v>-23.469542049510107</v>
      </c>
      <c r="U7" s="8"/>
      <c r="V7" s="8"/>
    </row>
    <row r="8" spans="1:22" x14ac:dyDescent="0.35">
      <c r="A8" s="14">
        <v>0.6</v>
      </c>
      <c r="B8" s="14">
        <v>15.2928</v>
      </c>
      <c r="C8">
        <v>-2.2621861999999999E-3</v>
      </c>
      <c r="D8">
        <v>1.4546895000000001E-3</v>
      </c>
      <c r="E8">
        <v>0.99776390000000004</v>
      </c>
      <c r="F8">
        <v>-1.9900271E-4</v>
      </c>
      <c r="G8">
        <f t="shared" si="6"/>
        <v>205.736229157747</v>
      </c>
      <c r="H8">
        <f t="shared" si="7"/>
        <v>57.570809264296599</v>
      </c>
      <c r="I8">
        <f t="shared" si="8"/>
        <v>205.73624288432401</v>
      </c>
      <c r="J8">
        <f t="shared" si="9"/>
        <v>57.569982440325603</v>
      </c>
      <c r="K8" s="7">
        <f t="shared" si="10"/>
        <v>-1.3726577009265401E-5</v>
      </c>
      <c r="L8" s="7">
        <f t="shared" si="11"/>
        <v>8.26823970996315E-4</v>
      </c>
      <c r="M8" s="7">
        <f t="shared" si="12"/>
        <v>4.5076371505735104E-3</v>
      </c>
      <c r="N8" s="7">
        <f t="shared" si="13"/>
        <v>-1.26134602230383E-3</v>
      </c>
      <c r="O8">
        <v>1.821304</v>
      </c>
      <c r="P8">
        <v>-1.3281852000000001</v>
      </c>
      <c r="Q8">
        <v>1.1204201</v>
      </c>
      <c r="R8">
        <v>-1.9079584999999999</v>
      </c>
      <c r="S8">
        <f t="shared" si="14"/>
        <v>0.98156906390167309</v>
      </c>
      <c r="T8">
        <f t="shared" si="15"/>
        <v>-23.475665126828538</v>
      </c>
      <c r="U8" s="8"/>
      <c r="V8" s="8"/>
    </row>
    <row r="9" spans="1:22" x14ac:dyDescent="0.35">
      <c r="A9" s="14">
        <v>0.6</v>
      </c>
      <c r="B9" s="14">
        <v>15.3416</v>
      </c>
      <c r="C9">
        <v>-2.4356648E-3</v>
      </c>
      <c r="D9">
        <v>1.3879471000000001E-3</v>
      </c>
      <c r="E9">
        <v>0.99758477000000001</v>
      </c>
      <c r="F9">
        <v>-2.3496275999999999E-4</v>
      </c>
      <c r="G9">
        <f t="shared" si="6"/>
        <v>194.62416382020501</v>
      </c>
      <c r="H9">
        <f t="shared" si="7"/>
        <v>46.378470134972197</v>
      </c>
      <c r="I9">
        <f t="shared" si="8"/>
        <v>194.62417469593899</v>
      </c>
      <c r="J9">
        <f t="shared" si="9"/>
        <v>46.377658697158097</v>
      </c>
      <c r="K9" s="7">
        <f t="shared" si="10"/>
        <v>-1.08757339774002E-5</v>
      </c>
      <c r="L9" s="7">
        <f t="shared" si="11"/>
        <v>8.11437814100202E-4</v>
      </c>
      <c r="M9" s="7">
        <f t="shared" si="12"/>
        <v>4.8620238997880696E-3</v>
      </c>
      <c r="N9" s="7">
        <f t="shared" si="13"/>
        <v>-1.1585882655845701E-3</v>
      </c>
      <c r="O9">
        <v>1.8491439000000001</v>
      </c>
      <c r="P9">
        <v>-1.4268012000000001</v>
      </c>
      <c r="Q9">
        <v>1.1083171000000001</v>
      </c>
      <c r="R9">
        <v>-2.0106179000000002</v>
      </c>
      <c r="S9">
        <f t="shared" si="14"/>
        <v>0.98297696960566694</v>
      </c>
      <c r="T9">
        <f t="shared" si="15"/>
        <v>-23.481223978596677</v>
      </c>
      <c r="U9" s="8"/>
      <c r="V9" s="8"/>
    </row>
    <row r="10" spans="1:22" x14ac:dyDescent="0.35">
      <c r="A10" s="14">
        <v>0.6</v>
      </c>
      <c r="B10" s="14">
        <v>15.3904</v>
      </c>
      <c r="C10">
        <v>-2.6229824E-3</v>
      </c>
      <c r="D10">
        <v>1.3278164E-3</v>
      </c>
      <c r="E10">
        <v>0.99739228999999996</v>
      </c>
      <c r="F10">
        <v>-2.5992004000000002E-4</v>
      </c>
      <c r="G10">
        <f t="shared" si="6"/>
        <v>183.02954894634399</v>
      </c>
      <c r="H10">
        <f t="shared" si="7"/>
        <v>37.469727314349001</v>
      </c>
      <c r="I10">
        <f t="shared" si="8"/>
        <v>183.029557212697</v>
      </c>
      <c r="J10">
        <f t="shared" si="9"/>
        <v>37.468933458753398</v>
      </c>
      <c r="K10" s="7">
        <f t="shared" si="10"/>
        <v>-8.2663530065474299E-6</v>
      </c>
      <c r="L10" s="7">
        <f t="shared" si="11"/>
        <v>7.9385559560307705E-4</v>
      </c>
      <c r="M10" s="7">
        <f t="shared" si="12"/>
        <v>5.2438380048764202E-3</v>
      </c>
      <c r="N10" s="7">
        <f t="shared" si="13"/>
        <v>-1.0734933759625901E-3</v>
      </c>
      <c r="O10">
        <v>1.8754930000000001</v>
      </c>
      <c r="P10">
        <v>-1.5351853</v>
      </c>
      <c r="Q10">
        <v>1.0894162000000001</v>
      </c>
      <c r="R10">
        <v>-2.1187098999999998</v>
      </c>
      <c r="S10">
        <f t="shared" si="14"/>
        <v>0.98295833629175278</v>
      </c>
      <c r="T10">
        <f t="shared" si="15"/>
        <v>-23.48624483963717</v>
      </c>
      <c r="U10" s="8"/>
      <c r="V10" s="8"/>
    </row>
    <row r="11" spans="1:22" x14ac:dyDescent="0.35">
      <c r="A11" s="14">
        <v>0.6</v>
      </c>
      <c r="B11" s="14">
        <v>15.4392</v>
      </c>
      <c r="C11">
        <v>-2.8247197000000001E-3</v>
      </c>
      <c r="D11">
        <v>1.2762323999999999E-3</v>
      </c>
      <c r="E11">
        <v>0.99718658999999998</v>
      </c>
      <c r="F11">
        <v>-2.7238415000000002E-4</v>
      </c>
      <c r="G11">
        <f t="shared" si="6"/>
        <v>171.41401849636199</v>
      </c>
      <c r="H11">
        <f t="shared" si="7"/>
        <v>30.6090462155518</v>
      </c>
      <c r="I11">
        <f t="shared" si="8"/>
        <v>171.414024750723</v>
      </c>
      <c r="J11">
        <f t="shared" si="9"/>
        <v>30.6082719164982</v>
      </c>
      <c r="K11" s="7">
        <f t="shared" si="10"/>
        <v>-6.2543610113152698E-6</v>
      </c>
      <c r="L11" s="7">
        <f t="shared" si="11"/>
        <v>7.7429905359949203E-4</v>
      </c>
      <c r="M11" s="7">
        <f t="shared" si="12"/>
        <v>5.6535650684682399E-3</v>
      </c>
      <c r="N11" s="7">
        <f t="shared" si="13"/>
        <v>-1.0095198287593001E-3</v>
      </c>
      <c r="O11">
        <v>1.8939912999999999</v>
      </c>
      <c r="P11">
        <v>-1.6494143999999999</v>
      </c>
      <c r="Q11">
        <v>1.0625707</v>
      </c>
      <c r="R11">
        <v>-2.2319175000000002</v>
      </c>
      <c r="S11">
        <f t="shared" si="14"/>
        <v>0.98423964096018968</v>
      </c>
      <c r="T11">
        <f t="shared" si="15"/>
        <v>-23.490297882860443</v>
      </c>
      <c r="U11" s="8"/>
      <c r="V11" s="8"/>
    </row>
    <row r="12" spans="1:22" x14ac:dyDescent="0.35">
      <c r="A12" s="14">
        <v>0.6</v>
      </c>
      <c r="B12" s="14">
        <v>15.488</v>
      </c>
      <c r="C12">
        <v>-3.0412651000000001E-3</v>
      </c>
      <c r="D12">
        <v>1.2354287E-3</v>
      </c>
      <c r="E12">
        <v>0.99696788000000003</v>
      </c>
      <c r="F12">
        <v>-2.7079463999999997E-4</v>
      </c>
      <c r="G12">
        <f t="shared" si="6"/>
        <v>160.10134905919099</v>
      </c>
      <c r="H12">
        <f t="shared" si="7"/>
        <v>25.5086443982837</v>
      </c>
      <c r="I12">
        <f t="shared" si="8"/>
        <v>160.101354198889</v>
      </c>
      <c r="J12">
        <f t="shared" si="9"/>
        <v>25.5078912939281</v>
      </c>
      <c r="K12" s="7">
        <f t="shared" si="10"/>
        <v>-5.1396980040863102E-6</v>
      </c>
      <c r="L12" s="7">
        <f t="shared" si="11"/>
        <v>7.5310435559927701E-4</v>
      </c>
      <c r="M12" s="7">
        <f t="shared" si="12"/>
        <v>6.0914191151263198E-3</v>
      </c>
      <c r="N12" s="7">
        <f t="shared" si="13"/>
        <v>-9.7050557374658397E-4</v>
      </c>
      <c r="O12">
        <v>1.9040664</v>
      </c>
      <c r="P12">
        <v>-1.7698754999999999</v>
      </c>
      <c r="Q12">
        <v>1.0266883</v>
      </c>
      <c r="R12">
        <v>-2.3504516</v>
      </c>
      <c r="S12">
        <f t="shared" si="14"/>
        <v>0.98665117841813843</v>
      </c>
      <c r="T12">
        <f t="shared" si="15"/>
        <v>-23.495869671510828</v>
      </c>
      <c r="U12" s="8"/>
      <c r="V12" s="8"/>
    </row>
    <row r="13" spans="1:22" x14ac:dyDescent="0.35">
      <c r="A13" s="14">
        <v>0.6</v>
      </c>
      <c r="B13" s="14">
        <v>15.536799999999999</v>
      </c>
      <c r="C13">
        <v>-3.2727327999999998E-3</v>
      </c>
      <c r="D13">
        <v>1.2079546E-3</v>
      </c>
      <c r="E13">
        <v>0.99673635000000005</v>
      </c>
      <c r="F13">
        <v>-2.5353402E-4</v>
      </c>
      <c r="G13">
        <f t="shared" si="6"/>
        <v>149.296033485469</v>
      </c>
      <c r="H13">
        <f t="shared" si="7"/>
        <v>21.873077533382201</v>
      </c>
      <c r="I13">
        <f t="shared" si="8"/>
        <v>149.29603856082801</v>
      </c>
      <c r="J13">
        <f t="shared" si="9"/>
        <v>21.872346796099499</v>
      </c>
      <c r="K13" s="7">
        <f t="shared" si="10"/>
        <v>-5.07535901306255E-6</v>
      </c>
      <c r="L13" s="7">
        <f t="shared" si="11"/>
        <v>7.3073728270145499E-4</v>
      </c>
      <c r="M13" s="7">
        <f t="shared" si="12"/>
        <v>6.5573595369451199E-3</v>
      </c>
      <c r="N13" s="7">
        <f t="shared" si="13"/>
        <v>-9.6067412934294804E-4</v>
      </c>
      <c r="O13">
        <v>1.9081379999999999</v>
      </c>
      <c r="P13">
        <v>-1.9000389</v>
      </c>
      <c r="Q13">
        <v>0.98031142999999998</v>
      </c>
      <c r="R13">
        <v>-2.4732848000000001</v>
      </c>
      <c r="S13">
        <f t="shared" si="14"/>
        <v>0.98799950531078606</v>
      </c>
      <c r="T13">
        <f t="shared" si="15"/>
        <v>-23.500455253118925</v>
      </c>
      <c r="U13" s="8"/>
      <c r="V13" s="8"/>
    </row>
    <row r="14" spans="1:22" x14ac:dyDescent="0.35">
      <c r="A14" s="14">
        <v>0.6</v>
      </c>
      <c r="B14" s="14">
        <v>15.585599999999999</v>
      </c>
      <c r="C14">
        <v>-3.5188632000000002E-3</v>
      </c>
      <c r="D14">
        <v>1.1966647999999999E-3</v>
      </c>
      <c r="E14">
        <v>0.99649220000000005</v>
      </c>
      <c r="F14">
        <v>-2.1881038E-4</v>
      </c>
      <c r="G14">
        <f t="shared" si="6"/>
        <v>139.11128203806601</v>
      </c>
      <c r="H14">
        <f t="shared" si="7"/>
        <v>19.429136529594501</v>
      </c>
      <c r="I14">
        <f t="shared" si="8"/>
        <v>139.11128807052</v>
      </c>
      <c r="J14">
        <f t="shared" si="9"/>
        <v>19.428428800188701</v>
      </c>
      <c r="K14" s="7">
        <f t="shared" si="10"/>
        <v>-6.0324539958855902E-6</v>
      </c>
      <c r="L14" s="7">
        <f t="shared" si="11"/>
        <v>7.0772940579999499E-4</v>
      </c>
      <c r="M14" s="7">
        <f t="shared" si="12"/>
        <v>7.0509588300251697E-3</v>
      </c>
      <c r="N14" s="7">
        <f t="shared" si="13"/>
        <v>-9.8474432594400406E-4</v>
      </c>
      <c r="O14">
        <v>1.9048403</v>
      </c>
      <c r="P14">
        <v>-2.0403256000000001</v>
      </c>
      <c r="Q14">
        <v>0.92205424000000002</v>
      </c>
      <c r="R14">
        <v>-2.5995919000000001</v>
      </c>
      <c r="S14">
        <f t="shared" si="14"/>
        <v>0.98816803751127069</v>
      </c>
      <c r="T14">
        <f t="shared" si="15"/>
        <v>-23.503930680936787</v>
      </c>
      <c r="U14" s="8"/>
      <c r="V14" s="8"/>
    </row>
    <row r="15" spans="1:22" x14ac:dyDescent="0.35">
      <c r="A15" s="14">
        <v>0.6</v>
      </c>
      <c r="B15" s="14">
        <v>15.634399999999999</v>
      </c>
      <c r="C15">
        <v>-3.7789083999999998E-3</v>
      </c>
      <c r="D15">
        <v>1.2046851999999999E-3</v>
      </c>
      <c r="E15">
        <v>0.99623569999999995</v>
      </c>
      <c r="F15">
        <v>-1.6447669E-4</v>
      </c>
      <c r="G15">
        <f t="shared" si="6"/>
        <v>129.59562794992999</v>
      </c>
      <c r="H15">
        <f t="shared" si="7"/>
        <v>17.940531151101101</v>
      </c>
      <c r="I15">
        <f t="shared" si="8"/>
        <v>129.59563572271799</v>
      </c>
      <c r="J15">
        <f t="shared" si="9"/>
        <v>17.9398465804775</v>
      </c>
      <c r="K15" s="7">
        <f t="shared" si="10"/>
        <v>-7.7727879954636592E-6</v>
      </c>
      <c r="L15" s="7">
        <f t="shared" si="11"/>
        <v>6.8457062360138799E-4</v>
      </c>
      <c r="M15" s="7">
        <f t="shared" si="12"/>
        <v>7.5712241339195002E-3</v>
      </c>
      <c r="N15" s="7">
        <f t="shared" si="13"/>
        <v>-1.04808004244478E-3</v>
      </c>
      <c r="O15">
        <v>1.8881749999999999</v>
      </c>
      <c r="P15">
        <v>-2.1858537999999998</v>
      </c>
      <c r="Q15">
        <v>0.85053666999999999</v>
      </c>
      <c r="R15">
        <v>-2.7285688000000001</v>
      </c>
      <c r="S15">
        <f t="shared" si="14"/>
        <v>0.98947730104222786</v>
      </c>
      <c r="T15">
        <f t="shared" si="15"/>
        <v>-23.507915322110488</v>
      </c>
      <c r="U15" s="8"/>
      <c r="V15" s="8"/>
    </row>
    <row r="16" spans="1:22" x14ac:dyDescent="0.35">
      <c r="A16" s="14">
        <v>0.6</v>
      </c>
      <c r="B16" s="14">
        <v>15.683199999999999</v>
      </c>
      <c r="C16">
        <v>-4.0515072999999999E-3</v>
      </c>
      <c r="D16">
        <v>1.2353504E-3</v>
      </c>
      <c r="E16">
        <v>0.99596741</v>
      </c>
      <c r="F16">
        <v>-8.7888473000000003E-5</v>
      </c>
      <c r="G16">
        <f t="shared" si="6"/>
        <v>120.75666849679099</v>
      </c>
      <c r="H16">
        <f t="shared" si="7"/>
        <v>17.2115803726076</v>
      </c>
      <c r="I16">
        <f t="shared" si="8"/>
        <v>120.756678393079</v>
      </c>
      <c r="J16">
        <f t="shared" si="9"/>
        <v>17.2109187659767</v>
      </c>
      <c r="K16" s="7">
        <f t="shared" si="10"/>
        <v>-9.8962880059616492E-6</v>
      </c>
      <c r="L16" s="7">
        <f t="shared" si="11"/>
        <v>6.6160663089931404E-4</v>
      </c>
      <c r="M16" s="7">
        <f t="shared" si="12"/>
        <v>8.1162457399402092E-3</v>
      </c>
      <c r="N16" s="7">
        <f t="shared" si="13"/>
        <v>-1.15677284249333E-3</v>
      </c>
      <c r="O16">
        <v>1.8568914999999999</v>
      </c>
      <c r="P16">
        <v>-2.3359887000000001</v>
      </c>
      <c r="Q16">
        <v>0.76433543999999998</v>
      </c>
      <c r="R16">
        <v>-2.8587094999999998</v>
      </c>
      <c r="S16">
        <f t="shared" si="14"/>
        <v>0.99162906108082249</v>
      </c>
      <c r="T16">
        <f t="shared" si="15"/>
        <v>-23.512324325927519</v>
      </c>
      <c r="U16" s="8"/>
      <c r="V16" s="8"/>
    </row>
    <row r="17" spans="1:22" x14ac:dyDescent="0.35">
      <c r="A17" s="14">
        <v>0.6</v>
      </c>
      <c r="B17" s="14">
        <v>15.731999999999999</v>
      </c>
      <c r="C17">
        <v>-4.3345607999999997E-3</v>
      </c>
      <c r="D17">
        <v>1.292088E-3</v>
      </c>
      <c r="E17">
        <v>0.99568844000000001</v>
      </c>
      <c r="F17">
        <v>1.4107848E-5</v>
      </c>
      <c r="G17">
        <f t="shared" si="6"/>
        <v>112.578011943519</v>
      </c>
      <c r="H17">
        <f t="shared" si="7"/>
        <v>17.083360644949</v>
      </c>
      <c r="I17">
        <f t="shared" si="8"/>
        <v>112.578023852081</v>
      </c>
      <c r="J17">
        <f t="shared" si="9"/>
        <v>17.082721669830899</v>
      </c>
      <c r="K17" s="7">
        <f t="shared" si="10"/>
        <v>-1.19085620013948E-5</v>
      </c>
      <c r="L17" s="7">
        <f t="shared" si="11"/>
        <v>6.3897511810040398E-4</v>
      </c>
      <c r="M17" s="7">
        <f t="shared" si="12"/>
        <v>8.6828034279748702E-3</v>
      </c>
      <c r="N17" s="7">
        <f t="shared" si="13"/>
        <v>-1.3175387984144899E-3</v>
      </c>
      <c r="O17">
        <v>1.8138037</v>
      </c>
      <c r="P17">
        <v>-2.4954402</v>
      </c>
      <c r="Q17">
        <v>0.66215241999999996</v>
      </c>
      <c r="R17">
        <v>-2.9877842000000001</v>
      </c>
      <c r="S17">
        <f t="shared" si="14"/>
        <v>0.99199254283857818</v>
      </c>
      <c r="T17">
        <f t="shared" si="15"/>
        <v>-23.51550665184055</v>
      </c>
      <c r="U17" s="8"/>
      <c r="V17" s="8"/>
    </row>
    <row r="18" spans="1:22" x14ac:dyDescent="0.35">
      <c r="A18" s="14">
        <v>0.6</v>
      </c>
      <c r="B18" s="14">
        <v>15.780799999999999</v>
      </c>
      <c r="C18">
        <v>-4.6251191000000001E-3</v>
      </c>
      <c r="D18">
        <v>1.3782605E-3</v>
      </c>
      <c r="E18">
        <v>0.99540083000000001</v>
      </c>
      <c r="F18">
        <v>1.4501976E-4</v>
      </c>
      <c r="G18">
        <f t="shared" si="6"/>
        <v>105.031529125886</v>
      </c>
      <c r="H18">
        <f t="shared" si="7"/>
        <v>17.427570560846402</v>
      </c>
      <c r="I18">
        <f t="shared" si="8"/>
        <v>105.03154248047299</v>
      </c>
      <c r="J18">
        <f t="shared" si="9"/>
        <v>17.426953956711198</v>
      </c>
      <c r="K18" s="7">
        <f t="shared" si="10"/>
        <v>-1.3354586997138499E-5</v>
      </c>
      <c r="L18" s="7">
        <f t="shared" si="11"/>
        <v>6.1660413520314705E-4</v>
      </c>
      <c r="M18" s="7">
        <f t="shared" si="12"/>
        <v>9.2658618153166807E-3</v>
      </c>
      <c r="N18" s="7">
        <f t="shared" si="13"/>
        <v>-1.53740241656256E-3</v>
      </c>
      <c r="O18">
        <v>1.7522473999999999</v>
      </c>
      <c r="P18">
        <v>-2.6563544000000001</v>
      </c>
      <c r="Q18">
        <v>0.54297580000000001</v>
      </c>
      <c r="R18">
        <v>-3.1138477999999998</v>
      </c>
      <c r="S18">
        <f t="shared" si="14"/>
        <v>0.99327628454508321</v>
      </c>
      <c r="T18">
        <f t="shared" si="15"/>
        <v>-23.519117131695822</v>
      </c>
      <c r="U18" s="8"/>
      <c r="V18" s="8"/>
    </row>
    <row r="19" spans="1:22" x14ac:dyDescent="0.35">
      <c r="A19" s="14">
        <v>0.6</v>
      </c>
      <c r="B19" s="14">
        <v>15.829599999999999</v>
      </c>
      <c r="C19">
        <v>-4.9193047E-3</v>
      </c>
      <c r="D19">
        <v>1.4969407E-3</v>
      </c>
      <c r="E19">
        <v>0.99510768999999999</v>
      </c>
      <c r="F19">
        <v>3.0841433E-4</v>
      </c>
      <c r="G19">
        <f t="shared" si="6"/>
        <v>98.082346072058698</v>
      </c>
      <c r="H19">
        <f t="shared" si="7"/>
        <v>18.139630178684001</v>
      </c>
      <c r="I19">
        <f t="shared" si="8"/>
        <v>98.082359922360595</v>
      </c>
      <c r="J19">
        <f t="shared" si="9"/>
        <v>18.139035931750399</v>
      </c>
      <c r="K19" s="7">
        <f t="shared" si="10"/>
        <v>-1.38503018973779E-5</v>
      </c>
      <c r="L19" s="7">
        <f t="shared" si="11"/>
        <v>5.9424693360199399E-4</v>
      </c>
      <c r="M19" s="7">
        <f t="shared" si="12"/>
        <v>9.8583420483851006E-3</v>
      </c>
      <c r="N19" s="7">
        <f t="shared" si="13"/>
        <v>-1.8231700459154299E-3</v>
      </c>
      <c r="O19">
        <v>1.6711005000000001</v>
      </c>
      <c r="P19">
        <v>-2.8166597000000002</v>
      </c>
      <c r="Q19">
        <v>0.40612090000000001</v>
      </c>
      <c r="R19">
        <v>-3.2339031999999999</v>
      </c>
      <c r="S19">
        <f t="shared" si="14"/>
        <v>0.9951831020487043</v>
      </c>
      <c r="T19">
        <f t="shared" si="15"/>
        <v>-23.522437196860785</v>
      </c>
      <c r="U19" s="8"/>
      <c r="V19" s="8"/>
    </row>
    <row r="20" spans="1:22" x14ac:dyDescent="0.35">
      <c r="A20" s="14">
        <v>0.6</v>
      </c>
      <c r="B20" s="14">
        <v>15.878399999999999</v>
      </c>
      <c r="C20">
        <v>-5.2122920000000003E-3</v>
      </c>
      <c r="D20">
        <v>1.6506508000000001E-3</v>
      </c>
      <c r="E20">
        <v>0.99481335999999998</v>
      </c>
      <c r="F20">
        <v>5.0754437999999996E-4</v>
      </c>
      <c r="G20">
        <f t="shared" si="6"/>
        <v>91.692708646330601</v>
      </c>
      <c r="H20">
        <f t="shared" si="7"/>
        <v>19.133969269032601</v>
      </c>
      <c r="I20">
        <f t="shared" si="8"/>
        <v>91.692721798826597</v>
      </c>
      <c r="J20">
        <f t="shared" si="9"/>
        <v>19.133397730670598</v>
      </c>
      <c r="K20" s="7">
        <f t="shared" si="10"/>
        <v>-1.31524959954277E-5</v>
      </c>
      <c r="L20" s="7">
        <f t="shared" si="11"/>
        <v>5.7153836200285501E-4</v>
      </c>
      <c r="M20" s="7">
        <f t="shared" si="12"/>
        <v>1.0450930222581201E-2</v>
      </c>
      <c r="N20" s="7">
        <f t="shared" si="13"/>
        <v>-2.1807816441837798E-3</v>
      </c>
      <c r="O20">
        <v>1.5716313</v>
      </c>
      <c r="P20">
        <v>-2.9777895999999999</v>
      </c>
      <c r="Q20">
        <v>0.25143325999999999</v>
      </c>
      <c r="R20">
        <v>-3.3451173000000001</v>
      </c>
      <c r="S20">
        <f t="shared" si="14"/>
        <v>0.9962784455164434</v>
      </c>
      <c r="T20">
        <f t="shared" si="15"/>
        <v>-23.525887339516029</v>
      </c>
      <c r="U20" s="8"/>
      <c r="V20" s="8"/>
    </row>
    <row r="21" spans="1:22" x14ac:dyDescent="0.35">
      <c r="A21" s="14">
        <v>0.6</v>
      </c>
      <c r="B21" s="14">
        <v>15.927199999999999</v>
      </c>
      <c r="C21">
        <v>-5.4982293999999996E-3</v>
      </c>
      <c r="D21">
        <v>1.8412388999999999E-3</v>
      </c>
      <c r="E21">
        <v>0.99452470000000004</v>
      </c>
      <c r="F21">
        <v>7.4895533000000002E-4</v>
      </c>
      <c r="G21">
        <f t="shared" si="6"/>
        <v>85.819109979426599</v>
      </c>
      <c r="H21">
        <f t="shared" si="7"/>
        <v>20.375055661062198</v>
      </c>
      <c r="I21">
        <f t="shared" si="8"/>
        <v>85.819121742255504</v>
      </c>
      <c r="J21">
        <f t="shared" si="9"/>
        <v>20.374509531962499</v>
      </c>
      <c r="K21" s="7">
        <f t="shared" si="10"/>
        <v>-1.1762828904693401E-5</v>
      </c>
      <c r="L21" s="7">
        <f t="shared" si="11"/>
        <v>5.4612909969975498E-4</v>
      </c>
      <c r="M21" s="7">
        <f t="shared" si="12"/>
        <v>1.10306754751602E-2</v>
      </c>
      <c r="N21" s="7">
        <f t="shared" si="13"/>
        <v>-2.6188173224100698E-3</v>
      </c>
      <c r="O21">
        <v>1.4511512</v>
      </c>
      <c r="P21">
        <v>-3.1339312000000001</v>
      </c>
      <c r="Q21">
        <v>7.9212819000000004E-2</v>
      </c>
      <c r="R21">
        <v>-3.4440165</v>
      </c>
      <c r="S21">
        <f t="shared" si="14"/>
        <v>0.99748831803536331</v>
      </c>
      <c r="T21">
        <f t="shared" si="15"/>
        <v>-23.528682202289833</v>
      </c>
      <c r="U21" s="8"/>
      <c r="V21" s="8"/>
    </row>
    <row r="22" spans="1:22" x14ac:dyDescent="0.35">
      <c r="A22" s="14">
        <v>0.6</v>
      </c>
      <c r="B22" s="14">
        <v>15.976000000000001</v>
      </c>
      <c r="C22">
        <v>-5.771109E-3</v>
      </c>
      <c r="D22">
        <v>2.0690438999999999E-3</v>
      </c>
      <c r="E22">
        <v>0.99424663000000002</v>
      </c>
      <c r="F22">
        <v>1.0286074999999999E-3</v>
      </c>
      <c r="G22">
        <f t="shared" si="6"/>
        <v>80.425176497987096</v>
      </c>
      <c r="H22">
        <f t="shared" si="7"/>
        <v>21.7520460576518</v>
      </c>
      <c r="I22">
        <f t="shared" si="8"/>
        <v>80.425185638027997</v>
      </c>
      <c r="J22">
        <f t="shared" si="9"/>
        <v>21.751525848820499</v>
      </c>
      <c r="K22" s="7">
        <f t="shared" si="10"/>
        <v>-9.1400409019115597E-6</v>
      </c>
      <c r="L22" s="7">
        <f t="shared" si="11"/>
        <v>5.2020883130054997E-4</v>
      </c>
      <c r="M22" s="7">
        <f t="shared" si="12"/>
        <v>1.15864073844616E-2</v>
      </c>
      <c r="N22" s="7">
        <f t="shared" si="13"/>
        <v>-3.1336208641452698E-3</v>
      </c>
      <c r="O22">
        <v>1.3101151</v>
      </c>
      <c r="P22">
        <v>-3.282092</v>
      </c>
      <c r="Q22">
        <v>-0.10908137</v>
      </c>
      <c r="R22">
        <v>-3.5272469000000002</v>
      </c>
      <c r="S22">
        <f t="shared" si="14"/>
        <v>0.998591314729394</v>
      </c>
      <c r="T22">
        <f t="shared" si="15"/>
        <v>-23.531766224944388</v>
      </c>
      <c r="U22" s="8"/>
      <c r="V22" s="8"/>
    </row>
    <row r="23" spans="1:22" x14ac:dyDescent="0.35">
      <c r="A23" s="14">
        <v>0.6</v>
      </c>
      <c r="B23" s="14">
        <v>16.024799999999999</v>
      </c>
      <c r="C23">
        <v>-6.0237305000000003E-3</v>
      </c>
      <c r="D23">
        <v>2.3329915000000001E-3</v>
      </c>
      <c r="E23">
        <v>0.99398744000000006</v>
      </c>
      <c r="F23">
        <v>1.3486329999999999E-3</v>
      </c>
      <c r="G23">
        <f t="shared" si="6"/>
        <v>75.473898289334898</v>
      </c>
      <c r="H23">
        <f t="shared" si="7"/>
        <v>23.238915511565601</v>
      </c>
      <c r="I23">
        <f t="shared" si="8"/>
        <v>75.473904116789896</v>
      </c>
      <c r="J23">
        <f t="shared" si="9"/>
        <v>23.238423337932598</v>
      </c>
      <c r="K23" s="7">
        <f t="shared" si="10"/>
        <v>-5.82745499855264E-6</v>
      </c>
      <c r="L23" s="7">
        <f t="shared" si="11"/>
        <v>4.92173633002579E-4</v>
      </c>
      <c r="M23" s="7">
        <f t="shared" si="12"/>
        <v>1.21022860226938E-2</v>
      </c>
      <c r="N23" s="7">
        <f t="shared" si="13"/>
        <v>-3.7262951909432102E-3</v>
      </c>
      <c r="O23">
        <v>1.1494835000000001</v>
      </c>
      <c r="P23">
        <v>-3.4193094999999998</v>
      </c>
      <c r="Q23">
        <v>-0.31123025999999998</v>
      </c>
      <c r="R23">
        <v>-3.5912934999999999</v>
      </c>
      <c r="S23">
        <f t="shared" si="14"/>
        <v>0.99927982557392481</v>
      </c>
      <c r="T23">
        <f t="shared" si="15"/>
        <v>-23.534331574031427</v>
      </c>
      <c r="U23" s="8"/>
      <c r="V23" s="8"/>
    </row>
    <row r="24" spans="1:22" x14ac:dyDescent="0.35">
      <c r="A24" s="14">
        <v>0.6</v>
      </c>
      <c r="B24" s="14">
        <v>16.073599999999999</v>
      </c>
      <c r="C24">
        <v>-6.2492880000000004E-3</v>
      </c>
      <c r="D24">
        <v>2.6305738E-3</v>
      </c>
      <c r="E24">
        <v>0.99375491999999999</v>
      </c>
      <c r="F24">
        <v>1.7074071E-3</v>
      </c>
      <c r="G24">
        <f t="shared" si="6"/>
        <v>70.926055752854793</v>
      </c>
      <c r="H24">
        <f t="shared" si="7"/>
        <v>24.7989937728142</v>
      </c>
      <c r="I24">
        <f t="shared" si="8"/>
        <v>70.926058069908194</v>
      </c>
      <c r="J24">
        <f t="shared" si="9"/>
        <v>24.798532191504901</v>
      </c>
      <c r="K24" s="7">
        <f t="shared" si="10"/>
        <v>-2.31705340070221E-6</v>
      </c>
      <c r="L24" s="7">
        <f t="shared" si="11"/>
        <v>4.6158130929896402E-4</v>
      </c>
      <c r="M24" s="7">
        <f t="shared" si="12"/>
        <v>1.2563351055457601E-2</v>
      </c>
      <c r="N24" s="7">
        <f t="shared" si="13"/>
        <v>-4.3926403646296101E-3</v>
      </c>
      <c r="O24">
        <v>0.96978516999999997</v>
      </c>
      <c r="P24">
        <v>-3.5389485000000001</v>
      </c>
      <c r="Q24">
        <v>-0.52437442000000001</v>
      </c>
      <c r="R24">
        <v>-3.6333966000000002</v>
      </c>
      <c r="S24">
        <f t="shared" si="14"/>
        <v>1.0004417866308175</v>
      </c>
      <c r="T24">
        <f t="shared" si="15"/>
        <v>-23.536941370664167</v>
      </c>
      <c r="U24" s="8"/>
      <c r="V24" s="8"/>
    </row>
    <row r="25" spans="1:22" x14ac:dyDescent="0.35">
      <c r="A25" s="14">
        <v>0.6</v>
      </c>
      <c r="B25" s="14">
        <v>16.122399999999999</v>
      </c>
      <c r="C25">
        <v>-6.4414041999999996E-3</v>
      </c>
      <c r="D25" s="4">
        <v>2.9575540999999999E-3</v>
      </c>
      <c r="E25">
        <v>0.99355652000000005</v>
      </c>
      <c r="F25">
        <v>2.1007855000000001E-3</v>
      </c>
      <c r="G25">
        <f t="shared" si="6"/>
        <v>66.746403148297802</v>
      </c>
      <c r="H25">
        <f t="shared" si="7"/>
        <v>26.399763972113799</v>
      </c>
      <c r="I25">
        <f t="shared" si="8"/>
        <v>66.746402293910407</v>
      </c>
      <c r="J25">
        <f t="shared" si="9"/>
        <v>26.3993355870032</v>
      </c>
      <c r="K25" s="7">
        <f t="shared" si="10"/>
        <v>8.5438739461096702E-7</v>
      </c>
      <c r="L25" s="7">
        <f t="shared" si="11"/>
        <v>4.2838511059883899E-4</v>
      </c>
      <c r="M25" s="7">
        <f t="shared" si="12"/>
        <v>1.2955417276817699E-2</v>
      </c>
      <c r="N25" s="7">
        <f t="shared" si="13"/>
        <v>-5.1240875403942704E-3</v>
      </c>
      <c r="O25">
        <v>0.77415162000000004</v>
      </c>
      <c r="P25">
        <v>-3.6390703000000002</v>
      </c>
      <c r="Q25">
        <v>-0.74481783999999995</v>
      </c>
      <c r="R25">
        <v>-3.6512270999999998</v>
      </c>
      <c r="S25">
        <f t="shared" si="14"/>
        <v>1.001590597266691</v>
      </c>
      <c r="T25">
        <f t="shared" si="15"/>
        <v>-23.539332023397996</v>
      </c>
      <c r="U25" s="8"/>
      <c r="V25" s="8"/>
    </row>
    <row r="26" spans="1:22" x14ac:dyDescent="0.35">
      <c r="A26" s="14">
        <v>0.6</v>
      </c>
      <c r="B26" s="14">
        <v>16.171199999999999</v>
      </c>
      <c r="C26">
        <v>-6.5973398999999997E-3</v>
      </c>
      <c r="D26" s="4">
        <v>3.3090592000000001E-3</v>
      </c>
      <c r="E26">
        <v>0.99342138000000002</v>
      </c>
      <c r="F26">
        <v>2.2058160000000002E-3</v>
      </c>
      <c r="G26">
        <f t="shared" si="6"/>
        <v>64.081775868852006</v>
      </c>
      <c r="H26">
        <f t="shared" si="7"/>
        <v>27.031358433492699</v>
      </c>
      <c r="I26">
        <f t="shared" si="8"/>
        <v>64.0817855329922</v>
      </c>
      <c r="J26">
        <f t="shared" si="9"/>
        <v>27.030806822386701</v>
      </c>
      <c r="K26" s="7">
        <f t="shared" si="10"/>
        <v>-9.6641401938768501E-6</v>
      </c>
      <c r="L26" s="7">
        <f t="shared" si="11"/>
        <v>5.5161110599755104E-4</v>
      </c>
      <c r="M26" s="7">
        <f t="shared" si="12"/>
        <v>1.3247867290273699E-2</v>
      </c>
      <c r="N26" s="7">
        <f t="shared" si="13"/>
        <v>-5.5881798322806996E-3</v>
      </c>
      <c r="O26">
        <v>0.56463635000000001</v>
      </c>
      <c r="P26">
        <v>-3.7123529</v>
      </c>
      <c r="Q26">
        <v>-0.96986565000000002</v>
      </c>
      <c r="R26">
        <v>-3.6394402000000001</v>
      </c>
      <c r="S26">
        <f t="shared" si="14"/>
        <v>1.003037365404899</v>
      </c>
      <c r="T26">
        <f t="shared" si="15"/>
        <v>-23.570051363559326</v>
      </c>
      <c r="U26" s="8"/>
      <c r="V26" s="8"/>
    </row>
    <row r="27" spans="1:22" x14ac:dyDescent="0.35">
      <c r="A27" s="14">
        <v>0.6</v>
      </c>
      <c r="B27" s="14">
        <v>16.22</v>
      </c>
      <c r="C27">
        <v>-6.7077274000000003E-3</v>
      </c>
      <c r="D27" s="4">
        <v>3.6762140000000001E-3</v>
      </c>
      <c r="E27">
        <v>0.99330947999999997</v>
      </c>
      <c r="F27">
        <v>2.5950847999999999E-3</v>
      </c>
      <c r="G27">
        <f t="shared" si="6"/>
        <v>60.72331560288</v>
      </c>
      <c r="H27">
        <f t="shared" si="7"/>
        <v>28.6569835105667</v>
      </c>
      <c r="I27">
        <f t="shared" si="8"/>
        <v>60.7233244987085</v>
      </c>
      <c r="J27">
        <f t="shared" si="9"/>
        <v>28.6564429554263</v>
      </c>
      <c r="K27" s="7">
        <f t="shared" si="10"/>
        <v>-8.8958285004991905E-6</v>
      </c>
      <c r="L27" s="7">
        <f t="shared" si="11"/>
        <v>5.4055514040030105E-4</v>
      </c>
      <c r="M27" s="7">
        <f t="shared" si="12"/>
        <v>1.34685899545609E-2</v>
      </c>
      <c r="N27" s="7">
        <f t="shared" si="13"/>
        <v>-6.3560729408204796E-3</v>
      </c>
      <c r="O27">
        <v>0.34884066000000002</v>
      </c>
      <c r="P27">
        <v>-3.7658957000000002</v>
      </c>
      <c r="Q27">
        <v>-1.1909927</v>
      </c>
      <c r="R27">
        <v>-3.6050874999999998</v>
      </c>
      <c r="S27">
        <f t="shared" si="14"/>
        <v>1.0038886191435969</v>
      </c>
      <c r="T27">
        <f t="shared" si="15"/>
        <v>-23.574010843630301</v>
      </c>
      <c r="U27" s="8"/>
      <c r="V27" s="8"/>
    </row>
    <row r="28" spans="1:22" x14ac:dyDescent="0.35">
      <c r="A28" s="14">
        <v>0.6</v>
      </c>
      <c r="B28" s="14">
        <v>16.268799999999999</v>
      </c>
      <c r="C28">
        <v>-6.7729775000000001E-3</v>
      </c>
      <c r="D28">
        <v>4.0518869000000001E-3</v>
      </c>
      <c r="E28">
        <v>0.99324327999999995</v>
      </c>
      <c r="F28">
        <v>2.9925466999999998E-3</v>
      </c>
      <c r="G28">
        <f t="shared" si="6"/>
        <v>57.648035794365498</v>
      </c>
      <c r="H28">
        <f t="shared" si="7"/>
        <v>30.275886790649899</v>
      </c>
      <c r="I28">
        <f t="shared" si="8"/>
        <v>57.648044203592903</v>
      </c>
      <c r="J28">
        <f t="shared" si="9"/>
        <v>30.275357129309501</v>
      </c>
      <c r="K28" s="7">
        <f t="shared" si="10"/>
        <v>-8.4092274050817701E-6</v>
      </c>
      <c r="L28" s="7">
        <f t="shared" si="11"/>
        <v>5.2966134039778001E-4</v>
      </c>
      <c r="M28" s="7">
        <f t="shared" si="12"/>
        <v>1.3596575953804001E-2</v>
      </c>
      <c r="N28" s="7">
        <f t="shared" si="13"/>
        <v>-7.1405925114029004E-3</v>
      </c>
      <c r="O28">
        <v>0.12909804</v>
      </c>
      <c r="P28">
        <v>-3.7928421000000001</v>
      </c>
      <c r="Q28">
        <v>-1.4057968999999999</v>
      </c>
      <c r="R28">
        <v>-3.5454688000000001</v>
      </c>
      <c r="S28">
        <f t="shared" si="14"/>
        <v>1.004997001702038</v>
      </c>
      <c r="T28">
        <f t="shared" si="15"/>
        <v>-23.578024623873382</v>
      </c>
      <c r="U28" s="8"/>
      <c r="V28" s="8"/>
    </row>
    <row r="29" spans="1:22" x14ac:dyDescent="0.35">
      <c r="A29" s="14">
        <v>0.6</v>
      </c>
      <c r="B29" s="14">
        <v>16.317599999999999</v>
      </c>
      <c r="C29">
        <v>-6.7925713000000004E-3</v>
      </c>
      <c r="D29">
        <v>4.4269579999999999E-3</v>
      </c>
      <c r="E29">
        <v>0.99322350000000004</v>
      </c>
      <c r="F29">
        <v>3.3896948999999998E-3</v>
      </c>
      <c r="G29">
        <f t="shared" si="6"/>
        <v>54.834326909805498</v>
      </c>
      <c r="H29">
        <f t="shared" si="7"/>
        <v>31.8763729970802</v>
      </c>
      <c r="I29">
        <f t="shared" si="8"/>
        <v>54.834335214363101</v>
      </c>
      <c r="J29">
        <f t="shared" si="9"/>
        <v>31.8758543740047</v>
      </c>
      <c r="K29" s="7">
        <f t="shared" si="10"/>
        <v>-8.3045576033669005E-6</v>
      </c>
      <c r="L29" s="7">
        <f t="shared" si="11"/>
        <v>5.18623075500102E-4</v>
      </c>
      <c r="M29" s="7">
        <f t="shared" si="12"/>
        <v>1.3630635615071E-2</v>
      </c>
      <c r="N29" s="7">
        <f t="shared" si="13"/>
        <v>-7.9236513799717904E-3</v>
      </c>
      <c r="O29">
        <v>-8.9284185000000002E-2</v>
      </c>
      <c r="P29">
        <v>-3.7936714</v>
      </c>
      <c r="Q29">
        <v>-1.6095113000000001</v>
      </c>
      <c r="R29">
        <v>-3.4626125999999999</v>
      </c>
      <c r="S29">
        <f t="shared" si="14"/>
        <v>1.0062409198333215</v>
      </c>
      <c r="T29">
        <f t="shared" si="15"/>
        <v>-23.582006343300328</v>
      </c>
      <c r="U29" s="8"/>
      <c r="V29" s="8"/>
    </row>
    <row r="30" spans="1:22" x14ac:dyDescent="0.35">
      <c r="A30" s="14">
        <v>0.6</v>
      </c>
      <c r="B30" s="14">
        <v>16.366399999999999</v>
      </c>
      <c r="C30">
        <v>-6.7684985000000001E-3</v>
      </c>
      <c r="D30">
        <v>4.7957038000000004E-3</v>
      </c>
      <c r="E30">
        <v>0.99324712999999998</v>
      </c>
      <c r="F30">
        <v>3.7787290000000002E-3</v>
      </c>
      <c r="G30">
        <f t="shared" si="6"/>
        <v>52.246077335787199</v>
      </c>
      <c r="H30">
        <f t="shared" si="7"/>
        <v>33.448623773324996</v>
      </c>
      <c r="I30">
        <f t="shared" si="8"/>
        <v>52.246085408529602</v>
      </c>
      <c r="J30">
        <f t="shared" si="9"/>
        <v>33.448115294003401</v>
      </c>
      <c r="K30" s="7">
        <f t="shared" si="10"/>
        <v>-8.0727424034421296E-6</v>
      </c>
      <c r="L30" s="7">
        <f t="shared" si="11"/>
        <v>5.0847932159570096E-4</v>
      </c>
      <c r="M30" s="7">
        <f t="shared" si="12"/>
        <v>1.3575948463836401E-2</v>
      </c>
      <c r="N30" s="7">
        <f t="shared" si="13"/>
        <v>-8.6913667482102896E-3</v>
      </c>
      <c r="O30">
        <v>-0.30317717999999999</v>
      </c>
      <c r="P30">
        <v>-3.7706441000000002</v>
      </c>
      <c r="Q30">
        <v>-1.7996063</v>
      </c>
      <c r="R30">
        <v>-3.3586567000000001</v>
      </c>
      <c r="S30">
        <f t="shared" si="14"/>
        <v>1.0072930810377472</v>
      </c>
      <c r="T30">
        <f t="shared" si="15"/>
        <v>-23.585954377502937</v>
      </c>
      <c r="U30" s="8"/>
      <c r="V30" s="8"/>
    </row>
    <row r="31" spans="1:22" x14ac:dyDescent="0.35">
      <c r="A31" s="14">
        <v>0.6</v>
      </c>
      <c r="B31" s="14">
        <v>16.415199999999999</v>
      </c>
      <c r="C31">
        <v>-6.7044536999999998E-3</v>
      </c>
      <c r="D31">
        <v>5.1506985999999998E-3</v>
      </c>
      <c r="E31">
        <v>0.99330008000000003</v>
      </c>
      <c r="F31">
        <v>4.4465850999999999E-3</v>
      </c>
      <c r="G31">
        <f t="shared" si="6"/>
        <v>48.819752746014501</v>
      </c>
      <c r="H31">
        <f t="shared" si="7"/>
        <v>35.312207845188297</v>
      </c>
      <c r="I31">
        <f t="shared" si="8"/>
        <v>48.819755136802399</v>
      </c>
      <c r="J31">
        <f t="shared" si="9"/>
        <v>35.311855790077999</v>
      </c>
      <c r="K31" s="7">
        <f t="shared" si="10"/>
        <v>-2.39078789832092E-6</v>
      </c>
      <c r="L31" s="7">
        <f t="shared" si="11"/>
        <v>3.52055110298011E-4</v>
      </c>
      <c r="M31" s="7">
        <f t="shared" si="12"/>
        <v>1.3447873074452801E-2</v>
      </c>
      <c r="N31" s="7">
        <f t="shared" si="13"/>
        <v>-9.7269917343434705E-3</v>
      </c>
      <c r="O31">
        <v>-0.50968062999999997</v>
      </c>
      <c r="P31">
        <v>-3.7276180000000001</v>
      </c>
      <c r="Q31">
        <v>-1.9740797000000001</v>
      </c>
      <c r="R31">
        <v>-3.239598</v>
      </c>
      <c r="S31">
        <f t="shared" si="14"/>
        <v>1.0083395483759483</v>
      </c>
      <c r="T31">
        <f t="shared" si="15"/>
        <v>-23.57061159164974</v>
      </c>
      <c r="U31" s="8"/>
      <c r="V31" s="8"/>
    </row>
    <row r="32" spans="1:22" x14ac:dyDescent="0.35">
      <c r="A32" s="14">
        <v>0.6</v>
      </c>
      <c r="B32" s="14">
        <v>16.463999999999999</v>
      </c>
      <c r="C32">
        <v>-6.6037244000000002E-3</v>
      </c>
      <c r="D32">
        <v>5.4848170000000003E-3</v>
      </c>
      <c r="E32">
        <v>0.99339840000000001</v>
      </c>
      <c r="F32">
        <v>4.7925833999999997E-3</v>
      </c>
      <c r="G32">
        <f t="shared" si="6"/>
        <v>46.660937217825897</v>
      </c>
      <c r="H32">
        <f t="shared" si="7"/>
        <v>36.704446759968903</v>
      </c>
      <c r="I32">
        <f t="shared" si="8"/>
        <v>46.660938399821198</v>
      </c>
      <c r="J32">
        <f t="shared" si="9"/>
        <v>36.704100643945601</v>
      </c>
      <c r="K32" s="7">
        <f t="shared" si="10"/>
        <v>-1.18199530163565E-6</v>
      </c>
      <c r="L32" s="7">
        <f t="shared" si="11"/>
        <v>3.4611602330158998E-4</v>
      </c>
      <c r="M32" s="7">
        <f t="shared" si="12"/>
        <v>1.32392707776567E-2</v>
      </c>
      <c r="N32" s="7">
        <f t="shared" si="13"/>
        <v>-1.04141824776808E-2</v>
      </c>
      <c r="O32">
        <v>-0.70266019000000002</v>
      </c>
      <c r="P32">
        <v>-3.6621657999999999</v>
      </c>
      <c r="Q32">
        <v>-2.1284779</v>
      </c>
      <c r="R32">
        <v>-3.1043503000000001</v>
      </c>
      <c r="S32">
        <f t="shared" si="14"/>
        <v>1.0093847902384236</v>
      </c>
      <c r="T32">
        <f t="shared" si="15"/>
        <v>-23.574886168267884</v>
      </c>
      <c r="U32" s="8"/>
      <c r="V32" s="8"/>
    </row>
    <row r="33" spans="1:22" x14ac:dyDescent="0.35">
      <c r="A33" s="14">
        <v>0.6</v>
      </c>
      <c r="B33" s="14">
        <v>16.512799999999999</v>
      </c>
      <c r="C33">
        <v>-6.4717359999999996E-3</v>
      </c>
      <c r="D33">
        <v>5.7952762999999999E-3</v>
      </c>
      <c r="E33">
        <v>0.99353161999999995</v>
      </c>
      <c r="F33">
        <v>5.0833433999999999E-3</v>
      </c>
      <c r="G33">
        <f t="shared" si="6"/>
        <v>44.7782528513914</v>
      </c>
      <c r="H33">
        <f t="shared" si="7"/>
        <v>38.065130666731299</v>
      </c>
      <c r="I33">
        <f t="shared" si="8"/>
        <v>44.778254656100103</v>
      </c>
      <c r="J33">
        <f t="shared" si="9"/>
        <v>38.064774701521102</v>
      </c>
      <c r="K33" s="7">
        <f t="shared" si="10"/>
        <v>-1.8047087024797301E-6</v>
      </c>
      <c r="L33" s="7">
        <f t="shared" si="11"/>
        <v>3.5596521019698501E-4</v>
      </c>
      <c r="M33" s="7">
        <f t="shared" si="12"/>
        <v>1.2964101396472499E-2</v>
      </c>
      <c r="N33" s="7">
        <f t="shared" si="13"/>
        <v>-1.10204295065613E-2</v>
      </c>
      <c r="O33">
        <v>-0.87983462000000001</v>
      </c>
      <c r="P33">
        <v>-3.5795802000000001</v>
      </c>
      <c r="Q33">
        <v>-2.2616296</v>
      </c>
      <c r="R33">
        <v>-2.9590983999999998</v>
      </c>
      <c r="S33">
        <f t="shared" si="14"/>
        <v>1.0103868424517541</v>
      </c>
      <c r="T33">
        <f t="shared" si="15"/>
        <v>-23.581427381846325</v>
      </c>
      <c r="U33" s="8"/>
      <c r="V33" s="8"/>
    </row>
    <row r="34" spans="1:22" x14ac:dyDescent="0.35">
      <c r="A34" s="14">
        <v>0.6</v>
      </c>
      <c r="B34" s="14">
        <v>16.561599999999999</v>
      </c>
      <c r="C34">
        <v>-6.3142881E-3</v>
      </c>
      <c r="D34">
        <v>6.0732761999999999E-3</v>
      </c>
      <c r="E34">
        <v>0.99369746000000003</v>
      </c>
      <c r="F34">
        <v>5.1434061000000001E-3</v>
      </c>
      <c r="G34">
        <f t="shared" si="6"/>
        <v>43.769831262691703</v>
      </c>
      <c r="H34">
        <f t="shared" si="7"/>
        <v>39.357245413503101</v>
      </c>
      <c r="I34">
        <f t="shared" si="8"/>
        <v>43.769837352868102</v>
      </c>
      <c r="J34">
        <f t="shared" si="9"/>
        <v>39.356780484015701</v>
      </c>
      <c r="K34" s="7">
        <f t="shared" si="10"/>
        <v>-6.0901763987431002E-6</v>
      </c>
      <c r="L34" s="7">
        <f t="shared" si="11"/>
        <v>4.6492948739995698E-4</v>
      </c>
      <c r="M34" s="7">
        <f t="shared" si="12"/>
        <v>1.26328815387099E-2</v>
      </c>
      <c r="N34" s="7">
        <f t="shared" si="13"/>
        <v>-1.1359181931412899E-2</v>
      </c>
      <c r="O34">
        <v>-1.0398050999999999</v>
      </c>
      <c r="P34">
        <v>-3.4822706000000001</v>
      </c>
      <c r="Q34">
        <v>-2.3737995999999999</v>
      </c>
      <c r="R34">
        <v>-2.8063432000000001</v>
      </c>
      <c r="S34">
        <f t="shared" si="14"/>
        <v>1.0114089194676321</v>
      </c>
      <c r="T34">
        <f t="shared" si="15"/>
        <v>-23.601245204807586</v>
      </c>
      <c r="U34" s="8"/>
      <c r="V34" s="8"/>
    </row>
    <row r="35" spans="1:22" x14ac:dyDescent="0.35">
      <c r="A35" s="14">
        <v>0.6</v>
      </c>
      <c r="B35" s="14">
        <v>16.610399999999998</v>
      </c>
      <c r="C35">
        <v>-6.1389197999999999E-3</v>
      </c>
      <c r="D35">
        <v>6.3248463E-3</v>
      </c>
      <c r="E35">
        <v>0.99384439999999996</v>
      </c>
      <c r="F35">
        <v>5.4299096999999999E-3</v>
      </c>
      <c r="G35">
        <f t="shared" si="6"/>
        <v>41.99314616721</v>
      </c>
      <c r="H35">
        <f t="shared" si="7"/>
        <v>40.627798067861399</v>
      </c>
      <c r="I35">
        <f t="shared" si="8"/>
        <v>41.993138027273297</v>
      </c>
      <c r="J35">
        <f t="shared" si="9"/>
        <v>40.6273505921869</v>
      </c>
      <c r="K35" s="7">
        <f t="shared" si="10"/>
        <v>8.1399367033441195E-6</v>
      </c>
      <c r="L35" s="7">
        <f t="shared" si="11"/>
        <v>4.4747567449832099E-4</v>
      </c>
      <c r="M35" s="7">
        <f t="shared" si="12"/>
        <v>1.23002558167709E-2</v>
      </c>
      <c r="N35" s="7">
        <f t="shared" si="13"/>
        <v>-1.1900201530949599E-2</v>
      </c>
      <c r="O35">
        <v>-1.1850102</v>
      </c>
      <c r="P35">
        <v>-3.3770155000000002</v>
      </c>
      <c r="Q35">
        <v>-2.4681389</v>
      </c>
      <c r="R35">
        <v>-2.6523937000000002</v>
      </c>
      <c r="S35">
        <f t="shared" si="14"/>
        <v>1.0123537017788009</v>
      </c>
      <c r="T35">
        <f t="shared" si="15"/>
        <v>-23.602979588668052</v>
      </c>
      <c r="U35" s="8"/>
      <c r="V35" s="8"/>
    </row>
    <row r="36" spans="1:22" x14ac:dyDescent="0.35">
      <c r="A36" s="14">
        <v>0.6</v>
      </c>
      <c r="B36" s="14">
        <v>16.659199999999998</v>
      </c>
      <c r="C36">
        <v>-5.9493476E-3</v>
      </c>
      <c r="D36">
        <v>6.5465369000000002E-3</v>
      </c>
      <c r="E36">
        <v>0.99406611</v>
      </c>
      <c r="F36">
        <v>5.6713689999999999E-3</v>
      </c>
      <c r="G36">
        <f t="shared" si="6"/>
        <v>40.407760469681897</v>
      </c>
      <c r="H36">
        <f t="shared" si="7"/>
        <v>42.060070927045402</v>
      </c>
      <c r="I36">
        <f t="shared" si="8"/>
        <v>40.407768389897299</v>
      </c>
      <c r="J36">
        <f t="shared" si="9"/>
        <v>42.059633349942999</v>
      </c>
      <c r="K36" s="7">
        <f t="shared" si="10"/>
        <v>-7.9202154026347705E-6</v>
      </c>
      <c r="L36" s="7">
        <f t="shared" si="11"/>
        <v>4.3757710240299703E-4</v>
      </c>
      <c r="M36" s="7">
        <f t="shared" si="12"/>
        <v>1.1878347464808399E-2</v>
      </c>
      <c r="N36" s="7">
        <f t="shared" si="13"/>
        <v>-1.2363932953495501E-2</v>
      </c>
      <c r="O36">
        <v>-1.3124435999999999</v>
      </c>
      <c r="P36">
        <v>-3.2645791000000002</v>
      </c>
      <c r="Q36">
        <v>-2.5435620999999999</v>
      </c>
      <c r="R36">
        <v>-2.4987452000000001</v>
      </c>
      <c r="S36">
        <f t="shared" si="14"/>
        <v>1.0133778523317709</v>
      </c>
      <c r="T36">
        <f t="shared" si="15"/>
        <v>-23.607863215050113</v>
      </c>
      <c r="U36" s="8"/>
      <c r="V36" s="8"/>
    </row>
    <row r="37" spans="1:22" x14ac:dyDescent="0.35">
      <c r="A37" s="14">
        <v>0.6</v>
      </c>
      <c r="B37" s="14">
        <v>16.707999999999998</v>
      </c>
      <c r="C37">
        <v>-5.7514315999999998E-3</v>
      </c>
      <c r="D37">
        <v>6.7396043999999999E-3</v>
      </c>
      <c r="E37">
        <v>0.99426658999999995</v>
      </c>
      <c r="F37">
        <v>5.8941719999999996E-3</v>
      </c>
      <c r="G37">
        <f t="shared" si="6"/>
        <v>38.897231309005598</v>
      </c>
      <c r="H37">
        <f t="shared" si="7"/>
        <v>43.338716709477097</v>
      </c>
      <c r="I37">
        <f t="shared" si="8"/>
        <v>38.8972404984085</v>
      </c>
      <c r="J37">
        <f t="shared" si="9"/>
        <v>43.3382940009705</v>
      </c>
      <c r="K37" s="7">
        <f t="shared" si="10"/>
        <v>-9.1894029026207102E-6</v>
      </c>
      <c r="L37" s="7">
        <f t="shared" si="11"/>
        <v>4.2270850659775798E-4</v>
      </c>
      <c r="M37" s="7">
        <f t="shared" si="12"/>
        <v>1.14700417458794E-2</v>
      </c>
      <c r="N37" s="7">
        <f t="shared" si="13"/>
        <v>-1.27796222821171E-2</v>
      </c>
      <c r="O37">
        <v>-1.4238516000000001</v>
      </c>
      <c r="P37">
        <v>-3.1481748999999999</v>
      </c>
      <c r="Q37">
        <v>-2.6023562999999998</v>
      </c>
      <c r="R37">
        <v>-2.3474895</v>
      </c>
      <c r="S37">
        <f t="shared" si="14"/>
        <v>1.0143300742911485</v>
      </c>
      <c r="T37">
        <f t="shared" si="15"/>
        <v>-23.611334337724571</v>
      </c>
      <c r="U37" s="8"/>
      <c r="V37" s="8"/>
    </row>
    <row r="38" spans="1:22" x14ac:dyDescent="0.35">
      <c r="A38" s="14">
        <v>0.6</v>
      </c>
      <c r="B38" s="14">
        <v>16.756799999999998</v>
      </c>
      <c r="C38">
        <v>-5.5513539000000001E-3</v>
      </c>
      <c r="D38">
        <v>6.9040003000000001E-3</v>
      </c>
      <c r="E38">
        <v>0.99447141999999999</v>
      </c>
      <c r="F38">
        <v>6.0896027999999998E-3</v>
      </c>
      <c r="G38">
        <f t="shared" si="6"/>
        <v>37.497199092668097</v>
      </c>
      <c r="H38">
        <f t="shared" si="7"/>
        <v>44.560090272092602</v>
      </c>
      <c r="I38">
        <f t="shared" si="8"/>
        <v>37.4972106452934</v>
      </c>
      <c r="J38">
        <f t="shared" si="9"/>
        <v>44.5596830826833</v>
      </c>
      <c r="K38" s="7">
        <f t="shared" si="10"/>
        <v>-1.15526253026133E-5</v>
      </c>
      <c r="L38" s="7">
        <f t="shared" si="11"/>
        <v>4.07189409301623E-4</v>
      </c>
      <c r="M38" s="7">
        <f t="shared" si="12"/>
        <v>1.10558858686807E-2</v>
      </c>
      <c r="N38" s="7">
        <f t="shared" si="13"/>
        <v>-1.31382244713331E-2</v>
      </c>
      <c r="O38">
        <v>-1.519183</v>
      </c>
      <c r="P38">
        <v>-3.0308948</v>
      </c>
      <c r="Q38">
        <v>-2.6457915999999999</v>
      </c>
      <c r="R38">
        <v>-2.2015506</v>
      </c>
      <c r="S38">
        <f t="shared" si="14"/>
        <v>1.015230740303837</v>
      </c>
      <c r="T38">
        <f t="shared" si="15"/>
        <v>-23.614801833943716</v>
      </c>
      <c r="U38" s="8"/>
      <c r="V38" s="8"/>
    </row>
    <row r="39" spans="1:22" x14ac:dyDescent="0.35">
      <c r="A39" s="14">
        <v>0.6</v>
      </c>
      <c r="B39" s="14">
        <v>16.805599999999998</v>
      </c>
      <c r="C39">
        <v>-5.3507481000000003E-3</v>
      </c>
      <c r="D39">
        <v>7.0429434000000004E-3</v>
      </c>
      <c r="E39">
        <v>0.99467751000000004</v>
      </c>
      <c r="F39">
        <v>6.2583850999999996E-3</v>
      </c>
      <c r="G39">
        <f t="shared" si="6"/>
        <v>36.197541722892097</v>
      </c>
      <c r="H39">
        <f t="shared" si="7"/>
        <v>45.733847722675698</v>
      </c>
      <c r="I39">
        <f t="shared" si="8"/>
        <v>36.1975560056188</v>
      </c>
      <c r="J39">
        <f t="shared" si="9"/>
        <v>45.733455454670803</v>
      </c>
      <c r="K39" s="7">
        <f t="shared" si="10"/>
        <v>-1.42827267026746E-5</v>
      </c>
      <c r="L39" s="7">
        <f t="shared" si="11"/>
        <v>3.9226800489444702E-4</v>
      </c>
      <c r="M39" s="7">
        <f t="shared" si="12"/>
        <v>1.06406691240032E-2</v>
      </c>
      <c r="N39" s="7">
        <f t="shared" si="13"/>
        <v>-1.34438514941438E-2</v>
      </c>
      <c r="O39">
        <v>-1.6001624999999999</v>
      </c>
      <c r="P39">
        <v>-2.9136470000000001</v>
      </c>
      <c r="Q39">
        <v>-2.6759772000000002</v>
      </c>
      <c r="R39">
        <v>-2.0612512999999999</v>
      </c>
      <c r="S39">
        <f t="shared" si="14"/>
        <v>1.0161481981445204</v>
      </c>
      <c r="T39">
        <f t="shared" si="15"/>
        <v>-23.61826161125369</v>
      </c>
      <c r="U39" s="8"/>
      <c r="V39" s="8"/>
    </row>
    <row r="40" spans="1:22" x14ac:dyDescent="0.35">
      <c r="A40" s="14">
        <v>0.6</v>
      </c>
      <c r="B40" s="14">
        <v>16.854399999999998</v>
      </c>
      <c r="C40">
        <v>-5.1516167999999998E-3</v>
      </c>
      <c r="D40">
        <v>7.1583315000000002E-3</v>
      </c>
      <c r="E40">
        <v>0.99488317999999998</v>
      </c>
      <c r="F40">
        <v>6.3936679999999999E-3</v>
      </c>
      <c r="G40">
        <f t="shared" si="6"/>
        <v>35.018933249782997</v>
      </c>
      <c r="H40">
        <f t="shared" si="7"/>
        <v>46.877110586847699</v>
      </c>
      <c r="I40">
        <f t="shared" si="8"/>
        <v>35.018950794050099</v>
      </c>
      <c r="J40">
        <f t="shared" si="9"/>
        <v>46.8767282684571</v>
      </c>
      <c r="K40" s="7">
        <f t="shared" si="10"/>
        <v>-1.7544267102209701E-5</v>
      </c>
      <c r="L40" s="7">
        <f t="shared" si="11"/>
        <v>3.8231839059932299E-4</v>
      </c>
      <c r="M40" s="7">
        <f t="shared" si="12"/>
        <v>1.02282304703364E-2</v>
      </c>
      <c r="N40" s="7">
        <f t="shared" si="13"/>
        <v>-1.36916146701509E-2</v>
      </c>
      <c r="O40">
        <v>-1.6681093</v>
      </c>
      <c r="P40">
        <v>-2.7983129999999998</v>
      </c>
      <c r="Q40">
        <v>-2.6946938999999999</v>
      </c>
      <c r="R40">
        <v>-1.9277253999999999</v>
      </c>
      <c r="S40">
        <f t="shared" si="14"/>
        <v>1.017020477058072</v>
      </c>
      <c r="T40">
        <f t="shared" si="15"/>
        <v>-23.621196625128263</v>
      </c>
      <c r="U40" s="8"/>
      <c r="V40" s="8"/>
    </row>
    <row r="41" spans="1:22" x14ac:dyDescent="0.35">
      <c r="A41" s="14">
        <v>0.6</v>
      </c>
      <c r="B41" s="14">
        <v>16.903200000000002</v>
      </c>
      <c r="C41">
        <v>-4.9588999E-3</v>
      </c>
      <c r="D41">
        <v>7.2528326999999997E-3</v>
      </c>
      <c r="E41">
        <v>0.99502217999999998</v>
      </c>
      <c r="F41">
        <v>6.5316085999999997E-3</v>
      </c>
      <c r="G41">
        <f t="shared" si="6"/>
        <v>33.912979879978501</v>
      </c>
      <c r="H41">
        <f t="shared" si="7"/>
        <v>47.738633398814798</v>
      </c>
      <c r="I41">
        <f t="shared" si="8"/>
        <v>33.912970549883603</v>
      </c>
      <c r="J41">
        <f t="shared" si="9"/>
        <v>47.738272779988698</v>
      </c>
      <c r="K41" s="7">
        <f t="shared" si="10"/>
        <v>9.3300948975638693E-6</v>
      </c>
      <c r="L41" s="7">
        <f t="shared" si="11"/>
        <v>3.60618826100279E-4</v>
      </c>
      <c r="M41" s="7">
        <f t="shared" si="12"/>
        <v>9.88995377794827E-3</v>
      </c>
      <c r="N41" s="7">
        <f t="shared" si="13"/>
        <v>-1.3921791679637901E-2</v>
      </c>
      <c r="O41">
        <v>-1.7261343</v>
      </c>
      <c r="P41">
        <v>-2.6860653999999999</v>
      </c>
      <c r="Q41">
        <v>-2.7054195000000001</v>
      </c>
      <c r="R41">
        <v>-1.8012870000000001</v>
      </c>
      <c r="S41">
        <f t="shared" si="14"/>
        <v>1.0179584703165361</v>
      </c>
      <c r="T41">
        <f t="shared" si="15"/>
        <v>-23.618212486156047</v>
      </c>
      <c r="U41" s="8"/>
      <c r="V41" s="8"/>
    </row>
    <row r="42" spans="1:22" x14ac:dyDescent="0.35">
      <c r="A42" s="14">
        <v>0.6</v>
      </c>
      <c r="B42" s="14">
        <v>16.952000000000002</v>
      </c>
      <c r="C42">
        <v>-4.7705836999999999E-3</v>
      </c>
      <c r="D42">
        <v>7.3281481999999997E-3</v>
      </c>
      <c r="E42">
        <v>0.99529394999999998</v>
      </c>
      <c r="F42">
        <v>6.6596750000000003E-3</v>
      </c>
      <c r="G42">
        <f t="shared" si="6"/>
        <v>32.697075112178602</v>
      </c>
      <c r="H42">
        <f t="shared" si="7"/>
        <v>49.000166323640201</v>
      </c>
      <c r="I42">
        <f t="shared" si="8"/>
        <v>32.697107489690801</v>
      </c>
      <c r="J42">
        <f t="shared" si="9"/>
        <v>48.999832108645997</v>
      </c>
      <c r="K42" s="7">
        <f t="shared" si="10"/>
        <v>-3.2377512198422698E-5</v>
      </c>
      <c r="L42" s="7">
        <f t="shared" si="11"/>
        <v>3.3421499420427402E-4</v>
      </c>
      <c r="M42" s="7">
        <f t="shared" si="12"/>
        <v>9.4225684056198095E-3</v>
      </c>
      <c r="N42" s="7">
        <f t="shared" si="13"/>
        <v>-1.4120645688710401E-2</v>
      </c>
      <c r="O42">
        <v>-1.771671</v>
      </c>
      <c r="P42">
        <v>-2.5812645999999999</v>
      </c>
      <c r="Q42">
        <v>-2.7070026999999999</v>
      </c>
      <c r="R42">
        <v>-1.6865505999999999</v>
      </c>
      <c r="S42">
        <f t="shared" si="14"/>
        <v>1.0187279734190724</v>
      </c>
      <c r="T42">
        <f t="shared" si="15"/>
        <v>-23.611694276911244</v>
      </c>
      <c r="U42" s="8"/>
      <c r="V42" s="8"/>
    </row>
    <row r="43" spans="1:22" x14ac:dyDescent="0.35">
      <c r="A43">
        <v>0.6</v>
      </c>
      <c r="B43" s="9">
        <v>17</v>
      </c>
      <c r="C43">
        <v>-4.6913737000000002E-3</v>
      </c>
      <c r="D43">
        <v>7.3972107999999998E-3</v>
      </c>
      <c r="E43">
        <v>0.99522728000000005</v>
      </c>
      <c r="F43">
        <v>6.9082170000000004E-3</v>
      </c>
      <c r="G43">
        <f t="shared" si="6"/>
        <v>31.6673643250632</v>
      </c>
      <c r="H43">
        <f t="shared" si="7"/>
        <v>48.622592824265098</v>
      </c>
      <c r="I43">
        <f t="shared" si="8"/>
        <v>31.667323710044801</v>
      </c>
      <c r="J43">
        <f t="shared" si="9"/>
        <v>48.622348307489503</v>
      </c>
      <c r="K43" s="7">
        <f t="shared" si="10"/>
        <v>4.0615018399137198E-5</v>
      </c>
      <c r="L43" s="7">
        <f t="shared" si="11"/>
        <v>2.4451677559511598E-4</v>
      </c>
      <c r="M43" s="7">
        <f t="shared" si="12"/>
        <v>9.4053382221917902E-3</v>
      </c>
      <c r="N43" s="7">
        <f t="shared" si="13"/>
        <v>-1.44410571343639E-2</v>
      </c>
      <c r="O43">
        <v>-1.8131546000000001</v>
      </c>
      <c r="P43">
        <v>-2.5359224999999999</v>
      </c>
      <c r="Q43">
        <v>-2.7160831000000001</v>
      </c>
      <c r="R43">
        <v>-1.6151803</v>
      </c>
      <c r="S43">
        <f t="shared" si="14"/>
        <v>1.0136681860191656</v>
      </c>
      <c r="T43">
        <f t="shared" si="15"/>
        <v>-23.696889188037677</v>
      </c>
      <c r="U43" s="8"/>
      <c r="V43" s="8"/>
    </row>
    <row r="44" spans="1:22" x14ac:dyDescent="0.35">
      <c r="A44">
        <v>0.73750000000000004</v>
      </c>
      <c r="B44" s="9">
        <v>15</v>
      </c>
      <c r="C44">
        <v>-2.1392941E-3</v>
      </c>
      <c r="D44">
        <v>4.7148143000000001E-4</v>
      </c>
      <c r="E44">
        <v>0.99797353</v>
      </c>
      <c r="F44">
        <v>-1.0383015000000001E-3</v>
      </c>
      <c r="G44">
        <f t="shared" si="6"/>
        <v>235.18842619073001</v>
      </c>
      <c r="H44">
        <f t="shared" si="7"/>
        <v>-32.068876441729103</v>
      </c>
      <c r="I44">
        <f t="shared" si="8"/>
        <v>235.188483169362</v>
      </c>
      <c r="J44">
        <f t="shared" si="9"/>
        <v>-32.069631247601301</v>
      </c>
      <c r="K44" s="7">
        <f t="shared" si="10"/>
        <v>-5.6978631988613402E-5</v>
      </c>
      <c r="L44" s="7">
        <f t="shared" si="11"/>
        <v>7.5480587219800598E-4</v>
      </c>
      <c r="M44" s="7">
        <f t="shared" si="12"/>
        <v>4.1742950746664004E-3</v>
      </c>
      <c r="N44" s="7">
        <f t="shared" si="13"/>
        <v>5.6919497910460997E-4</v>
      </c>
      <c r="O44">
        <v>1.9799450000000001</v>
      </c>
      <c r="P44">
        <v>-1.0707967</v>
      </c>
      <c r="Q44">
        <v>1.3507061</v>
      </c>
      <c r="R44">
        <v>-1.7177225</v>
      </c>
      <c r="S44">
        <f t="shared" si="14"/>
        <v>0.97077662427731903</v>
      </c>
      <c r="T44">
        <f t="shared" si="15"/>
        <v>-23.415301740512685</v>
      </c>
      <c r="U44" s="8"/>
      <c r="V44" s="8"/>
    </row>
    <row r="45" spans="1:22" x14ac:dyDescent="0.35">
      <c r="A45">
        <v>0.73750000000000004</v>
      </c>
      <c r="B45" s="9">
        <v>15.0488</v>
      </c>
      <c r="C45">
        <v>-2.2947812000000001E-3</v>
      </c>
      <c r="D45">
        <v>3.4607973000000002E-4</v>
      </c>
      <c r="E45">
        <v>0.99771295999999998</v>
      </c>
      <c r="F45">
        <v>-1.2301303E-3</v>
      </c>
      <c r="G45">
        <f t="shared" si="6"/>
        <v>209.920152154215</v>
      </c>
      <c r="H45">
        <f t="shared" si="7"/>
        <v>-40.599631424674897</v>
      </c>
      <c r="I45">
        <f t="shared" si="8"/>
        <v>209.92015664590201</v>
      </c>
      <c r="J45">
        <f t="shared" si="9"/>
        <v>-40.600419523099497</v>
      </c>
      <c r="K45" s="7">
        <f t="shared" si="10"/>
        <v>-4.4916870081124199E-6</v>
      </c>
      <c r="L45" s="7">
        <f t="shared" si="11"/>
        <v>7.8809842460003698E-4</v>
      </c>
      <c r="M45" s="7">
        <f t="shared" si="12"/>
        <v>4.5919451143526498E-3</v>
      </c>
      <c r="N45" s="7">
        <f t="shared" si="13"/>
        <v>8.8812289895651695E-4</v>
      </c>
      <c r="O45">
        <v>2.0243370999999999</v>
      </c>
      <c r="P45">
        <v>-1.1456192000000001</v>
      </c>
      <c r="Q45">
        <v>1.3631616</v>
      </c>
      <c r="R45">
        <v>-1.8059414</v>
      </c>
      <c r="S45">
        <f t="shared" si="14"/>
        <v>0.97275933163032924</v>
      </c>
      <c r="T45">
        <f t="shared" si="15"/>
        <v>-23.447220917396574</v>
      </c>
      <c r="U45" s="8"/>
      <c r="V45" s="8"/>
    </row>
    <row r="46" spans="1:22" x14ac:dyDescent="0.35">
      <c r="A46">
        <v>0.73750000000000004</v>
      </c>
      <c r="B46" s="9">
        <v>15.0976</v>
      </c>
      <c r="C46">
        <v>-2.4720611999999999E-3</v>
      </c>
      <c r="D46">
        <v>2.3628515E-4</v>
      </c>
      <c r="E46">
        <v>0.99769596000000005</v>
      </c>
      <c r="F46">
        <v>-1.3209144E-3</v>
      </c>
      <c r="G46">
        <f t="shared" si="6"/>
        <v>198.607351127979</v>
      </c>
      <c r="H46">
        <f t="shared" si="7"/>
        <v>-45.215927121975596</v>
      </c>
      <c r="I46">
        <f t="shared" si="8"/>
        <v>198.607435737586</v>
      </c>
      <c r="J46">
        <f t="shared" si="9"/>
        <v>-45.2167055904739</v>
      </c>
      <c r="K46" s="7">
        <f t="shared" si="10"/>
        <v>-8.4609607000629694E-5</v>
      </c>
      <c r="L46" s="7">
        <f t="shared" si="11"/>
        <v>7.7846849830365305E-4</v>
      </c>
      <c r="M46" s="7">
        <f t="shared" si="12"/>
        <v>4.78693664885344E-3</v>
      </c>
      <c r="N46" s="7">
        <f t="shared" si="13"/>
        <v>1.0898358579959899E-3</v>
      </c>
      <c r="O46">
        <v>2.0703505</v>
      </c>
      <c r="P46">
        <v>-1.2271596</v>
      </c>
      <c r="Q46">
        <v>1.3750842000000001</v>
      </c>
      <c r="R46">
        <v>-1.8993419</v>
      </c>
      <c r="S46">
        <f t="shared" si="14"/>
        <v>0.97429834942529026</v>
      </c>
      <c r="T46">
        <f t="shared" si="15"/>
        <v>-23.439730472043809</v>
      </c>
      <c r="U46" s="8"/>
      <c r="V46" s="8"/>
    </row>
    <row r="47" spans="1:22" x14ac:dyDescent="0.35">
      <c r="A47">
        <v>0.73750000000000004</v>
      </c>
      <c r="B47" s="9">
        <v>15.1464</v>
      </c>
      <c r="C47">
        <v>-2.6599579E-3</v>
      </c>
      <c r="D47">
        <v>1.2244751E-4</v>
      </c>
      <c r="E47">
        <v>0.99750185999999996</v>
      </c>
      <c r="F47">
        <v>-1.4142876E-3</v>
      </c>
      <c r="G47">
        <f t="shared" si="6"/>
        <v>181.92718711557899</v>
      </c>
      <c r="H47">
        <f t="shared" si="7"/>
        <v>-45.688319549686803</v>
      </c>
      <c r="I47">
        <f t="shared" si="8"/>
        <v>181.92726860822799</v>
      </c>
      <c r="J47">
        <f t="shared" si="9"/>
        <v>-45.689087792467703</v>
      </c>
      <c r="K47" s="7">
        <f t="shared" si="10"/>
        <v>-8.1492649002257194E-5</v>
      </c>
      <c r="L47" s="7">
        <f t="shared" si="11"/>
        <v>7.6824278090015198E-4</v>
      </c>
      <c r="M47" s="7">
        <f t="shared" si="12"/>
        <v>5.1705881913974502E-3</v>
      </c>
      <c r="N47" s="7">
        <f t="shared" si="13"/>
        <v>1.2985379246482601E-3</v>
      </c>
      <c r="O47">
        <v>2.1153330000000001</v>
      </c>
      <c r="P47">
        <v>-1.3156897999999999</v>
      </c>
      <c r="Q47">
        <v>1.3827144</v>
      </c>
      <c r="R47">
        <v>-1.9989216999999999</v>
      </c>
      <c r="S47">
        <f t="shared" si="14"/>
        <v>0.97568720533203468</v>
      </c>
      <c r="T47">
        <f t="shared" si="15"/>
        <v>-23.446534146075816</v>
      </c>
      <c r="U47" s="8"/>
      <c r="V47" s="8"/>
    </row>
    <row r="48" spans="1:22" x14ac:dyDescent="0.35">
      <c r="A48">
        <v>0.73750000000000004</v>
      </c>
      <c r="B48" s="9">
        <v>15.1952</v>
      </c>
      <c r="C48">
        <v>-2.8642388000000001E-3</v>
      </c>
      <c r="D48">
        <v>1.0640565E-5</v>
      </c>
      <c r="E48">
        <v>0.99729725000000002</v>
      </c>
      <c r="F48">
        <v>-1.5124028E-3</v>
      </c>
      <c r="G48">
        <f t="shared" si="6"/>
        <v>166.94504363794599</v>
      </c>
      <c r="H48">
        <f t="shared" si="7"/>
        <v>-45.169946216791601</v>
      </c>
      <c r="I48">
        <f t="shared" si="8"/>
        <v>166.94512495560201</v>
      </c>
      <c r="J48">
        <f t="shared" si="9"/>
        <v>-45.170707615070299</v>
      </c>
      <c r="K48" s="7">
        <f t="shared" si="10"/>
        <v>-8.13176560257034E-5</v>
      </c>
      <c r="L48" s="7">
        <f t="shared" si="11"/>
        <v>7.6139827869781097E-4</v>
      </c>
      <c r="M48" s="7">
        <f t="shared" si="12"/>
        <v>5.5813830298362902E-3</v>
      </c>
      <c r="N48" s="7">
        <f t="shared" si="13"/>
        <v>1.51016701443363E-3</v>
      </c>
      <c r="O48">
        <v>2.1589101999999998</v>
      </c>
      <c r="P48">
        <v>-1.4116242000000001</v>
      </c>
      <c r="Q48">
        <v>1.3861905000000001</v>
      </c>
      <c r="R48">
        <v>-2.1048089999999999</v>
      </c>
      <c r="S48">
        <f t="shared" si="14"/>
        <v>0.9770548904385925</v>
      </c>
      <c r="T48">
        <f t="shared" si="15"/>
        <v>-23.45274459218226</v>
      </c>
      <c r="U48" s="8"/>
      <c r="V48" s="8"/>
    </row>
    <row r="49" spans="1:22" x14ac:dyDescent="0.35">
      <c r="A49">
        <v>0.73750000000000004</v>
      </c>
      <c r="B49" s="9">
        <v>15.244</v>
      </c>
      <c r="C49">
        <v>-3.085997E-3</v>
      </c>
      <c r="D49">
        <v>-9.7678185000000002E-5</v>
      </c>
      <c r="E49">
        <v>0.99707615000000005</v>
      </c>
      <c r="F49">
        <v>-1.6096582E-3</v>
      </c>
      <c r="G49">
        <f t="shared" si="6"/>
        <v>153.46729964194199</v>
      </c>
      <c r="H49">
        <f t="shared" si="7"/>
        <v>-43.740176937665403</v>
      </c>
      <c r="I49">
        <f t="shared" si="8"/>
        <v>153.46738128025001</v>
      </c>
      <c r="J49">
        <f t="shared" si="9"/>
        <v>-43.740932804674301</v>
      </c>
      <c r="K49" s="7">
        <f t="shared" si="10"/>
        <v>-8.1638308017772902E-5</v>
      </c>
      <c r="L49" s="7">
        <f t="shared" si="11"/>
        <v>7.5586700889829195E-4</v>
      </c>
      <c r="M49" s="7">
        <f t="shared" si="12"/>
        <v>6.0264806579512498E-3</v>
      </c>
      <c r="N49" s="7">
        <f t="shared" si="13"/>
        <v>1.7176541575746401E-3</v>
      </c>
      <c r="O49">
        <v>2.2003472999999998</v>
      </c>
      <c r="P49">
        <v>-1.5154736</v>
      </c>
      <c r="Q49">
        <v>1.3846552000000001</v>
      </c>
      <c r="R49">
        <v>-2.2172521000000001</v>
      </c>
      <c r="S49">
        <f t="shared" si="14"/>
        <v>0.97842346575340411</v>
      </c>
      <c r="T49">
        <f t="shared" si="15"/>
        <v>-23.458718406965691</v>
      </c>
      <c r="U49" s="8"/>
      <c r="V49" s="8"/>
    </row>
    <row r="50" spans="1:22" x14ac:dyDescent="0.35">
      <c r="A50">
        <v>0.73750000000000004</v>
      </c>
      <c r="B50" s="9">
        <v>15.2928</v>
      </c>
      <c r="C50">
        <v>-3.3263555999999998E-3</v>
      </c>
      <c r="D50">
        <v>-2.0072353000000001E-4</v>
      </c>
      <c r="E50">
        <v>0.99683445000000004</v>
      </c>
      <c r="F50">
        <v>-1.7018585000000001E-3</v>
      </c>
      <c r="G50">
        <f t="shared" si="6"/>
        <v>141.35409037342899</v>
      </c>
      <c r="H50">
        <f t="shared" si="7"/>
        <v>-41.5727986446812</v>
      </c>
      <c r="I50">
        <f t="shared" si="8"/>
        <v>141.35417133298</v>
      </c>
      <c r="J50">
        <f t="shared" si="9"/>
        <v>-41.573549091062503</v>
      </c>
      <c r="K50" s="7">
        <f t="shared" si="10"/>
        <v>-8.0959551013393098E-5</v>
      </c>
      <c r="L50" s="7">
        <f t="shared" si="11"/>
        <v>7.5044638130350395E-4</v>
      </c>
      <c r="M50" s="7">
        <f t="shared" si="12"/>
        <v>6.5112080697595897E-3</v>
      </c>
      <c r="N50" s="7">
        <f t="shared" si="13"/>
        <v>1.9150055904088999E-3</v>
      </c>
      <c r="O50">
        <v>2.2387978999999998</v>
      </c>
      <c r="P50">
        <v>-1.6277379999999999</v>
      </c>
      <c r="Q50">
        <v>1.3771173000000001</v>
      </c>
      <c r="R50">
        <v>-2.3363801999999998</v>
      </c>
      <c r="S50">
        <f t="shared" si="14"/>
        <v>0.97978572945156928</v>
      </c>
      <c r="T50">
        <f t="shared" si="15"/>
        <v>-23.464544440382429</v>
      </c>
      <c r="U50" s="8"/>
      <c r="V50" s="8"/>
    </row>
    <row r="51" spans="1:22" x14ac:dyDescent="0.35">
      <c r="A51">
        <v>0.73750000000000004</v>
      </c>
      <c r="B51" s="9">
        <v>15.3416</v>
      </c>
      <c r="C51">
        <v>-3.5864408E-3</v>
      </c>
      <c r="D51">
        <v>-2.9637773000000002E-4</v>
      </c>
      <c r="E51">
        <v>0.99656924999999996</v>
      </c>
      <c r="F51">
        <v>-1.7854755000000001E-3</v>
      </c>
      <c r="G51">
        <f t="shared" si="6"/>
        <v>130.478595889997</v>
      </c>
      <c r="H51">
        <f t="shared" si="7"/>
        <v>-38.858239767938599</v>
      </c>
      <c r="I51">
        <f t="shared" si="8"/>
        <v>130.47867428356</v>
      </c>
      <c r="J51">
        <f t="shared" si="9"/>
        <v>-38.858984200504999</v>
      </c>
      <c r="K51" s="7">
        <f t="shared" si="10"/>
        <v>-7.8393563001100106E-5</v>
      </c>
      <c r="L51" s="7">
        <f t="shared" si="11"/>
        <v>7.4443256639966605E-4</v>
      </c>
      <c r="M51" s="7">
        <f t="shared" si="12"/>
        <v>7.0396951884866901E-3</v>
      </c>
      <c r="N51" s="7">
        <f t="shared" si="13"/>
        <v>2.0965526022380999E-3</v>
      </c>
      <c r="O51">
        <v>2.273269</v>
      </c>
      <c r="P51">
        <v>-1.7488884</v>
      </c>
      <c r="Q51">
        <v>1.3624681999999999</v>
      </c>
      <c r="R51">
        <v>-2.4622516999999999</v>
      </c>
      <c r="S51">
        <f t="shared" si="14"/>
        <v>0.98114078865819776</v>
      </c>
      <c r="T51">
        <f t="shared" si="15"/>
        <v>-23.470311354233317</v>
      </c>
      <c r="U51" s="8"/>
      <c r="V51" s="8"/>
    </row>
    <row r="52" spans="1:22" x14ac:dyDescent="0.35">
      <c r="A52">
        <v>0.73750000000000004</v>
      </c>
      <c r="B52" s="9">
        <v>15.3904</v>
      </c>
      <c r="C52">
        <v>-3.8673085E-3</v>
      </c>
      <c r="D52">
        <v>-3.8215881000000003E-4</v>
      </c>
      <c r="E52">
        <v>0.99627854999999998</v>
      </c>
      <c r="F52">
        <v>-1.8572939E-3</v>
      </c>
      <c r="G52">
        <f t="shared" si="6"/>
        <v>120.717609529234</v>
      </c>
      <c r="H52">
        <f t="shared" si="7"/>
        <v>-35.771119639986402</v>
      </c>
      <c r="I52">
        <f t="shared" si="8"/>
        <v>120.717682997053</v>
      </c>
      <c r="J52">
        <f t="shared" si="9"/>
        <v>-35.771857099561601</v>
      </c>
      <c r="K52" s="7">
        <f t="shared" si="10"/>
        <v>-7.3467819007078106E-5</v>
      </c>
      <c r="L52" s="7">
        <f t="shared" si="11"/>
        <v>7.3745957519832895E-4</v>
      </c>
      <c r="M52" s="7">
        <f t="shared" si="12"/>
        <v>7.6151118530137403E-3</v>
      </c>
      <c r="N52" s="7">
        <f t="shared" si="13"/>
        <v>2.25655998558087E-3</v>
      </c>
      <c r="O52">
        <v>2.3026015000000002</v>
      </c>
      <c r="P52">
        <v>-1.8793411</v>
      </c>
      <c r="Q52">
        <v>1.3394653000000001</v>
      </c>
      <c r="R52">
        <v>-2.5948069</v>
      </c>
      <c r="S52">
        <f t="shared" si="14"/>
        <v>0.98248700933957434</v>
      </c>
      <c r="T52">
        <f t="shared" si="15"/>
        <v>-23.476071714869317</v>
      </c>
      <c r="U52" s="8"/>
      <c r="V52" s="8"/>
    </row>
    <row r="53" spans="1:22" x14ac:dyDescent="0.35">
      <c r="A53">
        <v>0.73750000000000004</v>
      </c>
      <c r="B53" s="9">
        <v>15.4392</v>
      </c>
      <c r="C53">
        <v>-4.1698435999999997E-3</v>
      </c>
      <c r="D53">
        <v>-4.5517927000000001E-4</v>
      </c>
      <c r="E53">
        <v>0.99596138000000001</v>
      </c>
      <c r="F53">
        <v>-1.9142585E-3</v>
      </c>
      <c r="G53">
        <f t="shared" si="6"/>
        <v>111.955287684824</v>
      </c>
      <c r="H53">
        <f t="shared" si="7"/>
        <v>-32.460750709583202</v>
      </c>
      <c r="I53">
        <f t="shared" si="8"/>
        <v>111.955353824442</v>
      </c>
      <c r="J53">
        <f t="shared" si="9"/>
        <v>-32.461480153086598</v>
      </c>
      <c r="K53" s="7">
        <f t="shared" si="10"/>
        <v>-6.61396179992835E-5</v>
      </c>
      <c r="L53" s="7">
        <f t="shared" si="11"/>
        <v>7.2944350339554397E-4</v>
      </c>
      <c r="M53" s="7">
        <f t="shared" si="12"/>
        <v>8.2394334991354092E-3</v>
      </c>
      <c r="N53" s="7">
        <f t="shared" si="13"/>
        <v>2.3890256059060202E-3</v>
      </c>
      <c r="O53">
        <v>2.3254551000000001</v>
      </c>
      <c r="P53">
        <v>-2.0194220999999999</v>
      </c>
      <c r="Q53">
        <v>1.3067329000000001</v>
      </c>
      <c r="R53">
        <v>-2.7338306000000001</v>
      </c>
      <c r="S53">
        <f t="shared" si="14"/>
        <v>0.98382273162907163</v>
      </c>
      <c r="T53">
        <f t="shared" si="15"/>
        <v>-23.481845829065914</v>
      </c>
      <c r="U53" s="8"/>
      <c r="V53" s="8"/>
    </row>
    <row r="54" spans="1:22" x14ac:dyDescent="0.35">
      <c r="A54">
        <v>0.73750000000000004</v>
      </c>
      <c r="B54" s="9">
        <v>15.488</v>
      </c>
      <c r="C54">
        <v>-4.4946333000000002E-3</v>
      </c>
      <c r="D54">
        <v>-5.1210807999999995E-4</v>
      </c>
      <c r="E54">
        <v>0.99561805999999997</v>
      </c>
      <c r="F54">
        <v>-1.9532321000000001E-3</v>
      </c>
      <c r="G54">
        <f t="shared" si="6"/>
        <v>104.08841324443</v>
      </c>
      <c r="H54">
        <f t="shared" si="7"/>
        <v>-29.047570634940701</v>
      </c>
      <c r="I54">
        <f t="shared" si="8"/>
        <v>104.08847010702701</v>
      </c>
      <c r="J54">
        <f t="shared" si="9"/>
        <v>-29.048291115381002</v>
      </c>
      <c r="K54" s="7">
        <f t="shared" si="10"/>
        <v>-5.6862597006102098E-5</v>
      </c>
      <c r="L54" s="7">
        <f t="shared" si="11"/>
        <v>7.2048044030026404E-4</v>
      </c>
      <c r="M54" s="7">
        <f t="shared" si="12"/>
        <v>8.9130478831293807E-3</v>
      </c>
      <c r="N54" s="7">
        <f t="shared" si="13"/>
        <v>2.4873918251296602E-3</v>
      </c>
      <c r="O54">
        <v>2.3402992</v>
      </c>
      <c r="P54">
        <v>-2.1693194999999998</v>
      </c>
      <c r="Q54">
        <v>1.2627721999999999</v>
      </c>
      <c r="R54">
        <v>-2.8789066999999999</v>
      </c>
      <c r="S54">
        <f t="shared" si="14"/>
        <v>0.98514690719364906</v>
      </c>
      <c r="T54">
        <f t="shared" si="15"/>
        <v>-23.487644074850973</v>
      </c>
      <c r="U54" s="8"/>
      <c r="V54" s="8"/>
    </row>
    <row r="55" spans="1:22" x14ac:dyDescent="0.35">
      <c r="A55">
        <v>0.73750000000000004</v>
      </c>
      <c r="B55" s="9">
        <v>15.536799999999999</v>
      </c>
      <c r="C55">
        <v>-4.8418241999999998E-3</v>
      </c>
      <c r="D55">
        <v>-5.4913819999999997E-4</v>
      </c>
      <c r="E55">
        <v>0.99525037000000005</v>
      </c>
      <c r="F55">
        <v>-1.9706213000000002E-3</v>
      </c>
      <c r="G55">
        <f t="shared" si="6"/>
        <v>97.028437607992004</v>
      </c>
      <c r="H55">
        <f t="shared" si="7"/>
        <v>-25.621230374724</v>
      </c>
      <c r="I55">
        <f t="shared" si="8"/>
        <v>97.0284842080505</v>
      </c>
      <c r="J55">
        <f t="shared" si="9"/>
        <v>-25.6219410503933</v>
      </c>
      <c r="K55" s="7">
        <f t="shared" si="10"/>
        <v>-4.6600058496437702E-5</v>
      </c>
      <c r="L55" s="7">
        <f t="shared" si="11"/>
        <v>7.1067566929983205E-4</v>
      </c>
      <c r="M55" s="7">
        <f t="shared" si="12"/>
        <v>9.6344337184014594E-3</v>
      </c>
      <c r="N55" s="7">
        <f t="shared" si="13"/>
        <v>2.5441280960083498E-3</v>
      </c>
      <c r="O55">
        <v>2.3454082999999999</v>
      </c>
      <c r="P55">
        <v>-2.3290232999999998</v>
      </c>
      <c r="Q55">
        <v>1.2059815</v>
      </c>
      <c r="R55">
        <v>-3.0293603999999998</v>
      </c>
      <c r="S55">
        <f t="shared" si="14"/>
        <v>0.98645907574798641</v>
      </c>
      <c r="T55">
        <f t="shared" si="15"/>
        <v>-23.493445315716492</v>
      </c>
      <c r="U55" s="8"/>
      <c r="V55" s="8"/>
    </row>
    <row r="56" spans="1:22" x14ac:dyDescent="0.35">
      <c r="A56">
        <v>0.73750000000000004</v>
      </c>
      <c r="B56" s="9">
        <v>15.585599999999999</v>
      </c>
      <c r="C56">
        <v>-5.2109799E-3</v>
      </c>
      <c r="D56">
        <v>-5.6198611999999995E-4</v>
      </c>
      <c r="E56">
        <v>0.99486105999999996</v>
      </c>
      <c r="F56">
        <v>-1.9621543999999999E-3</v>
      </c>
      <c r="G56">
        <f t="shared" si="6"/>
        <v>90.695028892292299</v>
      </c>
      <c r="H56">
        <f t="shared" si="7"/>
        <v>-22.2403161865562</v>
      </c>
      <c r="I56">
        <f t="shared" si="8"/>
        <v>90.695065401009799</v>
      </c>
      <c r="J56">
        <f t="shared" si="9"/>
        <v>-22.241016219921899</v>
      </c>
      <c r="K56" s="7">
        <f t="shared" si="10"/>
        <v>-3.6508717499828001E-5</v>
      </c>
      <c r="L56" s="7">
        <f t="shared" si="11"/>
        <v>7.0003336569968199E-4</v>
      </c>
      <c r="M56" s="7">
        <f t="shared" si="12"/>
        <v>1.0400502900148999E-2</v>
      </c>
      <c r="N56" s="7">
        <f t="shared" si="13"/>
        <v>2.5504998830397502E-3</v>
      </c>
      <c r="O56">
        <v>2.3388643999999998</v>
      </c>
      <c r="P56">
        <v>-2.4982570000000002</v>
      </c>
      <c r="Q56">
        <v>1.1346921999999999</v>
      </c>
      <c r="R56">
        <v>-3.1842081000000002</v>
      </c>
      <c r="S56">
        <f t="shared" si="14"/>
        <v>0.98776335583885488</v>
      </c>
      <c r="T56">
        <f t="shared" si="15"/>
        <v>-23.499155310956272</v>
      </c>
      <c r="U56" s="8"/>
      <c r="V56" s="8"/>
    </row>
    <row r="57" spans="1:22" x14ac:dyDescent="0.35">
      <c r="A57">
        <v>0.73750000000000004</v>
      </c>
      <c r="B57" s="9">
        <v>15.634399999999999</v>
      </c>
      <c r="C57">
        <v>-5.6009455999999997E-3</v>
      </c>
      <c r="D57">
        <v>-5.4593180999999995E-4</v>
      </c>
      <c r="E57">
        <v>0.99445307000000005</v>
      </c>
      <c r="F57">
        <v>-1.9231329E-3</v>
      </c>
      <c r="G57">
        <f t="shared" si="6"/>
        <v>85.008576831749494</v>
      </c>
      <c r="H57">
        <f t="shared" si="7"/>
        <v>-18.938353185120501</v>
      </c>
      <c r="I57">
        <f t="shared" si="8"/>
        <v>85.008604312952201</v>
      </c>
      <c r="J57">
        <f t="shared" si="9"/>
        <v>-18.939041748145399</v>
      </c>
      <c r="K57" s="7">
        <f t="shared" si="10"/>
        <v>-2.74812027072358E-5</v>
      </c>
      <c r="L57" s="7">
        <f t="shared" si="11"/>
        <v>6.8856302489805898E-4</v>
      </c>
      <c r="M57" s="7">
        <f t="shared" si="12"/>
        <v>1.12072408699801E-2</v>
      </c>
      <c r="N57" s="7">
        <f t="shared" si="13"/>
        <v>2.4968578702536499E-3</v>
      </c>
      <c r="O57">
        <v>2.3205927000000002</v>
      </c>
      <c r="P57">
        <v>-2.6787473999999998</v>
      </c>
      <c r="Q57">
        <v>1.0471796</v>
      </c>
      <c r="R57">
        <v>-3.3418861999999998</v>
      </c>
      <c r="S57">
        <f t="shared" si="14"/>
        <v>0.9881451021068447</v>
      </c>
      <c r="T57">
        <f t="shared" si="15"/>
        <v>-23.503932848164485</v>
      </c>
      <c r="U57" s="8"/>
      <c r="V57" s="8"/>
    </row>
    <row r="58" spans="1:22" x14ac:dyDescent="0.35">
      <c r="A58">
        <v>0.73750000000000004</v>
      </c>
      <c r="B58" s="9">
        <v>15.683199999999999</v>
      </c>
      <c r="C58">
        <v>-6.0096960999999997E-3</v>
      </c>
      <c r="D58">
        <v>-4.9595482000000003E-4</v>
      </c>
      <c r="E58">
        <v>0.99402915000000003</v>
      </c>
      <c r="F58">
        <v>-1.8489741E-3</v>
      </c>
      <c r="G58">
        <f t="shared" si="6"/>
        <v>79.888979752124001</v>
      </c>
      <c r="H58">
        <f t="shared" si="7"/>
        <v>-15.734041911563899</v>
      </c>
      <c r="I58">
        <f t="shared" si="8"/>
        <v>79.888999632435102</v>
      </c>
      <c r="J58">
        <f t="shared" si="9"/>
        <v>-15.7347183946153</v>
      </c>
      <c r="K58" s="7">
        <f t="shared" si="10"/>
        <v>-1.9880311100450901E-5</v>
      </c>
      <c r="L58" s="7">
        <f t="shared" si="11"/>
        <v>6.76483051400112E-4</v>
      </c>
      <c r="M58" s="7">
        <f t="shared" si="12"/>
        <v>1.2049925254297E-2</v>
      </c>
      <c r="N58" s="7">
        <f t="shared" si="13"/>
        <v>2.3733202496573399E-3</v>
      </c>
      <c r="O58">
        <v>2.2842878</v>
      </c>
      <c r="P58">
        <v>-2.8649198999999999</v>
      </c>
      <c r="Q58">
        <v>0.94179822999999996</v>
      </c>
      <c r="R58">
        <v>-3.5008696000000001</v>
      </c>
      <c r="S58">
        <f t="shared" si="14"/>
        <v>0.98941702030265133</v>
      </c>
      <c r="T58">
        <f t="shared" si="15"/>
        <v>-23.509280812055383</v>
      </c>
      <c r="U58" s="8"/>
      <c r="V58" s="8"/>
    </row>
    <row r="59" spans="1:22" x14ac:dyDescent="0.35">
      <c r="A59">
        <v>0.73750000000000004</v>
      </c>
      <c r="B59" s="9">
        <v>15.731999999999999</v>
      </c>
      <c r="C59">
        <v>-6.4341503000000001E-3</v>
      </c>
      <c r="D59">
        <v>-4.0691635000000002E-4</v>
      </c>
      <c r="E59">
        <v>0.99359233000000002</v>
      </c>
      <c r="F59">
        <v>-1.7354864E-3</v>
      </c>
      <c r="G59">
        <f t="shared" si="6"/>
        <v>75.261944384025796</v>
      </c>
      <c r="H59">
        <f t="shared" si="7"/>
        <v>-12.639045217708301</v>
      </c>
      <c r="I59">
        <f t="shared" si="8"/>
        <v>75.261958065257204</v>
      </c>
      <c r="J59">
        <f t="shared" si="9"/>
        <v>-12.639709484850099</v>
      </c>
      <c r="K59" s="7">
        <f t="shared" si="10"/>
        <v>-1.3681231408213501E-5</v>
      </c>
      <c r="L59" s="7">
        <f t="shared" si="11"/>
        <v>6.6426714179890201E-4</v>
      </c>
      <c r="M59" s="7">
        <f t="shared" si="12"/>
        <v>1.29224498776157E-2</v>
      </c>
      <c r="N59" s="7">
        <f t="shared" si="13"/>
        <v>2.1702333620389602E-3</v>
      </c>
      <c r="O59">
        <v>2.2279865999999999</v>
      </c>
      <c r="P59">
        <v>-3.0550543999999999</v>
      </c>
      <c r="Q59">
        <v>0.81703824999999997</v>
      </c>
      <c r="R59">
        <v>-3.6589358000000001</v>
      </c>
      <c r="S59">
        <f t="shared" si="14"/>
        <v>0.99150359146536982</v>
      </c>
      <c r="T59">
        <f t="shared" si="15"/>
        <v>-23.514871822651745</v>
      </c>
      <c r="U59" s="8"/>
      <c r="V59" s="8"/>
    </row>
    <row r="60" spans="1:22" x14ac:dyDescent="0.35">
      <c r="A60">
        <v>0.73750000000000004</v>
      </c>
      <c r="B60" s="9">
        <v>15.780799999999999</v>
      </c>
      <c r="C60">
        <v>-6.8699816E-3</v>
      </c>
      <c r="D60">
        <v>-2.7379941999999997E-4</v>
      </c>
      <c r="E60">
        <v>0.99314672000000004</v>
      </c>
      <c r="F60">
        <v>-1.5787322999999999E-3</v>
      </c>
      <c r="G60">
        <f t="shared" si="6"/>
        <v>71.064853506679299</v>
      </c>
      <c r="H60">
        <f t="shared" si="7"/>
        <v>-9.6603632754804405</v>
      </c>
      <c r="I60">
        <f t="shared" si="8"/>
        <v>71.064862283111196</v>
      </c>
      <c r="J60">
        <f t="shared" si="9"/>
        <v>-9.6610157307455893</v>
      </c>
      <c r="K60" s="7">
        <f t="shared" si="10"/>
        <v>-8.7764318976724098E-6</v>
      </c>
      <c r="L60" s="7">
        <f t="shared" si="11"/>
        <v>6.5245526514878804E-4</v>
      </c>
      <c r="M60" s="7">
        <f t="shared" si="12"/>
        <v>1.3816306635036199E-2</v>
      </c>
      <c r="N60" s="7">
        <f t="shared" si="13"/>
        <v>1.8782778359596099E-3</v>
      </c>
      <c r="O60">
        <v>2.1548921999999999</v>
      </c>
      <c r="P60">
        <v>-3.2545487</v>
      </c>
      <c r="Q60">
        <v>0.67163547999999995</v>
      </c>
      <c r="R60">
        <v>-3.8127106999999998</v>
      </c>
      <c r="S60">
        <f t="shared" si="14"/>
        <v>0.99183473109815723</v>
      </c>
      <c r="T60">
        <f t="shared" si="15"/>
        <v>-23.518670750051037</v>
      </c>
      <c r="U60" s="8"/>
      <c r="V60" s="8"/>
    </row>
    <row r="61" spans="1:22" x14ac:dyDescent="0.35">
      <c r="A61">
        <v>0.73750000000000004</v>
      </c>
      <c r="B61" s="9">
        <v>15.829599999999999</v>
      </c>
      <c r="C61">
        <v>-7.3114801E-3</v>
      </c>
      <c r="D61">
        <v>-9.2018166999999996E-5</v>
      </c>
      <c r="E61">
        <v>0.99269795000000005</v>
      </c>
      <c r="F61">
        <v>-1.3748895E-3</v>
      </c>
      <c r="G61">
        <f t="shared" si="6"/>
        <v>67.247101955073902</v>
      </c>
      <c r="H61">
        <f t="shared" si="7"/>
        <v>-6.8001406628891603</v>
      </c>
      <c r="I61">
        <f t="shared" si="8"/>
        <v>67.247107081535304</v>
      </c>
      <c r="J61">
        <f t="shared" si="9"/>
        <v>-6.8007820922429802</v>
      </c>
      <c r="K61" s="7">
        <f t="shared" si="10"/>
        <v>-5.12646140293782E-6</v>
      </c>
      <c r="L61" s="7">
        <f t="shared" si="11"/>
        <v>6.4142935381994405E-4</v>
      </c>
      <c r="M61" s="7">
        <f t="shared" si="12"/>
        <v>1.47199792261892E-2</v>
      </c>
      <c r="N61" s="7">
        <f t="shared" si="13"/>
        <v>1.48864948195137E-3</v>
      </c>
      <c r="O61">
        <v>2.0557807000000001</v>
      </c>
      <c r="P61">
        <v>-3.4501864000000002</v>
      </c>
      <c r="Q61">
        <v>0.50476599</v>
      </c>
      <c r="R61">
        <v>-3.9597061</v>
      </c>
      <c r="S61">
        <f t="shared" si="14"/>
        <v>0.99390706955065267</v>
      </c>
      <c r="T61">
        <f t="shared" si="15"/>
        <v>-23.523808400894211</v>
      </c>
      <c r="U61" s="8"/>
      <c r="V61" s="8"/>
    </row>
    <row r="62" spans="1:22" x14ac:dyDescent="0.35">
      <c r="A62">
        <v>0.73750000000000004</v>
      </c>
      <c r="B62" s="9">
        <v>15.878399999999999</v>
      </c>
      <c r="C62">
        <v>-7.7515717999999999E-3</v>
      </c>
      <c r="D62">
        <v>1.4194165000000001E-4</v>
      </c>
      <c r="E62">
        <v>0.99225282999999997</v>
      </c>
      <c r="F62">
        <v>-1.1205375E-3</v>
      </c>
      <c r="G62">
        <f t="shared" si="6"/>
        <v>63.765159112387302</v>
      </c>
      <c r="H62">
        <f t="shared" si="7"/>
        <v>-4.0574085563975597</v>
      </c>
      <c r="I62">
        <f t="shared" si="8"/>
        <v>63.765161711743097</v>
      </c>
      <c r="J62">
        <f t="shared" si="9"/>
        <v>-4.0580397929424601</v>
      </c>
      <c r="K62" s="7">
        <f t="shared" si="10"/>
        <v>-2.5993557954961901E-6</v>
      </c>
      <c r="L62" s="7">
        <f t="shared" si="11"/>
        <v>6.3123654490038195E-4</v>
      </c>
      <c r="M62" s="7">
        <f t="shared" si="12"/>
        <v>1.5619285062494E-2</v>
      </c>
      <c r="N62" s="7">
        <f t="shared" si="13"/>
        <v>9.9401740102918602E-4</v>
      </c>
      <c r="O62">
        <v>1.9361001</v>
      </c>
      <c r="P62">
        <v>-3.6496205000000002</v>
      </c>
      <c r="Q62">
        <v>0.31644120999999997</v>
      </c>
      <c r="R62">
        <v>-4.0953727999999998</v>
      </c>
      <c r="S62">
        <f t="shared" si="14"/>
        <v>0.99424175472401366</v>
      </c>
      <c r="T62">
        <f t="shared" si="15"/>
        <v>-23.527311249491262</v>
      </c>
      <c r="U62" s="8"/>
      <c r="V62" s="8"/>
    </row>
    <row r="63" spans="1:22" x14ac:dyDescent="0.35">
      <c r="A63">
        <v>0.73750000000000004</v>
      </c>
      <c r="B63" s="9">
        <v>15.927199999999999</v>
      </c>
      <c r="C63">
        <v>-8.1819632999999992E-3</v>
      </c>
      <c r="D63">
        <v>4.3117661000000002E-4</v>
      </c>
      <c r="E63">
        <v>0.99181998000000005</v>
      </c>
      <c r="F63">
        <v>-8.1265622999999998E-4</v>
      </c>
      <c r="G63">
        <f t="shared" si="6"/>
        <v>60.584079889586199</v>
      </c>
      <c r="H63">
        <f t="shared" si="7"/>
        <v>-1.4238643039229599</v>
      </c>
      <c r="I63">
        <f t="shared" si="8"/>
        <v>60.584081248014002</v>
      </c>
      <c r="J63">
        <f t="shared" si="9"/>
        <v>-1.4244862188938501</v>
      </c>
      <c r="K63" s="7">
        <f t="shared" si="10"/>
        <v>-1.35842780224493E-6</v>
      </c>
      <c r="L63" s="7">
        <f t="shared" si="11"/>
        <v>6.2191497089014703E-4</v>
      </c>
      <c r="M63" s="7">
        <f t="shared" si="12"/>
        <v>1.6496865923909299E-2</v>
      </c>
      <c r="N63" s="7">
        <f t="shared" si="13"/>
        <v>3.8788337925515099E-4</v>
      </c>
      <c r="O63">
        <v>1.7895236000000001</v>
      </c>
      <c r="P63">
        <v>-3.8406237000000001</v>
      </c>
      <c r="Q63">
        <v>0.10681106</v>
      </c>
      <c r="R63">
        <v>-4.2166709999999998</v>
      </c>
      <c r="S63">
        <f t="shared" si="14"/>
        <v>0.99550417767201349</v>
      </c>
      <c r="T63">
        <f t="shared" si="15"/>
        <v>-23.53195180222443</v>
      </c>
      <c r="U63" s="8"/>
      <c r="V63" s="8"/>
    </row>
    <row r="64" spans="1:22" x14ac:dyDescent="0.35">
      <c r="A64">
        <v>0.73750000000000004</v>
      </c>
      <c r="B64" s="9">
        <v>15.976000000000001</v>
      </c>
      <c r="C64">
        <v>-8.5927655999999998E-3</v>
      </c>
      <c r="D64">
        <v>7.7611309999999997E-4</v>
      </c>
      <c r="E64">
        <v>0.99140890000000004</v>
      </c>
      <c r="F64">
        <v>-4.5050533000000001E-4</v>
      </c>
      <c r="G64">
        <f t="shared" si="6"/>
        <v>57.673236316917503</v>
      </c>
      <c r="H64">
        <f t="shared" si="7"/>
        <v>1.10259983926197</v>
      </c>
      <c r="I64">
        <f t="shared" si="8"/>
        <v>57.673237525864103</v>
      </c>
      <c r="J64">
        <f t="shared" si="9"/>
        <v>1.1019865312991901</v>
      </c>
      <c r="K64" s="7">
        <f t="shared" si="10"/>
        <v>-1.2089465997178199E-6</v>
      </c>
      <c r="L64" s="7">
        <f t="shared" si="11"/>
        <v>6.1330796277991905E-4</v>
      </c>
      <c r="M64" s="7">
        <f t="shared" si="12"/>
        <v>1.73327366866954E-2</v>
      </c>
      <c r="N64" s="7">
        <f t="shared" si="13"/>
        <v>-3.3118380723343301E-4</v>
      </c>
      <c r="O64">
        <v>1.6168944000000001</v>
      </c>
      <c r="P64">
        <v>-4.0192974000000001</v>
      </c>
      <c r="Q64">
        <v>-0.12224689</v>
      </c>
      <c r="R64">
        <v>-4.3185536999999998</v>
      </c>
      <c r="S64">
        <f t="shared" si="14"/>
        <v>0.99721899575679407</v>
      </c>
      <c r="T64">
        <f t="shared" si="15"/>
        <v>-23.535536830082513</v>
      </c>
      <c r="U64" s="8"/>
      <c r="V64" s="8"/>
    </row>
    <row r="65" spans="1:22" x14ac:dyDescent="0.35">
      <c r="A65">
        <v>0.73750000000000004</v>
      </c>
      <c r="B65" s="9">
        <v>16.024799999999999</v>
      </c>
      <c r="C65">
        <v>-8.9738751000000005E-3</v>
      </c>
      <c r="D65">
        <v>1.1754407000000001E-3</v>
      </c>
      <c r="E65">
        <v>0.99102926000000002</v>
      </c>
      <c r="F65">
        <v>-3.4970237000000001E-5</v>
      </c>
      <c r="G65">
        <f t="shared" si="6"/>
        <v>55.002833898453801</v>
      </c>
      <c r="H65">
        <f t="shared" si="7"/>
        <v>3.5277866643847502</v>
      </c>
      <c r="I65">
        <f t="shared" si="8"/>
        <v>55.002835832273199</v>
      </c>
      <c r="J65">
        <f t="shared" si="9"/>
        <v>3.5271814610352901</v>
      </c>
      <c r="K65" s="7">
        <f t="shared" si="10"/>
        <v>-1.9338193979479001E-6</v>
      </c>
      <c r="L65" s="7">
        <f t="shared" si="11"/>
        <v>6.05203349460126E-4</v>
      </c>
      <c r="M65" s="7">
        <f t="shared" si="12"/>
        <v>1.8106421615238101E-2</v>
      </c>
      <c r="N65" s="7">
        <f t="shared" si="13"/>
        <v>-1.1611153076126299E-3</v>
      </c>
      <c r="O65">
        <v>1.421716</v>
      </c>
      <c r="P65">
        <v>-4.1877642000000002</v>
      </c>
      <c r="Q65">
        <v>-0.36830776999999998</v>
      </c>
      <c r="R65">
        <v>-4.3976014000000001</v>
      </c>
      <c r="S65">
        <f t="shared" si="14"/>
        <v>0.99784782422252516</v>
      </c>
      <c r="T65">
        <f t="shared" si="15"/>
        <v>-23.539444005854065</v>
      </c>
      <c r="U65" s="8"/>
      <c r="V65" s="8"/>
    </row>
    <row r="66" spans="1:22" x14ac:dyDescent="0.35">
      <c r="A66">
        <v>0.73750000000000004</v>
      </c>
      <c r="B66" s="9">
        <v>16.073599999999999</v>
      </c>
      <c r="C66">
        <v>-9.3150786000000003E-3</v>
      </c>
      <c r="D66">
        <v>1.6254156000000001E-3</v>
      </c>
      <c r="E66">
        <v>0.99069083999999996</v>
      </c>
      <c r="F66">
        <v>4.3058328999999999E-4</v>
      </c>
      <c r="G66">
        <f t="shared" si="6"/>
        <v>52.546996833954701</v>
      </c>
      <c r="H66">
        <f t="shared" si="7"/>
        <v>5.85635394475079</v>
      </c>
      <c r="I66">
        <f t="shared" si="8"/>
        <v>52.547000150148598</v>
      </c>
      <c r="J66">
        <f t="shared" si="9"/>
        <v>5.8557565323448504</v>
      </c>
      <c r="K66" s="7">
        <f t="shared" si="10"/>
        <v>-3.3161938972625602E-6</v>
      </c>
      <c r="L66" s="7">
        <f t="shared" si="11"/>
        <v>5.9741240593957901E-4</v>
      </c>
      <c r="M66" s="7">
        <f t="shared" si="12"/>
        <v>1.8797149142976002E-2</v>
      </c>
      <c r="N66" s="7">
        <f t="shared" si="13"/>
        <v>-2.0947252663124799E-3</v>
      </c>
      <c r="O66">
        <v>1.2031924000000001</v>
      </c>
      <c r="P66">
        <v>-4.3346185999999998</v>
      </c>
      <c r="Q66">
        <v>-0.62771695000000005</v>
      </c>
      <c r="R66">
        <v>-4.4498809000000001</v>
      </c>
      <c r="S66">
        <f t="shared" si="14"/>
        <v>0.99898345827345603</v>
      </c>
      <c r="T66">
        <f t="shared" si="15"/>
        <v>-23.542834186980748</v>
      </c>
      <c r="U66" s="8"/>
      <c r="V66" s="8"/>
    </row>
    <row r="67" spans="1:22" x14ac:dyDescent="0.35">
      <c r="A67">
        <v>0.73750000000000004</v>
      </c>
      <c r="B67" s="9">
        <v>16.122399999999999</v>
      </c>
      <c r="C67">
        <v>-9.6063793000000005E-3</v>
      </c>
      <c r="D67">
        <v>2.1195462E-3</v>
      </c>
      <c r="E67">
        <v>0.99040117000000005</v>
      </c>
      <c r="F67">
        <v>9.3895147999999997E-4</v>
      </c>
      <c r="G67">
        <f t="shared" ref="G67:G130" si="16">IMREAL(IMDIV(IMSUM(IMPRODUCT(COMPLEX(1 + C67,D67),COMPLEX(1 - C67, - D67)),IMPRODUCT(COMPLEX(E67,F67),COMPLEX(E67,F67))),IMSUB(IMPRODUCT(COMPLEX(1 - C67, - D67),COMPLEX(1 - C67, - D67)),IMPRODUCT(COMPLEX(E67,F67),COMPLEX(E67,F67)))))</f>
        <v>50.281304133716098</v>
      </c>
      <c r="H67">
        <f t="shared" ref="H67:H130" si="17">IMAGINARY(IMDIV(IMSUM(IMPRODUCT(COMPLEX(1 + C67,D67),COMPLEX(1 - C67, - D67)),IMPRODUCT(COMPLEX(E67,F67),COMPLEX(E67,F67))),IMSUB(IMPRODUCT(COMPLEX(1 - C67, - D67),COMPLEX(1 - C67, - D67)),IMPRODUCT(COMPLEX(E67,F67),COMPLEX(E67,F67)))))</f>
        <v>8.0873982213241007</v>
      </c>
      <c r="I67">
        <f t="shared" ref="I67:I130" si="18">IMREAL(IMDIV(IMPRODUCT(COMPLEX(2,0),COMPLEX(E67,F67)),IMSUB(IMPRODUCT(COMPLEX(1 - C67, - D67),COMPLEX(1 - C67, - D67)),IMPRODUCT(COMPLEX(E67,F67),COMPLEX(E67,F67)))))</f>
        <v>50.281308256798702</v>
      </c>
      <c r="J67">
        <f t="shared" ref="J67:J130" si="19">IMAGINARY(IMDIV(IMPRODUCT(COMPLEX(2,0),COMPLEX(E67,F67)),IMSUB(IMPRODUCT(COMPLEX(1 - C67, - D67),COMPLEX(1 - C67, - D67)),IMPRODUCT(COMPLEX(E67,F67),COMPLEX(E67,F67)))))</f>
        <v>8.0868079286260794</v>
      </c>
      <c r="K67" s="7">
        <f t="shared" ref="K67:K130" si="20">IMREAL(IMSUB(COMPLEX(G67,H67),COMPLEX(I67,J67)))</f>
        <v>-4.1230826042237797E-6</v>
      </c>
      <c r="L67" s="7">
        <f t="shared" ref="L67:L130" si="21">IMAGINARY(IMSUB(COMPLEX(G67,H67),COMPLEX(I67,J67)))</f>
        <v>5.9029269802124396E-4</v>
      </c>
      <c r="M67" s="7">
        <f t="shared" ref="M67:M130" si="22">IMREAL(IMDIV(IMSUB(IMPRODUCT(COMPLEX(1 - C67, - D67),COMPLEX(1 - C67, - D67)),IMPRODUCT(COMPLEX(E67,F67),COMPLEX(E67,F67))),IMPRODUCT(COMPLEX(2,0),COMPLEX(E67,F67))))</f>
        <v>1.9386637780042099E-2</v>
      </c>
      <c r="N67" s="7">
        <f t="shared" ref="N67:N130" si="23">IMAGINARY(IMDIV(IMSUB(IMPRODUCT(COMPLEX(1 - C67, - D67),COMPLEX(1 - C67, - D67)),IMPRODUCT(COMPLEX(E67,F67),COMPLEX(E67,F67))),IMPRODUCT(COMPLEX(2,0),COMPLEX(E67,F67))))</f>
        <v>-3.1179780627097801E-3</v>
      </c>
      <c r="O67">
        <v>0.96513614000000003</v>
      </c>
      <c r="P67">
        <v>-4.4567912999999999</v>
      </c>
      <c r="Q67">
        <v>-0.89600933999999999</v>
      </c>
      <c r="R67">
        <v>-4.4728757999999997</v>
      </c>
      <c r="S67">
        <f t="shared" ref="S67:S130" si="24">IMABS(COMPLEX(Q67,R67))/IMABS(COMPLEX(O67,P67))</f>
        <v>1.0003599875273157</v>
      </c>
      <c r="T67">
        <f t="shared" ref="T67:T130" si="25">IMARGUMENT(IMDIV(COMPLEX(Q67,R67),COMPLEX(O67/B67,P67/B67)))/PI()*180</f>
        <v>-23.546554664814046</v>
      </c>
      <c r="U67" s="8"/>
      <c r="V67" s="8"/>
    </row>
    <row r="68" spans="1:22" x14ac:dyDescent="0.35">
      <c r="A68">
        <v>0.73750000000000004</v>
      </c>
      <c r="B68" s="9">
        <v>16.171199999999999</v>
      </c>
      <c r="C68">
        <v>-9.8403997999999999E-3</v>
      </c>
      <c r="D68">
        <v>2.6497357000000001E-3</v>
      </c>
      <c r="E68">
        <v>0.99017040999999995</v>
      </c>
      <c r="F68">
        <v>1.4842519000000001E-3</v>
      </c>
      <c r="G68">
        <f t="shared" si="16"/>
        <v>48.1882892766059</v>
      </c>
      <c r="H68">
        <f t="shared" si="17"/>
        <v>10.2329756779123</v>
      </c>
      <c r="I68">
        <f t="shared" si="18"/>
        <v>48.188295021059197</v>
      </c>
      <c r="J68">
        <f t="shared" si="19"/>
        <v>10.232392942509501</v>
      </c>
      <c r="K68" s="7">
        <f t="shared" si="20"/>
        <v>-5.7444532970407602E-6</v>
      </c>
      <c r="L68" s="7">
        <f t="shared" si="21"/>
        <v>5.8273540279962799E-4</v>
      </c>
      <c r="M68" s="7">
        <f t="shared" si="22"/>
        <v>1.98566112287334E-2</v>
      </c>
      <c r="N68" s="7">
        <f t="shared" si="23"/>
        <v>-4.2163900696269296E-3</v>
      </c>
      <c r="O68">
        <v>0.71203791000000005</v>
      </c>
      <c r="P68">
        <v>-4.5533165999999996</v>
      </c>
      <c r="Q68">
        <v>-1.1681678</v>
      </c>
      <c r="R68">
        <v>-4.4647727000000001</v>
      </c>
      <c r="S68">
        <f t="shared" si="24"/>
        <v>1.001390795773804</v>
      </c>
      <c r="T68">
        <f t="shared" si="25"/>
        <v>-23.550062646134414</v>
      </c>
      <c r="U68" s="8"/>
      <c r="V68" s="8"/>
    </row>
    <row r="69" spans="1:22" x14ac:dyDescent="0.35">
      <c r="A69">
        <v>0.73750000000000004</v>
      </c>
      <c r="B69" s="9">
        <v>16.22</v>
      </c>
      <c r="C69">
        <v>-1.0010741E-2</v>
      </c>
      <c r="D69">
        <v>3.2053260000000001E-3</v>
      </c>
      <c r="E69">
        <v>0.99000374000000002</v>
      </c>
      <c r="F69">
        <v>2.0551276000000001E-3</v>
      </c>
      <c r="G69">
        <f t="shared" si="16"/>
        <v>46.250518337734398</v>
      </c>
      <c r="H69">
        <f t="shared" si="17"/>
        <v>12.292432300346199</v>
      </c>
      <c r="I69">
        <f t="shared" si="18"/>
        <v>46.250525908913801</v>
      </c>
      <c r="J69">
        <f t="shared" si="19"/>
        <v>12.2918572096644</v>
      </c>
      <c r="K69" s="7">
        <f t="shared" si="20"/>
        <v>-7.5711794025323798E-6</v>
      </c>
      <c r="L69" s="7">
        <f t="shared" si="21"/>
        <v>5.7509068179939504E-4</v>
      </c>
      <c r="M69" s="7">
        <f t="shared" si="22"/>
        <v>2.0194964510989399E-2</v>
      </c>
      <c r="N69" s="7">
        <f t="shared" si="23"/>
        <v>-5.3671523781630903E-3</v>
      </c>
      <c r="O69">
        <v>0.44852249999999999</v>
      </c>
      <c r="P69">
        <v>-4.6199564999999998</v>
      </c>
      <c r="Q69">
        <v>-1.4384994</v>
      </c>
      <c r="R69">
        <v>-4.4250382999999998</v>
      </c>
      <c r="S69">
        <f t="shared" si="24"/>
        <v>1.0024354921578642</v>
      </c>
      <c r="T69">
        <f t="shared" si="25"/>
        <v>-23.553509230870642</v>
      </c>
      <c r="U69" s="8"/>
      <c r="V69" s="8"/>
    </row>
    <row r="70" spans="1:22" x14ac:dyDescent="0.35">
      <c r="A70">
        <v>0.73750000000000004</v>
      </c>
      <c r="B70" s="9">
        <v>16.268799999999999</v>
      </c>
      <c r="C70">
        <v>-1.0113865E-2</v>
      </c>
      <c r="D70">
        <v>3.7745867000000002E-3</v>
      </c>
      <c r="E70">
        <v>0.98990442999999995</v>
      </c>
      <c r="F70">
        <v>2.6399522000000002E-3</v>
      </c>
      <c r="G70">
        <f t="shared" si="16"/>
        <v>44.453048475509497</v>
      </c>
      <c r="H70">
        <f t="shared" si="17"/>
        <v>14.2685256150922</v>
      </c>
      <c r="I70">
        <f t="shared" si="18"/>
        <v>44.453057944765803</v>
      </c>
      <c r="J70">
        <f t="shared" si="19"/>
        <v>14.2679583084038</v>
      </c>
      <c r="K70" s="7">
        <f t="shared" si="20"/>
        <v>-9.46925630529449E-6</v>
      </c>
      <c r="L70" s="7">
        <f t="shared" si="21"/>
        <v>5.6730668839932697E-4</v>
      </c>
      <c r="M70" s="7">
        <f t="shared" si="22"/>
        <v>2.0394594748119901E-2</v>
      </c>
      <c r="N70" s="7">
        <f t="shared" si="23"/>
        <v>-6.5459889833569696E-3</v>
      </c>
      <c r="O70">
        <v>0.1800582</v>
      </c>
      <c r="P70">
        <v>-4.6553820000000004</v>
      </c>
      <c r="Q70">
        <v>-1.7013849000000001</v>
      </c>
      <c r="R70">
        <v>-4.3544457000000003</v>
      </c>
      <c r="S70">
        <f t="shared" si="24"/>
        <v>1.0034702604558061</v>
      </c>
      <c r="T70">
        <f t="shared" si="25"/>
        <v>-23.556712193876951</v>
      </c>
      <c r="U70" s="8"/>
      <c r="V70" s="8"/>
    </row>
    <row r="71" spans="1:22" x14ac:dyDescent="0.35">
      <c r="A71">
        <v>0.73750000000000004</v>
      </c>
      <c r="B71" s="9">
        <v>16.317599999999999</v>
      </c>
      <c r="C71">
        <v>-1.0149129E-2</v>
      </c>
      <c r="D71">
        <v>4.3453655000000001E-3</v>
      </c>
      <c r="E71">
        <v>0.98987303000000004</v>
      </c>
      <c r="F71">
        <v>3.2266263999999999E-3</v>
      </c>
      <c r="G71">
        <f t="shared" si="16"/>
        <v>42.782888270376901</v>
      </c>
      <c r="H71">
        <f t="shared" si="17"/>
        <v>16.164026093565099</v>
      </c>
      <c r="I71">
        <f t="shared" si="18"/>
        <v>42.782899662637803</v>
      </c>
      <c r="J71">
        <f t="shared" si="19"/>
        <v>16.163466736584901</v>
      </c>
      <c r="K71" s="7">
        <f t="shared" si="20"/>
        <v>-1.13922609017436E-5</v>
      </c>
      <c r="L71" s="7">
        <f t="shared" si="21"/>
        <v>5.59356980197379E-4</v>
      </c>
      <c r="M71" s="7">
        <f t="shared" si="22"/>
        <v>2.0454293810469999E-2</v>
      </c>
      <c r="N71" s="7">
        <f t="shared" si="23"/>
        <v>-7.7276739125419604E-3</v>
      </c>
      <c r="O71">
        <v>-8.7749168000000002E-2</v>
      </c>
      <c r="P71">
        <v>-4.6591293</v>
      </c>
      <c r="Q71">
        <v>-1.9517049</v>
      </c>
      <c r="R71">
        <v>-4.2552351000000002</v>
      </c>
      <c r="S71">
        <f t="shared" si="24"/>
        <v>1.004617254436003</v>
      </c>
      <c r="T71">
        <f t="shared" si="25"/>
        <v>-23.560046162694363</v>
      </c>
      <c r="U71" s="8"/>
      <c r="V71" s="8"/>
    </row>
    <row r="72" spans="1:22" x14ac:dyDescent="0.35">
      <c r="A72">
        <v>0.73750000000000004</v>
      </c>
      <c r="B72" s="9">
        <v>16.366399999999999</v>
      </c>
      <c r="C72">
        <v>-1.0118712E-2</v>
      </c>
      <c r="D72">
        <v>4.9059289999999998E-3</v>
      </c>
      <c r="E72">
        <v>0.98990741000000004</v>
      </c>
      <c r="F72">
        <v>3.8032685E-3</v>
      </c>
      <c r="G72">
        <f t="shared" si="16"/>
        <v>41.228977444317302</v>
      </c>
      <c r="H72">
        <f t="shared" si="17"/>
        <v>17.981599386209499</v>
      </c>
      <c r="I72">
        <f t="shared" si="18"/>
        <v>41.228990809099798</v>
      </c>
      <c r="J72">
        <f t="shared" si="19"/>
        <v>17.981048070528701</v>
      </c>
      <c r="K72" s="7">
        <f t="shared" si="20"/>
        <v>-1.33647824966943E-5</v>
      </c>
      <c r="L72" s="7">
        <f t="shared" si="21"/>
        <v>5.5131568079858095E-4</v>
      </c>
      <c r="M72" s="7">
        <f t="shared" si="22"/>
        <v>2.0378635392999601E-2</v>
      </c>
      <c r="N72" s="7">
        <f t="shared" si="23"/>
        <v>-8.8876592762107201E-3</v>
      </c>
      <c r="O72">
        <v>-0.34959785999999998</v>
      </c>
      <c r="P72">
        <v>-4.6338818000000002</v>
      </c>
      <c r="Q72">
        <v>-2.1849460000000001</v>
      </c>
      <c r="R72">
        <v>-4.1305237999999997</v>
      </c>
      <c r="S72">
        <f t="shared" si="24"/>
        <v>1.0055446148350624</v>
      </c>
      <c r="T72">
        <f t="shared" si="25"/>
        <v>-23.563303988107602</v>
      </c>
      <c r="U72" s="8"/>
      <c r="V72" s="8"/>
    </row>
    <row r="73" spans="1:22" x14ac:dyDescent="0.35">
      <c r="A73">
        <v>0.73750000000000004</v>
      </c>
      <c r="B73" s="9">
        <v>16.415199999999999</v>
      </c>
      <c r="C73">
        <v>-1.0027276999999999E-2</v>
      </c>
      <c r="D73">
        <v>5.4457135000000002E-3</v>
      </c>
      <c r="E73">
        <v>0.99000292999999995</v>
      </c>
      <c r="F73">
        <v>4.3589240999999997E-3</v>
      </c>
      <c r="G73">
        <f t="shared" si="16"/>
        <v>39.7818869506768</v>
      </c>
      <c r="H73">
        <f t="shared" si="17"/>
        <v>19.723730280950601</v>
      </c>
      <c r="I73">
        <f t="shared" si="18"/>
        <v>39.781902349213098</v>
      </c>
      <c r="J73">
        <f t="shared" si="19"/>
        <v>19.723186902824999</v>
      </c>
      <c r="K73" s="7">
        <f t="shared" si="20"/>
        <v>-1.5398536298505399E-5</v>
      </c>
      <c r="L73" s="7">
        <f t="shared" si="21"/>
        <v>5.43378125602345E-4</v>
      </c>
      <c r="M73" s="7">
        <f t="shared" si="22"/>
        <v>2.0177431802846299E-2</v>
      </c>
      <c r="N73" s="7">
        <f t="shared" si="23"/>
        <v>-1.0003625647993101E-2</v>
      </c>
      <c r="O73">
        <v>-0.60057864000000005</v>
      </c>
      <c r="P73">
        <v>-4.5795686</v>
      </c>
      <c r="Q73">
        <v>-2.3976041000000001</v>
      </c>
      <c r="R73">
        <v>-3.9843283999999999</v>
      </c>
      <c r="S73">
        <f t="shared" si="24"/>
        <v>1.0067794617999113</v>
      </c>
      <c r="T73">
        <f t="shared" si="25"/>
        <v>-23.566483095404134</v>
      </c>
      <c r="U73" s="8"/>
      <c r="V73" s="8"/>
    </row>
    <row r="74" spans="1:22" x14ac:dyDescent="0.35">
      <c r="A74">
        <v>0.73750000000000004</v>
      </c>
      <c r="B74" s="9">
        <v>16.463999999999999</v>
      </c>
      <c r="C74">
        <v>-9.8801949999999996E-3</v>
      </c>
      <c r="D74">
        <v>5.9579081000000001E-3</v>
      </c>
      <c r="E74">
        <v>0.99014880999999999</v>
      </c>
      <c r="F74">
        <v>4.8874484999999997E-3</v>
      </c>
      <c r="G74">
        <f t="shared" si="16"/>
        <v>38.421802859437904</v>
      </c>
      <c r="H74">
        <f t="shared" si="17"/>
        <v>21.393642259683499</v>
      </c>
      <c r="I74">
        <f t="shared" si="18"/>
        <v>38.4218176481859</v>
      </c>
      <c r="J74">
        <f t="shared" si="19"/>
        <v>21.393107045560701</v>
      </c>
      <c r="K74" s="7">
        <f t="shared" si="20"/>
        <v>-1.47887479968745E-5</v>
      </c>
      <c r="L74" s="7">
        <f t="shared" si="21"/>
        <v>5.3521412279877701E-4</v>
      </c>
      <c r="M74" s="7">
        <f t="shared" si="22"/>
        <v>1.9867519408919398E-2</v>
      </c>
      <c r="N74" s="7">
        <f t="shared" si="23"/>
        <v>-1.1062151544640301E-2</v>
      </c>
      <c r="O74">
        <v>-0.83808473000000006</v>
      </c>
      <c r="P74">
        <v>-4.5016753999999999</v>
      </c>
      <c r="Q74">
        <v>-2.5880633</v>
      </c>
      <c r="R74">
        <v>-3.8202856999999999</v>
      </c>
      <c r="S74">
        <f t="shared" si="24"/>
        <v>1.0077247263159586</v>
      </c>
      <c r="T74">
        <f t="shared" si="25"/>
        <v>-23.569668564956334</v>
      </c>
      <c r="U74" s="8"/>
      <c r="V74" s="8"/>
    </row>
    <row r="75" spans="1:22" x14ac:dyDescent="0.35">
      <c r="A75">
        <v>0.73750000000000004</v>
      </c>
      <c r="B75" s="9">
        <v>16.512799999999999</v>
      </c>
      <c r="C75">
        <v>-9.6875295E-3</v>
      </c>
      <c r="D75">
        <v>6.4317065999999999E-3</v>
      </c>
      <c r="E75">
        <v>0.99034515999999995</v>
      </c>
      <c r="F75">
        <v>5.3765341000000001E-3</v>
      </c>
      <c r="G75">
        <f t="shared" si="16"/>
        <v>37.163169250830101</v>
      </c>
      <c r="H75">
        <f t="shared" si="17"/>
        <v>22.993096497178001</v>
      </c>
      <c r="I75">
        <f t="shared" si="18"/>
        <v>37.163185873646498</v>
      </c>
      <c r="J75">
        <f t="shared" si="19"/>
        <v>22.992568928320999</v>
      </c>
      <c r="K75" s="7">
        <f t="shared" si="20"/>
        <v>-1.66228163962501E-5</v>
      </c>
      <c r="L75" s="7">
        <f t="shared" si="21"/>
        <v>5.2756885700233603E-4</v>
      </c>
      <c r="M75" s="7">
        <f t="shared" si="22"/>
        <v>1.9459604347845601E-2</v>
      </c>
      <c r="N75" s="7">
        <f t="shared" si="23"/>
        <v>-1.2039503174107E-2</v>
      </c>
      <c r="O75">
        <v>-1.057015</v>
      </c>
      <c r="P75">
        <v>-4.4036495999999996</v>
      </c>
      <c r="Q75">
        <v>-2.7534290000000001</v>
      </c>
      <c r="R75">
        <v>-3.6446350000000001</v>
      </c>
      <c r="S75">
        <f t="shared" si="24"/>
        <v>1.0086252898608346</v>
      </c>
      <c r="T75">
        <f t="shared" si="25"/>
        <v>-23.572674258603683</v>
      </c>
      <c r="U75" s="8"/>
      <c r="V75" s="8"/>
    </row>
    <row r="76" spans="1:22" x14ac:dyDescent="0.35">
      <c r="A76">
        <v>0.73750000000000004</v>
      </c>
      <c r="B76" s="9">
        <v>16.561599999999999</v>
      </c>
      <c r="C76">
        <v>-9.4583380000000002E-3</v>
      </c>
      <c r="D76">
        <v>6.8627571000000002E-3</v>
      </c>
      <c r="E76">
        <v>0.99057812000000001</v>
      </c>
      <c r="F76">
        <v>5.8235008E-3</v>
      </c>
      <c r="G76">
        <f t="shared" si="16"/>
        <v>35.990289139898202</v>
      </c>
      <c r="H76">
        <f t="shared" si="17"/>
        <v>24.5193271274699</v>
      </c>
      <c r="I76">
        <f t="shared" si="18"/>
        <v>35.990307638564403</v>
      </c>
      <c r="J76">
        <f t="shared" si="19"/>
        <v>24.518807518404198</v>
      </c>
      <c r="K76" s="7">
        <f t="shared" si="20"/>
        <v>-1.8498666200628098E-5</v>
      </c>
      <c r="L76" s="7">
        <f t="shared" si="21"/>
        <v>5.1960906570158705E-4</v>
      </c>
      <c r="M76" s="7">
        <f t="shared" si="22"/>
        <v>1.8977483734280001E-2</v>
      </c>
      <c r="N76" s="7">
        <f t="shared" si="23"/>
        <v>-1.2928627216452901E-2</v>
      </c>
      <c r="O76">
        <v>-1.2554879000000001</v>
      </c>
      <c r="P76">
        <v>-4.2890044999999999</v>
      </c>
      <c r="Q76">
        <v>-2.8937596999999999</v>
      </c>
      <c r="R76">
        <v>-3.4619179</v>
      </c>
      <c r="S76">
        <f t="shared" si="24"/>
        <v>1.0096399707604666</v>
      </c>
      <c r="T76">
        <f t="shared" si="25"/>
        <v>-23.575752511091352</v>
      </c>
      <c r="U76" s="8"/>
      <c r="V76" s="8"/>
    </row>
    <row r="77" spans="1:22" x14ac:dyDescent="0.35">
      <c r="A77">
        <v>0.73750000000000004</v>
      </c>
      <c r="B77" s="9">
        <v>16.610399999999998</v>
      </c>
      <c r="C77">
        <v>-9.1989697999999998E-3</v>
      </c>
      <c r="D77">
        <v>7.2518388999999999E-3</v>
      </c>
      <c r="E77">
        <v>0.99084123000000002</v>
      </c>
      <c r="F77">
        <v>6.2264410000000001E-3</v>
      </c>
      <c r="G77">
        <f t="shared" si="16"/>
        <v>34.893818575346799</v>
      </c>
      <c r="H77">
        <f t="shared" si="17"/>
        <v>25.986458121579101</v>
      </c>
      <c r="I77">
        <f t="shared" si="18"/>
        <v>34.8938389376871</v>
      </c>
      <c r="J77">
        <f t="shared" si="19"/>
        <v>25.985945443373598</v>
      </c>
      <c r="K77" s="7">
        <f t="shared" si="20"/>
        <v>-2.0362340301005602E-5</v>
      </c>
      <c r="L77" s="7">
        <f t="shared" si="21"/>
        <v>5.1267820550293696E-4</v>
      </c>
      <c r="M77" s="7">
        <f t="shared" si="22"/>
        <v>1.8434556780651201E-2</v>
      </c>
      <c r="N77" s="7">
        <f t="shared" si="23"/>
        <v>-1.3728480481331899E-2</v>
      </c>
      <c r="O77">
        <v>-1.4343256</v>
      </c>
      <c r="P77">
        <v>-4.1618481000000003</v>
      </c>
      <c r="Q77">
        <v>-3.0107946999999999</v>
      </c>
      <c r="R77">
        <v>-3.2748390000000001</v>
      </c>
      <c r="S77">
        <f t="shared" si="24"/>
        <v>1.0105537617338325</v>
      </c>
      <c r="T77">
        <f t="shared" si="25"/>
        <v>-23.578726024316659</v>
      </c>
      <c r="U77" s="8"/>
      <c r="V77" s="8"/>
    </row>
    <row r="78" spans="1:22" x14ac:dyDescent="0.35">
      <c r="A78">
        <v>0.73750000000000004</v>
      </c>
      <c r="B78" s="9">
        <v>16.659199999999998</v>
      </c>
      <c r="C78">
        <v>-8.9208111999999999E-3</v>
      </c>
      <c r="D78">
        <v>7.5978191E-3</v>
      </c>
      <c r="E78">
        <v>0.99104988000000005</v>
      </c>
      <c r="F78">
        <v>6.6893376999999999E-3</v>
      </c>
      <c r="G78">
        <f t="shared" si="16"/>
        <v>33.637866046802301</v>
      </c>
      <c r="H78">
        <f t="shared" si="17"/>
        <v>27.292198449400299</v>
      </c>
      <c r="I78">
        <f t="shared" si="18"/>
        <v>33.637851598531199</v>
      </c>
      <c r="J78">
        <f t="shared" si="19"/>
        <v>27.291744195480501</v>
      </c>
      <c r="K78" s="7">
        <f t="shared" si="20"/>
        <v>1.44482711021965E-5</v>
      </c>
      <c r="L78" s="7">
        <f t="shared" si="21"/>
        <v>4.5425391979847502E-4</v>
      </c>
      <c r="M78" s="7">
        <f t="shared" si="22"/>
        <v>1.7927333750985E-2</v>
      </c>
      <c r="N78" s="7">
        <f t="shared" si="23"/>
        <v>-1.45451681242404E-2</v>
      </c>
      <c r="O78">
        <v>-1.5922050999999999</v>
      </c>
      <c r="P78">
        <v>-4.0252645999999999</v>
      </c>
      <c r="Q78">
        <v>-3.1051706000000001</v>
      </c>
      <c r="R78">
        <v>-3.0871176999999999</v>
      </c>
      <c r="S78">
        <f t="shared" si="24"/>
        <v>1.0115279319877919</v>
      </c>
      <c r="T78">
        <f t="shared" si="25"/>
        <v>-23.585620579621306</v>
      </c>
      <c r="U78" s="8"/>
      <c r="V78" s="8"/>
    </row>
    <row r="79" spans="1:22" x14ac:dyDescent="0.35">
      <c r="A79">
        <v>0.73750000000000004</v>
      </c>
      <c r="B79" s="9">
        <v>16.707999999999998</v>
      </c>
      <c r="C79">
        <v>-8.6236755000000005E-3</v>
      </c>
      <c r="D79">
        <v>7.8990863999999997E-3</v>
      </c>
      <c r="E79">
        <v>0.99132611000000004</v>
      </c>
      <c r="F79">
        <v>7.013979E-3</v>
      </c>
      <c r="G79">
        <f t="shared" si="16"/>
        <v>32.6621865562756</v>
      </c>
      <c r="H79">
        <f t="shared" si="17"/>
        <v>28.590930839709301</v>
      </c>
      <c r="I79">
        <f t="shared" si="18"/>
        <v>32.662161644263797</v>
      </c>
      <c r="J79">
        <f t="shared" si="19"/>
        <v>28.590488263872601</v>
      </c>
      <c r="K79" s="7">
        <f t="shared" si="20"/>
        <v>2.4912011802768999E-5</v>
      </c>
      <c r="L79" s="7">
        <f t="shared" si="21"/>
        <v>4.4257583670059798E-4</v>
      </c>
      <c r="M79" s="7">
        <f t="shared" si="22"/>
        <v>1.7334461673330599E-2</v>
      </c>
      <c r="N79" s="7">
        <f t="shared" si="23"/>
        <v>-1.51735432709472E-2</v>
      </c>
      <c r="O79">
        <v>-1.7303185000000001</v>
      </c>
      <c r="P79">
        <v>-3.8832547000000002</v>
      </c>
      <c r="Q79">
        <v>-3.1790400999999999</v>
      </c>
      <c r="R79">
        <v>-2.9022022000000001</v>
      </c>
      <c r="S79">
        <f t="shared" si="24"/>
        <v>1.0125201819547198</v>
      </c>
      <c r="T79">
        <f t="shared" si="25"/>
        <v>-23.58947378432141</v>
      </c>
      <c r="U79" s="8"/>
      <c r="V79" s="8"/>
    </row>
    <row r="80" spans="1:22" x14ac:dyDescent="0.35">
      <c r="A80">
        <v>0.73750000000000004</v>
      </c>
      <c r="B80" s="9">
        <v>16.756799999999998</v>
      </c>
      <c r="C80">
        <v>-8.3230400000000003E-3</v>
      </c>
      <c r="D80">
        <v>8.1591496000000003E-3</v>
      </c>
      <c r="E80">
        <v>0.99162501000000003</v>
      </c>
      <c r="F80">
        <v>7.2948312E-3</v>
      </c>
      <c r="G80">
        <f t="shared" si="16"/>
        <v>31.757404490256899</v>
      </c>
      <c r="H80">
        <f t="shared" si="17"/>
        <v>29.854343217137799</v>
      </c>
      <c r="I80">
        <f t="shared" si="18"/>
        <v>31.757378701358199</v>
      </c>
      <c r="J80">
        <f t="shared" si="19"/>
        <v>29.853911035566899</v>
      </c>
      <c r="K80" s="7">
        <f t="shared" si="20"/>
        <v>2.57888987000854E-5</v>
      </c>
      <c r="L80" s="7">
        <f t="shared" si="21"/>
        <v>4.32181570900525E-4</v>
      </c>
      <c r="M80" s="7">
        <f t="shared" si="22"/>
        <v>1.6716282892631398E-2</v>
      </c>
      <c r="N80" s="7">
        <f t="shared" si="23"/>
        <v>-1.5714345538872899E-2</v>
      </c>
      <c r="O80">
        <v>-1.8491785999999999</v>
      </c>
      <c r="P80">
        <v>-3.7395263999999999</v>
      </c>
      <c r="Q80">
        <v>-3.2341356999999999</v>
      </c>
      <c r="R80">
        <v>-2.7229741000000001</v>
      </c>
      <c r="S80">
        <f t="shared" si="24"/>
        <v>1.0134329759366341</v>
      </c>
      <c r="T80">
        <f t="shared" si="25"/>
        <v>-23.592180927937157</v>
      </c>
      <c r="U80" s="8"/>
      <c r="V80" s="8"/>
    </row>
    <row r="81" spans="1:22" x14ac:dyDescent="0.35">
      <c r="A81">
        <v>0.73750000000000004</v>
      </c>
      <c r="B81" s="9">
        <v>16.805599999999998</v>
      </c>
      <c r="C81">
        <v>-8.0221113000000007E-3</v>
      </c>
      <c r="D81">
        <v>8.3791918999999992E-3</v>
      </c>
      <c r="E81">
        <v>0.99191942</v>
      </c>
      <c r="F81">
        <v>7.4623097999999997E-3</v>
      </c>
      <c r="G81">
        <f t="shared" si="16"/>
        <v>31.058458898429802</v>
      </c>
      <c r="H81">
        <f t="shared" si="17"/>
        <v>31.0467879162134</v>
      </c>
      <c r="I81">
        <f t="shared" si="18"/>
        <v>31.058429873411601</v>
      </c>
      <c r="J81">
        <f t="shared" si="19"/>
        <v>31.046329448453999</v>
      </c>
      <c r="K81" s="7">
        <f t="shared" si="20"/>
        <v>2.9025018200457001E-5</v>
      </c>
      <c r="L81" s="7">
        <f t="shared" si="21"/>
        <v>4.5846775940105999E-4</v>
      </c>
      <c r="M81" s="7">
        <f t="shared" si="22"/>
        <v>1.6104962194256799E-2</v>
      </c>
      <c r="N81" s="7">
        <f t="shared" si="23"/>
        <v>-1.6098687669521598E-2</v>
      </c>
      <c r="O81">
        <v>-1.9505064000000001</v>
      </c>
      <c r="P81">
        <v>-3.5962098999999998</v>
      </c>
      <c r="Q81">
        <v>-3.2728997</v>
      </c>
      <c r="R81">
        <v>-2.5509868</v>
      </c>
      <c r="S81">
        <f t="shared" si="24"/>
        <v>1.0143029070629281</v>
      </c>
      <c r="T81">
        <f t="shared" si="25"/>
        <v>-23.591736450334214</v>
      </c>
      <c r="U81" s="8"/>
      <c r="V81" s="8"/>
    </row>
    <row r="82" spans="1:22" x14ac:dyDescent="0.35">
      <c r="A82">
        <v>0.73750000000000004</v>
      </c>
      <c r="B82" s="9">
        <v>16.854399999999998</v>
      </c>
      <c r="C82">
        <v>-7.7217598000000002E-3</v>
      </c>
      <c r="D82">
        <v>8.5665294999999995E-3</v>
      </c>
      <c r="E82">
        <v>0.99222617999999996</v>
      </c>
      <c r="F82">
        <v>7.7484514000000001E-3</v>
      </c>
      <c r="G82">
        <f t="shared" si="16"/>
        <v>30.1060509339367</v>
      </c>
      <c r="H82">
        <f t="shared" si="17"/>
        <v>32.224679630502997</v>
      </c>
      <c r="I82">
        <f t="shared" si="18"/>
        <v>30.106025070485099</v>
      </c>
      <c r="J82">
        <f t="shared" si="19"/>
        <v>32.224270570225997</v>
      </c>
      <c r="K82" s="7">
        <f t="shared" si="20"/>
        <v>2.58634516008271E-5</v>
      </c>
      <c r="L82" s="7">
        <f t="shared" si="21"/>
        <v>4.0906027700060598E-4</v>
      </c>
      <c r="M82" s="7">
        <f t="shared" si="22"/>
        <v>1.54804561080179E-2</v>
      </c>
      <c r="N82" s="7">
        <f t="shared" si="23"/>
        <v>-1.65696535828747E-2</v>
      </c>
      <c r="O82">
        <v>-2.0353621999999998</v>
      </c>
      <c r="P82">
        <v>-3.4545471000000001</v>
      </c>
      <c r="Q82">
        <v>-3.2973789</v>
      </c>
      <c r="R82">
        <v>-2.3866277999999999</v>
      </c>
      <c r="S82">
        <f t="shared" si="24"/>
        <v>1.015189647969053</v>
      </c>
      <c r="T82">
        <f t="shared" si="25"/>
        <v>-23.597261278602886</v>
      </c>
      <c r="U82" s="8"/>
      <c r="V82" s="8"/>
    </row>
    <row r="83" spans="1:22" x14ac:dyDescent="0.35">
      <c r="A83">
        <v>0.73750000000000004</v>
      </c>
      <c r="B83" s="9">
        <v>16.903200000000002</v>
      </c>
      <c r="C83">
        <v>-7.4313540000000003E-3</v>
      </c>
      <c r="D83">
        <v>8.7193821000000008E-3</v>
      </c>
      <c r="E83">
        <v>0.99251624999999999</v>
      </c>
      <c r="F83">
        <v>7.9238066999999992E-3</v>
      </c>
      <c r="G83">
        <f t="shared" si="16"/>
        <v>29.3627080032518</v>
      </c>
      <c r="H83">
        <f t="shared" si="17"/>
        <v>33.322827474538499</v>
      </c>
      <c r="I83">
        <f t="shared" si="18"/>
        <v>29.362681962812999</v>
      </c>
      <c r="J83">
        <f t="shared" si="19"/>
        <v>33.322429666058298</v>
      </c>
      <c r="K83" s="7">
        <f t="shared" si="20"/>
        <v>2.6040438800834001E-5</v>
      </c>
      <c r="L83" s="7">
        <f t="shared" si="21"/>
        <v>3.9780848020143399E-4</v>
      </c>
      <c r="M83" s="7">
        <f t="shared" si="22"/>
        <v>1.48856358321405E-2</v>
      </c>
      <c r="N83" s="7">
        <f t="shared" si="23"/>
        <v>-1.68930601666176E-2</v>
      </c>
      <c r="O83">
        <v>-2.1054208999999999</v>
      </c>
      <c r="P83">
        <v>-3.3177387</v>
      </c>
      <c r="Q83">
        <v>-3.3097981999999999</v>
      </c>
      <c r="R83">
        <v>-2.2326022000000001</v>
      </c>
      <c r="S83">
        <f t="shared" si="24"/>
        <v>1.0160334910414102</v>
      </c>
      <c r="T83">
        <f t="shared" si="25"/>
        <v>-23.599616460979689</v>
      </c>
      <c r="U83" s="8"/>
      <c r="V83" s="8"/>
    </row>
    <row r="84" spans="1:22" x14ac:dyDescent="0.35">
      <c r="A84">
        <v>0.73750000000000004</v>
      </c>
      <c r="B84" s="9">
        <v>16.952000000000002</v>
      </c>
      <c r="C84">
        <v>-7.1576942000000001E-3</v>
      </c>
      <c r="D84">
        <v>8.8392395000000002E-3</v>
      </c>
      <c r="E84">
        <v>0.99287599999999998</v>
      </c>
      <c r="F84">
        <v>7.9712602999999996E-3</v>
      </c>
      <c r="G84">
        <f t="shared" si="16"/>
        <v>28.852390402555798</v>
      </c>
      <c r="H84">
        <f t="shared" si="17"/>
        <v>34.549934217526697</v>
      </c>
      <c r="I84">
        <f t="shared" si="18"/>
        <v>28.852407437709399</v>
      </c>
      <c r="J84">
        <f t="shared" si="19"/>
        <v>34.549500242630998</v>
      </c>
      <c r="K84" s="7">
        <f t="shared" si="20"/>
        <v>-1.7035153600630799E-5</v>
      </c>
      <c r="L84" s="7">
        <f t="shared" si="21"/>
        <v>4.3397489569940701E-4</v>
      </c>
      <c r="M84" s="7">
        <f t="shared" si="22"/>
        <v>1.4240160423366901E-2</v>
      </c>
      <c r="N84" s="7">
        <f t="shared" si="23"/>
        <v>-1.7051971384516099E-2</v>
      </c>
      <c r="O84">
        <v>-2.1619725999999999</v>
      </c>
      <c r="P84">
        <v>-3.1880809999999999</v>
      </c>
      <c r="Q84">
        <v>-3.3120349</v>
      </c>
      <c r="R84">
        <v>-2.0906277000000002</v>
      </c>
      <c r="S84">
        <f t="shared" si="24"/>
        <v>1.0167857219906942</v>
      </c>
      <c r="T84">
        <f t="shared" si="25"/>
        <v>-23.596141476510279</v>
      </c>
      <c r="U84" s="8"/>
      <c r="V84" s="8"/>
    </row>
    <row r="85" spans="1:22" x14ac:dyDescent="0.35">
      <c r="A85">
        <v>0.73750000000000004</v>
      </c>
      <c r="B85" s="9">
        <v>17</v>
      </c>
      <c r="C85">
        <v>-7.1408560999999997E-3</v>
      </c>
      <c r="D85">
        <v>9.0369265000000004E-3</v>
      </c>
      <c r="E85">
        <v>0.99274154000000003</v>
      </c>
      <c r="F85">
        <v>8.1365119000000007E-3</v>
      </c>
      <c r="G85">
        <f t="shared" si="16"/>
        <v>28.1686612603222</v>
      </c>
      <c r="H85">
        <f t="shared" si="17"/>
        <v>34.1920562934977</v>
      </c>
      <c r="I85">
        <f t="shared" si="18"/>
        <v>28.168602657636601</v>
      </c>
      <c r="J85">
        <f t="shared" si="19"/>
        <v>34.191606033338097</v>
      </c>
      <c r="K85" s="7">
        <f t="shared" si="20"/>
        <v>5.8602685598430098E-5</v>
      </c>
      <c r="L85" s="7">
        <f t="shared" si="21"/>
        <v>4.5026015960303301E-4</v>
      </c>
      <c r="M85" s="7">
        <f t="shared" si="22"/>
        <v>1.4353164089329601E-2</v>
      </c>
      <c r="N85" s="7">
        <f t="shared" si="23"/>
        <v>-1.74221539434853E-2</v>
      </c>
      <c r="O85">
        <v>-2.2249279999999998</v>
      </c>
      <c r="P85">
        <v>-3.1589960000000001</v>
      </c>
      <c r="Q85">
        <v>-3.3281767000000002</v>
      </c>
      <c r="R85">
        <v>-2.0111043</v>
      </c>
      <c r="S85">
        <f t="shared" si="24"/>
        <v>1.0064010126924474</v>
      </c>
      <c r="T85">
        <f t="shared" si="25"/>
        <v>-23.69924693413568</v>
      </c>
      <c r="U85" s="8"/>
      <c r="V85" s="8"/>
    </row>
    <row r="86" spans="1:22" x14ac:dyDescent="0.35">
      <c r="A86">
        <v>0.875</v>
      </c>
      <c r="B86" s="9">
        <v>15</v>
      </c>
      <c r="C86">
        <v>-3.0212227999999999E-3</v>
      </c>
      <c r="D86">
        <v>-1.1757266E-3</v>
      </c>
      <c r="E86">
        <v>0.99709024999999996</v>
      </c>
      <c r="F86">
        <v>-2.8087028E-3</v>
      </c>
      <c r="G86">
        <f t="shared" si="16"/>
        <v>115.674839071815</v>
      </c>
      <c r="H86">
        <f t="shared" si="17"/>
        <v>-78.045904322088901</v>
      </c>
      <c r="I86">
        <f t="shared" si="18"/>
        <v>115.67489547164899</v>
      </c>
      <c r="J86">
        <f t="shared" si="19"/>
        <v>-78.046720718635797</v>
      </c>
      <c r="K86" s="7">
        <f t="shared" si="20"/>
        <v>-5.6399833994191802E-5</v>
      </c>
      <c r="L86" s="7">
        <f t="shared" si="21"/>
        <v>8.16396546895248E-4</v>
      </c>
      <c r="M86" s="7">
        <f t="shared" si="22"/>
        <v>5.9405845042913999E-3</v>
      </c>
      <c r="N86" s="7">
        <f t="shared" si="23"/>
        <v>4.0081569801419898E-3</v>
      </c>
      <c r="O86">
        <v>2.3252801000000001</v>
      </c>
      <c r="P86">
        <v>-1.2522237000000001</v>
      </c>
      <c r="Q86">
        <v>1.5986952000000001</v>
      </c>
      <c r="R86">
        <v>-2.0265200000000001</v>
      </c>
      <c r="S86">
        <f t="shared" si="24"/>
        <v>0.97735049234571103</v>
      </c>
      <c r="T86">
        <f t="shared" si="25"/>
        <v>-23.426934934235693</v>
      </c>
      <c r="U86" s="8"/>
      <c r="V86" s="8"/>
    </row>
    <row r="87" spans="1:22" x14ac:dyDescent="0.35">
      <c r="A87">
        <v>0.875</v>
      </c>
      <c r="B87" s="9">
        <v>15.0488</v>
      </c>
      <c r="C87">
        <v>-3.2435663999999999E-3</v>
      </c>
      <c r="D87">
        <v>-1.3493634E-3</v>
      </c>
      <c r="E87">
        <v>0.99669439999999998</v>
      </c>
      <c r="F87">
        <v>-2.9917386000000001E-3</v>
      </c>
      <c r="G87">
        <f t="shared" si="16"/>
        <v>105.58215760145301</v>
      </c>
      <c r="H87">
        <f t="shared" si="17"/>
        <v>-70.315927757449401</v>
      </c>
      <c r="I87">
        <f t="shared" si="18"/>
        <v>105.58212725810201</v>
      </c>
      <c r="J87">
        <f t="shared" si="19"/>
        <v>-70.316748995439198</v>
      </c>
      <c r="K87" s="7">
        <f t="shared" si="20"/>
        <v>3.03433509998285E-5</v>
      </c>
      <c r="L87" s="7">
        <f t="shared" si="21"/>
        <v>8.2123798979694097E-4</v>
      </c>
      <c r="M87" s="7">
        <f t="shared" si="22"/>
        <v>6.5611437527426097E-3</v>
      </c>
      <c r="N87" s="7">
        <f t="shared" si="23"/>
        <v>4.3696628431891503E-3</v>
      </c>
      <c r="O87">
        <v>2.3781590000000001</v>
      </c>
      <c r="P87">
        <v>-1.3401042999999999</v>
      </c>
      <c r="Q87">
        <v>1.6131120999999999</v>
      </c>
      <c r="R87">
        <v>-2.1301472000000001</v>
      </c>
      <c r="S87">
        <f t="shared" si="24"/>
        <v>0.97885027627451138</v>
      </c>
      <c r="T87">
        <f t="shared" si="25"/>
        <v>-23.462706677234337</v>
      </c>
      <c r="U87" s="8"/>
      <c r="V87" s="8"/>
    </row>
    <row r="88" spans="1:22" x14ac:dyDescent="0.35">
      <c r="A88">
        <v>0.875</v>
      </c>
      <c r="B88" s="9">
        <v>15.0976</v>
      </c>
      <c r="C88">
        <v>-3.4894205000000002E-3</v>
      </c>
      <c r="D88">
        <v>-1.5112338999999999E-3</v>
      </c>
      <c r="E88">
        <v>0.99643523000000001</v>
      </c>
      <c r="F88">
        <v>-3.1124303999999999E-3</v>
      </c>
      <c r="G88">
        <f t="shared" si="16"/>
        <v>98.659462967014505</v>
      </c>
      <c r="H88">
        <f t="shared" si="17"/>
        <v>-64.993589173884004</v>
      </c>
      <c r="I88">
        <f t="shared" si="18"/>
        <v>98.659425931874793</v>
      </c>
      <c r="J88">
        <f t="shared" si="19"/>
        <v>-64.994389831948993</v>
      </c>
      <c r="K88" s="7">
        <f t="shared" si="20"/>
        <v>3.7035139712315902E-5</v>
      </c>
      <c r="L88" s="7">
        <f t="shared" si="21"/>
        <v>8.00658064989079E-4</v>
      </c>
      <c r="M88" s="7">
        <f t="shared" si="22"/>
        <v>7.0683305557522301E-3</v>
      </c>
      <c r="N88" s="7">
        <f t="shared" si="23"/>
        <v>4.6564413614048096E-3</v>
      </c>
      <c r="O88">
        <v>2.4320279999999999</v>
      </c>
      <c r="P88">
        <v>-1.4360584000000001</v>
      </c>
      <c r="Q88">
        <v>1.6260169</v>
      </c>
      <c r="R88">
        <v>-2.2405374999999998</v>
      </c>
      <c r="S88">
        <f t="shared" si="24"/>
        <v>0.9801794194703547</v>
      </c>
      <c r="T88">
        <f t="shared" si="25"/>
        <v>-23.46971725923769</v>
      </c>
      <c r="U88" s="8"/>
      <c r="V88" s="8"/>
    </row>
    <row r="89" spans="1:22" x14ac:dyDescent="0.35">
      <c r="A89">
        <v>0.875</v>
      </c>
      <c r="B89" s="9">
        <v>15.1464</v>
      </c>
      <c r="C89">
        <v>-3.7533344999999998E-3</v>
      </c>
      <c r="D89">
        <v>-1.6679962E-3</v>
      </c>
      <c r="E89">
        <v>0.99617277999999998</v>
      </c>
      <c r="F89">
        <v>-3.2295202000000001E-3</v>
      </c>
      <c r="G89">
        <f t="shared" si="16"/>
        <v>92.569514047338302</v>
      </c>
      <c r="H89">
        <f t="shared" si="17"/>
        <v>-60.128374895415298</v>
      </c>
      <c r="I89">
        <f t="shared" si="18"/>
        <v>92.569477712880001</v>
      </c>
      <c r="J89">
        <f t="shared" si="19"/>
        <v>-60.129155714629498</v>
      </c>
      <c r="K89" s="7">
        <f t="shared" si="20"/>
        <v>3.6334458300757399E-5</v>
      </c>
      <c r="L89" s="7">
        <f t="shared" si="21"/>
        <v>7.8081921419936905E-4</v>
      </c>
      <c r="M89" s="7">
        <f t="shared" si="22"/>
        <v>7.5972373847707003E-3</v>
      </c>
      <c r="N89" s="7">
        <f t="shared" si="23"/>
        <v>4.9348390095358702E-3</v>
      </c>
      <c r="O89">
        <v>2.4845899</v>
      </c>
      <c r="P89">
        <v>-1.5392752000000001</v>
      </c>
      <c r="Q89">
        <v>1.6349989</v>
      </c>
      <c r="R89">
        <v>-2.3573979</v>
      </c>
      <c r="S89">
        <f t="shared" si="24"/>
        <v>0.98156809929262578</v>
      </c>
      <c r="T89">
        <f t="shared" si="25"/>
        <v>-23.476926919358299</v>
      </c>
      <c r="U89" s="8"/>
      <c r="V89" s="8"/>
    </row>
    <row r="90" spans="1:22" x14ac:dyDescent="0.35">
      <c r="A90">
        <v>0.875</v>
      </c>
      <c r="B90" s="9">
        <v>15.1952</v>
      </c>
      <c r="C90">
        <v>-4.0389324000000004E-3</v>
      </c>
      <c r="D90">
        <v>-1.8211970999999999E-3</v>
      </c>
      <c r="E90">
        <v>0.99591757999999997</v>
      </c>
      <c r="F90">
        <v>-3.3610358999999999E-3</v>
      </c>
      <c r="G90">
        <f t="shared" si="16"/>
        <v>87.003359594034904</v>
      </c>
      <c r="H90">
        <f t="shared" si="17"/>
        <v>-55.835480845014203</v>
      </c>
      <c r="I90">
        <f t="shared" si="18"/>
        <v>87.003338442576407</v>
      </c>
      <c r="J90">
        <f t="shared" si="19"/>
        <v>-55.836250797440897</v>
      </c>
      <c r="K90" s="7">
        <f t="shared" si="20"/>
        <v>2.1151458497570298E-5</v>
      </c>
      <c r="L90" s="7">
        <f t="shared" si="21"/>
        <v>7.6995242669397601E-4</v>
      </c>
      <c r="M90" s="7">
        <f t="shared" si="22"/>
        <v>8.1408401140626897E-3</v>
      </c>
      <c r="N90" s="7">
        <f t="shared" si="23"/>
        <v>5.2245580278587203E-3</v>
      </c>
      <c r="O90">
        <v>2.5357348000000002</v>
      </c>
      <c r="P90">
        <v>-1.6510449</v>
      </c>
      <c r="Q90">
        <v>1.6393934999999999</v>
      </c>
      <c r="R90">
        <v>-2.4817783000000002</v>
      </c>
      <c r="S90">
        <f t="shared" si="24"/>
        <v>0.9829771611111856</v>
      </c>
      <c r="T90">
        <f t="shared" si="25"/>
        <v>-23.483766773535731</v>
      </c>
      <c r="U90" s="8"/>
      <c r="V90" s="8"/>
    </row>
    <row r="91" spans="1:22" x14ac:dyDescent="0.35">
      <c r="A91">
        <v>0.875</v>
      </c>
      <c r="B91" s="9">
        <v>15.244</v>
      </c>
      <c r="C91">
        <v>-4.3487928E-3</v>
      </c>
      <c r="D91">
        <v>-1.9693279999999998E-3</v>
      </c>
      <c r="E91">
        <v>0.99562406999999997</v>
      </c>
      <c r="F91">
        <v>-3.5053357999999999E-3</v>
      </c>
      <c r="G91">
        <f t="shared" si="16"/>
        <v>81.736769211064498</v>
      </c>
      <c r="H91">
        <f t="shared" si="17"/>
        <v>-51.602244314456001</v>
      </c>
      <c r="I91">
        <f t="shared" si="18"/>
        <v>81.736756232133999</v>
      </c>
      <c r="J91">
        <f t="shared" si="19"/>
        <v>-51.603012338744797</v>
      </c>
      <c r="K91" s="7">
        <f t="shared" si="20"/>
        <v>1.297893049923E-5</v>
      </c>
      <c r="L91" s="7">
        <f t="shared" si="21"/>
        <v>7.6802428879574303E-4</v>
      </c>
      <c r="M91" s="7">
        <f t="shared" si="22"/>
        <v>8.7477294456564693E-3</v>
      </c>
      <c r="N91" s="7">
        <f t="shared" si="23"/>
        <v>5.5227196591726901E-3</v>
      </c>
      <c r="O91">
        <v>2.5844993999999999</v>
      </c>
      <c r="P91">
        <v>-1.7720826000000001</v>
      </c>
      <c r="Q91">
        <v>1.638212</v>
      </c>
      <c r="R91">
        <v>-2.6139307000000001</v>
      </c>
      <c r="S91">
        <f t="shared" si="24"/>
        <v>0.98442327082885162</v>
      </c>
      <c r="T91">
        <f t="shared" si="25"/>
        <v>-23.486863509895247</v>
      </c>
      <c r="U91" s="8"/>
      <c r="V91" s="8"/>
    </row>
    <row r="92" spans="1:22" x14ac:dyDescent="0.35">
      <c r="A92">
        <v>0.875</v>
      </c>
      <c r="B92" s="9">
        <v>15.2928</v>
      </c>
      <c r="C92">
        <v>-4.6837218000000003E-3</v>
      </c>
      <c r="D92">
        <v>-2.1093562999999998E-3</v>
      </c>
      <c r="E92">
        <v>0.99530001000000001</v>
      </c>
      <c r="F92">
        <v>-3.6536669000000002E-3</v>
      </c>
      <c r="G92">
        <f t="shared" si="16"/>
        <v>76.880921606768098</v>
      </c>
      <c r="H92">
        <f t="shared" si="17"/>
        <v>-47.523241478747202</v>
      </c>
      <c r="I92">
        <f t="shared" si="18"/>
        <v>76.880914068840099</v>
      </c>
      <c r="J92">
        <f t="shared" si="19"/>
        <v>-47.524013646148603</v>
      </c>
      <c r="K92" s="7">
        <f t="shared" si="20"/>
        <v>7.5379279991238903E-6</v>
      </c>
      <c r="L92" s="7">
        <f t="shared" si="21"/>
        <v>7.7216740140073604E-4</v>
      </c>
      <c r="M92" s="7">
        <f t="shared" si="22"/>
        <v>9.4110622674247295E-3</v>
      </c>
      <c r="N92" s="7">
        <f t="shared" si="23"/>
        <v>5.8174575190582797E-3</v>
      </c>
      <c r="O92">
        <v>2.6297489999999999</v>
      </c>
      <c r="P92">
        <v>-1.9030889</v>
      </c>
      <c r="Q92">
        <v>1.6298009</v>
      </c>
      <c r="R92">
        <v>-2.7540336999999999</v>
      </c>
      <c r="S92">
        <f t="shared" si="24"/>
        <v>0.9858366183549101</v>
      </c>
      <c r="T92">
        <f t="shared" si="25"/>
        <v>-23.4911167951342</v>
      </c>
      <c r="U92" s="8"/>
      <c r="V92" s="8"/>
    </row>
    <row r="93" spans="1:22" x14ac:dyDescent="0.35">
      <c r="A93">
        <v>0.875</v>
      </c>
      <c r="B93" s="9">
        <v>15.3416</v>
      </c>
      <c r="C93">
        <v>-5.0461706999999998E-3</v>
      </c>
      <c r="D93">
        <v>-2.2389425E-3</v>
      </c>
      <c r="E93">
        <v>0.99494141999999997</v>
      </c>
      <c r="F93">
        <v>-3.7894611000000001E-3</v>
      </c>
      <c r="G93">
        <f t="shared" si="16"/>
        <v>72.486085791586802</v>
      </c>
      <c r="H93">
        <f t="shared" si="17"/>
        <v>-43.542454590002599</v>
      </c>
      <c r="I93">
        <f t="shared" si="18"/>
        <v>72.486080187936295</v>
      </c>
      <c r="J93">
        <f t="shared" si="19"/>
        <v>-43.543229858457202</v>
      </c>
      <c r="K93" s="7">
        <f t="shared" si="20"/>
        <v>5.60365050716882E-6</v>
      </c>
      <c r="L93" s="7">
        <f t="shared" si="21"/>
        <v>7.7526845460340599E-4</v>
      </c>
      <c r="M93" s="7">
        <f t="shared" si="22"/>
        <v>1.0137566384891701E-2</v>
      </c>
      <c r="N93" s="7">
        <f t="shared" si="23"/>
        <v>6.0897538142250301E-3</v>
      </c>
      <c r="O93">
        <v>2.670458</v>
      </c>
      <c r="P93">
        <v>-2.0445232</v>
      </c>
      <c r="Q93">
        <v>1.6131625000000001</v>
      </c>
      <c r="R93">
        <v>-2.9022177999999998</v>
      </c>
      <c r="S93">
        <f t="shared" si="24"/>
        <v>0.98726534789516274</v>
      </c>
      <c r="T93">
        <f t="shared" si="25"/>
        <v>-23.495091263165879</v>
      </c>
      <c r="U93" s="8"/>
      <c r="V93" s="8"/>
    </row>
    <row r="94" spans="1:22" x14ac:dyDescent="0.35">
      <c r="A94">
        <v>0.875</v>
      </c>
      <c r="B94" s="9">
        <v>15.3904</v>
      </c>
      <c r="C94">
        <v>-5.4373651E-3</v>
      </c>
      <c r="D94">
        <v>-2.3546777000000001E-3</v>
      </c>
      <c r="E94">
        <v>0.99454640999999999</v>
      </c>
      <c r="F94">
        <v>-3.9053627000000001E-3</v>
      </c>
      <c r="G94">
        <f t="shared" si="16"/>
        <v>68.517021979009499</v>
      </c>
      <c r="H94">
        <f t="shared" si="17"/>
        <v>-39.6700836815942</v>
      </c>
      <c r="I94">
        <f t="shared" si="18"/>
        <v>68.517014467663898</v>
      </c>
      <c r="J94">
        <f t="shared" si="19"/>
        <v>-39.6708590362081</v>
      </c>
      <c r="K94" s="7">
        <f t="shared" si="20"/>
        <v>7.51134560061928E-6</v>
      </c>
      <c r="L94" s="7">
        <f t="shared" si="21"/>
        <v>7.7535461389999195E-4</v>
      </c>
      <c r="M94" s="7">
        <f t="shared" si="22"/>
        <v>1.09306154625945E-2</v>
      </c>
      <c r="N94" s="7">
        <f t="shared" si="23"/>
        <v>6.3287478090603196E-3</v>
      </c>
      <c r="O94">
        <v>2.7052114</v>
      </c>
      <c r="P94">
        <v>-2.1969020000000001</v>
      </c>
      <c r="Q94">
        <v>1.5867526999999999</v>
      </c>
      <c r="R94">
        <v>-3.05843</v>
      </c>
      <c r="S94">
        <f t="shared" si="24"/>
        <v>0.98870612571295458</v>
      </c>
      <c r="T94">
        <f t="shared" si="25"/>
        <v>-23.499087795898781</v>
      </c>
      <c r="U94" s="8"/>
      <c r="V94" s="8"/>
    </row>
    <row r="95" spans="1:22" x14ac:dyDescent="0.35">
      <c r="A95">
        <v>0.875</v>
      </c>
      <c r="B95" s="9">
        <v>15.4392</v>
      </c>
      <c r="C95">
        <v>-5.8584874E-3</v>
      </c>
      <c r="D95">
        <v>-2.4526016999999998E-3</v>
      </c>
      <c r="E95">
        <v>0.99411665999999999</v>
      </c>
      <c r="F95">
        <v>-3.9917347999999997E-3</v>
      </c>
      <c r="G95">
        <f t="shared" si="16"/>
        <v>64.950554815094605</v>
      </c>
      <c r="H95">
        <f t="shared" si="17"/>
        <v>-35.921226626096903</v>
      </c>
      <c r="I95">
        <f t="shared" si="18"/>
        <v>64.950542980894397</v>
      </c>
      <c r="J95">
        <f t="shared" si="19"/>
        <v>-35.921996211317101</v>
      </c>
      <c r="K95" s="7">
        <f t="shared" si="20"/>
        <v>1.18342002082272E-5</v>
      </c>
      <c r="L95" s="7">
        <f t="shared" si="21"/>
        <v>7.6958522019765496E-4</v>
      </c>
      <c r="M95" s="7">
        <f t="shared" si="22"/>
        <v>1.1789976589892E-2</v>
      </c>
      <c r="N95" s="7">
        <f t="shared" si="23"/>
        <v>6.5206459400685502E-3</v>
      </c>
      <c r="O95">
        <v>2.7353288</v>
      </c>
      <c r="P95">
        <v>-2.3630781000000001</v>
      </c>
      <c r="Q95">
        <v>1.5489193999999999</v>
      </c>
      <c r="R95">
        <v>-3.2222613999999998</v>
      </c>
      <c r="S95">
        <f t="shared" si="24"/>
        <v>0.98907090669117548</v>
      </c>
      <c r="T95">
        <f t="shared" si="25"/>
        <v>-23.502653907281427</v>
      </c>
      <c r="U95" s="8"/>
      <c r="V95" s="8"/>
    </row>
    <row r="96" spans="1:22" x14ac:dyDescent="0.35">
      <c r="A96">
        <v>0.875</v>
      </c>
      <c r="B96" s="9">
        <v>15.488</v>
      </c>
      <c r="C96">
        <v>-6.3104030999999996E-3</v>
      </c>
      <c r="D96">
        <v>-2.5281453E-3</v>
      </c>
      <c r="E96">
        <v>0.99365557999999998</v>
      </c>
      <c r="F96">
        <v>-4.0420513999999998E-3</v>
      </c>
      <c r="G96">
        <f t="shared" si="16"/>
        <v>61.743363677675703</v>
      </c>
      <c r="H96">
        <f t="shared" si="17"/>
        <v>-32.315449666400703</v>
      </c>
      <c r="I96">
        <f t="shared" si="18"/>
        <v>61.743347241943198</v>
      </c>
      <c r="J96">
        <f t="shared" si="19"/>
        <v>-32.316206644766901</v>
      </c>
      <c r="K96" s="7">
        <f t="shared" si="20"/>
        <v>1.6435732504760401E-5</v>
      </c>
      <c r="L96" s="7">
        <f t="shared" si="21"/>
        <v>7.5697836619781399E-4</v>
      </c>
      <c r="M96" s="7">
        <f t="shared" si="22"/>
        <v>1.2713343727852801E-2</v>
      </c>
      <c r="N96" s="7">
        <f t="shared" si="23"/>
        <v>6.6541103035007796E-3</v>
      </c>
      <c r="O96">
        <v>2.7532304999999999</v>
      </c>
      <c r="P96">
        <v>-2.5382623</v>
      </c>
      <c r="Q96">
        <v>1.4979312</v>
      </c>
      <c r="R96">
        <v>-3.3930408000000001</v>
      </c>
      <c r="S96">
        <f t="shared" si="24"/>
        <v>0.99045113212851743</v>
      </c>
      <c r="T96">
        <f t="shared" si="25"/>
        <v>-23.506278585657284</v>
      </c>
      <c r="U96" s="8"/>
      <c r="V96" s="8"/>
    </row>
    <row r="97" spans="1:22" x14ac:dyDescent="0.35">
      <c r="A97">
        <v>0.875</v>
      </c>
      <c r="B97" s="9">
        <v>15.536799999999999</v>
      </c>
      <c r="C97">
        <v>-6.7934557000000001E-3</v>
      </c>
      <c r="D97">
        <v>-2.576105E-3</v>
      </c>
      <c r="E97">
        <v>0.99316654999999998</v>
      </c>
      <c r="F97">
        <v>-4.0525589999999998E-3</v>
      </c>
      <c r="G97">
        <f t="shared" si="16"/>
        <v>58.842439394931198</v>
      </c>
      <c r="H97">
        <f t="shared" si="17"/>
        <v>-28.866127483648501</v>
      </c>
      <c r="I97">
        <f t="shared" si="18"/>
        <v>58.842419942392702</v>
      </c>
      <c r="J97">
        <f t="shared" si="19"/>
        <v>-28.8668657397719</v>
      </c>
      <c r="K97" s="7">
        <f t="shared" si="20"/>
        <v>1.94525384955568E-5</v>
      </c>
      <c r="L97" s="7">
        <f t="shared" si="21"/>
        <v>7.3825612339817304E-4</v>
      </c>
      <c r="M97" s="7">
        <f t="shared" si="22"/>
        <v>1.36978977540365E-2</v>
      </c>
      <c r="N97" s="7">
        <f t="shared" si="23"/>
        <v>6.7199033583256497E-3</v>
      </c>
      <c r="O97">
        <v>2.7598462000000001</v>
      </c>
      <c r="P97">
        <v>-2.7247766000000002</v>
      </c>
      <c r="Q97">
        <v>1.4320077</v>
      </c>
      <c r="R97">
        <v>-3.5700715000000001</v>
      </c>
      <c r="S97">
        <f t="shared" si="24"/>
        <v>0.99181882406563171</v>
      </c>
      <c r="T97">
        <f t="shared" si="25"/>
        <v>-23.509913597836807</v>
      </c>
      <c r="U97" s="8"/>
      <c r="V97" s="8"/>
    </row>
    <row r="98" spans="1:22" x14ac:dyDescent="0.35">
      <c r="A98">
        <v>0.875</v>
      </c>
      <c r="B98" s="9">
        <v>15.585599999999999</v>
      </c>
      <c r="C98">
        <v>-7.3072422999999999E-3</v>
      </c>
      <c r="D98">
        <v>-2.5906669E-3</v>
      </c>
      <c r="E98">
        <v>0.99265214000000002</v>
      </c>
      <c r="F98">
        <v>-4.0212605000000002E-3</v>
      </c>
      <c r="G98">
        <f t="shared" si="16"/>
        <v>56.195141472231803</v>
      </c>
      <c r="H98">
        <f t="shared" si="17"/>
        <v>-25.578726414826001</v>
      </c>
      <c r="I98">
        <f t="shared" si="18"/>
        <v>56.195121674649698</v>
      </c>
      <c r="J98">
        <f t="shared" si="19"/>
        <v>-25.5794417403146</v>
      </c>
      <c r="K98" s="7">
        <f t="shared" si="20"/>
        <v>1.9797582105241E-5</v>
      </c>
      <c r="L98" s="7">
        <f t="shared" si="21"/>
        <v>7.1532548859920596E-4</v>
      </c>
      <c r="M98" s="7">
        <f t="shared" si="22"/>
        <v>1.4740865762228401E-2</v>
      </c>
      <c r="N98" s="7">
        <f t="shared" si="23"/>
        <v>6.7098905693235098E-3</v>
      </c>
      <c r="O98">
        <v>2.7514766000000002</v>
      </c>
      <c r="P98">
        <v>-2.9206508000000002</v>
      </c>
      <c r="Q98">
        <v>1.3492375000000001</v>
      </c>
      <c r="R98">
        <v>-3.7522367000000001</v>
      </c>
      <c r="S98">
        <f t="shared" si="24"/>
        <v>0.99373527747870039</v>
      </c>
      <c r="T98">
        <f t="shared" si="25"/>
        <v>-23.513948083505525</v>
      </c>
      <c r="U98" s="8"/>
      <c r="V98" s="8"/>
    </row>
    <row r="99" spans="1:22" x14ac:dyDescent="0.35">
      <c r="A99">
        <v>0.875</v>
      </c>
      <c r="B99" s="9">
        <v>15.634399999999999</v>
      </c>
      <c r="C99">
        <v>-7.8503515999999995E-3</v>
      </c>
      <c r="D99">
        <v>-2.5654656000000001E-3</v>
      </c>
      <c r="E99">
        <v>0.99211404000000003</v>
      </c>
      <c r="F99">
        <v>-3.9469053999999998E-3</v>
      </c>
      <c r="G99">
        <f t="shared" si="16"/>
        <v>53.755204883058802</v>
      </c>
      <c r="H99">
        <f t="shared" si="17"/>
        <v>-22.452817442655</v>
      </c>
      <c r="I99">
        <f t="shared" si="18"/>
        <v>53.755187555661003</v>
      </c>
      <c r="J99">
        <f t="shared" si="19"/>
        <v>-22.453508186821502</v>
      </c>
      <c r="K99" s="7">
        <f t="shared" si="20"/>
        <v>1.7327397799249401E-5</v>
      </c>
      <c r="L99" s="7">
        <f t="shared" si="21"/>
        <v>6.9074416650138904E-4</v>
      </c>
      <c r="M99" s="7">
        <f t="shared" si="22"/>
        <v>1.5839324907983499E-2</v>
      </c>
      <c r="N99" s="7">
        <f t="shared" si="23"/>
        <v>6.6160760973417703E-3</v>
      </c>
      <c r="O99">
        <v>2.7287268999999998</v>
      </c>
      <c r="P99">
        <v>-3.1283086999999998</v>
      </c>
      <c r="Q99">
        <v>1.2476091</v>
      </c>
      <c r="R99">
        <v>-3.9379027999999998</v>
      </c>
      <c r="S99">
        <f t="shared" si="24"/>
        <v>0.99509427242650916</v>
      </c>
      <c r="T99">
        <f t="shared" si="25"/>
        <v>-23.517905058475996</v>
      </c>
      <c r="U99" s="8"/>
      <c r="V99" s="8"/>
    </row>
    <row r="100" spans="1:22" x14ac:dyDescent="0.35">
      <c r="A100">
        <v>0.875</v>
      </c>
      <c r="B100" s="9">
        <v>15.683199999999999</v>
      </c>
      <c r="C100">
        <v>-8.4235726999999996E-3</v>
      </c>
      <c r="D100">
        <v>-2.4988766999999999E-3</v>
      </c>
      <c r="E100">
        <v>0.99155751999999997</v>
      </c>
      <c r="F100">
        <v>-3.9332706000000002E-3</v>
      </c>
      <c r="G100">
        <f t="shared" si="16"/>
        <v>51.262362301472201</v>
      </c>
      <c r="H100">
        <f t="shared" si="17"/>
        <v>-19.740070059036</v>
      </c>
      <c r="I100">
        <f t="shared" si="18"/>
        <v>51.262353362118603</v>
      </c>
      <c r="J100">
        <f t="shared" si="19"/>
        <v>-19.740787269177499</v>
      </c>
      <c r="K100" s="7">
        <f t="shared" si="20"/>
        <v>8.9393535986914702E-6</v>
      </c>
      <c r="L100" s="7">
        <f t="shared" si="21"/>
        <v>7.1721014149872498E-4</v>
      </c>
      <c r="M100" s="7">
        <f t="shared" si="22"/>
        <v>1.69881972710621E-2</v>
      </c>
      <c r="N100" s="7">
        <f t="shared" si="23"/>
        <v>6.5420404335685602E-3</v>
      </c>
      <c r="O100">
        <v>2.6859986</v>
      </c>
      <c r="P100">
        <v>-3.3435196999999999</v>
      </c>
      <c r="Q100">
        <v>1.1238775999999999</v>
      </c>
      <c r="R100">
        <v>-4.1227169000000004</v>
      </c>
      <c r="S100">
        <f t="shared" si="24"/>
        <v>0.99635578624117982</v>
      </c>
      <c r="T100">
        <f t="shared" si="25"/>
        <v>-23.52781310531012</v>
      </c>
      <c r="U100" s="8"/>
      <c r="V100" s="8"/>
    </row>
    <row r="101" spans="1:22" x14ac:dyDescent="0.35">
      <c r="A101">
        <v>0.875</v>
      </c>
      <c r="B101" s="9">
        <v>15.731999999999999</v>
      </c>
      <c r="C101">
        <v>-9.0156023999999994E-3</v>
      </c>
      <c r="D101">
        <v>-2.3734988999999998E-3</v>
      </c>
      <c r="E101">
        <v>0.99096567999999996</v>
      </c>
      <c r="F101">
        <v>-3.7874134E-3</v>
      </c>
      <c r="G101">
        <f t="shared" si="16"/>
        <v>49.120892204946898</v>
      </c>
      <c r="H101">
        <f t="shared" si="17"/>
        <v>-16.936557990653402</v>
      </c>
      <c r="I101">
        <f t="shared" si="18"/>
        <v>49.120883345861799</v>
      </c>
      <c r="J101">
        <f t="shared" si="19"/>
        <v>-16.937264960782802</v>
      </c>
      <c r="K101" s="7">
        <f t="shared" si="20"/>
        <v>8.8590850992886805E-6</v>
      </c>
      <c r="L101" s="7">
        <f t="shared" si="21"/>
        <v>7.0697012940002001E-4</v>
      </c>
      <c r="M101" s="7">
        <f t="shared" si="22"/>
        <v>1.8194724910096299E-2</v>
      </c>
      <c r="N101" s="7">
        <f t="shared" si="23"/>
        <v>6.2736835272490599E-3</v>
      </c>
      <c r="O101">
        <v>2.625124</v>
      </c>
      <c r="P101">
        <v>-3.5699882000000001</v>
      </c>
      <c r="Q101">
        <v>0.97859483999999997</v>
      </c>
      <c r="R101">
        <v>-4.3086251999999998</v>
      </c>
      <c r="S101">
        <f t="shared" si="24"/>
        <v>0.99708803322027895</v>
      </c>
      <c r="T101">
        <f t="shared" si="25"/>
        <v>-23.53201163079374</v>
      </c>
      <c r="U101" s="8"/>
      <c r="V101" s="8"/>
    </row>
    <row r="102" spans="1:22" x14ac:dyDescent="0.35">
      <c r="A102">
        <v>0.875</v>
      </c>
      <c r="B102" s="9">
        <v>15.780799999999999</v>
      </c>
      <c r="C102">
        <v>-9.6206894000000001E-3</v>
      </c>
      <c r="D102">
        <v>-2.1824685000000001E-3</v>
      </c>
      <c r="E102">
        <v>0.99037478000000001</v>
      </c>
      <c r="F102">
        <v>-3.4402835999999999E-3</v>
      </c>
      <c r="G102">
        <f t="shared" si="16"/>
        <v>47.372971672774703</v>
      </c>
      <c r="H102">
        <f t="shared" si="17"/>
        <v>-13.985922368302401</v>
      </c>
      <c r="I102">
        <f t="shared" si="18"/>
        <v>47.372969802996899</v>
      </c>
      <c r="J102">
        <f t="shared" si="19"/>
        <v>-13.986551278453</v>
      </c>
      <c r="K102" s="7">
        <f t="shared" si="20"/>
        <v>1.86977780458619E-6</v>
      </c>
      <c r="L102" s="7">
        <f t="shared" si="21"/>
        <v>6.2891015059918199E-4</v>
      </c>
      <c r="M102" s="7">
        <f t="shared" si="22"/>
        <v>1.9416568931369501E-2</v>
      </c>
      <c r="N102" s="7">
        <f t="shared" si="23"/>
        <v>5.7326116166995502E-3</v>
      </c>
      <c r="O102">
        <v>2.5400216000000002</v>
      </c>
      <c r="P102">
        <v>-3.7996354000000001</v>
      </c>
      <c r="Q102">
        <v>0.81082535</v>
      </c>
      <c r="R102">
        <v>-4.4917935</v>
      </c>
      <c r="S102">
        <f t="shared" si="24"/>
        <v>0.99867564014303545</v>
      </c>
      <c r="T102">
        <f t="shared" si="25"/>
        <v>-23.529946693483183</v>
      </c>
      <c r="U102" s="8"/>
      <c r="V102" s="8"/>
    </row>
    <row r="103" spans="1:22" x14ac:dyDescent="0.35">
      <c r="A103">
        <v>0.875</v>
      </c>
      <c r="B103" s="9">
        <v>15.829599999999999</v>
      </c>
      <c r="C103">
        <v>-1.0237679E-2</v>
      </c>
      <c r="D103">
        <v>-1.9296393E-3</v>
      </c>
      <c r="E103">
        <v>0.98976611000000003</v>
      </c>
      <c r="F103">
        <v>-3.1611598E-3</v>
      </c>
      <c r="G103">
        <f t="shared" si="16"/>
        <v>45.503382788186698</v>
      </c>
      <c r="H103">
        <f t="shared" si="17"/>
        <v>-11.4396548070868</v>
      </c>
      <c r="I103">
        <f t="shared" si="18"/>
        <v>45.503385061841598</v>
      </c>
      <c r="J103">
        <f t="shared" si="19"/>
        <v>-11.4402705647702</v>
      </c>
      <c r="K103" s="7">
        <f t="shared" si="20"/>
        <v>-2.2736548999091602E-6</v>
      </c>
      <c r="L103" s="7">
        <f t="shared" si="21"/>
        <v>6.1575768340027504E-4</v>
      </c>
      <c r="M103" s="7">
        <f t="shared" si="22"/>
        <v>2.0669847760233801E-2</v>
      </c>
      <c r="N103" s="7">
        <f t="shared" si="23"/>
        <v>5.1967265861278299E-3</v>
      </c>
      <c r="O103">
        <v>2.4280284999999999</v>
      </c>
      <c r="P103">
        <v>-4.0308761999999998</v>
      </c>
      <c r="Q103">
        <v>0.61651674999999995</v>
      </c>
      <c r="R103">
        <v>-4.6648433000000002</v>
      </c>
      <c r="S103">
        <f t="shared" si="24"/>
        <v>0.99994514168617987</v>
      </c>
      <c r="T103">
        <f t="shared" si="25"/>
        <v>-23.534258862938771</v>
      </c>
      <c r="U103" s="8"/>
      <c r="V103" s="8"/>
    </row>
    <row r="104" spans="1:22" x14ac:dyDescent="0.35">
      <c r="A104">
        <v>0.875</v>
      </c>
      <c r="B104" s="9">
        <v>15.878399999999999</v>
      </c>
      <c r="C104">
        <v>-1.0852054E-2</v>
      </c>
      <c r="D104">
        <v>-1.6053358999999999E-3</v>
      </c>
      <c r="E104">
        <v>0.98915553000000001</v>
      </c>
      <c r="F104">
        <v>-2.819542E-3</v>
      </c>
      <c r="G104">
        <f t="shared" si="16"/>
        <v>43.749838041098201</v>
      </c>
      <c r="H104">
        <f t="shared" si="17"/>
        <v>-9.0241899426389391</v>
      </c>
      <c r="I104">
        <f t="shared" si="18"/>
        <v>43.749842201653699</v>
      </c>
      <c r="J104">
        <f t="shared" si="19"/>
        <v>-9.0247970408609604</v>
      </c>
      <c r="K104" s="7">
        <f t="shared" si="20"/>
        <v>-4.1605554983448201E-6</v>
      </c>
      <c r="L104" s="7">
        <f t="shared" si="21"/>
        <v>6.0709822202120701E-4</v>
      </c>
      <c r="M104" s="7">
        <f t="shared" si="22"/>
        <v>2.1924298410480499E-2</v>
      </c>
      <c r="N104" s="7">
        <f t="shared" si="23"/>
        <v>4.5225841616950598E-3</v>
      </c>
      <c r="O104">
        <v>2.2890991000000001</v>
      </c>
      <c r="P104">
        <v>-4.2607659</v>
      </c>
      <c r="Q104">
        <v>0.39737524000000002</v>
      </c>
      <c r="R104">
        <v>-4.8251035</v>
      </c>
      <c r="S104">
        <f t="shared" si="24"/>
        <v>1.0009705029701241</v>
      </c>
      <c r="T104">
        <f t="shared" si="25"/>
        <v>-23.538927825653737</v>
      </c>
      <c r="U104" s="8"/>
      <c r="V104" s="8"/>
    </row>
    <row r="105" spans="1:22" x14ac:dyDescent="0.35">
      <c r="A105">
        <v>0.875</v>
      </c>
      <c r="B105" s="9">
        <v>15.927199999999999</v>
      </c>
      <c r="C105">
        <v>-1.1454977999999999E-2</v>
      </c>
      <c r="D105">
        <v>-1.2043874E-3</v>
      </c>
      <c r="E105">
        <v>0.98855433000000004</v>
      </c>
      <c r="F105">
        <v>-2.4060452E-3</v>
      </c>
      <c r="G105">
        <f t="shared" si="16"/>
        <v>42.107843735445897</v>
      </c>
      <c r="H105">
        <f t="shared" si="17"/>
        <v>-6.7170971525439098</v>
      </c>
      <c r="I105">
        <f t="shared" si="18"/>
        <v>42.107848750414497</v>
      </c>
      <c r="J105">
        <f t="shared" si="19"/>
        <v>-6.7176979756345601</v>
      </c>
      <c r="K105" s="7">
        <f t="shared" si="20"/>
        <v>-5.0149686003919703E-6</v>
      </c>
      <c r="L105" s="7">
        <f t="shared" si="21"/>
        <v>6.0082309065023797E-4</v>
      </c>
      <c r="M105" s="7">
        <f t="shared" si="22"/>
        <v>2.3159105697474799E-2</v>
      </c>
      <c r="N105" s="7">
        <f t="shared" si="23"/>
        <v>3.6947002062151599E-3</v>
      </c>
      <c r="O105">
        <v>2.1202068000000001</v>
      </c>
      <c r="P105">
        <v>-4.4838569000000001</v>
      </c>
      <c r="Q105">
        <v>0.15303057</v>
      </c>
      <c r="R105">
        <v>-4.9685382000000002</v>
      </c>
      <c r="S105">
        <f t="shared" si="24"/>
        <v>1.0022239399410653</v>
      </c>
      <c r="T105">
        <f t="shared" si="25"/>
        <v>-23.543135442229854</v>
      </c>
      <c r="U105" s="8"/>
      <c r="V105" s="8"/>
    </row>
    <row r="106" spans="1:22" x14ac:dyDescent="0.35">
      <c r="A106">
        <v>0.875</v>
      </c>
      <c r="B106" s="9">
        <v>15.976000000000001</v>
      </c>
      <c r="C106">
        <v>-1.2031484E-2</v>
      </c>
      <c r="D106">
        <v>-7.2651088000000004E-4</v>
      </c>
      <c r="E106">
        <v>0.98797639000000004</v>
      </c>
      <c r="F106">
        <v>-1.920419E-3</v>
      </c>
      <c r="G106">
        <f t="shared" si="16"/>
        <v>40.5739132115582</v>
      </c>
      <c r="H106">
        <f t="shared" si="17"/>
        <v>-4.5193169486831302</v>
      </c>
      <c r="I106">
        <f t="shared" si="18"/>
        <v>40.573917504892599</v>
      </c>
      <c r="J106">
        <f t="shared" si="19"/>
        <v>-4.51991389783002</v>
      </c>
      <c r="K106" s="7">
        <f t="shared" si="20"/>
        <v>-4.2933343991080602E-6</v>
      </c>
      <c r="L106" s="7">
        <f t="shared" si="21"/>
        <v>5.9694914688979096E-4</v>
      </c>
      <c r="M106" s="7">
        <f t="shared" si="22"/>
        <v>2.43442667099068E-2</v>
      </c>
      <c r="N106" s="7">
        <f t="shared" si="23"/>
        <v>2.71193900419698E-3</v>
      </c>
      <c r="O106">
        <v>1.9223266999999999</v>
      </c>
      <c r="P106">
        <v>-4.6956264000000001</v>
      </c>
      <c r="Q106">
        <v>-0.11412019</v>
      </c>
      <c r="R106">
        <v>-5.0901417000000002</v>
      </c>
      <c r="S106">
        <f t="shared" si="24"/>
        <v>1.0034572965746948</v>
      </c>
      <c r="T106">
        <f t="shared" si="25"/>
        <v>-23.547884330033277</v>
      </c>
      <c r="U106" s="8"/>
      <c r="V106" s="8"/>
    </row>
    <row r="107" spans="1:22" x14ac:dyDescent="0.35">
      <c r="A107">
        <v>0.875</v>
      </c>
      <c r="B107" s="9">
        <v>16.024799999999999</v>
      </c>
      <c r="C107">
        <v>-1.2568232E-2</v>
      </c>
      <c r="D107">
        <v>-1.7276856E-4</v>
      </c>
      <c r="E107">
        <v>0.98743601999999997</v>
      </c>
      <c r="F107">
        <v>-1.3620367000000001E-3</v>
      </c>
      <c r="G107">
        <f t="shared" si="16"/>
        <v>39.141730423998503</v>
      </c>
      <c r="H107">
        <f t="shared" si="17"/>
        <v>-2.4205933832148401</v>
      </c>
      <c r="I107">
        <f t="shared" si="18"/>
        <v>39.1417329035812</v>
      </c>
      <c r="J107">
        <f t="shared" si="19"/>
        <v>-2.4211880145462099</v>
      </c>
      <c r="K107" s="7">
        <f t="shared" si="20"/>
        <v>-2.4795826973900101E-6</v>
      </c>
      <c r="L107" s="7">
        <f t="shared" si="21"/>
        <v>5.9463133136983303E-4</v>
      </c>
      <c r="M107" s="7">
        <f t="shared" si="22"/>
        <v>2.54507971185341E-2</v>
      </c>
      <c r="N107" s="7">
        <f t="shared" si="23"/>
        <v>1.57430855439729E-3</v>
      </c>
      <c r="O107">
        <v>1.6959565000000001</v>
      </c>
      <c r="P107">
        <v>-4.8906670999999999</v>
      </c>
      <c r="Q107">
        <v>-0.40146303</v>
      </c>
      <c r="R107">
        <v>-5.1851820000000002</v>
      </c>
      <c r="S107">
        <f t="shared" si="24"/>
        <v>1.0046986610735451</v>
      </c>
      <c r="T107">
        <f t="shared" si="25"/>
        <v>-23.552515942194422</v>
      </c>
      <c r="U107" s="8"/>
      <c r="V107" s="8"/>
    </row>
    <row r="108" spans="1:22" x14ac:dyDescent="0.35">
      <c r="A108">
        <v>0.875</v>
      </c>
      <c r="B108" s="9">
        <v>16.073599999999999</v>
      </c>
      <c r="C108">
        <v>-1.3052396000000001E-2</v>
      </c>
      <c r="D108">
        <v>4.5370300000000002E-4</v>
      </c>
      <c r="E108">
        <v>0.98683443000000004</v>
      </c>
      <c r="F108">
        <v>-6.6090370999999999E-4</v>
      </c>
      <c r="G108">
        <f t="shared" si="16"/>
        <v>37.639430197762699</v>
      </c>
      <c r="H108">
        <f t="shared" si="17"/>
        <v>-0.30113719273908401</v>
      </c>
      <c r="I108">
        <f t="shared" si="18"/>
        <v>37.6393739182001</v>
      </c>
      <c r="J108">
        <f t="shared" si="19"/>
        <v>-0.30169455899855802</v>
      </c>
      <c r="K108" s="7">
        <f t="shared" si="20"/>
        <v>5.6279562599570501E-5</v>
      </c>
      <c r="L108" s="7">
        <f t="shared" si="21"/>
        <v>5.5736625947400099E-4</v>
      </c>
      <c r="M108" s="7">
        <f t="shared" si="22"/>
        <v>2.6566216528915599E-2</v>
      </c>
      <c r="N108" s="7">
        <f t="shared" si="23"/>
        <v>2.12938796414887E-4</v>
      </c>
      <c r="O108">
        <v>1.4440925</v>
      </c>
      <c r="P108">
        <v>-5.0650105999999999</v>
      </c>
      <c r="Q108">
        <v>-0.70410576000000002</v>
      </c>
      <c r="R108">
        <v>-5.2493822000000003</v>
      </c>
      <c r="S108">
        <f t="shared" si="24"/>
        <v>1.005608745595659</v>
      </c>
      <c r="T108">
        <f t="shared" si="25"/>
        <v>-23.55301018258568</v>
      </c>
      <c r="U108" s="8"/>
      <c r="V108" s="8"/>
    </row>
    <row r="109" spans="1:22" x14ac:dyDescent="0.35">
      <c r="A109">
        <v>0.875</v>
      </c>
      <c r="B109" s="9">
        <v>16.122399999999999</v>
      </c>
      <c r="C109">
        <v>-1.3467612E-2</v>
      </c>
      <c r="D109">
        <v>1.1407317000000001E-3</v>
      </c>
      <c r="E109">
        <v>0.98642012000000001</v>
      </c>
      <c r="F109">
        <v>2.732751E-5</v>
      </c>
      <c r="G109">
        <f t="shared" si="16"/>
        <v>36.403208626495498</v>
      </c>
      <c r="H109">
        <f t="shared" si="17"/>
        <v>1.5939603439277601</v>
      </c>
      <c r="I109">
        <f t="shared" si="18"/>
        <v>36.403152799313602</v>
      </c>
      <c r="J109">
        <f t="shared" si="19"/>
        <v>1.5934035795002399</v>
      </c>
      <c r="K109" s="7">
        <f t="shared" si="20"/>
        <v>5.5827181896006598E-5</v>
      </c>
      <c r="L109" s="7">
        <f t="shared" si="21"/>
        <v>5.5676442752017297E-4</v>
      </c>
      <c r="M109" s="7">
        <f t="shared" si="22"/>
        <v>2.7417618630283299E-2</v>
      </c>
      <c r="N109" s="7">
        <f t="shared" si="23"/>
        <v>-1.20009747253786E-3</v>
      </c>
      <c r="O109">
        <v>1.1686786</v>
      </c>
      <c r="P109">
        <v>-5.2115523000000001</v>
      </c>
      <c r="Q109">
        <v>-1.0185204999999999</v>
      </c>
      <c r="R109">
        <v>-5.2797336000000001</v>
      </c>
      <c r="S109">
        <f t="shared" si="24"/>
        <v>1.0067583909478373</v>
      </c>
      <c r="T109">
        <f t="shared" si="25"/>
        <v>-23.558226557088712</v>
      </c>
      <c r="U109" s="8"/>
      <c r="V109" s="8"/>
    </row>
    <row r="110" spans="1:22" x14ac:dyDescent="0.35">
      <c r="A110">
        <v>0.875</v>
      </c>
      <c r="B110" s="9">
        <v>16.171199999999999</v>
      </c>
      <c r="C110">
        <v>-1.3804027999999999E-2</v>
      </c>
      <c r="D110">
        <v>1.8789182000000001E-3</v>
      </c>
      <c r="E110">
        <v>0.98608286000000001</v>
      </c>
      <c r="F110">
        <v>7.6913212000000002E-4</v>
      </c>
      <c r="G110">
        <f t="shared" si="16"/>
        <v>35.247352480609401</v>
      </c>
      <c r="H110">
        <f t="shared" si="17"/>
        <v>3.4150222568773199</v>
      </c>
      <c r="I110">
        <f t="shared" si="18"/>
        <v>35.247296229369098</v>
      </c>
      <c r="J110">
        <f t="shared" si="19"/>
        <v>3.4144673012378299</v>
      </c>
      <c r="K110" s="7">
        <f t="shared" si="20"/>
        <v>5.6251240302174197E-5</v>
      </c>
      <c r="L110" s="7">
        <f t="shared" si="21"/>
        <v>5.5495563948992899E-4</v>
      </c>
      <c r="M110" s="7">
        <f t="shared" si="22"/>
        <v>2.81072085851038E-2</v>
      </c>
      <c r="N110" s="7">
        <f t="shared" si="23"/>
        <v>-2.72279450935423E-3</v>
      </c>
      <c r="O110">
        <v>0.87489148000000005</v>
      </c>
      <c r="P110">
        <v>-5.3252825000000001</v>
      </c>
      <c r="Q110">
        <v>-1.3378254000000001</v>
      </c>
      <c r="R110">
        <v>-5.2740258000000004</v>
      </c>
      <c r="S110">
        <f t="shared" si="24"/>
        <v>1.0082249138396624</v>
      </c>
      <c r="T110">
        <f t="shared" si="25"/>
        <v>-23.563390760481173</v>
      </c>
      <c r="U110" s="8"/>
      <c r="V110" s="8"/>
    </row>
    <row r="111" spans="1:22" x14ac:dyDescent="0.35">
      <c r="A111">
        <v>0.875</v>
      </c>
      <c r="B111" s="9">
        <v>16.22</v>
      </c>
      <c r="C111">
        <v>-1.4053092999999999E-2</v>
      </c>
      <c r="D111">
        <v>2.6540556E-3</v>
      </c>
      <c r="E111">
        <v>0.98583043000000004</v>
      </c>
      <c r="F111">
        <v>1.5508945999999999E-3</v>
      </c>
      <c r="G111">
        <f t="shared" si="16"/>
        <v>34.163075088429402</v>
      </c>
      <c r="H111">
        <f t="shared" si="17"/>
        <v>5.16479140019299</v>
      </c>
      <c r="I111">
        <f t="shared" si="18"/>
        <v>34.1630171508315</v>
      </c>
      <c r="J111">
        <f t="shared" si="19"/>
        <v>5.1642397556087802</v>
      </c>
      <c r="K111" s="7">
        <f t="shared" si="20"/>
        <v>5.7937597901514002E-5</v>
      </c>
      <c r="L111" s="7">
        <f t="shared" si="21"/>
        <v>5.5164458420975404E-4</v>
      </c>
      <c r="M111" s="7">
        <f t="shared" si="22"/>
        <v>2.86174883954033E-2</v>
      </c>
      <c r="N111" s="7">
        <f t="shared" si="23"/>
        <v>-4.32595196802217E-3</v>
      </c>
      <c r="O111">
        <v>0.56899971999999999</v>
      </c>
      <c r="P111">
        <v>-5.4069323000000002</v>
      </c>
      <c r="Q111">
        <v>-1.6555361</v>
      </c>
      <c r="R111">
        <v>-5.2314441</v>
      </c>
      <c r="S111">
        <f t="shared" si="24"/>
        <v>1.0092628203746927</v>
      </c>
      <c r="T111">
        <f t="shared" si="25"/>
        <v>-23.567852370766055</v>
      </c>
      <c r="U111" s="8"/>
      <c r="V111" s="8"/>
    </row>
    <row r="112" spans="1:22" x14ac:dyDescent="0.35">
      <c r="A112">
        <v>0.875</v>
      </c>
      <c r="B112" s="9">
        <v>16.268799999999999</v>
      </c>
      <c r="C112">
        <v>-1.4209705E-2</v>
      </c>
      <c r="D112">
        <v>3.450135E-3</v>
      </c>
      <c r="E112">
        <v>0.98566779000000004</v>
      </c>
      <c r="F112">
        <v>2.3564711000000002E-3</v>
      </c>
      <c r="G112">
        <f t="shared" si="16"/>
        <v>33.143762157305602</v>
      </c>
      <c r="H112">
        <f t="shared" si="17"/>
        <v>6.8448000900321802</v>
      </c>
      <c r="I112">
        <f t="shared" si="18"/>
        <v>33.143701200133599</v>
      </c>
      <c r="J112">
        <f t="shared" si="19"/>
        <v>6.8442531912499298</v>
      </c>
      <c r="K112" s="7">
        <f t="shared" si="20"/>
        <v>6.0957172003384103E-5</v>
      </c>
      <c r="L112" s="7">
        <f t="shared" si="21"/>
        <v>5.4689878225033805E-4</v>
      </c>
      <c r="M112" s="7">
        <f t="shared" si="22"/>
        <v>2.8937650432017199E-2</v>
      </c>
      <c r="N112" s="7">
        <f t="shared" si="23"/>
        <v>-5.9756936957846597E-3</v>
      </c>
      <c r="O112">
        <v>0.25678113000000002</v>
      </c>
      <c r="P112">
        <v>-5.4530241000000004</v>
      </c>
      <c r="Q112">
        <v>-1.9652273</v>
      </c>
      <c r="R112">
        <v>-5.1529328000000003</v>
      </c>
      <c r="S112">
        <f t="shared" si="24"/>
        <v>1.0102394793530287</v>
      </c>
      <c r="T112">
        <f t="shared" si="25"/>
        <v>-23.571916090685701</v>
      </c>
      <c r="U112" s="8"/>
      <c r="V112" s="8"/>
    </row>
    <row r="113" spans="1:22" x14ac:dyDescent="0.35">
      <c r="A113">
        <v>0.875</v>
      </c>
      <c r="B113" s="9">
        <v>16.317599999999999</v>
      </c>
      <c r="C113">
        <v>-1.4272826000000001E-2</v>
      </c>
      <c r="D113">
        <v>4.2527542999999998E-3</v>
      </c>
      <c r="E113">
        <v>0.98560000000000003</v>
      </c>
      <c r="F113">
        <v>3.1759008E-3</v>
      </c>
      <c r="G113">
        <f t="shared" si="16"/>
        <v>32.1824748443345</v>
      </c>
      <c r="H113">
        <f t="shared" si="17"/>
        <v>8.4677498618311695</v>
      </c>
      <c r="I113">
        <f t="shared" si="18"/>
        <v>32.182411543249501</v>
      </c>
      <c r="J113">
        <f t="shared" si="19"/>
        <v>8.4672113667568798</v>
      </c>
      <c r="K113" s="7">
        <f t="shared" si="20"/>
        <v>6.3301084999523E-5</v>
      </c>
      <c r="L113" s="7">
        <f t="shared" si="21"/>
        <v>5.38495074289713E-4</v>
      </c>
      <c r="M113" s="7">
        <f t="shared" si="22"/>
        <v>2.90612012948008E-2</v>
      </c>
      <c r="N113" s="7">
        <f t="shared" si="23"/>
        <v>-7.6460191183703001E-3</v>
      </c>
      <c r="O113">
        <v>-5.6242380000000002E-2</v>
      </c>
      <c r="P113">
        <v>-5.4617768</v>
      </c>
      <c r="Q113">
        <v>-2.2616000000000001</v>
      </c>
      <c r="R113">
        <v>-5.0403088</v>
      </c>
      <c r="S113">
        <f t="shared" si="24"/>
        <v>1.0114212436784822</v>
      </c>
      <c r="T113">
        <f t="shared" si="25"/>
        <v>-23.5759213589666</v>
      </c>
      <c r="U113" s="8"/>
      <c r="V113" s="8"/>
    </row>
    <row r="114" spans="1:22" x14ac:dyDescent="0.35">
      <c r="A114">
        <v>0.875</v>
      </c>
      <c r="B114" s="9">
        <v>16.366399999999999</v>
      </c>
      <c r="C114">
        <v>-1.4243608E-2</v>
      </c>
      <c r="D114">
        <v>5.0411487000000003E-3</v>
      </c>
      <c r="E114">
        <v>0.98562201999999999</v>
      </c>
      <c r="F114">
        <v>3.9780576999999999E-3</v>
      </c>
      <c r="G114">
        <f t="shared" si="16"/>
        <v>31.282679445783501</v>
      </c>
      <c r="H114">
        <f t="shared" si="17"/>
        <v>10.015581665023801</v>
      </c>
      <c r="I114">
        <f t="shared" si="18"/>
        <v>31.2826125378668</v>
      </c>
      <c r="J114">
        <f t="shared" si="19"/>
        <v>10.015050048242101</v>
      </c>
      <c r="K114" s="7">
        <f t="shared" si="20"/>
        <v>6.6907916700387204E-5</v>
      </c>
      <c r="L114" s="7">
        <f t="shared" si="21"/>
        <v>5.3161678169999504E-4</v>
      </c>
      <c r="M114" s="7">
        <f t="shared" si="22"/>
        <v>2.8994831206348499E-2</v>
      </c>
      <c r="N114" s="7">
        <f t="shared" si="23"/>
        <v>-9.2826225853229905E-3</v>
      </c>
      <c r="O114">
        <v>-0.36220119000000001</v>
      </c>
      <c r="P114">
        <v>-5.4363938000000003</v>
      </c>
      <c r="Q114">
        <v>-2.5377923999999998</v>
      </c>
      <c r="R114">
        <v>-4.8977661000000001</v>
      </c>
      <c r="S114">
        <f t="shared" si="24"/>
        <v>1.0124360892016402</v>
      </c>
      <c r="T114">
        <f t="shared" si="25"/>
        <v>-23.579356434876317</v>
      </c>
      <c r="U114" s="8"/>
      <c r="V114" s="8"/>
    </row>
    <row r="115" spans="1:22" x14ac:dyDescent="0.35">
      <c r="A115">
        <v>0.875</v>
      </c>
      <c r="B115" s="9">
        <v>16.415199999999999</v>
      </c>
      <c r="C115">
        <v>-1.4128385E-2</v>
      </c>
      <c r="D115">
        <v>5.8026042999999999E-3</v>
      </c>
      <c r="E115">
        <v>0.98573288000000003</v>
      </c>
      <c r="F115">
        <v>4.7579731999999996E-3</v>
      </c>
      <c r="G115">
        <f t="shared" si="16"/>
        <v>30.4376695036561</v>
      </c>
      <c r="H115">
        <f t="shared" si="17"/>
        <v>11.506282713814301</v>
      </c>
      <c r="I115">
        <f t="shared" si="18"/>
        <v>30.437600404214098</v>
      </c>
      <c r="J115">
        <f t="shared" si="19"/>
        <v>11.5057603259358</v>
      </c>
      <c r="K115" s="7">
        <f t="shared" si="20"/>
        <v>6.9099442001174793E-5</v>
      </c>
      <c r="L115" s="7">
        <f t="shared" si="21"/>
        <v>5.2238787850100699E-4</v>
      </c>
      <c r="M115" s="7">
        <f t="shared" si="22"/>
        <v>2.8746445871219901E-2</v>
      </c>
      <c r="N115" s="7">
        <f t="shared" si="23"/>
        <v>-1.0866484611939099E-2</v>
      </c>
      <c r="O115">
        <v>-0.65626994999999999</v>
      </c>
      <c r="P115">
        <v>-5.3773479000000002</v>
      </c>
      <c r="Q115">
        <v>-2.7904301999999999</v>
      </c>
      <c r="R115">
        <v>-4.7294925000000001</v>
      </c>
      <c r="S115">
        <f t="shared" si="24"/>
        <v>1.0136737043951318</v>
      </c>
      <c r="T115">
        <f t="shared" si="25"/>
        <v>-23.582708147020242</v>
      </c>
      <c r="U115" s="8"/>
      <c r="V115" s="8"/>
    </row>
    <row r="116" spans="1:22" x14ac:dyDescent="0.35">
      <c r="A116">
        <v>0.875</v>
      </c>
      <c r="B116" s="9">
        <v>16.463999999999999</v>
      </c>
      <c r="C116">
        <v>-1.3937451E-2</v>
      </c>
      <c r="D116">
        <v>6.5248498000000004E-3</v>
      </c>
      <c r="E116">
        <v>0.98591675000000001</v>
      </c>
      <c r="F116">
        <v>5.4955825000000003E-3</v>
      </c>
      <c r="G116">
        <f t="shared" si="16"/>
        <v>29.6411503051661</v>
      </c>
      <c r="H116">
        <f t="shared" si="17"/>
        <v>12.930312890926899</v>
      </c>
      <c r="I116">
        <f t="shared" si="18"/>
        <v>29.6410776652571</v>
      </c>
      <c r="J116">
        <f t="shared" si="19"/>
        <v>12.929798182372</v>
      </c>
      <c r="K116" s="7">
        <f t="shared" si="20"/>
        <v>7.2639908999860795E-5</v>
      </c>
      <c r="L116" s="7">
        <f t="shared" si="21"/>
        <v>5.1470855489910204E-4</v>
      </c>
      <c r="M116" s="7">
        <f t="shared" si="22"/>
        <v>2.8343696915760601E-2</v>
      </c>
      <c r="N116" s="7">
        <f t="shared" si="23"/>
        <v>-1.2363864937767101E-2</v>
      </c>
      <c r="O116">
        <v>-0.93405397000000001</v>
      </c>
      <c r="P116">
        <v>-5.2912241</v>
      </c>
      <c r="Q116">
        <v>-3.0165766999999999</v>
      </c>
      <c r="R116">
        <v>-4.5408447000000001</v>
      </c>
      <c r="S116">
        <f t="shared" si="24"/>
        <v>1.0146060220560364</v>
      </c>
      <c r="T116">
        <f t="shared" si="25"/>
        <v>-23.585687258510234</v>
      </c>
      <c r="U116" s="8"/>
      <c r="V116" s="8"/>
    </row>
    <row r="117" spans="1:22" x14ac:dyDescent="0.35">
      <c r="A117">
        <v>0.875</v>
      </c>
      <c r="B117" s="9">
        <v>16.512799999999999</v>
      </c>
      <c r="C117">
        <v>-1.3680931E-2</v>
      </c>
      <c r="D117">
        <v>7.1976940999999997E-3</v>
      </c>
      <c r="E117">
        <v>0.98616671</v>
      </c>
      <c r="F117">
        <v>6.1845401999999997E-3</v>
      </c>
      <c r="G117">
        <f t="shared" si="16"/>
        <v>28.891913301167801</v>
      </c>
      <c r="H117">
        <f t="shared" si="17"/>
        <v>14.2957321004797</v>
      </c>
      <c r="I117">
        <f t="shared" si="18"/>
        <v>28.891837372542799</v>
      </c>
      <c r="J117">
        <f t="shared" si="19"/>
        <v>14.2952254464694</v>
      </c>
      <c r="K117" s="7">
        <f t="shared" si="20"/>
        <v>7.5928625001608893E-5</v>
      </c>
      <c r="L117" s="7">
        <f t="shared" si="21"/>
        <v>5.0665401029981205E-4</v>
      </c>
      <c r="M117" s="7">
        <f t="shared" si="22"/>
        <v>2.7804895693684901E-2</v>
      </c>
      <c r="N117" s="7">
        <f t="shared" si="23"/>
        <v>-1.37574238471428E-2</v>
      </c>
      <c r="O117">
        <v>-1.1915925999999999</v>
      </c>
      <c r="P117">
        <v>-5.1798108000000003</v>
      </c>
      <c r="Q117">
        <v>-3.2145117000000001</v>
      </c>
      <c r="R117">
        <v>-4.3372171000000002</v>
      </c>
      <c r="S117">
        <f t="shared" si="24"/>
        <v>1.015703152547643</v>
      </c>
      <c r="T117">
        <f t="shared" si="25"/>
        <v>-23.58860552444494</v>
      </c>
      <c r="U117" s="8"/>
      <c r="V117" s="8"/>
    </row>
    <row r="118" spans="1:22" x14ac:dyDescent="0.35">
      <c r="A118">
        <v>0.875</v>
      </c>
      <c r="B118" s="9">
        <v>16.561599999999999</v>
      </c>
      <c r="C118">
        <v>-1.3367220000000001E-2</v>
      </c>
      <c r="D118">
        <v>7.8109162999999999E-3</v>
      </c>
      <c r="E118">
        <v>0.98661991000000004</v>
      </c>
      <c r="F118">
        <v>6.7461318000000001E-3</v>
      </c>
      <c r="G118">
        <f t="shared" si="16"/>
        <v>28.343476709436601</v>
      </c>
      <c r="H118">
        <f t="shared" si="17"/>
        <v>15.6981376136848</v>
      </c>
      <c r="I118">
        <f t="shared" si="18"/>
        <v>28.343470557842199</v>
      </c>
      <c r="J118">
        <f t="shared" si="19"/>
        <v>15.6976052147337</v>
      </c>
      <c r="K118" s="7">
        <f t="shared" si="20"/>
        <v>6.1515944018708498E-6</v>
      </c>
      <c r="L118" s="7">
        <f t="shared" si="21"/>
        <v>5.3239895109946601E-4</v>
      </c>
      <c r="M118" s="7">
        <f t="shared" si="22"/>
        <v>2.6999769447761699E-2</v>
      </c>
      <c r="N118" s="7">
        <f t="shared" si="23"/>
        <v>-1.49534165484376E-2</v>
      </c>
      <c r="O118">
        <v>-1.4264751</v>
      </c>
      <c r="P118">
        <v>-5.0488865000000001</v>
      </c>
      <c r="Q118">
        <v>-3.3837944000000002</v>
      </c>
      <c r="R118">
        <v>-4.1237703000000003</v>
      </c>
      <c r="S118">
        <f t="shared" si="24"/>
        <v>1.0167430906609203</v>
      </c>
      <c r="T118">
        <f t="shared" si="25"/>
        <v>-23.594161824796874</v>
      </c>
      <c r="U118" s="8"/>
      <c r="V118" s="8"/>
    </row>
    <row r="119" spans="1:22" x14ac:dyDescent="0.35">
      <c r="A119">
        <v>0.875</v>
      </c>
      <c r="B119" s="9">
        <v>16.610399999999998</v>
      </c>
      <c r="C119">
        <v>-1.3014548000000001E-2</v>
      </c>
      <c r="D119">
        <v>8.3676207999999995E-3</v>
      </c>
      <c r="E119">
        <v>0.98697327999999995</v>
      </c>
      <c r="F119">
        <v>7.3106615000000002E-3</v>
      </c>
      <c r="G119">
        <f t="shared" si="16"/>
        <v>27.684530164176302</v>
      </c>
      <c r="H119">
        <f t="shared" si="17"/>
        <v>16.968907048186299</v>
      </c>
      <c r="I119">
        <f t="shared" si="18"/>
        <v>27.684524357434999</v>
      </c>
      <c r="J119">
        <f t="shared" si="19"/>
        <v>16.9683785622512</v>
      </c>
      <c r="K119" s="7">
        <f t="shared" si="20"/>
        <v>5.8067413029050402E-6</v>
      </c>
      <c r="L119" s="7">
        <f t="shared" si="21"/>
        <v>5.2848593509935405E-4</v>
      </c>
      <c r="M119" s="7">
        <f t="shared" si="22"/>
        <v>2.62572147257467E-2</v>
      </c>
      <c r="N119" s="7">
        <f t="shared" si="23"/>
        <v>-1.6093552979433101E-2</v>
      </c>
      <c r="O119">
        <v>-1.6380619999999999</v>
      </c>
      <c r="P119">
        <v>-4.9032109000000004</v>
      </c>
      <c r="Q119">
        <v>-3.5251814000000001</v>
      </c>
      <c r="R119">
        <v>-3.9054267999999999</v>
      </c>
      <c r="S119">
        <f t="shared" si="24"/>
        <v>1.0177020281101632</v>
      </c>
      <c r="T119">
        <f t="shared" si="25"/>
        <v>-23.597152338610424</v>
      </c>
      <c r="U119" s="8"/>
      <c r="V119" s="8"/>
    </row>
    <row r="120" spans="1:22" x14ac:dyDescent="0.35">
      <c r="A120">
        <v>0.875</v>
      </c>
      <c r="B120" s="9">
        <v>16.659199999999998</v>
      </c>
      <c r="C120">
        <v>-1.2631392999999999E-2</v>
      </c>
      <c r="D120">
        <v>8.8632141000000008E-3</v>
      </c>
      <c r="E120">
        <v>0.98735724999999996</v>
      </c>
      <c r="F120">
        <v>7.8150780999999992E-3</v>
      </c>
      <c r="G120">
        <f t="shared" si="16"/>
        <v>27.063343591195199</v>
      </c>
      <c r="H120">
        <f t="shared" si="17"/>
        <v>18.1891855291538</v>
      </c>
      <c r="I120">
        <f t="shared" si="18"/>
        <v>27.063338187314901</v>
      </c>
      <c r="J120">
        <f t="shared" si="19"/>
        <v>18.188661455345901</v>
      </c>
      <c r="K120" s="7">
        <f t="shared" si="20"/>
        <v>5.4038802979050598E-6</v>
      </c>
      <c r="L120" s="7">
        <f t="shared" si="21"/>
        <v>5.2407380789887303E-4</v>
      </c>
      <c r="M120" s="7">
        <f t="shared" si="22"/>
        <v>2.5453369801534498E-2</v>
      </c>
      <c r="N120" s="7">
        <f t="shared" si="23"/>
        <v>-1.7106637880866998E-2</v>
      </c>
      <c r="O120">
        <v>-1.8255509000000001</v>
      </c>
      <c r="P120">
        <v>-4.7465026999999997</v>
      </c>
      <c r="Q120">
        <v>-3.6400538</v>
      </c>
      <c r="R120">
        <v>-3.6864300999999999</v>
      </c>
      <c r="S120">
        <f t="shared" si="24"/>
        <v>1.0187295105772936</v>
      </c>
      <c r="T120">
        <f t="shared" si="25"/>
        <v>-23.60009878593311</v>
      </c>
      <c r="U120" s="8"/>
      <c r="V120" s="8"/>
    </row>
    <row r="121" spans="1:22" x14ac:dyDescent="0.35">
      <c r="A121">
        <v>0.875</v>
      </c>
      <c r="B121" s="9">
        <v>16.707999999999998</v>
      </c>
      <c r="C121">
        <v>-1.2228311E-2</v>
      </c>
      <c r="D121">
        <v>9.2986150999999993E-3</v>
      </c>
      <c r="E121">
        <v>0.98776054999999996</v>
      </c>
      <c r="F121">
        <v>8.2605860000000003E-3</v>
      </c>
      <c r="G121">
        <f t="shared" si="16"/>
        <v>26.476678938062602</v>
      </c>
      <c r="H121">
        <f t="shared" si="17"/>
        <v>19.359974685931299</v>
      </c>
      <c r="I121">
        <f t="shared" si="18"/>
        <v>26.476673637912199</v>
      </c>
      <c r="J121">
        <f t="shared" si="19"/>
        <v>19.359455665739802</v>
      </c>
      <c r="K121" s="7">
        <f t="shared" si="20"/>
        <v>5.3001504021210596E-6</v>
      </c>
      <c r="L121" s="7">
        <f t="shared" si="21"/>
        <v>5.1902019149707701E-4</v>
      </c>
      <c r="M121" s="7">
        <f t="shared" si="22"/>
        <v>2.46110851927719E-2</v>
      </c>
      <c r="N121" s="7">
        <f t="shared" si="23"/>
        <v>-1.7995357694516802E-2</v>
      </c>
      <c r="O121">
        <v>-1.9897788999999999</v>
      </c>
      <c r="P121">
        <v>-4.5836382000000002</v>
      </c>
      <c r="Q121">
        <v>-3.7304507999999998</v>
      </c>
      <c r="R121">
        <v>-3.4703439999999999</v>
      </c>
      <c r="S121">
        <f t="shared" si="24"/>
        <v>1.0196435241488002</v>
      </c>
      <c r="T121">
        <f t="shared" si="25"/>
        <v>-23.602844724547406</v>
      </c>
      <c r="U121" s="8"/>
      <c r="V121" s="8"/>
    </row>
    <row r="122" spans="1:22" x14ac:dyDescent="0.35">
      <c r="A122">
        <v>0.875</v>
      </c>
      <c r="B122" s="9">
        <v>16.756799999999998</v>
      </c>
      <c r="C122">
        <v>-1.1814701E-2</v>
      </c>
      <c r="D122">
        <v>9.6761435999999992E-3</v>
      </c>
      <c r="E122">
        <v>0.98817376999999995</v>
      </c>
      <c r="F122">
        <v>8.6501059999999994E-3</v>
      </c>
      <c r="G122">
        <f t="shared" si="16"/>
        <v>25.921977576148301</v>
      </c>
      <c r="H122">
        <f t="shared" si="17"/>
        <v>20.482347745357</v>
      </c>
      <c r="I122">
        <f t="shared" si="18"/>
        <v>25.921972074807901</v>
      </c>
      <c r="J122">
        <f t="shared" si="19"/>
        <v>20.4818347207774</v>
      </c>
      <c r="K122" s="7">
        <f t="shared" si="20"/>
        <v>5.5013404001158497E-6</v>
      </c>
      <c r="L122" s="7">
        <f t="shared" si="21"/>
        <v>5.1302457960034097E-4</v>
      </c>
      <c r="M122" s="7">
        <f t="shared" si="22"/>
        <v>2.37499405083774E-2</v>
      </c>
      <c r="N122" s="7">
        <f t="shared" si="23"/>
        <v>-1.87656384598003E-2</v>
      </c>
      <c r="O122">
        <v>-2.1315876</v>
      </c>
      <c r="P122">
        <v>-4.4176269000000001</v>
      </c>
      <c r="Q122">
        <v>-3.7987582</v>
      </c>
      <c r="R122">
        <v>-3.2601081000000001</v>
      </c>
      <c r="S122">
        <f t="shared" si="24"/>
        <v>1.020566018341351</v>
      </c>
      <c r="T122">
        <f t="shared" si="25"/>
        <v>-23.60550847155665</v>
      </c>
      <c r="U122" s="8"/>
      <c r="V122" s="8"/>
    </row>
    <row r="123" spans="1:22" x14ac:dyDescent="0.35">
      <c r="A123">
        <v>0.875</v>
      </c>
      <c r="B123" s="9">
        <v>16.805599999999998</v>
      </c>
      <c r="C123">
        <v>-1.1394745E-2</v>
      </c>
      <c r="D123">
        <v>9.9983998999999997E-3</v>
      </c>
      <c r="E123">
        <v>0.98871538999999997</v>
      </c>
      <c r="F123">
        <v>9.0153531999999995E-3</v>
      </c>
      <c r="G123">
        <f t="shared" si="16"/>
        <v>25.393313745116199</v>
      </c>
      <c r="H123">
        <f t="shared" si="17"/>
        <v>21.708517432668401</v>
      </c>
      <c r="I123">
        <f t="shared" si="18"/>
        <v>25.393369051139199</v>
      </c>
      <c r="J123">
        <f t="shared" si="19"/>
        <v>21.708025963566499</v>
      </c>
      <c r="K123" s="7">
        <f t="shared" si="20"/>
        <v>-5.5306023000412097E-5</v>
      </c>
      <c r="L123" s="7">
        <f t="shared" si="21"/>
        <v>4.9146910190245297E-4</v>
      </c>
      <c r="M123" s="7">
        <f t="shared" si="22"/>
        <v>2.2752659385363399E-2</v>
      </c>
      <c r="N123" s="7">
        <f t="shared" si="23"/>
        <v>-1.94505628490244E-2</v>
      </c>
      <c r="O123">
        <v>-2.2527930999999999</v>
      </c>
      <c r="P123">
        <v>-4.2507849999999996</v>
      </c>
      <c r="Q123">
        <v>-3.8474091000000001</v>
      </c>
      <c r="R123">
        <v>-3.0570401999999999</v>
      </c>
      <c r="S123">
        <f t="shared" si="24"/>
        <v>1.0214555973880177</v>
      </c>
      <c r="T123">
        <f t="shared" si="25"/>
        <v>-23.608064173445094</v>
      </c>
      <c r="U123" s="8"/>
      <c r="V123" s="8"/>
    </row>
    <row r="124" spans="1:22" x14ac:dyDescent="0.35">
      <c r="A124">
        <v>0.875</v>
      </c>
      <c r="B124" s="9">
        <v>16.854399999999998</v>
      </c>
      <c r="C124">
        <v>-1.0981662E-2</v>
      </c>
      <c r="D124">
        <v>1.0271603000000001E-2</v>
      </c>
      <c r="E124">
        <v>0.98915322000000006</v>
      </c>
      <c r="F124">
        <v>9.3526475999999997E-3</v>
      </c>
      <c r="G124">
        <f t="shared" si="16"/>
        <v>24.834973552448499</v>
      </c>
      <c r="H124">
        <f t="shared" si="17"/>
        <v>22.776959888728999</v>
      </c>
      <c r="I124">
        <f t="shared" si="18"/>
        <v>24.8350411999775</v>
      </c>
      <c r="J124">
        <f t="shared" si="19"/>
        <v>22.776500473094899</v>
      </c>
      <c r="K124" s="7">
        <f t="shared" si="20"/>
        <v>-6.7647529000680606E-5</v>
      </c>
      <c r="L124" s="7">
        <f t="shared" si="21"/>
        <v>4.5941563410067899E-4</v>
      </c>
      <c r="M124" s="7">
        <f t="shared" si="22"/>
        <v>2.1870529327869901E-2</v>
      </c>
      <c r="N124" s="7">
        <f t="shared" si="23"/>
        <v>-2.00577127121302E-2</v>
      </c>
      <c r="O124">
        <v>-2.3547796999999999</v>
      </c>
      <c r="P124">
        <v>-4.0869662</v>
      </c>
      <c r="Q124">
        <v>-3.8792965000000001</v>
      </c>
      <c r="R124">
        <v>-2.864363</v>
      </c>
      <c r="S124">
        <f t="shared" si="24"/>
        <v>1.0223417551758029</v>
      </c>
      <c r="T124">
        <f t="shared" si="25"/>
        <v>-23.6097113438794</v>
      </c>
      <c r="U124" s="8"/>
      <c r="V124" s="8"/>
    </row>
    <row r="125" spans="1:22" x14ac:dyDescent="0.35">
      <c r="A125">
        <v>0.875</v>
      </c>
      <c r="B125" s="9">
        <v>16.903200000000002</v>
      </c>
      <c r="C125">
        <v>-1.0584259E-2</v>
      </c>
      <c r="D125">
        <v>1.0500437E-2</v>
      </c>
      <c r="E125">
        <v>0.98941599999999996</v>
      </c>
      <c r="F125">
        <v>9.5248368999999999E-3</v>
      </c>
      <c r="G125">
        <f t="shared" si="16"/>
        <v>24.430031471119499</v>
      </c>
      <c r="H125">
        <f t="shared" si="17"/>
        <v>23.584172659651699</v>
      </c>
      <c r="I125">
        <f t="shared" si="18"/>
        <v>24.430031838568201</v>
      </c>
      <c r="J125">
        <f t="shared" si="19"/>
        <v>23.583684859844102</v>
      </c>
      <c r="K125" s="7">
        <f t="shared" si="20"/>
        <v>-3.6744870257621198E-7</v>
      </c>
      <c r="L125" s="7">
        <f t="shared" si="21"/>
        <v>4.8779980759761099E-4</v>
      </c>
      <c r="M125" s="7">
        <f t="shared" si="22"/>
        <v>2.11879263823763E-2</v>
      </c>
      <c r="N125" s="7">
        <f t="shared" si="23"/>
        <v>-2.0453897970229899E-2</v>
      </c>
      <c r="O125">
        <v>-2.4389235</v>
      </c>
      <c r="P125">
        <v>-3.9285956999999998</v>
      </c>
      <c r="Q125">
        <v>-3.897125</v>
      </c>
      <c r="R125">
        <v>-2.6836631</v>
      </c>
      <c r="S125">
        <f t="shared" si="24"/>
        <v>1.0232862802917542</v>
      </c>
      <c r="T125">
        <f t="shared" si="25"/>
        <v>-23.615126182584692</v>
      </c>
      <c r="U125" s="8"/>
      <c r="V125" s="8"/>
    </row>
    <row r="126" spans="1:22" x14ac:dyDescent="0.35">
      <c r="A126">
        <v>0.875</v>
      </c>
      <c r="B126" s="9">
        <v>16.952000000000002</v>
      </c>
      <c r="C126">
        <v>-1.0200209999999999E-2</v>
      </c>
      <c r="D126">
        <v>1.0689742E-2</v>
      </c>
      <c r="E126">
        <v>0.98966540000000003</v>
      </c>
      <c r="F126">
        <v>9.8217805000000002E-3</v>
      </c>
      <c r="G126">
        <f t="shared" si="16"/>
        <v>23.876560314725399</v>
      </c>
      <c r="H126">
        <f t="shared" si="17"/>
        <v>24.349099629945499</v>
      </c>
      <c r="I126">
        <f t="shared" si="18"/>
        <v>23.8764933035871</v>
      </c>
      <c r="J126">
        <f t="shared" si="19"/>
        <v>24.348665590948698</v>
      </c>
      <c r="K126" s="7">
        <f t="shared" si="20"/>
        <v>6.7011138298766996E-5</v>
      </c>
      <c r="L126" s="7">
        <f t="shared" si="21"/>
        <v>4.34038996800723E-4</v>
      </c>
      <c r="M126" s="7">
        <f t="shared" si="22"/>
        <v>2.05310695052053E-2</v>
      </c>
      <c r="N126" s="7">
        <f t="shared" si="23"/>
        <v>-2.0937083986770501E-2</v>
      </c>
      <c r="O126">
        <v>-2.5084610999999999</v>
      </c>
      <c r="P126">
        <v>-3.7741942000000002</v>
      </c>
      <c r="Q126">
        <v>-3.9011762000000001</v>
      </c>
      <c r="R126">
        <v>-2.5126468000000002</v>
      </c>
      <c r="S126">
        <f t="shared" si="24"/>
        <v>1.0239536209775322</v>
      </c>
      <c r="T126">
        <f t="shared" si="25"/>
        <v>-23.606062914857464</v>
      </c>
      <c r="U126" s="8"/>
      <c r="V126" s="8"/>
    </row>
    <row r="127" spans="1:22" x14ac:dyDescent="0.35">
      <c r="A127">
        <v>0.875</v>
      </c>
      <c r="B127" s="9">
        <v>17</v>
      </c>
      <c r="C127">
        <v>-1.0219761000000001E-2</v>
      </c>
      <c r="D127">
        <v>1.090988E-2</v>
      </c>
      <c r="E127">
        <v>0.98968595999999998</v>
      </c>
      <c r="F127">
        <v>1.0110371999999999E-2</v>
      </c>
      <c r="G127">
        <f t="shared" si="16"/>
        <v>23.280089376586599</v>
      </c>
      <c r="H127">
        <f t="shared" si="17"/>
        <v>24.343621627267598</v>
      </c>
      <c r="I127">
        <f t="shared" si="18"/>
        <v>23.280042394690199</v>
      </c>
      <c r="J127">
        <f t="shared" si="19"/>
        <v>24.343221835640399</v>
      </c>
      <c r="K127" s="7">
        <f t="shared" si="20"/>
        <v>4.6981896399955799E-5</v>
      </c>
      <c r="L127" s="7">
        <f t="shared" si="21"/>
        <v>3.9979162719916401E-4</v>
      </c>
      <c r="M127" s="7">
        <f t="shared" si="22"/>
        <v>2.0519134867827402E-2</v>
      </c>
      <c r="N127" s="7">
        <f t="shared" si="23"/>
        <v>-2.1456226045227199E-2</v>
      </c>
      <c r="O127">
        <v>-2.5915056999999999</v>
      </c>
      <c r="P127">
        <v>-3.7986092</v>
      </c>
      <c r="Q127">
        <v>-3.9310673</v>
      </c>
      <c r="R127">
        <v>-2.4695714999999998</v>
      </c>
      <c r="S127">
        <f t="shared" si="24"/>
        <v>1.0095719108369605</v>
      </c>
      <c r="T127">
        <f t="shared" si="25"/>
        <v>-23.559396544946416</v>
      </c>
      <c r="U127" s="8"/>
      <c r="V127" s="8"/>
    </row>
    <row r="128" spans="1:22" x14ac:dyDescent="0.35">
      <c r="A128">
        <v>1.0125</v>
      </c>
      <c r="B128" s="9">
        <v>15</v>
      </c>
      <c r="C128">
        <v>-3.9960459E-3</v>
      </c>
      <c r="D128">
        <v>-3.0173174E-3</v>
      </c>
      <c r="E128">
        <v>0.99590164999999997</v>
      </c>
      <c r="F128">
        <v>-4.8040896000000003E-3</v>
      </c>
      <c r="G128">
        <f t="shared" si="16"/>
        <v>63.389539323172301</v>
      </c>
      <c r="H128">
        <f t="shared" si="17"/>
        <v>-61.734350933182498</v>
      </c>
      <c r="I128">
        <f t="shared" si="18"/>
        <v>63.389488966766102</v>
      </c>
      <c r="J128">
        <f t="shared" si="19"/>
        <v>-61.735244409973298</v>
      </c>
      <c r="K128" s="7">
        <f t="shared" si="20"/>
        <v>5.0356406198659402E-5</v>
      </c>
      <c r="L128" s="7">
        <f t="shared" si="21"/>
        <v>8.9347679080020704E-4</v>
      </c>
      <c r="M128" s="7">
        <f t="shared" si="22"/>
        <v>8.0962705618952604E-3</v>
      </c>
      <c r="N128" s="7">
        <f t="shared" si="23"/>
        <v>7.8849861403666593E-3</v>
      </c>
      <c r="O128">
        <v>2.6949241000000002</v>
      </c>
      <c r="P128">
        <v>-1.4470152000000001</v>
      </c>
      <c r="Q128">
        <v>1.8275321</v>
      </c>
      <c r="R128">
        <v>-2.3134602000000002</v>
      </c>
      <c r="S128">
        <f t="shared" si="24"/>
        <v>0.96383604132522338</v>
      </c>
      <c r="T128">
        <f t="shared" si="25"/>
        <v>-23.459637718999854</v>
      </c>
      <c r="U128" s="8"/>
      <c r="V128" s="8"/>
    </row>
    <row r="129" spans="1:22" x14ac:dyDescent="0.35">
      <c r="A129">
        <v>1.0125</v>
      </c>
      <c r="B129" s="9">
        <v>15.0488</v>
      </c>
      <c r="C129">
        <v>-4.2857153000000004E-3</v>
      </c>
      <c r="D129">
        <v>-3.2407847999999999E-3</v>
      </c>
      <c r="E129">
        <v>0.99570459</v>
      </c>
      <c r="F129">
        <v>-5.0825810000000001E-3</v>
      </c>
      <c r="G129">
        <f t="shared" si="16"/>
        <v>59.543927122527798</v>
      </c>
      <c r="H129">
        <f t="shared" si="17"/>
        <v>-58.2398676382955</v>
      </c>
      <c r="I129">
        <f t="shared" si="18"/>
        <v>59.543923123219301</v>
      </c>
      <c r="J129">
        <f t="shared" si="19"/>
        <v>-58.240788544542497</v>
      </c>
      <c r="K129" s="7">
        <f t="shared" si="20"/>
        <v>3.9993084968159598E-6</v>
      </c>
      <c r="L129" s="7">
        <f t="shared" si="21"/>
        <v>9.2090624699636703E-4</v>
      </c>
      <c r="M129" s="7">
        <f t="shared" si="22"/>
        <v>8.5829471413624899E-3</v>
      </c>
      <c r="N129" s="7">
        <f t="shared" si="23"/>
        <v>8.3951070626407803E-3</v>
      </c>
      <c r="O129">
        <v>2.7663194</v>
      </c>
      <c r="P129">
        <v>-1.5503093999999999</v>
      </c>
      <c r="Q129">
        <v>1.8515664000000001</v>
      </c>
      <c r="R129">
        <v>-2.4325909999999999</v>
      </c>
      <c r="S129">
        <f t="shared" si="24"/>
        <v>0.96404193331169485</v>
      </c>
      <c r="T129">
        <f t="shared" si="25"/>
        <v>-23.456147466502927</v>
      </c>
      <c r="U129" s="8"/>
      <c r="V129" s="8"/>
    </row>
    <row r="130" spans="1:22" x14ac:dyDescent="0.35">
      <c r="A130">
        <v>1.0125</v>
      </c>
      <c r="B130" s="9">
        <v>15.0976</v>
      </c>
      <c r="C130">
        <v>-4.6006492000000001E-3</v>
      </c>
      <c r="D130">
        <v>-3.4464676000000001E-3</v>
      </c>
      <c r="E130">
        <v>0.99521725999999999</v>
      </c>
      <c r="F130">
        <v>-5.3216506999999996E-3</v>
      </c>
      <c r="G130">
        <f t="shared" si="16"/>
        <v>56.393934412181402</v>
      </c>
      <c r="H130">
        <f t="shared" si="17"/>
        <v>-53.162875569342702</v>
      </c>
      <c r="I130">
        <f t="shared" si="18"/>
        <v>56.3938442378087</v>
      </c>
      <c r="J130">
        <f t="shared" si="19"/>
        <v>-53.1638133308183</v>
      </c>
      <c r="K130" s="7">
        <f t="shared" si="20"/>
        <v>9.0174372701312704E-5</v>
      </c>
      <c r="L130" s="7">
        <f t="shared" si="21"/>
        <v>9.3776147559765399E-4</v>
      </c>
      <c r="M130" s="7">
        <f t="shared" si="22"/>
        <v>9.3885578793843107E-3</v>
      </c>
      <c r="N130" s="7">
        <f t="shared" si="23"/>
        <v>8.85081599403598E-3</v>
      </c>
      <c r="O130">
        <v>2.8274878000000001</v>
      </c>
      <c r="P130">
        <v>-1.6598965999999999</v>
      </c>
      <c r="Q130">
        <v>1.8661709</v>
      </c>
      <c r="R130">
        <v>-2.5574754999999998</v>
      </c>
      <c r="S130">
        <f t="shared" si="24"/>
        <v>0.96560991654893913</v>
      </c>
      <c r="T130">
        <f t="shared" si="25"/>
        <v>-23.466683709570194</v>
      </c>
      <c r="U130" s="8"/>
      <c r="V130" s="8"/>
    </row>
    <row r="131" spans="1:22" x14ac:dyDescent="0.35">
      <c r="A131">
        <v>1.0125</v>
      </c>
      <c r="B131" s="9">
        <v>15.1464</v>
      </c>
      <c r="C131">
        <v>-4.9417602E-3</v>
      </c>
      <c r="D131">
        <v>-3.6487490000000002E-3</v>
      </c>
      <c r="E131">
        <v>0.99487610000000004</v>
      </c>
      <c r="F131">
        <v>-5.5103543E-3</v>
      </c>
      <c r="G131">
        <f t="shared" ref="G131:G194" si="26">IMREAL(IMDIV(IMSUM(IMPRODUCT(COMPLEX(1 + C131,D131),COMPLEX(1 - C131, - D131)),IMPRODUCT(COMPLEX(E131,F131),COMPLEX(E131,F131))),IMSUB(IMPRODUCT(COMPLEX(1 - C131, - D131),COMPLEX(1 - C131, - D131)),IMPRODUCT(COMPLEX(E131,F131),COMPLEX(E131,F131)))))</f>
        <v>53.848299374190503</v>
      </c>
      <c r="H131">
        <f t="shared" ref="H131:H194" si="27">IMAGINARY(IMDIV(IMSUM(IMPRODUCT(COMPLEX(1 + C131,D131),COMPLEX(1 - C131, - D131)),IMPRODUCT(COMPLEX(E131,F131),COMPLEX(E131,F131))),IMSUB(IMPRODUCT(COMPLEX(1 - C131, - D131),COMPLEX(1 - C131, - D131)),IMPRODUCT(COMPLEX(E131,F131),COMPLEX(E131,F131)))))</f>
        <v>-49.452949901697998</v>
      </c>
      <c r="I131">
        <f t="shared" ref="I131:I194" si="28">IMREAL(IMDIV(IMPRODUCT(COMPLEX(2,0),COMPLEX(E131,F131)),IMSUB(IMPRODUCT(COMPLEX(1 - C131, - D131),COMPLEX(1 - C131, - D131)),IMPRODUCT(COMPLEX(E131,F131),COMPLEX(E131,F131)))))</f>
        <v>53.848209162625601</v>
      </c>
      <c r="J131">
        <f t="shared" ref="J131:J194" si="29">IMAGINARY(IMDIV(IMPRODUCT(COMPLEX(2,0),COMPLEX(E131,F131)),IMSUB(IMPRODUCT(COMPLEX(1 - C131, - D131),COMPLEX(1 - C131, - D131)),IMPRODUCT(COMPLEX(E131,F131),COMPLEX(E131,F131)))))</f>
        <v>-49.453880873100601</v>
      </c>
      <c r="K131" s="7">
        <f t="shared" ref="K131:K194" si="30">IMREAL(IMSUB(COMPLEX(G131,H131),COMPLEX(I131,J131)))</f>
        <v>9.0211564902631394E-5</v>
      </c>
      <c r="L131" s="7">
        <f t="shared" ref="L131:L194" si="31">IMAGINARY(IMSUB(COMPLEX(G131,H131),COMPLEX(I131,J131)))</f>
        <v>9.3097140260311995E-4</v>
      </c>
      <c r="M131" s="7">
        <f t="shared" ref="M131:M194" si="32">IMREAL(IMDIV(IMSUB(IMPRODUCT(COMPLEX(1 - C131, - D131),COMPLEX(1 - C131, - D131)),IMPRODUCT(COMPLEX(E131,F131),COMPLEX(E131,F131))),IMPRODUCT(COMPLEX(2,0),COMPLEX(E131,F131))))</f>
        <v>1.00739057393428E-2</v>
      </c>
      <c r="N131" s="7">
        <f t="shared" ref="N131:N194" si="33">IMAGINARY(IMDIV(IMSUB(IMPRODUCT(COMPLEX(1 - C131, - D131),COMPLEX(1 - C131, - D131)),IMPRODUCT(COMPLEX(E131,F131),COMPLEX(E131,F131))),IMPRODUCT(COMPLEX(2,0),COMPLEX(E131,F131))))</f>
        <v>9.2518162090725001E-3</v>
      </c>
      <c r="O131">
        <v>2.8883182999999999</v>
      </c>
      <c r="P131">
        <v>-1.7778780999999999</v>
      </c>
      <c r="Q131">
        <v>1.8771468</v>
      </c>
      <c r="R131">
        <v>-2.6894060999999998</v>
      </c>
      <c r="S131">
        <f t="shared" ref="S131:S194" si="34">IMABS(COMPLEX(Q131,R131))/IMABS(COMPLEX(O131,P131))</f>
        <v>0.96700173078656071</v>
      </c>
      <c r="T131">
        <f t="shared" ref="T131:T194" si="35">IMARGUMENT(IMDIV(COMPLEX(Q131,R131),COMPLEX(O131/B131,P131/B131)))/PI()*180</f>
        <v>-23.471802025334721</v>
      </c>
      <c r="U131" s="8"/>
      <c r="V131" s="8"/>
    </row>
    <row r="132" spans="1:22" x14ac:dyDescent="0.35">
      <c r="A132">
        <v>1.0125</v>
      </c>
      <c r="B132" s="9">
        <v>15.1952</v>
      </c>
      <c r="C132">
        <v>-5.3119865E-3</v>
      </c>
      <c r="D132">
        <v>-3.8473944999999998E-3</v>
      </c>
      <c r="E132">
        <v>0.99450656000000004</v>
      </c>
      <c r="F132">
        <v>-5.6925287000000003E-3</v>
      </c>
      <c r="G132">
        <f t="shared" si="26"/>
        <v>51.507374877664098</v>
      </c>
      <c r="H132">
        <f t="shared" si="27"/>
        <v>-45.9159060643494</v>
      </c>
      <c r="I132">
        <f t="shared" si="28"/>
        <v>51.507284994042898</v>
      </c>
      <c r="J132">
        <f t="shared" si="29"/>
        <v>-45.916828798089597</v>
      </c>
      <c r="K132" s="7">
        <f t="shared" si="30"/>
        <v>8.9883621200215202E-5</v>
      </c>
      <c r="L132" s="7">
        <f t="shared" si="31"/>
        <v>9.2273374019669096E-4</v>
      </c>
      <c r="M132" s="7">
        <f t="shared" si="32"/>
        <v>1.0817777456430399E-2</v>
      </c>
      <c r="N132" s="7">
        <f t="shared" si="33"/>
        <v>9.6436462434429208E-3</v>
      </c>
      <c r="O132">
        <v>2.9473826000000001</v>
      </c>
      <c r="P132">
        <v>-1.9055785000000001</v>
      </c>
      <c r="Q132">
        <v>1.8829221</v>
      </c>
      <c r="R132">
        <v>-2.8299346999999999</v>
      </c>
      <c r="S132">
        <f t="shared" si="34"/>
        <v>0.968477456282683</v>
      </c>
      <c r="T132">
        <f t="shared" si="35"/>
        <v>-23.477860512882206</v>
      </c>
      <c r="U132" s="8"/>
      <c r="V132" s="8"/>
    </row>
    <row r="133" spans="1:22" x14ac:dyDescent="0.35">
      <c r="A133">
        <v>1.0125</v>
      </c>
      <c r="B133" s="9">
        <v>15.244</v>
      </c>
      <c r="C133">
        <v>-5.7134279E-3</v>
      </c>
      <c r="D133">
        <v>-4.0399607000000002E-3</v>
      </c>
      <c r="E133">
        <v>0.99410690999999995</v>
      </c>
      <c r="F133">
        <v>-5.8675267999999999E-3</v>
      </c>
      <c r="G133">
        <f t="shared" si="26"/>
        <v>49.341327255779099</v>
      </c>
      <c r="H133">
        <f t="shared" si="27"/>
        <v>-42.544765471775399</v>
      </c>
      <c r="I133">
        <f t="shared" si="28"/>
        <v>49.341238251882601</v>
      </c>
      <c r="J133">
        <f t="shared" si="29"/>
        <v>-42.545679418256398</v>
      </c>
      <c r="K133" s="7">
        <f t="shared" si="30"/>
        <v>8.9003896498240906E-5</v>
      </c>
      <c r="L133" s="7">
        <f t="shared" si="31"/>
        <v>9.1394648099907304E-4</v>
      </c>
      <c r="M133" s="7">
        <f t="shared" si="32"/>
        <v>1.16242193628452E-2</v>
      </c>
      <c r="N133" s="7">
        <f t="shared" si="33"/>
        <v>1.0023265082534301E-2</v>
      </c>
      <c r="O133">
        <v>3.0031842000000002</v>
      </c>
      <c r="P133">
        <v>-2.0432370999999998</v>
      </c>
      <c r="Q133">
        <v>1.8823143</v>
      </c>
      <c r="R133">
        <v>-2.9790302999999998</v>
      </c>
      <c r="S133">
        <f t="shared" si="34"/>
        <v>0.97013895260539784</v>
      </c>
      <c r="T133">
        <f t="shared" si="35"/>
        <v>-23.483379778796376</v>
      </c>
      <c r="U133" s="8"/>
      <c r="V133" s="8"/>
    </row>
    <row r="134" spans="1:22" x14ac:dyDescent="0.35">
      <c r="A134">
        <v>1.0125</v>
      </c>
      <c r="B134" s="9">
        <v>15.2928</v>
      </c>
      <c r="C134">
        <v>-6.1482098999999998E-3</v>
      </c>
      <c r="D134">
        <v>-4.2233688999999998E-3</v>
      </c>
      <c r="E134">
        <v>0.99367527</v>
      </c>
      <c r="F134">
        <v>-6.0327274999999996E-3</v>
      </c>
      <c r="G134">
        <f t="shared" si="26"/>
        <v>47.332750129279503</v>
      </c>
      <c r="H134">
        <f t="shared" si="27"/>
        <v>-39.3308401143398</v>
      </c>
      <c r="I134">
        <f t="shared" si="28"/>
        <v>47.332662680099801</v>
      </c>
      <c r="J134">
        <f t="shared" si="29"/>
        <v>-39.3317449526144</v>
      </c>
      <c r="K134" s="7">
        <f t="shared" si="30"/>
        <v>8.74491797020482E-5</v>
      </c>
      <c r="L134" s="7">
        <f t="shared" si="31"/>
        <v>9.0483827460019505E-4</v>
      </c>
      <c r="M134" s="7">
        <f t="shared" si="32"/>
        <v>1.2497511123907901E-2</v>
      </c>
      <c r="N134" s="7">
        <f t="shared" si="33"/>
        <v>1.03849834814949E-2</v>
      </c>
      <c r="O134">
        <v>3.0559205</v>
      </c>
      <c r="P134">
        <v>-2.1923482999999999</v>
      </c>
      <c r="Q134">
        <v>1.8740414999999999</v>
      </c>
      <c r="R134">
        <v>-3.1367693000000001</v>
      </c>
      <c r="S134">
        <f t="shared" si="34"/>
        <v>0.97153966076428866</v>
      </c>
      <c r="T134">
        <f t="shared" si="35"/>
        <v>-23.488040952547745</v>
      </c>
      <c r="U134" s="8"/>
      <c r="V134" s="8"/>
    </row>
    <row r="135" spans="1:22" x14ac:dyDescent="0.35">
      <c r="A135">
        <v>1.0125</v>
      </c>
      <c r="B135" s="9">
        <v>15.3416</v>
      </c>
      <c r="C135">
        <v>-6.6184104000000001E-3</v>
      </c>
      <c r="D135">
        <v>-4.3939725999999997E-3</v>
      </c>
      <c r="E135">
        <v>0.99320960000000003</v>
      </c>
      <c r="F135">
        <v>-6.1844865000000001E-3</v>
      </c>
      <c r="G135">
        <f t="shared" si="26"/>
        <v>45.467854424735897</v>
      </c>
      <c r="H135">
        <f t="shared" si="27"/>
        <v>-36.264411204506899</v>
      </c>
      <c r="I135">
        <f t="shared" si="28"/>
        <v>45.467769224231297</v>
      </c>
      <c r="J135">
        <f t="shared" si="29"/>
        <v>-36.265306614733802</v>
      </c>
      <c r="K135" s="7">
        <f t="shared" si="30"/>
        <v>8.5200504599924898E-5</v>
      </c>
      <c r="L135" s="7">
        <f t="shared" si="31"/>
        <v>8.9541022690298199E-4</v>
      </c>
      <c r="M135" s="7">
        <f t="shared" si="32"/>
        <v>1.34420981215338E-2</v>
      </c>
      <c r="N135" s="7">
        <f t="shared" si="33"/>
        <v>1.07214806936903E-2</v>
      </c>
      <c r="O135">
        <v>3.1042228999999999</v>
      </c>
      <c r="P135">
        <v>-2.3535156000000002</v>
      </c>
      <c r="Q135">
        <v>1.8567549000000001</v>
      </c>
      <c r="R135">
        <v>-3.3033581999999999</v>
      </c>
      <c r="S135">
        <f t="shared" si="34"/>
        <v>0.97275882134229219</v>
      </c>
      <c r="T135">
        <f t="shared" si="35"/>
        <v>-23.492326595798364</v>
      </c>
      <c r="U135" s="8"/>
      <c r="V135" s="8"/>
    </row>
    <row r="136" spans="1:22" x14ac:dyDescent="0.35">
      <c r="A136">
        <v>1.0125</v>
      </c>
      <c r="B136" s="9">
        <v>15.3904</v>
      </c>
      <c r="C136">
        <v>-7.1259504E-3</v>
      </c>
      <c r="D136">
        <v>-4.5474850000000004E-3</v>
      </c>
      <c r="E136">
        <v>0.99270782000000002</v>
      </c>
      <c r="F136">
        <v>-6.3183235000000004E-3</v>
      </c>
      <c r="G136">
        <f t="shared" si="26"/>
        <v>43.734453028123703</v>
      </c>
      <c r="H136">
        <f t="shared" si="27"/>
        <v>-33.335547046551902</v>
      </c>
      <c r="I136">
        <f t="shared" si="28"/>
        <v>43.7343706905773</v>
      </c>
      <c r="J136">
        <f t="shared" si="29"/>
        <v>-33.336432612308798</v>
      </c>
      <c r="K136" s="7">
        <f t="shared" si="30"/>
        <v>8.2337546402300204E-5</v>
      </c>
      <c r="L136" s="7">
        <f t="shared" si="31"/>
        <v>8.8556575689580097E-4</v>
      </c>
      <c r="M136" s="7">
        <f t="shared" si="32"/>
        <v>1.4462362384619299E-2</v>
      </c>
      <c r="N136" s="7">
        <f t="shared" si="33"/>
        <v>1.1023905487532799E-2</v>
      </c>
      <c r="O136">
        <v>3.1456623000000001</v>
      </c>
      <c r="P136">
        <v>-2.5266308</v>
      </c>
      <c r="Q136">
        <v>1.8289654</v>
      </c>
      <c r="R136">
        <v>-3.4789756999999999</v>
      </c>
      <c r="S136">
        <f t="shared" si="34"/>
        <v>0.97415255191446426</v>
      </c>
      <c r="T136">
        <f t="shared" si="35"/>
        <v>-23.496403108725666</v>
      </c>
      <c r="U136" s="8"/>
      <c r="V136" s="8"/>
    </row>
    <row r="137" spans="1:22" x14ac:dyDescent="0.35">
      <c r="A137">
        <v>1.0125</v>
      </c>
      <c r="B137" s="9">
        <v>15.4392</v>
      </c>
      <c r="C137">
        <v>-7.6724593000000001E-3</v>
      </c>
      <c r="D137">
        <v>-4.6788999999999997E-3</v>
      </c>
      <c r="E137">
        <v>0.99216795999999996</v>
      </c>
      <c r="F137">
        <v>-6.4288931999999998E-3</v>
      </c>
      <c r="G137">
        <f t="shared" si="26"/>
        <v>42.1214481931476</v>
      </c>
      <c r="H137">
        <f t="shared" si="27"/>
        <v>-30.534556457104401</v>
      </c>
      <c r="I137">
        <f t="shared" si="28"/>
        <v>42.121369162232199</v>
      </c>
      <c r="J137">
        <f t="shared" si="29"/>
        <v>-30.535431592683398</v>
      </c>
      <c r="K137" s="7">
        <f t="shared" si="30"/>
        <v>7.9030915401290299E-5</v>
      </c>
      <c r="L137" s="7">
        <f t="shared" si="31"/>
        <v>8.7513557899754303E-4</v>
      </c>
      <c r="M137" s="7">
        <f t="shared" si="32"/>
        <v>1.55623371645561E-2</v>
      </c>
      <c r="N137" s="7">
        <f t="shared" si="33"/>
        <v>1.12817482280862E-2</v>
      </c>
      <c r="O137">
        <v>3.1790115999999999</v>
      </c>
      <c r="P137">
        <v>-2.7124937</v>
      </c>
      <c r="Q137">
        <v>1.7888639</v>
      </c>
      <c r="R137">
        <v>-3.6634015999999998</v>
      </c>
      <c r="S137">
        <f t="shared" si="34"/>
        <v>0.97556013613513648</v>
      </c>
      <c r="T137">
        <f t="shared" si="35"/>
        <v>-23.500938630213525</v>
      </c>
      <c r="U137" s="8"/>
      <c r="V137" s="8"/>
    </row>
    <row r="138" spans="1:22" x14ac:dyDescent="0.35">
      <c r="A138">
        <v>1.0125</v>
      </c>
      <c r="B138" s="9">
        <v>15.488</v>
      </c>
      <c r="C138">
        <v>-8.2591060000000004E-3</v>
      </c>
      <c r="D138">
        <v>-4.7824351999999999E-3</v>
      </c>
      <c r="E138">
        <v>0.99158833999999996</v>
      </c>
      <c r="F138">
        <v>-6.5099206E-3</v>
      </c>
      <c r="G138">
        <f t="shared" si="26"/>
        <v>40.618589710013502</v>
      </c>
      <c r="H138">
        <f t="shared" si="27"/>
        <v>-27.8522365311395</v>
      </c>
      <c r="I138">
        <f t="shared" si="28"/>
        <v>40.6185141734165</v>
      </c>
      <c r="J138">
        <f t="shared" si="29"/>
        <v>-27.8531004049774</v>
      </c>
      <c r="K138" s="7">
        <f t="shared" si="30"/>
        <v>7.5536597002212602E-5</v>
      </c>
      <c r="L138" s="7">
        <f t="shared" si="31"/>
        <v>8.6387383790054195E-4</v>
      </c>
      <c r="M138" s="7">
        <f t="shared" si="32"/>
        <v>1.67453528784757E-2</v>
      </c>
      <c r="N138" s="7">
        <f t="shared" si="33"/>
        <v>1.1482694641405901E-2</v>
      </c>
      <c r="O138">
        <v>3.2028617000000001</v>
      </c>
      <c r="P138">
        <v>-2.9119126</v>
      </c>
      <c r="Q138">
        <v>1.7344856</v>
      </c>
      <c r="R138">
        <v>-3.8559174999999999</v>
      </c>
      <c r="S138">
        <f t="shared" si="34"/>
        <v>0.97675408788668039</v>
      </c>
      <c r="T138">
        <f t="shared" si="35"/>
        <v>-23.504779133490054</v>
      </c>
      <c r="U138" s="8"/>
      <c r="V138" s="8"/>
    </row>
    <row r="139" spans="1:22" x14ac:dyDescent="0.35">
      <c r="A139">
        <v>1.0125</v>
      </c>
      <c r="B139" s="9">
        <v>15.536799999999999</v>
      </c>
      <c r="C139">
        <v>-8.8863910000000004E-3</v>
      </c>
      <c r="D139">
        <v>-4.8514956000000001E-3</v>
      </c>
      <c r="E139">
        <v>0.99096779999999995</v>
      </c>
      <c r="F139">
        <v>-6.5541760999999997E-3</v>
      </c>
      <c r="G139">
        <f t="shared" si="26"/>
        <v>39.2162841544543</v>
      </c>
      <c r="H139">
        <f t="shared" si="27"/>
        <v>-25.280048974580701</v>
      </c>
      <c r="I139">
        <f t="shared" si="28"/>
        <v>39.216211969577202</v>
      </c>
      <c r="J139">
        <f t="shared" si="29"/>
        <v>-25.280900438360199</v>
      </c>
      <c r="K139" s="7">
        <f t="shared" si="30"/>
        <v>7.2184877097924996E-5</v>
      </c>
      <c r="L139" s="7">
        <f t="shared" si="31"/>
        <v>8.5146377949740803E-4</v>
      </c>
      <c r="M139" s="7">
        <f t="shared" si="32"/>
        <v>1.80135864691384E-2</v>
      </c>
      <c r="N139" s="7">
        <f t="shared" si="33"/>
        <v>1.1612536325980799E-2</v>
      </c>
      <c r="O139">
        <v>3.2138669000000002</v>
      </c>
      <c r="P139">
        <v>-3.1239686999999998</v>
      </c>
      <c r="Q139">
        <v>1.6637168</v>
      </c>
      <c r="R139">
        <v>-4.0556558999999996</v>
      </c>
      <c r="S139">
        <f t="shared" si="34"/>
        <v>0.97805935194299443</v>
      </c>
      <c r="T139">
        <f t="shared" si="35"/>
        <v>-23.508162414448257</v>
      </c>
      <c r="U139" s="8"/>
      <c r="V139" s="8"/>
    </row>
    <row r="140" spans="1:22" x14ac:dyDescent="0.35">
      <c r="A140">
        <v>1.0125</v>
      </c>
      <c r="B140" s="9">
        <v>15.585599999999999</v>
      </c>
      <c r="C140">
        <v>-9.5538972999999992E-3</v>
      </c>
      <c r="D140">
        <v>-4.8786753000000004E-3</v>
      </c>
      <c r="E140">
        <v>0.99030609000000003</v>
      </c>
      <c r="F140">
        <v>-6.5535376000000001E-3</v>
      </c>
      <c r="G140">
        <f t="shared" si="26"/>
        <v>37.905505650197199</v>
      </c>
      <c r="H140">
        <f t="shared" si="27"/>
        <v>-22.810466336252201</v>
      </c>
      <c r="I140">
        <f t="shared" si="28"/>
        <v>37.905436340383602</v>
      </c>
      <c r="J140">
        <f t="shared" si="29"/>
        <v>-22.811303884078001</v>
      </c>
      <c r="K140" s="7">
        <f t="shared" si="30"/>
        <v>6.9309813596873896E-5</v>
      </c>
      <c r="L140" s="7">
        <f t="shared" si="31"/>
        <v>8.3754782579958898E-4</v>
      </c>
      <c r="M140" s="7">
        <f t="shared" si="32"/>
        <v>1.9367396508003301E-2</v>
      </c>
      <c r="N140" s="7">
        <f t="shared" si="33"/>
        <v>1.16552033122704E-2</v>
      </c>
      <c r="O140">
        <v>3.2092805000000002</v>
      </c>
      <c r="P140">
        <v>-3.3480243000000001</v>
      </c>
      <c r="Q140">
        <v>1.5744480000000001</v>
      </c>
      <c r="R140">
        <v>-4.2618039999999997</v>
      </c>
      <c r="S140">
        <f t="shared" si="34"/>
        <v>0.97964075947524121</v>
      </c>
      <c r="T140">
        <f t="shared" si="35"/>
        <v>-23.512021098386597</v>
      </c>
      <c r="U140" s="8"/>
      <c r="V140" s="8"/>
    </row>
    <row r="141" spans="1:22" x14ac:dyDescent="0.35">
      <c r="A141">
        <v>1.0125</v>
      </c>
      <c r="B141" s="9">
        <v>15.634399999999999</v>
      </c>
      <c r="C141">
        <v>-1.0260004E-2</v>
      </c>
      <c r="D141">
        <v>-4.8558357999999996E-3</v>
      </c>
      <c r="E141">
        <v>0.98960439</v>
      </c>
      <c r="F141">
        <v>-6.4991802000000003E-3</v>
      </c>
      <c r="G141">
        <f t="shared" si="26"/>
        <v>36.677781676888401</v>
      </c>
      <c r="H141">
        <f t="shared" si="27"/>
        <v>-20.437322145170999</v>
      </c>
      <c r="I141">
        <f t="shared" si="28"/>
        <v>36.677714544572801</v>
      </c>
      <c r="J141">
        <f t="shared" si="29"/>
        <v>-20.438143928251101</v>
      </c>
      <c r="K141" s="7">
        <f t="shared" si="30"/>
        <v>6.7132315599849294E-5</v>
      </c>
      <c r="L141" s="7">
        <f t="shared" si="31"/>
        <v>8.2178308010227895E-4</v>
      </c>
      <c r="M141" s="7">
        <f t="shared" si="32"/>
        <v>2.0804473772927799E-2</v>
      </c>
      <c r="N141" s="7">
        <f t="shared" si="33"/>
        <v>1.15930023067793E-2</v>
      </c>
      <c r="O141">
        <v>3.1879979000000001</v>
      </c>
      <c r="P141">
        <v>-3.5850635</v>
      </c>
      <c r="Q141">
        <v>1.4643600000000001</v>
      </c>
      <c r="R141">
        <v>-4.4726778999999999</v>
      </c>
      <c r="S141">
        <f t="shared" si="34"/>
        <v>0.98098862930790187</v>
      </c>
      <c r="T141">
        <f t="shared" si="35"/>
        <v>-23.51641083257033</v>
      </c>
      <c r="U141" s="8"/>
      <c r="V141" s="8"/>
    </row>
    <row r="142" spans="1:22" x14ac:dyDescent="0.35">
      <c r="A142">
        <v>1.0125</v>
      </c>
      <c r="B142" s="9">
        <v>15.683199999999999</v>
      </c>
      <c r="C142">
        <v>-1.1001577E-2</v>
      </c>
      <c r="D142">
        <v>-4.7742566000000004E-3</v>
      </c>
      <c r="E142">
        <v>0.98886587999999997</v>
      </c>
      <c r="F142">
        <v>-6.3819601000000004E-3</v>
      </c>
      <c r="G142">
        <f t="shared" si="26"/>
        <v>35.525238926334602</v>
      </c>
      <c r="H142">
        <f t="shared" si="27"/>
        <v>-18.156017764409199</v>
      </c>
      <c r="I142">
        <f t="shared" si="28"/>
        <v>35.5251732967482</v>
      </c>
      <c r="J142">
        <f t="shared" si="29"/>
        <v>-18.1568217221952</v>
      </c>
      <c r="K142" s="7">
        <f t="shared" si="30"/>
        <v>6.5629586401883002E-5</v>
      </c>
      <c r="L142" s="7">
        <f t="shared" si="31"/>
        <v>8.0395778600106404E-4</v>
      </c>
      <c r="M142" s="7">
        <f t="shared" si="32"/>
        <v>2.2318899433079999E-2</v>
      </c>
      <c r="N142" s="7">
        <f t="shared" si="33"/>
        <v>1.1407130224446499E-2</v>
      </c>
      <c r="O142">
        <v>3.1476467000000001</v>
      </c>
      <c r="P142">
        <v>-3.8347286999999999</v>
      </c>
      <c r="Q142">
        <v>1.3311789999999999</v>
      </c>
      <c r="R142">
        <v>-4.6856856000000002</v>
      </c>
      <c r="S142">
        <f t="shared" si="34"/>
        <v>0.98185415069952564</v>
      </c>
      <c r="T142">
        <f t="shared" si="35"/>
        <v>-23.520481077048629</v>
      </c>
      <c r="U142" s="8"/>
      <c r="V142" s="8"/>
    </row>
    <row r="143" spans="1:22" x14ac:dyDescent="0.35">
      <c r="A143">
        <v>1.0125</v>
      </c>
      <c r="B143" s="9">
        <v>15.731999999999999</v>
      </c>
      <c r="C143">
        <v>-1.177365E-2</v>
      </c>
      <c r="D143">
        <v>-4.6248877000000001E-3</v>
      </c>
      <c r="E143">
        <v>0.98809612000000002</v>
      </c>
      <c r="F143">
        <v>-6.1931060999999999E-3</v>
      </c>
      <c r="G143">
        <f t="shared" si="26"/>
        <v>34.440452346041198</v>
      </c>
      <c r="H143">
        <f t="shared" si="27"/>
        <v>-15.963487908461699</v>
      </c>
      <c r="I143">
        <f t="shared" si="28"/>
        <v>34.440387841747999</v>
      </c>
      <c r="J143">
        <f t="shared" si="29"/>
        <v>-15.964272119304001</v>
      </c>
      <c r="K143" s="7">
        <f t="shared" si="30"/>
        <v>6.4504293199263402E-5</v>
      </c>
      <c r="L143" s="7">
        <f t="shared" si="31"/>
        <v>7.84210842301292E-4</v>
      </c>
      <c r="M143" s="7">
        <f t="shared" si="32"/>
        <v>2.3900366756786799E-2</v>
      </c>
      <c r="N143" s="7">
        <f t="shared" si="33"/>
        <v>1.10786196836611E-2</v>
      </c>
      <c r="O143">
        <v>3.0825322000000002</v>
      </c>
      <c r="P143">
        <v>-4.0920357999999997</v>
      </c>
      <c r="Q143">
        <v>1.1729088000000001</v>
      </c>
      <c r="R143">
        <v>-4.8982469999999996</v>
      </c>
      <c r="S143">
        <f t="shared" si="34"/>
        <v>0.98312753851815871</v>
      </c>
      <c r="T143">
        <f t="shared" si="35"/>
        <v>-23.524535601559908</v>
      </c>
      <c r="U143" s="8"/>
      <c r="V143" s="8"/>
    </row>
    <row r="144" spans="1:22" x14ac:dyDescent="0.35">
      <c r="A144">
        <v>1.0125</v>
      </c>
      <c r="B144" s="9">
        <v>15.780799999999999</v>
      </c>
      <c r="C144">
        <v>-1.2569144000000001E-2</v>
      </c>
      <c r="D144">
        <v>-4.3987280999999998E-3</v>
      </c>
      <c r="E144">
        <v>0.98730298000000005</v>
      </c>
      <c r="F144">
        <v>-5.9252417000000002E-3</v>
      </c>
      <c r="G144">
        <f t="shared" si="26"/>
        <v>33.416012177044998</v>
      </c>
      <c r="H144">
        <f t="shared" si="27"/>
        <v>-13.8579768135231</v>
      </c>
      <c r="I144">
        <f t="shared" si="28"/>
        <v>33.415948817629101</v>
      </c>
      <c r="J144">
        <f t="shared" si="29"/>
        <v>-13.85874016749</v>
      </c>
      <c r="K144" s="7">
        <f t="shared" si="30"/>
        <v>6.3359415896968599E-5</v>
      </c>
      <c r="L144" s="7">
        <f t="shared" si="31"/>
        <v>7.6335396689941604E-4</v>
      </c>
      <c r="M144" s="7">
        <f t="shared" si="32"/>
        <v>2.55338856333116E-2</v>
      </c>
      <c r="N144" s="7">
        <f t="shared" si="33"/>
        <v>1.0589778204106601E-2</v>
      </c>
      <c r="O144">
        <v>2.9895643999999999</v>
      </c>
      <c r="P144">
        <v>-4.3537527999999996</v>
      </c>
      <c r="Q144">
        <v>0.98777819</v>
      </c>
      <c r="R144">
        <v>-5.1070535000000001</v>
      </c>
      <c r="S144">
        <f t="shared" si="34"/>
        <v>0.98491894579826533</v>
      </c>
      <c r="T144">
        <f t="shared" si="35"/>
        <v>-23.529308177600406</v>
      </c>
      <c r="U144" s="8"/>
      <c r="V144" s="8"/>
    </row>
    <row r="145" spans="1:22" x14ac:dyDescent="0.35">
      <c r="A145">
        <v>1.0125</v>
      </c>
      <c r="B145" s="9">
        <v>15.829599999999999</v>
      </c>
      <c r="C145">
        <v>-1.3378645999999999E-2</v>
      </c>
      <c r="D145">
        <v>-4.0873224999999997E-3</v>
      </c>
      <c r="E145">
        <v>0.98649595999999995</v>
      </c>
      <c r="F145">
        <v>-5.5731030000000003E-3</v>
      </c>
      <c r="G145">
        <f t="shared" si="26"/>
        <v>32.444393135094998</v>
      </c>
      <c r="H145">
        <f t="shared" si="27"/>
        <v>-11.838347129536499</v>
      </c>
      <c r="I145">
        <f t="shared" si="28"/>
        <v>32.444330986153297</v>
      </c>
      <c r="J145">
        <f t="shared" si="29"/>
        <v>-11.8390901125391</v>
      </c>
      <c r="K145" s="7">
        <f t="shared" si="30"/>
        <v>6.2148941701423196E-5</v>
      </c>
      <c r="L145" s="7">
        <f t="shared" si="31"/>
        <v>7.4298300260089401E-4</v>
      </c>
      <c r="M145" s="7">
        <f t="shared" si="32"/>
        <v>2.72001737268254E-2</v>
      </c>
      <c r="N145" s="7">
        <f t="shared" si="33"/>
        <v>9.9254722794574306E-3</v>
      </c>
      <c r="O145">
        <v>2.8708887000000001</v>
      </c>
      <c r="P145">
        <v>-4.6236959000000004</v>
      </c>
      <c r="Q145">
        <v>0.77457703</v>
      </c>
      <c r="R145">
        <v>-5.3077164000000003</v>
      </c>
      <c r="S145">
        <f t="shared" si="34"/>
        <v>0.98556895594663996</v>
      </c>
      <c r="T145">
        <f t="shared" si="35"/>
        <v>-23.533666657833006</v>
      </c>
      <c r="U145" s="8"/>
      <c r="V145" s="8"/>
    </row>
    <row r="146" spans="1:22" x14ac:dyDescent="0.35">
      <c r="A146">
        <v>1.0125</v>
      </c>
      <c r="B146" s="9">
        <v>15.878399999999999</v>
      </c>
      <c r="C146">
        <v>-1.4188279E-2</v>
      </c>
      <c r="D146">
        <v>-3.6848692E-3</v>
      </c>
      <c r="E146">
        <v>0.98570765999999999</v>
      </c>
      <c r="F146">
        <v>-5.1218723999999997E-3</v>
      </c>
      <c r="G146">
        <f t="shared" si="26"/>
        <v>31.547375138772999</v>
      </c>
      <c r="H146">
        <f t="shared" si="27"/>
        <v>-9.9092822460363994</v>
      </c>
      <c r="I146">
        <f t="shared" si="28"/>
        <v>31.547323621890602</v>
      </c>
      <c r="J146">
        <f t="shared" si="29"/>
        <v>-9.9100008220392404</v>
      </c>
      <c r="K146" s="7">
        <f t="shared" si="30"/>
        <v>5.1516882397351103E-5</v>
      </c>
      <c r="L146" s="7">
        <f t="shared" si="31"/>
        <v>7.18576002840976E-4</v>
      </c>
      <c r="M146" s="7">
        <f t="shared" si="32"/>
        <v>2.8851398618245799E-2</v>
      </c>
      <c r="N146" s="7">
        <f t="shared" si="33"/>
        <v>9.0631264778797491E-3</v>
      </c>
      <c r="O146">
        <v>2.7197380999999998</v>
      </c>
      <c r="P146">
        <v>-4.8894565999999999</v>
      </c>
      <c r="Q146">
        <v>0.53366000999999996</v>
      </c>
      <c r="R146">
        <v>-5.4952616000000001</v>
      </c>
      <c r="S146">
        <f t="shared" si="34"/>
        <v>0.98679832975531656</v>
      </c>
      <c r="T146">
        <f t="shared" si="35"/>
        <v>-23.538043797222528</v>
      </c>
      <c r="U146" s="8"/>
      <c r="V146" s="8"/>
    </row>
    <row r="147" spans="1:22" x14ac:dyDescent="0.35">
      <c r="A147">
        <v>1.0125</v>
      </c>
      <c r="B147" s="9">
        <v>15.927199999999999</v>
      </c>
      <c r="C147">
        <v>-1.4988278000000001E-2</v>
      </c>
      <c r="D147">
        <v>-3.1830258999999998E-3</v>
      </c>
      <c r="E147">
        <v>0.98491023</v>
      </c>
      <c r="F147">
        <v>-4.5889596999999999E-3</v>
      </c>
      <c r="G147">
        <f t="shared" si="26"/>
        <v>30.665991892206002</v>
      </c>
      <c r="H147">
        <f t="shared" si="27"/>
        <v>-8.0527457069031207</v>
      </c>
      <c r="I147">
        <f t="shared" si="28"/>
        <v>30.665941637868102</v>
      </c>
      <c r="J147">
        <f t="shared" si="29"/>
        <v>-8.0534487448066194</v>
      </c>
      <c r="K147" s="7">
        <f t="shared" si="30"/>
        <v>5.0254337899957597E-5</v>
      </c>
      <c r="L147" s="7">
        <f t="shared" si="31"/>
        <v>7.0303790349868201E-4</v>
      </c>
      <c r="M147" s="7">
        <f t="shared" si="32"/>
        <v>3.05055430889511E-2</v>
      </c>
      <c r="N147" s="7">
        <f t="shared" si="33"/>
        <v>8.0113250915466293E-3</v>
      </c>
      <c r="O147">
        <v>2.5335638999999999</v>
      </c>
      <c r="P147">
        <v>-5.1472367999999999</v>
      </c>
      <c r="Q147">
        <v>0.26370895999999999</v>
      </c>
      <c r="R147">
        <v>-5.6657659000000002</v>
      </c>
      <c r="S147">
        <f t="shared" si="34"/>
        <v>0.98865519274873725</v>
      </c>
      <c r="T147">
        <f t="shared" si="35"/>
        <v>-23.542385834579843</v>
      </c>
      <c r="U147" s="8"/>
      <c r="V147" s="8"/>
    </row>
    <row r="148" spans="1:22" x14ac:dyDescent="0.35">
      <c r="A148">
        <v>1.0125</v>
      </c>
      <c r="B148" s="9">
        <v>15.976000000000001</v>
      </c>
      <c r="C148">
        <v>-1.5759143999999999E-2</v>
      </c>
      <c r="D148">
        <v>-2.5812706999999999E-3</v>
      </c>
      <c r="E148">
        <v>0.98413823</v>
      </c>
      <c r="F148">
        <v>-3.9608400999999998E-3</v>
      </c>
      <c r="G148">
        <f t="shared" si="26"/>
        <v>29.826559984852398</v>
      </c>
      <c r="H148">
        <f t="shared" si="27"/>
        <v>-6.2739692590360097</v>
      </c>
      <c r="I148">
        <f t="shared" si="28"/>
        <v>29.826509145095201</v>
      </c>
      <c r="J148">
        <f t="shared" si="29"/>
        <v>-6.2746591142030397</v>
      </c>
      <c r="K148" s="7">
        <f t="shared" si="30"/>
        <v>5.0839757196996502E-5</v>
      </c>
      <c r="L148" s="7">
        <f t="shared" si="31"/>
        <v>6.8985516703001803E-4</v>
      </c>
      <c r="M148" s="7">
        <f t="shared" si="32"/>
        <v>3.2106314492083003E-2</v>
      </c>
      <c r="N148" s="7">
        <f t="shared" si="33"/>
        <v>6.7542660748935203E-3</v>
      </c>
      <c r="O148">
        <v>2.3174280999999999</v>
      </c>
      <c r="P148">
        <v>-5.4003351999999998</v>
      </c>
      <c r="Q148">
        <v>-3.2553282000000003E-2</v>
      </c>
      <c r="R148">
        <v>-5.8130407000000002</v>
      </c>
      <c r="S148">
        <f t="shared" si="34"/>
        <v>0.98920463951740389</v>
      </c>
      <c r="T148">
        <f t="shared" si="35"/>
        <v>-23.546319256185612</v>
      </c>
      <c r="U148" s="8"/>
      <c r="V148" s="8"/>
    </row>
    <row r="149" spans="1:22" x14ac:dyDescent="0.35">
      <c r="A149">
        <v>1.0125</v>
      </c>
      <c r="B149" s="9">
        <v>16.024799999999999</v>
      </c>
      <c r="C149">
        <v>-1.6484024999999999E-2</v>
      </c>
      <c r="D149">
        <v>-1.8795738000000001E-3</v>
      </c>
      <c r="E149">
        <v>0.98340974999999997</v>
      </c>
      <c r="F149">
        <v>-3.2353156000000001E-3</v>
      </c>
      <c r="G149">
        <f t="shared" si="26"/>
        <v>29.028789777094101</v>
      </c>
      <c r="H149">
        <f t="shared" si="27"/>
        <v>-4.5662421302217098</v>
      </c>
      <c r="I149">
        <f t="shared" si="28"/>
        <v>29.028737121355</v>
      </c>
      <c r="J149">
        <f t="shared" si="29"/>
        <v>-4.5669200728227297</v>
      </c>
      <c r="K149" s="7">
        <f t="shared" si="30"/>
        <v>5.2655739100515602E-5</v>
      </c>
      <c r="L149" s="7">
        <f t="shared" si="31"/>
        <v>6.7794260101994297E-4</v>
      </c>
      <c r="M149" s="7">
        <f t="shared" si="32"/>
        <v>3.3616582475137297E-2</v>
      </c>
      <c r="N149" s="7">
        <f t="shared" si="33"/>
        <v>5.2886987347605099E-3</v>
      </c>
      <c r="O149">
        <v>2.0658702999999998</v>
      </c>
      <c r="P149">
        <v>-5.6309060000000004</v>
      </c>
      <c r="Q149">
        <v>-0.35277460999999999</v>
      </c>
      <c r="R149">
        <v>-5.9320557000000003</v>
      </c>
      <c r="S149">
        <f t="shared" si="34"/>
        <v>0.99076781915581169</v>
      </c>
      <c r="T149">
        <f t="shared" si="35"/>
        <v>-23.550434585490908</v>
      </c>
      <c r="U149" s="8"/>
      <c r="V149" s="8"/>
    </row>
    <row r="150" spans="1:22" x14ac:dyDescent="0.35">
      <c r="A150">
        <v>1.0125</v>
      </c>
      <c r="B150" s="9">
        <v>16.073599999999999</v>
      </c>
      <c r="C150">
        <v>-1.7144365000000002E-2</v>
      </c>
      <c r="D150">
        <v>-1.0822195999999999E-3</v>
      </c>
      <c r="E150">
        <v>0.98274903000000002</v>
      </c>
      <c r="F150">
        <v>-2.4141397999999999E-3</v>
      </c>
      <c r="G150">
        <f t="shared" si="26"/>
        <v>28.276385916829899</v>
      </c>
      <c r="H150">
        <f t="shared" si="27"/>
        <v>-2.9248455004185798</v>
      </c>
      <c r="I150">
        <f t="shared" si="28"/>
        <v>28.276333055062199</v>
      </c>
      <c r="J150">
        <f t="shared" si="29"/>
        <v>-2.92551153122352</v>
      </c>
      <c r="K150" s="7">
        <f t="shared" si="30"/>
        <v>5.2861767699141597E-5</v>
      </c>
      <c r="L150" s="7">
        <f t="shared" si="31"/>
        <v>6.6603080494021004E-4</v>
      </c>
      <c r="M150" s="7">
        <f t="shared" si="32"/>
        <v>3.49907141911504E-2</v>
      </c>
      <c r="N150" s="7">
        <f t="shared" si="33"/>
        <v>3.62019140362441E-3</v>
      </c>
      <c r="O150">
        <v>1.7842933000000001</v>
      </c>
      <c r="P150">
        <v>-5.8415698000000003</v>
      </c>
      <c r="Q150">
        <v>-0.69301749000000001</v>
      </c>
      <c r="R150">
        <v>-6.0178364999999996</v>
      </c>
      <c r="S150">
        <f t="shared" si="34"/>
        <v>0.99175034982979715</v>
      </c>
      <c r="T150">
        <f t="shared" si="35"/>
        <v>-23.554440545776718</v>
      </c>
      <c r="U150" s="8"/>
      <c r="V150" s="8"/>
    </row>
    <row r="151" spans="1:22" x14ac:dyDescent="0.35">
      <c r="A151">
        <v>1.0125</v>
      </c>
      <c r="B151" s="9">
        <v>16.122399999999999</v>
      </c>
      <c r="C151">
        <v>-1.7723042000000001E-2</v>
      </c>
      <c r="D151">
        <v>-1.9916929E-4</v>
      </c>
      <c r="E151">
        <v>0.98217979</v>
      </c>
      <c r="F151">
        <v>-1.5021339E-3</v>
      </c>
      <c r="G151">
        <f t="shared" si="26"/>
        <v>27.570446858714899</v>
      </c>
      <c r="H151">
        <f t="shared" si="27"/>
        <v>-1.34328509941764</v>
      </c>
      <c r="I151">
        <f t="shared" si="28"/>
        <v>27.570398696845299</v>
      </c>
      <c r="J151">
        <f t="shared" si="29"/>
        <v>-1.3439366447539201</v>
      </c>
      <c r="K151" s="7">
        <f t="shared" si="30"/>
        <v>4.81618695999941E-5</v>
      </c>
      <c r="L151" s="7">
        <f t="shared" si="31"/>
        <v>6.5154533628009005E-4</v>
      </c>
      <c r="M151" s="7">
        <f t="shared" si="32"/>
        <v>3.61848048152675E-2</v>
      </c>
      <c r="N151" s="7">
        <f t="shared" si="33"/>
        <v>1.7638513577270399E-3</v>
      </c>
      <c r="O151">
        <v>1.4750873</v>
      </c>
      <c r="P151">
        <v>-6.0226636999999998</v>
      </c>
      <c r="Q151">
        <v>-1.0473768999999999</v>
      </c>
      <c r="R151">
        <v>-6.0661654</v>
      </c>
      <c r="S151">
        <f t="shared" si="34"/>
        <v>0.99278249562722787</v>
      </c>
      <c r="T151">
        <f t="shared" si="35"/>
        <v>-23.558164291040079</v>
      </c>
      <c r="U151" s="8"/>
      <c r="V151" s="8"/>
    </row>
    <row r="152" spans="1:22" x14ac:dyDescent="0.35">
      <c r="A152">
        <v>1.0125</v>
      </c>
      <c r="B152" s="9">
        <v>16.171199999999999</v>
      </c>
      <c r="C152">
        <v>-1.8203408000000001E-2</v>
      </c>
      <c r="D152">
        <v>7.5502649999999996E-4</v>
      </c>
      <c r="E152">
        <v>0.98169901000000004</v>
      </c>
      <c r="F152">
        <v>-5.2515768000000005E-4</v>
      </c>
      <c r="G152">
        <f t="shared" si="26"/>
        <v>26.8928974874338</v>
      </c>
      <c r="H152">
        <f t="shared" si="27"/>
        <v>0.172813469884813</v>
      </c>
      <c r="I152">
        <f t="shared" si="28"/>
        <v>26.892849103830802</v>
      </c>
      <c r="J152">
        <f t="shared" si="29"/>
        <v>0.17217331559108301</v>
      </c>
      <c r="K152" s="7">
        <f t="shared" si="30"/>
        <v>4.8383602997859003E-5</v>
      </c>
      <c r="L152" s="7">
        <f t="shared" si="31"/>
        <v>6.4015429372998899E-4</v>
      </c>
      <c r="M152" s="7">
        <f t="shared" si="32"/>
        <v>3.7183082004210798E-2</v>
      </c>
      <c r="N152" s="7">
        <f t="shared" si="33"/>
        <v>-2.38053412929319E-4</v>
      </c>
      <c r="O152">
        <v>1.1431036999999999</v>
      </c>
      <c r="P152">
        <v>-6.1694566000000002</v>
      </c>
      <c r="Q152">
        <v>-1.4097051</v>
      </c>
      <c r="R152">
        <v>-6.0745398000000002</v>
      </c>
      <c r="S152">
        <f t="shared" si="34"/>
        <v>0.99386494677937809</v>
      </c>
      <c r="T152">
        <f t="shared" si="35"/>
        <v>-23.562207137826199</v>
      </c>
      <c r="U152" s="8"/>
      <c r="V152" s="8"/>
    </row>
    <row r="153" spans="1:22" x14ac:dyDescent="0.35">
      <c r="A153">
        <v>1.0125</v>
      </c>
      <c r="B153" s="9">
        <v>16.22</v>
      </c>
      <c r="C153">
        <v>-1.8573032E-2</v>
      </c>
      <c r="D153">
        <v>1.7633530000000001E-3</v>
      </c>
      <c r="E153">
        <v>0.98133110000000001</v>
      </c>
      <c r="F153">
        <v>5.0436426999999999E-4</v>
      </c>
      <c r="G153">
        <f t="shared" si="26"/>
        <v>26.252285749650401</v>
      </c>
      <c r="H153">
        <f t="shared" si="27"/>
        <v>1.62930025797777</v>
      </c>
      <c r="I153">
        <f t="shared" si="28"/>
        <v>26.252238209672701</v>
      </c>
      <c r="J153">
        <f t="shared" si="29"/>
        <v>1.62867070350956</v>
      </c>
      <c r="K153" s="7">
        <f t="shared" si="30"/>
        <v>4.7539977700239399E-5</v>
      </c>
      <c r="L153" s="7">
        <f t="shared" si="31"/>
        <v>6.2955446821000305E-4</v>
      </c>
      <c r="M153" s="7">
        <f t="shared" si="32"/>
        <v>3.7945940963165697E-2</v>
      </c>
      <c r="N153" s="7">
        <f t="shared" si="33"/>
        <v>-2.3541399354299899E-3</v>
      </c>
      <c r="O153">
        <v>0.79452595000000004</v>
      </c>
      <c r="P153">
        <v>-6.2779537000000003</v>
      </c>
      <c r="Q153">
        <v>-1.7727401</v>
      </c>
      <c r="R153">
        <v>-6.0414275999999996</v>
      </c>
      <c r="S153">
        <f t="shared" si="34"/>
        <v>0.99496134081503573</v>
      </c>
      <c r="T153">
        <f t="shared" si="35"/>
        <v>-23.566205197061972</v>
      </c>
      <c r="U153" s="8"/>
      <c r="V153" s="8"/>
    </row>
    <row r="154" spans="1:22" x14ac:dyDescent="0.35">
      <c r="A154">
        <v>1.0125</v>
      </c>
      <c r="B154" s="9">
        <v>16.268799999999999</v>
      </c>
      <c r="C154">
        <v>-1.8824051000000001E-2</v>
      </c>
      <c r="D154">
        <v>2.8065034999999999E-3</v>
      </c>
      <c r="E154">
        <v>0.98108348999999995</v>
      </c>
      <c r="F154">
        <v>1.5671656999999999E-3</v>
      </c>
      <c r="G154">
        <f t="shared" si="26"/>
        <v>25.645580228155801</v>
      </c>
      <c r="H154">
        <f t="shared" si="27"/>
        <v>3.0302600192300702</v>
      </c>
      <c r="I154">
        <f t="shared" si="28"/>
        <v>25.645534380561301</v>
      </c>
      <c r="J154">
        <f t="shared" si="29"/>
        <v>3.0296402932701199</v>
      </c>
      <c r="K154" s="7">
        <f t="shared" si="30"/>
        <v>4.5847594499548402E-5</v>
      </c>
      <c r="L154" s="7">
        <f t="shared" si="31"/>
        <v>6.1972595995030101E-4</v>
      </c>
      <c r="M154" s="7">
        <f t="shared" si="32"/>
        <v>3.8456448103050503E-2</v>
      </c>
      <c r="N154" s="7">
        <f t="shared" si="33"/>
        <v>-4.5430601281353797E-3</v>
      </c>
      <c r="O154">
        <v>0.43602584999999999</v>
      </c>
      <c r="P154">
        <v>-6.3458114999999999</v>
      </c>
      <c r="Q154">
        <v>-2.129407</v>
      </c>
      <c r="R154">
        <v>-5.9671114999999997</v>
      </c>
      <c r="S154">
        <f t="shared" si="34"/>
        <v>0.99605434263744641</v>
      </c>
      <c r="T154">
        <f t="shared" si="35"/>
        <v>-23.569971222699202</v>
      </c>
      <c r="U154" s="8"/>
      <c r="V154" s="8"/>
    </row>
    <row r="155" spans="1:22" x14ac:dyDescent="0.35">
      <c r="A155">
        <v>1.0125</v>
      </c>
      <c r="B155" s="9">
        <v>16.317599999999999</v>
      </c>
      <c r="C155">
        <v>-1.8952852999999999E-2</v>
      </c>
      <c r="D155">
        <v>3.8628343E-3</v>
      </c>
      <c r="E155">
        <v>0.98096037999999997</v>
      </c>
      <c r="F155">
        <v>2.6412978000000002E-3</v>
      </c>
      <c r="G155">
        <f t="shared" si="26"/>
        <v>25.071577933154899</v>
      </c>
      <c r="H155">
        <f t="shared" si="27"/>
        <v>4.3780352046157596</v>
      </c>
      <c r="I155">
        <f t="shared" si="28"/>
        <v>25.071534920858898</v>
      </c>
      <c r="J155">
        <f t="shared" si="29"/>
        <v>4.3774243835956499</v>
      </c>
      <c r="K155" s="7">
        <f t="shared" si="30"/>
        <v>4.3012296000455301E-5</v>
      </c>
      <c r="L155" s="7">
        <f t="shared" si="31"/>
        <v>6.1082102010967499E-4</v>
      </c>
      <c r="M155" s="7">
        <f t="shared" si="32"/>
        <v>3.8705949019210699E-2</v>
      </c>
      <c r="N155" s="7">
        <f t="shared" si="33"/>
        <v>-6.7579574031560296E-3</v>
      </c>
      <c r="O155">
        <v>7.4971377000000006E-2</v>
      </c>
      <c r="P155">
        <v>-6.3714079999999997</v>
      </c>
      <c r="Q155">
        <v>-2.4726992000000001</v>
      </c>
      <c r="R155">
        <v>-5.8537739999999996</v>
      </c>
      <c r="S155">
        <f t="shared" si="34"/>
        <v>0.9972925572623359</v>
      </c>
      <c r="T155">
        <f t="shared" si="35"/>
        <v>-23.573895802141774</v>
      </c>
      <c r="U155" s="8"/>
      <c r="V155" s="8"/>
    </row>
    <row r="156" spans="1:22" x14ac:dyDescent="0.35">
      <c r="A156">
        <v>1.0125</v>
      </c>
      <c r="B156" s="9">
        <v>16.366399999999999</v>
      </c>
      <c r="C156">
        <v>-1.8960995000000001E-2</v>
      </c>
      <c r="D156">
        <v>4.9111105000000004E-3</v>
      </c>
      <c r="E156">
        <v>0.98096046999999997</v>
      </c>
      <c r="F156">
        <v>3.7054486999999999E-3</v>
      </c>
      <c r="G156">
        <f t="shared" si="26"/>
        <v>24.5286044563627</v>
      </c>
      <c r="H156">
        <f t="shared" si="27"/>
        <v>5.6754936732115198</v>
      </c>
      <c r="I156">
        <f t="shared" si="28"/>
        <v>24.528565550768398</v>
      </c>
      <c r="J156">
        <f t="shared" si="29"/>
        <v>5.6748907951845</v>
      </c>
      <c r="K156" s="7">
        <f t="shared" si="30"/>
        <v>3.8905594301752397E-5</v>
      </c>
      <c r="L156" s="7">
        <f t="shared" si="31"/>
        <v>6.0287802701974901E-4</v>
      </c>
      <c r="M156" s="7">
        <f t="shared" si="32"/>
        <v>3.8697444837531E-2</v>
      </c>
      <c r="N156" s="7">
        <f t="shared" si="33"/>
        <v>-8.9529806808773902E-3</v>
      </c>
      <c r="O156">
        <v>-0.28145487000000002</v>
      </c>
      <c r="P156">
        <v>-6.3578570000000001</v>
      </c>
      <c r="Q156">
        <v>-2.7962494000000002</v>
      </c>
      <c r="R156">
        <v>-5.7047464999999997</v>
      </c>
      <c r="S156">
        <f t="shared" si="34"/>
        <v>0.9982897251333287</v>
      </c>
      <c r="T156">
        <f t="shared" si="35"/>
        <v>-23.577571871655717</v>
      </c>
      <c r="U156" s="8"/>
      <c r="V156" s="8"/>
    </row>
    <row r="157" spans="1:22" x14ac:dyDescent="0.35">
      <c r="A157">
        <v>1.0125</v>
      </c>
      <c r="B157" s="9">
        <v>16.415199999999999</v>
      </c>
      <c r="C157">
        <v>-1.8854699999999999E-2</v>
      </c>
      <c r="D157">
        <v>5.9331048000000001E-3</v>
      </c>
      <c r="E157">
        <v>0.98123895999999999</v>
      </c>
      <c r="F157">
        <v>4.6559032000000004E-3</v>
      </c>
      <c r="G157">
        <f t="shared" si="26"/>
        <v>24.132583733566801</v>
      </c>
      <c r="H157">
        <f t="shared" si="27"/>
        <v>6.9345142723595501</v>
      </c>
      <c r="I157">
        <f t="shared" si="28"/>
        <v>24.132630969127401</v>
      </c>
      <c r="J157">
        <f t="shared" si="29"/>
        <v>6.93387573162709</v>
      </c>
      <c r="K157" s="7">
        <f t="shared" si="30"/>
        <v>-4.7235560600711297E-5</v>
      </c>
      <c r="L157" s="7">
        <f t="shared" si="31"/>
        <v>6.3854073246005804E-4</v>
      </c>
      <c r="M157" s="7">
        <f t="shared" si="32"/>
        <v>3.8277662161454798E-2</v>
      </c>
      <c r="N157" s="7">
        <f t="shared" si="33"/>
        <v>-1.0998077792026601E-2</v>
      </c>
      <c r="O157">
        <v>-0.62696958999999997</v>
      </c>
      <c r="P157">
        <v>-6.3049062999999999</v>
      </c>
      <c r="Q157">
        <v>-3.0948178999999998</v>
      </c>
      <c r="R157">
        <v>-5.5233213000000001</v>
      </c>
      <c r="S157">
        <f t="shared" si="34"/>
        <v>0.99925294801522135</v>
      </c>
      <c r="T157">
        <f t="shared" si="35"/>
        <v>-23.583796287747745</v>
      </c>
      <c r="U157" s="8"/>
      <c r="V157" s="8"/>
    </row>
    <row r="158" spans="1:22" x14ac:dyDescent="0.35">
      <c r="A158">
        <v>1.0125</v>
      </c>
      <c r="B158" s="9">
        <v>16.463999999999999</v>
      </c>
      <c r="C158">
        <v>-1.8643939000000002E-2</v>
      </c>
      <c r="D158">
        <v>6.9084172000000001E-3</v>
      </c>
      <c r="E158">
        <v>0.98146365999999996</v>
      </c>
      <c r="F158">
        <v>5.6576372000000002E-3</v>
      </c>
      <c r="G158">
        <f t="shared" si="26"/>
        <v>23.638640086097801</v>
      </c>
      <c r="H158">
        <f t="shared" si="27"/>
        <v>8.1586109065605594</v>
      </c>
      <c r="I158">
        <f t="shared" si="28"/>
        <v>23.638694273753</v>
      </c>
      <c r="J158">
        <f t="shared" si="29"/>
        <v>8.1579855840910298</v>
      </c>
      <c r="K158" s="7">
        <f t="shared" si="30"/>
        <v>-5.4187655198489899E-5</v>
      </c>
      <c r="L158" s="7">
        <f t="shared" si="31"/>
        <v>6.2532246952962101E-4</v>
      </c>
      <c r="M158" s="7">
        <f t="shared" si="32"/>
        <v>3.7801310892173902E-2</v>
      </c>
      <c r="N158" s="7">
        <f t="shared" si="33"/>
        <v>-1.3045667656039201E-2</v>
      </c>
      <c r="O158">
        <v>-0.95548219999999995</v>
      </c>
      <c r="P158">
        <v>-6.2177807999999999</v>
      </c>
      <c r="Q158">
        <v>-3.3648758000000001</v>
      </c>
      <c r="R158">
        <v>-5.3177950000000003</v>
      </c>
      <c r="S158">
        <f t="shared" si="34"/>
        <v>1.0003485100281546</v>
      </c>
      <c r="T158">
        <f t="shared" si="35"/>
        <v>-23.587633553352191</v>
      </c>
      <c r="U158" s="8"/>
      <c r="V158" s="8"/>
    </row>
    <row r="159" spans="1:22" x14ac:dyDescent="0.35">
      <c r="A159">
        <v>1.0125</v>
      </c>
      <c r="B159" s="9">
        <v>16.512799999999999</v>
      </c>
      <c r="C159">
        <v>-1.8341803E-2</v>
      </c>
      <c r="D159">
        <v>7.8246106999999999E-3</v>
      </c>
      <c r="E159">
        <v>0.98177875999999997</v>
      </c>
      <c r="F159">
        <v>6.5965757999999998E-3</v>
      </c>
      <c r="G159">
        <f t="shared" si="26"/>
        <v>23.1680239646461</v>
      </c>
      <c r="H159">
        <f t="shared" si="27"/>
        <v>9.3354551713219305</v>
      </c>
      <c r="I159">
        <f t="shared" si="28"/>
        <v>23.168084619461499</v>
      </c>
      <c r="J159">
        <f t="shared" si="29"/>
        <v>9.3348412281244606</v>
      </c>
      <c r="K159" s="7">
        <f t="shared" si="30"/>
        <v>-6.0654815399629997E-5</v>
      </c>
      <c r="L159" s="7">
        <f t="shared" si="31"/>
        <v>6.1394319746987903E-4</v>
      </c>
      <c r="M159" s="7">
        <f t="shared" si="32"/>
        <v>3.7134327117818902E-2</v>
      </c>
      <c r="N159" s="7">
        <f t="shared" si="33"/>
        <v>-1.49620934769416E-2</v>
      </c>
      <c r="O159">
        <v>-1.2627432999999999</v>
      </c>
      <c r="P159">
        <v>-6.1014641999999997</v>
      </c>
      <c r="Q159">
        <v>-3.6038888</v>
      </c>
      <c r="R159">
        <v>-5.0929314000000003</v>
      </c>
      <c r="S159">
        <f t="shared" si="34"/>
        <v>1.0013331188203822</v>
      </c>
      <c r="T159">
        <f t="shared" si="35"/>
        <v>-23.59148990138921</v>
      </c>
      <c r="U159" s="8"/>
      <c r="V159" s="8"/>
    </row>
    <row r="160" spans="1:22" x14ac:dyDescent="0.35">
      <c r="A160">
        <v>1.0125</v>
      </c>
      <c r="B160" s="9">
        <v>16.561599999999999</v>
      </c>
      <c r="C160">
        <v>-1.7963123000000001E-2</v>
      </c>
      <c r="D160">
        <v>8.6709627999999993E-3</v>
      </c>
      <c r="E160">
        <v>0.98215332</v>
      </c>
      <c r="F160">
        <v>7.4669187999999997E-3</v>
      </c>
      <c r="G160">
        <f t="shared" si="26"/>
        <v>22.711290875402302</v>
      </c>
      <c r="H160">
        <f t="shared" si="27"/>
        <v>10.4606080770254</v>
      </c>
      <c r="I160">
        <f t="shared" si="28"/>
        <v>22.711349455879901</v>
      </c>
      <c r="J160">
        <f t="shared" si="29"/>
        <v>10.460006125338699</v>
      </c>
      <c r="K160" s="7">
        <f t="shared" si="30"/>
        <v>-5.8580477599434703E-5</v>
      </c>
      <c r="L160" s="7">
        <f t="shared" si="31"/>
        <v>6.0195168670063004E-4</v>
      </c>
      <c r="M160" s="7">
        <f t="shared" si="32"/>
        <v>3.6325539796760203E-2</v>
      </c>
      <c r="N160" s="7">
        <f t="shared" si="33"/>
        <v>-1.6730197803458802E-2</v>
      </c>
      <c r="O160">
        <v>-1.5451343</v>
      </c>
      <c r="P160">
        <v>-5.9596983000000003</v>
      </c>
      <c r="Q160">
        <v>-3.8106737000000002</v>
      </c>
      <c r="R160">
        <v>-4.8547792000000003</v>
      </c>
      <c r="S160">
        <f t="shared" si="34"/>
        <v>1.0024329871836917</v>
      </c>
      <c r="T160">
        <f t="shared" si="35"/>
        <v>-23.594817383994652</v>
      </c>
      <c r="U160" s="8"/>
      <c r="V160" s="8"/>
    </row>
    <row r="161" spans="1:22" x14ac:dyDescent="0.35">
      <c r="A161">
        <v>1.0125</v>
      </c>
      <c r="B161" s="9">
        <v>16.610399999999998</v>
      </c>
      <c r="C161">
        <v>-1.7523426000000002E-2</v>
      </c>
      <c r="D161">
        <v>9.4416097000000008E-3</v>
      </c>
      <c r="E161">
        <v>0.98260122999999999</v>
      </c>
      <c r="F161">
        <v>8.2586758000000003E-3</v>
      </c>
      <c r="G161">
        <f t="shared" si="26"/>
        <v>22.2823484813904</v>
      </c>
      <c r="H161">
        <f t="shared" si="27"/>
        <v>11.547525634567601</v>
      </c>
      <c r="I161">
        <f t="shared" si="28"/>
        <v>22.2824111552735</v>
      </c>
      <c r="J161">
        <f t="shared" si="29"/>
        <v>11.5469342415475</v>
      </c>
      <c r="K161" s="7">
        <f t="shared" si="30"/>
        <v>-6.2673883100217194E-5</v>
      </c>
      <c r="L161" s="7">
        <f t="shared" si="31"/>
        <v>5.9139302010002804E-4</v>
      </c>
      <c r="M161" s="7">
        <f t="shared" si="32"/>
        <v>3.53780297881423E-2</v>
      </c>
      <c r="N161" s="7">
        <f t="shared" si="33"/>
        <v>-1.8333194765706801E-2</v>
      </c>
      <c r="O161">
        <v>-1.8013159000000001</v>
      </c>
      <c r="P161">
        <v>-5.7995875000000003</v>
      </c>
      <c r="Q161">
        <v>-3.9856357999999998</v>
      </c>
      <c r="R161">
        <v>-4.6088085999999997</v>
      </c>
      <c r="S161">
        <f t="shared" si="34"/>
        <v>1.0033357542457284</v>
      </c>
      <c r="T161">
        <f t="shared" si="35"/>
        <v>-23.598339792505737</v>
      </c>
      <c r="U161" s="8"/>
      <c r="V161" s="8"/>
    </row>
    <row r="162" spans="1:22" x14ac:dyDescent="0.35">
      <c r="A162">
        <v>1.0125</v>
      </c>
      <c r="B162" s="9">
        <v>16.659199999999998</v>
      </c>
      <c r="C162">
        <v>-1.7037615999999998E-2</v>
      </c>
      <c r="D162">
        <v>1.0134397E-2</v>
      </c>
      <c r="E162">
        <v>0.98304378000000003</v>
      </c>
      <c r="F162">
        <v>8.9631521999999995E-3</v>
      </c>
      <c r="G162">
        <f t="shared" si="26"/>
        <v>21.8599722518993</v>
      </c>
      <c r="H162">
        <f t="shared" si="27"/>
        <v>12.562013155215199</v>
      </c>
      <c r="I162">
        <f t="shared" si="28"/>
        <v>21.860013291154601</v>
      </c>
      <c r="J162">
        <f t="shared" si="29"/>
        <v>12.5614275806804</v>
      </c>
      <c r="K162" s="7">
        <f t="shared" si="30"/>
        <v>-4.1039255300745501E-5</v>
      </c>
      <c r="L162" s="7">
        <f t="shared" si="31"/>
        <v>5.8557453479934896E-4</v>
      </c>
      <c r="M162" s="7">
        <f t="shared" si="32"/>
        <v>3.4390034666222397E-2</v>
      </c>
      <c r="N162" s="7">
        <f t="shared" si="33"/>
        <v>-1.9761558431057299E-2</v>
      </c>
      <c r="O162">
        <v>-2.0303184999999999</v>
      </c>
      <c r="P162">
        <v>-5.6248557999999997</v>
      </c>
      <c r="Q162">
        <v>-4.1301383999999999</v>
      </c>
      <c r="R162">
        <v>-4.3602480999999997</v>
      </c>
      <c r="S162">
        <f t="shared" si="34"/>
        <v>1.0043056133054593</v>
      </c>
      <c r="T162">
        <f t="shared" si="35"/>
        <v>-23.600238580390041</v>
      </c>
      <c r="U162" s="8"/>
      <c r="V162" s="8"/>
    </row>
    <row r="163" spans="1:22" x14ac:dyDescent="0.35">
      <c r="A163">
        <v>1.0125</v>
      </c>
      <c r="B163" s="9">
        <v>16.707999999999998</v>
      </c>
      <c r="C163">
        <v>-1.6519989999999998E-2</v>
      </c>
      <c r="D163">
        <v>1.0747619E-2</v>
      </c>
      <c r="E163">
        <v>0.98355848999999995</v>
      </c>
      <c r="F163">
        <v>9.5989804000000001E-3</v>
      </c>
      <c r="G163">
        <f t="shared" si="26"/>
        <v>21.467802442019501</v>
      </c>
      <c r="H163">
        <f t="shared" si="27"/>
        <v>13.5606675361503</v>
      </c>
      <c r="I163">
        <f t="shared" si="28"/>
        <v>21.467842010283501</v>
      </c>
      <c r="J163">
        <f t="shared" si="29"/>
        <v>13.560093262109699</v>
      </c>
      <c r="K163" s="7">
        <f t="shared" si="30"/>
        <v>-3.95682640004225E-5</v>
      </c>
      <c r="L163" s="7">
        <f t="shared" si="31"/>
        <v>5.7427404060028696E-4</v>
      </c>
      <c r="M163" s="7">
        <f t="shared" si="32"/>
        <v>3.3296672315403598E-2</v>
      </c>
      <c r="N163" s="7">
        <f t="shared" si="33"/>
        <v>-2.1031735826008899E-2</v>
      </c>
      <c r="O163">
        <v>-2.2320460999999998</v>
      </c>
      <c r="P163">
        <v>-5.4403420999999996</v>
      </c>
      <c r="Q163">
        <v>-4.2459467000000002</v>
      </c>
      <c r="R163">
        <v>-4.1131063000000001</v>
      </c>
      <c r="S163">
        <f t="shared" si="34"/>
        <v>1.0052833496804017</v>
      </c>
      <c r="T163">
        <f t="shared" si="35"/>
        <v>-23.603251876508832</v>
      </c>
      <c r="U163" s="8"/>
      <c r="V163" s="8"/>
    </row>
    <row r="164" spans="1:22" x14ac:dyDescent="0.35">
      <c r="A164">
        <v>1.0125</v>
      </c>
      <c r="B164" s="9">
        <v>16.756799999999998</v>
      </c>
      <c r="C164">
        <v>-1.5981822E-2</v>
      </c>
      <c r="D164">
        <v>1.128438E-2</v>
      </c>
      <c r="E164">
        <v>0.98406221000000005</v>
      </c>
      <c r="F164">
        <v>1.0221825E-2</v>
      </c>
      <c r="G164">
        <f t="shared" si="26"/>
        <v>21.047224989975199</v>
      </c>
      <c r="H164">
        <f t="shared" si="27"/>
        <v>14.517963322850401</v>
      </c>
      <c r="I164">
        <f t="shared" si="28"/>
        <v>21.0472472877276</v>
      </c>
      <c r="J164">
        <f t="shared" si="29"/>
        <v>14.5174320688928</v>
      </c>
      <c r="K164" s="7">
        <f t="shared" si="30"/>
        <v>-2.2297752401812E-5</v>
      </c>
      <c r="L164" s="7">
        <f t="shared" si="31"/>
        <v>5.3125395760034199E-4</v>
      </c>
      <c r="M164" s="7">
        <f t="shared" si="32"/>
        <v>3.2195013823539002E-2</v>
      </c>
      <c r="N164" s="7">
        <f t="shared" si="33"/>
        <v>-2.2206653428394899E-2</v>
      </c>
      <c r="O164">
        <v>-2.4078601000000002</v>
      </c>
      <c r="P164">
        <v>-5.2505657000000001</v>
      </c>
      <c r="Q164">
        <v>-4.3362056999999998</v>
      </c>
      <c r="R164">
        <v>-3.8708089000000001</v>
      </c>
      <c r="S164">
        <f t="shared" si="34"/>
        <v>1.0062683131844241</v>
      </c>
      <c r="T164">
        <f t="shared" si="35"/>
        <v>-23.609861915902627</v>
      </c>
      <c r="U164" s="8"/>
      <c r="V164" s="8"/>
    </row>
    <row r="165" spans="1:22" x14ac:dyDescent="0.35">
      <c r="A165">
        <v>1.0125</v>
      </c>
      <c r="B165" s="9">
        <v>16.805599999999998</v>
      </c>
      <c r="C165">
        <v>-1.5436658000000001E-2</v>
      </c>
      <c r="D165">
        <v>1.1749058E-2</v>
      </c>
      <c r="E165">
        <v>0.98457006999999996</v>
      </c>
      <c r="F165">
        <v>1.0722776999999999E-2</v>
      </c>
      <c r="G165">
        <f t="shared" si="26"/>
        <v>20.674424165198001</v>
      </c>
      <c r="H165">
        <f t="shared" si="27"/>
        <v>15.415896509494999</v>
      </c>
      <c r="I165">
        <f t="shared" si="28"/>
        <v>20.674427792497099</v>
      </c>
      <c r="J165">
        <f t="shared" si="29"/>
        <v>15.4153833725825</v>
      </c>
      <c r="K165" s="7">
        <f t="shared" si="30"/>
        <v>-3.62729909753057E-6</v>
      </c>
      <c r="L165" s="7">
        <f t="shared" si="31"/>
        <v>5.1313691249887895E-4</v>
      </c>
      <c r="M165" s="7">
        <f t="shared" si="32"/>
        <v>3.1086279422670102E-2</v>
      </c>
      <c r="N165" s="7">
        <f t="shared" si="33"/>
        <v>-2.31787268667039E-2</v>
      </c>
      <c r="O165">
        <v>-2.5596625</v>
      </c>
      <c r="P165">
        <v>-5.0588411999999998</v>
      </c>
      <c r="Q165">
        <v>-4.4031545000000003</v>
      </c>
      <c r="R165">
        <v>-3.6352886999999998</v>
      </c>
      <c r="S165">
        <f t="shared" si="34"/>
        <v>1.0071198552141718</v>
      </c>
      <c r="T165">
        <f t="shared" si="35"/>
        <v>-23.618168328699554</v>
      </c>
      <c r="U165" s="8"/>
      <c r="V165" s="8"/>
    </row>
    <row r="166" spans="1:22" x14ac:dyDescent="0.35">
      <c r="A166">
        <v>1.0125</v>
      </c>
      <c r="B166" s="9">
        <v>16.854399999999998</v>
      </c>
      <c r="C166">
        <v>-1.4888657E-2</v>
      </c>
      <c r="D166">
        <v>1.2149151E-2</v>
      </c>
      <c r="E166">
        <v>0.98521270000000005</v>
      </c>
      <c r="F166">
        <v>1.1068622E-2</v>
      </c>
      <c r="G166">
        <f t="shared" si="26"/>
        <v>20.402548386860801</v>
      </c>
      <c r="H166">
        <f t="shared" si="27"/>
        <v>16.3539538376134</v>
      </c>
      <c r="I166">
        <f t="shared" si="28"/>
        <v>20.4025993546339</v>
      </c>
      <c r="J166">
        <f t="shared" si="29"/>
        <v>16.353413628026502</v>
      </c>
      <c r="K166" s="7">
        <f t="shared" si="30"/>
        <v>-5.0967773098875602E-5</v>
      </c>
      <c r="L166" s="7">
        <f t="shared" si="31"/>
        <v>5.4020958689804399E-4</v>
      </c>
      <c r="M166" s="7">
        <f t="shared" si="32"/>
        <v>2.9841441355174001E-2</v>
      </c>
      <c r="N166" s="7">
        <f t="shared" si="33"/>
        <v>-2.39189833243879E-2</v>
      </c>
      <c r="O166">
        <v>-2.6889045999999999</v>
      </c>
      <c r="P166">
        <v>-4.8668541999999997</v>
      </c>
      <c r="Q166">
        <v>-4.4483553000000002</v>
      </c>
      <c r="R166">
        <v>-3.4094293000000002</v>
      </c>
      <c r="S166">
        <f t="shared" si="34"/>
        <v>1.0079832011463188</v>
      </c>
      <c r="T166">
        <f t="shared" si="35"/>
        <v>-23.611383574982455</v>
      </c>
      <c r="U166" s="8"/>
      <c r="V166" s="8"/>
    </row>
    <row r="167" spans="1:22" x14ac:dyDescent="0.35">
      <c r="A167">
        <v>1.0125</v>
      </c>
      <c r="B167" s="9">
        <v>16.903200000000002</v>
      </c>
      <c r="C167">
        <v>-1.4355764999999999E-2</v>
      </c>
      <c r="D167">
        <v>1.2483872999999999E-2</v>
      </c>
      <c r="E167">
        <v>0.98572426999999996</v>
      </c>
      <c r="F167">
        <v>1.140276E-2</v>
      </c>
      <c r="G167">
        <f t="shared" si="26"/>
        <v>20.093233202944099</v>
      </c>
      <c r="H167">
        <f t="shared" si="27"/>
        <v>17.180773238105399</v>
      </c>
      <c r="I167">
        <f t="shared" si="28"/>
        <v>20.093273511008899</v>
      </c>
      <c r="J167">
        <f t="shared" si="29"/>
        <v>17.180232725024101</v>
      </c>
      <c r="K167" s="7">
        <f t="shared" si="30"/>
        <v>-4.0308064800598197E-5</v>
      </c>
      <c r="L167" s="7">
        <f t="shared" si="31"/>
        <v>5.4051308129743304E-4</v>
      </c>
      <c r="M167" s="7">
        <f t="shared" si="32"/>
        <v>2.8749853270683901E-2</v>
      </c>
      <c r="N167" s="7">
        <f t="shared" si="33"/>
        <v>-2.45818168816558E-2</v>
      </c>
      <c r="O167">
        <v>-2.7963524999999998</v>
      </c>
      <c r="P167">
        <v>-4.6824129000000001</v>
      </c>
      <c r="Q167">
        <v>-4.4768667000000004</v>
      </c>
      <c r="R167">
        <v>-3.1980968000000001</v>
      </c>
      <c r="S167">
        <f t="shared" si="34"/>
        <v>1.0087962129714425</v>
      </c>
      <c r="T167">
        <f t="shared" si="35"/>
        <v>-23.613695597687606</v>
      </c>
      <c r="U167" s="8"/>
      <c r="V167" s="8"/>
    </row>
    <row r="168" spans="1:22" x14ac:dyDescent="0.35">
      <c r="A168">
        <v>1.0125</v>
      </c>
      <c r="B168" s="9">
        <v>16.952000000000002</v>
      </c>
      <c r="C168">
        <v>-1.3839795E-2</v>
      </c>
      <c r="D168">
        <v>1.2760989E-2</v>
      </c>
      <c r="E168">
        <v>0.98623260000000001</v>
      </c>
      <c r="F168">
        <v>1.1686E-2</v>
      </c>
      <c r="G168">
        <f t="shared" si="26"/>
        <v>19.8021890583051</v>
      </c>
      <c r="H168">
        <f t="shared" si="27"/>
        <v>17.978474719280701</v>
      </c>
      <c r="I168">
        <f t="shared" si="28"/>
        <v>19.802225543363701</v>
      </c>
      <c r="J168">
        <f t="shared" si="29"/>
        <v>17.977937263845799</v>
      </c>
      <c r="K168" s="7">
        <f t="shared" si="30"/>
        <v>-3.64850586009879E-5</v>
      </c>
      <c r="L168" s="7">
        <f t="shared" si="31"/>
        <v>5.3745543490180104E-4</v>
      </c>
      <c r="M168" s="7">
        <f t="shared" si="32"/>
        <v>2.7682474825257899E-2</v>
      </c>
      <c r="N168" s="7">
        <f t="shared" si="33"/>
        <v>-2.5132215297045801E-2</v>
      </c>
      <c r="O168">
        <v>-2.8849895999999999</v>
      </c>
      <c r="P168">
        <v>-4.5039626000000004</v>
      </c>
      <c r="Q168">
        <v>-4.4903851000000001</v>
      </c>
      <c r="R168">
        <v>-2.9995338</v>
      </c>
      <c r="S168">
        <f t="shared" si="34"/>
        <v>1.009599841979866</v>
      </c>
      <c r="T168">
        <f t="shared" si="35"/>
        <v>-23.616079945345277</v>
      </c>
      <c r="U168" s="8"/>
      <c r="V168" s="8"/>
    </row>
    <row r="169" spans="1:22" x14ac:dyDescent="0.35">
      <c r="A169">
        <v>1.0125</v>
      </c>
      <c r="B169" s="9">
        <v>17</v>
      </c>
      <c r="C169">
        <v>-1.3680652E-2</v>
      </c>
      <c r="D169">
        <v>1.3096379E-2</v>
      </c>
      <c r="E169">
        <v>0.98630123000000003</v>
      </c>
      <c r="F169">
        <v>1.2110704999999999E-2</v>
      </c>
      <c r="G169">
        <f t="shared" si="26"/>
        <v>19.2681143439751</v>
      </c>
      <c r="H169">
        <f t="shared" si="27"/>
        <v>18.199915052689299</v>
      </c>
      <c r="I169">
        <f t="shared" si="28"/>
        <v>19.268105527787899</v>
      </c>
      <c r="J169">
        <f t="shared" si="29"/>
        <v>18.199422206879699</v>
      </c>
      <c r="K169" s="7">
        <f t="shared" si="30"/>
        <v>8.8161872007219699E-6</v>
      </c>
      <c r="L169" s="7">
        <f t="shared" si="31"/>
        <v>4.9284580959962898E-4</v>
      </c>
      <c r="M169" s="7">
        <f t="shared" si="32"/>
        <v>2.7428733652064701E-2</v>
      </c>
      <c r="N169" s="7">
        <f t="shared" si="33"/>
        <v>-2.59074304743694E-2</v>
      </c>
      <c r="O169">
        <v>-2.9334487999999999</v>
      </c>
      <c r="P169">
        <v>-4.4057941999999999</v>
      </c>
      <c r="Q169">
        <v>-4.5228783999999997</v>
      </c>
      <c r="R169">
        <v>-2.9065256000000002</v>
      </c>
      <c r="S169">
        <f t="shared" si="34"/>
        <v>1.0157274640711671</v>
      </c>
      <c r="T169">
        <f t="shared" si="35"/>
        <v>-23.617772447500982</v>
      </c>
      <c r="U169" s="8"/>
      <c r="V169" s="8"/>
    </row>
    <row r="170" spans="1:22" x14ac:dyDescent="0.35">
      <c r="A170">
        <v>1.1499999999999999</v>
      </c>
      <c r="B170" s="9">
        <v>15</v>
      </c>
      <c r="C170">
        <v>-5.0722670000000001E-3</v>
      </c>
      <c r="D170">
        <v>-5.2099084999999998E-3</v>
      </c>
      <c r="E170">
        <v>0.99479187000000002</v>
      </c>
      <c r="F170">
        <v>-7.22728E-3</v>
      </c>
      <c r="G170">
        <f t="shared" si="26"/>
        <v>38.983800034569498</v>
      </c>
      <c r="H170">
        <f t="shared" si="27"/>
        <v>-47.766818931537003</v>
      </c>
      <c r="I170">
        <f t="shared" si="28"/>
        <v>38.9837331161078</v>
      </c>
      <c r="J170">
        <f t="shared" si="29"/>
        <v>-47.767827753317398</v>
      </c>
      <c r="K170" s="7">
        <f t="shared" si="30"/>
        <v>6.6918461698151104E-5</v>
      </c>
      <c r="L170" s="7">
        <f t="shared" si="31"/>
        <v>1.00882178039541E-3</v>
      </c>
      <c r="M170" s="7">
        <f t="shared" si="32"/>
        <v>1.02548377661822E-2</v>
      </c>
      <c r="N170" s="7">
        <f t="shared" si="33"/>
        <v>1.2565531438311701E-2</v>
      </c>
      <c r="O170">
        <v>3.0277729999999998</v>
      </c>
      <c r="P170">
        <v>-1.6207593</v>
      </c>
      <c r="Q170">
        <v>2.0692309999999998</v>
      </c>
      <c r="R170">
        <v>-2.6063132000000002</v>
      </c>
      <c r="S170">
        <f t="shared" si="34"/>
        <v>0.96900987991356213</v>
      </c>
      <c r="T170">
        <f t="shared" si="35"/>
        <v>-23.392842884898176</v>
      </c>
      <c r="U170" s="8"/>
      <c r="V170" s="8"/>
    </row>
    <row r="171" spans="1:22" x14ac:dyDescent="0.35">
      <c r="A171">
        <v>1.1499999999999999</v>
      </c>
      <c r="B171" s="9">
        <v>15.0488</v>
      </c>
      <c r="C171">
        <v>-5.4511472E-3</v>
      </c>
      <c r="D171">
        <v>-5.4984548999999997E-3</v>
      </c>
      <c r="E171">
        <v>0.99444014999999997</v>
      </c>
      <c r="F171">
        <v>-7.4713592000000004E-3</v>
      </c>
      <c r="G171">
        <f t="shared" si="26"/>
        <v>37.540060076004799</v>
      </c>
      <c r="H171">
        <f t="shared" si="27"/>
        <v>-44.806725577135403</v>
      </c>
      <c r="I171">
        <f t="shared" si="28"/>
        <v>37.5400066948961</v>
      </c>
      <c r="J171">
        <f t="shared" si="29"/>
        <v>-44.807712135564103</v>
      </c>
      <c r="K171" s="7">
        <f t="shared" si="30"/>
        <v>5.3381108699568399E-5</v>
      </c>
      <c r="L171" s="7">
        <f t="shared" si="31"/>
        <v>9.8655842869988008E-4</v>
      </c>
      <c r="M171" s="7">
        <f t="shared" si="32"/>
        <v>1.09863013169738E-2</v>
      </c>
      <c r="N171" s="7">
        <f t="shared" si="33"/>
        <v>1.31132375880066E-2</v>
      </c>
      <c r="O171">
        <v>3.0999289000000001</v>
      </c>
      <c r="P171">
        <v>-1.7352320000000001</v>
      </c>
      <c r="Q171">
        <v>2.0923286999999999</v>
      </c>
      <c r="R171">
        <v>-2.7394428</v>
      </c>
      <c r="S171">
        <f t="shared" si="34"/>
        <v>0.97031337074252277</v>
      </c>
      <c r="T171">
        <f t="shared" si="35"/>
        <v>-23.389591728237807</v>
      </c>
      <c r="U171" s="8"/>
      <c r="V171" s="8"/>
    </row>
    <row r="172" spans="1:22" x14ac:dyDescent="0.35">
      <c r="A172">
        <v>1.1499999999999999</v>
      </c>
      <c r="B172" s="9">
        <v>15.0976</v>
      </c>
      <c r="C172">
        <v>-5.8604069999999998E-3</v>
      </c>
      <c r="D172">
        <v>-5.7646573E-3</v>
      </c>
      <c r="E172">
        <v>0.99402223999999995</v>
      </c>
      <c r="F172">
        <v>-7.7269484999999997E-3</v>
      </c>
      <c r="G172">
        <f t="shared" si="26"/>
        <v>36.245622062816501</v>
      </c>
      <c r="H172">
        <f t="shared" si="27"/>
        <v>-41.877365832074503</v>
      </c>
      <c r="I172">
        <f t="shared" si="28"/>
        <v>36.2455643456885</v>
      </c>
      <c r="J172">
        <f t="shared" si="29"/>
        <v>-41.8783470918803</v>
      </c>
      <c r="K172" s="7">
        <f t="shared" si="30"/>
        <v>5.7717128001399901E-5</v>
      </c>
      <c r="L172" s="7">
        <f t="shared" si="31"/>
        <v>9.8125980579766292E-4</v>
      </c>
      <c r="M172" s="7">
        <f t="shared" si="32"/>
        <v>1.18158527987718E-2</v>
      </c>
      <c r="N172" s="7">
        <f t="shared" si="33"/>
        <v>1.36521087097486E-2</v>
      </c>
      <c r="O172">
        <v>3.1732395000000002</v>
      </c>
      <c r="P172">
        <v>-1.8604067</v>
      </c>
      <c r="Q172">
        <v>2.1099841000000001</v>
      </c>
      <c r="R172">
        <v>-2.8804013999999998</v>
      </c>
      <c r="S172">
        <f t="shared" si="34"/>
        <v>0.97067937393347425</v>
      </c>
      <c r="T172">
        <f t="shared" si="35"/>
        <v>-23.39381643057451</v>
      </c>
      <c r="U172" s="8"/>
      <c r="V172" s="8"/>
    </row>
    <row r="173" spans="1:22" x14ac:dyDescent="0.35">
      <c r="A173">
        <v>1.1499999999999999</v>
      </c>
      <c r="B173" s="9">
        <v>15.1464</v>
      </c>
      <c r="C173">
        <v>-6.2994996000000003E-3</v>
      </c>
      <c r="D173">
        <v>-6.0237310999999997E-3</v>
      </c>
      <c r="E173">
        <v>0.99356992</v>
      </c>
      <c r="F173">
        <v>-7.9691805000000008E-3</v>
      </c>
      <c r="G173">
        <f t="shared" si="26"/>
        <v>35.073040849341602</v>
      </c>
      <c r="H173">
        <f t="shared" si="27"/>
        <v>-39.102923222105801</v>
      </c>
      <c r="I173">
        <f t="shared" si="28"/>
        <v>35.072976501256299</v>
      </c>
      <c r="J173">
        <f t="shared" si="29"/>
        <v>-39.103896072916399</v>
      </c>
      <c r="K173" s="7">
        <f t="shared" si="30"/>
        <v>6.4348085302867703E-5</v>
      </c>
      <c r="L173" s="7">
        <f t="shared" si="31"/>
        <v>9.7285081059794699E-4</v>
      </c>
      <c r="M173" s="7">
        <f t="shared" si="32"/>
        <v>1.27111539220958E-2</v>
      </c>
      <c r="N173" s="7">
        <f t="shared" si="33"/>
        <v>1.4172040457378099E-2</v>
      </c>
      <c r="O173">
        <v>3.2415826000000001</v>
      </c>
      <c r="P173">
        <v>-1.9926265000000001</v>
      </c>
      <c r="Q173">
        <v>2.1226981999999999</v>
      </c>
      <c r="R173">
        <v>-3.0291811000000002</v>
      </c>
      <c r="S173">
        <f t="shared" si="34"/>
        <v>0.97209976018506694</v>
      </c>
      <c r="T173">
        <f t="shared" si="35"/>
        <v>-23.399783831354032</v>
      </c>
      <c r="U173" s="8"/>
      <c r="V173" s="8"/>
    </row>
    <row r="174" spans="1:22" x14ac:dyDescent="0.35">
      <c r="A174">
        <v>1.1499999999999999</v>
      </c>
      <c r="B174" s="9">
        <v>15.1952</v>
      </c>
      <c r="C174">
        <v>-6.7736970000000004E-3</v>
      </c>
      <c r="D174">
        <v>-6.2765922000000002E-3</v>
      </c>
      <c r="E174">
        <v>0.99308092999999997</v>
      </c>
      <c r="F174">
        <v>-8.2017345999999998E-3</v>
      </c>
      <c r="G174">
        <f t="shared" si="26"/>
        <v>33.980747661551099</v>
      </c>
      <c r="H174">
        <f t="shared" si="27"/>
        <v>-36.458403356302703</v>
      </c>
      <c r="I174">
        <f t="shared" si="28"/>
        <v>33.980675896511897</v>
      </c>
      <c r="J174">
        <f t="shared" si="29"/>
        <v>-36.459366066557699</v>
      </c>
      <c r="K174" s="7">
        <f t="shared" si="30"/>
        <v>7.1765039201920899E-5</v>
      </c>
      <c r="L174" s="7">
        <f t="shared" si="31"/>
        <v>9.6271025499561303E-4</v>
      </c>
      <c r="M174" s="7">
        <f t="shared" si="32"/>
        <v>1.36799770231522E-2</v>
      </c>
      <c r="N174" s="7">
        <f t="shared" si="33"/>
        <v>1.46778507757817E-2</v>
      </c>
      <c r="O174">
        <v>3.3077583000000002</v>
      </c>
      <c r="P174">
        <v>-2.1351461</v>
      </c>
      <c r="Q174">
        <v>2.1294479000000002</v>
      </c>
      <c r="R174">
        <v>-3.1867013000000002</v>
      </c>
      <c r="S174">
        <f t="shared" si="34"/>
        <v>0.9735040019248743</v>
      </c>
      <c r="T174">
        <f t="shared" si="35"/>
        <v>-23.405886928917788</v>
      </c>
      <c r="U174" s="8"/>
      <c r="V174" s="8"/>
    </row>
    <row r="175" spans="1:22" x14ac:dyDescent="0.35">
      <c r="A175">
        <v>1.1499999999999999</v>
      </c>
      <c r="B175" s="9">
        <v>15.244</v>
      </c>
      <c r="C175">
        <v>-7.2865331E-3</v>
      </c>
      <c r="D175">
        <v>-6.5210416999999998E-3</v>
      </c>
      <c r="E175">
        <v>0.99255272999999999</v>
      </c>
      <c r="F175">
        <v>-8.4235416000000007E-3</v>
      </c>
      <c r="G175">
        <f t="shared" si="26"/>
        <v>32.953602945480696</v>
      </c>
      <c r="H175">
        <f t="shared" si="27"/>
        <v>-33.931670581193302</v>
      </c>
      <c r="I175">
        <f t="shared" si="28"/>
        <v>32.953523475665001</v>
      </c>
      <c r="J175">
        <f t="shared" si="29"/>
        <v>-33.932621983201699</v>
      </c>
      <c r="K175" s="7">
        <f t="shared" si="30"/>
        <v>7.9469815695176694E-5</v>
      </c>
      <c r="L175" s="7">
        <f t="shared" si="31"/>
        <v>9.5140200839694E-4</v>
      </c>
      <c r="M175" s="7">
        <f t="shared" si="32"/>
        <v>1.4728769463927699E-2</v>
      </c>
      <c r="N175" s="7">
        <f t="shared" si="33"/>
        <v>1.51663832508307E-2</v>
      </c>
      <c r="O175">
        <v>3.3709492000000001</v>
      </c>
      <c r="P175">
        <v>-2.2889501000000001</v>
      </c>
      <c r="Q175">
        <v>2.1291003000000002</v>
      </c>
      <c r="R175">
        <v>-3.3535362000000002</v>
      </c>
      <c r="S175">
        <f t="shared" si="34"/>
        <v>0.97488987803548444</v>
      </c>
      <c r="T175">
        <f t="shared" si="35"/>
        <v>-23.411880555794554</v>
      </c>
      <c r="U175" s="8"/>
      <c r="V175" s="8"/>
    </row>
    <row r="176" spans="1:22" x14ac:dyDescent="0.35">
      <c r="A176">
        <v>1.1499999999999999</v>
      </c>
      <c r="B176" s="9">
        <v>15.2928</v>
      </c>
      <c r="C176">
        <v>-7.8410638000000008E-3</v>
      </c>
      <c r="D176">
        <v>-6.7536163999999997E-3</v>
      </c>
      <c r="E176">
        <v>0.99198218000000005</v>
      </c>
      <c r="F176">
        <v>-8.6317405000000003E-3</v>
      </c>
      <c r="G176">
        <f t="shared" si="26"/>
        <v>31.9835514241067</v>
      </c>
      <c r="H176">
        <f t="shared" si="27"/>
        <v>-31.513120195299798</v>
      </c>
      <c r="I176">
        <f t="shared" si="28"/>
        <v>31.983463920265901</v>
      </c>
      <c r="J176">
        <f t="shared" si="29"/>
        <v>-31.514059422528302</v>
      </c>
      <c r="K176" s="7">
        <f t="shared" si="30"/>
        <v>8.7503840799030299E-5</v>
      </c>
      <c r="L176" s="7">
        <f t="shared" si="31"/>
        <v>9.3922722850337003E-4</v>
      </c>
      <c r="M176" s="7">
        <f t="shared" si="32"/>
        <v>1.5864200401690998E-2</v>
      </c>
      <c r="N176" s="7">
        <f t="shared" si="33"/>
        <v>1.5631369866507899E-2</v>
      </c>
      <c r="O176">
        <v>3.4300651000000002</v>
      </c>
      <c r="P176">
        <v>-2.4548644999999998</v>
      </c>
      <c r="Q176">
        <v>2.1203354000000001</v>
      </c>
      <c r="R176">
        <v>-3.5300372000000002</v>
      </c>
      <c r="S176">
        <f t="shared" si="34"/>
        <v>0.97626004515193998</v>
      </c>
      <c r="T176">
        <f t="shared" si="35"/>
        <v>-23.417712884993477</v>
      </c>
      <c r="U176" s="8"/>
      <c r="V176" s="8"/>
    </row>
    <row r="177" spans="1:22" x14ac:dyDescent="0.35">
      <c r="A177">
        <v>1.1499999999999999</v>
      </c>
      <c r="B177" s="9">
        <v>15.3416</v>
      </c>
      <c r="C177">
        <v>-8.4401053000000004E-3</v>
      </c>
      <c r="D177">
        <v>-6.9699486000000003E-3</v>
      </c>
      <c r="E177">
        <v>0.99136592999999995</v>
      </c>
      <c r="F177">
        <v>-8.8222748E-3</v>
      </c>
      <c r="G177">
        <f t="shared" si="26"/>
        <v>31.065009703294098</v>
      </c>
      <c r="H177">
        <f t="shared" si="27"/>
        <v>-29.1945589613495</v>
      </c>
      <c r="I177">
        <f t="shared" si="28"/>
        <v>31.064913569564499</v>
      </c>
      <c r="J177">
        <f t="shared" si="29"/>
        <v>-29.1954853033238</v>
      </c>
      <c r="K177" s="7">
        <f t="shared" si="30"/>
        <v>9.6133729599046105E-5</v>
      </c>
      <c r="L177" s="7">
        <f t="shared" si="31"/>
        <v>9.2634197429930498E-4</v>
      </c>
      <c r="M177" s="7">
        <f t="shared" si="32"/>
        <v>1.7093003407213599E-2</v>
      </c>
      <c r="N177" s="7">
        <f t="shared" si="33"/>
        <v>1.606437850366E-2</v>
      </c>
      <c r="O177">
        <v>3.4837788999999999</v>
      </c>
      <c r="P177">
        <v>-2.6336349999999999</v>
      </c>
      <c r="Q177">
        <v>2.1016409</v>
      </c>
      <c r="R177">
        <v>-3.7163843000000001</v>
      </c>
      <c r="S177">
        <f t="shared" si="34"/>
        <v>0.97761467369834543</v>
      </c>
      <c r="T177">
        <f t="shared" si="35"/>
        <v>-23.423327225122438</v>
      </c>
      <c r="U177" s="8"/>
      <c r="V177" s="8"/>
    </row>
    <row r="178" spans="1:22" x14ac:dyDescent="0.35">
      <c r="A178">
        <v>1.1499999999999999</v>
      </c>
      <c r="B178" s="9">
        <v>15.3904</v>
      </c>
      <c r="C178">
        <v>-9.0861971000000003E-3</v>
      </c>
      <c r="D178">
        <v>-7.1647908000000001E-3</v>
      </c>
      <c r="E178">
        <v>0.99070069000000005</v>
      </c>
      <c r="F178">
        <v>-8.9899627999999992E-3</v>
      </c>
      <c r="G178">
        <f t="shared" si="26"/>
        <v>30.1935704105369</v>
      </c>
      <c r="H178">
        <f t="shared" si="27"/>
        <v>-26.968950019766002</v>
      </c>
      <c r="I178">
        <f t="shared" si="28"/>
        <v>30.193464675810201</v>
      </c>
      <c r="J178">
        <f t="shared" si="29"/>
        <v>-26.969862799520602</v>
      </c>
      <c r="K178" s="7">
        <f t="shared" si="30"/>
        <v>1.05734726698614E-4</v>
      </c>
      <c r="L178" s="7">
        <f t="shared" si="31"/>
        <v>9.1277975460002402E-4</v>
      </c>
      <c r="M178" s="7">
        <f t="shared" si="32"/>
        <v>1.84216706472339E-2</v>
      </c>
      <c r="N178" s="7">
        <f t="shared" si="33"/>
        <v>1.6454883042683499E-2</v>
      </c>
      <c r="O178">
        <v>3.5305157</v>
      </c>
      <c r="P178">
        <v>-2.8259180000000002</v>
      </c>
      <c r="Q178">
        <v>2.0713089</v>
      </c>
      <c r="R178">
        <v>-3.9125816000000002</v>
      </c>
      <c r="S178">
        <f t="shared" si="34"/>
        <v>0.97895399529856986</v>
      </c>
      <c r="T178">
        <f t="shared" si="35"/>
        <v>-23.428688097383112</v>
      </c>
      <c r="U178" s="8"/>
      <c r="V178" s="8"/>
    </row>
    <row r="179" spans="1:22" x14ac:dyDescent="0.35">
      <c r="A179" s="10">
        <v>1.1499999999999999</v>
      </c>
      <c r="B179" s="11">
        <v>15.4392</v>
      </c>
      <c r="C179" s="10">
        <v>-9.7814658999999995E-3</v>
      </c>
      <c r="D179" s="10">
        <v>-7.3319735999999996E-3</v>
      </c>
      <c r="E179" s="10">
        <v>0.98998357000000003</v>
      </c>
      <c r="F179" s="10">
        <v>-9.1282512999999992E-3</v>
      </c>
      <c r="G179">
        <f t="shared" si="26"/>
        <v>29.365837113762701</v>
      </c>
      <c r="H179">
        <f t="shared" si="27"/>
        <v>-24.8303428368122</v>
      </c>
      <c r="I179">
        <f t="shared" si="28"/>
        <v>29.365720424846099</v>
      </c>
      <c r="J179">
        <f t="shared" si="29"/>
        <v>-24.831241186004899</v>
      </c>
      <c r="K179" s="7">
        <f t="shared" si="30"/>
        <v>1.16688916602214E-4</v>
      </c>
      <c r="L179" s="7">
        <f t="shared" si="31"/>
        <v>8.9834919269904401E-4</v>
      </c>
      <c r="M179" s="7">
        <f t="shared" si="32"/>
        <v>1.9855976822174298E-2</v>
      </c>
      <c r="N179" s="7">
        <f t="shared" si="33"/>
        <v>1.6789935418644399E-2</v>
      </c>
      <c r="O179" s="10">
        <v>3.5684293999999999</v>
      </c>
      <c r="P179" s="10">
        <v>-3.0322404999999999</v>
      </c>
      <c r="Q179" s="10">
        <v>2.0274318999999998</v>
      </c>
      <c r="R179" s="10">
        <v>-4.1184067000000004</v>
      </c>
      <c r="S179">
        <f t="shared" si="34"/>
        <v>0.98027773649776684</v>
      </c>
      <c r="T179">
        <f t="shared" si="35"/>
        <v>-23.433727650339002</v>
      </c>
      <c r="U179" s="10"/>
      <c r="V179" s="10"/>
    </row>
    <row r="180" spans="1:22" x14ac:dyDescent="0.35">
      <c r="A180" s="12">
        <v>1.1499999999999999</v>
      </c>
      <c r="B180" s="13">
        <v>15.488</v>
      </c>
      <c r="C180" s="12">
        <v>-1.0527438E-2</v>
      </c>
      <c r="D180" s="12">
        <v>-7.4643176E-3</v>
      </c>
      <c r="E180" s="12">
        <v>0.9892128</v>
      </c>
      <c r="F180" s="12">
        <v>-9.2289290999999999E-3</v>
      </c>
      <c r="G180">
        <f t="shared" si="26"/>
        <v>28.579559309161699</v>
      </c>
      <c r="H180">
        <f t="shared" si="27"/>
        <v>-22.7741036144761</v>
      </c>
      <c r="I180">
        <f t="shared" si="28"/>
        <v>28.579430190056598</v>
      </c>
      <c r="J180">
        <f t="shared" si="29"/>
        <v>-22.774986148772999</v>
      </c>
      <c r="K180" s="7">
        <f t="shared" si="30"/>
        <v>1.2911910510027299E-4</v>
      </c>
      <c r="L180" s="7">
        <f t="shared" si="31"/>
        <v>8.8253429689899598E-4</v>
      </c>
      <c r="M180" s="7">
        <f t="shared" si="32"/>
        <v>2.1400057174083002E-2</v>
      </c>
      <c r="N180" s="7">
        <f t="shared" si="33"/>
        <v>1.70537341885936E-2</v>
      </c>
      <c r="O180" s="12">
        <v>3.5953895</v>
      </c>
      <c r="P180" s="12">
        <v>-3.2529442</v>
      </c>
      <c r="Q180" s="12">
        <v>1.9679084</v>
      </c>
      <c r="R180" s="12">
        <v>-4.3333515</v>
      </c>
      <c r="S180">
        <f t="shared" si="34"/>
        <v>0.98158439477405113</v>
      </c>
      <c r="T180">
        <f t="shared" si="35"/>
        <v>-23.438381958166186</v>
      </c>
      <c r="U180" s="12"/>
      <c r="V180" s="12"/>
    </row>
    <row r="181" spans="1:22" x14ac:dyDescent="0.35">
      <c r="A181" s="10">
        <v>1.1499999999999999</v>
      </c>
      <c r="B181" s="11">
        <v>15.536799999999999</v>
      </c>
      <c r="C181" s="10">
        <v>-1.1324819999999999E-2</v>
      </c>
      <c r="D181" s="10">
        <v>-7.5535710999999998E-3</v>
      </c>
      <c r="E181" s="10">
        <v>0.98838893999999999</v>
      </c>
      <c r="F181" s="10">
        <v>-9.2824213999999992E-3</v>
      </c>
      <c r="G181">
        <f t="shared" si="26"/>
        <v>27.8332789547723</v>
      </c>
      <c r="H181">
        <f t="shared" si="27"/>
        <v>-20.7974473756077</v>
      </c>
      <c r="I181">
        <f t="shared" si="28"/>
        <v>27.8331365618372</v>
      </c>
      <c r="J181">
        <f t="shared" si="29"/>
        <v>-20.798312047597602</v>
      </c>
      <c r="K181" s="7">
        <f t="shared" si="30"/>
        <v>1.4239293509987801E-4</v>
      </c>
      <c r="L181" s="7">
        <f t="shared" si="31"/>
        <v>8.6467198990192195E-4</v>
      </c>
      <c r="M181" s="7">
        <f t="shared" si="32"/>
        <v>2.3054927363243601E-2</v>
      </c>
      <c r="N181" s="7">
        <f t="shared" si="33"/>
        <v>1.7227795094890499E-2</v>
      </c>
      <c r="O181" s="10">
        <v>3.6089859</v>
      </c>
      <c r="P181" s="10">
        <v>-3.4881305999999999</v>
      </c>
      <c r="Q181" s="10">
        <v>1.8904730999999999</v>
      </c>
      <c r="R181" s="10">
        <v>-4.5565797999999997</v>
      </c>
      <c r="S181">
        <f t="shared" si="34"/>
        <v>0.98287310448516807</v>
      </c>
      <c r="T181">
        <f t="shared" si="35"/>
        <v>-23.442577690767248</v>
      </c>
      <c r="U181" s="10"/>
      <c r="V181" s="10"/>
    </row>
    <row r="182" spans="1:22" x14ac:dyDescent="0.35">
      <c r="A182" s="12">
        <v>1.1499999999999999</v>
      </c>
      <c r="B182" s="13">
        <v>15.585599999999999</v>
      </c>
      <c r="C182" s="12">
        <v>-1.2174328999999999E-2</v>
      </c>
      <c r="D182" s="12">
        <v>-7.5854803E-3</v>
      </c>
      <c r="E182" s="12">
        <v>0.98776438</v>
      </c>
      <c r="F182" s="12">
        <v>-9.1818021000000007E-3</v>
      </c>
      <c r="G182">
        <f t="shared" si="26"/>
        <v>27.333881096125999</v>
      </c>
      <c r="H182">
        <f t="shared" si="27"/>
        <v>-19.118784349572401</v>
      </c>
      <c r="I182">
        <f t="shared" si="28"/>
        <v>27.3338510868059</v>
      </c>
      <c r="J182">
        <f t="shared" si="29"/>
        <v>-19.119582558886201</v>
      </c>
      <c r="K182" s="7">
        <f t="shared" si="30"/>
        <v>3.0009320099111399E-5</v>
      </c>
      <c r="L182" s="7">
        <f t="shared" si="31"/>
        <v>7.9820931379970305E-4</v>
      </c>
      <c r="M182" s="7">
        <f t="shared" si="32"/>
        <v>2.4565384957229999E-2</v>
      </c>
      <c r="N182" s="7">
        <f t="shared" si="33"/>
        <v>1.7183085701644799E-2</v>
      </c>
      <c r="O182" s="12">
        <v>3.6075639000000002</v>
      </c>
      <c r="P182" s="12">
        <v>-3.7391204999999998</v>
      </c>
      <c r="Q182" s="12">
        <v>1.7933097</v>
      </c>
      <c r="R182" s="12">
        <v>-4.7896101</v>
      </c>
      <c r="S182">
        <f t="shared" si="34"/>
        <v>0.98433370050806868</v>
      </c>
      <c r="T182">
        <f t="shared" si="35"/>
        <v>-23.447381749102167</v>
      </c>
      <c r="U182" s="12"/>
      <c r="V182" s="12"/>
    </row>
    <row r="183" spans="1:22" x14ac:dyDescent="0.35">
      <c r="A183" s="10">
        <v>1.1499999999999999</v>
      </c>
      <c r="B183" s="11">
        <v>15.634399999999999</v>
      </c>
      <c r="C183" s="10">
        <v>-1.3072036E-2</v>
      </c>
      <c r="D183" s="10">
        <v>-7.5597972000000001E-3</v>
      </c>
      <c r="E183" s="10">
        <v>0.98685458999999998</v>
      </c>
      <c r="F183" s="10">
        <v>-9.1307816999999999E-3</v>
      </c>
      <c r="G183">
        <f t="shared" si="26"/>
        <v>26.642200955034699</v>
      </c>
      <c r="H183">
        <f t="shared" si="27"/>
        <v>-17.278893145612301</v>
      </c>
      <c r="I183">
        <f t="shared" si="28"/>
        <v>26.642164883754301</v>
      </c>
      <c r="J183">
        <f t="shared" si="29"/>
        <v>-17.279678695015399</v>
      </c>
      <c r="K183" s="7">
        <f t="shared" si="30"/>
        <v>3.6071280398175498E-5</v>
      </c>
      <c r="L183" s="7">
        <f t="shared" si="31"/>
        <v>7.8554940309771804E-4</v>
      </c>
      <c r="M183" s="7">
        <f t="shared" si="32"/>
        <v>2.6420438081261401E-2</v>
      </c>
      <c r="N183" s="7">
        <f t="shared" si="33"/>
        <v>1.7135870264962199E-2</v>
      </c>
      <c r="O183" s="10">
        <v>3.5835658000000001</v>
      </c>
      <c r="P183" s="10">
        <v>-3.9999037</v>
      </c>
      <c r="Q183" s="10">
        <v>1.6723258000000001</v>
      </c>
      <c r="R183" s="10">
        <v>-5.0255054000000001</v>
      </c>
      <c r="S183">
        <f t="shared" si="34"/>
        <v>0.98623038519335704</v>
      </c>
      <c r="T183">
        <f t="shared" si="35"/>
        <v>-23.451799809169319</v>
      </c>
      <c r="U183" s="10"/>
      <c r="V183" s="10"/>
    </row>
    <row r="184" spans="1:22" x14ac:dyDescent="0.35">
      <c r="A184" s="12">
        <v>1.1499999999999999</v>
      </c>
      <c r="B184" s="13">
        <v>15.683199999999999</v>
      </c>
      <c r="C184" s="12">
        <v>-1.4015279E-2</v>
      </c>
      <c r="D184" s="12">
        <v>-7.4607175999999997E-3</v>
      </c>
      <c r="E184" s="12">
        <v>0.98590122999999996</v>
      </c>
      <c r="F184" s="12">
        <v>-9.0066299999999998E-3</v>
      </c>
      <c r="G184">
        <f t="shared" si="26"/>
        <v>25.983400774536602</v>
      </c>
      <c r="H184">
        <f t="shared" si="27"/>
        <v>-15.5118233238539</v>
      </c>
      <c r="I184">
        <f t="shared" si="28"/>
        <v>25.9833596248296</v>
      </c>
      <c r="J184">
        <f t="shared" si="29"/>
        <v>-15.5125963441309</v>
      </c>
      <c r="K184" s="7">
        <f t="shared" si="30"/>
        <v>4.1149707001863997E-5</v>
      </c>
      <c r="L184" s="7">
        <f t="shared" si="31"/>
        <v>7.7302027700021402E-4</v>
      </c>
      <c r="M184" s="7">
        <f t="shared" si="32"/>
        <v>2.8373063204494099E-2</v>
      </c>
      <c r="N184" s="7">
        <f t="shared" si="33"/>
        <v>1.6939298185182899E-2</v>
      </c>
      <c r="O184" s="12">
        <v>3.5423344000000001</v>
      </c>
      <c r="P184" s="12">
        <v>-4.2785776000000002</v>
      </c>
      <c r="Q184" s="12">
        <v>1.5260841999999999</v>
      </c>
      <c r="R184" s="12">
        <v>-5.2643873000000001</v>
      </c>
      <c r="S184">
        <f t="shared" si="34"/>
        <v>0.9867593773839598</v>
      </c>
      <c r="T184">
        <f t="shared" si="35"/>
        <v>-23.455897318296948</v>
      </c>
      <c r="U184" s="12"/>
      <c r="V184" s="12"/>
    </row>
    <row r="185" spans="1:22" x14ac:dyDescent="0.35">
      <c r="A185" s="10">
        <v>1.1499999999999999</v>
      </c>
      <c r="B185" s="11">
        <v>15.731999999999999</v>
      </c>
      <c r="C185" s="10">
        <v>-1.4998107E-2</v>
      </c>
      <c r="D185" s="10">
        <v>-7.2768902999999999E-3</v>
      </c>
      <c r="E185" s="10">
        <v>0.98491267000000005</v>
      </c>
      <c r="F185" s="10">
        <v>-8.7997065000000006E-3</v>
      </c>
      <c r="G185">
        <f t="shared" si="26"/>
        <v>25.355713868730401</v>
      </c>
      <c r="H185">
        <f t="shared" si="27"/>
        <v>-13.815989384660099</v>
      </c>
      <c r="I185">
        <f t="shared" si="28"/>
        <v>25.355669835059601</v>
      </c>
      <c r="J185">
        <f t="shared" si="29"/>
        <v>-13.816750860258299</v>
      </c>
      <c r="K185" s="7">
        <f t="shared" si="30"/>
        <v>4.4033670800303098E-5</v>
      </c>
      <c r="L185" s="7">
        <f t="shared" si="31"/>
        <v>7.61475598199723E-4</v>
      </c>
      <c r="M185" s="7">
        <f t="shared" si="32"/>
        <v>3.0409314902016201E-2</v>
      </c>
      <c r="N185" s="7">
        <f t="shared" si="33"/>
        <v>1.6570571022791102E-2</v>
      </c>
      <c r="O185" s="10">
        <v>3.4730642999999999</v>
      </c>
      <c r="P185" s="10">
        <v>-4.5648477999999999</v>
      </c>
      <c r="Q185" s="10">
        <v>1.3523215</v>
      </c>
      <c r="R185" s="10">
        <v>-5.5034599999999996</v>
      </c>
      <c r="S185">
        <f t="shared" si="34"/>
        <v>0.98802610325331042</v>
      </c>
      <c r="T185">
        <f t="shared" si="35"/>
        <v>-23.459573561606256</v>
      </c>
      <c r="U185" s="10"/>
      <c r="V185" s="10"/>
    </row>
    <row r="186" spans="1:22" x14ac:dyDescent="0.35">
      <c r="A186" s="12">
        <v>1.1499999999999999</v>
      </c>
      <c r="B186" s="13">
        <v>15.780799999999999</v>
      </c>
      <c r="C186" s="12">
        <v>-1.6011893999999999E-2</v>
      </c>
      <c r="D186" s="12">
        <v>-6.9969398E-3</v>
      </c>
      <c r="E186" s="12">
        <v>0.98389853999999999</v>
      </c>
      <c r="F186" s="12">
        <v>-8.4998955000000001E-3</v>
      </c>
      <c r="G186">
        <f t="shared" si="26"/>
        <v>24.757898277048799</v>
      </c>
      <c r="H186">
        <f t="shared" si="27"/>
        <v>-12.1882342054909</v>
      </c>
      <c r="I186">
        <f t="shared" si="28"/>
        <v>24.757854056837701</v>
      </c>
      <c r="J186">
        <f t="shared" si="29"/>
        <v>-12.1889857502279</v>
      </c>
      <c r="K186" s="7">
        <f t="shared" si="30"/>
        <v>4.4220211098178197E-5</v>
      </c>
      <c r="L186" s="7">
        <f t="shared" si="31"/>
        <v>7.5154473699967595E-4</v>
      </c>
      <c r="M186" s="7">
        <f t="shared" si="32"/>
        <v>3.2510985812176402E-2</v>
      </c>
      <c r="N186" s="7">
        <f t="shared" si="33"/>
        <v>1.6006069907380901E-2</v>
      </c>
      <c r="O186" s="12">
        <v>3.3734603999999999</v>
      </c>
      <c r="P186" s="12">
        <v>-4.8566067999999998</v>
      </c>
      <c r="Q186" s="12">
        <v>1.1489104000000001</v>
      </c>
      <c r="R186" s="12">
        <v>-5.7387442000000002</v>
      </c>
      <c r="S186">
        <f t="shared" si="34"/>
        <v>0.98974223365635439</v>
      </c>
      <c r="T186">
        <f t="shared" si="35"/>
        <v>-23.463248762456967</v>
      </c>
      <c r="U186" s="12"/>
      <c r="V186" s="12"/>
    </row>
    <row r="187" spans="1:22" x14ac:dyDescent="0.35">
      <c r="A187" s="10">
        <v>1.1499999999999999</v>
      </c>
      <c r="B187" s="11">
        <v>15.829599999999999</v>
      </c>
      <c r="C187" s="10">
        <v>-1.7045069999999999E-2</v>
      </c>
      <c r="D187" s="10">
        <v>-6.6100569000000003E-3</v>
      </c>
      <c r="E187" s="10">
        <v>0.98286910999999999</v>
      </c>
      <c r="F187" s="10">
        <v>-8.0962168000000001E-3</v>
      </c>
      <c r="G187">
        <f t="shared" si="26"/>
        <v>24.1888044555084</v>
      </c>
      <c r="H187">
        <f t="shared" si="27"/>
        <v>-10.6234705727197</v>
      </c>
      <c r="I187">
        <f t="shared" si="28"/>
        <v>24.188762095905702</v>
      </c>
      <c r="J187">
        <f t="shared" si="29"/>
        <v>-10.6242137160346</v>
      </c>
      <c r="K187" s="7">
        <f t="shared" si="30"/>
        <v>4.2359602698383001E-5</v>
      </c>
      <c r="L187" s="7">
        <f t="shared" si="31"/>
        <v>7.4314331489944195E-4</v>
      </c>
      <c r="M187" s="7">
        <f t="shared" si="32"/>
        <v>3.4655870068433701E-2</v>
      </c>
      <c r="N187" s="7">
        <f t="shared" si="33"/>
        <v>1.52215879697493E-2</v>
      </c>
      <c r="O187" s="10">
        <v>3.2456273000000002</v>
      </c>
      <c r="P187" s="10">
        <v>-5.1578077999999996</v>
      </c>
      <c r="Q187" s="10">
        <v>0.91444179999999997</v>
      </c>
      <c r="R187" s="10">
        <v>-5.9660764000000004</v>
      </c>
      <c r="S187">
        <f t="shared" si="34"/>
        <v>0.99043810208391847</v>
      </c>
      <c r="T187">
        <f t="shared" si="35"/>
        <v>-23.466654580373859</v>
      </c>
      <c r="U187" s="10"/>
      <c r="V187" s="10"/>
    </row>
    <row r="188" spans="1:22" x14ac:dyDescent="0.35">
      <c r="A188" s="12">
        <v>1.1499999999999999</v>
      </c>
      <c r="B188" s="13">
        <v>15.878399999999999</v>
      </c>
      <c r="C188" s="12">
        <v>-1.8083016E-2</v>
      </c>
      <c r="D188" s="12">
        <v>-6.1068069999999997E-3</v>
      </c>
      <c r="E188" s="12">
        <v>0.98183655000000003</v>
      </c>
      <c r="F188" s="12">
        <v>-7.5778182000000001E-3</v>
      </c>
      <c r="G188">
        <f t="shared" si="26"/>
        <v>23.647020899133999</v>
      </c>
      <c r="H188">
        <f t="shared" si="27"/>
        <v>-9.1161805515166208</v>
      </c>
      <c r="I188">
        <f t="shared" si="28"/>
        <v>23.64698122155</v>
      </c>
      <c r="J188">
        <f t="shared" si="29"/>
        <v>-9.1169161158818905</v>
      </c>
      <c r="K188" s="7">
        <f t="shared" si="30"/>
        <v>3.9677583998809503E-5</v>
      </c>
      <c r="L188" s="7">
        <f t="shared" si="31"/>
        <v>7.3556436526978097E-4</v>
      </c>
      <c r="M188" s="7">
        <f t="shared" si="32"/>
        <v>3.6816221794831301E-2</v>
      </c>
      <c r="N188" s="7">
        <f t="shared" si="33"/>
        <v>1.4194217970676701E-2</v>
      </c>
      <c r="O188" s="12">
        <v>3.0804052</v>
      </c>
      <c r="P188" s="12">
        <v>-5.4542104</v>
      </c>
      <c r="Q188" s="12">
        <v>0.64806746999999998</v>
      </c>
      <c r="R188" s="12">
        <v>-6.1803011999999997</v>
      </c>
      <c r="S188">
        <f t="shared" si="34"/>
        <v>0.99205257382744816</v>
      </c>
      <c r="T188">
        <f t="shared" si="35"/>
        <v>-23.470534459169041</v>
      </c>
      <c r="U188" s="12"/>
      <c r="V188" s="12"/>
    </row>
    <row r="189" spans="1:22" x14ac:dyDescent="0.35">
      <c r="A189">
        <v>1.1499999999999999</v>
      </c>
      <c r="B189">
        <v>15.927199999999999</v>
      </c>
      <c r="C189">
        <v>-1.9108142000000002E-2</v>
      </c>
      <c r="D189">
        <v>-5.4800722E-3</v>
      </c>
      <c r="E189">
        <v>0.98081629000000004</v>
      </c>
      <c r="F189">
        <v>-6.9359686E-3</v>
      </c>
      <c r="G189">
        <f t="shared" si="26"/>
        <v>23.130779484048599</v>
      </c>
      <c r="H189">
        <f t="shared" si="27"/>
        <v>-7.6618533007708498</v>
      </c>
      <c r="I189">
        <f t="shared" si="28"/>
        <v>23.130742228589298</v>
      </c>
      <c r="J189">
        <f t="shared" si="29"/>
        <v>-7.6625813035977401</v>
      </c>
      <c r="K189" s="7">
        <f t="shared" si="30"/>
        <v>3.7255459300666898E-5</v>
      </c>
      <c r="L189" s="7">
        <f t="shared" si="31"/>
        <v>7.2800282689033902E-4</v>
      </c>
      <c r="M189" s="7">
        <f t="shared" si="32"/>
        <v>3.89572765160019E-2</v>
      </c>
      <c r="N189" s="7">
        <f t="shared" si="33"/>
        <v>1.29054785929716E-2</v>
      </c>
      <c r="O189">
        <v>2.8813995000000001</v>
      </c>
      <c r="P189">
        <v>-5.7495700000000003</v>
      </c>
      <c r="Q189">
        <v>0.35017619999999999</v>
      </c>
      <c r="R189">
        <v>-6.3754758000000002</v>
      </c>
      <c r="S189">
        <f t="shared" si="34"/>
        <v>0.99283332622097376</v>
      </c>
      <c r="T189">
        <f t="shared" si="35"/>
        <v>-23.473918455905061</v>
      </c>
    </row>
    <row r="190" spans="1:22" x14ac:dyDescent="0.35">
      <c r="A190">
        <v>1.1499999999999999</v>
      </c>
      <c r="B190">
        <v>15.976000000000001</v>
      </c>
      <c r="C190">
        <v>-2.0100243E-2</v>
      </c>
      <c r="D190">
        <v>-4.7260517999999996E-3</v>
      </c>
      <c r="E190">
        <v>0.97982692000000005</v>
      </c>
      <c r="F190">
        <v>-6.1657272999999999E-3</v>
      </c>
      <c r="G190">
        <f t="shared" si="26"/>
        <v>22.638007613029799</v>
      </c>
      <c r="H190">
        <f t="shared" si="27"/>
        <v>-6.2572282908377499</v>
      </c>
      <c r="I190">
        <f t="shared" si="28"/>
        <v>22.637971711426101</v>
      </c>
      <c r="J190">
        <f t="shared" si="29"/>
        <v>-6.2579481806483797</v>
      </c>
      <c r="K190" s="7">
        <f t="shared" si="30"/>
        <v>3.5901603698818001E-5</v>
      </c>
      <c r="L190" s="7">
        <f t="shared" si="31"/>
        <v>7.1988981062975899E-4</v>
      </c>
      <c r="M190" s="7">
        <f t="shared" si="32"/>
        <v>4.1037605864896999E-2</v>
      </c>
      <c r="N190" s="7">
        <f t="shared" si="33"/>
        <v>1.13442676859065E-2</v>
      </c>
      <c r="O190">
        <v>2.6432524000000002</v>
      </c>
      <c r="P190">
        <v>-6.0294778000000004</v>
      </c>
      <c r="Q190">
        <v>2.2186892999999999E-2</v>
      </c>
      <c r="R190">
        <v>-6.5460465000000001</v>
      </c>
      <c r="S190">
        <f t="shared" si="34"/>
        <v>0.99432917839189305</v>
      </c>
      <c r="T190">
        <f t="shared" si="35"/>
        <v>-23.477886800230959</v>
      </c>
    </row>
    <row r="191" spans="1:22" x14ac:dyDescent="0.35">
      <c r="A191">
        <v>1.1499999999999999</v>
      </c>
      <c r="B191">
        <v>16.024799999999999</v>
      </c>
      <c r="C191">
        <v>-2.1037210000000001E-2</v>
      </c>
      <c r="D191">
        <v>-3.8451905999999998E-3</v>
      </c>
      <c r="E191">
        <v>0.97888918999999996</v>
      </c>
      <c r="F191">
        <v>-5.2670089999999996E-3</v>
      </c>
      <c r="G191">
        <f t="shared" si="26"/>
        <v>22.166486111153599</v>
      </c>
      <c r="H191">
        <f t="shared" si="27"/>
        <v>-4.9000260867524004</v>
      </c>
      <c r="I191">
        <f t="shared" si="28"/>
        <v>22.1664498152467</v>
      </c>
      <c r="J191">
        <f t="shared" si="29"/>
        <v>-4.9007370479188497</v>
      </c>
      <c r="K191" s="7">
        <f t="shared" si="30"/>
        <v>3.6295906898686801E-5</v>
      </c>
      <c r="L191" s="7">
        <f t="shared" si="31"/>
        <v>7.1096116644930895E-4</v>
      </c>
      <c r="M191" s="7">
        <f t="shared" si="32"/>
        <v>4.3010855938586501E-2</v>
      </c>
      <c r="N191" s="7">
        <f t="shared" si="33"/>
        <v>9.5091860409666391E-3</v>
      </c>
      <c r="O191">
        <v>2.3700819000000002</v>
      </c>
      <c r="P191">
        <v>-6.2951426000000001</v>
      </c>
      <c r="Q191">
        <v>-0.33291495999999998</v>
      </c>
      <c r="R191">
        <v>-6.6859406999999997</v>
      </c>
      <c r="S191">
        <f t="shared" si="34"/>
        <v>0.99519830130571874</v>
      </c>
      <c r="T191">
        <f t="shared" si="35"/>
        <v>-23.481633537516753</v>
      </c>
    </row>
    <row r="192" spans="1:22" x14ac:dyDescent="0.35">
      <c r="A192">
        <v>1.1499999999999999</v>
      </c>
      <c r="B192">
        <v>16.073599999999999</v>
      </c>
      <c r="C192">
        <v>-2.1896111999999999E-2</v>
      </c>
      <c r="D192">
        <v>-2.8429333999999999E-3</v>
      </c>
      <c r="E192">
        <v>0.97802480000000003</v>
      </c>
      <c r="F192">
        <v>-4.2453691999999998E-3</v>
      </c>
      <c r="G192">
        <f t="shared" si="26"/>
        <v>21.714061339652901</v>
      </c>
      <c r="H192">
        <f t="shared" si="27"/>
        <v>-3.5887795526652799</v>
      </c>
      <c r="I192">
        <f t="shared" si="28"/>
        <v>21.714022285853702</v>
      </c>
      <c r="J192">
        <f t="shared" si="29"/>
        <v>-3.5894808256816302</v>
      </c>
      <c r="K192" s="7">
        <f t="shared" si="30"/>
        <v>3.9053799198995903E-5</v>
      </c>
      <c r="L192" s="7">
        <f t="shared" si="31"/>
        <v>7.0127301635025696E-4</v>
      </c>
      <c r="M192" s="7">
        <f t="shared" si="32"/>
        <v>4.4828196220781297E-2</v>
      </c>
      <c r="N192" s="7">
        <f t="shared" si="33"/>
        <v>7.4104165808662097E-3</v>
      </c>
      <c r="O192">
        <v>2.0608702999999999</v>
      </c>
      <c r="P192">
        <v>-6.5327840999999998</v>
      </c>
      <c r="Q192">
        <v>-0.71078498000000001</v>
      </c>
      <c r="R192">
        <v>-6.7895485999999998</v>
      </c>
      <c r="S192">
        <f t="shared" si="34"/>
        <v>0.99657086269388118</v>
      </c>
      <c r="T192">
        <f t="shared" si="35"/>
        <v>-23.485123047336042</v>
      </c>
    </row>
    <row r="193" spans="1:20" x14ac:dyDescent="0.35">
      <c r="A193">
        <v>1.1499999999999999</v>
      </c>
      <c r="B193">
        <v>16.122399999999999</v>
      </c>
      <c r="C193">
        <v>-2.2654572000000001E-2</v>
      </c>
      <c r="D193">
        <v>-1.7301313000000001E-3</v>
      </c>
      <c r="E193">
        <v>0.97725550999999999</v>
      </c>
      <c r="F193">
        <v>-3.1125100000000002E-3</v>
      </c>
      <c r="G193">
        <f t="shared" si="26"/>
        <v>21.2791038581809</v>
      </c>
      <c r="H193">
        <f t="shared" si="27"/>
        <v>-2.3227922426024699</v>
      </c>
      <c r="I193">
        <f t="shared" si="28"/>
        <v>21.279059374966401</v>
      </c>
      <c r="J193">
        <f t="shared" si="29"/>
        <v>-2.3234834937767501</v>
      </c>
      <c r="K193" s="7">
        <f t="shared" si="30"/>
        <v>4.4483214498569603E-5</v>
      </c>
      <c r="L193" s="7">
        <f t="shared" si="31"/>
        <v>6.9125117428026105E-4</v>
      </c>
      <c r="M193" s="7">
        <f t="shared" si="32"/>
        <v>4.6440858412785203E-2</v>
      </c>
      <c r="N193" s="7">
        <f t="shared" si="33"/>
        <v>5.0709275282098797E-3</v>
      </c>
      <c r="O193">
        <v>1.7214111000000001</v>
      </c>
      <c r="P193">
        <v>-6.7424660000000003</v>
      </c>
      <c r="Q193">
        <v>-1.1058489</v>
      </c>
      <c r="R193">
        <v>-6.8527798999999998</v>
      </c>
      <c r="S193">
        <f t="shared" si="34"/>
        <v>0.99751250513925993</v>
      </c>
      <c r="T193">
        <f t="shared" si="35"/>
        <v>-23.489090113322892</v>
      </c>
    </row>
    <row r="194" spans="1:20" x14ac:dyDescent="0.35">
      <c r="A194">
        <v>1.1499999999999999</v>
      </c>
      <c r="B194">
        <v>16.171199999999999</v>
      </c>
      <c r="C194">
        <v>-2.3291789E-2</v>
      </c>
      <c r="D194">
        <v>-5.2834032E-4</v>
      </c>
      <c r="E194">
        <v>0.97648928999999995</v>
      </c>
      <c r="F194">
        <v>-1.9789285000000002E-3</v>
      </c>
      <c r="G194">
        <f t="shared" si="26"/>
        <v>20.805291460468698</v>
      </c>
      <c r="H194">
        <f t="shared" si="27"/>
        <v>-1.14098565347389</v>
      </c>
      <c r="I194">
        <f t="shared" si="28"/>
        <v>20.8051825142098</v>
      </c>
      <c r="J194">
        <f t="shared" si="29"/>
        <v>-1.14171110599036</v>
      </c>
      <c r="K194" s="7">
        <f t="shared" si="30"/>
        <v>1.08946258897902E-4</v>
      </c>
      <c r="L194" s="7">
        <f t="shared" si="31"/>
        <v>7.2545251646993802E-4</v>
      </c>
      <c r="M194" s="7">
        <f t="shared" si="32"/>
        <v>4.7920638720995903E-2</v>
      </c>
      <c r="N194" s="7">
        <f t="shared" si="33"/>
        <v>2.62970658375841E-3</v>
      </c>
      <c r="O194">
        <v>1.3559851999999999</v>
      </c>
      <c r="P194">
        <v>-6.9125272999999998</v>
      </c>
      <c r="Q194">
        <v>-1.5096308000000001</v>
      </c>
      <c r="R194">
        <v>-6.8708182999999998</v>
      </c>
      <c r="S194">
        <f t="shared" si="34"/>
        <v>0.99864281561809809</v>
      </c>
      <c r="T194">
        <f t="shared" si="35"/>
        <v>-23.490327174494059</v>
      </c>
    </row>
    <row r="195" spans="1:20" x14ac:dyDescent="0.35">
      <c r="A195">
        <v>1.1499999999999999</v>
      </c>
      <c r="B195">
        <v>16.22</v>
      </c>
      <c r="C195">
        <v>-2.3791204999999999E-2</v>
      </c>
      <c r="D195">
        <v>7.5798893999999995E-4</v>
      </c>
      <c r="E195">
        <v>0.97613921999999997</v>
      </c>
      <c r="F195">
        <v>-5.8734537000000001E-4</v>
      </c>
      <c r="G195">
        <f t="shared" ref="G195:G258" si="36">IMREAL(IMDIV(IMSUM(IMPRODUCT(COMPLEX(1 + C195,D195),COMPLEX(1 - C195, - D195)),IMPRODUCT(COMPLEX(E195,F195),COMPLEX(E195,F195))),IMSUB(IMPRODUCT(COMPLEX(1 - C195, - D195),COMPLEX(1 - C195, - D195)),IMPRODUCT(COMPLEX(E195,F195),COMPLEX(E195,F195)))))</f>
        <v>20.485232712231401</v>
      </c>
      <c r="H195">
        <f t="shared" ref="H195:H258" si="37">IMAGINARY(IMDIV(IMSUM(IMPRODUCT(COMPLEX(1 + C195,D195),COMPLEX(1 - C195, - D195)),IMPRODUCT(COMPLEX(E195,F195),COMPLEX(E195,F195))),IMSUB(IMPRODUCT(COMPLEX(1 - C195, - D195),COMPLEX(1 - C195, - D195)),IMPRODUCT(COMPLEX(E195,F195),COMPLEX(E195,F195)))))</f>
        <v>7.5485211542454703E-2</v>
      </c>
      <c r="I195">
        <f t="shared" ref="I195:I258" si="38">IMREAL(IMDIV(IMPRODUCT(COMPLEX(2,0),COMPLEX(E195,F195)),IMSUB(IMPRODUCT(COMPLEX(1 - C195, - D195),COMPLEX(1 - C195, - D195)),IMPRODUCT(COMPLEX(E195,F195),COMPLEX(E195,F195)))))</f>
        <v>20.485198376049301</v>
      </c>
      <c r="J195">
        <f t="shared" ref="J195:J258" si="39">IMAGINARY(IMDIV(IMPRODUCT(COMPLEX(2,0),COMPLEX(E195,F195)),IMSUB(IMPRODUCT(COMPLEX(1 - C195, - D195),COMPLEX(1 - C195, - D195)),IMPRODUCT(COMPLEX(E195,F195),COMPLEX(E195,F195)))))</f>
        <v>7.4812497888606305E-2</v>
      </c>
      <c r="K195" s="7">
        <f t="shared" ref="K195:K258" si="40">IMREAL(IMSUB(COMPLEX(G195,H195),COMPLEX(I195,J195)))</f>
        <v>3.4336182100247497E-5</v>
      </c>
      <c r="L195" s="7">
        <f t="shared" ref="L195:L258" si="41">IMAGINARY(IMSUB(COMPLEX(G195,H195),COMPLEX(I195,J195)))</f>
        <v>6.72713653848397E-4</v>
      </c>
      <c r="M195" s="7">
        <f t="shared" ref="M195:M258" si="42">IMREAL(IMDIV(IMSUB(IMPRODUCT(COMPLEX(1 - C195, - D195),COMPLEX(1 - C195, - D195)),IMPRODUCT(COMPLEX(E195,F195),COMPLEX(E195,F195))),IMPRODUCT(COMPLEX(2,0),COMPLEX(E195,F195))))</f>
        <v>4.8815083189319597E-2</v>
      </c>
      <c r="N195" s="7">
        <f t="shared" ref="N195:N258" si="43">IMAGINARY(IMDIV(IMSUB(IMPRODUCT(COMPLEX(1 - C195, - D195),COMPLEX(1 - C195, - D195)),IMPRODUCT(COMPLEX(E195,F195),COMPLEX(E195,F195))),IMPRODUCT(COMPLEX(2,0),COMPLEX(E195,F195))))</f>
        <v>-1.7827400257460499E-4</v>
      </c>
      <c r="O195">
        <v>0.9684277</v>
      </c>
      <c r="P195">
        <v>-7.0423612000000002</v>
      </c>
      <c r="Q195">
        <v>-1.9193019</v>
      </c>
      <c r="R195">
        <v>-6.8430153000000002</v>
      </c>
      <c r="S195">
        <f t="shared" ref="S195:S258" si="44">IMABS(COMPLEX(Q195,R195))/IMABS(COMPLEX(O195,P195))</f>
        <v>0.99978105540705942</v>
      </c>
      <c r="T195">
        <f t="shared" ref="T195:T258" si="45">IMARGUMENT(IMDIV(COMPLEX(Q195,R195),COMPLEX(O195/B195,P195/B195)))/PI()*180</f>
        <v>-23.497435259919683</v>
      </c>
    </row>
    <row r="196" spans="1:20" x14ac:dyDescent="0.35">
      <c r="A196">
        <v>1.1499999999999999</v>
      </c>
      <c r="B196">
        <v>16.268799999999999</v>
      </c>
      <c r="C196">
        <v>-2.4142838E-2</v>
      </c>
      <c r="D196">
        <v>2.0887589999999999E-3</v>
      </c>
      <c r="E196">
        <v>0.97577879000000001</v>
      </c>
      <c r="F196">
        <v>7.6662677999999999E-4</v>
      </c>
      <c r="G196">
        <f t="shared" si="36"/>
        <v>20.104714280032901</v>
      </c>
      <c r="H196">
        <f t="shared" si="37"/>
        <v>1.2168199815463101</v>
      </c>
      <c r="I196">
        <f t="shared" si="38"/>
        <v>20.1046755295569</v>
      </c>
      <c r="J196">
        <f t="shared" si="39"/>
        <v>1.21615886391312</v>
      </c>
      <c r="K196" s="7">
        <f t="shared" si="40"/>
        <v>3.8750476001325798E-5</v>
      </c>
      <c r="L196" s="7">
        <f t="shared" si="41"/>
        <v>6.6111763319009998E-4</v>
      </c>
      <c r="M196" s="7">
        <f t="shared" si="42"/>
        <v>4.9558329686112103E-2</v>
      </c>
      <c r="N196" s="7">
        <f t="shared" si="43"/>
        <v>-2.9978500195085001E-3</v>
      </c>
      <c r="O196">
        <v>0.56969630000000004</v>
      </c>
      <c r="P196">
        <v>-7.1279664</v>
      </c>
      <c r="Q196">
        <v>-2.3218811000000001</v>
      </c>
      <c r="R196">
        <v>-6.7696031000000003</v>
      </c>
      <c r="S196">
        <f t="shared" si="44"/>
        <v>1.0008425450699991</v>
      </c>
      <c r="T196">
        <f t="shared" si="45"/>
        <v>-23.500865912605416</v>
      </c>
    </row>
    <row r="197" spans="1:20" x14ac:dyDescent="0.35">
      <c r="A197">
        <v>1.1499999999999999</v>
      </c>
      <c r="B197">
        <v>16.317599999999999</v>
      </c>
      <c r="C197">
        <v>-2.4339903999999999E-2</v>
      </c>
      <c r="D197">
        <v>3.4413540999999998E-3</v>
      </c>
      <c r="E197">
        <v>0.97556788000000005</v>
      </c>
      <c r="F197">
        <v>2.1423805999999999E-3</v>
      </c>
      <c r="G197">
        <f t="shared" si="36"/>
        <v>19.738314223302101</v>
      </c>
      <c r="H197">
        <f t="shared" si="37"/>
        <v>2.3173344146700301</v>
      </c>
      <c r="I197">
        <f t="shared" si="38"/>
        <v>19.738268535067299</v>
      </c>
      <c r="J197">
        <f t="shared" si="39"/>
        <v>2.3166848682968499</v>
      </c>
      <c r="K197" s="7">
        <f t="shared" si="40"/>
        <v>4.5688234802554502E-5</v>
      </c>
      <c r="L197" s="7">
        <f t="shared" si="41"/>
        <v>6.4954637318015397E-4</v>
      </c>
      <c r="M197" s="7">
        <f t="shared" si="42"/>
        <v>4.9974567089200297E-2</v>
      </c>
      <c r="N197" s="7">
        <f t="shared" si="43"/>
        <v>-5.8655258017970497E-3</v>
      </c>
      <c r="O197">
        <v>0.16660305</v>
      </c>
      <c r="P197">
        <v>-7.1677591999999999</v>
      </c>
      <c r="Q197">
        <v>-2.7109922000000002</v>
      </c>
      <c r="R197">
        <v>-6.6521268999999998</v>
      </c>
      <c r="S197">
        <f t="shared" si="44"/>
        <v>1.0019021328966937</v>
      </c>
      <c r="T197">
        <f t="shared" si="45"/>
        <v>-23.504254475528736</v>
      </c>
    </row>
    <row r="198" spans="1:20" x14ac:dyDescent="0.35">
      <c r="A198">
        <v>1.1499999999999999</v>
      </c>
      <c r="B198">
        <v>16.366399999999999</v>
      </c>
      <c r="C198">
        <v>-2.4383141000000001E-2</v>
      </c>
      <c r="D198">
        <v>4.7890833999999997E-3</v>
      </c>
      <c r="E198">
        <v>0.97550753999999995</v>
      </c>
      <c r="F198">
        <v>3.5111787E-3</v>
      </c>
      <c r="G198">
        <f t="shared" si="36"/>
        <v>19.386599386928701</v>
      </c>
      <c r="H198">
        <f t="shared" si="37"/>
        <v>3.3775416555620299</v>
      </c>
      <c r="I198">
        <f t="shared" si="38"/>
        <v>19.3865451327678</v>
      </c>
      <c r="J198">
        <f t="shared" si="39"/>
        <v>3.3769026336175898</v>
      </c>
      <c r="K198" s="7">
        <f t="shared" si="40"/>
        <v>5.4254160900768498E-5</v>
      </c>
      <c r="L198" s="7">
        <f t="shared" si="41"/>
        <v>6.3902194444009897E-4</v>
      </c>
      <c r="M198" s="7">
        <f t="shared" si="42"/>
        <v>5.0063177492946698E-2</v>
      </c>
      <c r="N198" s="7">
        <f t="shared" si="43"/>
        <v>-8.7204024629147503E-3</v>
      </c>
      <c r="O198">
        <v>-0.23300860000000001</v>
      </c>
      <c r="P198">
        <v>-7.1623451999999999</v>
      </c>
      <c r="Q198">
        <v>-3.0795707000000001</v>
      </c>
      <c r="R198">
        <v>-6.4940683000000003</v>
      </c>
      <c r="S198">
        <f t="shared" si="44"/>
        <v>1.0029477144278613</v>
      </c>
      <c r="T198">
        <f t="shared" si="45"/>
        <v>-23.507594866431031</v>
      </c>
    </row>
    <row r="199" spans="1:20" x14ac:dyDescent="0.35">
      <c r="A199">
        <v>1.1499999999999999</v>
      </c>
      <c r="B199">
        <v>16.415199999999999</v>
      </c>
      <c r="C199">
        <v>-2.427696E-2</v>
      </c>
      <c r="D199">
        <v>6.1059818999999998E-3</v>
      </c>
      <c r="E199">
        <v>0.97570413</v>
      </c>
      <c r="F199">
        <v>4.7993491000000001E-3</v>
      </c>
      <c r="G199">
        <f t="shared" si="36"/>
        <v>19.099684632574299</v>
      </c>
      <c r="H199">
        <f t="shared" si="37"/>
        <v>4.4007496823278496</v>
      </c>
      <c r="I199">
        <f t="shared" si="38"/>
        <v>19.099675604319099</v>
      </c>
      <c r="J199">
        <f t="shared" si="39"/>
        <v>4.4000963538523301</v>
      </c>
      <c r="K199" s="7">
        <f t="shared" si="40"/>
        <v>9.0282551994391707E-6</v>
      </c>
      <c r="L199" s="7">
        <f t="shared" si="41"/>
        <v>6.5332847551946604E-4</v>
      </c>
      <c r="M199" s="7">
        <f t="shared" si="42"/>
        <v>4.9718222520866898E-2</v>
      </c>
      <c r="N199" s="7">
        <f t="shared" si="43"/>
        <v>-1.1453857864717599E-2</v>
      </c>
      <c r="O199">
        <v>-0.62179547000000002</v>
      </c>
      <c r="P199">
        <v>-7.1133826999999998</v>
      </c>
      <c r="Q199">
        <v>-3.4216831000000001</v>
      </c>
      <c r="R199">
        <v>-6.2995435999999998</v>
      </c>
      <c r="S199">
        <f t="shared" si="44"/>
        <v>1.0039669000252447</v>
      </c>
      <c r="T199">
        <f t="shared" si="45"/>
        <v>-23.51355664141731</v>
      </c>
    </row>
    <row r="200" spans="1:20" x14ac:dyDescent="0.35">
      <c r="A200">
        <v>1.1499999999999999</v>
      </c>
      <c r="B200">
        <v>16.463999999999999</v>
      </c>
      <c r="C200">
        <v>-2.4038141999999998E-2</v>
      </c>
      <c r="D200">
        <v>7.3679577000000003E-3</v>
      </c>
      <c r="E200">
        <v>0.97593116999999996</v>
      </c>
      <c r="F200">
        <v>6.0810591000000002E-3</v>
      </c>
      <c r="G200">
        <f t="shared" si="36"/>
        <v>18.780147233375299</v>
      </c>
      <c r="H200">
        <f t="shared" si="37"/>
        <v>5.3903704709840703</v>
      </c>
      <c r="I200">
        <f t="shared" si="38"/>
        <v>18.780132303185699</v>
      </c>
      <c r="J200">
        <f t="shared" si="39"/>
        <v>5.3897270022038501</v>
      </c>
      <c r="K200" s="7">
        <f t="shared" si="40"/>
        <v>1.4930189600192999E-5</v>
      </c>
      <c r="L200" s="7">
        <f t="shared" si="41"/>
        <v>6.4346878022014697E-4</v>
      </c>
      <c r="M200" s="7">
        <f t="shared" si="42"/>
        <v>4.9195808693847799E-2</v>
      </c>
      <c r="N200" s="7">
        <f t="shared" si="43"/>
        <v>-1.41187492309364E-2</v>
      </c>
      <c r="O200">
        <v>-0.99245859999999997</v>
      </c>
      <c r="P200">
        <v>-7.0261091999999996</v>
      </c>
      <c r="Q200">
        <v>-3.7320163000000002</v>
      </c>
      <c r="R200">
        <v>-6.0765716999999997</v>
      </c>
      <c r="S200">
        <f t="shared" si="44"/>
        <v>1.0049675319988949</v>
      </c>
      <c r="T200">
        <f t="shared" si="45"/>
        <v>-23.516774149426809</v>
      </c>
    </row>
    <row r="201" spans="1:20" x14ac:dyDescent="0.35">
      <c r="A201">
        <v>1.1499999999999999</v>
      </c>
      <c r="B201">
        <v>16.512799999999999</v>
      </c>
      <c r="C201">
        <v>-2.3679109E-2</v>
      </c>
      <c r="D201">
        <v>8.5598114000000006E-3</v>
      </c>
      <c r="E201">
        <v>0.97627962000000001</v>
      </c>
      <c r="F201">
        <v>7.2017658999999996E-3</v>
      </c>
      <c r="G201">
        <f t="shared" si="36"/>
        <v>18.496743875446899</v>
      </c>
      <c r="H201">
        <f t="shared" si="37"/>
        <v>6.3172533646948699</v>
      </c>
      <c r="I201">
        <f t="shared" si="38"/>
        <v>18.496723700621299</v>
      </c>
      <c r="J201">
        <f t="shared" si="39"/>
        <v>6.3165743142331499</v>
      </c>
      <c r="K201" s="7">
        <f t="shared" si="40"/>
        <v>2.0174825600349801E-5</v>
      </c>
      <c r="L201" s="7">
        <f t="shared" si="41"/>
        <v>6.7905046172001004E-4</v>
      </c>
      <c r="M201" s="7">
        <f t="shared" si="42"/>
        <v>4.84172066029325E-2</v>
      </c>
      <c r="N201" s="7">
        <f t="shared" si="43"/>
        <v>-1.6534327297365099E-2</v>
      </c>
      <c r="O201">
        <v>-1.3413716</v>
      </c>
      <c r="P201">
        <v>-6.9038168999999998</v>
      </c>
      <c r="Q201">
        <v>-4.0087063000000001</v>
      </c>
      <c r="R201">
        <v>-5.8293758000000002</v>
      </c>
      <c r="S201">
        <f t="shared" si="44"/>
        <v>1.0059402965709492</v>
      </c>
      <c r="T201">
        <f t="shared" si="45"/>
        <v>-23.520020296563878</v>
      </c>
    </row>
    <row r="202" spans="1:20" x14ac:dyDescent="0.35">
      <c r="A202">
        <v>1.1499999999999999</v>
      </c>
      <c r="B202">
        <v>16.561599999999999</v>
      </c>
      <c r="C202">
        <v>-2.3218310999999998E-2</v>
      </c>
      <c r="D202">
        <v>9.6699878E-3</v>
      </c>
      <c r="E202">
        <v>0.97674086000000004</v>
      </c>
      <c r="F202">
        <v>8.3939983999999999E-3</v>
      </c>
      <c r="G202">
        <f t="shared" si="36"/>
        <v>18.192219568491598</v>
      </c>
      <c r="H202">
        <f t="shared" si="37"/>
        <v>7.2652573482316303</v>
      </c>
      <c r="I202">
        <f t="shared" si="38"/>
        <v>18.192199560636901</v>
      </c>
      <c r="J202">
        <f t="shared" si="39"/>
        <v>7.2646193277418503</v>
      </c>
      <c r="K202" s="7">
        <f t="shared" si="40"/>
        <v>2.0007854697467999E-5</v>
      </c>
      <c r="L202" s="7">
        <f t="shared" si="41"/>
        <v>6.3802048978001103E-4</v>
      </c>
      <c r="M202" s="7">
        <f t="shared" si="42"/>
        <v>4.7408752875403498E-2</v>
      </c>
      <c r="N202" s="7">
        <f t="shared" si="43"/>
        <v>-1.8931550376569E-2</v>
      </c>
      <c r="O202">
        <v>-1.6635934000000001</v>
      </c>
      <c r="P202">
        <v>-6.7526251000000004</v>
      </c>
      <c r="Q202">
        <v>-4.2503041000000001</v>
      </c>
      <c r="R202">
        <v>-5.5657690999999998</v>
      </c>
      <c r="S202">
        <f t="shared" si="44"/>
        <v>1.0069783909272361</v>
      </c>
      <c r="T202">
        <f t="shared" si="45"/>
        <v>-23.527271548914879</v>
      </c>
    </row>
    <row r="203" spans="1:20" x14ac:dyDescent="0.35">
      <c r="A203">
        <v>1.1499999999999999</v>
      </c>
      <c r="B203">
        <v>16.610399999999998</v>
      </c>
      <c r="C203">
        <v>-2.2675777000000001E-2</v>
      </c>
      <c r="D203">
        <v>1.0683768999999999E-2</v>
      </c>
      <c r="E203">
        <v>0.97727781999999996</v>
      </c>
      <c r="F203">
        <v>9.4289118000000002E-3</v>
      </c>
      <c r="G203">
        <f t="shared" si="36"/>
        <v>17.913339161422101</v>
      </c>
      <c r="H203">
        <f t="shared" si="37"/>
        <v>8.1579800229981299</v>
      </c>
      <c r="I203">
        <f t="shared" si="38"/>
        <v>17.9133163530777</v>
      </c>
      <c r="J203">
        <f t="shared" si="39"/>
        <v>8.1573525655295693</v>
      </c>
      <c r="K203" s="7">
        <f t="shared" si="40"/>
        <v>2.2808344400715401E-5</v>
      </c>
      <c r="L203" s="7">
        <f t="shared" si="41"/>
        <v>6.2745746856052197E-4</v>
      </c>
      <c r="M203" s="7">
        <f t="shared" si="42"/>
        <v>4.6236348630839301E-2</v>
      </c>
      <c r="N203" s="7">
        <f t="shared" si="43"/>
        <v>-2.1055073761352801E-2</v>
      </c>
      <c r="O203">
        <v>-1.9570144</v>
      </c>
      <c r="P203">
        <v>-6.5790047999999999</v>
      </c>
      <c r="Q203">
        <v>-4.4560442</v>
      </c>
      <c r="R203">
        <v>-5.2923460000000002</v>
      </c>
      <c r="S203">
        <f t="shared" si="44"/>
        <v>1.007949672250676</v>
      </c>
      <c r="T203">
        <f t="shared" si="45"/>
        <v>-23.530849374872123</v>
      </c>
    </row>
    <row r="204" spans="1:20" x14ac:dyDescent="0.35">
      <c r="A204">
        <v>1.1499999999999999</v>
      </c>
      <c r="B204">
        <v>16.659199999999998</v>
      </c>
      <c r="C204">
        <v>-2.2069418E-2</v>
      </c>
      <c r="D204">
        <v>1.1598452E-2</v>
      </c>
      <c r="E204">
        <v>0.97791273000000001</v>
      </c>
      <c r="F204">
        <v>1.0364518E-2</v>
      </c>
      <c r="G204">
        <f t="shared" si="36"/>
        <v>17.6551550293308</v>
      </c>
      <c r="H204">
        <f t="shared" si="37"/>
        <v>9.0304475113892604</v>
      </c>
      <c r="I204">
        <f t="shared" si="38"/>
        <v>17.655146483909402</v>
      </c>
      <c r="J204">
        <f t="shared" si="39"/>
        <v>9.0298305336098608</v>
      </c>
      <c r="K204" s="7">
        <f t="shared" si="40"/>
        <v>8.54542139805403E-6</v>
      </c>
      <c r="L204" s="7">
        <f t="shared" si="41"/>
        <v>6.1697777939961895E-4</v>
      </c>
      <c r="M204" s="7">
        <f t="shared" si="42"/>
        <v>4.4896386525842498E-2</v>
      </c>
      <c r="N204" s="7">
        <f t="shared" si="43"/>
        <v>-2.29625260979445E-2</v>
      </c>
      <c r="O204">
        <v>-2.2206367</v>
      </c>
      <c r="P204">
        <v>-6.3875273000000004</v>
      </c>
      <c r="Q204">
        <v>-4.6272478000000001</v>
      </c>
      <c r="R204">
        <v>-5.0135395999999997</v>
      </c>
      <c r="S204">
        <f t="shared" si="44"/>
        <v>1.0088742286531498</v>
      </c>
      <c r="T204">
        <f t="shared" si="45"/>
        <v>-23.535361939839152</v>
      </c>
    </row>
    <row r="205" spans="1:20" x14ac:dyDescent="0.35">
      <c r="A205">
        <v>1.1499999999999999</v>
      </c>
      <c r="B205">
        <v>16.707999999999998</v>
      </c>
      <c r="C205">
        <v>-2.1420213E-2</v>
      </c>
      <c r="D205">
        <v>1.2415618E-2</v>
      </c>
      <c r="E205">
        <v>0.97854761000000001</v>
      </c>
      <c r="F205">
        <v>1.1231622E-2</v>
      </c>
      <c r="G205">
        <f t="shared" si="36"/>
        <v>17.384069348068302</v>
      </c>
      <c r="H205">
        <f t="shared" si="37"/>
        <v>9.8646071156093509</v>
      </c>
      <c r="I205">
        <f t="shared" si="38"/>
        <v>17.384053609787902</v>
      </c>
      <c r="J205">
        <f t="shared" si="39"/>
        <v>9.8640150987676503</v>
      </c>
      <c r="K205" s="7">
        <f t="shared" si="40"/>
        <v>1.5738280399801899E-5</v>
      </c>
      <c r="L205" s="7">
        <f t="shared" si="41"/>
        <v>5.9201684170062695E-4</v>
      </c>
      <c r="M205" s="7">
        <f t="shared" si="42"/>
        <v>4.3514079105340102E-2</v>
      </c>
      <c r="N205" s="7">
        <f t="shared" si="43"/>
        <v>-2.4690647126305199E-2</v>
      </c>
      <c r="O205">
        <v>-2.4549598000000001</v>
      </c>
      <c r="P205">
        <v>-6.1839604000000001</v>
      </c>
      <c r="Q205">
        <v>-4.7660891999999997</v>
      </c>
      <c r="R205">
        <v>-4.7350564000000004</v>
      </c>
      <c r="S205">
        <f t="shared" si="44"/>
        <v>1.0097582046990008</v>
      </c>
      <c r="T205">
        <f t="shared" si="45"/>
        <v>-23.534642238522807</v>
      </c>
    </row>
    <row r="206" spans="1:20" x14ac:dyDescent="0.35">
      <c r="A206">
        <v>1.1499999999999999</v>
      </c>
      <c r="B206">
        <v>16.756799999999998</v>
      </c>
      <c r="C206">
        <v>-2.0740623E-2</v>
      </c>
      <c r="D206">
        <v>1.3131001E-2</v>
      </c>
      <c r="E206">
        <v>0.97922816999999995</v>
      </c>
      <c r="F206">
        <v>1.1960129999999999E-2</v>
      </c>
      <c r="G206">
        <f t="shared" si="36"/>
        <v>17.1434942714688</v>
      </c>
      <c r="H206">
        <f t="shared" si="37"/>
        <v>10.6644429422723</v>
      </c>
      <c r="I206">
        <f t="shared" si="38"/>
        <v>17.1434790104759</v>
      </c>
      <c r="J206">
        <f t="shared" si="39"/>
        <v>10.663857488702799</v>
      </c>
      <c r="K206" s="7">
        <f t="shared" si="40"/>
        <v>1.5260992899612799E-5</v>
      </c>
      <c r="L206" s="7">
        <f t="shared" si="41"/>
        <v>5.8545356950112605E-4</v>
      </c>
      <c r="M206" s="7">
        <f t="shared" si="42"/>
        <v>4.2057839597023097E-2</v>
      </c>
      <c r="N206" s="7">
        <f t="shared" si="43"/>
        <v>-2.61614814280876E-2</v>
      </c>
      <c r="O206">
        <v>-2.6586166000000002</v>
      </c>
      <c r="P206">
        <v>-5.9754709999999998</v>
      </c>
      <c r="Q206">
        <v>-4.8755096</v>
      </c>
      <c r="R206">
        <v>-4.4632997999999997</v>
      </c>
      <c r="S206">
        <f t="shared" si="44"/>
        <v>1.0106638180021292</v>
      </c>
      <c r="T206">
        <f t="shared" si="45"/>
        <v>-23.542044760741135</v>
      </c>
    </row>
    <row r="207" spans="1:20" x14ac:dyDescent="0.35">
      <c r="A207">
        <v>1.1499999999999999</v>
      </c>
      <c r="B207">
        <v>16.805599999999998</v>
      </c>
      <c r="C207">
        <v>-2.0050365000000001E-2</v>
      </c>
      <c r="D207">
        <v>1.3753659E-2</v>
      </c>
      <c r="E207">
        <v>0.97993627000000005</v>
      </c>
      <c r="F207">
        <v>1.2564877E-2</v>
      </c>
      <c r="G207">
        <f t="shared" si="36"/>
        <v>16.9272302145088</v>
      </c>
      <c r="H207">
        <f t="shared" si="37"/>
        <v>11.4341610941587</v>
      </c>
      <c r="I207">
        <f t="shared" si="38"/>
        <v>16.9272238852718</v>
      </c>
      <c r="J207">
        <f t="shared" si="39"/>
        <v>11.4335666954246</v>
      </c>
      <c r="K207" s="7">
        <f t="shared" si="40"/>
        <v>6.3292369993916998E-6</v>
      </c>
      <c r="L207" s="7">
        <f t="shared" si="41"/>
        <v>5.9439873409949896E-4</v>
      </c>
      <c r="M207" s="7">
        <f t="shared" si="42"/>
        <v>4.0567826182862199E-2</v>
      </c>
      <c r="N207" s="7">
        <f t="shared" si="43"/>
        <v>-2.74017139191811E-2</v>
      </c>
      <c r="O207">
        <v>-2.8354214999999998</v>
      </c>
      <c r="P207">
        <v>-5.7614957999999996</v>
      </c>
      <c r="Q207">
        <v>-4.9569293999999999</v>
      </c>
      <c r="R207">
        <v>-4.1973805999999998</v>
      </c>
      <c r="S207">
        <f t="shared" si="44"/>
        <v>1.0115102911038008</v>
      </c>
      <c r="T207">
        <f t="shared" si="45"/>
        <v>-23.53974950734381</v>
      </c>
    </row>
    <row r="208" spans="1:20" x14ac:dyDescent="0.35">
      <c r="A208">
        <v>1.1499999999999999</v>
      </c>
      <c r="B208">
        <v>16.854399999999998</v>
      </c>
      <c r="C208">
        <v>-1.9357405000000001E-2</v>
      </c>
      <c r="D208">
        <v>1.4288809E-2</v>
      </c>
      <c r="E208">
        <v>0.98063323000000002</v>
      </c>
      <c r="F208">
        <v>1.3128325999999999E-2</v>
      </c>
      <c r="G208">
        <f t="shared" si="36"/>
        <v>16.701106193335601</v>
      </c>
      <c r="H208">
        <f t="shared" si="37"/>
        <v>12.1788579321552</v>
      </c>
      <c r="I208">
        <f t="shared" si="38"/>
        <v>16.7011018474984</v>
      </c>
      <c r="J208">
        <f t="shared" si="39"/>
        <v>12.178277685416599</v>
      </c>
      <c r="K208" s="7">
        <f t="shared" si="40"/>
        <v>4.3458372012139501E-6</v>
      </c>
      <c r="L208" s="7">
        <f t="shared" si="41"/>
        <v>5.8024673860046505E-4</v>
      </c>
      <c r="M208" s="7">
        <f t="shared" si="42"/>
        <v>3.9090930942068502E-2</v>
      </c>
      <c r="N208" s="7">
        <f t="shared" si="43"/>
        <v>-2.8504718810828601E-2</v>
      </c>
      <c r="O208">
        <v>-2.9860489000000001</v>
      </c>
      <c r="P208">
        <v>-5.5499460999999997</v>
      </c>
      <c r="Q208">
        <v>-5.0155881000000004</v>
      </c>
      <c r="R208">
        <v>-3.9434509000000002</v>
      </c>
      <c r="S208">
        <f t="shared" si="44"/>
        <v>1.0123678698688621</v>
      </c>
      <c r="T208">
        <f t="shared" si="45"/>
        <v>-23.542514468610978</v>
      </c>
    </row>
    <row r="209" spans="1:20" x14ac:dyDescent="0.35">
      <c r="A209">
        <v>1.1499999999999999</v>
      </c>
      <c r="B209">
        <v>16.903200000000002</v>
      </c>
      <c r="C209">
        <v>-1.8674135000000001E-2</v>
      </c>
      <c r="D209">
        <v>1.4742931000000001E-2</v>
      </c>
      <c r="E209">
        <v>0.98131743000000005</v>
      </c>
      <c r="F209">
        <v>1.3598443999999999E-2</v>
      </c>
      <c r="G209">
        <f t="shared" si="36"/>
        <v>16.489922126536701</v>
      </c>
      <c r="H209">
        <f t="shared" si="37"/>
        <v>12.890012321395201</v>
      </c>
      <c r="I209">
        <f t="shared" si="38"/>
        <v>16.489918236485501</v>
      </c>
      <c r="J209">
        <f t="shared" si="39"/>
        <v>12.889440073255701</v>
      </c>
      <c r="K209" s="7">
        <f t="shared" si="40"/>
        <v>3.8900512002726398E-6</v>
      </c>
      <c r="L209" s="7">
        <f t="shared" si="41"/>
        <v>5.7224813950007601E-4</v>
      </c>
      <c r="M209" s="7">
        <f t="shared" si="42"/>
        <v>3.7643482313421801E-2</v>
      </c>
      <c r="N209" s="7">
        <f t="shared" si="43"/>
        <v>-2.94242459222116E-2</v>
      </c>
      <c r="O209">
        <v>-3.1130206</v>
      </c>
      <c r="P209">
        <v>-5.3423232</v>
      </c>
      <c r="Q209">
        <v>-5.0538430999999999</v>
      </c>
      <c r="R209">
        <v>-3.7022602</v>
      </c>
      <c r="S209">
        <f t="shared" si="44"/>
        <v>1.0132100437612348</v>
      </c>
      <c r="T209">
        <f t="shared" si="45"/>
        <v>-23.545115199598623</v>
      </c>
    </row>
    <row r="210" spans="1:20" x14ac:dyDescent="0.35">
      <c r="A210">
        <v>1.1499999999999999</v>
      </c>
      <c r="B210">
        <v>16.952000000000002</v>
      </c>
      <c r="C210">
        <v>-1.801316E-2</v>
      </c>
      <c r="D210">
        <v>1.5119174000000001E-2</v>
      </c>
      <c r="E210">
        <v>0.98202153999999997</v>
      </c>
      <c r="F210">
        <v>1.3987325E-2</v>
      </c>
      <c r="G210">
        <f t="shared" si="36"/>
        <v>16.298213917632498</v>
      </c>
      <c r="H210">
        <f t="shared" si="37"/>
        <v>13.5850411196756</v>
      </c>
      <c r="I210">
        <f t="shared" si="38"/>
        <v>16.298231587585299</v>
      </c>
      <c r="J210">
        <f t="shared" si="39"/>
        <v>13.584475214993899</v>
      </c>
      <c r="K210" s="7">
        <f t="shared" si="40"/>
        <v>-1.76699528005031E-5</v>
      </c>
      <c r="L210" s="7">
        <f t="shared" si="41"/>
        <v>5.6590468170014696E-4</v>
      </c>
      <c r="M210" s="7">
        <f t="shared" si="42"/>
        <v>3.6204589402206798E-2</v>
      </c>
      <c r="N210" s="7">
        <f t="shared" si="43"/>
        <v>-3.0176301322036799E-2</v>
      </c>
      <c r="O210">
        <v>-3.2185619999999999</v>
      </c>
      <c r="P210">
        <v>-5.1429989999999997</v>
      </c>
      <c r="Q210">
        <v>-5.0752084000000002</v>
      </c>
      <c r="R210">
        <v>-3.4769318</v>
      </c>
      <c r="S210">
        <f t="shared" si="44"/>
        <v>1.0139910523714712</v>
      </c>
      <c r="T210">
        <f t="shared" si="45"/>
        <v>-23.546756534152003</v>
      </c>
    </row>
    <row r="211" spans="1:20" x14ac:dyDescent="0.35">
      <c r="A211">
        <v>1.1499999999999999</v>
      </c>
      <c r="B211">
        <v>17</v>
      </c>
      <c r="C211">
        <v>-1.8045889999999998E-2</v>
      </c>
      <c r="D211">
        <v>1.5341676E-2</v>
      </c>
      <c r="E211">
        <v>0.98175489000000005</v>
      </c>
      <c r="F211">
        <v>1.4140387000000001E-2</v>
      </c>
      <c r="G211">
        <f t="shared" si="36"/>
        <v>16.0998681537158</v>
      </c>
      <c r="H211">
        <f t="shared" si="37"/>
        <v>13.4856519986048</v>
      </c>
      <c r="I211">
        <f t="shared" si="38"/>
        <v>16.099768894674199</v>
      </c>
      <c r="J211">
        <f t="shared" si="39"/>
        <v>13.485051234643301</v>
      </c>
      <c r="K211" s="7">
        <f t="shared" si="40"/>
        <v>9.9259041601129598E-5</v>
      </c>
      <c r="L211" s="7">
        <f t="shared" si="41"/>
        <v>6.0076396149888499E-4</v>
      </c>
      <c r="M211" s="7">
        <f t="shared" si="42"/>
        <v>3.6503342853122699E-2</v>
      </c>
      <c r="N211" s="7">
        <f t="shared" si="43"/>
        <v>-3.0574938797596402E-2</v>
      </c>
      <c r="O211">
        <v>-3.2223970999999998</v>
      </c>
      <c r="P211">
        <v>-5.0795811999999998</v>
      </c>
      <c r="Q211">
        <v>-5.1002089000000002</v>
      </c>
      <c r="R211">
        <v>-3.4376989999999998</v>
      </c>
      <c r="S211">
        <f t="shared" si="44"/>
        <v>1.0224625450772911</v>
      </c>
      <c r="T211">
        <f t="shared" si="45"/>
        <v>-23.628483586589475</v>
      </c>
    </row>
    <row r="212" spans="1:20" x14ac:dyDescent="0.35">
      <c r="A212">
        <v>1.2875000000000001</v>
      </c>
      <c r="B212">
        <v>15</v>
      </c>
      <c r="C212">
        <v>-6.3162584999999997E-3</v>
      </c>
      <c r="D212">
        <v>-7.5572067000000001E-3</v>
      </c>
      <c r="E212">
        <v>0.99357225999999998</v>
      </c>
      <c r="F212">
        <v>-9.5027163999999997E-3</v>
      </c>
      <c r="G212">
        <f t="shared" si="36"/>
        <v>27.604526637861699</v>
      </c>
      <c r="H212">
        <f t="shared" si="37"/>
        <v>-37.621975293341002</v>
      </c>
      <c r="I212">
        <f t="shared" si="38"/>
        <v>27.604471840413801</v>
      </c>
      <c r="J212">
        <f t="shared" si="39"/>
        <v>-37.622948155723499</v>
      </c>
      <c r="K212" s="7">
        <f t="shared" si="40"/>
        <v>5.4797447898380403E-5</v>
      </c>
      <c r="L212" s="7">
        <f t="shared" si="41"/>
        <v>9.7286238249694201E-4</v>
      </c>
      <c r="M212" s="7">
        <f t="shared" si="42"/>
        <v>1.267717997481E-2</v>
      </c>
      <c r="N212" s="7">
        <f t="shared" si="43"/>
        <v>1.7278102175270701E-2</v>
      </c>
      <c r="O212">
        <v>3.3764715000000001</v>
      </c>
      <c r="P212">
        <v>-1.8103324999999999</v>
      </c>
      <c r="Q212">
        <v>2.2951845</v>
      </c>
      <c r="R212">
        <v>-2.8971445</v>
      </c>
      <c r="S212">
        <f t="shared" si="44"/>
        <v>0.96475020513300946</v>
      </c>
      <c r="T212">
        <f t="shared" si="45"/>
        <v>-23.414449272388506</v>
      </c>
    </row>
    <row r="213" spans="1:20" x14ac:dyDescent="0.35">
      <c r="A213">
        <v>1.2875000000000001</v>
      </c>
      <c r="B213">
        <v>15.0488</v>
      </c>
      <c r="C213">
        <v>-6.7712585000000002E-3</v>
      </c>
      <c r="D213">
        <v>-7.8722085000000001E-3</v>
      </c>
      <c r="E213">
        <v>0.99315995000000001</v>
      </c>
      <c r="F213">
        <v>-9.8166629000000002E-3</v>
      </c>
      <c r="G213">
        <f t="shared" si="36"/>
        <v>26.822969593122501</v>
      </c>
      <c r="H213">
        <f t="shared" si="37"/>
        <v>-35.507650307613801</v>
      </c>
      <c r="I213">
        <f t="shared" si="38"/>
        <v>26.8229361415118</v>
      </c>
      <c r="J213">
        <f t="shared" si="39"/>
        <v>-35.508622600779198</v>
      </c>
      <c r="K213" s="7">
        <f t="shared" si="40"/>
        <v>3.3451610701007399E-5</v>
      </c>
      <c r="L213" s="7">
        <f t="shared" si="41"/>
        <v>9.7229316539681999E-4</v>
      </c>
      <c r="M213" s="7">
        <f t="shared" si="42"/>
        <v>1.3544665072782101E-2</v>
      </c>
      <c r="N213" s="7">
        <f t="shared" si="43"/>
        <v>1.7930639575994899E-2</v>
      </c>
      <c r="O213">
        <v>3.4516453</v>
      </c>
      <c r="P213">
        <v>-1.9327904</v>
      </c>
      <c r="Q213">
        <v>2.3188675000000001</v>
      </c>
      <c r="R213">
        <v>-3.0396345999999999</v>
      </c>
      <c r="S213">
        <f t="shared" si="44"/>
        <v>0.96643213325210697</v>
      </c>
      <c r="T213">
        <f t="shared" si="45"/>
        <v>-23.413649552476326</v>
      </c>
    </row>
    <row r="214" spans="1:20" x14ac:dyDescent="0.35">
      <c r="A214">
        <v>1.2875000000000001</v>
      </c>
      <c r="B214">
        <v>15.0976</v>
      </c>
      <c r="C214">
        <v>-7.2647946E-3</v>
      </c>
      <c r="D214">
        <v>-8.1904228999999992E-3</v>
      </c>
      <c r="E214">
        <v>0.99267468999999997</v>
      </c>
      <c r="F214">
        <v>-1.0128384000000001E-2</v>
      </c>
      <c r="G214">
        <f t="shared" si="36"/>
        <v>26.102455897597899</v>
      </c>
      <c r="H214">
        <f t="shared" si="37"/>
        <v>-33.400577191118899</v>
      </c>
      <c r="I214">
        <f t="shared" si="38"/>
        <v>26.102426577990101</v>
      </c>
      <c r="J214">
        <f t="shared" si="39"/>
        <v>-33.401546229399997</v>
      </c>
      <c r="K214" s="7">
        <f t="shared" si="40"/>
        <v>2.9319607797617701E-5</v>
      </c>
      <c r="L214" s="7">
        <f t="shared" si="41"/>
        <v>9.6903828109873302E-4</v>
      </c>
      <c r="M214" s="7">
        <f t="shared" si="42"/>
        <v>1.4525557653974E-2</v>
      </c>
      <c r="N214" s="7">
        <f t="shared" si="43"/>
        <v>1.8587393935862499E-2</v>
      </c>
      <c r="O214">
        <v>3.5287603000000001</v>
      </c>
      <c r="P214">
        <v>-2.0669699000000001</v>
      </c>
      <c r="Q214">
        <v>2.3388339999999999</v>
      </c>
      <c r="R214">
        <v>-3.1930849000000001</v>
      </c>
      <c r="S214">
        <f t="shared" si="44"/>
        <v>0.96783521133720207</v>
      </c>
      <c r="T214">
        <f t="shared" si="45"/>
        <v>-23.418777920544631</v>
      </c>
    </row>
    <row r="215" spans="1:20" x14ac:dyDescent="0.35">
      <c r="A215">
        <v>1.2875000000000001</v>
      </c>
      <c r="B215">
        <v>15.1464</v>
      </c>
      <c r="C215">
        <v>-7.7982444999999999E-3</v>
      </c>
      <c r="D215">
        <v>-8.5037154000000004E-3</v>
      </c>
      <c r="E215">
        <v>0.99214318999999995</v>
      </c>
      <c r="F215">
        <v>-1.0430208999999999E-2</v>
      </c>
      <c r="G215">
        <f t="shared" si="36"/>
        <v>25.437262427332101</v>
      </c>
      <c r="H215">
        <f t="shared" si="37"/>
        <v>-31.3691886045285</v>
      </c>
      <c r="I215">
        <f t="shared" si="38"/>
        <v>25.437234071649701</v>
      </c>
      <c r="J215">
        <f t="shared" si="39"/>
        <v>-31.3701519068502</v>
      </c>
      <c r="K215" s="7">
        <f t="shared" si="40"/>
        <v>2.8355682399450198E-5</v>
      </c>
      <c r="L215" s="7">
        <f t="shared" si="41"/>
        <v>9.6330232170061003E-4</v>
      </c>
      <c r="M215" s="7">
        <f t="shared" si="42"/>
        <v>1.5594764928320201E-2</v>
      </c>
      <c r="N215" s="7">
        <f t="shared" si="43"/>
        <v>1.9232049497797301E-2</v>
      </c>
      <c r="O215">
        <v>3.6043078</v>
      </c>
      <c r="P215">
        <v>-2.2118802</v>
      </c>
      <c r="Q215">
        <v>2.3532082999999999</v>
      </c>
      <c r="R215">
        <v>-3.3557991999999999</v>
      </c>
      <c r="S215">
        <f t="shared" si="44"/>
        <v>0.96920531726480397</v>
      </c>
      <c r="T215">
        <f t="shared" si="45"/>
        <v>-23.423989945785063</v>
      </c>
    </row>
    <row r="216" spans="1:20" x14ac:dyDescent="0.35">
      <c r="A216">
        <v>1.2875000000000001</v>
      </c>
      <c r="B216">
        <v>15.1952</v>
      </c>
      <c r="C216">
        <v>-8.3759591999999997E-3</v>
      </c>
      <c r="D216">
        <v>-8.8107184000000005E-3</v>
      </c>
      <c r="E216">
        <v>0.99156549000000005</v>
      </c>
      <c r="F216">
        <v>-1.0724832E-2</v>
      </c>
      <c r="G216">
        <f t="shared" si="36"/>
        <v>24.808234552767601</v>
      </c>
      <c r="H216">
        <f t="shared" si="37"/>
        <v>-29.410361126251299</v>
      </c>
      <c r="I216">
        <f t="shared" si="38"/>
        <v>24.808206192547999</v>
      </c>
      <c r="J216">
        <f t="shared" si="39"/>
        <v>-29.4113182382136</v>
      </c>
      <c r="K216" s="7">
        <f t="shared" si="40"/>
        <v>2.8360219602063801E-5</v>
      </c>
      <c r="L216" s="7">
        <f t="shared" si="41"/>
        <v>9.5711196230041705E-4</v>
      </c>
      <c r="M216" s="7">
        <f t="shared" si="42"/>
        <v>1.6756949051495801E-2</v>
      </c>
      <c r="N216" s="7">
        <f t="shared" si="43"/>
        <v>1.9866166760703501E-2</v>
      </c>
      <c r="O216">
        <v>3.6761401999999999</v>
      </c>
      <c r="P216">
        <v>-2.3674453999999998</v>
      </c>
      <c r="Q216">
        <v>2.3610769999999999</v>
      </c>
      <c r="R216">
        <v>-3.5283446000000001</v>
      </c>
      <c r="S216">
        <f t="shared" si="44"/>
        <v>0.97094363957001428</v>
      </c>
      <c r="T216">
        <f t="shared" si="45"/>
        <v>-23.42892727779337</v>
      </c>
    </row>
    <row r="217" spans="1:20" x14ac:dyDescent="0.35">
      <c r="A217">
        <v>1.2875000000000001</v>
      </c>
      <c r="B217">
        <v>15.244</v>
      </c>
      <c r="C217">
        <v>-9.0056431000000003E-3</v>
      </c>
      <c r="D217">
        <v>-9.1094069999999999E-3</v>
      </c>
      <c r="E217">
        <v>0.99090486</v>
      </c>
      <c r="F217">
        <v>-1.1060614999999999E-2</v>
      </c>
      <c r="G217">
        <f t="shared" si="36"/>
        <v>24.144771215204401</v>
      </c>
      <c r="H217">
        <f t="shared" si="37"/>
        <v>-27.461591178728</v>
      </c>
      <c r="I217">
        <f t="shared" si="38"/>
        <v>24.144727416681899</v>
      </c>
      <c r="J217">
        <f t="shared" si="39"/>
        <v>-27.4625668691186</v>
      </c>
      <c r="K217" s="7">
        <f t="shared" si="40"/>
        <v>4.3798522501248299E-5</v>
      </c>
      <c r="L217" s="7">
        <f t="shared" si="41"/>
        <v>9.7569039060019203E-4</v>
      </c>
      <c r="M217" s="7">
        <f t="shared" si="42"/>
        <v>1.8056716812098601E-2</v>
      </c>
      <c r="N217" s="7">
        <f t="shared" si="43"/>
        <v>2.05379743714308E-2</v>
      </c>
      <c r="O217">
        <v>3.7466697</v>
      </c>
      <c r="P217">
        <v>-2.5360021000000001</v>
      </c>
      <c r="Q217">
        <v>2.3619911999999998</v>
      </c>
      <c r="R217">
        <v>-3.7111163999999999</v>
      </c>
      <c r="S217">
        <f t="shared" si="44"/>
        <v>0.97232047772026176</v>
      </c>
      <c r="T217">
        <f t="shared" si="45"/>
        <v>-23.431896414532943</v>
      </c>
    </row>
    <row r="218" spans="1:20" x14ac:dyDescent="0.35">
      <c r="A218">
        <v>1.2875000000000001</v>
      </c>
      <c r="B218">
        <v>15.2928</v>
      </c>
      <c r="C218">
        <v>-9.6821609000000003E-3</v>
      </c>
      <c r="D218">
        <v>-9.3928402000000005E-3</v>
      </c>
      <c r="E218">
        <v>0.99023024000000004</v>
      </c>
      <c r="F218">
        <v>-1.1332900999999999E-2</v>
      </c>
      <c r="G218">
        <f t="shared" si="36"/>
        <v>23.576160239326502</v>
      </c>
      <c r="H218">
        <f t="shared" si="37"/>
        <v>-25.652293638436799</v>
      </c>
      <c r="I218">
        <f t="shared" si="38"/>
        <v>23.576117378939699</v>
      </c>
      <c r="J218">
        <f t="shared" si="39"/>
        <v>-25.6532637529033</v>
      </c>
      <c r="K218" s="7">
        <f t="shared" si="40"/>
        <v>4.2860386802345802E-5</v>
      </c>
      <c r="L218" s="7">
        <f t="shared" si="41"/>
        <v>9.7011446650085997E-4</v>
      </c>
      <c r="M218" s="7">
        <f t="shared" si="42"/>
        <v>1.9421423342187299E-2</v>
      </c>
      <c r="N218" s="7">
        <f t="shared" si="43"/>
        <v>2.1132525235006701E-2</v>
      </c>
      <c r="O218">
        <v>3.8123874999999998</v>
      </c>
      <c r="P218">
        <v>-2.7182107000000002</v>
      </c>
      <c r="Q218">
        <v>2.3532251</v>
      </c>
      <c r="R218">
        <v>-3.9049744</v>
      </c>
      <c r="S218">
        <f t="shared" si="44"/>
        <v>0.97373536336292332</v>
      </c>
      <c r="T218">
        <f t="shared" si="45"/>
        <v>-23.437236744566494</v>
      </c>
    </row>
    <row r="219" spans="1:20" x14ac:dyDescent="0.35">
      <c r="A219">
        <v>1.2875000000000001</v>
      </c>
      <c r="B219">
        <v>15.3416</v>
      </c>
      <c r="C219">
        <v>-1.0412964E-2</v>
      </c>
      <c r="D219">
        <v>-9.6568802000000006E-3</v>
      </c>
      <c r="E219">
        <v>0.98950088999999997</v>
      </c>
      <c r="F219">
        <v>-1.1586038999999999E-2</v>
      </c>
      <c r="G219">
        <f t="shared" si="36"/>
        <v>23.0343763654203</v>
      </c>
      <c r="H219">
        <f t="shared" si="37"/>
        <v>-23.906204682585201</v>
      </c>
      <c r="I219">
        <f t="shared" si="38"/>
        <v>23.034334221097801</v>
      </c>
      <c r="J219">
        <f t="shared" si="39"/>
        <v>-23.9071693441877</v>
      </c>
      <c r="K219" s="7">
        <f t="shared" si="40"/>
        <v>4.2144322499382297E-5</v>
      </c>
      <c r="L219" s="7">
        <f t="shared" si="41"/>
        <v>9.6466160249875099E-4</v>
      </c>
      <c r="M219" s="7">
        <f t="shared" si="42"/>
        <v>2.0899771598158499E-2</v>
      </c>
      <c r="N219" s="7">
        <f t="shared" si="43"/>
        <v>2.16917221941831E-2</v>
      </c>
      <c r="O219">
        <v>3.8722832</v>
      </c>
      <c r="P219">
        <v>-2.9145010999999998</v>
      </c>
      <c r="Q219">
        <v>2.3336638999999999</v>
      </c>
      <c r="R219">
        <v>-4.1095762000000002</v>
      </c>
      <c r="S219">
        <f t="shared" si="44"/>
        <v>0.97511950431017336</v>
      </c>
      <c r="T219">
        <f t="shared" si="45"/>
        <v>-23.442286337492646</v>
      </c>
    </row>
    <row r="220" spans="1:20" ht="15" thickBot="1" x14ac:dyDescent="0.4">
      <c r="A220">
        <v>1.2875000000000001</v>
      </c>
      <c r="B220">
        <v>15.3904</v>
      </c>
      <c r="C220">
        <v>-1.1200992999999999E-2</v>
      </c>
      <c r="D220">
        <v>-9.8952012000000002E-3</v>
      </c>
      <c r="E220">
        <v>0.98871392000000002</v>
      </c>
      <c r="F220">
        <v>-1.1813766999999999E-2</v>
      </c>
      <c r="G220">
        <f t="shared" si="36"/>
        <v>22.5177031239397</v>
      </c>
      <c r="H220">
        <f t="shared" si="37"/>
        <v>-22.220737518701998</v>
      </c>
      <c r="I220">
        <f t="shared" si="38"/>
        <v>22.51766149897</v>
      </c>
      <c r="J220">
        <f t="shared" si="39"/>
        <v>-22.221696882346802</v>
      </c>
      <c r="K220" s="7">
        <f t="shared" si="40"/>
        <v>4.1624969700393401E-5</v>
      </c>
      <c r="L220" s="7">
        <f t="shared" si="41"/>
        <v>9.5936364480309099E-4</v>
      </c>
      <c r="M220" s="7">
        <f t="shared" si="42"/>
        <v>2.2498562655575101E-2</v>
      </c>
      <c r="N220" s="7">
        <f t="shared" si="43"/>
        <v>2.2202849067766001E-2</v>
      </c>
      <c r="O220">
        <v>3.9246539</v>
      </c>
      <c r="P220">
        <v>-3.1255812999999999</v>
      </c>
      <c r="Q220">
        <v>2.3014855999999999</v>
      </c>
      <c r="R220">
        <v>-4.3249608000000004</v>
      </c>
      <c r="S220">
        <f t="shared" si="44"/>
        <v>0.97648262226517157</v>
      </c>
      <c r="T220">
        <f t="shared" si="45"/>
        <v>-23.447061815074189</v>
      </c>
    </row>
    <row r="221" spans="1:20" ht="15" thickBot="1" x14ac:dyDescent="0.4">
      <c r="A221">
        <v>1.2875000000000001</v>
      </c>
      <c r="B221">
        <v>15.4392</v>
      </c>
      <c r="C221">
        <v>-1.2048767E-2</v>
      </c>
      <c r="D221">
        <v>-1.0100398999999999E-2</v>
      </c>
      <c r="E221">
        <v>0.98786660999999998</v>
      </c>
      <c r="F221">
        <v>-1.2008688999999999E-2</v>
      </c>
      <c r="G221">
        <f t="shared" si="36"/>
        <v>22.0246260222968</v>
      </c>
      <c r="H221">
        <f t="shared" si="37"/>
        <v>-20.5931564995321</v>
      </c>
      <c r="I221">
        <f t="shared" si="38"/>
        <v>22.024584619513899</v>
      </c>
      <c r="J221">
        <f t="shared" si="39"/>
        <v>-20.594110724410999</v>
      </c>
      <c r="K221" s="7">
        <f t="shared" si="40"/>
        <v>4.1402782901656103E-5</v>
      </c>
      <c r="L221" s="7">
        <f t="shared" si="41"/>
        <v>9.5422487889962305E-4</v>
      </c>
      <c r="M221" s="7">
        <f t="shared" si="42"/>
        <v>2.42241435335903E-2</v>
      </c>
      <c r="N221" s="7">
        <f t="shared" si="43"/>
        <v>2.26508105715999E-2</v>
      </c>
      <c r="O221">
        <v>3.9699548</v>
      </c>
      <c r="P221">
        <v>-3.3541072999999999</v>
      </c>
      <c r="Q221" s="18"/>
      <c r="R221">
        <v>-4.5509633999999997</v>
      </c>
      <c r="S221">
        <f t="shared" si="44"/>
        <v>0.87566181699640888</v>
      </c>
      <c r="T221">
        <f t="shared" si="45"/>
        <v>-49.806438373276748</v>
      </c>
    </row>
    <row r="222" spans="1:20" x14ac:dyDescent="0.35">
      <c r="A222">
        <v>1.2875000000000001</v>
      </c>
      <c r="B222">
        <v>15.488</v>
      </c>
      <c r="C222">
        <v>-1.2958146E-2</v>
      </c>
      <c r="D222">
        <v>-1.0263915E-2</v>
      </c>
      <c r="E222">
        <v>0.98695677999999998</v>
      </c>
      <c r="F222">
        <v>-1.2162176E-2</v>
      </c>
      <c r="G222">
        <f t="shared" si="36"/>
        <v>21.553755303472698</v>
      </c>
      <c r="H222">
        <f t="shared" si="37"/>
        <v>-19.020797447983199</v>
      </c>
      <c r="I222">
        <f t="shared" si="38"/>
        <v>21.553713665626201</v>
      </c>
      <c r="J222">
        <f t="shared" si="39"/>
        <v>-19.021746658379602</v>
      </c>
      <c r="K222" s="7">
        <f t="shared" si="40"/>
        <v>4.16378464969114E-5</v>
      </c>
      <c r="L222" s="7">
        <f t="shared" si="41"/>
        <v>9.49210396402833E-4</v>
      </c>
      <c r="M222" s="7">
        <f t="shared" si="42"/>
        <v>2.6081788049914099E-2</v>
      </c>
      <c r="N222" s="7">
        <f t="shared" si="43"/>
        <v>2.30178971651754E-2</v>
      </c>
      <c r="O222">
        <v>4.0010323000000003</v>
      </c>
      <c r="P222">
        <v>-3.5964784000000001</v>
      </c>
      <c r="Q222">
        <v>2.1907869999999998</v>
      </c>
      <c r="R222">
        <v>-4.7868430000000002</v>
      </c>
      <c r="S222">
        <f t="shared" si="44"/>
        <v>0.97852937351300506</v>
      </c>
      <c r="T222">
        <f t="shared" si="45"/>
        <v>-23.455944503334415</v>
      </c>
    </row>
    <row r="223" spans="1:20" x14ac:dyDescent="0.35">
      <c r="A223">
        <v>1.2875000000000001</v>
      </c>
      <c r="B223">
        <v>15.536799999999999</v>
      </c>
      <c r="C223">
        <v>-1.3930042E-2</v>
      </c>
      <c r="D223">
        <v>-1.0375980999999999E-2</v>
      </c>
      <c r="E223">
        <v>0.98598311999999999</v>
      </c>
      <c r="F223">
        <v>-1.2264288999999999E-2</v>
      </c>
      <c r="G223">
        <f t="shared" si="36"/>
        <v>21.103806681090401</v>
      </c>
      <c r="H223">
        <f t="shared" si="37"/>
        <v>-17.501116602991502</v>
      </c>
      <c r="I223">
        <f t="shared" si="38"/>
        <v>21.1037641517472</v>
      </c>
      <c r="J223">
        <f t="shared" si="39"/>
        <v>-17.5020608381435</v>
      </c>
      <c r="K223" s="7">
        <f t="shared" si="40"/>
        <v>4.2529343200925502E-5</v>
      </c>
      <c r="L223" s="7">
        <f t="shared" si="41"/>
        <v>9.4423515199792995E-4</v>
      </c>
      <c r="M223" s="7">
        <f t="shared" si="42"/>
        <v>2.8075052506143901E-2</v>
      </c>
      <c r="N223" s="7">
        <f t="shared" si="43"/>
        <v>2.32835845521863E-2</v>
      </c>
      <c r="O223">
        <v>4.0176939999999997</v>
      </c>
      <c r="P223">
        <v>-3.8547476999999999</v>
      </c>
      <c r="Q223">
        <v>2.1076033000000001</v>
      </c>
      <c r="R223">
        <v>-5.0320947</v>
      </c>
      <c r="S223">
        <f t="shared" si="44"/>
        <v>0.97984629365151554</v>
      </c>
      <c r="T223">
        <f t="shared" si="45"/>
        <v>-23.4602517735796</v>
      </c>
    </row>
    <row r="224" spans="1:20" x14ac:dyDescent="0.35">
      <c r="A224">
        <v>1.2875000000000001</v>
      </c>
      <c r="B224">
        <v>15.585599999999999</v>
      </c>
      <c r="C224">
        <v>-1.4964065E-2</v>
      </c>
      <c r="D224">
        <v>-1.0425626E-2</v>
      </c>
      <c r="E224">
        <v>0.98494568999999998</v>
      </c>
      <c r="F224">
        <v>-1.2303774999999999E-2</v>
      </c>
      <c r="G224">
        <f t="shared" si="36"/>
        <v>20.673592972155198</v>
      </c>
      <c r="H224">
        <f t="shared" si="37"/>
        <v>-16.0317967400509</v>
      </c>
      <c r="I224">
        <f t="shared" si="38"/>
        <v>20.6735487295987</v>
      </c>
      <c r="J224">
        <f t="shared" si="39"/>
        <v>-16.032735898475199</v>
      </c>
      <c r="K224" s="7">
        <f t="shared" si="40"/>
        <v>4.4242556498375099E-5</v>
      </c>
      <c r="L224" s="7">
        <f t="shared" si="41"/>
        <v>9.3915842429837003E-4</v>
      </c>
      <c r="M224" s="7">
        <f t="shared" si="42"/>
        <v>3.0204869290970399E-2</v>
      </c>
      <c r="N224" s="7">
        <f t="shared" si="43"/>
        <v>2.3424458883382699E-2</v>
      </c>
      <c r="O224">
        <v>4.0148412999999996</v>
      </c>
      <c r="P224">
        <v>-4.1264101999999996</v>
      </c>
      <c r="Q224">
        <v>2.0024464000000002</v>
      </c>
      <c r="R224">
        <v>-5.2853422999999999</v>
      </c>
      <c r="S224">
        <f t="shared" si="44"/>
        <v>0.98170728381758454</v>
      </c>
      <c r="T224">
        <f t="shared" si="45"/>
        <v>-23.464770971634234</v>
      </c>
    </row>
    <row r="225" spans="1:20" x14ac:dyDescent="0.35">
      <c r="A225">
        <v>1.2875000000000001</v>
      </c>
      <c r="B225">
        <v>15.634399999999999</v>
      </c>
      <c r="C225">
        <v>-1.6058121000000002E-2</v>
      </c>
      <c r="D225">
        <v>-1.0400754E-2</v>
      </c>
      <c r="E225">
        <v>0.98384638000000002</v>
      </c>
      <c r="F225">
        <v>-1.2268193E-2</v>
      </c>
      <c r="G225">
        <f t="shared" si="36"/>
        <v>20.2620020937756</v>
      </c>
      <c r="H225">
        <f t="shared" si="37"/>
        <v>-14.6107332084625</v>
      </c>
      <c r="I225">
        <f t="shared" si="38"/>
        <v>20.261955213951701</v>
      </c>
      <c r="J225">
        <f t="shared" si="39"/>
        <v>-14.611667016323899</v>
      </c>
      <c r="K225" s="7">
        <f t="shared" si="40"/>
        <v>4.6879823898393597E-5</v>
      </c>
      <c r="L225" s="7">
        <f t="shared" si="41"/>
        <v>9.3380786139896099E-4</v>
      </c>
      <c r="M225" s="7">
        <f t="shared" si="42"/>
        <v>3.2468603112021301E-2</v>
      </c>
      <c r="N225" s="7">
        <f t="shared" si="43"/>
        <v>2.3414345365415E-2</v>
      </c>
      <c r="O225">
        <v>3.9936984</v>
      </c>
      <c r="P225">
        <v>-4.4151471999999998</v>
      </c>
      <c r="Q225">
        <v>1.872593</v>
      </c>
      <c r="R225">
        <v>-5.5447104999999999</v>
      </c>
      <c r="S225">
        <f t="shared" si="44"/>
        <v>0.98303001410472912</v>
      </c>
      <c r="T225">
        <f t="shared" si="45"/>
        <v>-23.469590121698062</v>
      </c>
    </row>
    <row r="226" spans="1:20" x14ac:dyDescent="0.35">
      <c r="A226">
        <v>1.2875000000000001</v>
      </c>
      <c r="B226">
        <v>15.683199999999999</v>
      </c>
      <c r="C226">
        <v>-1.7207962E-2</v>
      </c>
      <c r="D226">
        <v>-1.0288347E-2</v>
      </c>
      <c r="E226">
        <v>0.98268946999999995</v>
      </c>
      <c r="F226">
        <v>-1.2144169E-2</v>
      </c>
      <c r="G226">
        <f t="shared" si="36"/>
        <v>19.867992702548001</v>
      </c>
      <c r="H226">
        <f t="shared" si="37"/>
        <v>-13.236057355270001</v>
      </c>
      <c r="I226">
        <f t="shared" si="38"/>
        <v>19.867942277068401</v>
      </c>
      <c r="J226">
        <f t="shared" si="39"/>
        <v>-13.236985360652101</v>
      </c>
      <c r="K226" s="7">
        <f t="shared" si="40"/>
        <v>5.0425479599880398E-5</v>
      </c>
      <c r="L226" s="7">
        <f t="shared" si="41"/>
        <v>9.2800538210013905E-4</v>
      </c>
      <c r="M226" s="7">
        <f t="shared" si="42"/>
        <v>3.4858918810697401E-2</v>
      </c>
      <c r="N226" s="7">
        <f t="shared" si="43"/>
        <v>2.3224699948818699E-2</v>
      </c>
      <c r="O226">
        <v>3.9486780000000001</v>
      </c>
      <c r="P226">
        <v>-4.7175539999999998</v>
      </c>
      <c r="Q226">
        <v>1.7153938</v>
      </c>
      <c r="R226">
        <v>-5.8075044</v>
      </c>
      <c r="S226">
        <f t="shared" si="44"/>
        <v>0.98431863030861677</v>
      </c>
      <c r="T226">
        <f t="shared" si="45"/>
        <v>-23.474098379438836</v>
      </c>
    </row>
    <row r="227" spans="1:20" x14ac:dyDescent="0.35">
      <c r="A227">
        <v>1.2875000000000001</v>
      </c>
      <c r="B227">
        <v>15.731999999999999</v>
      </c>
      <c r="C227">
        <v>-1.8406716E-2</v>
      </c>
      <c r="D227">
        <v>-1.0074797E-2</v>
      </c>
      <c r="E227">
        <v>0.98148201999999996</v>
      </c>
      <c r="F227">
        <v>-1.1917801E-2</v>
      </c>
      <c r="G227">
        <f t="shared" si="36"/>
        <v>19.490577575139799</v>
      </c>
      <c r="H227">
        <f t="shared" si="37"/>
        <v>-11.9060457258123</v>
      </c>
      <c r="I227">
        <f t="shared" si="38"/>
        <v>19.490522789351601</v>
      </c>
      <c r="J227">
        <f t="shared" si="39"/>
        <v>-11.9069673295682</v>
      </c>
      <c r="K227" s="7">
        <f t="shared" si="40"/>
        <v>5.4785788197619902E-5</v>
      </c>
      <c r="L227" s="7">
        <f t="shared" si="41"/>
        <v>9.2160375590033495E-4</v>
      </c>
      <c r="M227" s="7">
        <f t="shared" si="42"/>
        <v>3.7362763445099097E-2</v>
      </c>
      <c r="N227" s="7">
        <f t="shared" si="43"/>
        <v>2.2825308920201501E-2</v>
      </c>
      <c r="O227">
        <v>3.8762691</v>
      </c>
      <c r="P227">
        <v>-5.0316466999999996</v>
      </c>
      <c r="Q227">
        <v>1.5283542000000001</v>
      </c>
      <c r="R227">
        <v>-6.0705548</v>
      </c>
      <c r="S227">
        <f t="shared" si="44"/>
        <v>0.98557588602183688</v>
      </c>
      <c r="T227">
        <f t="shared" si="45"/>
        <v>-23.478468368092049</v>
      </c>
    </row>
    <row r="228" spans="1:20" x14ac:dyDescent="0.35">
      <c r="A228">
        <v>1.2875000000000001</v>
      </c>
      <c r="B228">
        <v>15.780799999999999</v>
      </c>
      <c r="C228">
        <v>-1.9644450000000001E-2</v>
      </c>
      <c r="D228">
        <v>-9.7464184999999995E-3</v>
      </c>
      <c r="E228">
        <v>0.98023426000000002</v>
      </c>
      <c r="F228">
        <v>-1.1575204E-2</v>
      </c>
      <c r="G228">
        <f t="shared" si="36"/>
        <v>19.128821298224501</v>
      </c>
      <c r="H228">
        <f t="shared" si="37"/>
        <v>-10.619072372532999</v>
      </c>
      <c r="I228">
        <f t="shared" si="38"/>
        <v>19.128761485811999</v>
      </c>
      <c r="J228">
        <f t="shared" si="39"/>
        <v>-10.619986875435</v>
      </c>
      <c r="K228" s="7">
        <f t="shared" si="40"/>
        <v>5.98124125019694E-5</v>
      </c>
      <c r="L228" s="7">
        <f t="shared" si="41"/>
        <v>9.1450290200079099E-4</v>
      </c>
      <c r="M228" s="7">
        <f t="shared" si="42"/>
        <v>3.9960342061535897E-2</v>
      </c>
      <c r="N228" s="7">
        <f t="shared" si="43"/>
        <v>2.2185352070293301E-2</v>
      </c>
      <c r="O228">
        <v>3.7754140999999999</v>
      </c>
      <c r="P228">
        <v>-5.3580984000000003</v>
      </c>
      <c r="Q228">
        <v>1.3093451</v>
      </c>
      <c r="R228">
        <v>-6.3301223000000002</v>
      </c>
      <c r="S228">
        <f t="shared" si="44"/>
        <v>0.98619361504660785</v>
      </c>
      <c r="T228">
        <f t="shared" si="45"/>
        <v>-23.482766373363887</v>
      </c>
    </row>
    <row r="229" spans="1:20" x14ac:dyDescent="0.35">
      <c r="A229">
        <v>1.2875000000000001</v>
      </c>
      <c r="B229">
        <v>15.829599999999999</v>
      </c>
      <c r="C229">
        <v>-2.0907803999999999E-2</v>
      </c>
      <c r="D229">
        <v>-9.2901527000000001E-3</v>
      </c>
      <c r="E229">
        <v>0.97895991000000004</v>
      </c>
      <c r="F229">
        <v>-1.1103231999999999E-2</v>
      </c>
      <c r="G229">
        <f t="shared" si="36"/>
        <v>18.781846702836599</v>
      </c>
      <c r="H229">
        <f t="shared" si="37"/>
        <v>-9.3735917998637301</v>
      </c>
      <c r="I229">
        <f t="shared" si="38"/>
        <v>18.781781377438001</v>
      </c>
      <c r="J229">
        <f t="shared" si="39"/>
        <v>-9.3744984587029307</v>
      </c>
      <c r="K229" s="7">
        <f t="shared" si="40"/>
        <v>6.5325398598048396E-5</v>
      </c>
      <c r="L229" s="7">
        <f t="shared" si="41"/>
        <v>9.0665883920060296E-4</v>
      </c>
      <c r="M229" s="7">
        <f t="shared" si="42"/>
        <v>4.2624203778380401E-2</v>
      </c>
      <c r="N229" s="7">
        <f t="shared" si="43"/>
        <v>2.12749006387579E-2</v>
      </c>
      <c r="O229">
        <v>3.6378702000000001</v>
      </c>
      <c r="P229">
        <v>-5.6864910999999996</v>
      </c>
      <c r="Q229">
        <v>1.0567214</v>
      </c>
      <c r="R229">
        <v>-6.5813977000000001</v>
      </c>
      <c r="S229">
        <f t="shared" si="44"/>
        <v>0.98742568538692743</v>
      </c>
      <c r="T229">
        <f t="shared" si="45"/>
        <v>-23.486971144208599</v>
      </c>
    </row>
    <row r="230" spans="1:20" x14ac:dyDescent="0.35">
      <c r="A230">
        <v>1.2875000000000001</v>
      </c>
      <c r="B230">
        <v>15.878399999999999</v>
      </c>
      <c r="C230">
        <v>-2.2178079E-2</v>
      </c>
      <c r="D230">
        <v>-8.6954347000000008E-3</v>
      </c>
      <c r="E230">
        <v>0.97767689000000002</v>
      </c>
      <c r="F230">
        <v>-1.0489742E-2</v>
      </c>
      <c r="G230">
        <f t="shared" si="36"/>
        <v>18.4493973965333</v>
      </c>
      <c r="H230">
        <f t="shared" si="37"/>
        <v>-8.1689252031079302</v>
      </c>
      <c r="I230">
        <f t="shared" si="38"/>
        <v>18.4493256808335</v>
      </c>
      <c r="J230">
        <f t="shared" si="39"/>
        <v>-8.1698224861648505</v>
      </c>
      <c r="K230" s="7">
        <f t="shared" si="40"/>
        <v>7.1715699800023499E-5</v>
      </c>
      <c r="L230" s="7">
        <f t="shared" si="41"/>
        <v>8.9728305692027299E-4</v>
      </c>
      <c r="M230" s="7">
        <f t="shared" si="42"/>
        <v>4.5316274679992601E-2</v>
      </c>
      <c r="N230" s="7">
        <f t="shared" si="43"/>
        <v>2.0067178945973201E-2</v>
      </c>
      <c r="O230">
        <v>3.4615133999999999</v>
      </c>
      <c r="P230">
        <v>-6.0113691999999999</v>
      </c>
      <c r="Q230">
        <v>0.77008052999999999</v>
      </c>
      <c r="R230">
        <v>-6.8187214999999997</v>
      </c>
      <c r="S230">
        <f t="shared" si="44"/>
        <v>0.98923258622634636</v>
      </c>
      <c r="T230">
        <f t="shared" si="45"/>
        <v>-23.491066964991269</v>
      </c>
    </row>
    <row r="231" spans="1:20" x14ac:dyDescent="0.35">
      <c r="A231">
        <v>1.2875000000000001</v>
      </c>
      <c r="B231">
        <v>15.927199999999999</v>
      </c>
      <c r="C231">
        <v>-2.3439057999999999E-2</v>
      </c>
      <c r="D231">
        <v>-7.9509243000000004E-3</v>
      </c>
      <c r="E231">
        <v>0.97640375999999995</v>
      </c>
      <c r="F231">
        <v>-9.7261228000000005E-3</v>
      </c>
      <c r="G231">
        <f t="shared" si="36"/>
        <v>18.1293755613843</v>
      </c>
      <c r="H231">
        <f t="shared" si="37"/>
        <v>-7.00092904719126</v>
      </c>
      <c r="I231">
        <f t="shared" si="38"/>
        <v>18.1292977522249</v>
      </c>
      <c r="J231">
        <f t="shared" si="39"/>
        <v>-7.0018167852728403</v>
      </c>
      <c r="K231" s="7">
        <f t="shared" si="40"/>
        <v>7.7809159400032995E-5</v>
      </c>
      <c r="L231" s="7">
        <f t="shared" si="41"/>
        <v>8.8773808158038004E-4</v>
      </c>
      <c r="M231" s="7">
        <f t="shared" si="42"/>
        <v>4.79995968688487E-2</v>
      </c>
      <c r="N231" s="7">
        <f t="shared" si="43"/>
        <v>1.8538190923660498E-2</v>
      </c>
      <c r="O231">
        <v>3.2478079000000002</v>
      </c>
      <c r="P231">
        <v>-6.3354004000000002</v>
      </c>
      <c r="Q231">
        <v>0.44844524000000002</v>
      </c>
      <c r="R231">
        <v>-7.0369022000000001</v>
      </c>
      <c r="S231">
        <f t="shared" si="44"/>
        <v>0.99042024707471377</v>
      </c>
      <c r="T231">
        <f t="shared" si="45"/>
        <v>-23.495299851801018</v>
      </c>
    </row>
    <row r="232" spans="1:20" x14ac:dyDescent="0.35">
      <c r="A232">
        <v>1.2875000000000001</v>
      </c>
      <c r="B232">
        <v>15.976000000000001</v>
      </c>
      <c r="C232">
        <v>-2.4662518000000001E-2</v>
      </c>
      <c r="D232">
        <v>-7.0542260999999998E-3</v>
      </c>
      <c r="E232">
        <v>0.97516864999999997</v>
      </c>
      <c r="F232">
        <v>-8.8091356000000003E-3</v>
      </c>
      <c r="G232">
        <f t="shared" si="36"/>
        <v>17.822355388117199</v>
      </c>
      <c r="H232">
        <f t="shared" si="37"/>
        <v>-5.8720762993126501</v>
      </c>
      <c r="I232">
        <f t="shared" si="38"/>
        <v>17.822271735111901</v>
      </c>
      <c r="J232">
        <f t="shared" si="39"/>
        <v>-5.8729539015480601</v>
      </c>
      <c r="K232" s="7">
        <f t="shared" si="40"/>
        <v>8.3653005297890104E-5</v>
      </c>
      <c r="L232" s="7">
        <f t="shared" si="41"/>
        <v>8.7760223541000204E-4</v>
      </c>
      <c r="M232" s="7">
        <f t="shared" si="42"/>
        <v>5.0613486389195897E-2</v>
      </c>
      <c r="N232" s="7">
        <f t="shared" si="43"/>
        <v>1.6678607350305401E-2</v>
      </c>
      <c r="O232">
        <v>2.9962502</v>
      </c>
      <c r="P232">
        <v>-6.6519855000000003</v>
      </c>
      <c r="Q232">
        <v>9.4495318999999994E-2</v>
      </c>
      <c r="R232">
        <v>-7.2292414000000003</v>
      </c>
      <c r="S232">
        <f t="shared" si="44"/>
        <v>0.99098292379801567</v>
      </c>
      <c r="T232">
        <f t="shared" si="45"/>
        <v>-23.49931876002637</v>
      </c>
    </row>
    <row r="233" spans="1:20" x14ac:dyDescent="0.35">
      <c r="A233">
        <v>1.2875000000000001</v>
      </c>
      <c r="B233">
        <v>16.024799999999999</v>
      </c>
      <c r="C233">
        <v>-2.5823853000000001E-2</v>
      </c>
      <c r="D233">
        <v>-6.0036702999999997E-3</v>
      </c>
      <c r="E233">
        <v>0.97399433000000002</v>
      </c>
      <c r="F233">
        <v>-7.7355959000000004E-3</v>
      </c>
      <c r="G233">
        <f t="shared" si="36"/>
        <v>17.527285833132701</v>
      </c>
      <c r="H233">
        <f t="shared" si="37"/>
        <v>-4.7783309568491701</v>
      </c>
      <c r="I233">
        <f t="shared" si="38"/>
        <v>17.5271956664632</v>
      </c>
      <c r="J233">
        <f t="shared" si="39"/>
        <v>-4.7791970764677796</v>
      </c>
      <c r="K233" s="7">
        <f t="shared" si="40"/>
        <v>9.0166669501456895E-5</v>
      </c>
      <c r="L233" s="7">
        <f t="shared" si="41"/>
        <v>8.6611961860949495E-4</v>
      </c>
      <c r="M233" s="7">
        <f t="shared" si="42"/>
        <v>5.3105743991589099E-2</v>
      </c>
      <c r="N233" s="7">
        <f t="shared" si="43"/>
        <v>1.4480514810129E-2</v>
      </c>
      <c r="O233">
        <v>2.7009216</v>
      </c>
      <c r="P233">
        <v>-6.9418889999999998</v>
      </c>
      <c r="Q233">
        <v>-0.28950059</v>
      </c>
      <c r="R233">
        <v>-7.3891643</v>
      </c>
      <c r="S233">
        <f t="shared" si="44"/>
        <v>0.99275338084799047</v>
      </c>
      <c r="T233">
        <f t="shared" si="45"/>
        <v>-23.503459343988002</v>
      </c>
    </row>
    <row r="234" spans="1:20" x14ac:dyDescent="0.35">
      <c r="A234">
        <v>1.2875000000000001</v>
      </c>
      <c r="B234">
        <v>16.073599999999999</v>
      </c>
      <c r="C234">
        <v>-2.6897555E-2</v>
      </c>
      <c r="D234">
        <v>-4.8034317000000002E-3</v>
      </c>
      <c r="E234">
        <v>0.97290971999999998</v>
      </c>
      <c r="F234">
        <v>-6.5121828000000003E-3</v>
      </c>
      <c r="G234">
        <f t="shared" si="36"/>
        <v>17.243273342040901</v>
      </c>
      <c r="H234">
        <f t="shared" si="37"/>
        <v>-3.7184753308426699</v>
      </c>
      <c r="I234">
        <f t="shared" si="38"/>
        <v>17.2431777004224</v>
      </c>
      <c r="J234">
        <f t="shared" si="39"/>
        <v>-3.7193298704520901</v>
      </c>
      <c r="K234" s="7">
        <f t="shared" si="40"/>
        <v>9.5641618500508203E-5</v>
      </c>
      <c r="L234" s="7">
        <f t="shared" si="41"/>
        <v>8.5453960942016795E-4</v>
      </c>
      <c r="M234" s="7">
        <f t="shared" si="42"/>
        <v>5.5415686142928099E-2</v>
      </c>
      <c r="N234" s="7">
        <f t="shared" si="43"/>
        <v>1.1953087786014199E-2</v>
      </c>
      <c r="O234">
        <v>2.3689011999999998</v>
      </c>
      <c r="P234">
        <v>-7.2108559999999997</v>
      </c>
      <c r="Q234">
        <v>-0.69961505999999996</v>
      </c>
      <c r="R234">
        <v>-7.5113873</v>
      </c>
      <c r="S234">
        <f t="shared" si="44"/>
        <v>0.99392566415590233</v>
      </c>
      <c r="T234">
        <f t="shared" si="45"/>
        <v>-23.507530855401559</v>
      </c>
    </row>
    <row r="235" spans="1:20" x14ac:dyDescent="0.35">
      <c r="A235">
        <v>1.2875000000000001</v>
      </c>
      <c r="B235">
        <v>16.122399999999999</v>
      </c>
      <c r="C235">
        <v>-2.7854605000000001E-2</v>
      </c>
      <c r="D235">
        <v>-3.4666561999999999E-3</v>
      </c>
      <c r="E235">
        <v>0.97194263000000003</v>
      </c>
      <c r="F235">
        <v>-5.1517480000000003E-3</v>
      </c>
      <c r="G235">
        <f t="shared" si="36"/>
        <v>16.970217689839998</v>
      </c>
      <c r="H235">
        <f t="shared" si="37"/>
        <v>-2.6924715982290701</v>
      </c>
      <c r="I235">
        <f t="shared" si="38"/>
        <v>16.970117007159601</v>
      </c>
      <c r="J235">
        <f t="shared" si="39"/>
        <v>-2.69331431439553</v>
      </c>
      <c r="K235" s="7">
        <f t="shared" si="40"/>
        <v>1.00682680397313E-4</v>
      </c>
      <c r="L235" s="7">
        <f t="shared" si="41"/>
        <v>8.4271616645992297E-4</v>
      </c>
      <c r="M235" s="7">
        <f t="shared" si="42"/>
        <v>5.74792887877432E-2</v>
      </c>
      <c r="N235" s="7">
        <f t="shared" si="43"/>
        <v>9.1224940410245502E-3</v>
      </c>
      <c r="O235">
        <v>2.0035137999999999</v>
      </c>
      <c r="P235">
        <v>-7.4521768000000002</v>
      </c>
      <c r="Q235">
        <v>-1.1294084</v>
      </c>
      <c r="R235">
        <v>-7.5902991999999996</v>
      </c>
      <c r="S235">
        <f t="shared" si="44"/>
        <v>0.99443613928190422</v>
      </c>
      <c r="T235">
        <f t="shared" si="45"/>
        <v>-23.511420176638172</v>
      </c>
    </row>
    <row r="236" spans="1:20" x14ac:dyDescent="0.35">
      <c r="A236">
        <v>1.2875000000000001</v>
      </c>
      <c r="B236">
        <v>16.171199999999999</v>
      </c>
      <c r="C236">
        <v>-2.8670623999999999E-2</v>
      </c>
      <c r="D236">
        <v>-2.0110744E-3</v>
      </c>
      <c r="E236">
        <v>0.97111742000000001</v>
      </c>
      <c r="F236">
        <v>-3.6720366999999999E-3</v>
      </c>
      <c r="G236">
        <f t="shared" si="36"/>
        <v>16.7074962770252</v>
      </c>
      <c r="H236">
        <f t="shared" si="37"/>
        <v>-1.69873966366953</v>
      </c>
      <c r="I236">
        <f t="shared" si="38"/>
        <v>16.707390977710499</v>
      </c>
      <c r="J236">
        <f t="shared" si="39"/>
        <v>-1.6995703202999499</v>
      </c>
      <c r="K236" s="7">
        <f t="shared" si="40"/>
        <v>1.05299314700602E-4</v>
      </c>
      <c r="L236" s="7">
        <f t="shared" si="41"/>
        <v>8.3065663041992398E-4</v>
      </c>
      <c r="M236" s="7">
        <f t="shared" si="42"/>
        <v>5.9240720389976798E-2</v>
      </c>
      <c r="N236" s="7">
        <f t="shared" si="43"/>
        <v>6.0263011898336501E-3</v>
      </c>
      <c r="O236">
        <v>1.6068621999999999</v>
      </c>
      <c r="P236">
        <v>-7.6500105999999999</v>
      </c>
      <c r="Q236">
        <v>-1.5718742999999999</v>
      </c>
      <c r="R236">
        <v>-7.6218750000000002</v>
      </c>
      <c r="S236">
        <f t="shared" si="44"/>
        <v>0.99556414148790484</v>
      </c>
      <c r="T236">
        <f t="shared" si="45"/>
        <v>-23.515211012408951</v>
      </c>
    </row>
    <row r="237" spans="1:20" x14ac:dyDescent="0.35">
      <c r="A237">
        <v>1.2875000000000001</v>
      </c>
      <c r="B237">
        <v>16.22</v>
      </c>
      <c r="C237">
        <v>-2.9312276000000002E-2</v>
      </c>
      <c r="D237">
        <v>-4.6186614E-4</v>
      </c>
      <c r="E237">
        <v>0.97071284000000002</v>
      </c>
      <c r="F237">
        <v>-2.0923309000000002E-3</v>
      </c>
      <c r="G237">
        <f t="shared" si="36"/>
        <v>16.532644372239101</v>
      </c>
      <c r="H237">
        <f t="shared" si="37"/>
        <v>-0.74200136093846403</v>
      </c>
      <c r="I237">
        <f t="shared" si="38"/>
        <v>16.532657594659799</v>
      </c>
      <c r="J237">
        <f t="shared" si="39"/>
        <v>-0.74281657230169496</v>
      </c>
      <c r="K237" s="7">
        <f t="shared" si="40"/>
        <v>-1.32224206979004E-5</v>
      </c>
      <c r="L237" s="7">
        <f t="shared" si="41"/>
        <v>8.1521136323092801E-4</v>
      </c>
      <c r="M237" s="7">
        <f t="shared" si="42"/>
        <v>6.0364483643875901E-2</v>
      </c>
      <c r="N237" s="7">
        <f t="shared" si="43"/>
        <v>2.7121918283476302E-3</v>
      </c>
      <c r="O237">
        <v>1.1847993000000001</v>
      </c>
      <c r="P237">
        <v>-7.7989125000000001</v>
      </c>
      <c r="Q237">
        <v>-2.0210631000000001</v>
      </c>
      <c r="R237">
        <v>-7.6021000000000001</v>
      </c>
      <c r="S237">
        <f t="shared" si="44"/>
        <v>0.99718241024882137</v>
      </c>
      <c r="T237">
        <f t="shared" si="45"/>
        <v>-23.526278596265318</v>
      </c>
    </row>
    <row r="238" spans="1:20" x14ac:dyDescent="0.35">
      <c r="A238">
        <v>1.2875000000000001</v>
      </c>
      <c r="B238">
        <v>16.268799999999999</v>
      </c>
      <c r="C238">
        <v>-2.9789084E-2</v>
      </c>
      <c r="D238">
        <v>1.1540194E-3</v>
      </c>
      <c r="E238">
        <v>0.97023713</v>
      </c>
      <c r="F238">
        <v>-4.6387469999999999E-4</v>
      </c>
      <c r="G238">
        <f t="shared" si="36"/>
        <v>16.289798442008099</v>
      </c>
      <c r="H238">
        <f t="shared" si="37"/>
        <v>0.19498070036481799</v>
      </c>
      <c r="I238">
        <f t="shared" si="38"/>
        <v>16.2898122032054</v>
      </c>
      <c r="J238">
        <f t="shared" si="39"/>
        <v>0.19417177504948199</v>
      </c>
      <c r="K238" s="7">
        <f t="shared" si="40"/>
        <v>-1.3761197301676E-5</v>
      </c>
      <c r="L238" s="7">
        <f t="shared" si="41"/>
        <v>8.08925315335995E-4</v>
      </c>
      <c r="M238" s="7">
        <f t="shared" si="42"/>
        <v>6.1379340988696802E-2</v>
      </c>
      <c r="N238" s="7">
        <f t="shared" si="43"/>
        <v>-7.3163124549695496E-4</v>
      </c>
      <c r="O238">
        <v>0.75008761000000002</v>
      </c>
      <c r="P238">
        <v>-7.9061921000000002</v>
      </c>
      <c r="Q238">
        <v>-2.4639848</v>
      </c>
      <c r="R238">
        <v>-7.5339717999999998</v>
      </c>
      <c r="S238">
        <f t="shared" si="44"/>
        <v>0.99810704888580215</v>
      </c>
      <c r="T238">
        <f t="shared" si="45"/>
        <v>-23.529953791549406</v>
      </c>
    </row>
    <row r="239" spans="1:20" x14ac:dyDescent="0.35">
      <c r="A239">
        <v>1.2875000000000001</v>
      </c>
      <c r="B239">
        <v>16.317599999999999</v>
      </c>
      <c r="C239">
        <v>-3.0079967999999999E-2</v>
      </c>
      <c r="D239">
        <v>2.8072306000000002E-3</v>
      </c>
      <c r="E239">
        <v>0.96994572000000001</v>
      </c>
      <c r="F239">
        <v>1.2011754E-3</v>
      </c>
      <c r="G239">
        <f t="shared" si="36"/>
        <v>16.055890261409999</v>
      </c>
      <c r="H239">
        <f t="shared" si="37"/>
        <v>1.10397823529503</v>
      </c>
      <c r="I239">
        <f t="shared" si="38"/>
        <v>16.055903750073</v>
      </c>
      <c r="J239">
        <f t="shared" si="39"/>
        <v>1.10317522884061</v>
      </c>
      <c r="K239" s="7">
        <f t="shared" si="40"/>
        <v>-1.34886630007713E-5</v>
      </c>
      <c r="L239" s="7">
        <f t="shared" si="41"/>
        <v>8.0300645441999695E-4</v>
      </c>
      <c r="M239" s="7">
        <f t="shared" si="42"/>
        <v>6.1989742517940399E-2</v>
      </c>
      <c r="N239" s="7">
        <f t="shared" si="43"/>
        <v>-4.2592151430708904E-3</v>
      </c>
      <c r="O239">
        <v>0.30756337</v>
      </c>
      <c r="P239">
        <v>-7.9636633000000003</v>
      </c>
      <c r="Q239">
        <v>-2.8950993</v>
      </c>
      <c r="R239">
        <v>-7.4171575000000001</v>
      </c>
      <c r="S239">
        <f t="shared" si="44"/>
        <v>0.99906510713410468</v>
      </c>
      <c r="T239">
        <f t="shared" si="45"/>
        <v>-23.53363846061325</v>
      </c>
    </row>
    <row r="240" spans="1:20" x14ac:dyDescent="0.35">
      <c r="A240">
        <v>1.2875000000000001</v>
      </c>
      <c r="B240">
        <v>16.366399999999999</v>
      </c>
      <c r="C240">
        <v>-3.0184865000000002E-2</v>
      </c>
      <c r="D240">
        <v>4.4617203000000003E-3</v>
      </c>
      <c r="E240">
        <v>0.96984177999999999</v>
      </c>
      <c r="F240">
        <v>2.8688252999999999E-3</v>
      </c>
      <c r="G240">
        <f t="shared" si="36"/>
        <v>15.830894210822599</v>
      </c>
      <c r="H240">
        <f t="shared" si="37"/>
        <v>1.9842943934692501</v>
      </c>
      <c r="I240">
        <f t="shared" si="38"/>
        <v>15.830908167447999</v>
      </c>
      <c r="J240">
        <f t="shared" si="39"/>
        <v>1.9834979676953499</v>
      </c>
      <c r="K240" s="7">
        <f t="shared" si="40"/>
        <v>-1.39566254002688E-5</v>
      </c>
      <c r="L240" s="7">
        <f t="shared" si="41"/>
        <v>7.96425773900156E-4</v>
      </c>
      <c r="M240" s="7">
        <f t="shared" si="42"/>
        <v>6.2191274444438401E-2</v>
      </c>
      <c r="N240" s="7">
        <f t="shared" si="43"/>
        <v>-7.7921155984327101E-3</v>
      </c>
      <c r="O240">
        <v>-0.13308954000000001</v>
      </c>
      <c r="P240">
        <v>-7.9720639999999996</v>
      </c>
      <c r="Q240">
        <v>-3.3054543000000001</v>
      </c>
      <c r="R240">
        <v>-7.2553311000000003</v>
      </c>
      <c r="S240">
        <f t="shared" si="44"/>
        <v>0.99995548421714853</v>
      </c>
      <c r="T240">
        <f t="shared" si="45"/>
        <v>-23.53708734877857</v>
      </c>
    </row>
    <row r="241" spans="1:20" x14ac:dyDescent="0.35">
      <c r="A241">
        <v>1.2875000000000001</v>
      </c>
      <c r="B241">
        <v>16.415199999999999</v>
      </c>
      <c r="C241">
        <v>-3.0109516999999999E-2</v>
      </c>
      <c r="D241">
        <v>6.0859082999999998E-3</v>
      </c>
      <c r="E241">
        <v>0.96991824000000004</v>
      </c>
      <c r="F241">
        <v>4.5068529000000003E-3</v>
      </c>
      <c r="G241">
        <f t="shared" si="36"/>
        <v>15.614614387387499</v>
      </c>
      <c r="H241">
        <f t="shared" si="37"/>
        <v>2.8363262588324698</v>
      </c>
      <c r="I241">
        <f t="shared" si="38"/>
        <v>15.614628889022599</v>
      </c>
      <c r="J241">
        <f t="shared" si="39"/>
        <v>2.8355367535390599</v>
      </c>
      <c r="K241" s="7">
        <f t="shared" si="40"/>
        <v>-1.4501635099861701E-5</v>
      </c>
      <c r="L241" s="7">
        <f t="shared" si="41"/>
        <v>7.8950529340993103E-4</v>
      </c>
      <c r="M241" s="7">
        <f t="shared" si="42"/>
        <v>6.1998018079438201E-2</v>
      </c>
      <c r="N241" s="7">
        <f t="shared" si="43"/>
        <v>-1.1258523027365399E-2</v>
      </c>
      <c r="O241">
        <v>-0.56361050999999995</v>
      </c>
      <c r="P241">
        <v>-7.9322930999999999</v>
      </c>
      <c r="Q241">
        <v>-3.6883952</v>
      </c>
      <c r="R241">
        <v>-7.0537964000000004</v>
      </c>
      <c r="S241">
        <f t="shared" si="44"/>
        <v>1.0009591717558901</v>
      </c>
      <c r="T241">
        <f t="shared" si="45"/>
        <v>-23.540657869459682</v>
      </c>
    </row>
    <row r="242" spans="1:20" x14ac:dyDescent="0.35">
      <c r="A242">
        <v>1.2875000000000001</v>
      </c>
      <c r="B242">
        <v>16.463999999999999</v>
      </c>
      <c r="C242">
        <v>-2.9866745E-2</v>
      </c>
      <c r="D242">
        <v>7.6542053000000004E-3</v>
      </c>
      <c r="E242">
        <v>0.97016247</v>
      </c>
      <c r="F242">
        <v>6.0893496999999998E-3</v>
      </c>
      <c r="G242">
        <f t="shared" si="36"/>
        <v>15.406346872548299</v>
      </c>
      <c r="H242">
        <f t="shared" si="37"/>
        <v>3.66193566745843</v>
      </c>
      <c r="I242">
        <f t="shared" si="38"/>
        <v>15.406362092001</v>
      </c>
      <c r="J242">
        <f t="shared" si="39"/>
        <v>3.6611532629955299</v>
      </c>
      <c r="K242" s="7">
        <f t="shared" si="40"/>
        <v>-1.5219452700776499E-5</v>
      </c>
      <c r="L242" s="7">
        <f t="shared" si="41"/>
        <v>7.8240446290012101E-4</v>
      </c>
      <c r="M242" s="7">
        <f t="shared" si="42"/>
        <v>6.1438665945644802E-2</v>
      </c>
      <c r="N242" s="7">
        <f t="shared" si="43"/>
        <v>-1.4600226254436599E-2</v>
      </c>
      <c r="O242">
        <v>-0.97728026000000001</v>
      </c>
      <c r="P242">
        <v>-7.8482839999999996</v>
      </c>
      <c r="Q242">
        <v>-4.0390186000000003</v>
      </c>
      <c r="R242">
        <v>-6.8181988000000002</v>
      </c>
      <c r="S242">
        <f t="shared" si="44"/>
        <v>1.0020033100461474</v>
      </c>
      <c r="T242">
        <f t="shared" si="45"/>
        <v>-23.543966372679225</v>
      </c>
    </row>
    <row r="243" spans="1:20" x14ac:dyDescent="0.35">
      <c r="A243">
        <v>1.2875000000000001</v>
      </c>
      <c r="B243">
        <v>16.512799999999999</v>
      </c>
      <c r="C243">
        <v>-2.9474091000000001E-2</v>
      </c>
      <c r="D243">
        <v>9.1423836999999994E-3</v>
      </c>
      <c r="E243">
        <v>0.97055681999999999</v>
      </c>
      <c r="F243">
        <v>7.591914E-3</v>
      </c>
      <c r="G243">
        <f t="shared" si="36"/>
        <v>15.2058968331048</v>
      </c>
      <c r="H243">
        <f t="shared" si="37"/>
        <v>4.4613424854097197</v>
      </c>
      <c r="I243">
        <f t="shared" si="38"/>
        <v>15.2059128893268</v>
      </c>
      <c r="J243">
        <f t="shared" si="39"/>
        <v>4.4605672749883301</v>
      </c>
      <c r="K243" s="7">
        <f t="shared" si="40"/>
        <v>-1.6056221999960498E-5</v>
      </c>
      <c r="L243" s="7">
        <f t="shared" si="41"/>
        <v>7.7521042138961604E-4</v>
      </c>
      <c r="M243" s="7">
        <f t="shared" si="42"/>
        <v>6.0553233601858603E-2</v>
      </c>
      <c r="N243" s="7">
        <f t="shared" si="43"/>
        <v>-1.7762943544728699E-2</v>
      </c>
      <c r="O243">
        <v>-1.3680462</v>
      </c>
      <c r="P243">
        <v>-7.7263428000000003</v>
      </c>
      <c r="Q243">
        <v>-4.3536679999999999</v>
      </c>
      <c r="R243">
        <v>-6.5557182999999997</v>
      </c>
      <c r="S243">
        <f t="shared" si="44"/>
        <v>1.0029512750806899</v>
      </c>
      <c r="T243">
        <f t="shared" si="45"/>
        <v>-23.547359781255821</v>
      </c>
    </row>
    <row r="244" spans="1:20" x14ac:dyDescent="0.35">
      <c r="A244">
        <v>1.2875000000000001</v>
      </c>
      <c r="B244">
        <v>16.561599999999999</v>
      </c>
      <c r="C244">
        <v>-2.8954128999999999E-2</v>
      </c>
      <c r="D244">
        <v>1.0529192E-2</v>
      </c>
      <c r="E244">
        <v>0.97107803999999998</v>
      </c>
      <c r="F244">
        <v>8.9929287999999993E-3</v>
      </c>
      <c r="G244">
        <f t="shared" si="36"/>
        <v>15.0132298372954</v>
      </c>
      <c r="H244">
        <f t="shared" si="37"/>
        <v>5.2331375939785998</v>
      </c>
      <c r="I244">
        <f t="shared" si="38"/>
        <v>15.013246511534099</v>
      </c>
      <c r="J244">
        <f t="shared" si="39"/>
        <v>5.2323694875412299</v>
      </c>
      <c r="K244" s="7">
        <f t="shared" si="40"/>
        <v>-1.6674238699110299E-5</v>
      </c>
      <c r="L244" s="7">
        <f t="shared" si="41"/>
        <v>7.6810643736990902E-4</v>
      </c>
      <c r="M244" s="7">
        <f t="shared" si="42"/>
        <v>5.9393654410996199E-2</v>
      </c>
      <c r="N244" s="7">
        <f t="shared" si="43"/>
        <v>-2.0699689760966301E-2</v>
      </c>
      <c r="O244">
        <v>-1.7304189000000001</v>
      </c>
      <c r="P244">
        <v>-7.5719399000000003</v>
      </c>
      <c r="Q244">
        <v>-4.6295693</v>
      </c>
      <c r="R244">
        <v>-6.2740426999999999</v>
      </c>
      <c r="S244">
        <f t="shared" si="44"/>
        <v>1.0038704392615876</v>
      </c>
      <c r="T244">
        <f t="shared" si="45"/>
        <v>-23.550568633326041</v>
      </c>
    </row>
    <row r="245" spans="1:20" x14ac:dyDescent="0.35">
      <c r="A245">
        <v>1.2875000000000001</v>
      </c>
      <c r="B245">
        <v>16.610399999999998</v>
      </c>
      <c r="C245">
        <v>-2.8326761999999998E-2</v>
      </c>
      <c r="D245">
        <v>1.1808509E-2</v>
      </c>
      <c r="E245">
        <v>0.97170699999999999</v>
      </c>
      <c r="F245">
        <v>1.0285692000000001E-2</v>
      </c>
      <c r="G245">
        <f t="shared" si="36"/>
        <v>14.827687669623501</v>
      </c>
      <c r="H245">
        <f t="shared" si="37"/>
        <v>5.9815645245698796</v>
      </c>
      <c r="I245">
        <f t="shared" si="38"/>
        <v>14.827705130051701</v>
      </c>
      <c r="J245">
        <f t="shared" si="39"/>
        <v>5.9808031422173</v>
      </c>
      <c r="K245" s="7">
        <f t="shared" si="40"/>
        <v>-1.7460428200166699E-5</v>
      </c>
      <c r="L245" s="7">
        <f t="shared" si="41"/>
        <v>7.6138235257960896E-4</v>
      </c>
      <c r="M245" s="7">
        <f t="shared" si="42"/>
        <v>5.8004365992551501E-2</v>
      </c>
      <c r="N245" s="7">
        <f t="shared" si="43"/>
        <v>-2.3396249881411299E-2</v>
      </c>
      <c r="O245">
        <v>-2.0630025999999999</v>
      </c>
      <c r="P245">
        <v>-7.3897072000000001</v>
      </c>
      <c r="Q245">
        <v>-4.8676966999999998</v>
      </c>
      <c r="R245">
        <v>-5.9785946000000001</v>
      </c>
      <c r="S245">
        <f t="shared" si="44"/>
        <v>1.0048664777242746</v>
      </c>
      <c r="T245">
        <f t="shared" si="45"/>
        <v>-23.553780076592986</v>
      </c>
    </row>
    <row r="246" spans="1:20" x14ac:dyDescent="0.35">
      <c r="A246">
        <v>1.2875000000000001</v>
      </c>
      <c r="B246">
        <v>16.659199999999998</v>
      </c>
      <c r="C246">
        <v>-2.7616335999999998E-2</v>
      </c>
      <c r="D246">
        <v>1.2969656E-2</v>
      </c>
      <c r="E246">
        <v>0.97241911999999997</v>
      </c>
      <c r="F246">
        <v>1.145964E-2</v>
      </c>
      <c r="G246">
        <f t="shared" si="36"/>
        <v>14.6493980645617</v>
      </c>
      <c r="H246">
        <f t="shared" si="37"/>
        <v>6.7052329135591098</v>
      </c>
      <c r="I246">
        <f t="shared" si="38"/>
        <v>14.6494163622539</v>
      </c>
      <c r="J246">
        <f t="shared" si="39"/>
        <v>6.7044779327583104</v>
      </c>
      <c r="K246" s="7">
        <f t="shared" si="40"/>
        <v>-1.8297692200519601E-5</v>
      </c>
      <c r="L246" s="7">
        <f t="shared" si="41"/>
        <v>7.5498080079938702E-4</v>
      </c>
      <c r="M246" s="7">
        <f t="shared" si="42"/>
        <v>5.6440416965813797E-2</v>
      </c>
      <c r="N246" s="7">
        <f t="shared" si="43"/>
        <v>-2.5830621555544199E-2</v>
      </c>
      <c r="O246">
        <v>-2.3635098999999999</v>
      </c>
      <c r="P246">
        <v>-7.1875105000000001</v>
      </c>
      <c r="Q246">
        <v>-5.0681161000000001</v>
      </c>
      <c r="R246">
        <v>-5.6764308999999997</v>
      </c>
      <c r="S246">
        <f t="shared" si="44"/>
        <v>1.0057582936353804</v>
      </c>
      <c r="T246">
        <f t="shared" si="45"/>
        <v>-23.556883487022759</v>
      </c>
    </row>
    <row r="247" spans="1:20" x14ac:dyDescent="0.35">
      <c r="A247">
        <v>1.2875000000000001</v>
      </c>
      <c r="B247">
        <v>16.707999999999998</v>
      </c>
      <c r="C247">
        <v>-2.6841001999999999E-2</v>
      </c>
      <c r="D247">
        <v>1.4011918E-2</v>
      </c>
      <c r="E247">
        <v>0.97326051999999996</v>
      </c>
      <c r="F247">
        <v>1.2574650999999999E-2</v>
      </c>
      <c r="G247">
        <f t="shared" si="36"/>
        <v>14.4761536924151</v>
      </c>
      <c r="H247">
        <f t="shared" si="37"/>
        <v>7.4315209689328201</v>
      </c>
      <c r="I247">
        <f t="shared" si="38"/>
        <v>14.4762049671937</v>
      </c>
      <c r="J247">
        <f t="shared" si="39"/>
        <v>7.4308024087554401</v>
      </c>
      <c r="K247" s="7">
        <f t="shared" si="40"/>
        <v>-5.1274778600784998E-5</v>
      </c>
      <c r="L247" s="7">
        <f t="shared" si="41"/>
        <v>7.1856017738003398E-4</v>
      </c>
      <c r="M247" s="7">
        <f t="shared" si="42"/>
        <v>5.4673127456823699E-2</v>
      </c>
      <c r="N247" s="7">
        <f t="shared" si="43"/>
        <v>-2.8064344772752499E-2</v>
      </c>
      <c r="O247">
        <v>-2.6311696000000002</v>
      </c>
      <c r="P247">
        <v>-6.9692571000000001</v>
      </c>
      <c r="Q247">
        <v>-5.2325578999999998</v>
      </c>
      <c r="R247">
        <v>-5.3725547000000002</v>
      </c>
      <c r="S247">
        <f t="shared" si="44"/>
        <v>1.0067385103132709</v>
      </c>
      <c r="T247">
        <f t="shared" si="45"/>
        <v>-23.560188509675864</v>
      </c>
    </row>
    <row r="248" spans="1:20" x14ac:dyDescent="0.35">
      <c r="A248">
        <v>1.2875000000000001</v>
      </c>
      <c r="B248">
        <v>16.756799999999998</v>
      </c>
      <c r="C248">
        <v>-2.6029637000000001E-2</v>
      </c>
      <c r="D248">
        <v>1.493159E-2</v>
      </c>
      <c r="E248">
        <v>0.97400998000000005</v>
      </c>
      <c r="F248">
        <v>1.3471726999999999E-2</v>
      </c>
      <c r="G248">
        <f t="shared" si="36"/>
        <v>14.308620756596</v>
      </c>
      <c r="H248">
        <f t="shared" si="37"/>
        <v>8.08604376586832</v>
      </c>
      <c r="I248">
        <f t="shared" si="38"/>
        <v>14.308641097471799</v>
      </c>
      <c r="J248">
        <f t="shared" si="39"/>
        <v>8.0853138636740507</v>
      </c>
      <c r="K248" s="7">
        <f t="shared" si="40"/>
        <v>-2.0340875799718099E-5</v>
      </c>
      <c r="L248" s="7">
        <f t="shared" si="41"/>
        <v>7.2990219426927205E-4</v>
      </c>
      <c r="M248" s="7">
        <f t="shared" si="42"/>
        <v>5.29734813112301E-2</v>
      </c>
      <c r="N248" s="7">
        <f t="shared" si="43"/>
        <v>-2.9933466073759098E-2</v>
      </c>
      <c r="O248">
        <v>-2.8670163</v>
      </c>
      <c r="P248">
        <v>-6.7427361000000001</v>
      </c>
      <c r="Q248">
        <v>-5.3643770000000002</v>
      </c>
      <c r="R248">
        <v>-5.0724280000000004</v>
      </c>
      <c r="S248">
        <f t="shared" si="44"/>
        <v>1.0076248839106769</v>
      </c>
      <c r="T248">
        <f t="shared" si="45"/>
        <v>-23.567085733760837</v>
      </c>
    </row>
    <row r="249" spans="1:20" x14ac:dyDescent="0.35">
      <c r="A249">
        <v>1.2875000000000001</v>
      </c>
      <c r="B249">
        <v>16.805599999999998</v>
      </c>
      <c r="C249">
        <v>-2.5194879E-2</v>
      </c>
      <c r="D249">
        <v>1.5738308999999999E-2</v>
      </c>
      <c r="E249">
        <v>0.97479822000000005</v>
      </c>
      <c r="F249">
        <v>1.4272775E-2</v>
      </c>
      <c r="G249">
        <f t="shared" si="36"/>
        <v>14.1481133301308</v>
      </c>
      <c r="H249">
        <f t="shared" si="37"/>
        <v>8.7232802574143502</v>
      </c>
      <c r="I249">
        <f t="shared" si="38"/>
        <v>14.148110416571701</v>
      </c>
      <c r="J249">
        <f t="shared" si="39"/>
        <v>8.7225474857509795</v>
      </c>
      <c r="K249" s="7">
        <f t="shared" si="40"/>
        <v>2.9135590988715901E-6</v>
      </c>
      <c r="L249" s="7">
        <f t="shared" si="41"/>
        <v>7.3277166337071297E-4</v>
      </c>
      <c r="M249" s="7">
        <f t="shared" si="42"/>
        <v>5.1214533950623899E-2</v>
      </c>
      <c r="N249" s="7">
        <f t="shared" si="43"/>
        <v>-3.1574619591721503E-2</v>
      </c>
      <c r="O249">
        <v>-3.072419</v>
      </c>
      <c r="P249">
        <v>-6.5112017</v>
      </c>
      <c r="Q249">
        <v>-5.4659177000000003</v>
      </c>
      <c r="R249">
        <v>-4.7795147</v>
      </c>
      <c r="S249">
        <f t="shared" si="44"/>
        <v>1.0084958132049255</v>
      </c>
      <c r="T249">
        <f t="shared" si="45"/>
        <v>-23.571798102716812</v>
      </c>
    </row>
    <row r="250" spans="1:20" x14ac:dyDescent="0.35">
      <c r="A250">
        <v>1.2875000000000001</v>
      </c>
      <c r="B250">
        <v>16.854399999999998</v>
      </c>
      <c r="C250">
        <v>-2.4355297000000001E-2</v>
      </c>
      <c r="D250">
        <v>1.6440333000000001E-2</v>
      </c>
      <c r="E250">
        <v>0.97560985</v>
      </c>
      <c r="F250">
        <v>1.5010562999999999E-2</v>
      </c>
      <c r="G250">
        <f t="shared" si="36"/>
        <v>13.984831045046599</v>
      </c>
      <c r="H250">
        <f t="shared" si="37"/>
        <v>9.3460641167351692</v>
      </c>
      <c r="I250">
        <f t="shared" si="38"/>
        <v>13.9848141293299</v>
      </c>
      <c r="J250">
        <f t="shared" si="39"/>
        <v>9.3453492071840003</v>
      </c>
      <c r="K250" s="7">
        <f t="shared" si="40"/>
        <v>1.6915716699372799E-5</v>
      </c>
      <c r="L250" s="7">
        <f t="shared" si="41"/>
        <v>7.1490955116892995E-4</v>
      </c>
      <c r="M250" s="7">
        <f t="shared" si="42"/>
        <v>4.94319237774999E-2</v>
      </c>
      <c r="N250" s="7">
        <f t="shared" si="43"/>
        <v>-3.3032873044396602E-2</v>
      </c>
      <c r="O250">
        <v>-3.2488242999999999</v>
      </c>
      <c r="P250">
        <v>-6.2793473999999998</v>
      </c>
      <c r="Q250">
        <v>-5.5401445000000002</v>
      </c>
      <c r="R250">
        <v>-4.4981954000000002</v>
      </c>
      <c r="S250">
        <f t="shared" si="44"/>
        <v>1.0093778410547847</v>
      </c>
      <c r="T250">
        <f t="shared" si="45"/>
        <v>-23.569653355097024</v>
      </c>
    </row>
    <row r="251" spans="1:20" x14ac:dyDescent="0.35">
      <c r="A251">
        <v>1.2875000000000001</v>
      </c>
      <c r="B251">
        <v>16.903200000000002</v>
      </c>
      <c r="C251">
        <v>-2.3520709000000001E-2</v>
      </c>
      <c r="D251">
        <v>1.7033908E-2</v>
      </c>
      <c r="E251">
        <v>0.97652181999999998</v>
      </c>
      <c r="F251">
        <v>1.5612401999999999E-2</v>
      </c>
      <c r="G251">
        <f t="shared" si="36"/>
        <v>13.8522098756447</v>
      </c>
      <c r="H251">
        <f t="shared" si="37"/>
        <v>9.9696771493699092</v>
      </c>
      <c r="I251">
        <f t="shared" si="38"/>
        <v>13.852231644829899</v>
      </c>
      <c r="J251">
        <f t="shared" si="39"/>
        <v>9.9689664269555909</v>
      </c>
      <c r="K251" s="7">
        <f t="shared" si="40"/>
        <v>-2.1769185199360701E-5</v>
      </c>
      <c r="L251" s="7">
        <f t="shared" si="41"/>
        <v>7.1072241431835404E-4</v>
      </c>
      <c r="M251" s="7">
        <f t="shared" si="42"/>
        <v>4.7558924149292497E-2</v>
      </c>
      <c r="N251" s="7">
        <f t="shared" si="43"/>
        <v>-3.4226493629521397E-2</v>
      </c>
      <c r="O251">
        <v>-3.3982519</v>
      </c>
      <c r="P251">
        <v>-6.0516968000000002</v>
      </c>
      <c r="Q251">
        <v>-5.5914418000000001</v>
      </c>
      <c r="R251">
        <v>-4.2301802000000004</v>
      </c>
      <c r="S251">
        <f t="shared" si="44"/>
        <v>1.0101978690246634</v>
      </c>
      <c r="T251">
        <f t="shared" si="45"/>
        <v>-23.575012154515417</v>
      </c>
    </row>
    <row r="252" spans="1:20" x14ac:dyDescent="0.35">
      <c r="A252">
        <v>1.2875000000000001</v>
      </c>
      <c r="B252">
        <v>16.952000000000002</v>
      </c>
      <c r="C252">
        <v>-2.2726448999999999E-2</v>
      </c>
      <c r="D252">
        <v>1.7530058000000001E-2</v>
      </c>
      <c r="E252">
        <v>0.97729977000000001</v>
      </c>
      <c r="F252">
        <v>1.6114869E-2</v>
      </c>
      <c r="G252">
        <f t="shared" si="36"/>
        <v>13.715535443837</v>
      </c>
      <c r="H252">
        <f t="shared" si="37"/>
        <v>10.528987880275601</v>
      </c>
      <c r="I252">
        <f t="shared" si="38"/>
        <v>13.715549053835201</v>
      </c>
      <c r="J252">
        <f t="shared" si="39"/>
        <v>10.5282803046819</v>
      </c>
      <c r="K252" s="7">
        <f t="shared" si="40"/>
        <v>-1.3609998200436699E-5</v>
      </c>
      <c r="L252" s="7">
        <f t="shared" si="41"/>
        <v>7.0757559370093802E-4</v>
      </c>
      <c r="M252" s="7">
        <f t="shared" si="42"/>
        <v>4.5877389818028601E-2</v>
      </c>
      <c r="N252" s="7">
        <f t="shared" si="43"/>
        <v>-3.5216236532383198E-2</v>
      </c>
      <c r="O252">
        <v>-3.5226909000000002</v>
      </c>
      <c r="P252">
        <v>-5.8325760000000004</v>
      </c>
      <c r="Q252">
        <v>-5.6222596999999999</v>
      </c>
      <c r="R252">
        <v>-3.9801742</v>
      </c>
      <c r="S252">
        <f t="shared" si="44"/>
        <v>1.0109601233461278</v>
      </c>
      <c r="T252">
        <f t="shared" si="45"/>
        <v>-23.57347972613891</v>
      </c>
    </row>
    <row r="253" spans="1:20" x14ac:dyDescent="0.35">
      <c r="A253">
        <v>1.2875000000000001</v>
      </c>
      <c r="B253">
        <v>17</v>
      </c>
      <c r="C253">
        <v>-2.2850002000000001E-2</v>
      </c>
      <c r="D253">
        <v>1.7905113E-2</v>
      </c>
      <c r="E253">
        <v>0.97703519000000005</v>
      </c>
      <c r="F253">
        <v>1.671518E-2</v>
      </c>
      <c r="G253">
        <f t="shared" si="36"/>
        <v>13.393570592719399</v>
      </c>
      <c r="H253">
        <f t="shared" si="37"/>
        <v>10.4990527481642</v>
      </c>
      <c r="I253">
        <f t="shared" si="38"/>
        <v>13.39351353947</v>
      </c>
      <c r="J253">
        <f t="shared" si="39"/>
        <v>10.498457713562001</v>
      </c>
      <c r="K253" s="7">
        <f t="shared" si="40"/>
        <v>5.70532493995302E-5</v>
      </c>
      <c r="L253" s="7">
        <f t="shared" si="41"/>
        <v>5.9503460219900695E-4</v>
      </c>
      <c r="M253" s="7">
        <f t="shared" si="42"/>
        <v>4.6247710310089798E-2</v>
      </c>
      <c r="N253" s="7">
        <f t="shared" si="43"/>
        <v>-3.6251102416756803E-2</v>
      </c>
      <c r="O253">
        <v>-3.5953791000000002</v>
      </c>
      <c r="P253">
        <v>-5.8509273999999998</v>
      </c>
      <c r="Q253">
        <v>-5.6658460000000002</v>
      </c>
      <c r="R253">
        <v>-3.9477943</v>
      </c>
      <c r="S253">
        <f t="shared" si="44"/>
        <v>1.0055695966159497</v>
      </c>
      <c r="T253">
        <f t="shared" si="45"/>
        <v>-23.561741604927644</v>
      </c>
    </row>
    <row r="254" spans="1:20" x14ac:dyDescent="0.35">
      <c r="A254">
        <v>1.425</v>
      </c>
      <c r="B254">
        <v>15</v>
      </c>
      <c r="C254">
        <v>-7.6383470999999998E-3</v>
      </c>
      <c r="D254">
        <v>-1.0154366E-2</v>
      </c>
      <c r="E254">
        <v>0.99229741000000005</v>
      </c>
      <c r="F254">
        <v>-1.2339592999999999E-2</v>
      </c>
      <c r="G254">
        <f t="shared" si="36"/>
        <v>20.194026800021401</v>
      </c>
      <c r="H254">
        <f t="shared" si="37"/>
        <v>-30.342465920528198</v>
      </c>
      <c r="I254">
        <f t="shared" si="38"/>
        <v>20.193995871457499</v>
      </c>
      <c r="J254">
        <f t="shared" si="39"/>
        <v>-30.343558602919799</v>
      </c>
      <c r="K254" s="7">
        <f t="shared" si="40"/>
        <v>3.0928563901966299E-5</v>
      </c>
      <c r="L254" s="7">
        <f t="shared" si="41"/>
        <v>1.09268239160087E-3</v>
      </c>
      <c r="M254" s="7">
        <f t="shared" si="42"/>
        <v>1.52002670613021E-2</v>
      </c>
      <c r="N254" s="7">
        <f t="shared" si="43"/>
        <v>2.28399667549977E-2</v>
      </c>
      <c r="O254">
        <v>3.7226148000000001</v>
      </c>
      <c r="P254">
        <v>-1.9842065</v>
      </c>
      <c r="Q254">
        <v>2.5230386999999999</v>
      </c>
      <c r="R254">
        <v>-3.1684139</v>
      </c>
      <c r="S254">
        <f t="shared" si="44"/>
        <v>0.96013923691401593</v>
      </c>
      <c r="T254">
        <f t="shared" si="45"/>
        <v>-23.41110152710807</v>
      </c>
    </row>
    <row r="255" spans="1:20" x14ac:dyDescent="0.35">
      <c r="A255">
        <v>1.425</v>
      </c>
      <c r="B255">
        <v>15.0488</v>
      </c>
      <c r="C255">
        <v>-8.1942926999999995E-3</v>
      </c>
      <c r="D255">
        <v>-1.0538099E-2</v>
      </c>
      <c r="E255">
        <v>0.99181109000000001</v>
      </c>
      <c r="F255">
        <v>-1.2630308E-2</v>
      </c>
      <c r="G255">
        <f t="shared" si="36"/>
        <v>19.847141472997599</v>
      </c>
      <c r="H255">
        <f t="shared" si="37"/>
        <v>-28.773515057064401</v>
      </c>
      <c r="I255">
        <f t="shared" si="38"/>
        <v>19.847145258665002</v>
      </c>
      <c r="J255">
        <f t="shared" si="39"/>
        <v>-28.774561154788799</v>
      </c>
      <c r="K255" s="7">
        <f t="shared" si="40"/>
        <v>-3.7856674026670602E-6</v>
      </c>
      <c r="L255" s="7">
        <f t="shared" si="41"/>
        <v>1.0460977243980101E-3</v>
      </c>
      <c r="M255" s="7">
        <f t="shared" si="42"/>
        <v>1.6243061054235699E-2</v>
      </c>
      <c r="N255" s="7">
        <f t="shared" si="43"/>
        <v>2.3549329012041102E-2</v>
      </c>
      <c r="O255">
        <v>3.8101039999999999</v>
      </c>
      <c r="P255">
        <v>-2.1205555</v>
      </c>
      <c r="Q255">
        <v>2.5507247999999998</v>
      </c>
      <c r="R255">
        <v>-3.3247912999999998</v>
      </c>
      <c r="S255">
        <f t="shared" si="44"/>
        <v>0.96102547205504973</v>
      </c>
      <c r="T255">
        <f t="shared" si="45"/>
        <v>-23.40656866137455</v>
      </c>
    </row>
    <row r="256" spans="1:20" x14ac:dyDescent="0.35">
      <c r="A256">
        <v>1.425</v>
      </c>
      <c r="B256">
        <v>15.0976</v>
      </c>
      <c r="C256">
        <v>-8.7913612000000002E-3</v>
      </c>
      <c r="D256">
        <v>-1.0920828E-2</v>
      </c>
      <c r="E256">
        <v>0.99119742</v>
      </c>
      <c r="F256">
        <v>-1.3069195E-2</v>
      </c>
      <c r="G256">
        <f t="shared" si="36"/>
        <v>19.378635040873299</v>
      </c>
      <c r="H256">
        <f t="shared" si="37"/>
        <v>-27.104751761880699</v>
      </c>
      <c r="I256">
        <f t="shared" si="38"/>
        <v>19.3786305853301</v>
      </c>
      <c r="J256">
        <f t="shared" si="39"/>
        <v>-27.105825956192302</v>
      </c>
      <c r="K256" s="7">
        <f t="shared" si="40"/>
        <v>4.4555431983894803E-6</v>
      </c>
      <c r="L256" s="7">
        <f t="shared" si="41"/>
        <v>1.0741943116023801E-3</v>
      </c>
      <c r="M256" s="7">
        <f t="shared" si="42"/>
        <v>1.7454182607036999E-2</v>
      </c>
      <c r="N256" s="7">
        <f t="shared" si="43"/>
        <v>2.4414007680815902E-2</v>
      </c>
      <c r="O256">
        <v>3.8940245</v>
      </c>
      <c r="P256">
        <v>-2.2679298000000001</v>
      </c>
      <c r="Q256">
        <v>2.5715908999999999</v>
      </c>
      <c r="R256">
        <v>-3.4926314999999999</v>
      </c>
      <c r="S256">
        <f t="shared" si="44"/>
        <v>0.96247660478988029</v>
      </c>
      <c r="T256">
        <f t="shared" si="45"/>
        <v>-23.419071963709328</v>
      </c>
    </row>
    <row r="257" spans="1:20" x14ac:dyDescent="0.35">
      <c r="A257">
        <v>1.425</v>
      </c>
      <c r="B257">
        <v>15.1464</v>
      </c>
      <c r="C257">
        <v>-9.4317318000000008E-3</v>
      </c>
      <c r="D257">
        <v>-1.1298785E-2</v>
      </c>
      <c r="E257">
        <v>0.99058374999999999</v>
      </c>
      <c r="F257">
        <v>-1.3408365E-2</v>
      </c>
      <c r="G257">
        <f t="shared" si="36"/>
        <v>19.017633805111899</v>
      </c>
      <c r="H257">
        <f t="shared" si="37"/>
        <v>-25.5844514489422</v>
      </c>
      <c r="I257">
        <f t="shared" si="38"/>
        <v>19.017642658506901</v>
      </c>
      <c r="J257">
        <f t="shared" si="39"/>
        <v>-25.585506221438798</v>
      </c>
      <c r="K257" s="7">
        <f t="shared" si="40"/>
        <v>-8.8533950020064401E-6</v>
      </c>
      <c r="L257" s="7">
        <f t="shared" si="41"/>
        <v>1.0547724965981301E-3</v>
      </c>
      <c r="M257" s="7">
        <f t="shared" si="42"/>
        <v>1.8712831942070698E-2</v>
      </c>
      <c r="N257" s="7">
        <f t="shared" si="43"/>
        <v>2.5175427189995301E-2</v>
      </c>
      <c r="O257">
        <v>3.9771396999999999</v>
      </c>
      <c r="P257">
        <v>-2.4255447999999999</v>
      </c>
      <c r="Q257">
        <v>2.5882431000000001</v>
      </c>
      <c r="R257">
        <v>-3.6693258000000002</v>
      </c>
      <c r="S257">
        <f t="shared" si="44"/>
        <v>0.9639136511994103</v>
      </c>
      <c r="T257">
        <f t="shared" si="45"/>
        <v>-23.424060943546209</v>
      </c>
    </row>
    <row r="258" spans="1:20" x14ac:dyDescent="0.35">
      <c r="A258">
        <v>1.425</v>
      </c>
      <c r="B258">
        <v>15.1952</v>
      </c>
      <c r="C258">
        <v>-1.0123867E-2</v>
      </c>
      <c r="D258">
        <v>-1.1669011E-2</v>
      </c>
      <c r="E258">
        <v>0.98991651999999997</v>
      </c>
      <c r="F258">
        <v>-1.3723822E-2</v>
      </c>
      <c r="G258">
        <f t="shared" si="36"/>
        <v>18.6878318035956</v>
      </c>
      <c r="H258">
        <f t="shared" si="37"/>
        <v>-24.1111957082807</v>
      </c>
      <c r="I258">
        <f t="shared" si="38"/>
        <v>18.687853052184899</v>
      </c>
      <c r="J258">
        <f t="shared" si="39"/>
        <v>-24.1122230712038</v>
      </c>
      <c r="K258" s="7">
        <f t="shared" si="40"/>
        <v>-2.1248589298750199E-5</v>
      </c>
      <c r="L258" s="7">
        <f t="shared" si="41"/>
        <v>1.02736292310013E-3</v>
      </c>
      <c r="M258" s="7">
        <f t="shared" si="42"/>
        <v>2.0080751290364102E-2</v>
      </c>
      <c r="N258" s="7">
        <f t="shared" si="43"/>
        <v>2.59094264706889E-2</v>
      </c>
      <c r="O258">
        <v>4.0578960999999998</v>
      </c>
      <c r="P258">
        <v>-2.5954874999999999</v>
      </c>
      <c r="Q258">
        <v>2.5980671000000002</v>
      </c>
      <c r="R258">
        <v>-3.8564552999999999</v>
      </c>
      <c r="S258">
        <f t="shared" si="44"/>
        <v>0.96533301380027281</v>
      </c>
      <c r="T258">
        <f t="shared" si="45"/>
        <v>-23.428571132483352</v>
      </c>
    </row>
    <row r="259" spans="1:20" x14ac:dyDescent="0.35">
      <c r="A259">
        <v>1.425</v>
      </c>
      <c r="B259">
        <v>15.244</v>
      </c>
      <c r="C259">
        <v>-1.0871703999999999E-2</v>
      </c>
      <c r="D259">
        <v>-1.2028683E-2</v>
      </c>
      <c r="E259">
        <v>0.98918099000000004</v>
      </c>
      <c r="F259">
        <v>-1.3968917000000001E-2</v>
      </c>
      <c r="G259">
        <f t="shared" ref="G259:G322" si="46">IMREAL(IMDIV(IMSUM(IMPRODUCT(COMPLEX(1 + C259,D259),COMPLEX(1 - C259, - D259)),IMPRODUCT(COMPLEX(E259,F259),COMPLEX(E259,F259))),IMSUB(IMPRODUCT(COMPLEX(1 - C259, - D259),COMPLEX(1 - C259, - D259)),IMPRODUCT(COMPLEX(E259,F259),COMPLEX(E259,F259)))))</f>
        <v>18.421329448455801</v>
      </c>
      <c r="H259">
        <f t="shared" ref="H259:H322" si="47">IMAGINARY(IMDIV(IMSUM(IMPRODUCT(COMPLEX(1 + C259,D259),COMPLEX(1 - C259, - D259)),IMPRODUCT(COMPLEX(E259,F259),COMPLEX(E259,F259))),IMSUB(IMPRODUCT(COMPLEX(1 - C259, - D259),COMPLEX(1 - C259, - D259)),IMPRODUCT(COMPLEX(E259,F259),COMPLEX(E259,F259)))))</f>
        <v>-22.6778606029823</v>
      </c>
      <c r="I259">
        <f t="shared" ref="I259:I322" si="48">IMREAL(IMDIV(IMPRODUCT(COMPLEX(2,0),COMPLEX(E259,F259)),IMSUB(IMPRODUCT(COMPLEX(1 - C259, - D259),COMPLEX(1 - C259, - D259)),IMPRODUCT(COMPLEX(E259,F259),COMPLEX(E259,F259)))))</f>
        <v>18.421356735813401</v>
      </c>
      <c r="J259">
        <f t="shared" ref="J259:J322" si="49">IMAGINARY(IMDIV(IMPRODUCT(COMPLEX(2,0),COMPLEX(E259,F259)),IMSUB(IMPRODUCT(COMPLEX(1 - C259, - D259),COMPLEX(1 - C259, - D259)),IMPRODUCT(COMPLEX(E259,F259),COMPLEX(E259,F259)))))</f>
        <v>-22.678830667952099</v>
      </c>
      <c r="K259" s="7">
        <f t="shared" ref="K259:K322" si="50">IMREAL(IMSUB(COMPLEX(G259,H259),COMPLEX(I259,J259)))</f>
        <v>-2.7287357600158701E-5</v>
      </c>
      <c r="L259" s="7">
        <f t="shared" ref="L259:L322" si="51">IMAGINARY(IMSUB(COMPLEX(G259,H259),COMPLEX(I259,J259)))</f>
        <v>9.7006496979901201E-4</v>
      </c>
      <c r="M259" s="7">
        <f t="shared" ref="M259:M322" si="52">IMREAL(IMDIV(IMSUB(IMPRODUCT(COMPLEX(1 - C259, - D259),COMPLEX(1 - C259, - D259)),IMPRODUCT(COMPLEX(E259,F259),COMPLEX(E259,F259))),IMPRODUCT(COMPLEX(2,0),COMPLEX(E259,F259))))</f>
        <v>2.15788686225366E-2</v>
      </c>
      <c r="N259" s="7">
        <f t="shared" ref="N259:N322" si="53">IMAGINARY(IMDIV(IMSUB(IMPRODUCT(COMPLEX(1 - C259, - D259),COMPLEX(1 - C259, - D259)),IMPRODUCT(COMPLEX(E259,F259),COMPLEX(E259,F259))),IMPRODUCT(COMPLEX(2,0),COMPLEX(E259,F259))))</f>
        <v>2.6566094697306902E-2</v>
      </c>
      <c r="O259">
        <v>4.1356599000000003</v>
      </c>
      <c r="P259">
        <v>-2.7778678000000001</v>
      </c>
      <c r="Q259">
        <v>2.6007311</v>
      </c>
      <c r="R259">
        <v>-4.0536418999999997</v>
      </c>
      <c r="S259">
        <f t="shared" ref="S259:S322" si="54">IMABS(COMPLEX(Q259,R259))/IMABS(COMPLEX(O259,P259))</f>
        <v>0.96672265463208495</v>
      </c>
      <c r="T259">
        <f t="shared" ref="T259:T322" si="55">IMARGUMENT(IMDIV(COMPLEX(Q259,R259),COMPLEX(O259/B259,P259/B259)))/PI()*180</f>
        <v>-23.427892654460024</v>
      </c>
    </row>
    <row r="260" spans="1:20" x14ac:dyDescent="0.35">
      <c r="A260">
        <v>1.425</v>
      </c>
      <c r="B260">
        <v>15.2928</v>
      </c>
      <c r="C260">
        <v>-1.1681056E-2</v>
      </c>
      <c r="D260">
        <v>-1.2370533E-2</v>
      </c>
      <c r="E260">
        <v>0.98832516999999998</v>
      </c>
      <c r="F260">
        <v>-1.424391E-2</v>
      </c>
      <c r="G260">
        <f t="shared" si="46"/>
        <v>18.127691354067</v>
      </c>
      <c r="H260">
        <f t="shared" si="47"/>
        <v>-21.226115949868198</v>
      </c>
      <c r="I260">
        <f t="shared" si="48"/>
        <v>18.127695344433601</v>
      </c>
      <c r="J260">
        <f t="shared" si="49"/>
        <v>-21.227052631714599</v>
      </c>
      <c r="K260" s="7">
        <f t="shared" si="50"/>
        <v>-3.9903666007035099E-6</v>
      </c>
      <c r="L260" s="7">
        <f t="shared" si="51"/>
        <v>9.3668184640094399E-4</v>
      </c>
      <c r="M260" s="7">
        <f t="shared" si="52"/>
        <v>2.3264463178413099E-2</v>
      </c>
      <c r="N260" s="7">
        <f t="shared" si="53"/>
        <v>2.7242072141751901E-2</v>
      </c>
      <c r="O260">
        <v>4.2076741999999996</v>
      </c>
      <c r="P260">
        <v>-2.9752651000000001</v>
      </c>
      <c r="Q260">
        <v>2.5919015000000001</v>
      </c>
      <c r="R260">
        <v>-4.2625719999999996</v>
      </c>
      <c r="S260">
        <f t="shared" si="54"/>
        <v>0.96806194906570819</v>
      </c>
      <c r="T260">
        <f t="shared" si="55"/>
        <v>-23.433569308258178</v>
      </c>
    </row>
    <row r="261" spans="1:20" x14ac:dyDescent="0.35">
      <c r="A261">
        <v>1.425</v>
      </c>
      <c r="B261">
        <v>15.3416</v>
      </c>
      <c r="C261">
        <v>-1.2554235E-2</v>
      </c>
      <c r="D261">
        <v>-1.2689905E-2</v>
      </c>
      <c r="E261">
        <v>0.98737048999999999</v>
      </c>
      <c r="F261">
        <v>-1.4511141E-2</v>
      </c>
      <c r="G261">
        <f t="shared" si="46"/>
        <v>17.827226508203001</v>
      </c>
      <c r="H261">
        <f t="shared" si="47"/>
        <v>-19.794822550529901</v>
      </c>
      <c r="I261">
        <f t="shared" si="48"/>
        <v>17.827189698604499</v>
      </c>
      <c r="J261">
        <f t="shared" si="49"/>
        <v>-19.7957332363254</v>
      </c>
      <c r="K261" s="7">
        <f t="shared" si="50"/>
        <v>3.6809598501719199E-5</v>
      </c>
      <c r="L261" s="7">
        <f t="shared" si="51"/>
        <v>9.1068579549968799E-4</v>
      </c>
      <c r="M261" s="7">
        <f t="shared" si="52"/>
        <v>2.5120048551660501E-2</v>
      </c>
      <c r="N261" s="7">
        <f t="shared" si="53"/>
        <v>2.7893896257307399E-2</v>
      </c>
      <c r="O261">
        <v>4.2732332</v>
      </c>
      <c r="P261">
        <v>-3.1878524000000001</v>
      </c>
      <c r="Q261">
        <v>2.5713219</v>
      </c>
      <c r="R261">
        <v>-4.4830781999999996</v>
      </c>
      <c r="S261">
        <f t="shared" si="54"/>
        <v>0.96939329420420117</v>
      </c>
      <c r="T261">
        <f t="shared" si="55"/>
        <v>-23.4399547376428</v>
      </c>
    </row>
    <row r="262" spans="1:20" x14ac:dyDescent="0.35">
      <c r="A262">
        <v>1.425</v>
      </c>
      <c r="B262">
        <v>15.3904</v>
      </c>
      <c r="C262">
        <v>-1.3495277999999999E-2</v>
      </c>
      <c r="D262">
        <v>-1.2979823E-2</v>
      </c>
      <c r="E262">
        <v>0.98636584000000005</v>
      </c>
      <c r="F262">
        <v>-1.4790999000000001E-2</v>
      </c>
      <c r="G262">
        <f t="shared" si="46"/>
        <v>17.499628737274399</v>
      </c>
      <c r="H262">
        <f t="shared" si="47"/>
        <v>-18.424681229735501</v>
      </c>
      <c r="I262">
        <f t="shared" si="48"/>
        <v>17.499560111711801</v>
      </c>
      <c r="J262">
        <f t="shared" si="49"/>
        <v>-18.425586942775599</v>
      </c>
      <c r="K262" s="7">
        <f t="shared" si="50"/>
        <v>6.8625562597901494E-5</v>
      </c>
      <c r="L262" s="7">
        <f t="shared" si="51"/>
        <v>9.0571304009756702E-4</v>
      </c>
      <c r="M262" s="7">
        <f t="shared" si="52"/>
        <v>2.7100141314644399E-2</v>
      </c>
      <c r="N262" s="7">
        <f t="shared" si="53"/>
        <v>2.8534203532367599E-2</v>
      </c>
      <c r="O262">
        <v>4.3310767999999999</v>
      </c>
      <c r="P262">
        <v>-3.4167903000000002</v>
      </c>
      <c r="Q262">
        <v>2.5375154000000002</v>
      </c>
      <c r="R262">
        <v>-4.7158804999999999</v>
      </c>
      <c r="S262">
        <f t="shared" si="54"/>
        <v>0.97075179302335268</v>
      </c>
      <c r="T262">
        <f t="shared" si="55"/>
        <v>-23.446306878113255</v>
      </c>
    </row>
    <row r="263" spans="1:20" x14ac:dyDescent="0.35">
      <c r="A263">
        <v>1.425</v>
      </c>
      <c r="B263">
        <v>15.4392</v>
      </c>
      <c r="C263">
        <v>-1.4507875999999999E-2</v>
      </c>
      <c r="D263">
        <v>-1.3230923E-2</v>
      </c>
      <c r="E263">
        <v>0.98549337999999997</v>
      </c>
      <c r="F263">
        <v>-1.515031E-2</v>
      </c>
      <c r="G263">
        <f t="shared" si="46"/>
        <v>17.112986004711502</v>
      </c>
      <c r="H263">
        <f t="shared" si="47"/>
        <v>-17.228090369915002</v>
      </c>
      <c r="I263">
        <f t="shared" si="48"/>
        <v>17.112987553720099</v>
      </c>
      <c r="J263">
        <f t="shared" si="49"/>
        <v>-17.2290500613258</v>
      </c>
      <c r="K263" s="7">
        <f t="shared" si="50"/>
        <v>-1.5490085978342401E-6</v>
      </c>
      <c r="L263" s="7">
        <f t="shared" si="51"/>
        <v>9.5969141079876895E-4</v>
      </c>
      <c r="M263" s="7">
        <f t="shared" si="52"/>
        <v>2.9020089710324E-2</v>
      </c>
      <c r="N263" s="7">
        <f t="shared" si="53"/>
        <v>2.9216907733603002E-2</v>
      </c>
      <c r="O263">
        <v>4.3776042999999998</v>
      </c>
      <c r="P263">
        <v>-3.6649573000000002</v>
      </c>
      <c r="Q263">
        <v>2.4846146</v>
      </c>
      <c r="R263">
        <v>-4.9628556000000001</v>
      </c>
      <c r="S263">
        <f t="shared" si="54"/>
        <v>0.97212147554630601</v>
      </c>
      <c r="T263">
        <f t="shared" si="55"/>
        <v>-23.469245893527521</v>
      </c>
    </row>
    <row r="264" spans="1:20" x14ac:dyDescent="0.35">
      <c r="A264">
        <v>1.425</v>
      </c>
      <c r="B264">
        <v>15.488</v>
      </c>
      <c r="C264">
        <v>-1.5593933000000001E-2</v>
      </c>
      <c r="D264">
        <v>-1.3434112999999999E-2</v>
      </c>
      <c r="E264">
        <v>0.98441824</v>
      </c>
      <c r="F264">
        <v>-1.5344402E-2</v>
      </c>
      <c r="G264">
        <f t="shared" si="46"/>
        <v>16.818606333588299</v>
      </c>
      <c r="H264">
        <f t="shared" si="47"/>
        <v>-15.986460490421599</v>
      </c>
      <c r="I264">
        <f t="shared" si="48"/>
        <v>16.818613332334699</v>
      </c>
      <c r="J264">
        <f t="shared" si="49"/>
        <v>-15.9874156224234</v>
      </c>
      <c r="K264" s="7">
        <f t="shared" si="50"/>
        <v>-6.9987464001997102E-6</v>
      </c>
      <c r="L264" s="7">
        <f t="shared" si="51"/>
        <v>9.5513200180086201E-4</v>
      </c>
      <c r="M264" s="7">
        <f t="shared" si="52"/>
        <v>3.1234470499465601E-2</v>
      </c>
      <c r="N264" s="7">
        <f t="shared" si="53"/>
        <v>2.9690822409314501E-2</v>
      </c>
      <c r="O264">
        <v>4.4135884000000001</v>
      </c>
      <c r="P264">
        <v>-3.9279383999999999</v>
      </c>
      <c r="Q264">
        <v>2.4179510999999998</v>
      </c>
      <c r="R264">
        <v>-5.2188014999999996</v>
      </c>
      <c r="S264">
        <f t="shared" si="54"/>
        <v>0.97349335013351945</v>
      </c>
      <c r="T264">
        <f t="shared" si="55"/>
        <v>-23.473026377589871</v>
      </c>
    </row>
    <row r="265" spans="1:20" x14ac:dyDescent="0.35">
      <c r="A265">
        <v>1.425</v>
      </c>
      <c r="B265">
        <v>15.536799999999999</v>
      </c>
      <c r="C265">
        <v>-1.6754494000000002E-2</v>
      </c>
      <c r="D265">
        <v>-1.3577353E-2</v>
      </c>
      <c r="E265">
        <v>0.98325655999999995</v>
      </c>
      <c r="F265">
        <v>-1.5474363999999999E-2</v>
      </c>
      <c r="G265">
        <f t="shared" si="46"/>
        <v>16.537633808925801</v>
      </c>
      <c r="H265">
        <f t="shared" si="47"/>
        <v>-14.7757387909726</v>
      </c>
      <c r="I265">
        <f t="shared" si="48"/>
        <v>16.537640235542199</v>
      </c>
      <c r="J265">
        <f t="shared" si="49"/>
        <v>-14.776687285134599</v>
      </c>
      <c r="K265" s="7">
        <f t="shared" si="50"/>
        <v>-6.4266163981585603E-6</v>
      </c>
      <c r="L265" s="7">
        <f t="shared" si="51"/>
        <v>9.48494161999491E-4</v>
      </c>
      <c r="M265" s="7">
        <f t="shared" si="52"/>
        <v>3.3623748933086298E-2</v>
      </c>
      <c r="N265" s="7">
        <f t="shared" si="53"/>
        <v>3.0043441280714601E-2</v>
      </c>
      <c r="O265">
        <v>4.4342030000000001</v>
      </c>
      <c r="P265">
        <v>-4.2080109999999999</v>
      </c>
      <c r="Q265">
        <v>2.3306276000000001</v>
      </c>
      <c r="R265">
        <v>-5.4846639000000001</v>
      </c>
      <c r="S265">
        <f t="shared" si="54"/>
        <v>0.97484862367244041</v>
      </c>
      <c r="T265">
        <f t="shared" si="55"/>
        <v>-23.476901037893708</v>
      </c>
    </row>
    <row r="266" spans="1:20" x14ac:dyDescent="0.35">
      <c r="A266">
        <v>1.425</v>
      </c>
      <c r="B266">
        <v>15.585599999999999</v>
      </c>
      <c r="C266">
        <v>-1.7989326E-2</v>
      </c>
      <c r="D266">
        <v>-1.364801E-2</v>
      </c>
      <c r="E266">
        <v>0.98201961999999998</v>
      </c>
      <c r="F266">
        <v>-1.5529968999999999E-2</v>
      </c>
      <c r="G266">
        <f t="shared" si="46"/>
        <v>16.267729219515399</v>
      </c>
      <c r="H266">
        <f t="shared" si="47"/>
        <v>-13.601212253636801</v>
      </c>
      <c r="I266">
        <f t="shared" si="48"/>
        <v>16.2677345779252</v>
      </c>
      <c r="J266">
        <f t="shared" si="49"/>
        <v>-13.602153223885701</v>
      </c>
      <c r="K266" s="7">
        <f t="shared" si="50"/>
        <v>-5.3584098012038297E-6</v>
      </c>
      <c r="L266" s="7">
        <f t="shared" si="51"/>
        <v>9.4097024889983104E-4</v>
      </c>
      <c r="M266" s="7">
        <f t="shared" si="52"/>
        <v>3.6178035836308499E-2</v>
      </c>
      <c r="N266" s="7">
        <f t="shared" si="53"/>
        <v>3.0250013265673701E-2</v>
      </c>
      <c r="O266">
        <v>4.4364695000000003</v>
      </c>
      <c r="P266">
        <v>-4.5050774999999996</v>
      </c>
      <c r="Q266">
        <v>2.2198893000000002</v>
      </c>
      <c r="R266">
        <v>-5.7592056999999999</v>
      </c>
      <c r="S266">
        <f t="shared" si="54"/>
        <v>0.97618309910368284</v>
      </c>
      <c r="T266">
        <f t="shared" si="55"/>
        <v>-23.481194308870201</v>
      </c>
    </row>
    <row r="267" spans="1:20" x14ac:dyDescent="0.35">
      <c r="A267">
        <v>1.425</v>
      </c>
      <c r="B267">
        <v>15.634399999999999</v>
      </c>
      <c r="C267">
        <v>-1.9296322000000001E-2</v>
      </c>
      <c r="D267">
        <v>-1.3631989000000001E-2</v>
      </c>
      <c r="E267">
        <v>0.98071123999999998</v>
      </c>
      <c r="F267">
        <v>-1.5498835000000001E-2</v>
      </c>
      <c r="G267">
        <f t="shared" si="46"/>
        <v>16.0075957785821</v>
      </c>
      <c r="H267">
        <f t="shared" si="47"/>
        <v>-12.462379297299</v>
      </c>
      <c r="I267">
        <f t="shared" si="48"/>
        <v>16.007600430835701</v>
      </c>
      <c r="J267">
        <f t="shared" si="49"/>
        <v>-12.4633127124272</v>
      </c>
      <c r="K267" s="7">
        <f t="shared" si="50"/>
        <v>-4.6522536010229504E-6</v>
      </c>
      <c r="L267" s="7">
        <f t="shared" si="51"/>
        <v>9.3341512820010997E-4</v>
      </c>
      <c r="M267" s="7">
        <f t="shared" si="52"/>
        <v>3.88932897119331E-2</v>
      </c>
      <c r="N267" s="7">
        <f t="shared" si="53"/>
        <v>3.02818173272923E-2</v>
      </c>
      <c r="O267">
        <v>4.4213864999999997</v>
      </c>
      <c r="P267">
        <v>-4.8232276000000001</v>
      </c>
      <c r="Q267">
        <v>2.0829995000000001</v>
      </c>
      <c r="R267">
        <v>-6.0407884999999997</v>
      </c>
      <c r="S267">
        <f t="shared" si="54"/>
        <v>0.97657605210387433</v>
      </c>
      <c r="T267">
        <f t="shared" si="55"/>
        <v>-23.485714183964237</v>
      </c>
    </row>
    <row r="268" spans="1:20" x14ac:dyDescent="0.35">
      <c r="A268">
        <v>1.425</v>
      </c>
      <c r="B268">
        <v>15.683199999999999</v>
      </c>
      <c r="C268">
        <v>-2.067248E-2</v>
      </c>
      <c r="D268">
        <v>-1.3513549E-2</v>
      </c>
      <c r="E268">
        <v>0.97933501000000001</v>
      </c>
      <c r="F268">
        <v>-1.5365764000000001E-2</v>
      </c>
      <c r="G268">
        <f t="shared" si="46"/>
        <v>15.756664121664899</v>
      </c>
      <c r="H268">
        <f t="shared" si="47"/>
        <v>-11.356820256667399</v>
      </c>
      <c r="I268">
        <f t="shared" si="48"/>
        <v>15.756668724315601</v>
      </c>
      <c r="J268">
        <f t="shared" si="49"/>
        <v>-11.3577463564366</v>
      </c>
      <c r="K268" s="7">
        <f t="shared" si="50"/>
        <v>-4.6026507014573798E-6</v>
      </c>
      <c r="L268" s="7">
        <f t="shared" si="51"/>
        <v>9.2609976920066095E-4</v>
      </c>
      <c r="M268" s="7">
        <f t="shared" si="52"/>
        <v>4.1764854018651799E-2</v>
      </c>
      <c r="N268" s="7">
        <f t="shared" si="53"/>
        <v>3.0105006766146601E-2</v>
      </c>
      <c r="O268">
        <v>4.3725373000000003</v>
      </c>
      <c r="P268">
        <v>-5.1475910000000002</v>
      </c>
      <c r="Q268">
        <v>1.9168276</v>
      </c>
      <c r="R268">
        <v>-6.3262388999999999</v>
      </c>
      <c r="S268">
        <f t="shared" si="54"/>
        <v>0.97871489387198118</v>
      </c>
      <c r="T268">
        <f t="shared" si="55"/>
        <v>-23.489075062746323</v>
      </c>
    </row>
    <row r="269" spans="1:20" x14ac:dyDescent="0.35">
      <c r="A269">
        <v>1.425</v>
      </c>
      <c r="B269">
        <v>15.731999999999999</v>
      </c>
      <c r="C269">
        <v>-2.2108009000000001E-2</v>
      </c>
      <c r="D269">
        <v>-1.3277176999999999E-2</v>
      </c>
      <c r="E269">
        <v>0.97789903</v>
      </c>
      <c r="F269">
        <v>-1.5114914E-2</v>
      </c>
      <c r="G269">
        <f t="shared" si="46"/>
        <v>15.5145835306433</v>
      </c>
      <c r="H269">
        <f t="shared" si="47"/>
        <v>-10.2845004386739</v>
      </c>
      <c r="I269">
        <f t="shared" si="48"/>
        <v>15.5145878944406</v>
      </c>
      <c r="J269">
        <f t="shared" si="49"/>
        <v>-10.285419299930201</v>
      </c>
      <c r="K269" s="7">
        <f t="shared" si="50"/>
        <v>-4.3637973003996001E-6</v>
      </c>
      <c r="L269" s="7">
        <f t="shared" si="51"/>
        <v>9.1886125630047399E-4</v>
      </c>
      <c r="M269" s="7">
        <f t="shared" si="52"/>
        <v>4.47761420520826E-2</v>
      </c>
      <c r="N269" s="7">
        <f t="shared" si="53"/>
        <v>2.9684410489816099E-2</v>
      </c>
      <c r="O269">
        <v>4.2986858999999997</v>
      </c>
      <c r="P269">
        <v>-5.4893520000000002</v>
      </c>
      <c r="Q269">
        <v>1.7189772999999999</v>
      </c>
      <c r="R269">
        <v>-6.6134149999999998</v>
      </c>
      <c r="S269">
        <f t="shared" si="54"/>
        <v>0.98005749092393735</v>
      </c>
      <c r="T269">
        <f t="shared" si="55"/>
        <v>-23.494257216520197</v>
      </c>
    </row>
    <row r="270" spans="1:20" x14ac:dyDescent="0.35">
      <c r="A270">
        <v>1.425</v>
      </c>
      <c r="B270">
        <v>15.780799999999999</v>
      </c>
      <c r="C270">
        <v>-2.359201E-2</v>
      </c>
      <c r="D270">
        <v>-1.2906707999999999E-2</v>
      </c>
      <c r="E270">
        <v>0.97641469000000003</v>
      </c>
      <c r="F270">
        <v>-1.4730119E-2</v>
      </c>
      <c r="G270">
        <f t="shared" si="46"/>
        <v>15.2810378701825</v>
      </c>
      <c r="H270">
        <f t="shared" si="47"/>
        <v>-9.2441954211677508</v>
      </c>
      <c r="I270">
        <f t="shared" si="48"/>
        <v>15.2810420513691</v>
      </c>
      <c r="J270">
        <f t="shared" si="49"/>
        <v>-9.2451071198015402</v>
      </c>
      <c r="K270" s="7">
        <f t="shared" si="50"/>
        <v>-4.1811866005048202E-6</v>
      </c>
      <c r="L270" s="7">
        <f t="shared" si="51"/>
        <v>9.1169863378937099E-4</v>
      </c>
      <c r="M270" s="7">
        <f t="shared" si="52"/>
        <v>4.7905618458678703E-2</v>
      </c>
      <c r="N270" s="7">
        <f t="shared" si="53"/>
        <v>2.8983139553048001E-2</v>
      </c>
      <c r="O270">
        <v>4.1961250999999997</v>
      </c>
      <c r="P270">
        <v>-5.8469388999999996</v>
      </c>
      <c r="Q270">
        <v>1.487087</v>
      </c>
      <c r="R270">
        <v>-6.8967270999999997</v>
      </c>
      <c r="S270">
        <f t="shared" si="54"/>
        <v>0.98032660000921334</v>
      </c>
      <c r="T270">
        <f t="shared" si="55"/>
        <v>-23.497615213936168</v>
      </c>
    </row>
    <row r="271" spans="1:20" x14ac:dyDescent="0.35">
      <c r="A271">
        <v>1.425</v>
      </c>
      <c r="B271">
        <v>15.829599999999999</v>
      </c>
      <c r="C271">
        <v>-2.5109699999999999E-2</v>
      </c>
      <c r="D271">
        <v>-1.2386434999999999E-2</v>
      </c>
      <c r="E271">
        <v>0.97489678000000002</v>
      </c>
      <c r="F271">
        <v>-1.4195684E-2</v>
      </c>
      <c r="G271">
        <f t="shared" si="46"/>
        <v>15.0556838478494</v>
      </c>
      <c r="H271">
        <f t="shared" si="47"/>
        <v>-8.2345416549427206</v>
      </c>
      <c r="I271">
        <f t="shared" si="48"/>
        <v>15.055687906175701</v>
      </c>
      <c r="J271">
        <f t="shared" si="49"/>
        <v>-8.2354462728404894</v>
      </c>
      <c r="K271" s="7">
        <f t="shared" si="50"/>
        <v>-4.05832630079317E-6</v>
      </c>
      <c r="L271" s="7">
        <f t="shared" si="51"/>
        <v>9.0461789776874501E-4</v>
      </c>
      <c r="M271" s="7">
        <f t="shared" si="52"/>
        <v>5.1123519068998098E-2</v>
      </c>
      <c r="N271" s="7">
        <f t="shared" si="53"/>
        <v>2.7964513956122102E-2</v>
      </c>
      <c r="O271">
        <v>4.0501430000000003</v>
      </c>
      <c r="P271">
        <v>-6.2012393000000001</v>
      </c>
      <c r="Q271">
        <v>1.2192145999999999</v>
      </c>
      <c r="R271">
        <v>-7.1727597000000003</v>
      </c>
      <c r="S271">
        <f t="shared" si="54"/>
        <v>0.98230706607079155</v>
      </c>
      <c r="T271">
        <f t="shared" si="55"/>
        <v>-23.502443634271522</v>
      </c>
    </row>
    <row r="272" spans="1:20" x14ac:dyDescent="0.35">
      <c r="A272">
        <v>1.425</v>
      </c>
      <c r="B272">
        <v>15.878399999999999</v>
      </c>
      <c r="C272">
        <v>-2.6641847E-2</v>
      </c>
      <c r="D272">
        <v>-1.1702313000000001E-2</v>
      </c>
      <c r="E272">
        <v>0.97336451999999996</v>
      </c>
      <c r="F272">
        <v>-1.3497565E-2</v>
      </c>
      <c r="G272">
        <f t="shared" si="46"/>
        <v>14.838190933919</v>
      </c>
      <c r="H272">
        <f t="shared" si="47"/>
        <v>-7.2544307478839496</v>
      </c>
      <c r="I272">
        <f t="shared" si="48"/>
        <v>14.8381949231329</v>
      </c>
      <c r="J272">
        <f t="shared" si="49"/>
        <v>-7.2553283674455598</v>
      </c>
      <c r="K272" s="7">
        <f t="shared" si="50"/>
        <v>-3.9892138996577799E-6</v>
      </c>
      <c r="L272" s="7">
        <f t="shared" si="51"/>
        <v>8.97619561610163E-4</v>
      </c>
      <c r="M272" s="7">
        <f t="shared" si="52"/>
        <v>5.43898538406229E-2</v>
      </c>
      <c r="N272" s="7">
        <f t="shared" si="53"/>
        <v>2.6594626335301599E-2</v>
      </c>
      <c r="O272">
        <v>3.8703128000000002</v>
      </c>
      <c r="P272">
        <v>-6.5659482999999996</v>
      </c>
      <c r="Q272">
        <v>0.91437288999999999</v>
      </c>
      <c r="R272">
        <v>-7.4345992000000001</v>
      </c>
      <c r="S272">
        <f t="shared" si="54"/>
        <v>0.98279552909909096</v>
      </c>
      <c r="T272">
        <f t="shared" si="55"/>
        <v>-23.505786570582892</v>
      </c>
    </row>
    <row r="273" spans="1:20" x14ac:dyDescent="0.35">
      <c r="A273">
        <v>1.425</v>
      </c>
      <c r="B273">
        <v>15.927199999999999</v>
      </c>
      <c r="C273">
        <v>-2.8164674000000001E-2</v>
      </c>
      <c r="D273">
        <v>-1.0843472E-2</v>
      </c>
      <c r="E273">
        <v>0.97184181000000003</v>
      </c>
      <c r="F273">
        <v>-1.2624962E-2</v>
      </c>
      <c r="G273">
        <f t="shared" si="46"/>
        <v>14.628220864782801</v>
      </c>
      <c r="H273">
        <f t="shared" si="47"/>
        <v>-6.3031350071746797</v>
      </c>
      <c r="I273">
        <f t="shared" si="48"/>
        <v>14.628224900190601</v>
      </c>
      <c r="J273">
        <f t="shared" si="49"/>
        <v>-6.3040257456923996</v>
      </c>
      <c r="K273" s="7">
        <f t="shared" si="50"/>
        <v>-4.03540779991829E-6</v>
      </c>
      <c r="L273" s="7">
        <f t="shared" si="51"/>
        <v>8.9073851771992495E-4</v>
      </c>
      <c r="M273" s="7">
        <f t="shared" si="52"/>
        <v>5.7653697084616901E-2</v>
      </c>
      <c r="N273" s="7">
        <f t="shared" si="53"/>
        <v>2.4845830115111201E-2</v>
      </c>
      <c r="O273">
        <v>3.6440158999999999</v>
      </c>
      <c r="P273">
        <v>-6.9187599999999998</v>
      </c>
      <c r="Q273">
        <v>0.57249996999999997</v>
      </c>
      <c r="R273">
        <v>-7.6772738</v>
      </c>
      <c r="S273">
        <f t="shared" si="54"/>
        <v>0.98450911466403779</v>
      </c>
      <c r="T273">
        <f t="shared" si="55"/>
        <v>-23.510465305283354</v>
      </c>
    </row>
    <row r="274" spans="1:20" x14ac:dyDescent="0.35">
      <c r="A274">
        <v>1.425</v>
      </c>
      <c r="B274">
        <v>15.976000000000001</v>
      </c>
      <c r="C274">
        <v>-2.9651864E-2</v>
      </c>
      <c r="D274">
        <v>-9.8016596999999997E-3</v>
      </c>
      <c r="E274">
        <v>0.97035479999999996</v>
      </c>
      <c r="F274">
        <v>-1.1569645999999999E-2</v>
      </c>
      <c r="G274">
        <f t="shared" si="46"/>
        <v>14.4254792051119</v>
      </c>
      <c r="H274">
        <f t="shared" si="47"/>
        <v>-5.3788635110501701</v>
      </c>
      <c r="I274">
        <f t="shared" si="48"/>
        <v>14.4254833185362</v>
      </c>
      <c r="J274">
        <f t="shared" si="49"/>
        <v>-5.37974749761847</v>
      </c>
      <c r="K274" s="7">
        <f t="shared" si="50"/>
        <v>-4.1134242998452902E-6</v>
      </c>
      <c r="L274" s="7">
        <f t="shared" si="51"/>
        <v>8.8398656829990997E-4</v>
      </c>
      <c r="M274" s="7">
        <f t="shared" si="52"/>
        <v>6.0857709274573998E-2</v>
      </c>
      <c r="N274" s="7">
        <f t="shared" si="53"/>
        <v>2.2695884910836E-2</v>
      </c>
      <c r="O274">
        <v>3.3765323999999999</v>
      </c>
      <c r="P274">
        <v>-7.2653160999999997</v>
      </c>
      <c r="Q274">
        <v>0.19466016999999999</v>
      </c>
      <c r="R274">
        <v>-7.8928763000000002</v>
      </c>
      <c r="S274">
        <f t="shared" si="54"/>
        <v>0.98548018012389604</v>
      </c>
      <c r="T274">
        <f t="shared" si="55"/>
        <v>-23.513712245210122</v>
      </c>
    </row>
    <row r="275" spans="1:20" x14ac:dyDescent="0.35">
      <c r="A275">
        <v>1.425</v>
      </c>
      <c r="B275">
        <v>16.024799999999999</v>
      </c>
      <c r="C275">
        <v>-3.1072020999999998E-2</v>
      </c>
      <c r="D275">
        <v>-8.5760396999999995E-3</v>
      </c>
      <c r="E275">
        <v>0.96893494000000002</v>
      </c>
      <c r="F275">
        <v>-1.0330722000000001E-2</v>
      </c>
      <c r="G275">
        <f t="shared" si="46"/>
        <v>14.229721512492199</v>
      </c>
      <c r="H275">
        <f t="shared" si="47"/>
        <v>-4.48144831947518</v>
      </c>
      <c r="I275">
        <f t="shared" si="48"/>
        <v>14.229725762698999</v>
      </c>
      <c r="J275">
        <f t="shared" si="49"/>
        <v>-4.4823256538427501</v>
      </c>
      <c r="K275" s="7">
        <f t="shared" si="50"/>
        <v>-4.2502067998384501E-6</v>
      </c>
      <c r="L275" s="7">
        <f t="shared" si="51"/>
        <v>8.7733436757009297E-4</v>
      </c>
      <c r="M275" s="7">
        <f t="shared" si="52"/>
        <v>6.3931888966645298E-2</v>
      </c>
      <c r="N275" s="7">
        <f t="shared" si="53"/>
        <v>2.0138374469942499E-2</v>
      </c>
      <c r="O275">
        <v>3.0657366000000001</v>
      </c>
      <c r="P275">
        <v>-7.5943801000000004</v>
      </c>
      <c r="Q275">
        <v>-0.21639470999999999</v>
      </c>
      <c r="R275">
        <v>-8.0759165999999993</v>
      </c>
      <c r="S275">
        <f t="shared" si="54"/>
        <v>0.98644454802234827</v>
      </c>
      <c r="T275">
        <f t="shared" si="55"/>
        <v>-23.518062904018855</v>
      </c>
    </row>
    <row r="276" spans="1:20" x14ac:dyDescent="0.35">
      <c r="A276">
        <v>1.425</v>
      </c>
      <c r="B276">
        <v>16.073599999999999</v>
      </c>
      <c r="C276">
        <v>-3.2393154E-2</v>
      </c>
      <c r="D276">
        <v>-7.1713408999999999E-3</v>
      </c>
      <c r="E276">
        <v>0.96761430000000004</v>
      </c>
      <c r="F276">
        <v>-8.9130049000000003E-3</v>
      </c>
      <c r="G276">
        <f t="shared" si="46"/>
        <v>14.0406857985855</v>
      </c>
      <c r="H276">
        <f t="shared" si="47"/>
        <v>-3.6099627373387602</v>
      </c>
      <c r="I276">
        <f t="shared" si="48"/>
        <v>14.0406902839109</v>
      </c>
      <c r="J276">
        <f t="shared" si="49"/>
        <v>-3.6108335621872301</v>
      </c>
      <c r="K276" s="7">
        <f t="shared" si="50"/>
        <v>-4.4853253999832498E-6</v>
      </c>
      <c r="L276" s="7">
        <f t="shared" si="51"/>
        <v>8.7082484846989804E-4</v>
      </c>
      <c r="M276" s="7">
        <f t="shared" si="52"/>
        <v>6.6803455272407497E-2</v>
      </c>
      <c r="N276" s="7">
        <f t="shared" si="53"/>
        <v>1.7179793406887599E-2</v>
      </c>
      <c r="O276">
        <v>2.7117296</v>
      </c>
      <c r="P276">
        <v>-7.8945835999999998</v>
      </c>
      <c r="Q276">
        <v>-0.65620111000000003</v>
      </c>
      <c r="R276">
        <v>-8.2191031999999993</v>
      </c>
      <c r="S276">
        <f t="shared" si="54"/>
        <v>0.98777166978386688</v>
      </c>
      <c r="T276">
        <f t="shared" si="55"/>
        <v>-23.521936329725843</v>
      </c>
    </row>
    <row r="277" spans="1:20" x14ac:dyDescent="0.35">
      <c r="A277">
        <v>1.425</v>
      </c>
      <c r="B277">
        <v>16.122399999999999</v>
      </c>
      <c r="C277">
        <v>-3.3583160000000001E-2</v>
      </c>
      <c r="D277">
        <v>-5.5996867000000002E-3</v>
      </c>
      <c r="E277">
        <v>0.96642505999999995</v>
      </c>
      <c r="F277">
        <v>-7.3286397000000003E-3</v>
      </c>
      <c r="G277">
        <f t="shared" si="46"/>
        <v>13.8581428906589</v>
      </c>
      <c r="H277">
        <f t="shared" si="47"/>
        <v>-2.7635945797646899</v>
      </c>
      <c r="I277">
        <f t="shared" si="48"/>
        <v>13.8581477479519</v>
      </c>
      <c r="J277">
        <f t="shared" si="49"/>
        <v>-2.7644590485127098</v>
      </c>
      <c r="K277" s="7">
        <f t="shared" si="50"/>
        <v>-4.85729299981585E-6</v>
      </c>
      <c r="L277" s="7">
        <f t="shared" si="51"/>
        <v>8.6446874801993101E-4</v>
      </c>
      <c r="M277" s="7">
        <f t="shared" si="52"/>
        <v>6.9398134839623205E-2</v>
      </c>
      <c r="N277" s="7">
        <f t="shared" si="53"/>
        <v>1.3843718893504799E-2</v>
      </c>
      <c r="O277">
        <v>2.3197047999999998</v>
      </c>
      <c r="P277">
        <v>-8.1631608999999994</v>
      </c>
      <c r="Q277">
        <v>-1.1188596</v>
      </c>
      <c r="R277">
        <v>-8.3166697000000003</v>
      </c>
      <c r="S277">
        <f t="shared" si="54"/>
        <v>0.98883362993867951</v>
      </c>
      <c r="T277">
        <f t="shared" si="55"/>
        <v>-23.525546414110757</v>
      </c>
    </row>
    <row r="278" spans="1:20" x14ac:dyDescent="0.35">
      <c r="A278">
        <v>1.425</v>
      </c>
      <c r="B278">
        <v>16.171199999999999</v>
      </c>
      <c r="C278">
        <v>-3.4611981999999999E-2</v>
      </c>
      <c r="D278">
        <v>-3.8807106000000001E-3</v>
      </c>
      <c r="E278">
        <v>0.96539733999999999</v>
      </c>
      <c r="F278">
        <v>-5.5972471000000001E-3</v>
      </c>
      <c r="G278">
        <f t="shared" si="46"/>
        <v>13.681877315404</v>
      </c>
      <c r="H278">
        <f t="shared" si="47"/>
        <v>-1.9415769977541699</v>
      </c>
      <c r="I278">
        <f t="shared" si="48"/>
        <v>13.681882712995799</v>
      </c>
      <c r="J278">
        <f t="shared" si="49"/>
        <v>-1.94243525737124</v>
      </c>
      <c r="K278" s="7">
        <f t="shared" si="50"/>
        <v>-5.3975917992943298E-6</v>
      </c>
      <c r="L278" s="7">
        <f t="shared" si="51"/>
        <v>8.5825961707009001E-4</v>
      </c>
      <c r="M278" s="7">
        <f t="shared" si="52"/>
        <v>7.1645283805140597E-2</v>
      </c>
      <c r="N278" s="7">
        <f t="shared" si="53"/>
        <v>1.01715771291685E-2</v>
      </c>
      <c r="O278">
        <v>1.8939573000000001</v>
      </c>
      <c r="P278">
        <v>-8.3911239999999996</v>
      </c>
      <c r="Q278">
        <v>-1.5970504000000001</v>
      </c>
      <c r="R278">
        <v>-8.3642316999999995</v>
      </c>
      <c r="S278">
        <f t="shared" si="54"/>
        <v>0.98990080180920814</v>
      </c>
      <c r="T278">
        <f t="shared" si="55"/>
        <v>-23.528909848770365</v>
      </c>
    </row>
    <row r="279" spans="1:20" x14ac:dyDescent="0.35">
      <c r="A279">
        <v>1.425</v>
      </c>
      <c r="B279">
        <v>16.22</v>
      </c>
      <c r="C279">
        <v>-3.5454663999999997E-2</v>
      </c>
      <c r="D279">
        <v>-2.0355368E-3</v>
      </c>
      <c r="E279">
        <v>0.96455354999999998</v>
      </c>
      <c r="F279">
        <v>-3.739343E-3</v>
      </c>
      <c r="G279">
        <f t="shared" si="46"/>
        <v>13.5111971100149</v>
      </c>
      <c r="H279">
        <f t="shared" si="47"/>
        <v>-1.1407831046094301</v>
      </c>
      <c r="I279">
        <f t="shared" si="48"/>
        <v>13.511201942727499</v>
      </c>
      <c r="J279">
        <f t="shared" si="49"/>
        <v>-1.1416350000936899</v>
      </c>
      <c r="K279" s="7">
        <f t="shared" si="50"/>
        <v>-4.8327125998781597E-6</v>
      </c>
      <c r="L279" s="7">
        <f t="shared" si="51"/>
        <v>8.5189548425979001E-4</v>
      </c>
      <c r="M279" s="7">
        <f t="shared" si="52"/>
        <v>7.3487994264253897E-2</v>
      </c>
      <c r="N279" s="7">
        <f t="shared" si="53"/>
        <v>6.2094006657871697E-3</v>
      </c>
      <c r="O279">
        <v>1.4397616</v>
      </c>
      <c r="P279">
        <v>-8.5720758999999997</v>
      </c>
      <c r="Q279">
        <v>-2.0838969999999999</v>
      </c>
      <c r="R279">
        <v>-8.3590128000000004</v>
      </c>
      <c r="S279">
        <f t="shared" si="54"/>
        <v>0.99110793862788904</v>
      </c>
      <c r="T279">
        <f t="shared" si="55"/>
        <v>-23.532836960176727</v>
      </c>
    </row>
    <row r="280" spans="1:20" x14ac:dyDescent="0.35">
      <c r="A280">
        <v>1.425</v>
      </c>
      <c r="B280">
        <v>16.268799999999999</v>
      </c>
      <c r="C280">
        <v>-3.6089265000000002E-2</v>
      </c>
      <c r="D280">
        <v>-1.0629121E-4</v>
      </c>
      <c r="E280">
        <v>0.96392012000000005</v>
      </c>
      <c r="F280">
        <v>-1.7979038000000001E-3</v>
      </c>
      <c r="G280">
        <f t="shared" si="46"/>
        <v>13.3466946241172</v>
      </c>
      <c r="H280">
        <f t="shared" si="47"/>
        <v>-0.36492453536393599</v>
      </c>
      <c r="I280">
        <f t="shared" si="48"/>
        <v>13.346700031972899</v>
      </c>
      <c r="J280">
        <f t="shared" si="49"/>
        <v>-0.36577033311603202</v>
      </c>
      <c r="K280" s="7">
        <f t="shared" si="50"/>
        <v>-5.4078556992465101E-6</v>
      </c>
      <c r="L280" s="7">
        <f t="shared" si="51"/>
        <v>8.4579775209603402E-4</v>
      </c>
      <c r="M280" s="7">
        <f t="shared" si="52"/>
        <v>7.4868657475721898E-2</v>
      </c>
      <c r="N280" s="7">
        <f t="shared" si="53"/>
        <v>2.0517981013466299E-3</v>
      </c>
      <c r="O280">
        <v>0.96789586999999999</v>
      </c>
      <c r="P280">
        <v>-8.7032858999999991</v>
      </c>
      <c r="Q280">
        <v>-2.5677618</v>
      </c>
      <c r="R280">
        <v>-8.2999202000000007</v>
      </c>
      <c r="S280">
        <f t="shared" si="54"/>
        <v>0.99213213477447326</v>
      </c>
      <c r="T280">
        <f t="shared" si="55"/>
        <v>-23.536407195597228</v>
      </c>
    </row>
    <row r="281" spans="1:20" x14ac:dyDescent="0.35">
      <c r="A281">
        <v>1.425</v>
      </c>
      <c r="B281">
        <v>16.317599999999999</v>
      </c>
      <c r="C281">
        <v>-3.6504517E-2</v>
      </c>
      <c r="D281">
        <v>1.8684286999999999E-3</v>
      </c>
      <c r="E281">
        <v>0.96350599000000003</v>
      </c>
      <c r="F281">
        <v>1.8953266999999999E-4</v>
      </c>
      <c r="G281">
        <f t="shared" si="46"/>
        <v>13.188024622208401</v>
      </c>
      <c r="H281">
        <f t="shared" si="47"/>
        <v>0.38631013644559697</v>
      </c>
      <c r="I281">
        <f t="shared" si="48"/>
        <v>13.1880305803422</v>
      </c>
      <c r="J281">
        <f t="shared" si="49"/>
        <v>0.385470697842131</v>
      </c>
      <c r="K281" s="7">
        <f t="shared" si="50"/>
        <v>-5.9581337996661398E-6</v>
      </c>
      <c r="L281" s="7">
        <f t="shared" si="51"/>
        <v>8.3943860346596998E-4</v>
      </c>
      <c r="M281" s="7">
        <f t="shared" si="52"/>
        <v>7.5761608125184801E-2</v>
      </c>
      <c r="N281" s="7">
        <f t="shared" si="53"/>
        <v>-2.21442312980285E-3</v>
      </c>
      <c r="O281">
        <v>0.48744662999999999</v>
      </c>
      <c r="P281">
        <v>-8.7805034000000006</v>
      </c>
      <c r="Q281">
        <v>-3.0391146</v>
      </c>
      <c r="R281">
        <v>-8.1883938000000001</v>
      </c>
      <c r="S281">
        <f t="shared" si="54"/>
        <v>0.99319573173190501</v>
      </c>
      <c r="T281">
        <f t="shared" si="55"/>
        <v>-23.539854244628007</v>
      </c>
    </row>
    <row r="282" spans="1:20" x14ac:dyDescent="0.35">
      <c r="A282">
        <v>1.425</v>
      </c>
      <c r="B282">
        <v>16.366399999999999</v>
      </c>
      <c r="C282">
        <v>-3.6698192999999997E-2</v>
      </c>
      <c r="D282">
        <v>3.8623512E-3</v>
      </c>
      <c r="E282">
        <v>0.96331403999999998</v>
      </c>
      <c r="F282">
        <v>2.1949777000000001E-3</v>
      </c>
      <c r="G282">
        <f t="shared" si="46"/>
        <v>13.0347007885095</v>
      </c>
      <c r="H282">
        <f t="shared" si="47"/>
        <v>1.1176083775380901</v>
      </c>
      <c r="I282">
        <f t="shared" si="48"/>
        <v>13.034707599992499</v>
      </c>
      <c r="J282">
        <f t="shared" si="49"/>
        <v>1.11677470156591</v>
      </c>
      <c r="K282" s="7">
        <f t="shared" si="50"/>
        <v>-6.8114829989696099E-6</v>
      </c>
      <c r="L282" s="7">
        <f t="shared" si="51"/>
        <v>8.3367597218009205E-4</v>
      </c>
      <c r="M282" s="7">
        <f t="shared" si="52"/>
        <v>7.6159202981273696E-2</v>
      </c>
      <c r="N282" s="7">
        <f t="shared" si="53"/>
        <v>-6.5250923757552296E-3</v>
      </c>
      <c r="O282">
        <v>4.8959466999999998E-3</v>
      </c>
      <c r="P282">
        <v>-8.8024354000000002</v>
      </c>
      <c r="Q282">
        <v>-3.4921198000000002</v>
      </c>
      <c r="R282">
        <v>-8.0269665999999997</v>
      </c>
      <c r="S282">
        <f t="shared" si="54"/>
        <v>0.99446216039815272</v>
      </c>
      <c r="T282">
        <f t="shared" si="55"/>
        <v>-23.543245113831659</v>
      </c>
    </row>
    <row r="283" spans="1:20" x14ac:dyDescent="0.35">
      <c r="A283">
        <v>1.425</v>
      </c>
      <c r="B283">
        <v>16.415199999999999</v>
      </c>
      <c r="C283">
        <v>-3.6674972E-2</v>
      </c>
      <c r="D283">
        <v>5.8315689000000004E-3</v>
      </c>
      <c r="E283">
        <v>0.96333937000000003</v>
      </c>
      <c r="F283">
        <v>4.1759090000000002E-3</v>
      </c>
      <c r="G283">
        <f t="shared" si="46"/>
        <v>12.8866553757245</v>
      </c>
      <c r="H283">
        <f t="shared" si="47"/>
        <v>1.8271759927156801</v>
      </c>
      <c r="I283">
        <f t="shared" si="48"/>
        <v>12.886663231960201</v>
      </c>
      <c r="J283">
        <f t="shared" si="49"/>
        <v>1.8263481752055899</v>
      </c>
      <c r="K283" s="7">
        <f t="shared" si="50"/>
        <v>-7.8562357010980594E-6</v>
      </c>
      <c r="L283" s="7">
        <f t="shared" si="51"/>
        <v>8.2781751009020099E-4</v>
      </c>
      <c r="M283" s="7">
        <f t="shared" si="52"/>
        <v>7.6071657080433897E-2</v>
      </c>
      <c r="N283" s="7">
        <f t="shared" si="53"/>
        <v>-1.07811719444291E-2</v>
      </c>
      <c r="O283">
        <v>-0.46929873</v>
      </c>
      <c r="P283">
        <v>-8.7760622000000001</v>
      </c>
      <c r="Q283">
        <v>-3.9177050000000002</v>
      </c>
      <c r="R283">
        <v>-7.8209504000000001</v>
      </c>
      <c r="S283">
        <f t="shared" si="54"/>
        <v>0.99530334142079679</v>
      </c>
      <c r="T283">
        <f t="shared" si="55"/>
        <v>-23.546439000861746</v>
      </c>
    </row>
    <row r="284" spans="1:20" x14ac:dyDescent="0.35">
      <c r="A284">
        <v>1.425</v>
      </c>
      <c r="B284">
        <v>16.463999999999999</v>
      </c>
      <c r="C284">
        <v>-3.6448563000000003E-2</v>
      </c>
      <c r="D284">
        <v>7.7410277E-3</v>
      </c>
      <c r="E284">
        <v>0.96361929000000002</v>
      </c>
      <c r="F284">
        <v>6.0162554E-3</v>
      </c>
      <c r="G284">
        <f t="shared" si="46"/>
        <v>12.7576602111467</v>
      </c>
      <c r="H284">
        <f t="shared" si="47"/>
        <v>2.5047761298945002</v>
      </c>
      <c r="I284">
        <f t="shared" si="48"/>
        <v>12.757694880129399</v>
      </c>
      <c r="J284">
        <f t="shared" si="49"/>
        <v>2.5039138028982899</v>
      </c>
      <c r="K284" s="7">
        <f t="shared" si="50"/>
        <v>-3.4668982699770401E-5</v>
      </c>
      <c r="L284" s="7">
        <f t="shared" si="51"/>
        <v>8.6232699621024999E-4</v>
      </c>
      <c r="M284" s="7">
        <f t="shared" si="52"/>
        <v>7.5476651697347796E-2</v>
      </c>
      <c r="N284" s="7">
        <f t="shared" si="53"/>
        <v>-1.48135718683703E-2</v>
      </c>
      <c r="O284">
        <v>-0.92723462999999995</v>
      </c>
      <c r="P284">
        <v>-8.6989894000000003</v>
      </c>
      <c r="Q284">
        <v>-4.3100784000000001</v>
      </c>
      <c r="R284">
        <v>-7.5769099999999998</v>
      </c>
      <c r="S284">
        <f t="shared" si="54"/>
        <v>0.99642753928054206</v>
      </c>
      <c r="T284">
        <f t="shared" si="55"/>
        <v>-23.548869975710581</v>
      </c>
    </row>
    <row r="285" spans="1:20" x14ac:dyDescent="0.35">
      <c r="A285">
        <v>1.425</v>
      </c>
      <c r="B285">
        <v>16.512799999999999</v>
      </c>
      <c r="C285">
        <v>-3.6034246999999998E-2</v>
      </c>
      <c r="D285">
        <v>9.5725524999999995E-3</v>
      </c>
      <c r="E285">
        <v>0.96403377999999995</v>
      </c>
      <c r="F285">
        <v>7.8612496999999996E-3</v>
      </c>
      <c r="G285">
        <f t="shared" si="46"/>
        <v>12.6195899968191</v>
      </c>
      <c r="H285">
        <f t="shared" si="47"/>
        <v>3.1771383003040699</v>
      </c>
      <c r="I285">
        <f t="shared" si="48"/>
        <v>12.6196247412263</v>
      </c>
      <c r="J285">
        <f t="shared" si="49"/>
        <v>3.1762827077348699</v>
      </c>
      <c r="K285" s="7">
        <f t="shared" si="50"/>
        <v>-3.4744407200193498E-5</v>
      </c>
      <c r="L285" s="7">
        <f t="shared" si="51"/>
        <v>8.5559256919998095E-4</v>
      </c>
      <c r="M285" s="7">
        <f t="shared" si="52"/>
        <v>7.4520780565083905E-2</v>
      </c>
      <c r="N285" s="7">
        <f t="shared" si="53"/>
        <v>-1.87564267186585E-2</v>
      </c>
      <c r="O285">
        <v>-1.3638235999999999</v>
      </c>
      <c r="P285">
        <v>-8.5786902999999999</v>
      </c>
      <c r="Q285">
        <v>-4.6659259999999998</v>
      </c>
      <c r="R285">
        <v>-7.2999944000000001</v>
      </c>
      <c r="S285">
        <f t="shared" si="54"/>
        <v>0.99739131004399351</v>
      </c>
      <c r="T285">
        <f t="shared" si="55"/>
        <v>-23.552252936567033</v>
      </c>
    </row>
    <row r="286" spans="1:20" x14ac:dyDescent="0.35">
      <c r="A286">
        <v>1.425</v>
      </c>
      <c r="B286">
        <v>16.561599999999999</v>
      </c>
      <c r="C286">
        <v>-3.5459272999999999E-2</v>
      </c>
      <c r="D286">
        <v>1.1287335000000001E-2</v>
      </c>
      <c r="E286">
        <v>0.96461324999999998</v>
      </c>
      <c r="F286">
        <v>9.5922647999999999E-3</v>
      </c>
      <c r="G286">
        <f t="shared" si="46"/>
        <v>12.4870590345558</v>
      </c>
      <c r="H286">
        <f t="shared" si="47"/>
        <v>3.8279495422723699</v>
      </c>
      <c r="I286">
        <f t="shared" si="48"/>
        <v>12.4870960129781</v>
      </c>
      <c r="J286">
        <f t="shared" si="49"/>
        <v>3.82710206924353</v>
      </c>
      <c r="K286" s="7">
        <f t="shared" si="50"/>
        <v>-3.6978422299327503E-5</v>
      </c>
      <c r="L286" s="7">
        <f t="shared" si="51"/>
        <v>8.4747302883991804E-4</v>
      </c>
      <c r="M286" s="7">
        <f t="shared" si="52"/>
        <v>7.3206208030424699E-2</v>
      </c>
      <c r="N286" s="7">
        <f t="shared" si="53"/>
        <v>-2.24365721176106E-2</v>
      </c>
      <c r="O286">
        <v>-1.7706124999999999</v>
      </c>
      <c r="P286">
        <v>-8.4206711999999992</v>
      </c>
      <c r="Q286">
        <v>-4.9802460000000002</v>
      </c>
      <c r="R286">
        <v>-7.0000926999999997</v>
      </c>
      <c r="S286">
        <f t="shared" si="54"/>
        <v>0.99838730630372496</v>
      </c>
      <c r="T286">
        <f t="shared" si="55"/>
        <v>-23.555530763012417</v>
      </c>
    </row>
    <row r="287" spans="1:20" x14ac:dyDescent="0.35">
      <c r="A287">
        <v>1.425</v>
      </c>
      <c r="B287">
        <v>16.610399999999998</v>
      </c>
      <c r="C287">
        <v>-3.4749266000000001E-2</v>
      </c>
      <c r="D287">
        <v>1.2874049E-2</v>
      </c>
      <c r="E287">
        <v>0.96532878</v>
      </c>
      <c r="F287">
        <v>1.1196164E-2</v>
      </c>
      <c r="G287">
        <f t="shared" si="46"/>
        <v>12.359009450444701</v>
      </c>
      <c r="H287">
        <f t="shared" si="47"/>
        <v>4.4590395426423903</v>
      </c>
      <c r="I287">
        <f t="shared" si="48"/>
        <v>12.3590491756636</v>
      </c>
      <c r="J287">
        <f t="shared" si="49"/>
        <v>4.4582006662050402</v>
      </c>
      <c r="K287" s="7">
        <f t="shared" si="50"/>
        <v>-3.9725218899278E-5</v>
      </c>
      <c r="L287" s="7">
        <f t="shared" si="51"/>
        <v>8.3887643735014396E-4</v>
      </c>
      <c r="M287" s="7">
        <f t="shared" si="52"/>
        <v>7.1596171144629697E-2</v>
      </c>
      <c r="N287" s="7">
        <f t="shared" si="53"/>
        <v>-2.58264283407207E-2</v>
      </c>
      <c r="O287">
        <v>-2.1450469000000001</v>
      </c>
      <c r="P287">
        <v>-8.2314147000000002</v>
      </c>
      <c r="Q287">
        <v>-5.2531311000000001</v>
      </c>
      <c r="R287">
        <v>-6.6839639999999996</v>
      </c>
      <c r="S287">
        <f t="shared" si="54"/>
        <v>0.99940103568300243</v>
      </c>
      <c r="T287">
        <f t="shared" si="55"/>
        <v>-23.558862374746479</v>
      </c>
    </row>
    <row r="288" spans="1:20" x14ac:dyDescent="0.35">
      <c r="A288">
        <v>1.425</v>
      </c>
      <c r="B288">
        <v>16.659199999999998</v>
      </c>
      <c r="C288">
        <v>-3.3931623000000001E-2</v>
      </c>
      <c r="D288">
        <v>1.4322283999999999E-2</v>
      </c>
      <c r="E288">
        <v>0.96615273999999995</v>
      </c>
      <c r="F288">
        <v>1.2662230999999999E-2</v>
      </c>
      <c r="G288">
        <f t="shared" si="46"/>
        <v>12.235244807513199</v>
      </c>
      <c r="H288">
        <f t="shared" si="47"/>
        <v>5.0706517201399803</v>
      </c>
      <c r="I288">
        <f t="shared" si="48"/>
        <v>12.2352876760903</v>
      </c>
      <c r="J288">
        <f t="shared" si="49"/>
        <v>5.0698217642308299</v>
      </c>
      <c r="K288" s="7">
        <f t="shared" si="50"/>
        <v>-4.2868577100563203E-5</v>
      </c>
      <c r="L288" s="7">
        <f t="shared" si="51"/>
        <v>8.2995590915047003E-4</v>
      </c>
      <c r="M288" s="7">
        <f t="shared" si="52"/>
        <v>6.9754355675156504E-2</v>
      </c>
      <c r="N288" s="7">
        <f t="shared" si="53"/>
        <v>-2.89034602139253E-2</v>
      </c>
      <c r="O288">
        <v>-2.4849801</v>
      </c>
      <c r="P288">
        <v>-8.0178577000000004</v>
      </c>
      <c r="Q288">
        <v>-5.4850374000000004</v>
      </c>
      <c r="R288">
        <v>-6.3585253000000002</v>
      </c>
      <c r="S288">
        <f t="shared" si="54"/>
        <v>1.0003924163220312</v>
      </c>
      <c r="T288">
        <f t="shared" si="55"/>
        <v>-23.562138708630496</v>
      </c>
    </row>
    <row r="289" spans="1:20" x14ac:dyDescent="0.35">
      <c r="A289">
        <v>1.425</v>
      </c>
      <c r="B289">
        <v>16.707999999999998</v>
      </c>
      <c r="C289">
        <v>-3.3032984000000001E-2</v>
      </c>
      <c r="D289">
        <v>1.5627499E-2</v>
      </c>
      <c r="E289">
        <v>0.96705761000000001</v>
      </c>
      <c r="F289">
        <v>1.3985101999999999E-2</v>
      </c>
      <c r="G289">
        <f t="shared" si="46"/>
        <v>12.1156007928773</v>
      </c>
      <c r="H289">
        <f t="shared" si="47"/>
        <v>5.6628480841310997</v>
      </c>
      <c r="I289">
        <f t="shared" si="48"/>
        <v>12.1156467621005</v>
      </c>
      <c r="J289">
        <f t="shared" si="49"/>
        <v>5.6620269605753997</v>
      </c>
      <c r="K289" s="7">
        <f t="shared" si="50"/>
        <v>-4.5969223199548999E-5</v>
      </c>
      <c r="L289" s="7">
        <f t="shared" si="51"/>
        <v>8.2112355570007601E-4</v>
      </c>
      <c r="M289" s="7">
        <f t="shared" si="52"/>
        <v>6.7742911900086397E-2</v>
      </c>
      <c r="N289" s="7">
        <f t="shared" si="53"/>
        <v>-3.1658416681973001E-2</v>
      </c>
      <c r="O289">
        <v>-2.7898662999999999</v>
      </c>
      <c r="P289">
        <v>-7.7871208000000003</v>
      </c>
      <c r="Q289">
        <v>-5.6776805000000001</v>
      </c>
      <c r="R289">
        <v>-6.0300222999999997</v>
      </c>
      <c r="S289">
        <f t="shared" si="54"/>
        <v>1.0012752306411568</v>
      </c>
      <c r="T289">
        <f t="shared" si="55"/>
        <v>-23.565298660942826</v>
      </c>
    </row>
    <row r="290" spans="1:20" x14ac:dyDescent="0.35">
      <c r="A290">
        <v>1.425</v>
      </c>
      <c r="B290">
        <v>16.756799999999998</v>
      </c>
      <c r="C290">
        <v>-3.2076151999999997E-2</v>
      </c>
      <c r="D290">
        <v>1.6792362000000002E-2</v>
      </c>
      <c r="E290">
        <v>0.96800348000000003</v>
      </c>
      <c r="F290">
        <v>1.5267522E-2</v>
      </c>
      <c r="G290">
        <f t="shared" si="46"/>
        <v>11.9821308481985</v>
      </c>
      <c r="H290">
        <f t="shared" si="47"/>
        <v>6.2460441448398196</v>
      </c>
      <c r="I290">
        <f t="shared" si="48"/>
        <v>11.9821712438277</v>
      </c>
      <c r="J290">
        <f t="shared" si="49"/>
        <v>6.24528178599234</v>
      </c>
      <c r="K290" s="7">
        <f t="shared" si="50"/>
        <v>-4.0395629200773401E-5</v>
      </c>
      <c r="L290" s="7">
        <f t="shared" si="51"/>
        <v>7.6235884747966097E-4</v>
      </c>
      <c r="M290" s="7">
        <f t="shared" si="52"/>
        <v>6.5628412614730805E-2</v>
      </c>
      <c r="N290" s="7">
        <f t="shared" si="53"/>
        <v>-3.4206482415071501E-2</v>
      </c>
      <c r="O290">
        <v>-3.0595176999999998</v>
      </c>
      <c r="P290">
        <v>-7.543533</v>
      </c>
      <c r="Q290">
        <v>-5.8332429000000001</v>
      </c>
      <c r="R290">
        <v>-5.7035178999999996</v>
      </c>
      <c r="S290">
        <f t="shared" si="54"/>
        <v>1.002195568456169</v>
      </c>
      <c r="T290">
        <f t="shared" si="55"/>
        <v>-23.567668611626694</v>
      </c>
    </row>
    <row r="291" spans="1:20" x14ac:dyDescent="0.35">
      <c r="A291">
        <v>1.425</v>
      </c>
      <c r="B291">
        <v>16.805599999999998</v>
      </c>
      <c r="C291">
        <v>-3.108636E-2</v>
      </c>
      <c r="D291">
        <v>1.7815646000000001E-2</v>
      </c>
      <c r="E291">
        <v>0.96901778000000005</v>
      </c>
      <c r="F291">
        <v>1.6315053999999999E-2</v>
      </c>
      <c r="G291">
        <f t="shared" si="46"/>
        <v>11.8706069611237</v>
      </c>
      <c r="H291">
        <f t="shared" si="47"/>
        <v>6.8028244826242101</v>
      </c>
      <c r="I291">
        <f t="shared" si="48"/>
        <v>11.870659591268501</v>
      </c>
      <c r="J291">
        <f t="shared" si="49"/>
        <v>6.8020742651762296</v>
      </c>
      <c r="K291" s="7">
        <f t="shared" si="50"/>
        <v>-5.2630144800502903E-5</v>
      </c>
      <c r="L291" s="7">
        <f t="shared" si="51"/>
        <v>7.5021744798053902E-4</v>
      </c>
      <c r="M291" s="7">
        <f t="shared" si="52"/>
        <v>6.3418156539598897E-2</v>
      </c>
      <c r="N291" s="7">
        <f t="shared" si="53"/>
        <v>-3.6339599095253597E-2</v>
      </c>
      <c r="O291">
        <v>-3.2952894000000001</v>
      </c>
      <c r="P291">
        <v>-7.2941048000000004</v>
      </c>
      <c r="Q291">
        <v>-5.9558834000000003</v>
      </c>
      <c r="R291">
        <v>-5.3843312000000001</v>
      </c>
      <c r="S291">
        <f t="shared" si="54"/>
        <v>1.0031223060837449</v>
      </c>
      <c r="T291">
        <f t="shared" si="55"/>
        <v>-23.573061421034723</v>
      </c>
    </row>
    <row r="292" spans="1:20" x14ac:dyDescent="0.35">
      <c r="A292">
        <v>1.425</v>
      </c>
      <c r="B292">
        <v>16.854399999999998</v>
      </c>
      <c r="C292">
        <v>-3.0083925000000001E-2</v>
      </c>
      <c r="D292">
        <v>1.8709430999999999E-2</v>
      </c>
      <c r="E292">
        <v>0.96999860000000004</v>
      </c>
      <c r="F292">
        <v>1.7194963000000001E-2</v>
      </c>
      <c r="G292">
        <f t="shared" si="46"/>
        <v>11.763862615225101</v>
      </c>
      <c r="H292">
        <f t="shared" si="47"/>
        <v>7.32874547568204</v>
      </c>
      <c r="I292">
        <f t="shared" si="48"/>
        <v>11.7639044493546</v>
      </c>
      <c r="J292">
        <f t="shared" si="49"/>
        <v>7.3279883046030303</v>
      </c>
      <c r="K292" s="7">
        <f t="shared" si="50"/>
        <v>-4.18341294992075E-5</v>
      </c>
      <c r="L292" s="7">
        <f t="shared" si="51"/>
        <v>7.5717107900974401E-4</v>
      </c>
      <c r="M292" s="7">
        <f t="shared" si="52"/>
        <v>6.1241991959317503E-2</v>
      </c>
      <c r="N292" s="7">
        <f t="shared" si="53"/>
        <v>-3.81489498457371E-2</v>
      </c>
      <c r="O292">
        <v>-3.5002284000000001</v>
      </c>
      <c r="P292">
        <v>-7.0422599999999997</v>
      </c>
      <c r="Q292">
        <v>-6.0486636999999996</v>
      </c>
      <c r="R292">
        <v>-5.0747210000000003</v>
      </c>
      <c r="S292">
        <f t="shared" si="54"/>
        <v>1.0039867237739737</v>
      </c>
      <c r="T292">
        <f t="shared" si="55"/>
        <v>-23.575104045052637</v>
      </c>
    </row>
    <row r="293" spans="1:20" x14ac:dyDescent="0.35">
      <c r="A293">
        <v>1.425</v>
      </c>
      <c r="B293">
        <v>16.903200000000002</v>
      </c>
      <c r="C293">
        <v>-2.9086988000000001E-2</v>
      </c>
      <c r="D293">
        <v>1.9479340000000001E-2</v>
      </c>
      <c r="E293">
        <v>0.97092891000000003</v>
      </c>
      <c r="F293">
        <v>1.7962473999999999E-2</v>
      </c>
      <c r="G293">
        <f t="shared" si="46"/>
        <v>11.6561456261927</v>
      </c>
      <c r="H293">
        <f t="shared" si="47"/>
        <v>7.82643396867386</v>
      </c>
      <c r="I293">
        <f t="shared" si="48"/>
        <v>11.6561541503361</v>
      </c>
      <c r="J293">
        <f t="shared" si="49"/>
        <v>7.8256755481675402</v>
      </c>
      <c r="K293" s="7">
        <f t="shared" si="50"/>
        <v>-8.5241434000238297E-6</v>
      </c>
      <c r="L293" s="7">
        <f t="shared" si="51"/>
        <v>7.5842050631980097E-4</v>
      </c>
      <c r="M293" s="7">
        <f t="shared" si="52"/>
        <v>5.9136137319648299E-2</v>
      </c>
      <c r="N293" s="7">
        <f t="shared" si="53"/>
        <v>-3.97026513090602E-2</v>
      </c>
      <c r="O293">
        <v>-3.6751770000000001</v>
      </c>
      <c r="P293">
        <v>-6.7930674</v>
      </c>
      <c r="Q293">
        <v>-6.1145873999999996</v>
      </c>
      <c r="R293">
        <v>-4.7790910999999996</v>
      </c>
      <c r="S293">
        <f t="shared" si="54"/>
        <v>1.0048096756492588</v>
      </c>
      <c r="T293">
        <f t="shared" si="55"/>
        <v>-23.575006164809661</v>
      </c>
    </row>
    <row r="294" spans="1:20" x14ac:dyDescent="0.35">
      <c r="A294">
        <v>1.425</v>
      </c>
      <c r="B294">
        <v>16.952000000000002</v>
      </c>
      <c r="C294">
        <v>-2.8126875999999999E-2</v>
      </c>
      <c r="D294">
        <v>2.0118957999999999E-2</v>
      </c>
      <c r="E294">
        <v>0.97194029999999998</v>
      </c>
      <c r="F294">
        <v>1.8552593999999999E-2</v>
      </c>
      <c r="G294">
        <f t="shared" si="46"/>
        <v>11.5768317011695</v>
      </c>
      <c r="H294">
        <f t="shared" si="47"/>
        <v>8.3125280152358307</v>
      </c>
      <c r="I294">
        <f t="shared" si="48"/>
        <v>11.5768659013532</v>
      </c>
      <c r="J294">
        <f t="shared" si="49"/>
        <v>8.3117448863245205</v>
      </c>
      <c r="K294" s="7">
        <f t="shared" si="50"/>
        <v>-3.4200183700150399E-5</v>
      </c>
      <c r="L294" s="7">
        <f t="shared" si="51"/>
        <v>7.8312891131027097E-4</v>
      </c>
      <c r="M294" s="7">
        <f t="shared" si="52"/>
        <v>5.6998311514972699E-2</v>
      </c>
      <c r="N294" s="7">
        <f t="shared" si="53"/>
        <v>-4.09225975579737E-2</v>
      </c>
      <c r="O294">
        <v>-3.8208942000000001</v>
      </c>
      <c r="P294">
        <v>-6.5544780999999999</v>
      </c>
      <c r="Q294">
        <v>-6.1578122999999998</v>
      </c>
      <c r="R294">
        <v>-4.5039271999999997</v>
      </c>
      <c r="S294">
        <f t="shared" si="54"/>
        <v>1.0055750798682224</v>
      </c>
      <c r="T294">
        <f t="shared" si="55"/>
        <v>-23.577842282680599</v>
      </c>
    </row>
    <row r="295" spans="1:20" x14ac:dyDescent="0.35">
      <c r="A295">
        <v>1.425</v>
      </c>
      <c r="B295">
        <v>17</v>
      </c>
      <c r="C295">
        <v>-2.8232284E-2</v>
      </c>
      <c r="D295">
        <v>2.0530494999999999E-2</v>
      </c>
      <c r="E295">
        <v>0.97161774999999995</v>
      </c>
      <c r="F295">
        <v>1.9043313999999999E-2</v>
      </c>
      <c r="G295">
        <f t="shared" si="46"/>
        <v>11.3656987933071</v>
      </c>
      <c r="H295">
        <f t="shared" si="47"/>
        <v>8.2945216330578795</v>
      </c>
      <c r="I295">
        <f t="shared" si="48"/>
        <v>11.365624357735101</v>
      </c>
      <c r="J295">
        <f t="shared" si="49"/>
        <v>8.2937779314433104</v>
      </c>
      <c r="K295" s="7">
        <f t="shared" si="50"/>
        <v>7.4435571999487097E-5</v>
      </c>
      <c r="L295" s="7">
        <f t="shared" si="51"/>
        <v>7.4370161456904804E-4</v>
      </c>
      <c r="M295" s="7">
        <f t="shared" si="52"/>
        <v>5.7412532738590899E-2</v>
      </c>
      <c r="N295" s="7">
        <f t="shared" si="53"/>
        <v>-4.1895348819224798E-2</v>
      </c>
      <c r="O295">
        <v>-3.8898890000000002</v>
      </c>
      <c r="P295">
        <v>-6.5798259999999997</v>
      </c>
      <c r="Q295">
        <v>-6.2007452000000001</v>
      </c>
      <c r="R295">
        <v>-4.4867248000000002</v>
      </c>
      <c r="S295">
        <f t="shared" si="54"/>
        <v>1.0013221292092178</v>
      </c>
      <c r="T295">
        <f t="shared" si="55"/>
        <v>-23.52040872509604</v>
      </c>
    </row>
    <row r="296" spans="1:20" x14ac:dyDescent="0.35">
      <c r="A296">
        <v>1.5625</v>
      </c>
      <c r="B296">
        <v>15</v>
      </c>
      <c r="C296">
        <v>-9.0281256000000008E-3</v>
      </c>
      <c r="D296">
        <v>-1.2859628E-2</v>
      </c>
      <c r="E296">
        <v>0.99099166999999999</v>
      </c>
      <c r="F296">
        <v>-1.5096837E-2</v>
      </c>
      <c r="G296">
        <f t="shared" si="46"/>
        <v>15.7948896569924</v>
      </c>
      <c r="H296">
        <f t="shared" si="47"/>
        <v>-25.2564911145381</v>
      </c>
      <c r="I296">
        <f t="shared" si="48"/>
        <v>15.7949008059318</v>
      </c>
      <c r="J296">
        <f t="shared" si="49"/>
        <v>-25.2576096954954</v>
      </c>
      <c r="K296" s="7">
        <f t="shared" si="50"/>
        <v>-1.11489394001296E-5</v>
      </c>
      <c r="L296" s="7">
        <f t="shared" si="51"/>
        <v>1.1185809573E-3</v>
      </c>
      <c r="M296" s="7">
        <f t="shared" si="52"/>
        <v>1.77985606139218E-2</v>
      </c>
      <c r="N296" s="7">
        <f t="shared" si="53"/>
        <v>2.8461660041526001E-2</v>
      </c>
      <c r="O296">
        <v>3.9657635</v>
      </c>
      <c r="P296">
        <v>-2.1089386999999999</v>
      </c>
      <c r="Q296">
        <v>2.7329810000000001</v>
      </c>
      <c r="R296">
        <v>-3.4239112999999999</v>
      </c>
      <c r="S296">
        <f t="shared" si="54"/>
        <v>0.9753453025312786</v>
      </c>
      <c r="T296">
        <f t="shared" si="55"/>
        <v>-23.39954583786605</v>
      </c>
    </row>
    <row r="297" spans="1:20" x14ac:dyDescent="0.35">
      <c r="A297">
        <v>1.5625</v>
      </c>
      <c r="B297">
        <v>15.0488</v>
      </c>
      <c r="C297">
        <v>-9.6635855999999999E-3</v>
      </c>
      <c r="D297">
        <v>-1.3332267E-2</v>
      </c>
      <c r="E297">
        <v>0.99035629999999997</v>
      </c>
      <c r="F297">
        <v>-1.550616E-2</v>
      </c>
      <c r="G297">
        <f t="shared" si="46"/>
        <v>15.530272105724899</v>
      </c>
      <c r="H297">
        <f t="shared" si="47"/>
        <v>-23.9431636904926</v>
      </c>
      <c r="I297">
        <f t="shared" si="48"/>
        <v>15.5302832298421</v>
      </c>
      <c r="J297">
        <f t="shared" si="49"/>
        <v>-23.944250614094301</v>
      </c>
      <c r="K297" s="7">
        <f t="shared" si="50"/>
        <v>-1.1124117200722599E-5</v>
      </c>
      <c r="L297" s="7">
        <f t="shared" si="51"/>
        <v>1.0869236017008201E-3</v>
      </c>
      <c r="M297" s="7">
        <f t="shared" si="52"/>
        <v>1.9066865863049301E-2</v>
      </c>
      <c r="N297" s="7">
        <f t="shared" si="53"/>
        <v>2.9396876276725398E-2</v>
      </c>
      <c r="O297">
        <v>4.0548159999999998</v>
      </c>
      <c r="P297">
        <v>-2.2464</v>
      </c>
      <c r="Q297">
        <v>2.7643325000000001</v>
      </c>
      <c r="R297">
        <v>-3.5885288000000002</v>
      </c>
      <c r="S297">
        <f t="shared" si="54"/>
        <v>0.97719768762018411</v>
      </c>
      <c r="T297">
        <f t="shared" si="55"/>
        <v>-23.405251996331181</v>
      </c>
    </row>
    <row r="298" spans="1:20" x14ac:dyDescent="0.35">
      <c r="A298">
        <v>1.5625</v>
      </c>
      <c r="B298">
        <v>15.0976</v>
      </c>
      <c r="C298">
        <v>-1.0352277999999999E-2</v>
      </c>
      <c r="D298">
        <v>-1.3786245000000001E-2</v>
      </c>
      <c r="E298">
        <v>0.98966392999999997</v>
      </c>
      <c r="F298">
        <v>-1.5934182000000002E-2</v>
      </c>
      <c r="G298">
        <f t="shared" si="46"/>
        <v>15.2768322410422</v>
      </c>
      <c r="H298">
        <f t="shared" si="47"/>
        <v>-22.664120854532399</v>
      </c>
      <c r="I298">
        <f t="shared" si="48"/>
        <v>15.2768414983555</v>
      </c>
      <c r="J298">
        <f t="shared" si="49"/>
        <v>-22.665194804386999</v>
      </c>
      <c r="K298" s="7">
        <f t="shared" si="50"/>
        <v>-9.2573132999263003E-6</v>
      </c>
      <c r="L298" s="7">
        <f t="shared" si="51"/>
        <v>1.0739498546001899E-3</v>
      </c>
      <c r="M298" s="7">
        <f t="shared" si="52"/>
        <v>2.0448381514441099E-2</v>
      </c>
      <c r="N298" s="7">
        <f t="shared" si="53"/>
        <v>3.0337851610826999E-2</v>
      </c>
      <c r="O298">
        <v>4.1457040000000003</v>
      </c>
      <c r="P298">
        <v>-2.400023</v>
      </c>
      <c r="Q298">
        <v>2.789161</v>
      </c>
      <c r="R298">
        <v>-3.7663953999999999</v>
      </c>
      <c r="S298">
        <f t="shared" si="54"/>
        <v>0.97837292750502591</v>
      </c>
      <c r="T298">
        <f t="shared" si="55"/>
        <v>-23.411299544289324</v>
      </c>
    </row>
    <row r="299" spans="1:20" x14ac:dyDescent="0.35">
      <c r="A299">
        <v>1.5625</v>
      </c>
      <c r="B299">
        <v>15.1464</v>
      </c>
      <c r="C299">
        <v>-1.1096600999999999E-2</v>
      </c>
      <c r="D299">
        <v>-1.4231644E-2</v>
      </c>
      <c r="E299">
        <v>0.98891832000000002</v>
      </c>
      <c r="F299">
        <v>-1.6360903999999999E-2</v>
      </c>
      <c r="G299">
        <f t="shared" si="46"/>
        <v>15.033396371207401</v>
      </c>
      <c r="H299">
        <f t="shared" si="47"/>
        <v>-21.426119540149799</v>
      </c>
      <c r="I299">
        <f t="shared" si="48"/>
        <v>15.0334049650622</v>
      </c>
      <c r="J299">
        <f t="shared" si="49"/>
        <v>-21.427184153058001</v>
      </c>
      <c r="K299" s="7">
        <f t="shared" si="50"/>
        <v>-8.5938547993435998E-6</v>
      </c>
      <c r="L299" s="7">
        <f t="shared" si="51"/>
        <v>1.0646129082019201E-3</v>
      </c>
      <c r="M299" s="7">
        <f t="shared" si="52"/>
        <v>2.1942492866853201E-2</v>
      </c>
      <c r="N299" s="7">
        <f t="shared" si="53"/>
        <v>3.1274740255311101E-2</v>
      </c>
      <c r="O299">
        <v>4.2360388999999996</v>
      </c>
      <c r="P299">
        <v>-2.5663971000000001</v>
      </c>
      <c r="Q299">
        <v>2.8078854</v>
      </c>
      <c r="R299">
        <v>-3.9549373999999999</v>
      </c>
      <c r="S299">
        <f t="shared" si="54"/>
        <v>0.97930788739694763</v>
      </c>
      <c r="T299">
        <f t="shared" si="55"/>
        <v>-23.416898698954839</v>
      </c>
    </row>
    <row r="300" spans="1:20" x14ac:dyDescent="0.35">
      <c r="A300">
        <v>1.5625</v>
      </c>
      <c r="B300">
        <v>15.1952</v>
      </c>
      <c r="C300">
        <v>-1.1901533000000001E-2</v>
      </c>
      <c r="D300">
        <v>-1.4667998E-2</v>
      </c>
      <c r="E300">
        <v>0.98811223000000004</v>
      </c>
      <c r="F300">
        <v>-1.6781003999999999E-2</v>
      </c>
      <c r="G300">
        <f t="shared" si="46"/>
        <v>14.7988717616273</v>
      </c>
      <c r="H300">
        <f t="shared" si="47"/>
        <v>-20.2242918945486</v>
      </c>
      <c r="I300">
        <f t="shared" si="48"/>
        <v>14.7988797592542</v>
      </c>
      <c r="J300">
        <f t="shared" si="49"/>
        <v>-20.225348381828798</v>
      </c>
      <c r="K300" s="7">
        <f t="shared" si="50"/>
        <v>-7.9976269002912693E-6</v>
      </c>
      <c r="L300" s="7">
        <f t="shared" si="51"/>
        <v>1.0564872801985801E-3</v>
      </c>
      <c r="M300" s="7">
        <f t="shared" si="52"/>
        <v>2.3562410270353201E-2</v>
      </c>
      <c r="N300" s="7">
        <f t="shared" si="53"/>
        <v>3.2202299375766498E-2</v>
      </c>
      <c r="O300">
        <v>4.3219424999999996</v>
      </c>
      <c r="P300">
        <v>-2.7445769000000002</v>
      </c>
      <c r="Q300">
        <v>2.8194626999999999</v>
      </c>
      <c r="R300">
        <v>-4.1548581000000002</v>
      </c>
      <c r="S300">
        <f t="shared" si="54"/>
        <v>0.9807455462100656</v>
      </c>
      <c r="T300">
        <f t="shared" si="55"/>
        <v>-23.422509048538267</v>
      </c>
    </row>
    <row r="301" spans="1:20" x14ac:dyDescent="0.35">
      <c r="A301">
        <v>1.5625</v>
      </c>
      <c r="B301">
        <v>15.244</v>
      </c>
      <c r="C301">
        <v>-1.2771630000000001E-2</v>
      </c>
      <c r="D301">
        <v>-1.5091553000000001E-2</v>
      </c>
      <c r="E301">
        <v>0.98724067999999998</v>
      </c>
      <c r="F301">
        <v>-1.7189342999999999E-2</v>
      </c>
      <c r="G301">
        <f t="shared" si="46"/>
        <v>14.572412820797201</v>
      </c>
      <c r="H301">
        <f t="shared" si="47"/>
        <v>-19.056780823852701</v>
      </c>
      <c r="I301">
        <f t="shared" si="48"/>
        <v>14.5724200759186</v>
      </c>
      <c r="J301">
        <f t="shared" si="49"/>
        <v>-19.057829704787</v>
      </c>
      <c r="K301" s="7">
        <f t="shared" si="50"/>
        <v>-7.2551213996518999E-6</v>
      </c>
      <c r="L301" s="7">
        <f t="shared" si="51"/>
        <v>1.0488809342987799E-3</v>
      </c>
      <c r="M301" s="7">
        <f t="shared" si="52"/>
        <v>2.5318843834738401E-2</v>
      </c>
      <c r="N301" s="7">
        <f t="shared" si="53"/>
        <v>3.3112016508632297E-2</v>
      </c>
      <c r="O301">
        <v>4.4007307000000004</v>
      </c>
      <c r="P301">
        <v>-2.9342030000000001</v>
      </c>
      <c r="Q301">
        <v>2.8224879999999999</v>
      </c>
      <c r="R301">
        <v>-4.3664623999999996</v>
      </c>
      <c r="S301">
        <f t="shared" si="54"/>
        <v>0.98299186651574122</v>
      </c>
      <c r="T301">
        <f t="shared" si="55"/>
        <v>-23.427795243706058</v>
      </c>
    </row>
    <row r="302" spans="1:20" x14ac:dyDescent="0.35">
      <c r="A302">
        <v>1.5625</v>
      </c>
      <c r="B302">
        <v>15.2928</v>
      </c>
      <c r="C302">
        <v>-1.3711408E-2</v>
      </c>
      <c r="D302">
        <v>-1.5496879E-2</v>
      </c>
      <c r="E302">
        <v>0.98629918000000005</v>
      </c>
      <c r="F302">
        <v>-1.7579786E-2</v>
      </c>
      <c r="G302">
        <f t="shared" si="46"/>
        <v>14.3535797119916</v>
      </c>
      <c r="H302">
        <f t="shared" si="47"/>
        <v>-17.922392574643801</v>
      </c>
      <c r="I302">
        <f t="shared" si="48"/>
        <v>14.3535860905705</v>
      </c>
      <c r="J302">
        <f t="shared" si="49"/>
        <v>-17.9234340159874</v>
      </c>
      <c r="K302" s="7">
        <f t="shared" si="50"/>
        <v>-6.3785789006232099E-6</v>
      </c>
      <c r="L302" s="7">
        <f t="shared" si="51"/>
        <v>1.04144134359885E-3</v>
      </c>
      <c r="M302" s="7">
        <f t="shared" si="52"/>
        <v>2.7222205210611999E-2</v>
      </c>
      <c r="N302" s="7">
        <f t="shared" si="53"/>
        <v>3.3992578285547997E-2</v>
      </c>
      <c r="O302">
        <v>4.4784044999999999</v>
      </c>
      <c r="P302">
        <v>-3.1409113999999998</v>
      </c>
      <c r="Q302">
        <v>2.8153842</v>
      </c>
      <c r="R302">
        <v>-4.5900106000000003</v>
      </c>
      <c r="S302">
        <f t="shared" si="54"/>
        <v>0.98439017451193045</v>
      </c>
      <c r="T302">
        <f t="shared" si="55"/>
        <v>-23.432462285342329</v>
      </c>
    </row>
    <row r="303" spans="1:20" x14ac:dyDescent="0.35">
      <c r="A303">
        <v>1.5625</v>
      </c>
      <c r="B303">
        <v>15.3416</v>
      </c>
      <c r="C303">
        <v>-1.4725266000000001E-2</v>
      </c>
      <c r="D303">
        <v>-1.5877186000000001E-2</v>
      </c>
      <c r="E303">
        <v>0.98528351000000003</v>
      </c>
      <c r="F303">
        <v>-1.7945161000000001E-2</v>
      </c>
      <c r="G303">
        <f t="shared" si="46"/>
        <v>14.142041386173799</v>
      </c>
      <c r="H303">
        <f t="shared" si="47"/>
        <v>-16.8200930604633</v>
      </c>
      <c r="I303">
        <f t="shared" si="48"/>
        <v>14.142046843269499</v>
      </c>
      <c r="J303">
        <f t="shared" si="49"/>
        <v>-16.8211270377837</v>
      </c>
      <c r="K303" s="7">
        <f t="shared" si="50"/>
        <v>-5.4570956997679298E-6</v>
      </c>
      <c r="L303" s="7">
        <f t="shared" si="51"/>
        <v>1.0339773204002299E-3</v>
      </c>
      <c r="M303" s="7">
        <f t="shared" si="52"/>
        <v>2.9282764584073698E-2</v>
      </c>
      <c r="N303" s="7">
        <f t="shared" si="53"/>
        <v>3.4830113953457802E-2</v>
      </c>
      <c r="O303">
        <v>4.5534458999999998</v>
      </c>
      <c r="P303">
        <v>-3.3659564</v>
      </c>
      <c r="Q303">
        <v>2.7965243000000002</v>
      </c>
      <c r="R303">
        <v>-4.8260180999999998</v>
      </c>
      <c r="S303">
        <f t="shared" si="54"/>
        <v>0.98503417137754745</v>
      </c>
      <c r="T303">
        <f t="shared" si="55"/>
        <v>-23.436857449320929</v>
      </c>
    </row>
    <row r="304" spans="1:20" x14ac:dyDescent="0.35">
      <c r="A304">
        <v>1.5625</v>
      </c>
      <c r="B304">
        <v>15.3904</v>
      </c>
      <c r="C304">
        <v>-1.5817330000000001E-2</v>
      </c>
      <c r="D304">
        <v>-1.6224339000000001E-2</v>
      </c>
      <c r="E304">
        <v>0.98418974999999997</v>
      </c>
      <c r="F304">
        <v>-1.8277127000000001E-2</v>
      </c>
      <c r="G304">
        <f t="shared" si="46"/>
        <v>13.937497169237901</v>
      </c>
      <c r="H304">
        <f t="shared" si="47"/>
        <v>-15.7488706345209</v>
      </c>
      <c r="I304">
        <f t="shared" si="48"/>
        <v>13.9375017626977</v>
      </c>
      <c r="J304">
        <f t="shared" si="49"/>
        <v>-15.749897020172799</v>
      </c>
      <c r="K304" s="7">
        <f t="shared" si="50"/>
        <v>-4.5934597991958998E-6</v>
      </c>
      <c r="L304" s="7">
        <f t="shared" si="51"/>
        <v>1.0263856518992801E-3</v>
      </c>
      <c r="M304" s="7">
        <f t="shared" si="52"/>
        <v>3.1510480354966799E-2</v>
      </c>
      <c r="N304" s="7">
        <f t="shared" si="53"/>
        <v>3.5608018502653403E-2</v>
      </c>
      <c r="O304">
        <v>4.6133265999999997</v>
      </c>
      <c r="P304">
        <v>-3.6021904999999999</v>
      </c>
      <c r="Q304">
        <v>2.7638593999999999</v>
      </c>
      <c r="R304">
        <v>-5.0745754999999999</v>
      </c>
      <c r="S304">
        <f t="shared" si="54"/>
        <v>0.98724557476132691</v>
      </c>
      <c r="T304">
        <f t="shared" si="55"/>
        <v>-23.441621377644314</v>
      </c>
    </row>
    <row r="305" spans="1:20" x14ac:dyDescent="0.35">
      <c r="A305">
        <v>1.5625</v>
      </c>
      <c r="B305">
        <v>15.4392</v>
      </c>
      <c r="C305">
        <v>-1.6991231999999998E-2</v>
      </c>
      <c r="D305">
        <v>-1.6528774999999999E-2</v>
      </c>
      <c r="E305">
        <v>0.98301446000000003</v>
      </c>
      <c r="F305">
        <v>-1.8566022000000001E-2</v>
      </c>
      <c r="G305">
        <f t="shared" si="46"/>
        <v>13.7396606144437</v>
      </c>
      <c r="H305">
        <f t="shared" si="47"/>
        <v>-14.7077174402169</v>
      </c>
      <c r="I305">
        <f t="shared" si="48"/>
        <v>13.739664498019501</v>
      </c>
      <c r="J305">
        <f t="shared" si="49"/>
        <v>-14.708736056862</v>
      </c>
      <c r="K305" s="7">
        <f t="shared" si="50"/>
        <v>-3.8835758005006903E-6</v>
      </c>
      <c r="L305" s="7">
        <f t="shared" si="51"/>
        <v>1.01861664509961E-3</v>
      </c>
      <c r="M305" s="7">
        <f t="shared" si="52"/>
        <v>3.3914605192181597E-2</v>
      </c>
      <c r="N305" s="7">
        <f t="shared" si="53"/>
        <v>3.63066344390277E-2</v>
      </c>
      <c r="O305">
        <v>4.6667700999999999</v>
      </c>
      <c r="P305">
        <v>-3.8583159999999999</v>
      </c>
      <c r="Q305">
        <v>2.7150496999999998</v>
      </c>
      <c r="R305">
        <v>-5.3352604000000001</v>
      </c>
      <c r="S305">
        <f t="shared" si="54"/>
        <v>0.98863252234023835</v>
      </c>
      <c r="T305">
        <f t="shared" si="55"/>
        <v>-23.446299092998295</v>
      </c>
    </row>
    <row r="306" spans="1:20" x14ac:dyDescent="0.35">
      <c r="A306">
        <v>1.5625</v>
      </c>
      <c r="B306">
        <v>15.488</v>
      </c>
      <c r="C306">
        <v>-1.8259629999999999E-2</v>
      </c>
      <c r="D306">
        <v>-1.677559E-2</v>
      </c>
      <c r="E306">
        <v>0.98169090999999997</v>
      </c>
      <c r="F306">
        <v>-1.8872673999999999E-2</v>
      </c>
      <c r="G306">
        <f t="shared" si="46"/>
        <v>13.521383894778699</v>
      </c>
      <c r="H306">
        <f t="shared" si="47"/>
        <v>-13.667921673936799</v>
      </c>
      <c r="I306">
        <f t="shared" si="48"/>
        <v>13.521360263687701</v>
      </c>
      <c r="J306">
        <f t="shared" si="49"/>
        <v>-13.668970266646699</v>
      </c>
      <c r="K306" s="7">
        <f t="shared" si="50"/>
        <v>2.3631090998676999E-5</v>
      </c>
      <c r="L306" s="7">
        <f t="shared" si="51"/>
        <v>1.04859270989976E-3</v>
      </c>
      <c r="M306" s="7">
        <f t="shared" si="52"/>
        <v>3.6577044180412799E-2</v>
      </c>
      <c r="N306" s="7">
        <f t="shared" si="53"/>
        <v>3.6976348502937198E-2</v>
      </c>
      <c r="O306">
        <v>4.7117769999999997</v>
      </c>
      <c r="P306">
        <v>-4.1369227999999998</v>
      </c>
      <c r="Q306">
        <v>2.6470178</v>
      </c>
      <c r="R306">
        <v>-5.6121467999999997</v>
      </c>
      <c r="S306">
        <f t="shared" si="54"/>
        <v>0.98961826577497281</v>
      </c>
      <c r="T306">
        <f t="shared" si="55"/>
        <v>-23.465671224973789</v>
      </c>
    </row>
    <row r="307" spans="1:20" x14ac:dyDescent="0.35">
      <c r="A307">
        <v>1.5625</v>
      </c>
      <c r="B307">
        <v>15.536799999999999</v>
      </c>
      <c r="C307">
        <v>-1.9605107E-2</v>
      </c>
      <c r="D307">
        <v>-1.6959108000000001E-2</v>
      </c>
      <c r="E307">
        <v>0.98034524999999995</v>
      </c>
      <c r="F307">
        <v>-1.9042066E-2</v>
      </c>
      <c r="G307">
        <f t="shared" si="46"/>
        <v>13.3364705292985</v>
      </c>
      <c r="H307">
        <f t="shared" si="47"/>
        <v>-12.687471343404701</v>
      </c>
      <c r="I307">
        <f t="shared" si="48"/>
        <v>13.3364467919404</v>
      </c>
      <c r="J307">
        <f t="shared" si="49"/>
        <v>-12.688512872979</v>
      </c>
      <c r="K307" s="7">
        <f t="shared" si="50"/>
        <v>2.37373581004618E-5</v>
      </c>
      <c r="L307" s="7">
        <f t="shared" si="51"/>
        <v>1.04152957429982E-3</v>
      </c>
      <c r="M307" s="7">
        <f t="shared" si="52"/>
        <v>3.9356900728765201E-2</v>
      </c>
      <c r="N307" s="7">
        <f t="shared" si="53"/>
        <v>3.7444796903421201E-2</v>
      </c>
      <c r="O307">
        <v>4.7374476999999997</v>
      </c>
      <c r="P307">
        <v>-4.4289345000000004</v>
      </c>
      <c r="Q307">
        <v>2.5583765000000001</v>
      </c>
      <c r="R307">
        <v>-5.8957584000000001</v>
      </c>
      <c r="S307">
        <f t="shared" si="54"/>
        <v>0.9910004658080197</v>
      </c>
      <c r="T307">
        <f t="shared" si="55"/>
        <v>-23.469963854618918</v>
      </c>
    </row>
    <row r="308" spans="1:20" x14ac:dyDescent="0.35">
      <c r="A308">
        <v>1.5625</v>
      </c>
      <c r="B308">
        <v>15.585599999999999</v>
      </c>
      <c r="C308">
        <v>-2.1037117000000001E-2</v>
      </c>
      <c r="D308">
        <v>-1.7061762000000001E-2</v>
      </c>
      <c r="E308">
        <v>0.97891284000000001</v>
      </c>
      <c r="F308">
        <v>-1.9130624999999998E-2</v>
      </c>
      <c r="G308">
        <f t="shared" si="46"/>
        <v>13.157464778270199</v>
      </c>
      <c r="H308">
        <f t="shared" si="47"/>
        <v>-11.7337094912622</v>
      </c>
      <c r="I308">
        <f t="shared" si="48"/>
        <v>13.157440826271801</v>
      </c>
      <c r="J308">
        <f t="shared" si="49"/>
        <v>-11.7347439734232</v>
      </c>
      <c r="K308" s="7">
        <f t="shared" si="50"/>
        <v>2.3951998398885601E-5</v>
      </c>
      <c r="L308" s="7">
        <f t="shared" si="51"/>
        <v>1.0344821609997699E-3</v>
      </c>
      <c r="M308" s="7">
        <f t="shared" si="52"/>
        <v>4.2331048423468097E-2</v>
      </c>
      <c r="N308" s="7">
        <f t="shared" si="53"/>
        <v>3.7753847570730997E-2</v>
      </c>
      <c r="O308">
        <v>4.7423051000000003</v>
      </c>
      <c r="P308">
        <v>-4.7363204999999997</v>
      </c>
      <c r="Q308">
        <v>2.4455914000000001</v>
      </c>
      <c r="R308">
        <v>-6.1891480999999997</v>
      </c>
      <c r="S308">
        <f t="shared" si="54"/>
        <v>0.99289901938893033</v>
      </c>
      <c r="T308">
        <f t="shared" si="55"/>
        <v>-23.475125501533029</v>
      </c>
    </row>
    <row r="309" spans="1:20" x14ac:dyDescent="0.35">
      <c r="A309">
        <v>1.5625</v>
      </c>
      <c r="B309">
        <v>15.634399999999999</v>
      </c>
      <c r="C309">
        <v>-2.2553737000000001E-2</v>
      </c>
      <c r="D309">
        <v>-1.7067705999999998E-2</v>
      </c>
      <c r="E309">
        <v>0.97739560999999997</v>
      </c>
      <c r="F309">
        <v>-1.9122449999999999E-2</v>
      </c>
      <c r="G309">
        <f t="shared" si="46"/>
        <v>12.9841402634859</v>
      </c>
      <c r="H309">
        <f t="shared" si="47"/>
        <v>-10.8057958696411</v>
      </c>
      <c r="I309">
        <f t="shared" si="48"/>
        <v>12.984115991916701</v>
      </c>
      <c r="J309">
        <f t="shared" si="49"/>
        <v>-10.8068232925981</v>
      </c>
      <c r="K309" s="7">
        <f t="shared" si="50"/>
        <v>2.4271569198930399E-5</v>
      </c>
      <c r="L309" s="7">
        <f t="shared" si="51"/>
        <v>1.0274229569997601E-3</v>
      </c>
      <c r="M309" s="7">
        <f t="shared" si="52"/>
        <v>4.5498483549608199E-2</v>
      </c>
      <c r="N309" s="7">
        <f t="shared" si="53"/>
        <v>3.7868890890061402E-2</v>
      </c>
      <c r="O309">
        <v>4.7279112999999997</v>
      </c>
      <c r="P309">
        <v>-5.0633023000000001</v>
      </c>
      <c r="Q309">
        <v>2.3056931000000001</v>
      </c>
      <c r="R309">
        <v>-6.4899652000000003</v>
      </c>
      <c r="S309">
        <f t="shared" si="54"/>
        <v>0.9942080186532849</v>
      </c>
      <c r="T309">
        <f t="shared" si="55"/>
        <v>-23.479516818051763</v>
      </c>
    </row>
    <row r="310" spans="1:20" x14ac:dyDescent="0.35">
      <c r="A310">
        <v>1.5625</v>
      </c>
      <c r="B310">
        <v>15.683199999999999</v>
      </c>
      <c r="C310">
        <v>-2.4150406999999999E-2</v>
      </c>
      <c r="D310">
        <v>-1.6959753000000001E-2</v>
      </c>
      <c r="E310">
        <v>0.97579806999999996</v>
      </c>
      <c r="F310">
        <v>-1.9000316E-2</v>
      </c>
      <c r="G310">
        <f t="shared" si="46"/>
        <v>12.8162716656744</v>
      </c>
      <c r="H310">
        <f t="shared" si="47"/>
        <v>-9.9029119459372907</v>
      </c>
      <c r="I310">
        <f t="shared" si="48"/>
        <v>12.8162469445644</v>
      </c>
      <c r="J310">
        <f t="shared" si="49"/>
        <v>-9.9039322789450992</v>
      </c>
      <c r="K310" s="7">
        <f t="shared" si="50"/>
        <v>2.4721109999958899E-5</v>
      </c>
      <c r="L310" s="7">
        <f t="shared" si="51"/>
        <v>1.02033300780846E-3</v>
      </c>
      <c r="M310" s="7">
        <f t="shared" si="52"/>
        <v>4.8852819188830103E-2</v>
      </c>
      <c r="N310" s="7">
        <f t="shared" si="53"/>
        <v>3.7751692439643998E-2</v>
      </c>
      <c r="O310">
        <v>4.6881187000000004</v>
      </c>
      <c r="P310">
        <v>-5.4063857000000004</v>
      </c>
      <c r="Q310">
        <v>2.1358622999999999</v>
      </c>
      <c r="R310">
        <v>-6.7963589999999998</v>
      </c>
      <c r="S310">
        <f t="shared" si="54"/>
        <v>0.99554678818408016</v>
      </c>
      <c r="T310">
        <f t="shared" si="55"/>
        <v>-23.483877484765504</v>
      </c>
    </row>
    <row r="311" spans="1:20" x14ac:dyDescent="0.35">
      <c r="A311">
        <v>1.5625</v>
      </c>
      <c r="B311">
        <v>15.731999999999999</v>
      </c>
      <c r="C311">
        <v>-2.5819333999999999E-2</v>
      </c>
      <c r="D311">
        <v>-1.6719742999999999E-2</v>
      </c>
      <c r="E311">
        <v>0.97412792000000004</v>
      </c>
      <c r="F311">
        <v>-1.874605E-2</v>
      </c>
      <c r="G311">
        <f t="shared" si="46"/>
        <v>12.6536307685274</v>
      </c>
      <c r="H311">
        <f t="shared" si="47"/>
        <v>-9.0242706367834593</v>
      </c>
      <c r="I311">
        <f t="shared" si="48"/>
        <v>12.653605421391999</v>
      </c>
      <c r="J311">
        <f t="shared" si="49"/>
        <v>-9.0252838426852602</v>
      </c>
      <c r="K311" s="7">
        <f t="shared" si="50"/>
        <v>2.53471354003665E-5</v>
      </c>
      <c r="L311" s="7">
        <f t="shared" si="51"/>
        <v>1.01320590180087E-3</v>
      </c>
      <c r="M311" s="7">
        <f t="shared" si="52"/>
        <v>5.2380811908259897E-2</v>
      </c>
      <c r="N311" s="7">
        <f t="shared" si="53"/>
        <v>3.7361027125369699E-2</v>
      </c>
      <c r="O311">
        <v>4.6190898000000002</v>
      </c>
      <c r="P311">
        <v>-5.7637027999999999</v>
      </c>
      <c r="Q311">
        <v>1.9331212</v>
      </c>
      <c r="R311">
        <v>-7.1048425999999996</v>
      </c>
      <c r="S311">
        <f t="shared" si="54"/>
        <v>0.99687434955311072</v>
      </c>
      <c r="T311">
        <f t="shared" si="55"/>
        <v>-23.488177229270725</v>
      </c>
    </row>
    <row r="312" spans="1:20" x14ac:dyDescent="0.35">
      <c r="A312">
        <v>1.5625</v>
      </c>
      <c r="B312">
        <v>15.780799999999999</v>
      </c>
      <c r="C312">
        <v>-2.7548889999999999E-2</v>
      </c>
      <c r="D312">
        <v>-1.6329117000000001E-2</v>
      </c>
      <c r="E312">
        <v>0.97239668000000001</v>
      </c>
      <c r="F312">
        <v>-1.8341109000000001E-2</v>
      </c>
      <c r="G312">
        <f t="shared" si="46"/>
        <v>12.495990541627</v>
      </c>
      <c r="H312">
        <f t="shared" si="47"/>
        <v>-8.1691328778284493</v>
      </c>
      <c r="I312">
        <f t="shared" si="48"/>
        <v>12.4959643379959</v>
      </c>
      <c r="J312">
        <f t="shared" si="49"/>
        <v>-8.1701389275688392</v>
      </c>
      <c r="K312" s="7">
        <f t="shared" si="50"/>
        <v>2.6203631099619398E-5</v>
      </c>
      <c r="L312" s="7">
        <f t="shared" si="51"/>
        <v>1.00604974038987E-3</v>
      </c>
      <c r="M312" s="7">
        <f t="shared" si="52"/>
        <v>5.6060779764336398E-2</v>
      </c>
      <c r="N312" s="7">
        <f t="shared" si="53"/>
        <v>3.6653782507187198E-2</v>
      </c>
      <c r="O312">
        <v>4.5169394</v>
      </c>
      <c r="P312">
        <v>-6.1325567999999997</v>
      </c>
      <c r="Q312">
        <v>1.6948551999999999</v>
      </c>
      <c r="R312">
        <v>-7.4112695999999998</v>
      </c>
      <c r="S312">
        <f t="shared" si="54"/>
        <v>0.99817503195935786</v>
      </c>
      <c r="T312">
        <f t="shared" si="55"/>
        <v>-23.492279905040604</v>
      </c>
    </row>
    <row r="313" spans="1:20" x14ac:dyDescent="0.35">
      <c r="A313">
        <v>1.5625</v>
      </c>
      <c r="B313">
        <v>15.829599999999999</v>
      </c>
      <c r="C313">
        <v>-2.9323093000000001E-2</v>
      </c>
      <c r="D313">
        <v>-1.5769726000000001E-2</v>
      </c>
      <c r="E313">
        <v>0.97062022999999997</v>
      </c>
      <c r="F313">
        <v>-1.7767385E-2</v>
      </c>
      <c r="G313">
        <f t="shared" si="46"/>
        <v>12.343132192818899</v>
      </c>
      <c r="H313">
        <f t="shared" si="47"/>
        <v>-7.3368103486149998</v>
      </c>
      <c r="I313">
        <f t="shared" si="48"/>
        <v>12.343104851260099</v>
      </c>
      <c r="J313">
        <f t="shared" si="49"/>
        <v>-7.3378092337314804</v>
      </c>
      <c r="K313" s="7">
        <f t="shared" si="50"/>
        <v>2.7341558800131301E-5</v>
      </c>
      <c r="L313" s="7">
        <f t="shared" si="51"/>
        <v>9.9888511648060807E-4</v>
      </c>
      <c r="M313" s="7">
        <f t="shared" si="52"/>
        <v>5.9861121960987897E-2</v>
      </c>
      <c r="N313" s="7">
        <f t="shared" si="53"/>
        <v>3.5586629033781701E-2</v>
      </c>
      <c r="O313">
        <v>4.3779126000000002</v>
      </c>
      <c r="P313">
        <v>-6.5093176000000001</v>
      </c>
      <c r="Q313">
        <v>1.4189579999999999</v>
      </c>
      <c r="R313">
        <v>-7.7108020000000002</v>
      </c>
      <c r="S313">
        <f t="shared" si="54"/>
        <v>0.99945201119121596</v>
      </c>
      <c r="T313">
        <f t="shared" si="55"/>
        <v>-23.496201530598949</v>
      </c>
    </row>
    <row r="314" spans="1:20" x14ac:dyDescent="0.35">
      <c r="A314">
        <v>1.5625</v>
      </c>
      <c r="B314">
        <v>15.878399999999999</v>
      </c>
      <c r="C314">
        <v>-3.1121246000000002E-2</v>
      </c>
      <c r="D314">
        <v>-1.5024889E-2</v>
      </c>
      <c r="E314">
        <v>0.96881919000000005</v>
      </c>
      <c r="F314">
        <v>-1.7008249E-2</v>
      </c>
      <c r="G314">
        <f t="shared" si="46"/>
        <v>12.194853288289901</v>
      </c>
      <c r="H314">
        <f t="shared" si="47"/>
        <v>-6.5266647435398601</v>
      </c>
      <c r="I314">
        <f t="shared" si="48"/>
        <v>12.194824488919</v>
      </c>
      <c r="J314">
        <f t="shared" si="49"/>
        <v>-6.52765648163557</v>
      </c>
      <c r="K314" s="7">
        <f t="shared" si="50"/>
        <v>2.87993709005008E-5</v>
      </c>
      <c r="L314" s="7">
        <f t="shared" si="51"/>
        <v>9.9173809570984894E-4</v>
      </c>
      <c r="M314" s="7">
        <f t="shared" si="52"/>
        <v>6.3739111240403004E-2</v>
      </c>
      <c r="N314" s="7">
        <f t="shared" si="53"/>
        <v>3.4118328066153898E-2</v>
      </c>
      <c r="O314">
        <v>4.2006705999999996</v>
      </c>
      <c r="P314">
        <v>-6.8927361999999999</v>
      </c>
      <c r="Q314">
        <v>1.1040093</v>
      </c>
      <c r="R314">
        <v>-7.9978382000000003</v>
      </c>
      <c r="S314">
        <f t="shared" si="54"/>
        <v>1.0002210361061517</v>
      </c>
      <c r="T314">
        <f t="shared" si="55"/>
        <v>-23.500213695056775</v>
      </c>
    </row>
    <row r="315" spans="1:20" x14ac:dyDescent="0.35">
      <c r="A315">
        <v>1.5625</v>
      </c>
      <c r="B315">
        <v>15.927199999999999</v>
      </c>
      <c r="C315">
        <v>-3.2917845000000001E-2</v>
      </c>
      <c r="D315">
        <v>-1.4080677999999999E-2</v>
      </c>
      <c r="E315">
        <v>0.96701906999999998</v>
      </c>
      <c r="F315">
        <v>-1.6049813999999999E-2</v>
      </c>
      <c r="G315">
        <f t="shared" si="46"/>
        <v>12.050979303149401</v>
      </c>
      <c r="H315">
        <f t="shared" si="47"/>
        <v>-5.7381078472658</v>
      </c>
      <c r="I315">
        <f t="shared" si="48"/>
        <v>12.0509487291193</v>
      </c>
      <c r="J315">
        <f t="shared" si="49"/>
        <v>-5.7390924764256601</v>
      </c>
      <c r="K315" s="7">
        <f t="shared" si="50"/>
        <v>3.05740301005386E-5</v>
      </c>
      <c r="L315" s="7">
        <f t="shared" si="51"/>
        <v>9.8462915986008404E-4</v>
      </c>
      <c r="M315" s="7">
        <f t="shared" si="52"/>
        <v>6.7640190842645498E-2</v>
      </c>
      <c r="N315" s="7">
        <f t="shared" si="53"/>
        <v>3.2212676287553303E-2</v>
      </c>
      <c r="O315">
        <v>3.9759503</v>
      </c>
      <c r="P315">
        <v>-7.2663428999999997</v>
      </c>
      <c r="Q315">
        <v>0.74963679000000005</v>
      </c>
      <c r="R315">
        <v>-8.2659076999999996</v>
      </c>
      <c r="S315">
        <f t="shared" si="54"/>
        <v>1.0020331609393249</v>
      </c>
      <c r="T315">
        <f t="shared" si="55"/>
        <v>-23.504320650531643</v>
      </c>
    </row>
    <row r="316" spans="1:20" x14ac:dyDescent="0.35">
      <c r="A316">
        <v>1.5625</v>
      </c>
      <c r="B316">
        <v>15.976000000000001</v>
      </c>
      <c r="C316">
        <v>-3.4682855999999998E-2</v>
      </c>
      <c r="D316">
        <v>-1.2927358999999999E-2</v>
      </c>
      <c r="E316">
        <v>0.96524995000000002</v>
      </c>
      <c r="F316">
        <v>-1.4882352999999999E-2</v>
      </c>
      <c r="G316">
        <f t="shared" si="46"/>
        <v>11.9113636374579</v>
      </c>
      <c r="H316">
        <f t="shared" si="47"/>
        <v>-4.9705834999715099</v>
      </c>
      <c r="I316">
        <f t="shared" si="48"/>
        <v>11.911330994924899</v>
      </c>
      <c r="J316">
        <f t="shared" si="49"/>
        <v>-4.9715610617226504</v>
      </c>
      <c r="K316" s="7">
        <f t="shared" si="50"/>
        <v>3.2642533000171197E-5</v>
      </c>
      <c r="L316" s="7">
        <f t="shared" si="51"/>
        <v>9.7756175114049903E-4</v>
      </c>
      <c r="M316" s="7">
        <f t="shared" si="52"/>
        <v>7.1498204487871198E-2</v>
      </c>
      <c r="N316" s="7">
        <f t="shared" si="53"/>
        <v>2.9841979000200199E-2</v>
      </c>
      <c r="O316">
        <v>3.7088573</v>
      </c>
      <c r="P316">
        <v>-7.6350372000000002</v>
      </c>
      <c r="Q316">
        <v>0.35677421999999998</v>
      </c>
      <c r="R316">
        <v>-8.5085572999999997</v>
      </c>
      <c r="S316">
        <f t="shared" si="54"/>
        <v>1.0032800024352548</v>
      </c>
      <c r="T316">
        <f t="shared" si="55"/>
        <v>-23.507925818583693</v>
      </c>
    </row>
    <row r="317" spans="1:20" x14ac:dyDescent="0.35">
      <c r="A317">
        <v>1.5625</v>
      </c>
      <c r="B317">
        <v>16.024799999999999</v>
      </c>
      <c r="C317">
        <v>-3.6385187999999999E-2</v>
      </c>
      <c r="D317">
        <v>-1.1557875E-2</v>
      </c>
      <c r="E317">
        <v>0.96354629000000003</v>
      </c>
      <c r="F317">
        <v>-1.3496235000000001E-2</v>
      </c>
      <c r="G317">
        <f t="shared" si="46"/>
        <v>11.776483389890799</v>
      </c>
      <c r="H317">
        <f t="shared" si="47"/>
        <v>-4.2222034776003703</v>
      </c>
      <c r="I317">
        <f t="shared" si="48"/>
        <v>11.7764500671225</v>
      </c>
      <c r="J317">
        <f t="shared" si="49"/>
        <v>-4.2231727231034402</v>
      </c>
      <c r="K317" s="7">
        <f t="shared" si="50"/>
        <v>3.3322768299370898E-5</v>
      </c>
      <c r="L317" s="7">
        <f t="shared" si="51"/>
        <v>9.6924550306987101E-4</v>
      </c>
      <c r="M317" s="7">
        <f t="shared" si="52"/>
        <v>7.5239284265808407E-2</v>
      </c>
      <c r="N317" s="7">
        <f t="shared" si="53"/>
        <v>2.69816872831889E-2</v>
      </c>
      <c r="O317">
        <v>3.3983043999999998</v>
      </c>
      <c r="P317">
        <v>-7.9939954999999996</v>
      </c>
      <c r="Q317">
        <v>-7.3204571999999996E-2</v>
      </c>
      <c r="R317">
        <v>-8.7186503999999996</v>
      </c>
      <c r="S317">
        <f t="shared" si="54"/>
        <v>1.0037554963025421</v>
      </c>
      <c r="T317">
        <f t="shared" si="55"/>
        <v>-23.511752670726509</v>
      </c>
    </row>
    <row r="318" spans="1:20" x14ac:dyDescent="0.35">
      <c r="A318">
        <v>1.5625</v>
      </c>
      <c r="B318">
        <v>16.073599999999999</v>
      </c>
      <c r="C318">
        <v>-3.7983563999999997E-2</v>
      </c>
      <c r="D318">
        <v>-9.9800149000000005E-3</v>
      </c>
      <c r="E318">
        <v>0.96194354000000004</v>
      </c>
      <c r="F318">
        <v>-1.1903850000000001E-2</v>
      </c>
      <c r="G318">
        <f t="shared" si="46"/>
        <v>11.645068091153799</v>
      </c>
      <c r="H318">
        <f t="shared" si="47"/>
        <v>-3.4947919776888501</v>
      </c>
      <c r="I318">
        <f t="shared" si="48"/>
        <v>11.645032567211</v>
      </c>
      <c r="J318">
        <f t="shared" si="49"/>
        <v>-3.49575396447245</v>
      </c>
      <c r="K318" s="7">
        <f t="shared" si="50"/>
        <v>3.5523942798931798E-5</v>
      </c>
      <c r="L318" s="7">
        <f t="shared" si="51"/>
        <v>9.6198678359993295E-4</v>
      </c>
      <c r="M318" s="7">
        <f t="shared" si="52"/>
        <v>7.8774691515221998E-2</v>
      </c>
      <c r="N318" s="7">
        <f t="shared" si="53"/>
        <v>2.3647588667103699E-2</v>
      </c>
      <c r="O318">
        <v>3.0412021999999999</v>
      </c>
      <c r="P318">
        <v>-8.3232072000000006</v>
      </c>
      <c r="Q318">
        <v>-0.53485885</v>
      </c>
      <c r="R318">
        <v>-8.8887152999999994</v>
      </c>
      <c r="S318">
        <f t="shared" si="54"/>
        <v>1.0048950413256972</v>
      </c>
      <c r="T318">
        <f t="shared" si="55"/>
        <v>-23.515205324205958</v>
      </c>
    </row>
    <row r="319" spans="1:20" x14ac:dyDescent="0.35">
      <c r="A319">
        <v>1.5625</v>
      </c>
      <c r="B319">
        <v>16.122399999999999</v>
      </c>
      <c r="C319">
        <v>-3.9442853E-2</v>
      </c>
      <c r="D319">
        <v>-8.2031724E-3</v>
      </c>
      <c r="E319">
        <v>0.96047998999999995</v>
      </c>
      <c r="F319">
        <v>-1.0112365E-2</v>
      </c>
      <c r="G319">
        <f t="shared" si="46"/>
        <v>11.517635400336999</v>
      </c>
      <c r="H319">
        <f t="shared" si="47"/>
        <v>-2.7870242492553401</v>
      </c>
      <c r="I319">
        <f t="shared" si="48"/>
        <v>11.5175977317073</v>
      </c>
      <c r="J319">
        <f t="shared" si="49"/>
        <v>-2.7879789183433799</v>
      </c>
      <c r="K319" s="7">
        <f t="shared" si="50"/>
        <v>3.7668629699894E-5</v>
      </c>
      <c r="L319" s="7">
        <f t="shared" si="51"/>
        <v>9.5466908803976103E-4</v>
      </c>
      <c r="M319" s="7">
        <f t="shared" si="52"/>
        <v>8.20178828238015E-2</v>
      </c>
      <c r="N319" s="7">
        <f t="shared" si="53"/>
        <v>1.98534567334658E-2</v>
      </c>
      <c r="O319">
        <v>2.6410737000000002</v>
      </c>
      <c r="P319">
        <v>-8.6157687000000003</v>
      </c>
      <c r="Q319">
        <v>-1.0231650999999999</v>
      </c>
      <c r="R319">
        <v>-9.0128018999999995</v>
      </c>
      <c r="S319">
        <f t="shared" si="54"/>
        <v>1.006570993865233</v>
      </c>
      <c r="T319">
        <f t="shared" si="55"/>
        <v>-23.519063804794804</v>
      </c>
    </row>
    <row r="320" spans="1:20" x14ac:dyDescent="0.35">
      <c r="A320">
        <v>1.5625</v>
      </c>
      <c r="B320">
        <v>16.171199999999999</v>
      </c>
      <c r="C320">
        <v>-4.0729392000000003E-2</v>
      </c>
      <c r="D320">
        <v>-6.2436159E-3</v>
      </c>
      <c r="E320">
        <v>0.95919429</v>
      </c>
      <c r="F320">
        <v>-8.1385087999999994E-3</v>
      </c>
      <c r="G320">
        <f t="shared" si="46"/>
        <v>11.3945864536418</v>
      </c>
      <c r="H320">
        <f t="shared" si="47"/>
        <v>-2.0976306583643498</v>
      </c>
      <c r="I320">
        <f t="shared" si="48"/>
        <v>11.3945491909423</v>
      </c>
      <c r="J320">
        <f t="shared" si="49"/>
        <v>-2.0985781762751001</v>
      </c>
      <c r="K320" s="7">
        <f t="shared" si="50"/>
        <v>3.7262699500217898E-5</v>
      </c>
      <c r="L320" s="7">
        <f t="shared" si="51"/>
        <v>9.47517910750317E-4</v>
      </c>
      <c r="M320" s="7">
        <f t="shared" si="52"/>
        <v>8.4882059944235894E-2</v>
      </c>
      <c r="N320" s="7">
        <f t="shared" si="53"/>
        <v>1.5633057137341401E-2</v>
      </c>
      <c r="O320">
        <v>2.2058708</v>
      </c>
      <c r="P320">
        <v>-8.8773549000000003</v>
      </c>
      <c r="Q320">
        <v>-1.5314553</v>
      </c>
      <c r="R320">
        <v>-9.0854485999999994</v>
      </c>
      <c r="S320">
        <f t="shared" si="54"/>
        <v>1.0072486635158353</v>
      </c>
      <c r="T320">
        <f t="shared" si="55"/>
        <v>-23.522315388834045</v>
      </c>
    </row>
    <row r="321" spans="1:20" x14ac:dyDescent="0.35">
      <c r="A321">
        <v>1.5625</v>
      </c>
      <c r="B321">
        <v>16.22</v>
      </c>
      <c r="C321">
        <v>-4.1807322000000001E-2</v>
      </c>
      <c r="D321">
        <v>-4.1357455999999999E-3</v>
      </c>
      <c r="E321">
        <v>0.95811334999999997</v>
      </c>
      <c r="F321">
        <v>-6.0158420000000004E-3</v>
      </c>
      <c r="G321">
        <f t="shared" si="46"/>
        <v>11.2750734684122</v>
      </c>
      <c r="H321">
        <f t="shared" si="47"/>
        <v>-1.4277748903208201</v>
      </c>
      <c r="I321">
        <f t="shared" si="48"/>
        <v>11.2750346866339</v>
      </c>
      <c r="J321">
        <f t="shared" si="49"/>
        <v>-1.4287150122665599</v>
      </c>
      <c r="K321" s="7">
        <f t="shared" si="50"/>
        <v>3.8781778300744898E-5</v>
      </c>
      <c r="L321" s="7">
        <f t="shared" si="51"/>
        <v>9.4012194573989095E-4</v>
      </c>
      <c r="M321" s="7">
        <f t="shared" si="52"/>
        <v>8.7289937559875505E-2</v>
      </c>
      <c r="N321" s="7">
        <f t="shared" si="53"/>
        <v>1.1060936633698001E-2</v>
      </c>
      <c r="O321">
        <v>1.7393103000000001</v>
      </c>
      <c r="P321">
        <v>-9.0882658000000003</v>
      </c>
      <c r="Q321">
        <v>-2.0500550999999998</v>
      </c>
      <c r="R321">
        <v>-9.1032305999999998</v>
      </c>
      <c r="S321">
        <f t="shared" si="54"/>
        <v>1.008430520360742</v>
      </c>
      <c r="T321">
        <f t="shared" si="55"/>
        <v>-23.525584139307192</v>
      </c>
    </row>
    <row r="322" spans="1:20" x14ac:dyDescent="0.35">
      <c r="A322">
        <v>1.5625</v>
      </c>
      <c r="B322">
        <v>16.268799999999999</v>
      </c>
      <c r="C322">
        <v>-4.265381E-2</v>
      </c>
      <c r="D322">
        <v>-1.9047917999999999E-3</v>
      </c>
      <c r="E322">
        <v>0.95741195000000001</v>
      </c>
      <c r="F322">
        <v>-3.8529023000000002E-3</v>
      </c>
      <c r="G322">
        <f t="shared" si="46"/>
        <v>11.178028848807299</v>
      </c>
      <c r="H322">
        <f t="shared" si="47"/>
        <v>-0.78831108114695503</v>
      </c>
      <c r="I322">
        <f t="shared" si="48"/>
        <v>11.178062676415401</v>
      </c>
      <c r="J322">
        <f t="shared" si="49"/>
        <v>-0.78928507142219795</v>
      </c>
      <c r="K322" s="7">
        <f t="shared" si="50"/>
        <v>-3.3827608101333299E-5</v>
      </c>
      <c r="L322" s="7">
        <f t="shared" si="51"/>
        <v>9.7399027524292003E-4</v>
      </c>
      <c r="M322" s="7">
        <f t="shared" si="52"/>
        <v>8.9017119107848805E-2</v>
      </c>
      <c r="N322" s="7">
        <f t="shared" si="53"/>
        <v>6.2855152316400997E-3</v>
      </c>
      <c r="O322">
        <v>1.2489239000000001</v>
      </c>
      <c r="P322">
        <v>-9.2485829000000006</v>
      </c>
      <c r="Q322">
        <v>-2.5720326</v>
      </c>
      <c r="R322">
        <v>-9.0617321999999998</v>
      </c>
      <c r="S322">
        <f t="shared" si="54"/>
        <v>1.0093382517800202</v>
      </c>
      <c r="T322">
        <f t="shared" si="55"/>
        <v>-23.536443269793864</v>
      </c>
    </row>
    <row r="323" spans="1:20" x14ac:dyDescent="0.35">
      <c r="A323">
        <v>1.5625</v>
      </c>
      <c r="B323">
        <v>16.317599999999999</v>
      </c>
      <c r="C323">
        <v>-4.3252574000000002E-2</v>
      </c>
      <c r="D323">
        <v>3.985654E-4</v>
      </c>
      <c r="E323">
        <v>0.95681936000000001</v>
      </c>
      <c r="F323">
        <v>-1.5485786000000001E-3</v>
      </c>
      <c r="G323">
        <f t="shared" ref="G323:G386" si="56">IMREAL(IMDIV(IMSUM(IMPRODUCT(COMPLEX(1 + C323,D323),COMPLEX(1 - C323, - D323)),IMPRODUCT(COMPLEX(E323,F323),COMPLEX(E323,F323))),IMSUB(IMPRODUCT(COMPLEX(1 - C323, - D323),COMPLEX(1 - C323, - D323)),IMPRODUCT(COMPLEX(E323,F323),COMPLEX(E323,F323)))))</f>
        <v>11.0675602100912</v>
      </c>
      <c r="H323">
        <f t="shared" ref="H323:H386" si="57">IMAGINARY(IMDIV(IMSUM(IMPRODUCT(COMPLEX(1 + C323,D323),COMPLEX(1 - C323, - D323)),IMPRODUCT(COMPLEX(E323,F323),COMPLEX(E323,F323))),IMSUB(IMPRODUCT(COMPLEX(1 - C323, - D323),COMPLEX(1 - C323, - D323)),IMPRODUCT(COMPLEX(E323,F323),COMPLEX(E323,F323)))))</f>
        <v>-0.15342246496422701</v>
      </c>
      <c r="I323">
        <f t="shared" ref="I323:I386" si="58">IMREAL(IMDIV(IMPRODUCT(COMPLEX(2,0),COMPLEX(E323,F323)),IMSUB(IMPRODUCT(COMPLEX(1 - C323, - D323),COMPLEX(1 - C323, - D323)),IMPRODUCT(COMPLEX(E323,F323),COMPLEX(E323,F323)))))</f>
        <v>11.067597123536901</v>
      </c>
      <c r="J323">
        <f t="shared" ref="J323:J386" si="59">IMAGINARY(IMDIV(IMPRODUCT(COMPLEX(2,0),COMPLEX(E323,F323)),IMSUB(IMPRODUCT(COMPLEX(1 - C323, - D323),COMPLEX(1 - C323, - D323)),IMPRODUCT(COMPLEX(E323,F323),COMPLEX(E323,F323)))))</f>
        <v>-0.15439596601241801</v>
      </c>
      <c r="K323" s="7">
        <f t="shared" ref="K323:K386" si="60">IMREAL(IMSUB(COMPLEX(G323,H323),COMPLEX(I323,J323)))</f>
        <v>-3.6913445701003398E-5</v>
      </c>
      <c r="L323" s="7">
        <f t="shared" ref="L323:L386" si="61">IMAGINARY(IMSUB(COMPLEX(G323,H323),COMPLEX(I323,J323)))</f>
        <v>9.7350104819099404E-4</v>
      </c>
      <c r="M323" s="7">
        <f t="shared" ref="M323:M386" si="62">IMREAL(IMDIV(IMSUB(IMPRODUCT(COMPLEX(1 - C323, - D323),COMPLEX(1 - C323, - D323)),IMPRODUCT(COMPLEX(E323,F323),COMPLEX(E323,F323))),IMPRODUCT(COMPLEX(2,0),COMPLEX(E323,F323))))</f>
        <v>9.0336268720128302E-2</v>
      </c>
      <c r="N323" s="7">
        <f t="shared" ref="N323:N386" si="63">IMAGINARY(IMDIV(IMSUB(IMPRODUCT(COMPLEX(1 - C323, - D323),COMPLEX(1 - C323, - D323)),IMPRODUCT(COMPLEX(E323,F323),COMPLEX(E323,F323))),IMPRODUCT(COMPLEX(2,0),COMPLEX(E323,F323))))</f>
        <v>1.2602153221985301E-3</v>
      </c>
      <c r="O323">
        <v>0.74506048999999996</v>
      </c>
      <c r="P323">
        <v>-9.3548209</v>
      </c>
      <c r="Q323">
        <v>-3.0848981000000002</v>
      </c>
      <c r="R323">
        <v>-8.9659853999999992</v>
      </c>
      <c r="S323">
        <f t="shared" ref="S323:S386" si="64">IMABS(COMPLEX(Q323,R323))/IMABS(COMPLEX(O323,P323))</f>
        <v>1.0103795794682591</v>
      </c>
      <c r="T323">
        <f t="shared" ref="T323:T386" si="65">IMARGUMENT(IMDIV(COMPLEX(Q323,R323),COMPLEX(O323/B323,P323/B323)))/PI()*180</f>
        <v>-23.540324819202564</v>
      </c>
    </row>
    <row r="324" spans="1:20" x14ac:dyDescent="0.35">
      <c r="A324">
        <v>1.5625</v>
      </c>
      <c r="B324">
        <v>16.366399999999999</v>
      </c>
      <c r="C324">
        <v>-4.3596074999999998E-2</v>
      </c>
      <c r="D324">
        <v>2.7361477999999998E-3</v>
      </c>
      <c r="E324">
        <v>0.95648085000000005</v>
      </c>
      <c r="F324">
        <v>8.015791E-4</v>
      </c>
      <c r="G324">
        <f t="shared" si="56"/>
        <v>10.960130510762999</v>
      </c>
      <c r="H324">
        <f t="shared" si="57"/>
        <v>0.46587735943026098</v>
      </c>
      <c r="I324">
        <f t="shared" si="58"/>
        <v>10.9601699073138</v>
      </c>
      <c r="J324">
        <f t="shared" si="59"/>
        <v>0.46491015038920502</v>
      </c>
      <c r="K324" s="7">
        <f t="shared" si="60"/>
        <v>-3.9396550800319099E-5</v>
      </c>
      <c r="L324" s="7">
        <f t="shared" si="61"/>
        <v>9.6720904105596095E-4</v>
      </c>
      <c r="M324" s="7">
        <f t="shared" si="62"/>
        <v>9.1075589202306906E-2</v>
      </c>
      <c r="N324" s="7">
        <f t="shared" si="63"/>
        <v>-3.8632581639610202E-3</v>
      </c>
      <c r="O324">
        <v>0.23649808</v>
      </c>
      <c r="P324">
        <v>-9.4037749999999996</v>
      </c>
      <c r="Q324">
        <v>-3.5804352000000002</v>
      </c>
      <c r="R324">
        <v>-8.8164767000000008</v>
      </c>
      <c r="S324">
        <f t="shared" si="64"/>
        <v>1.0115891568093562</v>
      </c>
      <c r="T324">
        <f t="shared" si="65"/>
        <v>-23.543071542012012</v>
      </c>
    </row>
    <row r="325" spans="1:20" x14ac:dyDescent="0.35">
      <c r="A325">
        <v>1.5625</v>
      </c>
      <c r="B325">
        <v>16.415199999999999</v>
      </c>
      <c r="C325">
        <v>-4.368404E-2</v>
      </c>
      <c r="D325">
        <v>5.0661791000000001E-3</v>
      </c>
      <c r="E325">
        <v>0.95639883000000003</v>
      </c>
      <c r="F325">
        <v>3.1315536999999998E-3</v>
      </c>
      <c r="G325">
        <f t="shared" si="56"/>
        <v>10.8565002895145</v>
      </c>
      <c r="H325">
        <f t="shared" si="57"/>
        <v>1.06707586645222</v>
      </c>
      <c r="I325">
        <f t="shared" si="58"/>
        <v>10.8565426583744</v>
      </c>
      <c r="J325">
        <f t="shared" si="59"/>
        <v>1.0661086348133999</v>
      </c>
      <c r="K325" s="7">
        <f t="shared" si="60"/>
        <v>-4.2368859899610798E-5</v>
      </c>
      <c r="L325" s="7">
        <f t="shared" si="61"/>
        <v>9.6723163882006503E-4</v>
      </c>
      <c r="M325" s="7">
        <f t="shared" si="62"/>
        <v>9.1230602915104694E-2</v>
      </c>
      <c r="N325" s="7">
        <f t="shared" si="63"/>
        <v>-8.9588128180015901E-3</v>
      </c>
      <c r="O325">
        <v>-0.26795478</v>
      </c>
      <c r="P325">
        <v>-9.3987870000000004</v>
      </c>
      <c r="Q325">
        <v>-4.0511002999999999</v>
      </c>
      <c r="R325">
        <v>-8.6169414999999994</v>
      </c>
      <c r="S325">
        <f t="shared" si="64"/>
        <v>1.0126678858300484</v>
      </c>
      <c r="T325">
        <f t="shared" si="65"/>
        <v>-23.546688747326364</v>
      </c>
    </row>
    <row r="326" spans="1:20" x14ac:dyDescent="0.35">
      <c r="A326">
        <v>1.5625</v>
      </c>
      <c r="B326">
        <v>16.463999999999999</v>
      </c>
      <c r="C326">
        <v>-4.3528338E-2</v>
      </c>
      <c r="D326">
        <v>7.3451612000000003E-3</v>
      </c>
      <c r="E326">
        <v>0.95656023999999995</v>
      </c>
      <c r="F326">
        <v>5.4099062E-3</v>
      </c>
      <c r="G326">
        <f t="shared" si="56"/>
        <v>10.756319828431399</v>
      </c>
      <c r="H326">
        <f t="shared" si="57"/>
        <v>1.65138116617918</v>
      </c>
      <c r="I326">
        <f t="shared" si="58"/>
        <v>10.756365051647601</v>
      </c>
      <c r="J326">
        <f t="shared" si="59"/>
        <v>1.65041362528983</v>
      </c>
      <c r="K326" s="7">
        <f t="shared" si="60"/>
        <v>-4.5223216201151197E-5</v>
      </c>
      <c r="L326" s="7">
        <f t="shared" si="61"/>
        <v>9.67540889349916E-4</v>
      </c>
      <c r="M326" s="7">
        <f t="shared" si="62"/>
        <v>9.0829838438119898E-2</v>
      </c>
      <c r="N326" s="7">
        <f t="shared" si="63"/>
        <v>-1.39365670671603E-2</v>
      </c>
      <c r="O326">
        <v>-0.75907385999999999</v>
      </c>
      <c r="P326">
        <v>-9.3431730000000002</v>
      </c>
      <c r="Q326">
        <v>-4.4889616999999999</v>
      </c>
      <c r="R326">
        <v>-8.3737045000000006</v>
      </c>
      <c r="S326">
        <f t="shared" si="64"/>
        <v>1.0135566801062712</v>
      </c>
      <c r="T326">
        <f t="shared" si="65"/>
        <v>-23.550076238669298</v>
      </c>
    </row>
    <row r="327" spans="1:20" x14ac:dyDescent="0.35">
      <c r="A327">
        <v>1.5625</v>
      </c>
      <c r="B327">
        <v>16.512799999999999</v>
      </c>
      <c r="C327">
        <v>-4.3148851000000002E-2</v>
      </c>
      <c r="D327">
        <v>9.5354507999999994E-3</v>
      </c>
      <c r="E327">
        <v>0.95694588999999997</v>
      </c>
      <c r="F327">
        <v>7.5988475000000003E-3</v>
      </c>
      <c r="G327">
        <f t="shared" si="56"/>
        <v>10.6596074309548</v>
      </c>
      <c r="H327">
        <f t="shared" si="57"/>
        <v>2.2186498642091701</v>
      </c>
      <c r="I327">
        <f t="shared" si="58"/>
        <v>10.659655736685</v>
      </c>
      <c r="J327">
        <f t="shared" si="59"/>
        <v>2.2176816551982301</v>
      </c>
      <c r="K327" s="7">
        <f t="shared" si="60"/>
        <v>-4.8305730199871298E-5</v>
      </c>
      <c r="L327" s="7">
        <f t="shared" si="61"/>
        <v>9.6820901093996902E-4</v>
      </c>
      <c r="M327" s="7">
        <f t="shared" si="62"/>
        <v>8.99197126450485E-2</v>
      </c>
      <c r="N327" s="7">
        <f t="shared" si="63"/>
        <v>-1.87072924397872E-2</v>
      </c>
      <c r="O327">
        <v>-1.2287716</v>
      </c>
      <c r="P327">
        <v>-9.2386736999999997</v>
      </c>
      <c r="Q327">
        <v>-4.8884150000000002</v>
      </c>
      <c r="R327">
        <v>-8.0942363999999998</v>
      </c>
      <c r="S327">
        <f t="shared" si="64"/>
        <v>1.0145737788362086</v>
      </c>
      <c r="T327">
        <f t="shared" si="65"/>
        <v>-23.553315068835996</v>
      </c>
    </row>
    <row r="328" spans="1:20" x14ac:dyDescent="0.35">
      <c r="A328">
        <v>1.5625</v>
      </c>
      <c r="B328">
        <v>16.561599999999999</v>
      </c>
      <c r="C328">
        <v>-4.2569372000000001E-2</v>
      </c>
      <c r="D328">
        <v>1.1611916E-2</v>
      </c>
      <c r="E328">
        <v>0.95753113999999995</v>
      </c>
      <c r="F328">
        <v>9.6734907000000005E-3</v>
      </c>
      <c r="G328">
        <f t="shared" si="56"/>
        <v>10.5660767615206</v>
      </c>
      <c r="H328">
        <f t="shared" si="57"/>
        <v>2.7703738614386801</v>
      </c>
      <c r="I328">
        <f t="shared" si="58"/>
        <v>10.566127954225699</v>
      </c>
      <c r="J328">
        <f t="shared" si="59"/>
        <v>2.7694047471091201</v>
      </c>
      <c r="K328" s="7">
        <f t="shared" si="60"/>
        <v>-5.1192705099012401E-5</v>
      </c>
      <c r="L328" s="7">
        <f t="shared" si="61"/>
        <v>9.6911432956003896E-4</v>
      </c>
      <c r="M328" s="7">
        <f t="shared" si="62"/>
        <v>8.8558311616868807E-2</v>
      </c>
      <c r="N328" s="7">
        <f t="shared" si="63"/>
        <v>-2.3211322979449701E-2</v>
      </c>
      <c r="O328">
        <v>-1.6718571</v>
      </c>
      <c r="P328">
        <v>-9.0921327999999999</v>
      </c>
      <c r="Q328">
        <v>-5.2467264</v>
      </c>
      <c r="R328">
        <v>-7.7857243</v>
      </c>
      <c r="S328">
        <f t="shared" si="64"/>
        <v>1.0155795137234171</v>
      </c>
      <c r="T328">
        <f t="shared" si="65"/>
        <v>-23.556527663690581</v>
      </c>
    </row>
    <row r="329" spans="1:20" x14ac:dyDescent="0.35">
      <c r="A329">
        <v>1.5625</v>
      </c>
      <c r="B329">
        <v>16.610399999999998</v>
      </c>
      <c r="C329">
        <v>-4.1821056000000002E-2</v>
      </c>
      <c r="D329">
        <v>1.3550562E-2</v>
      </c>
      <c r="E329">
        <v>0.95825927</v>
      </c>
      <c r="F329">
        <v>1.1666322E-2</v>
      </c>
      <c r="G329">
        <f t="shared" si="56"/>
        <v>10.468305043348</v>
      </c>
      <c r="H329">
        <f t="shared" si="57"/>
        <v>3.3104408866432999</v>
      </c>
      <c r="I329">
        <f t="shared" si="58"/>
        <v>10.468346092217301</v>
      </c>
      <c r="J329">
        <f t="shared" si="59"/>
        <v>3.30949884315155</v>
      </c>
      <c r="K329" s="7">
        <f t="shared" si="60"/>
        <v>-4.1048869301007999E-5</v>
      </c>
      <c r="L329" s="7">
        <f t="shared" si="61"/>
        <v>9.4204349174997802E-4</v>
      </c>
      <c r="M329" s="7">
        <f t="shared" si="62"/>
        <v>8.6846095727202796E-2</v>
      </c>
      <c r="N329" s="7">
        <f t="shared" si="63"/>
        <v>-2.7455822611280101E-2</v>
      </c>
      <c r="O329">
        <v>-2.0830548000000002</v>
      </c>
      <c r="P329">
        <v>-8.9089690000000008</v>
      </c>
      <c r="Q329">
        <v>-5.5610203</v>
      </c>
      <c r="R329">
        <v>-7.4563287999999996</v>
      </c>
      <c r="S329">
        <f t="shared" si="64"/>
        <v>1.0166630985904268</v>
      </c>
      <c r="T329">
        <f t="shared" si="65"/>
        <v>-23.555803904410652</v>
      </c>
    </row>
    <row r="330" spans="1:20" x14ac:dyDescent="0.35">
      <c r="A330">
        <v>1.5625</v>
      </c>
      <c r="B330">
        <v>16.659199999999998</v>
      </c>
      <c r="C330">
        <v>-4.0934154E-2</v>
      </c>
      <c r="D330">
        <v>1.5329479E-2</v>
      </c>
      <c r="E330">
        <v>0.95915457999999998</v>
      </c>
      <c r="F330">
        <v>1.3446609999999999E-2</v>
      </c>
      <c r="G330">
        <f t="shared" si="56"/>
        <v>10.3807633287754</v>
      </c>
      <c r="H330">
        <f t="shared" si="57"/>
        <v>3.8291341138523101</v>
      </c>
      <c r="I330">
        <f t="shared" si="58"/>
        <v>10.380808579987299</v>
      </c>
      <c r="J330">
        <f t="shared" si="59"/>
        <v>3.8281927637182398</v>
      </c>
      <c r="K330" s="7">
        <f t="shared" si="60"/>
        <v>-4.5251211899355299E-5</v>
      </c>
      <c r="L330" s="7">
        <f t="shared" si="61"/>
        <v>9.4135013407026203E-4</v>
      </c>
      <c r="M330" s="7">
        <f t="shared" si="62"/>
        <v>8.4799271889251196E-2</v>
      </c>
      <c r="N330" s="7">
        <f t="shared" si="63"/>
        <v>-3.1271933829975798E-2</v>
      </c>
      <c r="O330">
        <v>-2.4587387000000001</v>
      </c>
      <c r="P330">
        <v>-8.6992036000000006</v>
      </c>
      <c r="Q330">
        <v>-5.8316359000000002</v>
      </c>
      <c r="R330">
        <v>-7.1144837000000001</v>
      </c>
      <c r="S330">
        <f t="shared" si="64"/>
        <v>1.0176024294891142</v>
      </c>
      <c r="T330">
        <f t="shared" si="65"/>
        <v>-23.558572165604957</v>
      </c>
    </row>
    <row r="331" spans="1:20" x14ac:dyDescent="0.35">
      <c r="A331">
        <v>1.5625</v>
      </c>
      <c r="B331">
        <v>16.707999999999998</v>
      </c>
      <c r="C331">
        <v>-3.9937683000000002E-2</v>
      </c>
      <c r="D331">
        <v>1.6950115000000002E-2</v>
      </c>
      <c r="E331">
        <v>0.96011268000000005</v>
      </c>
      <c r="F331">
        <v>1.5110093E-2</v>
      </c>
      <c r="G331">
        <f t="shared" si="56"/>
        <v>10.287312761890499</v>
      </c>
      <c r="H331">
        <f t="shared" si="57"/>
        <v>4.3329860718753102</v>
      </c>
      <c r="I331">
        <f t="shared" si="58"/>
        <v>10.287338789112001</v>
      </c>
      <c r="J331">
        <f t="shared" si="59"/>
        <v>4.3320661079867104</v>
      </c>
      <c r="K331" s="7">
        <f t="shared" si="60"/>
        <v>-2.6027221501578899E-5</v>
      </c>
      <c r="L331" s="7">
        <f t="shared" si="61"/>
        <v>9.1996388859971702E-4</v>
      </c>
      <c r="M331" s="7">
        <f t="shared" si="62"/>
        <v>8.2565472003996193E-2</v>
      </c>
      <c r="N331" s="7">
        <f t="shared" si="63"/>
        <v>-3.4768863968687599E-2</v>
      </c>
      <c r="O331">
        <v>-2.7993041000000001</v>
      </c>
      <c r="P331">
        <v>-8.4666101999999999</v>
      </c>
      <c r="Q331">
        <v>-6.0601998000000004</v>
      </c>
      <c r="R331">
        <v>-6.7653672</v>
      </c>
      <c r="S331">
        <f t="shared" si="64"/>
        <v>1.0185443422083791</v>
      </c>
      <c r="T331">
        <f t="shared" si="65"/>
        <v>-23.55760059954742</v>
      </c>
    </row>
    <row r="332" spans="1:20" x14ac:dyDescent="0.35">
      <c r="A332">
        <v>1.5625</v>
      </c>
      <c r="B332">
        <v>16.756799999999998</v>
      </c>
      <c r="C332">
        <v>-3.8858984999999999E-2</v>
      </c>
      <c r="D332">
        <v>1.8411224E-2</v>
      </c>
      <c r="E332">
        <v>0.96116612000000001</v>
      </c>
      <c r="F332">
        <v>1.6691060000000001E-2</v>
      </c>
      <c r="G332">
        <f t="shared" si="56"/>
        <v>10.189193481709101</v>
      </c>
      <c r="H332">
        <f t="shared" si="57"/>
        <v>4.8298997452407901</v>
      </c>
      <c r="I332">
        <f t="shared" si="58"/>
        <v>10.1892067737642</v>
      </c>
      <c r="J332">
        <f t="shared" si="59"/>
        <v>4.8290396854689401</v>
      </c>
      <c r="K332" s="7">
        <f t="shared" si="60"/>
        <v>-1.3292055099256599E-5</v>
      </c>
      <c r="L332" s="7">
        <f t="shared" si="61"/>
        <v>8.6005977184999704E-4</v>
      </c>
      <c r="M332" s="7">
        <f t="shared" si="62"/>
        <v>8.0141907498523401E-2</v>
      </c>
      <c r="N332" s="7">
        <f t="shared" si="63"/>
        <v>-3.7982196295794503E-2</v>
      </c>
      <c r="O332">
        <v>-3.1025668</v>
      </c>
      <c r="P332">
        <v>-8.2191995000000002</v>
      </c>
      <c r="Q332">
        <v>-6.2496100999999999</v>
      </c>
      <c r="R332">
        <v>-6.4171177000000004</v>
      </c>
      <c r="S332">
        <f t="shared" si="64"/>
        <v>1.0196045325877174</v>
      </c>
      <c r="T332">
        <f t="shared" si="65"/>
        <v>-23.561934912940128</v>
      </c>
    </row>
    <row r="333" spans="1:20" x14ac:dyDescent="0.35">
      <c r="A333">
        <v>1.5625</v>
      </c>
      <c r="B333">
        <v>16.805599999999998</v>
      </c>
      <c r="C333">
        <v>-3.7730357999999999E-2</v>
      </c>
      <c r="D333">
        <v>1.9703282999999999E-2</v>
      </c>
      <c r="E333">
        <v>0.96230221000000005</v>
      </c>
      <c r="F333">
        <v>1.7993293E-2</v>
      </c>
      <c r="G333">
        <f t="shared" si="56"/>
        <v>10.108079892428499</v>
      </c>
      <c r="H333">
        <f t="shared" si="57"/>
        <v>5.3020107937455796</v>
      </c>
      <c r="I333">
        <f t="shared" si="58"/>
        <v>10.1080969071435</v>
      </c>
      <c r="J333">
        <f t="shared" si="59"/>
        <v>5.3011558272153501</v>
      </c>
      <c r="K333" s="7">
        <f t="shared" si="60"/>
        <v>-1.7014715000485098E-5</v>
      </c>
      <c r="L333" s="7">
        <f t="shared" si="61"/>
        <v>8.5496653022954004E-4</v>
      </c>
      <c r="M333" s="7">
        <f t="shared" si="62"/>
        <v>7.7589936086925507E-2</v>
      </c>
      <c r="N333" s="7">
        <f t="shared" si="63"/>
        <v>-4.0691768747269298E-2</v>
      </c>
      <c r="O333">
        <v>-3.3705067</v>
      </c>
      <c r="P333">
        <v>-7.9621525000000002</v>
      </c>
      <c r="Q333">
        <v>-6.4012212999999996</v>
      </c>
      <c r="R333">
        <v>-6.0727910999999999</v>
      </c>
      <c r="S333">
        <f t="shared" si="64"/>
        <v>1.0205119154457498</v>
      </c>
      <c r="T333">
        <f t="shared" si="65"/>
        <v>-23.56448215665176</v>
      </c>
    </row>
    <row r="334" spans="1:20" x14ac:dyDescent="0.35">
      <c r="A334">
        <v>1.5625</v>
      </c>
      <c r="B334">
        <v>16.854399999999998</v>
      </c>
      <c r="C334">
        <v>-3.6573611999999998E-2</v>
      </c>
      <c r="D334">
        <v>2.0839083000000001E-2</v>
      </c>
      <c r="E334">
        <v>0.96346900000000002</v>
      </c>
      <c r="F334">
        <v>1.9134786000000001E-2</v>
      </c>
      <c r="G334">
        <f t="shared" si="56"/>
        <v>10.0304649044011</v>
      </c>
      <c r="H334">
        <f t="shared" si="57"/>
        <v>5.7585287722443796</v>
      </c>
      <c r="I334">
        <f t="shared" si="58"/>
        <v>10.030486936057301</v>
      </c>
      <c r="J334">
        <f t="shared" si="59"/>
        <v>5.7576766606736998</v>
      </c>
      <c r="K334" s="7">
        <f t="shared" si="60"/>
        <v>-2.2031656200738298E-5</v>
      </c>
      <c r="L334" s="7">
        <f t="shared" si="61"/>
        <v>8.5211157067988097E-4</v>
      </c>
      <c r="M334" s="7">
        <f t="shared" si="62"/>
        <v>7.4987842416666201E-2</v>
      </c>
      <c r="N334" s="7">
        <f t="shared" si="63"/>
        <v>-4.3044345989291202E-2</v>
      </c>
      <c r="O334">
        <v>-3.6044440999999998</v>
      </c>
      <c r="P334">
        <v>-7.7006663</v>
      </c>
      <c r="Q334">
        <v>-6.5191787999999997</v>
      </c>
      <c r="R334">
        <v>-5.7373839000000002</v>
      </c>
      <c r="S334">
        <f t="shared" si="64"/>
        <v>1.0213849063515399</v>
      </c>
      <c r="T334">
        <f t="shared" si="65"/>
        <v>-23.566871169572721</v>
      </c>
    </row>
    <row r="335" spans="1:20" x14ac:dyDescent="0.35">
      <c r="A335">
        <v>1.5625</v>
      </c>
      <c r="B335">
        <v>16.903200000000002</v>
      </c>
      <c r="C335">
        <v>-3.5408549999999997E-2</v>
      </c>
      <c r="D335">
        <v>2.1827534999999999E-2</v>
      </c>
      <c r="E335">
        <v>0.96464000000000005</v>
      </c>
      <c r="F335">
        <v>2.0082902E-2</v>
      </c>
      <c r="G335">
        <f t="shared" si="56"/>
        <v>9.9614770903798302</v>
      </c>
      <c r="H335">
        <f t="shared" si="57"/>
        <v>6.1959227073074299</v>
      </c>
      <c r="I335">
        <f t="shared" si="58"/>
        <v>9.9615021256706697</v>
      </c>
      <c r="J335">
        <f t="shared" si="59"/>
        <v>6.1950504338205796</v>
      </c>
      <c r="K335" s="7">
        <f t="shared" si="60"/>
        <v>-2.5035290839525701E-5</v>
      </c>
      <c r="L335" s="7">
        <f t="shared" si="61"/>
        <v>8.7227348685026097E-4</v>
      </c>
      <c r="M335" s="7">
        <f t="shared" si="62"/>
        <v>7.2389284902130105E-2</v>
      </c>
      <c r="N335" s="7">
        <f t="shared" si="63"/>
        <v>-4.5018840048353603E-2</v>
      </c>
      <c r="O335">
        <v>-3.8064648999999999</v>
      </c>
      <c r="P335">
        <v>-7.4385211</v>
      </c>
      <c r="Q335">
        <v>-6.6067808000000001</v>
      </c>
      <c r="R335">
        <v>-5.4133281000000002</v>
      </c>
      <c r="S335">
        <f t="shared" si="64"/>
        <v>1.0221891394611371</v>
      </c>
      <c r="T335">
        <f t="shared" si="65"/>
        <v>-23.570314105443497</v>
      </c>
    </row>
    <row r="336" spans="1:20" x14ac:dyDescent="0.35">
      <c r="A336">
        <v>1.5625</v>
      </c>
      <c r="B336">
        <v>16.952000000000002</v>
      </c>
      <c r="C336">
        <v>-3.4264157000000003E-2</v>
      </c>
      <c r="D336">
        <v>2.2673560999999998E-2</v>
      </c>
      <c r="E336">
        <v>0.96577975000000005</v>
      </c>
      <c r="F336">
        <v>2.0937872E-2</v>
      </c>
      <c r="G336">
        <f t="shared" si="56"/>
        <v>9.8888946614934596</v>
      </c>
      <c r="H336">
        <f t="shared" si="57"/>
        <v>6.6161746012912896</v>
      </c>
      <c r="I336">
        <f t="shared" si="58"/>
        <v>9.8889173676154396</v>
      </c>
      <c r="J336">
        <f t="shared" si="59"/>
        <v>6.6153067955480704</v>
      </c>
      <c r="K336" s="7">
        <f t="shared" si="60"/>
        <v>-2.2706121979965099E-5</v>
      </c>
      <c r="L336" s="7">
        <f t="shared" si="61"/>
        <v>8.67805743219208E-4</v>
      </c>
      <c r="M336" s="7">
        <f t="shared" si="62"/>
        <v>6.9860189570880402E-2</v>
      </c>
      <c r="N336" s="7">
        <f t="shared" si="63"/>
        <v>-4.67337899212278E-2</v>
      </c>
      <c r="O336">
        <v>-3.9781971</v>
      </c>
      <c r="P336">
        <v>-7.1824019000000003</v>
      </c>
      <c r="Q336">
        <v>-6.6686617999999998</v>
      </c>
      <c r="R336">
        <v>-5.1070886</v>
      </c>
      <c r="S336">
        <f t="shared" si="64"/>
        <v>1.0230275347758271</v>
      </c>
      <c r="T336">
        <f t="shared" si="65"/>
        <v>-23.572633572751112</v>
      </c>
    </row>
    <row r="337" spans="1:20" x14ac:dyDescent="0.35">
      <c r="A337">
        <v>1.5625</v>
      </c>
      <c r="B337">
        <v>17</v>
      </c>
      <c r="C337">
        <v>-3.4209300999999998E-2</v>
      </c>
      <c r="D337">
        <v>2.3137367999999998E-2</v>
      </c>
      <c r="E337">
        <v>0.96572062000000003</v>
      </c>
      <c r="F337">
        <v>2.1504982999999998E-2</v>
      </c>
      <c r="G337">
        <f t="shared" si="56"/>
        <v>9.7472315772713607</v>
      </c>
      <c r="H337">
        <f t="shared" si="57"/>
        <v>6.6797562284186203</v>
      </c>
      <c r="I337">
        <f t="shared" si="58"/>
        <v>9.7471972027833491</v>
      </c>
      <c r="J337">
        <f t="shared" si="59"/>
        <v>6.6789399792614699</v>
      </c>
      <c r="K337" s="7">
        <f t="shared" si="60"/>
        <v>3.4374488011579301E-5</v>
      </c>
      <c r="L337" s="7">
        <f t="shared" si="61"/>
        <v>8.1624915715039503E-4</v>
      </c>
      <c r="M337" s="7">
        <f t="shared" si="62"/>
        <v>6.98142816082402E-2</v>
      </c>
      <c r="N337" s="7">
        <f t="shared" si="63"/>
        <v>-4.7837895023150299E-2</v>
      </c>
      <c r="O337">
        <v>-4.0498120000000002</v>
      </c>
      <c r="P337">
        <v>-7.1725586000000003</v>
      </c>
      <c r="Q337">
        <v>-6.7055923000000002</v>
      </c>
      <c r="R337">
        <v>-5.0515302000000002</v>
      </c>
      <c r="S337">
        <f t="shared" si="64"/>
        <v>1.0192436144690236</v>
      </c>
      <c r="T337">
        <f t="shared" si="65"/>
        <v>-23.557958173246231</v>
      </c>
    </row>
    <row r="338" spans="1:20" x14ac:dyDescent="0.35">
      <c r="A338">
        <v>1.7000000000000002</v>
      </c>
      <c r="B338">
        <v>15</v>
      </c>
      <c r="C338">
        <v>-1.0472102E-2</v>
      </c>
      <c r="D338">
        <v>-1.5862061E-2</v>
      </c>
      <c r="E338">
        <v>0.98931917999999996</v>
      </c>
      <c r="F338">
        <v>-1.8122831999999998E-2</v>
      </c>
      <c r="G338">
        <f t="shared" si="56"/>
        <v>12.700669605192701</v>
      </c>
      <c r="H338">
        <f t="shared" si="57"/>
        <v>-21.207927411715101</v>
      </c>
      <c r="I338">
        <f t="shared" si="58"/>
        <v>12.7005665134706</v>
      </c>
      <c r="J338">
        <f t="shared" si="59"/>
        <v>-21.209058031738898</v>
      </c>
      <c r="K338" s="7">
        <f t="shared" si="60"/>
        <v>1.03091722101212E-4</v>
      </c>
      <c r="L338" s="7">
        <f t="shared" si="61"/>
        <v>1.13062002379749E-3</v>
      </c>
      <c r="M338" s="7">
        <f t="shared" si="62"/>
        <v>2.07821527567893E-2</v>
      </c>
      <c r="N338" s="7">
        <f t="shared" si="63"/>
        <v>3.4704741979478801E-2</v>
      </c>
      <c r="O338">
        <v>4.3096582000000003</v>
      </c>
      <c r="P338">
        <v>-2.2779254</v>
      </c>
      <c r="Q338">
        <v>2.9495038</v>
      </c>
      <c r="R338">
        <v>-3.6718609999999998</v>
      </c>
      <c r="S338">
        <f t="shared" si="64"/>
        <v>0.96618277321353108</v>
      </c>
      <c r="T338">
        <f t="shared" si="65"/>
        <v>-23.366787253439462</v>
      </c>
    </row>
    <row r="339" spans="1:20" x14ac:dyDescent="0.35">
      <c r="A339">
        <v>1.7000000000000002</v>
      </c>
      <c r="B339">
        <v>15.0488</v>
      </c>
      <c r="C339">
        <v>-1.1211942000000001E-2</v>
      </c>
      <c r="D339">
        <v>-1.6381111E-2</v>
      </c>
      <c r="E339">
        <v>0.98864099000000005</v>
      </c>
      <c r="F339">
        <v>-1.8644332999999999E-2</v>
      </c>
      <c r="G339">
        <f t="shared" si="56"/>
        <v>12.500017225925401</v>
      </c>
      <c r="H339">
        <f t="shared" si="57"/>
        <v>-20.172713019387398</v>
      </c>
      <c r="I339">
        <f t="shared" si="58"/>
        <v>12.499944967342101</v>
      </c>
      <c r="J339">
        <f t="shared" si="59"/>
        <v>-20.173844795380099</v>
      </c>
      <c r="K339" s="7">
        <f t="shared" si="60"/>
        <v>7.2258583299955603E-5</v>
      </c>
      <c r="L339" s="7">
        <f t="shared" si="61"/>
        <v>1.13177599270031E-3</v>
      </c>
      <c r="M339" s="7">
        <f t="shared" si="62"/>
        <v>2.2193218438837401E-2</v>
      </c>
      <c r="N339" s="7">
        <f t="shared" si="63"/>
        <v>3.5817961236214398E-2</v>
      </c>
      <c r="O339">
        <v>4.4084456999999997</v>
      </c>
      <c r="P339">
        <v>-2.4295947</v>
      </c>
      <c r="Q339">
        <v>2.9825422000000001</v>
      </c>
      <c r="R339">
        <v>-3.8477600000000001</v>
      </c>
      <c r="S339">
        <f t="shared" si="64"/>
        <v>0.9671665515860004</v>
      </c>
      <c r="T339">
        <f t="shared" si="65"/>
        <v>-23.359243257765399</v>
      </c>
    </row>
    <row r="340" spans="1:20" x14ac:dyDescent="0.35">
      <c r="A340">
        <v>1.7000000000000002</v>
      </c>
      <c r="B340">
        <v>15.0976</v>
      </c>
      <c r="C340">
        <v>-1.2016907E-2</v>
      </c>
      <c r="D340">
        <v>-1.6909107999999999E-2</v>
      </c>
      <c r="E340">
        <v>0.98783825999999997</v>
      </c>
      <c r="F340">
        <v>-1.9166810999999999E-2</v>
      </c>
      <c r="G340">
        <f t="shared" si="56"/>
        <v>12.319566595668899</v>
      </c>
      <c r="H340">
        <f t="shared" si="57"/>
        <v>-19.126906222688199</v>
      </c>
      <c r="I340">
        <f t="shared" si="58"/>
        <v>12.3194954485053</v>
      </c>
      <c r="J340">
        <f t="shared" si="59"/>
        <v>-19.128035236262001</v>
      </c>
      <c r="K340" s="7">
        <f t="shared" si="60"/>
        <v>7.1147163598794805E-5</v>
      </c>
      <c r="L340" s="7">
        <f t="shared" si="61"/>
        <v>1.12901357380224E-3</v>
      </c>
      <c r="M340" s="7">
        <f t="shared" si="62"/>
        <v>2.3798811915417901E-2</v>
      </c>
      <c r="N340" s="7">
        <f t="shared" si="63"/>
        <v>3.6951554940061901E-2</v>
      </c>
      <c r="O340">
        <v>4.5054062000000004</v>
      </c>
      <c r="P340">
        <v>-2.5951365000000002</v>
      </c>
      <c r="Q340">
        <v>3.0094585999999999</v>
      </c>
      <c r="R340">
        <v>-4.0386173999999997</v>
      </c>
      <c r="S340">
        <f t="shared" si="64"/>
        <v>0.9686935219306918</v>
      </c>
      <c r="T340">
        <f t="shared" si="65"/>
        <v>-23.365449514093498</v>
      </c>
    </row>
    <row r="341" spans="1:20" x14ac:dyDescent="0.35">
      <c r="A341">
        <v>1.7000000000000002</v>
      </c>
      <c r="B341">
        <v>15.1464</v>
      </c>
      <c r="C341">
        <v>-1.2880176E-2</v>
      </c>
      <c r="D341">
        <v>-1.7427683999999999E-2</v>
      </c>
      <c r="E341">
        <v>0.98697237000000004</v>
      </c>
      <c r="F341">
        <v>-1.9678214999999999E-2</v>
      </c>
      <c r="G341">
        <f t="shared" si="56"/>
        <v>12.1499482341746</v>
      </c>
      <c r="H341">
        <f t="shared" si="57"/>
        <v>-18.1170022025163</v>
      </c>
      <c r="I341">
        <f t="shared" si="58"/>
        <v>12.1498757682395</v>
      </c>
      <c r="J341">
        <f t="shared" si="59"/>
        <v>-18.118127632534399</v>
      </c>
      <c r="K341" s="7">
        <f t="shared" si="60"/>
        <v>7.2465935099685894E-5</v>
      </c>
      <c r="L341" s="7">
        <f t="shared" si="61"/>
        <v>1.12543001809939E-3</v>
      </c>
      <c r="M341" s="7">
        <f t="shared" si="62"/>
        <v>2.55310620609706E-2</v>
      </c>
      <c r="N341" s="7">
        <f t="shared" si="63"/>
        <v>3.8072409120760001E-2</v>
      </c>
      <c r="O341">
        <v>4.6007680000000004</v>
      </c>
      <c r="P341">
        <v>-2.7726831000000001</v>
      </c>
      <c r="Q341">
        <v>3.0301433000000002</v>
      </c>
      <c r="R341">
        <v>-4.2398610000000003</v>
      </c>
      <c r="S341">
        <f t="shared" si="64"/>
        <v>0.97015492005044279</v>
      </c>
      <c r="T341">
        <f t="shared" si="65"/>
        <v>-23.371826139702538</v>
      </c>
    </row>
    <row r="342" spans="1:20" x14ac:dyDescent="0.35">
      <c r="A342">
        <v>1.7000000000000002</v>
      </c>
      <c r="B342">
        <v>15.1952</v>
      </c>
      <c r="C342">
        <v>-1.3809613E-2</v>
      </c>
      <c r="D342">
        <v>-1.7935373000000001E-2</v>
      </c>
      <c r="E342">
        <v>0.98603841999999997</v>
      </c>
      <c r="F342">
        <v>-2.0177932999999999E-2</v>
      </c>
      <c r="G342">
        <f t="shared" si="56"/>
        <v>11.9878524052508</v>
      </c>
      <c r="H342">
        <f t="shared" si="57"/>
        <v>-17.1377709225277</v>
      </c>
      <c r="I342">
        <f t="shared" si="58"/>
        <v>11.987777673530699</v>
      </c>
      <c r="J342">
        <f t="shared" si="59"/>
        <v>-17.138892371534499</v>
      </c>
      <c r="K342" s="7">
        <f t="shared" si="60"/>
        <v>7.4731720101084407E-5</v>
      </c>
      <c r="L342" s="7">
        <f t="shared" si="61"/>
        <v>1.1214490067992201E-3</v>
      </c>
      <c r="M342" s="7">
        <f t="shared" si="62"/>
        <v>2.7403863936579301E-2</v>
      </c>
      <c r="N342" s="7">
        <f t="shared" si="63"/>
        <v>3.9179227990710497E-2</v>
      </c>
      <c r="O342">
        <v>4.693594</v>
      </c>
      <c r="P342">
        <v>-2.9635536999999998</v>
      </c>
      <c r="Q342">
        <v>3.0433739000000002</v>
      </c>
      <c r="R342">
        <v>-4.4524602</v>
      </c>
      <c r="S342">
        <f t="shared" si="64"/>
        <v>0.97158910784154007</v>
      </c>
      <c r="T342">
        <f t="shared" si="65"/>
        <v>-23.377888765135282</v>
      </c>
    </row>
    <row r="343" spans="1:20" x14ac:dyDescent="0.35">
      <c r="A343">
        <v>1.7000000000000002</v>
      </c>
      <c r="B343">
        <v>15.244</v>
      </c>
      <c r="C343">
        <v>-1.4811736000000001E-2</v>
      </c>
      <c r="D343">
        <v>-1.8428263E-2</v>
      </c>
      <c r="E343">
        <v>0.98503096000000001</v>
      </c>
      <c r="F343">
        <v>-2.0662422E-2</v>
      </c>
      <c r="G343">
        <f t="shared" si="56"/>
        <v>11.831744127465299</v>
      </c>
      <c r="H343">
        <f t="shared" si="57"/>
        <v>-16.186219453735799</v>
      </c>
      <c r="I343">
        <f t="shared" si="58"/>
        <v>11.8316667174382</v>
      </c>
      <c r="J343">
        <f t="shared" si="59"/>
        <v>-16.1873367075831</v>
      </c>
      <c r="K343" s="7">
        <f t="shared" si="60"/>
        <v>7.7410027099489298E-5</v>
      </c>
      <c r="L343" s="7">
        <f t="shared" si="61"/>
        <v>1.11725384730121E-3</v>
      </c>
      <c r="M343" s="7">
        <f t="shared" si="62"/>
        <v>2.9430673814035701E-2</v>
      </c>
      <c r="N343" s="7">
        <f t="shared" si="63"/>
        <v>4.0265183083351599E-2</v>
      </c>
      <c r="O343">
        <v>4.7828635999999998</v>
      </c>
      <c r="P343">
        <v>-3.1689216</v>
      </c>
      <c r="Q343">
        <v>3.0477748</v>
      </c>
      <c r="R343">
        <v>-4.6771471</v>
      </c>
      <c r="S343">
        <f t="shared" si="64"/>
        <v>0.97300553560336733</v>
      </c>
      <c r="T343">
        <f t="shared" si="65"/>
        <v>-23.383722884038168</v>
      </c>
    </row>
    <row r="344" spans="1:20" x14ac:dyDescent="0.35">
      <c r="A344">
        <v>1.7000000000000002</v>
      </c>
      <c r="B344">
        <v>15.2928</v>
      </c>
      <c r="C344">
        <v>-1.5892313000000002E-2</v>
      </c>
      <c r="D344">
        <v>-1.8900586E-2</v>
      </c>
      <c r="E344">
        <v>0.98394464999999998</v>
      </c>
      <c r="F344">
        <v>-2.1126008000000002E-2</v>
      </c>
      <c r="G344">
        <f t="shared" si="56"/>
        <v>11.680873444777699</v>
      </c>
      <c r="H344">
        <f t="shared" si="57"/>
        <v>-15.2605682613873</v>
      </c>
      <c r="I344">
        <f t="shared" si="58"/>
        <v>11.680793158058901</v>
      </c>
      <c r="J344">
        <f t="shared" si="59"/>
        <v>-15.2616811524444</v>
      </c>
      <c r="K344" s="7">
        <f t="shared" si="60"/>
        <v>8.0286718798561196E-5</v>
      </c>
      <c r="L344" s="7">
        <f t="shared" si="61"/>
        <v>1.1128910570992201E-3</v>
      </c>
      <c r="M344" s="7">
        <f t="shared" si="62"/>
        <v>3.1624426590074903E-2</v>
      </c>
      <c r="N344" s="7">
        <f t="shared" si="63"/>
        <v>4.1319275901535703E-2</v>
      </c>
      <c r="O344">
        <v>4.8672982999999999</v>
      </c>
      <c r="P344">
        <v>-3.3898491000000002</v>
      </c>
      <c r="Q344">
        <v>3.0417538</v>
      </c>
      <c r="R344">
        <v>-4.9144234000000004</v>
      </c>
      <c r="S344">
        <f t="shared" si="64"/>
        <v>0.97440581515388913</v>
      </c>
      <c r="T344">
        <f t="shared" si="65"/>
        <v>-23.389369929356615</v>
      </c>
    </row>
    <row r="345" spans="1:20" x14ac:dyDescent="0.35">
      <c r="A345">
        <v>1.7000000000000002</v>
      </c>
      <c r="B345">
        <v>15.3416</v>
      </c>
      <c r="C345">
        <v>-1.7056666000000002E-2</v>
      </c>
      <c r="D345">
        <v>-1.9344987000000001E-2</v>
      </c>
      <c r="E345">
        <v>0.98277437000000001</v>
      </c>
      <c r="F345">
        <v>-2.1561341000000001E-2</v>
      </c>
      <c r="G345">
        <f t="shared" si="56"/>
        <v>11.534814503010599</v>
      </c>
      <c r="H345">
        <f t="shared" si="57"/>
        <v>-14.3595798811281</v>
      </c>
      <c r="I345">
        <f t="shared" si="58"/>
        <v>11.5347312422389</v>
      </c>
      <c r="J345">
        <f t="shared" si="59"/>
        <v>-14.360688244032501</v>
      </c>
      <c r="K345" s="7">
        <f t="shared" si="60"/>
        <v>8.3260771699400507E-5</v>
      </c>
      <c r="L345" s="7">
        <f t="shared" si="61"/>
        <v>1.1083629044002E-3</v>
      </c>
      <c r="M345" s="7">
        <f t="shared" si="62"/>
        <v>3.3997736158867503E-2</v>
      </c>
      <c r="N345" s="7">
        <f t="shared" si="63"/>
        <v>4.23270278021321E-2</v>
      </c>
      <c r="O345">
        <v>4.9453405999999998</v>
      </c>
      <c r="P345">
        <v>-3.6273151000000001</v>
      </c>
      <c r="Q345">
        <v>3.0234925000000001</v>
      </c>
      <c r="R345">
        <v>-5.1646080000000003</v>
      </c>
      <c r="S345">
        <f t="shared" si="64"/>
        <v>0.97579120498628436</v>
      </c>
      <c r="T345">
        <f t="shared" si="65"/>
        <v>-23.394859537646056</v>
      </c>
    </row>
    <row r="346" spans="1:20" x14ac:dyDescent="0.35">
      <c r="A346">
        <v>1.7000000000000002</v>
      </c>
      <c r="B346">
        <v>15.3904</v>
      </c>
      <c r="C346">
        <v>-1.8309677E-2</v>
      </c>
      <c r="D346">
        <v>-1.9752545999999999E-2</v>
      </c>
      <c r="E346">
        <v>0.98151535000000001</v>
      </c>
      <c r="F346">
        <v>-2.1959494999999999E-2</v>
      </c>
      <c r="G346">
        <f t="shared" si="56"/>
        <v>11.3932863210423</v>
      </c>
      <c r="H346">
        <f t="shared" si="57"/>
        <v>-13.482272496563301</v>
      </c>
      <c r="I346">
        <f t="shared" si="58"/>
        <v>11.393200044861899</v>
      </c>
      <c r="J346">
        <f t="shared" si="59"/>
        <v>-13.483376162822699</v>
      </c>
      <c r="K346" s="7">
        <f t="shared" si="60"/>
        <v>8.6276180400801596E-5</v>
      </c>
      <c r="L346" s="7">
        <f t="shared" si="61"/>
        <v>1.10366625939839E-3</v>
      </c>
      <c r="M346" s="7">
        <f t="shared" si="62"/>
        <v>3.6562787484369898E-2</v>
      </c>
      <c r="N346" s="7">
        <f t="shared" si="63"/>
        <v>4.3270531130139699E-2</v>
      </c>
      <c r="O346">
        <v>5.0151402999999997</v>
      </c>
      <c r="P346">
        <v>-3.8822030999999999</v>
      </c>
      <c r="Q346">
        <v>2.9909368000000001</v>
      </c>
      <c r="R346">
        <v>-5.4278190999999998</v>
      </c>
      <c r="S346">
        <f t="shared" si="64"/>
        <v>0.97716254019925952</v>
      </c>
      <c r="T346">
        <f t="shared" si="65"/>
        <v>-23.400215154304547</v>
      </c>
    </row>
    <row r="347" spans="1:20" x14ac:dyDescent="0.35">
      <c r="A347">
        <v>1.7000000000000002</v>
      </c>
      <c r="B347">
        <v>15.4392</v>
      </c>
      <c r="C347">
        <v>-1.9655626999999998E-2</v>
      </c>
      <c r="D347">
        <v>-2.0112725000000001E-2</v>
      </c>
      <c r="E347">
        <v>0.98016342999999995</v>
      </c>
      <c r="F347">
        <v>-2.230992E-2</v>
      </c>
      <c r="G347">
        <f t="shared" si="56"/>
        <v>11.256073371067</v>
      </c>
      <c r="H347">
        <f t="shared" si="57"/>
        <v>-12.627814469631501</v>
      </c>
      <c r="I347">
        <f t="shared" si="58"/>
        <v>11.2559840986238</v>
      </c>
      <c r="J347">
        <f t="shared" si="59"/>
        <v>-12.628913264615599</v>
      </c>
      <c r="K347" s="7">
        <f t="shared" si="60"/>
        <v>8.9272443199561694E-5</v>
      </c>
      <c r="L347" s="7">
        <f t="shared" si="61"/>
        <v>1.09879498409882E-3</v>
      </c>
      <c r="M347" s="7">
        <f t="shared" si="62"/>
        <v>3.9330922505088801E-2</v>
      </c>
      <c r="N347" s="7">
        <f t="shared" si="63"/>
        <v>4.4128243659727097E-2</v>
      </c>
      <c r="O347">
        <v>5.0745360000000002</v>
      </c>
      <c r="P347">
        <v>-4.1552642000000004</v>
      </c>
      <c r="Q347">
        <v>2.9417938000000001</v>
      </c>
      <c r="R347">
        <v>-5.7039315000000004</v>
      </c>
      <c r="S347">
        <f t="shared" si="64"/>
        <v>0.97852020915809135</v>
      </c>
      <c r="T347">
        <f t="shared" si="65"/>
        <v>-23.405450192344787</v>
      </c>
    </row>
    <row r="348" spans="1:20" x14ac:dyDescent="0.35">
      <c r="A348">
        <v>1.7000000000000002</v>
      </c>
      <c r="B348">
        <v>15.488</v>
      </c>
      <c r="C348">
        <v>-2.1097923000000001E-2</v>
      </c>
      <c r="D348">
        <v>-2.0413272E-2</v>
      </c>
      <c r="E348">
        <v>0.97871525000000004</v>
      </c>
      <c r="F348">
        <v>-2.2600359E-2</v>
      </c>
      <c r="G348">
        <f t="shared" si="56"/>
        <v>11.122999119853</v>
      </c>
      <c r="H348">
        <f t="shared" si="57"/>
        <v>-11.795438994970301</v>
      </c>
      <c r="I348">
        <f t="shared" si="58"/>
        <v>11.1229068937972</v>
      </c>
      <c r="J348">
        <f t="shared" si="59"/>
        <v>-11.796532741494101</v>
      </c>
      <c r="K348" s="7">
        <f t="shared" si="60"/>
        <v>9.2226055800281897E-5</v>
      </c>
      <c r="L348" s="7">
        <f t="shared" si="61"/>
        <v>1.0937465238001201E-3</v>
      </c>
      <c r="M348" s="7">
        <f t="shared" si="62"/>
        <v>4.2312171219055401E-2</v>
      </c>
      <c r="N348" s="7">
        <f t="shared" si="63"/>
        <v>4.4874682303385899E-2</v>
      </c>
      <c r="O348">
        <v>5.1210364000000004</v>
      </c>
      <c r="P348">
        <v>-4.4470602000000001</v>
      </c>
      <c r="Q348">
        <v>2.8735320999999998</v>
      </c>
      <c r="R348">
        <v>-5.9925246000000003</v>
      </c>
      <c r="S348">
        <f t="shared" si="64"/>
        <v>0.97986504975925626</v>
      </c>
      <c r="T348">
        <f t="shared" si="65"/>
        <v>-23.4106323047308</v>
      </c>
    </row>
    <row r="349" spans="1:20" x14ac:dyDescent="0.35">
      <c r="A349">
        <v>1.7000000000000002</v>
      </c>
      <c r="B349">
        <v>15.536799999999999</v>
      </c>
      <c r="C349">
        <v>-2.2638740000000001E-2</v>
      </c>
      <c r="D349">
        <v>-2.0640149999999999E-2</v>
      </c>
      <c r="E349">
        <v>0.97716871000000005</v>
      </c>
      <c r="F349">
        <v>-2.2816776E-2</v>
      </c>
      <c r="G349">
        <f t="shared" si="56"/>
        <v>10.9939069148071</v>
      </c>
      <c r="H349">
        <f t="shared" si="57"/>
        <v>-10.984445102270801</v>
      </c>
      <c r="I349">
        <f t="shared" si="58"/>
        <v>10.9938118153033</v>
      </c>
      <c r="J349">
        <f t="shared" si="59"/>
        <v>-10.9855336235662</v>
      </c>
      <c r="K349" s="7">
        <f t="shared" si="60"/>
        <v>9.5099503800710695E-5</v>
      </c>
      <c r="L349" s="7">
        <f t="shared" si="61"/>
        <v>1.0885212953990499E-3</v>
      </c>
      <c r="M349" s="7">
        <f t="shared" si="62"/>
        <v>4.5514389676388899E-2</v>
      </c>
      <c r="N349" s="7">
        <f t="shared" si="63"/>
        <v>4.5480117956000501E-2</v>
      </c>
      <c r="O349">
        <v>5.1518049000000001</v>
      </c>
      <c r="P349">
        <v>-4.7578896999999998</v>
      </c>
      <c r="Q349">
        <v>2.7833752</v>
      </c>
      <c r="R349">
        <v>-6.2926656000000003</v>
      </c>
      <c r="S349">
        <f t="shared" si="64"/>
        <v>0.98117869285893489</v>
      </c>
      <c r="T349">
        <f t="shared" si="65"/>
        <v>-23.415546267258907</v>
      </c>
    </row>
    <row r="350" spans="1:20" x14ac:dyDescent="0.35">
      <c r="A350">
        <v>1.7000000000000002</v>
      </c>
      <c r="B350">
        <v>15.585599999999999</v>
      </c>
      <c r="C350">
        <v>-2.4280251999999999E-2</v>
      </c>
      <c r="D350">
        <v>-2.0775816999999999E-2</v>
      </c>
      <c r="E350">
        <v>0.97557347000000005</v>
      </c>
      <c r="F350">
        <v>-2.2844725E-2</v>
      </c>
      <c r="G350">
        <f t="shared" si="56"/>
        <v>10.8931627072776</v>
      </c>
      <c r="H350">
        <f t="shared" si="57"/>
        <v>-10.202874094831699</v>
      </c>
      <c r="I350">
        <f t="shared" si="58"/>
        <v>10.893090633256699</v>
      </c>
      <c r="J350">
        <f t="shared" si="59"/>
        <v>-10.2039086990588</v>
      </c>
      <c r="K350" s="7">
        <f t="shared" si="60"/>
        <v>7.2074020900814203E-5</v>
      </c>
      <c r="L350" s="7">
        <f t="shared" si="61"/>
        <v>1.0346042271010001E-3</v>
      </c>
      <c r="M350" s="7">
        <f t="shared" si="62"/>
        <v>4.8896359233393701E-2</v>
      </c>
      <c r="N350" s="7">
        <f t="shared" si="63"/>
        <v>4.58027939114619E-2</v>
      </c>
      <c r="O350">
        <v>5.1603564000000004</v>
      </c>
      <c r="P350">
        <v>-5.0862917000000003</v>
      </c>
      <c r="Q350">
        <v>2.6667266999999999</v>
      </c>
      <c r="R350">
        <v>-6.6027215999999997</v>
      </c>
      <c r="S350">
        <f t="shared" si="64"/>
        <v>0.98278234906728701</v>
      </c>
      <c r="T350">
        <f t="shared" si="65"/>
        <v>-23.42119476265874</v>
      </c>
    </row>
    <row r="351" spans="1:20" x14ac:dyDescent="0.35">
      <c r="A351">
        <v>1.7000000000000002</v>
      </c>
      <c r="B351">
        <v>15.634399999999999</v>
      </c>
      <c r="C351">
        <v>-2.6017508000000002E-2</v>
      </c>
      <c r="D351">
        <v>-2.0805863000000001E-2</v>
      </c>
      <c r="E351">
        <v>0.97383575</v>
      </c>
      <c r="F351">
        <v>-2.2861580999999999E-2</v>
      </c>
      <c r="G351">
        <f t="shared" si="56"/>
        <v>10.770926076088401</v>
      </c>
      <c r="H351">
        <f t="shared" si="57"/>
        <v>-9.4313444287602906</v>
      </c>
      <c r="I351">
        <f t="shared" si="58"/>
        <v>10.7708537564303</v>
      </c>
      <c r="J351">
        <f t="shared" si="59"/>
        <v>-9.4323724375207192</v>
      </c>
      <c r="K351" s="7">
        <f t="shared" si="60"/>
        <v>7.2319658100283805E-5</v>
      </c>
      <c r="L351" s="7">
        <f t="shared" si="61"/>
        <v>1.02800876042863E-3</v>
      </c>
      <c r="M351" s="7">
        <f t="shared" si="62"/>
        <v>5.2545635380432797E-2</v>
      </c>
      <c r="N351" s="7">
        <f t="shared" si="63"/>
        <v>4.60158511184421E-2</v>
      </c>
      <c r="O351">
        <v>5.1497023000000004</v>
      </c>
      <c r="P351">
        <v>-5.4344175999999997</v>
      </c>
      <c r="Q351">
        <v>2.5239449</v>
      </c>
      <c r="R351">
        <v>-6.9218719999999996</v>
      </c>
      <c r="S351">
        <f t="shared" si="64"/>
        <v>0.98408708200413164</v>
      </c>
      <c r="T351">
        <f t="shared" si="65"/>
        <v>-23.4255630562241</v>
      </c>
    </row>
    <row r="352" spans="1:20" x14ac:dyDescent="0.35">
      <c r="A352">
        <v>1.7000000000000002</v>
      </c>
      <c r="B352">
        <v>15.683199999999999</v>
      </c>
      <c r="C352">
        <v>-2.7847468E-2</v>
      </c>
      <c r="D352">
        <v>-2.0709674000000001E-2</v>
      </c>
      <c r="E352">
        <v>0.97200578999999998</v>
      </c>
      <c r="F352">
        <v>-2.2751949E-2</v>
      </c>
      <c r="G352">
        <f t="shared" si="56"/>
        <v>10.6522998477475</v>
      </c>
      <c r="H352">
        <f t="shared" si="57"/>
        <v>-8.6793051693638006</v>
      </c>
      <c r="I352">
        <f t="shared" si="58"/>
        <v>10.652227514313999</v>
      </c>
      <c r="J352">
        <f t="shared" si="59"/>
        <v>-8.6803264556589799</v>
      </c>
      <c r="K352" s="7">
        <f t="shared" si="60"/>
        <v>7.2333433500659794E-5</v>
      </c>
      <c r="L352" s="7">
        <f t="shared" si="61"/>
        <v>1.02128629517928E-3</v>
      </c>
      <c r="M352" s="7">
        <f t="shared" si="62"/>
        <v>5.64153125053636E-2</v>
      </c>
      <c r="N352" s="7">
        <f t="shared" si="63"/>
        <v>4.5971917984903403E-2</v>
      </c>
      <c r="O352">
        <v>5.1128479999999996</v>
      </c>
      <c r="P352">
        <v>-5.7998919999999998</v>
      </c>
      <c r="Q352">
        <v>2.3502174999999998</v>
      </c>
      <c r="R352">
        <v>-7.2475560999999997</v>
      </c>
      <c r="S352">
        <f t="shared" si="64"/>
        <v>0.98542938501041322</v>
      </c>
      <c r="T352">
        <f t="shared" si="65"/>
        <v>-23.430829691758746</v>
      </c>
    </row>
    <row r="353" spans="1:20" x14ac:dyDescent="0.35">
      <c r="A353">
        <v>1.7000000000000002</v>
      </c>
      <c r="B353">
        <v>15.731999999999999</v>
      </c>
      <c r="C353">
        <v>-2.9762087E-2</v>
      </c>
      <c r="D353">
        <v>-2.0466967999999999E-2</v>
      </c>
      <c r="E353">
        <v>0.97009166000000002</v>
      </c>
      <c r="F353">
        <v>-2.2495590999999999E-2</v>
      </c>
      <c r="G353">
        <f t="shared" si="56"/>
        <v>10.5371540044637</v>
      </c>
      <c r="H353">
        <f t="shared" si="57"/>
        <v>-7.9461902401524398</v>
      </c>
      <c r="I353">
        <f t="shared" si="58"/>
        <v>10.5370819016683</v>
      </c>
      <c r="J353">
        <f t="shared" si="59"/>
        <v>-7.9472046989709701</v>
      </c>
      <c r="K353" s="7">
        <f t="shared" si="60"/>
        <v>7.2102795400041901E-5</v>
      </c>
      <c r="L353" s="7">
        <f t="shared" si="61"/>
        <v>1.01445881853035E-3</v>
      </c>
      <c r="M353" s="7">
        <f t="shared" si="62"/>
        <v>6.0492527454771898E-2</v>
      </c>
      <c r="N353" s="7">
        <f t="shared" si="63"/>
        <v>4.5624253747622197E-2</v>
      </c>
      <c r="O353">
        <v>5.0480625999999997</v>
      </c>
      <c r="P353">
        <v>-6.1836523999999997</v>
      </c>
      <c r="Q353">
        <v>2.1424858000000002</v>
      </c>
      <c r="R353">
        <v>-7.5758383</v>
      </c>
      <c r="S353">
        <f t="shared" si="64"/>
        <v>0.98627661091478158</v>
      </c>
      <c r="T353">
        <f t="shared" si="65"/>
        <v>-23.435517854659615</v>
      </c>
    </row>
    <row r="354" spans="1:20" x14ac:dyDescent="0.35">
      <c r="A354">
        <v>1.7000000000000002</v>
      </c>
      <c r="B354">
        <v>15.780799999999999</v>
      </c>
      <c r="C354">
        <v>-3.1749185999999999E-2</v>
      </c>
      <c r="D354">
        <v>-2.0056878E-2</v>
      </c>
      <c r="E354">
        <v>0.96810558000000002</v>
      </c>
      <c r="F354">
        <v>-2.20717E-2</v>
      </c>
      <c r="G354">
        <f t="shared" si="56"/>
        <v>10.4253659252748</v>
      </c>
      <c r="H354">
        <f t="shared" si="57"/>
        <v>-7.2314657964069502</v>
      </c>
      <c r="I354">
        <f t="shared" si="58"/>
        <v>10.425294318098301</v>
      </c>
      <c r="J354">
        <f t="shared" si="59"/>
        <v>-7.2324733527105298</v>
      </c>
      <c r="K354" s="7">
        <f t="shared" si="60"/>
        <v>7.1607176499455195E-5</v>
      </c>
      <c r="L354" s="7">
        <f t="shared" si="61"/>
        <v>1.0075563035796299E-3</v>
      </c>
      <c r="M354" s="7">
        <f t="shared" si="62"/>
        <v>6.4755217968660503E-2</v>
      </c>
      <c r="N354" s="7">
        <f t="shared" si="63"/>
        <v>4.4923469219882203E-2</v>
      </c>
      <c r="O354">
        <v>4.9467428</v>
      </c>
      <c r="P354">
        <v>-6.5777571000000004</v>
      </c>
      <c r="Q354">
        <v>1.8979794000000001</v>
      </c>
      <c r="R354">
        <v>-7.9026282999999999</v>
      </c>
      <c r="S354">
        <f t="shared" si="64"/>
        <v>0.98749665082063143</v>
      </c>
      <c r="T354">
        <f t="shared" si="65"/>
        <v>-23.439687026014944</v>
      </c>
    </row>
    <row r="355" spans="1:20" x14ac:dyDescent="0.35">
      <c r="A355">
        <v>1.7000000000000002</v>
      </c>
      <c r="B355">
        <v>15.829599999999999</v>
      </c>
      <c r="C355">
        <v>-3.3791860999999999E-2</v>
      </c>
      <c r="D355">
        <v>-1.9458797E-2</v>
      </c>
      <c r="E355">
        <v>0.96606446999999995</v>
      </c>
      <c r="F355">
        <v>-2.1459738999999999E-2</v>
      </c>
      <c r="G355">
        <f t="shared" si="56"/>
        <v>10.316816103425399</v>
      </c>
      <c r="H355">
        <f t="shared" si="57"/>
        <v>-6.5346226809488703</v>
      </c>
      <c r="I355">
        <f t="shared" si="58"/>
        <v>10.316745264921799</v>
      </c>
      <c r="J355">
        <f t="shared" si="59"/>
        <v>-6.5356232946993202</v>
      </c>
      <c r="K355" s="7">
        <f t="shared" si="60"/>
        <v>7.0838503599901501E-5</v>
      </c>
      <c r="L355" s="7">
        <f t="shared" si="61"/>
        <v>1.0006137504499099E-3</v>
      </c>
      <c r="M355" s="7">
        <f t="shared" si="62"/>
        <v>6.9170449930975597E-2</v>
      </c>
      <c r="N355" s="7">
        <f t="shared" si="63"/>
        <v>4.3819246503140598E-2</v>
      </c>
      <c r="O355">
        <v>4.8060235999999996</v>
      </c>
      <c r="P355">
        <v>-6.9794909000000001</v>
      </c>
      <c r="Q355">
        <v>1.6145102</v>
      </c>
      <c r="R355">
        <v>-8.2236031000000001</v>
      </c>
      <c r="S355">
        <f t="shared" si="64"/>
        <v>0.9889598094341403</v>
      </c>
      <c r="T355">
        <f t="shared" si="65"/>
        <v>-23.443595660053873</v>
      </c>
    </row>
    <row r="356" spans="1:20" x14ac:dyDescent="0.35">
      <c r="A356">
        <v>1.7000000000000002</v>
      </c>
      <c r="B356">
        <v>15.878399999999999</v>
      </c>
      <c r="C356">
        <v>-3.5873222000000003E-2</v>
      </c>
      <c r="D356">
        <v>-1.8650179999999999E-2</v>
      </c>
      <c r="E356">
        <v>0.96415746999999996</v>
      </c>
      <c r="F356">
        <v>-2.0741684E-2</v>
      </c>
      <c r="G356">
        <f t="shared" si="56"/>
        <v>10.212040417056199</v>
      </c>
      <c r="H356">
        <f t="shared" si="57"/>
        <v>-5.8833666807963398</v>
      </c>
      <c r="I356">
        <f t="shared" si="58"/>
        <v>10.2120568563664</v>
      </c>
      <c r="J356">
        <f t="shared" si="59"/>
        <v>-5.8844123995572897</v>
      </c>
      <c r="K356" s="7">
        <f t="shared" si="60"/>
        <v>-1.6439310201121801E-5</v>
      </c>
      <c r="L356" s="7">
        <f t="shared" si="61"/>
        <v>1.04571876094983E-3</v>
      </c>
      <c r="M356" s="7">
        <f t="shared" si="62"/>
        <v>7.3514357166942296E-2</v>
      </c>
      <c r="N356" s="7">
        <f t="shared" si="63"/>
        <v>4.23605940451608E-2</v>
      </c>
      <c r="O356">
        <v>4.6249421000000002</v>
      </c>
      <c r="P356">
        <v>-7.3879539000000003</v>
      </c>
      <c r="Q356">
        <v>1.2896700000000001</v>
      </c>
      <c r="R356">
        <v>-8.5358824999999996</v>
      </c>
      <c r="S356">
        <f t="shared" si="64"/>
        <v>0.99042821774057821</v>
      </c>
      <c r="T356">
        <f t="shared" si="65"/>
        <v>-23.455302612845262</v>
      </c>
    </row>
    <row r="357" spans="1:20" x14ac:dyDescent="0.35">
      <c r="A357">
        <v>1.7000000000000002</v>
      </c>
      <c r="B357">
        <v>15.927199999999999</v>
      </c>
      <c r="C357">
        <v>-3.7958414000000003E-2</v>
      </c>
      <c r="D357">
        <v>-1.7618912E-2</v>
      </c>
      <c r="E357">
        <v>0.96207472999999999</v>
      </c>
      <c r="F357">
        <v>-1.9703222999999999E-2</v>
      </c>
      <c r="G357">
        <f t="shared" si="56"/>
        <v>10.1112012362325</v>
      </c>
      <c r="H357">
        <f t="shared" si="57"/>
        <v>-5.21842712087627</v>
      </c>
      <c r="I357">
        <f t="shared" si="58"/>
        <v>10.111218893990801</v>
      </c>
      <c r="J357">
        <f t="shared" si="59"/>
        <v>-5.2194692407041403</v>
      </c>
      <c r="K357" s="7">
        <f t="shared" si="60"/>
        <v>-1.76577583008708E-5</v>
      </c>
      <c r="L357" s="7">
        <f t="shared" si="61"/>
        <v>1.0421198278702799E-3</v>
      </c>
      <c r="M357" s="7">
        <f t="shared" si="62"/>
        <v>7.8091207978610397E-2</v>
      </c>
      <c r="N357" s="7">
        <f t="shared" si="63"/>
        <v>4.0311129873375103E-2</v>
      </c>
      <c r="O357">
        <v>4.3995347999999996</v>
      </c>
      <c r="P357">
        <v>-7.7978654000000001</v>
      </c>
      <c r="Q357">
        <v>0.92347723999999998</v>
      </c>
      <c r="R357">
        <v>-8.8276382000000009</v>
      </c>
      <c r="S357">
        <f t="shared" si="64"/>
        <v>0.99133873996218447</v>
      </c>
      <c r="T357">
        <f t="shared" si="65"/>
        <v>-23.459469013935433</v>
      </c>
    </row>
    <row r="358" spans="1:20" x14ac:dyDescent="0.35">
      <c r="A358">
        <v>1.7000000000000002</v>
      </c>
      <c r="B358">
        <v>15.976000000000001</v>
      </c>
      <c r="C358">
        <v>-4.0016732999999999E-2</v>
      </c>
      <c r="D358">
        <v>-1.6350995E-2</v>
      </c>
      <c r="E358">
        <v>0.96002034000000003</v>
      </c>
      <c r="F358">
        <v>-1.8427854E-2</v>
      </c>
      <c r="G358">
        <f t="shared" si="56"/>
        <v>10.013393425061601</v>
      </c>
      <c r="H358">
        <f t="shared" si="57"/>
        <v>-4.5702376827024596</v>
      </c>
      <c r="I358">
        <f t="shared" si="58"/>
        <v>10.013413039492701</v>
      </c>
      <c r="J358">
        <f t="shared" si="59"/>
        <v>-4.5712760725861301</v>
      </c>
      <c r="K358" s="7">
        <f t="shared" si="60"/>
        <v>-1.9614431099768099E-5</v>
      </c>
      <c r="L358" s="7">
        <f t="shared" si="61"/>
        <v>1.03838988367055E-3</v>
      </c>
      <c r="M358" s="7">
        <f t="shared" si="62"/>
        <v>8.2642781117550301E-2</v>
      </c>
      <c r="N358" s="7">
        <f t="shared" si="63"/>
        <v>3.7727692486534098E-2</v>
      </c>
      <c r="O358">
        <v>4.1249685999999999</v>
      </c>
      <c r="P358">
        <v>-8.1967575999999998</v>
      </c>
      <c r="Q358">
        <v>0.51649223</v>
      </c>
      <c r="R358">
        <v>-9.0941338999999992</v>
      </c>
      <c r="S358">
        <f t="shared" si="64"/>
        <v>0.99265632931396286</v>
      </c>
      <c r="T358">
        <f t="shared" si="65"/>
        <v>-23.462984996281126</v>
      </c>
    </row>
    <row r="359" spans="1:20" x14ac:dyDescent="0.35">
      <c r="A359">
        <v>1.7000000000000002</v>
      </c>
      <c r="B359">
        <v>16.024799999999999</v>
      </c>
      <c r="C359">
        <v>-4.2014887000000001E-2</v>
      </c>
      <c r="D359">
        <v>-1.4835968999999999E-2</v>
      </c>
      <c r="E359">
        <v>0.95802686999999997</v>
      </c>
      <c r="F359">
        <v>-1.6906856000000001E-2</v>
      </c>
      <c r="G359">
        <f t="shared" si="56"/>
        <v>9.9182782168652892</v>
      </c>
      <c r="H359">
        <f t="shared" si="57"/>
        <v>-3.9370193733482099</v>
      </c>
      <c r="I359">
        <f t="shared" si="58"/>
        <v>9.91830016700432</v>
      </c>
      <c r="J359">
        <f t="shared" si="59"/>
        <v>-3.9380547725024999</v>
      </c>
      <c r="K359" s="7">
        <f t="shared" si="60"/>
        <v>-2.19501390308352E-5</v>
      </c>
      <c r="L359" s="7">
        <f t="shared" si="61"/>
        <v>1.0353991542899599E-3</v>
      </c>
      <c r="M359" s="7">
        <f t="shared" si="62"/>
        <v>8.7093581972995299E-2</v>
      </c>
      <c r="N359" s="7">
        <f t="shared" si="63"/>
        <v>3.4580451324118702E-2</v>
      </c>
      <c r="O359">
        <v>3.8028594</v>
      </c>
      <c r="P359">
        <v>-8.5840335999999997</v>
      </c>
      <c r="Q359">
        <v>6.9448924999999995E-2</v>
      </c>
      <c r="R359">
        <v>-9.3293956999999992</v>
      </c>
      <c r="S359">
        <f t="shared" si="64"/>
        <v>0.99371274732069514</v>
      </c>
      <c r="T359">
        <f t="shared" si="65"/>
        <v>-23.467574533650296</v>
      </c>
    </row>
    <row r="360" spans="1:20" x14ac:dyDescent="0.35">
      <c r="A360">
        <v>1.7000000000000002</v>
      </c>
      <c r="B360">
        <v>16.073599999999999</v>
      </c>
      <c r="C360">
        <v>-4.3904101000000001E-2</v>
      </c>
      <c r="D360">
        <v>-1.3083602E-2</v>
      </c>
      <c r="E360">
        <v>0.95614270000000001</v>
      </c>
      <c r="F360">
        <v>-1.5146979E-2</v>
      </c>
      <c r="G360">
        <f t="shared" si="56"/>
        <v>9.82603781912138</v>
      </c>
      <c r="H360">
        <f t="shared" si="57"/>
        <v>-3.3211083689815801</v>
      </c>
      <c r="I360">
        <f t="shared" si="58"/>
        <v>9.8260622833791196</v>
      </c>
      <c r="J360">
        <f t="shared" si="59"/>
        <v>-3.3221400081012198</v>
      </c>
      <c r="K360" s="7">
        <f t="shared" si="60"/>
        <v>-2.4464257739609299E-5</v>
      </c>
      <c r="L360" s="7">
        <f t="shared" si="61"/>
        <v>1.0316391196396599E-3</v>
      </c>
      <c r="M360" s="7">
        <f t="shared" si="62"/>
        <v>9.1330370029055905E-2</v>
      </c>
      <c r="N360" s="7">
        <f t="shared" si="63"/>
        <v>3.0878318036049901E-2</v>
      </c>
      <c r="O360">
        <v>3.4333898999999999</v>
      </c>
      <c r="P360">
        <v>-8.9455500000000008</v>
      </c>
      <c r="Q360">
        <v>-0.41141716</v>
      </c>
      <c r="R360">
        <v>-9.5234840999999992</v>
      </c>
      <c r="S360">
        <f t="shared" si="64"/>
        <v>0.99484015213275345</v>
      </c>
      <c r="T360">
        <f t="shared" si="65"/>
        <v>-23.470947927725245</v>
      </c>
    </row>
    <row r="361" spans="1:20" x14ac:dyDescent="0.35">
      <c r="A361">
        <v>1.7000000000000002</v>
      </c>
      <c r="B361">
        <v>16.122399999999999</v>
      </c>
      <c r="C361">
        <v>-4.5643257E-2</v>
      </c>
      <c r="D361">
        <v>-1.1104156E-2</v>
      </c>
      <c r="E361">
        <v>0.95440727000000003</v>
      </c>
      <c r="F361">
        <v>-1.316224E-2</v>
      </c>
      <c r="G361">
        <f t="shared" si="56"/>
        <v>9.7364264593271006</v>
      </c>
      <c r="H361">
        <f t="shared" si="57"/>
        <v>-2.7221118026993398</v>
      </c>
      <c r="I361">
        <f t="shared" si="58"/>
        <v>9.7364527810349308</v>
      </c>
      <c r="J361">
        <f t="shared" si="59"/>
        <v>-2.7231407916173298</v>
      </c>
      <c r="K361" s="7">
        <f t="shared" si="60"/>
        <v>-2.63217078302347E-5</v>
      </c>
      <c r="L361" s="7">
        <f t="shared" si="61"/>
        <v>1.0289889179899701E-3</v>
      </c>
      <c r="M361" s="7">
        <f t="shared" si="62"/>
        <v>9.5255561553873103E-2</v>
      </c>
      <c r="N361" s="7">
        <f t="shared" si="63"/>
        <v>2.6641561473088701E-2</v>
      </c>
      <c r="O361">
        <v>3.0200116000000001</v>
      </c>
      <c r="P361">
        <v>-9.2750468000000001</v>
      </c>
      <c r="Q361">
        <v>-0.92097777999999997</v>
      </c>
      <c r="R361">
        <v>-9.6716031000000005</v>
      </c>
      <c r="S361">
        <f t="shared" si="64"/>
        <v>0.99600420371367759</v>
      </c>
      <c r="T361">
        <f t="shared" si="65"/>
        <v>-23.475148962592435</v>
      </c>
    </row>
    <row r="362" spans="1:20" x14ac:dyDescent="0.35">
      <c r="A362">
        <v>1.7000000000000002</v>
      </c>
      <c r="B362">
        <v>16.171199999999999</v>
      </c>
      <c r="C362">
        <v>-4.7200143E-2</v>
      </c>
      <c r="D362">
        <v>-8.9082503E-3</v>
      </c>
      <c r="E362">
        <v>0.95285631000000004</v>
      </c>
      <c r="F362">
        <v>-1.095899E-2</v>
      </c>
      <c r="G362">
        <f t="shared" si="56"/>
        <v>9.6494315934600898</v>
      </c>
      <c r="H362">
        <f t="shared" si="57"/>
        <v>-2.13679172143231</v>
      </c>
      <c r="I362">
        <f t="shared" si="58"/>
        <v>9.6494608704566005</v>
      </c>
      <c r="J362">
        <f t="shared" si="59"/>
        <v>-2.1378170323216201</v>
      </c>
      <c r="K362" s="7">
        <f t="shared" si="60"/>
        <v>-2.9276996510674301E-5</v>
      </c>
      <c r="L362" s="7">
        <f t="shared" si="61"/>
        <v>1.0253108893101301E-3</v>
      </c>
      <c r="M362" s="7">
        <f t="shared" si="62"/>
        <v>9.8784071055348602E-2</v>
      </c>
      <c r="N362" s="7">
        <f t="shared" si="63"/>
        <v>2.1885395718921698E-2</v>
      </c>
      <c r="O362">
        <v>2.5647316</v>
      </c>
      <c r="P362">
        <v>-9.5654111999999998</v>
      </c>
      <c r="Q362">
        <v>-1.4543933</v>
      </c>
      <c r="R362">
        <v>-9.7675517000000003</v>
      </c>
      <c r="S362">
        <f t="shared" si="64"/>
        <v>0.99716849261664686</v>
      </c>
      <c r="T362">
        <f t="shared" si="65"/>
        <v>-23.478574866379507</v>
      </c>
    </row>
    <row r="363" spans="1:20" x14ac:dyDescent="0.35">
      <c r="A363">
        <v>1.7000000000000002</v>
      </c>
      <c r="B363">
        <v>16.22</v>
      </c>
      <c r="C363">
        <v>-4.8533524000000001E-2</v>
      </c>
      <c r="D363">
        <v>-6.5283950999999998E-3</v>
      </c>
      <c r="E363">
        <v>0.95152966000000005</v>
      </c>
      <c r="F363">
        <v>-8.5716774999999995E-3</v>
      </c>
      <c r="G363">
        <f t="shared" si="56"/>
        <v>9.5649620227605805</v>
      </c>
      <c r="H363">
        <f t="shared" si="57"/>
        <v>-1.56625054918594</v>
      </c>
      <c r="I363">
        <f t="shared" si="58"/>
        <v>9.5649946574132603</v>
      </c>
      <c r="J363">
        <f t="shared" si="59"/>
        <v>-1.5672721247714201</v>
      </c>
      <c r="K363" s="7">
        <f t="shared" si="60"/>
        <v>-3.2634652679774897E-5</v>
      </c>
      <c r="L363" s="7">
        <f t="shared" si="61"/>
        <v>1.02157558548011E-3</v>
      </c>
      <c r="M363" s="7">
        <f t="shared" si="62"/>
        <v>0.10181433118668901</v>
      </c>
      <c r="N363" s="7">
        <f t="shared" si="63"/>
        <v>1.6682786440185698E-2</v>
      </c>
      <c r="O363">
        <v>2.0749525000000002</v>
      </c>
      <c r="P363">
        <v>-9.8100512000000002</v>
      </c>
      <c r="Q363">
        <v>-2.0022096999999999</v>
      </c>
      <c r="R363">
        <v>-9.8068985000000009</v>
      </c>
      <c r="S363">
        <f t="shared" si="64"/>
        <v>0.99821592632552192</v>
      </c>
      <c r="T363">
        <f t="shared" si="65"/>
        <v>-23.481893974838393</v>
      </c>
    </row>
    <row r="364" spans="1:20" x14ac:dyDescent="0.35">
      <c r="A364">
        <v>1.7000000000000002</v>
      </c>
      <c r="B364">
        <v>16.268799999999999</v>
      </c>
      <c r="C364">
        <v>-4.9612620000000003E-2</v>
      </c>
      <c r="D364">
        <v>-4.001302E-3</v>
      </c>
      <c r="E364">
        <v>0.95045793999999995</v>
      </c>
      <c r="F364">
        <v>-6.03697E-3</v>
      </c>
      <c r="G364">
        <f t="shared" si="56"/>
        <v>9.4829170438091293</v>
      </c>
      <c r="H364">
        <f t="shared" si="57"/>
        <v>-1.0101485983074701</v>
      </c>
      <c r="I364">
        <f t="shared" si="58"/>
        <v>9.4829533584398593</v>
      </c>
      <c r="J364">
        <f t="shared" si="59"/>
        <v>-1.01116635943859</v>
      </c>
      <c r="K364" s="7">
        <f t="shared" si="60"/>
        <v>-3.6314630730060999E-5</v>
      </c>
      <c r="L364" s="7">
        <f t="shared" si="61"/>
        <v>1.01776113111995E-3</v>
      </c>
      <c r="M364" s="7">
        <f t="shared" si="62"/>
        <v>0.10426687228689201</v>
      </c>
      <c r="N364" s="7">
        <f t="shared" si="63"/>
        <v>1.1117966067665099E-2</v>
      </c>
      <c r="O364">
        <v>1.5580229000000001</v>
      </c>
      <c r="P364">
        <v>-10.002172</v>
      </c>
      <c r="Q364">
        <v>-2.5552207999999998</v>
      </c>
      <c r="R364">
        <v>-9.7875017999999994</v>
      </c>
      <c r="S364">
        <f t="shared" si="64"/>
        <v>0.99928473495510761</v>
      </c>
      <c r="T364">
        <f t="shared" si="65"/>
        <v>-23.48533756169331</v>
      </c>
    </row>
    <row r="365" spans="1:20" x14ac:dyDescent="0.35">
      <c r="A365">
        <v>1.7000000000000002</v>
      </c>
      <c r="B365">
        <v>16.317599999999999</v>
      </c>
      <c r="C365">
        <v>-5.0415071999999998E-2</v>
      </c>
      <c r="D365">
        <v>-1.3699208E-3</v>
      </c>
      <c r="E365">
        <v>0.94966318000000005</v>
      </c>
      <c r="F365">
        <v>-3.3978659999999998E-3</v>
      </c>
      <c r="G365">
        <f t="shared" si="56"/>
        <v>9.4031748583350492</v>
      </c>
      <c r="H365">
        <f t="shared" si="57"/>
        <v>-0.46813261141877299</v>
      </c>
      <c r="I365">
        <f t="shared" si="58"/>
        <v>9.4032150108229793</v>
      </c>
      <c r="J365">
        <f t="shared" si="59"/>
        <v>-0.46914650363570398</v>
      </c>
      <c r="K365" s="7">
        <f t="shared" si="60"/>
        <v>-4.0152487930100699E-5</v>
      </c>
      <c r="L365" s="7">
        <f t="shared" si="61"/>
        <v>1.0138922169309901E-3</v>
      </c>
      <c r="M365" s="7">
        <f t="shared" si="62"/>
        <v>0.106082542433323</v>
      </c>
      <c r="N365" s="7">
        <f t="shared" si="63"/>
        <v>5.2926848766190202E-3</v>
      </c>
      <c r="O365">
        <v>1.0227895</v>
      </c>
      <c r="P365">
        <v>-10.137729</v>
      </c>
      <c r="Q365">
        <v>-3.1036394999999999</v>
      </c>
      <c r="R365">
        <v>-9.7087766000000002</v>
      </c>
      <c r="S365">
        <f t="shared" si="64"/>
        <v>1.0003528265286583</v>
      </c>
      <c r="T365">
        <f t="shared" si="65"/>
        <v>-23.488749035929978</v>
      </c>
    </row>
    <row r="366" spans="1:20" x14ac:dyDescent="0.35">
      <c r="A366">
        <v>1.7000000000000002</v>
      </c>
      <c r="B366">
        <v>16.366399999999999</v>
      </c>
      <c r="C366">
        <v>-5.0928288000000002E-2</v>
      </c>
      <c r="D366">
        <v>1.3182825E-3</v>
      </c>
      <c r="E366">
        <v>0.94915775000000002</v>
      </c>
      <c r="F366">
        <v>-7.0175222000000003E-4</v>
      </c>
      <c r="G366">
        <f t="shared" si="56"/>
        <v>9.3256438481376005</v>
      </c>
      <c r="H366">
        <f t="shared" si="57"/>
        <v>6.0029269561203802E-2</v>
      </c>
      <c r="I366">
        <f t="shared" si="58"/>
        <v>9.3256878852894491</v>
      </c>
      <c r="J366">
        <f t="shared" si="59"/>
        <v>5.9019340125646101E-2</v>
      </c>
      <c r="K366" s="7">
        <f t="shared" si="60"/>
        <v>-4.4037151848641502E-5</v>
      </c>
      <c r="L366" s="7">
        <f t="shared" si="61"/>
        <v>1.0099294355577001E-3</v>
      </c>
      <c r="M366" s="7">
        <f t="shared" si="62"/>
        <v>0.107226401060332</v>
      </c>
      <c r="N366" s="7">
        <f t="shared" si="63"/>
        <v>-6.7860210554668797E-4</v>
      </c>
      <c r="O366">
        <v>0.47890325</v>
      </c>
      <c r="P366">
        <v>-10.214670999999999</v>
      </c>
      <c r="Q366">
        <v>-3.6376406999999999</v>
      </c>
      <c r="R366">
        <v>-9.5723322999999993</v>
      </c>
      <c r="S366">
        <f t="shared" si="64"/>
        <v>1.0014006007832743</v>
      </c>
      <c r="T366">
        <f t="shared" si="65"/>
        <v>-23.491880641600069</v>
      </c>
    </row>
    <row r="367" spans="1:20" x14ac:dyDescent="0.35">
      <c r="A367">
        <v>1.7000000000000002</v>
      </c>
      <c r="B367">
        <v>16.415199999999999</v>
      </c>
      <c r="C367">
        <v>-5.1150400999999998E-2</v>
      </c>
      <c r="D367">
        <v>4.0142570000000002E-3</v>
      </c>
      <c r="E367">
        <v>0.94894318</v>
      </c>
      <c r="F367">
        <v>2.0023134000000001E-3</v>
      </c>
      <c r="G367">
        <f t="shared" si="56"/>
        <v>9.2502335139853393</v>
      </c>
      <c r="H367">
        <f t="shared" si="57"/>
        <v>0.57446541940793305</v>
      </c>
      <c r="I367">
        <f t="shared" si="58"/>
        <v>9.2502813141322999</v>
      </c>
      <c r="J367">
        <f t="shared" si="59"/>
        <v>0.57345954275900501</v>
      </c>
      <c r="K367" s="7">
        <f t="shared" si="60"/>
        <v>-4.7800146960597103E-5</v>
      </c>
      <c r="L367" s="7">
        <f t="shared" si="61"/>
        <v>1.0058766489280399E-3</v>
      </c>
      <c r="M367" s="7">
        <f t="shared" si="62"/>
        <v>0.107690939992556</v>
      </c>
      <c r="N367" s="7">
        <f t="shared" si="63"/>
        <v>-6.6761642278996497E-3</v>
      </c>
      <c r="O367">
        <v>-6.3770257999999996E-2</v>
      </c>
      <c r="P367">
        <v>-10.232294</v>
      </c>
      <c r="Q367">
        <v>-4.1481095000000003</v>
      </c>
      <c r="R367">
        <v>-9.3820606000000009</v>
      </c>
      <c r="S367">
        <f t="shared" si="64"/>
        <v>1.0025085381967267</v>
      </c>
      <c r="T367">
        <f t="shared" si="65"/>
        <v>-23.494679537844373</v>
      </c>
    </row>
    <row r="368" spans="1:20" x14ac:dyDescent="0.35">
      <c r="A368">
        <v>1.7000000000000002</v>
      </c>
      <c r="B368">
        <v>16.463999999999999</v>
      </c>
      <c r="C368">
        <v>-5.1090120000000003E-2</v>
      </c>
      <c r="D368">
        <v>6.6711141000000002E-3</v>
      </c>
      <c r="E368">
        <v>0.94901029000000003</v>
      </c>
      <c r="F368">
        <v>4.6673245000000002E-3</v>
      </c>
      <c r="G368">
        <f t="shared" si="56"/>
        <v>9.1768407644792607</v>
      </c>
      <c r="H368">
        <f t="shared" si="57"/>
        <v>1.07535138517199</v>
      </c>
      <c r="I368">
        <f t="shared" si="58"/>
        <v>9.17689197059984</v>
      </c>
      <c r="J368">
        <f t="shared" si="59"/>
        <v>1.07434959197016</v>
      </c>
      <c r="K368" s="7">
        <f t="shared" si="60"/>
        <v>-5.12061205792946E-5</v>
      </c>
      <c r="L368" s="7">
        <f t="shared" si="61"/>
        <v>1.0017932018300301E-3</v>
      </c>
      <c r="M368" s="7">
        <f t="shared" si="62"/>
        <v>0.10749605061131801</v>
      </c>
      <c r="N368" s="7">
        <f t="shared" si="63"/>
        <v>-1.2584689727487801E-2</v>
      </c>
      <c r="O368">
        <v>-0.59593545000000003</v>
      </c>
      <c r="P368">
        <v>-10.19552</v>
      </c>
      <c r="Q368">
        <v>-4.6273621</v>
      </c>
      <c r="R368">
        <v>-9.1436679000000005</v>
      </c>
      <c r="S368">
        <f t="shared" si="64"/>
        <v>1.0034234291454363</v>
      </c>
      <c r="T368">
        <f t="shared" si="65"/>
        <v>-23.497560284878134</v>
      </c>
    </row>
    <row r="369" spans="1:20" x14ac:dyDescent="0.35">
      <c r="A369">
        <v>1.7000000000000002</v>
      </c>
      <c r="B369">
        <v>16.512799999999999</v>
      </c>
      <c r="C369">
        <v>-5.0765462999999997E-2</v>
      </c>
      <c r="D369">
        <v>9.2461544999999992E-3</v>
      </c>
      <c r="E369">
        <v>0.94934052999999996</v>
      </c>
      <c r="F369">
        <v>7.2502775999999996E-3</v>
      </c>
      <c r="G369">
        <f t="shared" si="56"/>
        <v>9.1053806058426794</v>
      </c>
      <c r="H369">
        <f t="shared" si="57"/>
        <v>1.5627869015348701</v>
      </c>
      <c r="I369">
        <f t="shared" si="58"/>
        <v>9.1054345952560301</v>
      </c>
      <c r="J369">
        <f t="shared" si="59"/>
        <v>1.56178906984456</v>
      </c>
      <c r="K369" s="7">
        <f t="shared" si="60"/>
        <v>-5.3989413350663499E-5</v>
      </c>
      <c r="L369" s="7">
        <f t="shared" si="61"/>
        <v>9.9783169031009101E-4</v>
      </c>
      <c r="M369" s="7">
        <f t="shared" si="62"/>
        <v>0.106685819676044</v>
      </c>
      <c r="N369" s="7">
        <f t="shared" si="63"/>
        <v>-1.82990438659856E-2</v>
      </c>
      <c r="O369">
        <v>-1.1091796</v>
      </c>
      <c r="P369">
        <v>-10.105487999999999</v>
      </c>
      <c r="Q369">
        <v>-5.0690163999999998</v>
      </c>
      <c r="R369">
        <v>-8.8639448000000005</v>
      </c>
      <c r="S369">
        <f t="shared" si="64"/>
        <v>1.0044086046204979</v>
      </c>
      <c r="T369">
        <f t="shared" si="65"/>
        <v>-23.500187898584119</v>
      </c>
    </row>
    <row r="370" spans="1:20" x14ac:dyDescent="0.35">
      <c r="A370">
        <v>1.7000000000000002</v>
      </c>
      <c r="B370">
        <v>16.561599999999999</v>
      </c>
      <c r="C370">
        <v>-5.0201331000000002E-2</v>
      </c>
      <c r="D370">
        <v>1.1703598000000001E-2</v>
      </c>
      <c r="E370">
        <v>0.94989497000000001</v>
      </c>
      <c r="F370">
        <v>9.7286061000000004E-3</v>
      </c>
      <c r="G370">
        <f t="shared" si="56"/>
        <v>9.0341613036754396</v>
      </c>
      <c r="H370">
        <f t="shared" si="57"/>
        <v>2.0376388555961999</v>
      </c>
      <c r="I370">
        <f t="shared" si="58"/>
        <v>9.0342104268635204</v>
      </c>
      <c r="J370">
        <f t="shared" si="59"/>
        <v>2.0366514556989399</v>
      </c>
      <c r="K370" s="7">
        <f t="shared" si="60"/>
        <v>-4.9123188080812999E-5</v>
      </c>
      <c r="L370" s="7">
        <f t="shared" si="61"/>
        <v>9.8739989726004396E-4</v>
      </c>
      <c r="M370" s="7">
        <f t="shared" si="62"/>
        <v>0.105336911365981</v>
      </c>
      <c r="N370" s="7">
        <f t="shared" si="63"/>
        <v>-2.3746909108341201E-2</v>
      </c>
      <c r="O370">
        <v>-1.5966597</v>
      </c>
      <c r="P370">
        <v>-9.9661633999999992</v>
      </c>
      <c r="Q370">
        <v>-5.4678466999999999</v>
      </c>
      <c r="R370">
        <v>-8.5499922999999995</v>
      </c>
      <c r="S370">
        <f t="shared" si="64"/>
        <v>1.005511168026783</v>
      </c>
      <c r="T370">
        <f t="shared" si="65"/>
        <v>-23.497617360467213</v>
      </c>
    </row>
    <row r="371" spans="1:20" x14ac:dyDescent="0.35">
      <c r="A371">
        <v>1.7000000000000002</v>
      </c>
      <c r="B371">
        <v>16.610399999999998</v>
      </c>
      <c r="C371">
        <v>-4.9428834999999997E-2</v>
      </c>
      <c r="D371">
        <v>1.4015588000000001E-2</v>
      </c>
      <c r="E371">
        <v>0.95060131000000003</v>
      </c>
      <c r="F371">
        <v>1.2178214999999999E-2</v>
      </c>
      <c r="G371">
        <f t="shared" si="56"/>
        <v>8.9544617775914901</v>
      </c>
      <c r="H371">
        <f t="shared" si="57"/>
        <v>2.5063251566423599</v>
      </c>
      <c r="I371">
        <f t="shared" si="58"/>
        <v>8.9544776938103201</v>
      </c>
      <c r="J371">
        <f t="shared" si="59"/>
        <v>2.5054064986108502</v>
      </c>
      <c r="K371" s="7">
        <f t="shared" si="60"/>
        <v>-1.59162188300144E-5</v>
      </c>
      <c r="L371" s="7">
        <f t="shared" si="61"/>
        <v>9.1865803150970005E-4</v>
      </c>
      <c r="M371" s="7">
        <f t="shared" si="62"/>
        <v>0.10356818643424801</v>
      </c>
      <c r="N371" s="7">
        <f t="shared" si="63"/>
        <v>-2.8977726698796599E-2</v>
      </c>
      <c r="O371">
        <v>-2.0529155000000001</v>
      </c>
      <c r="P371">
        <v>-9.7902091999999996</v>
      </c>
      <c r="Q371">
        <v>-5.8239811000000001</v>
      </c>
      <c r="R371">
        <v>-8.2112014999999996</v>
      </c>
      <c r="S371">
        <f t="shared" si="64"/>
        <v>1.0063753088138017</v>
      </c>
      <c r="T371">
        <f t="shared" si="65"/>
        <v>-23.504234241200059</v>
      </c>
    </row>
    <row r="372" spans="1:20" x14ac:dyDescent="0.35">
      <c r="A372">
        <v>1.7000000000000002</v>
      </c>
      <c r="B372">
        <v>16.659199999999998</v>
      </c>
      <c r="C372">
        <v>-4.8483022000000001E-2</v>
      </c>
      <c r="D372">
        <v>1.6157319999999999E-2</v>
      </c>
      <c r="E372">
        <v>0.95155038000000003</v>
      </c>
      <c r="F372">
        <v>1.4339703000000001E-2</v>
      </c>
      <c r="G372">
        <f t="shared" si="56"/>
        <v>8.8872264099187799</v>
      </c>
      <c r="H372">
        <f t="shared" si="57"/>
        <v>2.9538735989590301</v>
      </c>
      <c r="I372">
        <f t="shared" si="58"/>
        <v>8.8872439365306697</v>
      </c>
      <c r="J372">
        <f t="shared" si="59"/>
        <v>2.9529648215648501</v>
      </c>
      <c r="K372" s="7">
        <f t="shared" si="60"/>
        <v>-1.7526611889806501E-5</v>
      </c>
      <c r="L372" s="7">
        <f t="shared" si="61"/>
        <v>9.08777394180049E-4</v>
      </c>
      <c r="M372" s="7">
        <f t="shared" si="62"/>
        <v>0.101333286121218</v>
      </c>
      <c r="N372" s="7">
        <f t="shared" si="63"/>
        <v>-3.3670014158105298E-2</v>
      </c>
      <c r="O372">
        <v>-2.4732367000000002</v>
      </c>
      <c r="P372">
        <v>-9.5795770999999998</v>
      </c>
      <c r="Q372">
        <v>-6.1335981999999998</v>
      </c>
      <c r="R372">
        <v>-7.8553170000000003</v>
      </c>
      <c r="S372">
        <f t="shared" si="64"/>
        <v>1.0073380048492322</v>
      </c>
      <c r="T372">
        <f t="shared" si="65"/>
        <v>-23.507079701685914</v>
      </c>
    </row>
    <row r="373" spans="1:20" x14ac:dyDescent="0.35">
      <c r="A373">
        <v>1.7000000000000002</v>
      </c>
      <c r="B373">
        <v>16.707999999999998</v>
      </c>
      <c r="C373">
        <v>-4.7397129000000003E-2</v>
      </c>
      <c r="D373">
        <v>1.8118371000000001E-2</v>
      </c>
      <c r="E373">
        <v>0.95264629000000001</v>
      </c>
      <c r="F373">
        <v>1.6231787000000001E-2</v>
      </c>
      <c r="G373">
        <f t="shared" si="56"/>
        <v>8.8280117963110598</v>
      </c>
      <c r="H373">
        <f t="shared" si="57"/>
        <v>3.3821732601119399</v>
      </c>
      <c r="I373">
        <f t="shared" si="58"/>
        <v>8.8280343950808309</v>
      </c>
      <c r="J373">
        <f t="shared" si="59"/>
        <v>3.3812300099066701</v>
      </c>
      <c r="K373" s="7">
        <f t="shared" si="60"/>
        <v>-2.2598769771065001E-5</v>
      </c>
      <c r="L373" s="7">
        <f t="shared" si="61"/>
        <v>9.4325020526975201E-4</v>
      </c>
      <c r="M373" s="7">
        <f t="shared" si="62"/>
        <v>9.8784154293509105E-2</v>
      </c>
      <c r="N373" s="7">
        <f t="shared" si="63"/>
        <v>-3.7835369919558E-2</v>
      </c>
      <c r="O373">
        <v>-2.8560403000000001</v>
      </c>
      <c r="P373">
        <v>-9.3432999999999993</v>
      </c>
      <c r="Q373">
        <v>-6.3988810999999997</v>
      </c>
      <c r="R373">
        <v>-7.4895196000000004</v>
      </c>
      <c r="S373">
        <f t="shared" si="64"/>
        <v>1.0082649133010417</v>
      </c>
      <c r="T373">
        <f t="shared" si="65"/>
        <v>-23.51261565398157</v>
      </c>
    </row>
    <row r="374" spans="1:20" x14ac:dyDescent="0.35">
      <c r="A374">
        <v>1.7000000000000002</v>
      </c>
      <c r="B374">
        <v>16.756799999999998</v>
      </c>
      <c r="C374">
        <v>-4.6211149E-2</v>
      </c>
      <c r="D374">
        <v>1.9888728000000001E-2</v>
      </c>
      <c r="E374">
        <v>0.95382617000000003</v>
      </c>
      <c r="F374">
        <v>1.8106470999999999E-2</v>
      </c>
      <c r="G374">
        <f t="shared" si="56"/>
        <v>8.7582828734028393</v>
      </c>
      <c r="H374">
        <f t="shared" si="57"/>
        <v>3.8081064196888001</v>
      </c>
      <c r="I374">
        <f t="shared" si="58"/>
        <v>8.7583023266195994</v>
      </c>
      <c r="J374">
        <f t="shared" si="59"/>
        <v>3.8072153251515002</v>
      </c>
      <c r="K374" s="7">
        <f t="shared" si="60"/>
        <v>-1.9453216760112499E-5</v>
      </c>
      <c r="L374" s="7">
        <f t="shared" si="61"/>
        <v>8.9109453729996303E-4</v>
      </c>
      <c r="M374" s="7">
        <f t="shared" si="62"/>
        <v>9.6031122983995895E-2</v>
      </c>
      <c r="N374" s="7">
        <f t="shared" si="63"/>
        <v>-4.1744524164797903E-2</v>
      </c>
      <c r="O374">
        <v>-3.1993252000000001</v>
      </c>
      <c r="P374">
        <v>-9.0871183999999996</v>
      </c>
      <c r="Q374">
        <v>-6.6195184999999999</v>
      </c>
      <c r="R374">
        <v>-7.1213373000000004</v>
      </c>
      <c r="S374">
        <f t="shared" si="64"/>
        <v>1.0092239263933152</v>
      </c>
      <c r="T374">
        <f t="shared" si="65"/>
        <v>-23.512707800996438</v>
      </c>
    </row>
    <row r="375" spans="1:20" x14ac:dyDescent="0.35">
      <c r="A375">
        <v>1.7000000000000002</v>
      </c>
      <c r="B375">
        <v>16.805599999999998</v>
      </c>
      <c r="C375">
        <v>-4.4948694999999997E-2</v>
      </c>
      <c r="D375">
        <v>2.1474414000000001E-2</v>
      </c>
      <c r="E375">
        <v>0.95509060999999995</v>
      </c>
      <c r="F375">
        <v>1.961309E-2</v>
      </c>
      <c r="G375">
        <f t="shared" si="56"/>
        <v>8.7042536913426201</v>
      </c>
      <c r="H375">
        <f t="shared" si="57"/>
        <v>4.2091042108635399</v>
      </c>
      <c r="I375">
        <f t="shared" si="58"/>
        <v>8.7042742095363703</v>
      </c>
      <c r="J375">
        <f t="shared" si="59"/>
        <v>4.2081735862481597</v>
      </c>
      <c r="K375" s="7">
        <f t="shared" si="60"/>
        <v>-2.0518193750263001E-5</v>
      </c>
      <c r="L375" s="7">
        <f t="shared" si="61"/>
        <v>9.3062461538018205E-4</v>
      </c>
      <c r="M375" s="7">
        <f t="shared" si="62"/>
        <v>9.3120618276720593E-2</v>
      </c>
      <c r="N375" s="7">
        <f t="shared" si="63"/>
        <v>-4.5020149495964203E-2</v>
      </c>
      <c r="O375">
        <v>-3.5053890000000001</v>
      </c>
      <c r="P375">
        <v>-8.8194242000000003</v>
      </c>
      <c r="Q375">
        <v>-6.8012566000000003</v>
      </c>
      <c r="R375">
        <v>-6.7553375999999998</v>
      </c>
      <c r="S375">
        <f t="shared" si="64"/>
        <v>1.0100619700524776</v>
      </c>
      <c r="T375">
        <f t="shared" si="65"/>
        <v>-23.518114361264793</v>
      </c>
    </row>
    <row r="376" spans="1:20" x14ac:dyDescent="0.35">
      <c r="A376">
        <v>1.7000000000000002</v>
      </c>
      <c r="B376">
        <v>16.854399999999998</v>
      </c>
      <c r="C376">
        <v>-4.3645995E-2</v>
      </c>
      <c r="D376">
        <v>2.2873834999999999E-2</v>
      </c>
      <c r="E376">
        <v>0.95632406999999997</v>
      </c>
      <c r="F376">
        <v>2.0928143E-2</v>
      </c>
      <c r="G376">
        <f t="shared" si="56"/>
        <v>8.6496694549227904</v>
      </c>
      <c r="H376">
        <f t="shared" si="57"/>
        <v>4.5900933782271496</v>
      </c>
      <c r="I376">
        <f t="shared" si="58"/>
        <v>8.6496554336697198</v>
      </c>
      <c r="J376">
        <f t="shared" si="59"/>
        <v>4.5891205040251402</v>
      </c>
      <c r="K376" s="7">
        <f t="shared" si="60"/>
        <v>1.4021253070595199E-5</v>
      </c>
      <c r="L376" s="7">
        <f t="shared" si="61"/>
        <v>9.7287420200942198E-4</v>
      </c>
      <c r="M376" s="7">
        <f t="shared" si="62"/>
        <v>9.0216575160738693E-2</v>
      </c>
      <c r="N376" s="7">
        <f t="shared" si="63"/>
        <v>-4.7864881791877298E-2</v>
      </c>
      <c r="O376">
        <v>-3.7738857000000001</v>
      </c>
      <c r="P376">
        <v>-8.5445306999999993</v>
      </c>
      <c r="Q376">
        <v>-6.9453505</v>
      </c>
      <c r="R376">
        <v>-6.3977037000000001</v>
      </c>
      <c r="S376">
        <f t="shared" si="64"/>
        <v>1.0109274658619694</v>
      </c>
      <c r="T376">
        <f t="shared" si="65"/>
        <v>-23.520567757925921</v>
      </c>
    </row>
    <row r="377" spans="1:20" x14ac:dyDescent="0.35">
      <c r="A377">
        <v>1.7000000000000002</v>
      </c>
      <c r="B377">
        <v>16.903200000000002</v>
      </c>
      <c r="C377">
        <v>-4.2323023000000001E-2</v>
      </c>
      <c r="D377">
        <v>2.4104347000000002E-2</v>
      </c>
      <c r="E377">
        <v>0.95774786999999995</v>
      </c>
      <c r="F377">
        <v>2.2212005E-2</v>
      </c>
      <c r="G377">
        <f t="shared" si="56"/>
        <v>8.59588297574909</v>
      </c>
      <c r="H377">
        <f t="shared" si="57"/>
        <v>4.9817109717679298</v>
      </c>
      <c r="I377">
        <f t="shared" si="58"/>
        <v>8.5959193161362695</v>
      </c>
      <c r="J377">
        <f t="shared" si="59"/>
        <v>4.9807648686882002</v>
      </c>
      <c r="K377" s="7">
        <f t="shared" si="60"/>
        <v>-3.6340387179478699E-5</v>
      </c>
      <c r="L377" s="7">
        <f t="shared" si="61"/>
        <v>9.4610307972953201E-4</v>
      </c>
      <c r="M377" s="7">
        <f t="shared" si="62"/>
        <v>8.7093280431760303E-2</v>
      </c>
      <c r="N377" s="7">
        <f t="shared" si="63"/>
        <v>-5.0464777008668298E-2</v>
      </c>
      <c r="O377">
        <v>-4.0080496999999999</v>
      </c>
      <c r="P377">
        <v>-8.2664399999999993</v>
      </c>
      <c r="Q377">
        <v>-7.0559655000000001</v>
      </c>
      <c r="R377">
        <v>-6.0501567999999999</v>
      </c>
      <c r="S377">
        <f t="shared" si="64"/>
        <v>1.0117355774290206</v>
      </c>
      <c r="T377">
        <f t="shared" si="65"/>
        <v>-23.521673447581296</v>
      </c>
    </row>
    <row r="378" spans="1:20" x14ac:dyDescent="0.35">
      <c r="A378">
        <v>1.7000000000000002</v>
      </c>
      <c r="B378">
        <v>16.952000000000002</v>
      </c>
      <c r="C378">
        <v>-4.1010759000000001E-2</v>
      </c>
      <c r="D378">
        <v>2.5167575000000001E-2</v>
      </c>
      <c r="E378">
        <v>0.95897948</v>
      </c>
      <c r="F378">
        <v>2.3249861E-2</v>
      </c>
      <c r="G378">
        <f t="shared" si="56"/>
        <v>8.5408764351185802</v>
      </c>
      <c r="H378">
        <f t="shared" si="57"/>
        <v>5.3366873478683496</v>
      </c>
      <c r="I378">
        <f t="shared" si="58"/>
        <v>8.5408724740141508</v>
      </c>
      <c r="J378">
        <f t="shared" si="59"/>
        <v>5.3357284823904898</v>
      </c>
      <c r="K378" s="7">
        <f t="shared" si="60"/>
        <v>3.96110442935083E-6</v>
      </c>
      <c r="L378" s="7">
        <f t="shared" si="61"/>
        <v>9.5886547785983801E-4</v>
      </c>
      <c r="M378" s="7">
        <f t="shared" si="62"/>
        <v>8.4215806946133204E-2</v>
      </c>
      <c r="N378" s="7">
        <f t="shared" si="63"/>
        <v>-5.2612034795877199E-2</v>
      </c>
      <c r="O378">
        <v>-4.2087791000000001</v>
      </c>
      <c r="P378">
        <v>-7.9931122999999999</v>
      </c>
      <c r="Q378">
        <v>-7.1380827</v>
      </c>
      <c r="R378">
        <v>-5.7197544999999996</v>
      </c>
      <c r="S378">
        <f t="shared" si="64"/>
        <v>1.0125684296333841</v>
      </c>
      <c r="T378">
        <f t="shared" si="65"/>
        <v>-23.525679367844241</v>
      </c>
    </row>
    <row r="379" spans="1:20" x14ac:dyDescent="0.35">
      <c r="A379">
        <v>1.7000000000000002</v>
      </c>
      <c r="B379">
        <v>17</v>
      </c>
      <c r="C379">
        <v>-4.1311782999999998E-2</v>
      </c>
      <c r="D379">
        <v>2.5641233999999999E-2</v>
      </c>
      <c r="E379">
        <v>0.95860365999999997</v>
      </c>
      <c r="F379">
        <v>2.3775315000000002E-2</v>
      </c>
      <c r="G379">
        <f t="shared" si="56"/>
        <v>8.4100098540767494</v>
      </c>
      <c r="H379">
        <f t="shared" si="57"/>
        <v>5.3240175729067998</v>
      </c>
      <c r="I379">
        <f t="shared" si="58"/>
        <v>8.4099684443122804</v>
      </c>
      <c r="J379">
        <f t="shared" si="59"/>
        <v>5.3230845353257399</v>
      </c>
      <c r="K379" s="7">
        <f t="shared" si="60"/>
        <v>4.1409764468980397E-5</v>
      </c>
      <c r="L379" s="7">
        <f t="shared" si="61"/>
        <v>9.3303758105989199E-4</v>
      </c>
      <c r="M379" s="7">
        <f t="shared" si="62"/>
        <v>8.4895324952831905E-2</v>
      </c>
      <c r="N379" s="7">
        <f t="shared" si="63"/>
        <v>-5.3734445541647601E-2</v>
      </c>
      <c r="O379">
        <v>-4.3112174999999997</v>
      </c>
      <c r="P379">
        <v>-8.1479338000000006</v>
      </c>
      <c r="Q379">
        <v>-7.1970286000000003</v>
      </c>
      <c r="R379">
        <v>-5.7437633000000003</v>
      </c>
      <c r="S379">
        <f t="shared" si="64"/>
        <v>0.99889681369487604</v>
      </c>
      <c r="T379">
        <f t="shared" si="65"/>
        <v>-23.523415829327249</v>
      </c>
    </row>
    <row r="380" spans="1:20" x14ac:dyDescent="0.35">
      <c r="A380">
        <v>1.8374999999999999</v>
      </c>
      <c r="B380">
        <v>15</v>
      </c>
      <c r="C380">
        <v>-1.2090339E-2</v>
      </c>
      <c r="D380">
        <v>-1.8994343E-2</v>
      </c>
      <c r="E380">
        <v>0.98796777000000002</v>
      </c>
      <c r="F380">
        <v>-2.1390376999999999E-2</v>
      </c>
      <c r="G380">
        <f t="shared" si="56"/>
        <v>10.401244685690401</v>
      </c>
      <c r="H380">
        <f t="shared" si="57"/>
        <v>-18.249709687218498</v>
      </c>
      <c r="I380">
        <f t="shared" si="58"/>
        <v>10.4012751744638</v>
      </c>
      <c r="J380">
        <f t="shared" si="59"/>
        <v>-18.250907632886602</v>
      </c>
      <c r="K380" s="7">
        <f t="shared" si="60"/>
        <v>-3.0488773399284201E-5</v>
      </c>
      <c r="L380" s="7">
        <f t="shared" si="61"/>
        <v>1.1979456681032699E-3</v>
      </c>
      <c r="M380" s="7">
        <f t="shared" si="62"/>
        <v>2.3570577382690999E-2</v>
      </c>
      <c r="N380" s="7">
        <f t="shared" si="63"/>
        <v>4.13588164383389E-2</v>
      </c>
      <c r="O380">
        <v>4.5478706999999998</v>
      </c>
      <c r="P380">
        <v>-2.4038615999999999</v>
      </c>
      <c r="Q380">
        <v>3.1529992999999998</v>
      </c>
      <c r="R380">
        <v>-3.9278114999999998</v>
      </c>
      <c r="S380">
        <f t="shared" si="64"/>
        <v>0.9791379924884539</v>
      </c>
      <c r="T380">
        <f t="shared" si="65"/>
        <v>-23.385177563347614</v>
      </c>
    </row>
    <row r="381" spans="1:20" x14ac:dyDescent="0.35">
      <c r="A381">
        <v>1.8374999999999999</v>
      </c>
      <c r="B381">
        <v>15.0488</v>
      </c>
      <c r="C381">
        <v>-1.2919876E-2</v>
      </c>
      <c r="D381">
        <v>-1.9611183000000001E-2</v>
      </c>
      <c r="E381">
        <v>0.98710905999999998</v>
      </c>
      <c r="F381">
        <v>-2.2007807000000001E-2</v>
      </c>
      <c r="G381">
        <f t="shared" si="56"/>
        <v>10.2619488982573</v>
      </c>
      <c r="H381">
        <f t="shared" si="57"/>
        <v>-17.352659841864799</v>
      </c>
      <c r="I381">
        <f t="shared" si="58"/>
        <v>10.261964801935299</v>
      </c>
      <c r="J381">
        <f t="shared" si="59"/>
        <v>-17.353858117470601</v>
      </c>
      <c r="K381" s="7">
        <f t="shared" si="60"/>
        <v>-1.5903677999418202E-5</v>
      </c>
      <c r="L381" s="7">
        <f t="shared" si="61"/>
        <v>1.19827560580177E-3</v>
      </c>
      <c r="M381" s="7">
        <f t="shared" si="62"/>
        <v>2.5246902298062101E-2</v>
      </c>
      <c r="N381" s="7">
        <f t="shared" si="63"/>
        <v>4.2694666064688198E-2</v>
      </c>
      <c r="O381">
        <v>4.6462472000000004</v>
      </c>
      <c r="P381">
        <v>-2.5592761999999998</v>
      </c>
      <c r="Q381">
        <v>3.1886492999999998</v>
      </c>
      <c r="R381">
        <v>-4.1155482000000001</v>
      </c>
      <c r="S381">
        <f t="shared" si="64"/>
        <v>0.98148499745461304</v>
      </c>
      <c r="T381">
        <f t="shared" si="65"/>
        <v>-23.385010163497707</v>
      </c>
    </row>
    <row r="382" spans="1:20" x14ac:dyDescent="0.35">
      <c r="A382">
        <v>1.8374999999999999</v>
      </c>
      <c r="B382">
        <v>15.0976</v>
      </c>
      <c r="C382">
        <v>-1.3833798E-2</v>
      </c>
      <c r="D382">
        <v>-2.0212424E-2</v>
      </c>
      <c r="E382">
        <v>0.98619431000000002</v>
      </c>
      <c r="F382">
        <v>-2.2573607999999998E-2</v>
      </c>
      <c r="G382">
        <f t="shared" si="56"/>
        <v>10.152747589836901</v>
      </c>
      <c r="H382">
        <f t="shared" si="57"/>
        <v>-16.4899152523463</v>
      </c>
      <c r="I382">
        <f t="shared" si="58"/>
        <v>10.152763037376101</v>
      </c>
      <c r="J382">
        <f t="shared" si="59"/>
        <v>-16.4910958095175</v>
      </c>
      <c r="K382" s="7">
        <f t="shared" si="60"/>
        <v>-1.5447539199797699E-5</v>
      </c>
      <c r="L382" s="7">
        <f t="shared" si="61"/>
        <v>1.18055717119958E-3</v>
      </c>
      <c r="M382" s="7">
        <f t="shared" si="62"/>
        <v>2.7071519764989799E-2</v>
      </c>
      <c r="N382" s="7">
        <f t="shared" si="63"/>
        <v>4.3972170384572601E-2</v>
      </c>
      <c r="O382">
        <v>4.7481866999999998</v>
      </c>
      <c r="P382">
        <v>-2.7311087999999999</v>
      </c>
      <c r="Q382">
        <v>3.2177967999999999</v>
      </c>
      <c r="R382">
        <v>-4.3167451000000003</v>
      </c>
      <c r="S382">
        <f t="shared" si="64"/>
        <v>0.9829278637719131</v>
      </c>
      <c r="T382">
        <f t="shared" si="65"/>
        <v>-23.39126731699124</v>
      </c>
    </row>
    <row r="383" spans="1:20" x14ac:dyDescent="0.35">
      <c r="A383">
        <v>1.8374999999999999</v>
      </c>
      <c r="B383">
        <v>15.1464</v>
      </c>
      <c r="C383">
        <v>-1.4814172E-2</v>
      </c>
      <c r="D383">
        <v>-2.0801846999999998E-2</v>
      </c>
      <c r="E383">
        <v>0.98521338000000003</v>
      </c>
      <c r="F383">
        <v>-2.3126944999999999E-2</v>
      </c>
      <c r="G383">
        <f t="shared" si="56"/>
        <v>10.049302955600901</v>
      </c>
      <c r="H383">
        <f t="shared" si="57"/>
        <v>-15.6550291578263</v>
      </c>
      <c r="I383">
        <f t="shared" si="58"/>
        <v>10.049318082873601</v>
      </c>
      <c r="J383">
        <f t="shared" si="59"/>
        <v>-15.656191673225299</v>
      </c>
      <c r="K383" s="7">
        <f t="shared" si="60"/>
        <v>-1.5127272700254901E-5</v>
      </c>
      <c r="L383" s="7">
        <f t="shared" si="61"/>
        <v>1.1625153989989201E-3</v>
      </c>
      <c r="M383" s="7">
        <f t="shared" si="62"/>
        <v>2.9035449533119699E-2</v>
      </c>
      <c r="N383" s="7">
        <f t="shared" si="63"/>
        <v>4.5235364176948699E-2</v>
      </c>
      <c r="O383">
        <v>4.8478963000000004</v>
      </c>
      <c r="P383">
        <v>-2.9150317000000001</v>
      </c>
      <c r="Q383">
        <v>3.2404408999999998</v>
      </c>
      <c r="R383">
        <v>-4.5288010999999999</v>
      </c>
      <c r="S383">
        <f t="shared" si="64"/>
        <v>0.9844251667637165</v>
      </c>
      <c r="T383">
        <f t="shared" si="65"/>
        <v>-23.397158572350577</v>
      </c>
    </row>
    <row r="384" spans="1:20" x14ac:dyDescent="0.35">
      <c r="A384">
        <v>1.8374999999999999</v>
      </c>
      <c r="B384">
        <v>15.1952</v>
      </c>
      <c r="C384">
        <v>-1.5870098999999999E-2</v>
      </c>
      <c r="D384">
        <v>-2.1380069000000002E-2</v>
      </c>
      <c r="E384">
        <v>0.98415682000000004</v>
      </c>
      <c r="F384">
        <v>-2.3669508999999998E-2</v>
      </c>
      <c r="G384">
        <f t="shared" si="56"/>
        <v>9.9485018143846595</v>
      </c>
      <c r="H384">
        <f t="shared" si="57"/>
        <v>-14.841820022882301</v>
      </c>
      <c r="I384">
        <f t="shared" si="58"/>
        <v>9.9485165840327898</v>
      </c>
      <c r="J384">
        <f t="shared" si="59"/>
        <v>-14.842964710568401</v>
      </c>
      <c r="K384" s="7">
        <f t="shared" si="60"/>
        <v>-1.4769648130297199E-5</v>
      </c>
      <c r="L384" s="7">
        <f t="shared" si="61"/>
        <v>1.1446876861001E-3</v>
      </c>
      <c r="M384" s="7">
        <f t="shared" si="62"/>
        <v>3.11585800793064E-2</v>
      </c>
      <c r="N384" s="7">
        <f t="shared" si="63"/>
        <v>4.6487906075449101E-2</v>
      </c>
      <c r="O384">
        <v>4.9450995999999998</v>
      </c>
      <c r="P384">
        <v>-3.1127235999999998</v>
      </c>
      <c r="Q384">
        <v>3.2554687000000002</v>
      </c>
      <c r="R384">
        <v>-4.7528465999999998</v>
      </c>
      <c r="S384">
        <f t="shared" si="64"/>
        <v>0.98590913880979525</v>
      </c>
      <c r="T384">
        <f t="shared" si="65"/>
        <v>-23.402136313036078</v>
      </c>
    </row>
    <row r="385" spans="1:20" x14ac:dyDescent="0.35">
      <c r="A385">
        <v>1.8374999999999999</v>
      </c>
      <c r="B385">
        <v>15.244</v>
      </c>
      <c r="C385">
        <v>-1.7010449E-2</v>
      </c>
      <c r="D385">
        <v>-2.1941959E-2</v>
      </c>
      <c r="E385">
        <v>0.98301088000000003</v>
      </c>
      <c r="F385">
        <v>-2.4233926999999999E-2</v>
      </c>
      <c r="G385">
        <f t="shared" si="56"/>
        <v>9.8399196028237892</v>
      </c>
      <c r="H385">
        <f t="shared" si="57"/>
        <v>-14.042405782493599</v>
      </c>
      <c r="I385">
        <f t="shared" si="58"/>
        <v>9.83993158044564</v>
      </c>
      <c r="J385">
        <f t="shared" si="59"/>
        <v>-14.0435517405464</v>
      </c>
      <c r="K385" s="7">
        <f t="shared" si="60"/>
        <v>-1.1977621850789401E-5</v>
      </c>
      <c r="L385" s="7">
        <f t="shared" si="61"/>
        <v>1.14595805280082E-3</v>
      </c>
      <c r="M385" s="7">
        <f t="shared" si="62"/>
        <v>3.3463964820427398E-2</v>
      </c>
      <c r="N385" s="7">
        <f t="shared" si="63"/>
        <v>4.7759775315247902E-2</v>
      </c>
      <c r="O385">
        <v>5.0380862000000004</v>
      </c>
      <c r="P385">
        <v>-3.3261335000000001</v>
      </c>
      <c r="Q385">
        <v>3.2602603000000001</v>
      </c>
      <c r="R385">
        <v>-4.9900641999999999</v>
      </c>
      <c r="S385">
        <f t="shared" si="64"/>
        <v>0.98736111290128536</v>
      </c>
      <c r="T385">
        <f t="shared" si="65"/>
        <v>-23.408686545311749</v>
      </c>
    </row>
    <row r="386" spans="1:20" x14ac:dyDescent="0.35">
      <c r="A386">
        <v>1.8374999999999999</v>
      </c>
      <c r="B386">
        <v>15.2928</v>
      </c>
      <c r="C386">
        <v>-1.8237863E-2</v>
      </c>
      <c r="D386">
        <v>-2.2481839999999999E-2</v>
      </c>
      <c r="E386">
        <v>0.98178242999999998</v>
      </c>
      <c r="F386">
        <v>-2.4750622999999999E-2</v>
      </c>
      <c r="G386">
        <f t="shared" si="56"/>
        <v>9.7405601525271006</v>
      </c>
      <c r="H386">
        <f t="shared" si="57"/>
        <v>-13.267335806768999</v>
      </c>
      <c r="I386">
        <f t="shared" si="58"/>
        <v>9.7405715857273805</v>
      </c>
      <c r="J386">
        <f t="shared" si="59"/>
        <v>-13.2684701737894</v>
      </c>
      <c r="K386" s="7">
        <f t="shared" si="60"/>
        <v>-1.14332002798534E-5</v>
      </c>
      <c r="L386" s="7">
        <f t="shared" si="61"/>
        <v>1.1343670204002601E-3</v>
      </c>
      <c r="M386" s="7">
        <f t="shared" si="62"/>
        <v>3.59522177489024E-2</v>
      </c>
      <c r="N386" s="7">
        <f t="shared" si="63"/>
        <v>4.8973607419699701E-2</v>
      </c>
      <c r="O386">
        <v>5.1267464</v>
      </c>
      <c r="P386">
        <v>-3.5550389999999998</v>
      </c>
      <c r="Q386">
        <v>3.2550648999999998</v>
      </c>
      <c r="R386">
        <v>-5.2401831999999997</v>
      </c>
      <c r="S386">
        <f t="shared" si="64"/>
        <v>0.98880134061913461</v>
      </c>
      <c r="T386">
        <f t="shared" si="65"/>
        <v>-23.41393574857706</v>
      </c>
    </row>
    <row r="387" spans="1:20" x14ac:dyDescent="0.35">
      <c r="A387">
        <v>1.8374999999999999</v>
      </c>
      <c r="B387">
        <v>15.3416</v>
      </c>
      <c r="C387">
        <v>-1.9559726E-2</v>
      </c>
      <c r="D387">
        <v>-2.2990950999999999E-2</v>
      </c>
      <c r="E387">
        <v>0.98046288999999998</v>
      </c>
      <c r="F387">
        <v>-2.5236537E-2</v>
      </c>
      <c r="G387">
        <f t="shared" ref="G387:G450" si="66">IMREAL(IMDIV(IMSUM(IMPRODUCT(COMPLEX(1 + C387,D387),COMPLEX(1 - C387, - D387)),IMPRODUCT(COMPLEX(E387,F387),COMPLEX(E387,F387))),IMSUB(IMPRODUCT(COMPLEX(1 - C387, - D387),COMPLEX(1 - C387, - D387)),IMPRODUCT(COMPLEX(E387,F387),COMPLEX(E387,F387)))))</f>
        <v>9.6432836024445905</v>
      </c>
      <c r="H387">
        <f t="shared" ref="H387:H450" si="67">IMAGINARY(IMDIV(IMSUM(IMPRODUCT(COMPLEX(1 + C387,D387),COMPLEX(1 - C387, - D387)),IMPRODUCT(COMPLEX(E387,F387),COMPLEX(E387,F387))),IMSUB(IMPRODUCT(COMPLEX(1 - C387, - D387),COMPLEX(1 - C387, - D387)),IMPRODUCT(COMPLEX(E387,F387),COMPLEX(E387,F387)))))</f>
        <v>-12.511586435998501</v>
      </c>
      <c r="I387">
        <f t="shared" ref="I387:I450" si="68">IMREAL(IMDIV(IMPRODUCT(COMPLEX(2,0),COMPLEX(E387,F387)),IMSUB(IMPRODUCT(COMPLEX(1 - C387, - D387),COMPLEX(1 - C387, - D387)),IMPRODUCT(COMPLEX(E387,F387),COMPLEX(E387,F387)))))</f>
        <v>9.6432961709364804</v>
      </c>
      <c r="J387">
        <f t="shared" ref="J387:J450" si="69">IMAGINARY(IMDIV(IMPRODUCT(COMPLEX(2,0),COMPLEX(E387,F387)),IMSUB(IMPRODUCT(COMPLEX(1 - C387, - D387),COMPLEX(1 - C387, - D387)),IMPRODUCT(COMPLEX(E387,F387),COMPLEX(E387,F387)))))</f>
        <v>-12.5127092021905</v>
      </c>
      <c r="K387" s="7">
        <f t="shared" ref="K387:K450" si="70">IMREAL(IMSUB(COMPLEX(G387,H387),COMPLEX(I387,J387)))</f>
        <v>-1.25684918899083E-5</v>
      </c>
      <c r="L387" s="7">
        <f t="shared" ref="L387:L450" si="71">IMAGINARY(IMSUB(COMPLEX(G387,H387),COMPLEX(I387,J387)))</f>
        <v>1.1227661919992499E-3</v>
      </c>
      <c r="M387" s="7">
        <f t="shared" ref="M387:M450" si="72">IMREAL(IMDIV(IMSUB(IMPRODUCT(COMPLEX(1 - C387, - D387),COMPLEX(1 - C387, - D387)),IMPRODUCT(COMPLEX(E387,F387),COMPLEX(E387,F387))),IMPRODUCT(COMPLEX(2,0),COMPLEX(E387,F387))))</f>
        <v>3.8641030199770297E-2</v>
      </c>
      <c r="N387" s="7">
        <f t="shared" ref="N387:N450" si="73">IMAGINARY(IMDIV(IMSUB(IMPRODUCT(COMPLEX(1 - C387, - D387),COMPLEX(1 - C387, - D387)),IMPRODUCT(COMPLEX(E387,F387),COMPLEX(E387,F387))),IMPRODUCT(COMPLEX(2,0),COMPLEX(E387,F387))))</f>
        <v>5.0138870111653099E-2</v>
      </c>
      <c r="O387">
        <v>5.2089829999999999</v>
      </c>
      <c r="P387">
        <v>-3.8009753000000002</v>
      </c>
      <c r="Q387">
        <v>3.2372418999999999</v>
      </c>
      <c r="R387">
        <v>-5.5038552999999997</v>
      </c>
      <c r="S387">
        <f t="shared" ref="S387:S450" si="74">IMABS(COMPLEX(Q387,R387))/IMABS(COMPLEX(O387,P387))</f>
        <v>0.99022712515155442</v>
      </c>
      <c r="T387">
        <f t="shared" ref="T387:T450" si="75">IMARGUMENT(IMDIV(COMPLEX(Q387,R387),COMPLEX(O387/B387,P387/B387)))/PI()*180</f>
        <v>-23.41884165805557</v>
      </c>
    </row>
    <row r="388" spans="1:20" x14ac:dyDescent="0.35">
      <c r="A388">
        <v>1.8374999999999999</v>
      </c>
      <c r="B388">
        <v>15.3904</v>
      </c>
      <c r="C388">
        <v>-2.0981324999999999E-2</v>
      </c>
      <c r="D388">
        <v>-2.3459351999999999E-2</v>
      </c>
      <c r="E388">
        <v>0.97904661999999998</v>
      </c>
      <c r="F388">
        <v>-2.5681743E-2</v>
      </c>
      <c r="G388">
        <f t="shared" si="66"/>
        <v>9.5481640531066194</v>
      </c>
      <c r="H388">
        <f t="shared" si="67"/>
        <v>-11.7743730355525</v>
      </c>
      <c r="I388">
        <f t="shared" si="68"/>
        <v>9.5481792601135496</v>
      </c>
      <c r="J388">
        <f t="shared" si="69"/>
        <v>-11.775484198628901</v>
      </c>
      <c r="K388" s="7">
        <f t="shared" si="70"/>
        <v>-1.52070069301402E-5</v>
      </c>
      <c r="L388" s="7">
        <f t="shared" si="71"/>
        <v>1.1111630764002499E-3</v>
      </c>
      <c r="M388" s="7">
        <f t="shared" si="72"/>
        <v>4.15445739296917E-2</v>
      </c>
      <c r="N388" s="7">
        <f t="shared" si="73"/>
        <v>5.1235681748400201E-2</v>
      </c>
      <c r="O388">
        <v>5.2829186999999997</v>
      </c>
      <c r="P388">
        <v>-4.0648135999999999</v>
      </c>
      <c r="Q388">
        <v>3.2046967</v>
      </c>
      <c r="R388">
        <v>-5.7811763999999997</v>
      </c>
      <c r="S388">
        <f t="shared" si="74"/>
        <v>0.99163930337643169</v>
      </c>
      <c r="T388">
        <f t="shared" si="75"/>
        <v>-23.423342187858474</v>
      </c>
    </row>
    <row r="389" spans="1:20" x14ac:dyDescent="0.35">
      <c r="A389">
        <v>1.8374999999999999</v>
      </c>
      <c r="B389">
        <v>15.4392</v>
      </c>
      <c r="C389">
        <v>-2.2507350999999998E-2</v>
      </c>
      <c r="D389">
        <v>-2.3875421000000001E-2</v>
      </c>
      <c r="E389">
        <v>0.97752802999999999</v>
      </c>
      <c r="F389">
        <v>-2.6075839E-2</v>
      </c>
      <c r="G389">
        <f t="shared" si="66"/>
        <v>9.4549830499563505</v>
      </c>
      <c r="H389">
        <f t="shared" si="67"/>
        <v>-11.054850655846201</v>
      </c>
      <c r="I389">
        <f t="shared" si="68"/>
        <v>9.4550019505375307</v>
      </c>
      <c r="J389">
        <f t="shared" si="69"/>
        <v>-11.055950824589001</v>
      </c>
      <c r="K389" s="7">
        <f t="shared" si="70"/>
        <v>-1.89005811801479E-5</v>
      </c>
      <c r="L389" s="7">
        <f t="shared" si="71"/>
        <v>1.1001687428002799E-3</v>
      </c>
      <c r="M389" s="7">
        <f t="shared" si="72"/>
        <v>4.4676805443622E-2</v>
      </c>
      <c r="N389" s="7">
        <f t="shared" si="73"/>
        <v>5.2241614181405202E-2</v>
      </c>
      <c r="O389">
        <v>5.3463647999999999</v>
      </c>
      <c r="P389">
        <v>-4.3473078000000003</v>
      </c>
      <c r="Q389">
        <v>3.1550747000000001</v>
      </c>
      <c r="R389">
        <v>-6.0720197000000002</v>
      </c>
      <c r="S389">
        <f t="shared" si="74"/>
        <v>0.99303869556993485</v>
      </c>
      <c r="T389">
        <f t="shared" si="75"/>
        <v>-23.427503538161961</v>
      </c>
    </row>
    <row r="390" spans="1:20" x14ac:dyDescent="0.35">
      <c r="A390">
        <v>1.8374999999999999</v>
      </c>
      <c r="B390">
        <v>15.488</v>
      </c>
      <c r="C390">
        <v>-2.4140622E-2</v>
      </c>
      <c r="D390">
        <v>-2.4225976999999999E-2</v>
      </c>
      <c r="E390">
        <v>0.97586198999999996</v>
      </c>
      <c r="F390">
        <v>-2.6555694000000001E-2</v>
      </c>
      <c r="G390">
        <f t="shared" si="66"/>
        <v>9.3335061970759199</v>
      </c>
      <c r="H390">
        <f t="shared" si="67"/>
        <v>-10.3427500869011</v>
      </c>
      <c r="I390">
        <f t="shared" si="68"/>
        <v>9.3335088599623592</v>
      </c>
      <c r="J390">
        <f t="shared" si="69"/>
        <v>-10.3439149407779</v>
      </c>
      <c r="K390" s="7">
        <f t="shared" si="70"/>
        <v>-2.6628864393529701E-6</v>
      </c>
      <c r="L390" s="7">
        <f t="shared" si="71"/>
        <v>1.16485387679965E-3</v>
      </c>
      <c r="M390" s="7">
        <f t="shared" si="72"/>
        <v>4.80833677318563E-2</v>
      </c>
      <c r="N390" s="7">
        <f t="shared" si="73"/>
        <v>5.32886691754288E-2</v>
      </c>
      <c r="O390">
        <v>5.3890020999999999</v>
      </c>
      <c r="P390">
        <v>-4.6433407999999998</v>
      </c>
      <c r="Q390">
        <v>3.0845161000000001</v>
      </c>
      <c r="R390">
        <v>-6.3767852999999999</v>
      </c>
      <c r="S390">
        <f t="shared" si="74"/>
        <v>0.99579838000111798</v>
      </c>
      <c r="T390">
        <f t="shared" si="75"/>
        <v>-23.437207432880864</v>
      </c>
    </row>
    <row r="391" spans="1:20" x14ac:dyDescent="0.35">
      <c r="A391">
        <v>1.8374999999999999</v>
      </c>
      <c r="B391">
        <v>15.536799999999999</v>
      </c>
      <c r="C391">
        <v>-2.5886066999999999E-2</v>
      </c>
      <c r="D391">
        <v>-2.4495174000000002E-2</v>
      </c>
      <c r="E391">
        <v>0.97411895000000004</v>
      </c>
      <c r="F391">
        <v>-2.6820119999999999E-2</v>
      </c>
      <c r="G391">
        <f t="shared" si="66"/>
        <v>9.2433075129253606</v>
      </c>
      <c r="H391">
        <f t="shared" si="67"/>
        <v>-9.6576886799763404</v>
      </c>
      <c r="I391">
        <f t="shared" si="68"/>
        <v>9.2433113727505507</v>
      </c>
      <c r="J391">
        <f t="shared" si="69"/>
        <v>-9.6588511455733492</v>
      </c>
      <c r="K391" s="7">
        <f t="shared" si="70"/>
        <v>-3.8598251901333899E-6</v>
      </c>
      <c r="L391" s="7">
        <f t="shared" si="71"/>
        <v>1.1624655970088301E-3</v>
      </c>
      <c r="M391" s="7">
        <f t="shared" si="72"/>
        <v>5.1715979690772497E-2</v>
      </c>
      <c r="N391" s="7">
        <f t="shared" si="73"/>
        <v>5.4040909100309099E-2</v>
      </c>
      <c r="O391">
        <v>5.4233995999999998</v>
      </c>
      <c r="P391">
        <v>-4.9642306999999999</v>
      </c>
      <c r="Q391">
        <v>2.9923522</v>
      </c>
      <c r="R391">
        <v>-6.6927023999999999</v>
      </c>
      <c r="S391">
        <f t="shared" si="74"/>
        <v>0.99712469863162623</v>
      </c>
      <c r="T391">
        <f t="shared" si="75"/>
        <v>-23.441283116026227</v>
      </c>
    </row>
    <row r="392" spans="1:20" x14ac:dyDescent="0.35">
      <c r="A392">
        <v>1.8374999999999999</v>
      </c>
      <c r="B392">
        <v>15.585599999999999</v>
      </c>
      <c r="C392">
        <v>-2.7743197000000001E-2</v>
      </c>
      <c r="D392">
        <v>-2.4665837999999999E-2</v>
      </c>
      <c r="E392">
        <v>0.97226462000000002</v>
      </c>
      <c r="F392">
        <v>-2.6986375E-2</v>
      </c>
      <c r="G392">
        <f t="shared" si="66"/>
        <v>9.1554585788277105</v>
      </c>
      <c r="H392">
        <f t="shared" si="67"/>
        <v>-8.9889427788806504</v>
      </c>
      <c r="I392">
        <f t="shared" si="68"/>
        <v>9.1554638335178105</v>
      </c>
      <c r="J392">
        <f t="shared" si="69"/>
        <v>-8.9901030367489092</v>
      </c>
      <c r="K392" s="7">
        <f t="shared" si="70"/>
        <v>-5.2546900999317401E-6</v>
      </c>
      <c r="L392" s="7">
        <f t="shared" si="71"/>
        <v>1.1602578682588E-3</v>
      </c>
      <c r="M392" s="7">
        <f t="shared" si="72"/>
        <v>5.5607478338874403E-2</v>
      </c>
      <c r="N392" s="7">
        <f t="shared" si="73"/>
        <v>5.4603127593611002E-2</v>
      </c>
      <c r="O392">
        <v>5.438828</v>
      </c>
      <c r="P392">
        <v>-5.3046628</v>
      </c>
      <c r="Q392">
        <v>2.8748714999999998</v>
      </c>
      <c r="R392">
        <v>-7.0201250000000002</v>
      </c>
      <c r="S392">
        <f t="shared" si="74"/>
        <v>0.99849804579032775</v>
      </c>
      <c r="T392">
        <f t="shared" si="75"/>
        <v>-23.445464624724824</v>
      </c>
    </row>
    <row r="393" spans="1:20" x14ac:dyDescent="0.35">
      <c r="A393">
        <v>1.8374999999999999</v>
      </c>
      <c r="B393">
        <v>15.634399999999999</v>
      </c>
      <c r="C393">
        <v>-2.9710415E-2</v>
      </c>
      <c r="D393">
        <v>-2.4718660999999999E-2</v>
      </c>
      <c r="E393">
        <v>0.97030055000000004</v>
      </c>
      <c r="F393">
        <v>-2.7035081999999998E-2</v>
      </c>
      <c r="G393">
        <f t="shared" si="66"/>
        <v>9.0699124238994795</v>
      </c>
      <c r="H393">
        <f t="shared" si="67"/>
        <v>-8.3360660819342502</v>
      </c>
      <c r="I393">
        <f t="shared" si="68"/>
        <v>9.0699192477971096</v>
      </c>
      <c r="J393">
        <f t="shared" si="69"/>
        <v>-8.3372242781809192</v>
      </c>
      <c r="K393" s="7">
        <f t="shared" si="70"/>
        <v>-6.8238976300705198E-6</v>
      </c>
      <c r="L393" s="7">
        <f t="shared" si="71"/>
        <v>1.1581962466689099E-3</v>
      </c>
      <c r="M393" s="7">
        <f t="shared" si="72"/>
        <v>5.9759868729660701E-2</v>
      </c>
      <c r="N393" s="7">
        <f t="shared" si="73"/>
        <v>5.4932289342580598E-2</v>
      </c>
      <c r="O393">
        <v>5.4391651000000003</v>
      </c>
      <c r="P393">
        <v>-5.6718821999999998</v>
      </c>
      <c r="Q393">
        <v>2.7287401</v>
      </c>
      <c r="R393">
        <v>-7.3570596000000004</v>
      </c>
      <c r="S393">
        <f t="shared" si="74"/>
        <v>0.99852196754685363</v>
      </c>
      <c r="T393">
        <f t="shared" si="75"/>
        <v>-23.450271752601711</v>
      </c>
    </row>
    <row r="394" spans="1:20" x14ac:dyDescent="0.35">
      <c r="A394">
        <v>1.8374999999999999</v>
      </c>
      <c r="B394">
        <v>15.683199999999999</v>
      </c>
      <c r="C394">
        <v>-3.1783117E-2</v>
      </c>
      <c r="D394">
        <v>-2.4632613000000001E-2</v>
      </c>
      <c r="E394">
        <v>0.96823135000000005</v>
      </c>
      <c r="F394">
        <v>-2.6945152E-2</v>
      </c>
      <c r="G394">
        <f t="shared" si="66"/>
        <v>8.9866184042586195</v>
      </c>
      <c r="H394">
        <f t="shared" si="67"/>
        <v>-7.6986381010564999</v>
      </c>
      <c r="I394">
        <f t="shared" si="68"/>
        <v>8.9866269746346603</v>
      </c>
      <c r="J394">
        <f t="shared" si="69"/>
        <v>-7.6997943522831003</v>
      </c>
      <c r="K394" s="7">
        <f t="shared" si="70"/>
        <v>-8.5703760408506502E-6</v>
      </c>
      <c r="L394" s="7">
        <f t="shared" si="71"/>
        <v>1.1562512266003501E-3</v>
      </c>
      <c r="M394" s="7">
        <f t="shared" si="72"/>
        <v>6.4168972249535397E-2</v>
      </c>
      <c r="N394" s="7">
        <f t="shared" si="73"/>
        <v>5.4980349302733801E-2</v>
      </c>
      <c r="O394">
        <v>5.4057879</v>
      </c>
      <c r="P394">
        <v>-6.0499713000000002</v>
      </c>
      <c r="Q394">
        <v>2.5506831999999999</v>
      </c>
      <c r="R394">
        <v>-7.7004964999999999</v>
      </c>
      <c r="S394">
        <f t="shared" si="74"/>
        <v>0.99983998328724755</v>
      </c>
      <c r="T394">
        <f t="shared" si="75"/>
        <v>-23.454777796130163</v>
      </c>
    </row>
    <row r="395" spans="1:20" x14ac:dyDescent="0.35">
      <c r="A395">
        <v>1.8374999999999999</v>
      </c>
      <c r="B395">
        <v>15.731999999999999</v>
      </c>
      <c r="C395">
        <v>-3.3952988000000003E-2</v>
      </c>
      <c r="D395">
        <v>-2.4385318E-2</v>
      </c>
      <c r="E395">
        <v>0.96606539000000002</v>
      </c>
      <c r="F395">
        <v>-2.6694180000000001E-2</v>
      </c>
      <c r="G395">
        <f t="shared" si="66"/>
        <v>8.9055215809633292</v>
      </c>
      <c r="H395">
        <f t="shared" si="67"/>
        <v>-7.0762616244137098</v>
      </c>
      <c r="I395">
        <f t="shared" si="68"/>
        <v>8.9055321025513194</v>
      </c>
      <c r="J395">
        <f t="shared" si="69"/>
        <v>-7.0774160326594204</v>
      </c>
      <c r="K395" s="7">
        <f t="shared" si="70"/>
        <v>-1.0521587990197599E-5</v>
      </c>
      <c r="L395" s="7">
        <f t="shared" si="71"/>
        <v>1.1544082457106699E-3</v>
      </c>
      <c r="M395" s="7">
        <f t="shared" si="72"/>
        <v>6.8822625527193801E-2</v>
      </c>
      <c r="N395" s="7">
        <f t="shared" si="73"/>
        <v>5.4694806296451598E-2</v>
      </c>
      <c r="O395">
        <v>5.3379009000000002</v>
      </c>
      <c r="P395">
        <v>-6.4393979000000003</v>
      </c>
      <c r="Q395">
        <v>2.3377355</v>
      </c>
      <c r="R395">
        <v>-8.0474954000000007</v>
      </c>
      <c r="S395">
        <f t="shared" si="74"/>
        <v>1.0019147039841261</v>
      </c>
      <c r="T395">
        <f t="shared" si="75"/>
        <v>-23.458658781137526</v>
      </c>
    </row>
    <row r="396" spans="1:20" x14ac:dyDescent="0.35">
      <c r="A396">
        <v>1.8374999999999999</v>
      </c>
      <c r="B396">
        <v>15.780799999999999</v>
      </c>
      <c r="C396">
        <v>-3.6207285999999998E-2</v>
      </c>
      <c r="D396">
        <v>-2.395365E-2</v>
      </c>
      <c r="E396">
        <v>0.96381559000000006</v>
      </c>
      <c r="F396">
        <v>-2.6259052000000001E-2</v>
      </c>
      <c r="G396">
        <f t="shared" si="66"/>
        <v>8.8265691923557306</v>
      </c>
      <c r="H396">
        <f t="shared" si="67"/>
        <v>-6.4685711753335102</v>
      </c>
      <c r="I396">
        <f t="shared" si="68"/>
        <v>8.8265819588971297</v>
      </c>
      <c r="J396">
        <f t="shared" si="69"/>
        <v>-6.4697238484332198</v>
      </c>
      <c r="K396" s="7">
        <f t="shared" si="70"/>
        <v>-1.2766541399145101E-5</v>
      </c>
      <c r="L396" s="7">
        <f t="shared" si="71"/>
        <v>1.1526730997095699E-3</v>
      </c>
      <c r="M396" s="7">
        <f t="shared" si="72"/>
        <v>7.3698638309680195E-2</v>
      </c>
      <c r="N396" s="7">
        <f t="shared" si="73"/>
        <v>5.4019759867359698E-2</v>
      </c>
      <c r="O396">
        <v>5.2397869000000004</v>
      </c>
      <c r="P396">
        <v>-6.8473476</v>
      </c>
      <c r="Q396">
        <v>2.0869661000000002</v>
      </c>
      <c r="R396">
        <v>-8.3943677000000001</v>
      </c>
      <c r="S396">
        <f t="shared" si="74"/>
        <v>1.0032184605879577</v>
      </c>
      <c r="T396">
        <f t="shared" si="75"/>
        <v>-23.462718905625177</v>
      </c>
    </row>
    <row r="397" spans="1:20" x14ac:dyDescent="0.35">
      <c r="A397">
        <v>1.8374999999999999</v>
      </c>
      <c r="B397">
        <v>15.829599999999999</v>
      </c>
      <c r="C397">
        <v>-3.8528183000000001E-2</v>
      </c>
      <c r="D397">
        <v>-2.3314594000000001E-2</v>
      </c>
      <c r="E397">
        <v>0.96150009999999997</v>
      </c>
      <c r="F397">
        <v>-2.561679E-2</v>
      </c>
      <c r="G397">
        <f t="shared" si="66"/>
        <v>8.7497194783811292</v>
      </c>
      <c r="H397">
        <f t="shared" si="67"/>
        <v>-5.8752289338208703</v>
      </c>
      <c r="I397">
        <f t="shared" si="68"/>
        <v>8.7497349446497807</v>
      </c>
      <c r="J397">
        <f t="shared" si="69"/>
        <v>-5.8763799977399103</v>
      </c>
      <c r="K397" s="7">
        <f t="shared" si="70"/>
        <v>-1.5466268651565001E-5</v>
      </c>
      <c r="L397" s="7">
        <f t="shared" si="71"/>
        <v>1.1510639190399599E-3</v>
      </c>
      <c r="M397" s="7">
        <f t="shared" si="72"/>
        <v>7.8762789624938698E-2</v>
      </c>
      <c r="N397" s="7">
        <f t="shared" si="73"/>
        <v>5.2897611692934797E-2</v>
      </c>
      <c r="O397">
        <v>5.1074291000000001</v>
      </c>
      <c r="P397">
        <v>-7.2716849999999997</v>
      </c>
      <c r="Q397">
        <v>1.7958307</v>
      </c>
      <c r="R397">
        <v>-8.7362011000000006</v>
      </c>
      <c r="S397">
        <f t="shared" si="74"/>
        <v>1.0036846941001789</v>
      </c>
      <c r="T397">
        <f t="shared" si="75"/>
        <v>-23.467113841713587</v>
      </c>
    </row>
    <row r="398" spans="1:20" x14ac:dyDescent="0.35">
      <c r="A398">
        <v>1.8374999999999999</v>
      </c>
      <c r="B398">
        <v>15.878399999999999</v>
      </c>
      <c r="C398">
        <v>-4.0892261999999999E-2</v>
      </c>
      <c r="D398">
        <v>-2.2446395000000001E-2</v>
      </c>
      <c r="E398">
        <v>0.95914279999999996</v>
      </c>
      <c r="F398">
        <v>-2.4745633E-2</v>
      </c>
      <c r="G398">
        <f t="shared" si="66"/>
        <v>8.6749504782994098</v>
      </c>
      <c r="H398">
        <f t="shared" si="67"/>
        <v>-5.2959122354911399</v>
      </c>
      <c r="I398">
        <f t="shared" si="68"/>
        <v>8.6749693305446591</v>
      </c>
      <c r="J398">
        <f t="shared" si="69"/>
        <v>-5.2970618126650004</v>
      </c>
      <c r="K398" s="7">
        <f t="shared" si="70"/>
        <v>-1.8852245249334501E-5</v>
      </c>
      <c r="L398" s="7">
        <f t="shared" si="71"/>
        <v>1.14957717386055E-3</v>
      </c>
      <c r="M398" s="7">
        <f t="shared" si="72"/>
        <v>8.3967061226362605E-2</v>
      </c>
      <c r="N398" s="7">
        <f t="shared" si="73"/>
        <v>5.1271502710424403E-2</v>
      </c>
      <c r="O398">
        <v>4.9262012000000004</v>
      </c>
      <c r="P398">
        <v>-7.6927713999999998</v>
      </c>
      <c r="Q398">
        <v>1.4625440999999999</v>
      </c>
      <c r="R398">
        <v>-9.0667799999999996</v>
      </c>
      <c r="S398">
        <f t="shared" si="74"/>
        <v>1.0053743288097372</v>
      </c>
      <c r="T398">
        <f t="shared" si="75"/>
        <v>-23.470846552419779</v>
      </c>
    </row>
    <row r="399" spans="1:20" x14ac:dyDescent="0.35">
      <c r="A399">
        <v>1.8374999999999999</v>
      </c>
      <c r="B399">
        <v>15.927199999999999</v>
      </c>
      <c r="C399">
        <v>-4.3270261999999997E-2</v>
      </c>
      <c r="D399">
        <v>-2.1329977999999999E-2</v>
      </c>
      <c r="E399">
        <v>0.95677345000000003</v>
      </c>
      <c r="F399">
        <v>-2.3626423000000001E-2</v>
      </c>
      <c r="G399">
        <f t="shared" si="66"/>
        <v>8.6022557566274092</v>
      </c>
      <c r="H399">
        <f t="shared" si="67"/>
        <v>-4.7302960038474398</v>
      </c>
      <c r="I399">
        <f t="shared" si="68"/>
        <v>8.6022789304764604</v>
      </c>
      <c r="J399">
        <f t="shared" si="69"/>
        <v>-4.7314441746442801</v>
      </c>
      <c r="K399" s="7">
        <f t="shared" si="70"/>
        <v>-2.31738490512612E-5</v>
      </c>
      <c r="L399" s="7">
        <f t="shared" si="71"/>
        <v>1.1481707968403799E-3</v>
      </c>
      <c r="M399" s="7">
        <f t="shared" si="72"/>
        <v>8.9248435928441797E-2</v>
      </c>
      <c r="N399" s="7">
        <f t="shared" si="73"/>
        <v>4.90886189209341E-2</v>
      </c>
      <c r="O399">
        <v>4.7017581000000002</v>
      </c>
      <c r="P399">
        <v>-8.1174801999999993</v>
      </c>
      <c r="Q399">
        <v>1.0863011</v>
      </c>
      <c r="R399">
        <v>-9.3804344000000004</v>
      </c>
      <c r="S399">
        <f t="shared" si="74"/>
        <v>1.0066403697749218</v>
      </c>
      <c r="T399">
        <f t="shared" si="75"/>
        <v>-23.474310213745078</v>
      </c>
    </row>
    <row r="400" spans="1:20" x14ac:dyDescent="0.35">
      <c r="A400">
        <v>1.8374999999999999</v>
      </c>
      <c r="B400">
        <v>15.976000000000001</v>
      </c>
      <c r="C400">
        <v>-4.5633859999999998E-2</v>
      </c>
      <c r="D400">
        <v>-1.9946473999999999E-2</v>
      </c>
      <c r="E400">
        <v>0.95441765000000001</v>
      </c>
      <c r="F400">
        <v>-2.2235946999999999E-2</v>
      </c>
      <c r="G400">
        <f t="shared" si="66"/>
        <v>8.5315147146656791</v>
      </c>
      <c r="H400">
        <f t="shared" si="67"/>
        <v>-4.1760068773212096</v>
      </c>
      <c r="I400">
        <f t="shared" si="68"/>
        <v>8.5315417793210706</v>
      </c>
      <c r="J400">
        <f t="shared" si="69"/>
        <v>-4.17715155335818</v>
      </c>
      <c r="K400" s="7">
        <f t="shared" si="70"/>
        <v>-2.70646553914844E-5</v>
      </c>
      <c r="L400" s="7">
        <f t="shared" si="71"/>
        <v>1.14467603697044E-3</v>
      </c>
      <c r="M400" s="7">
        <f t="shared" si="72"/>
        <v>9.4547194765092005E-2</v>
      </c>
      <c r="N400" s="7">
        <f t="shared" si="73"/>
        <v>4.62915111587359E-2</v>
      </c>
      <c r="O400">
        <v>4.4306704999999997</v>
      </c>
      <c r="P400">
        <v>-8.5413633000000004</v>
      </c>
      <c r="Q400">
        <v>0.66586593999999999</v>
      </c>
      <c r="R400">
        <v>-9.6705570000000005</v>
      </c>
      <c r="S400">
        <f t="shared" si="74"/>
        <v>1.0074106317087832</v>
      </c>
      <c r="T400">
        <f t="shared" si="75"/>
        <v>-23.478289858993019</v>
      </c>
    </row>
    <row r="401" spans="1:20" x14ac:dyDescent="0.35">
      <c r="A401">
        <v>1.8374999999999999</v>
      </c>
      <c r="B401">
        <v>16.024799999999999</v>
      </c>
      <c r="C401">
        <v>-4.7930377000000003E-2</v>
      </c>
      <c r="D401">
        <v>-1.8294098000000002E-2</v>
      </c>
      <c r="E401">
        <v>0.95213292000000005</v>
      </c>
      <c r="F401">
        <v>-2.0579195000000002E-2</v>
      </c>
      <c r="G401">
        <f t="shared" si="66"/>
        <v>8.4628293813036404</v>
      </c>
      <c r="H401">
        <f t="shared" si="67"/>
        <v>-3.63642857508261</v>
      </c>
      <c r="I401">
        <f t="shared" si="68"/>
        <v>8.4628623340934706</v>
      </c>
      <c r="J401">
        <f t="shared" si="69"/>
        <v>-3.6375710497748401</v>
      </c>
      <c r="K401" s="7">
        <f t="shared" si="70"/>
        <v>-3.2952789830176203E-5</v>
      </c>
      <c r="L401" s="7">
        <f t="shared" si="71"/>
        <v>1.14247469223017E-3</v>
      </c>
      <c r="M401" s="7">
        <f t="shared" si="72"/>
        <v>9.9736790191168795E-2</v>
      </c>
      <c r="N401" s="7">
        <f t="shared" si="73"/>
        <v>4.2869616245001303E-2</v>
      </c>
      <c r="O401">
        <v>4.1078805000000003</v>
      </c>
      <c r="P401">
        <v>-8.9448065999999997</v>
      </c>
      <c r="Q401">
        <v>0.20544525999999999</v>
      </c>
      <c r="R401">
        <v>-9.9278312999999994</v>
      </c>
      <c r="S401">
        <f t="shared" si="74"/>
        <v>1.0088364712300595</v>
      </c>
      <c r="T401">
        <f t="shared" si="75"/>
        <v>-23.481334841788218</v>
      </c>
    </row>
    <row r="402" spans="1:20" x14ac:dyDescent="0.35">
      <c r="A402">
        <v>1.8374999999999999</v>
      </c>
      <c r="B402">
        <v>16.073599999999999</v>
      </c>
      <c r="C402">
        <v>-5.0121548000000002E-2</v>
      </c>
      <c r="D402">
        <v>-1.6369015000000001E-2</v>
      </c>
      <c r="E402">
        <v>0.94995605999999999</v>
      </c>
      <c r="F402">
        <v>-1.8649487999999999E-2</v>
      </c>
      <c r="G402">
        <f t="shared" si="66"/>
        <v>8.3961294136685893</v>
      </c>
      <c r="H402">
        <f t="shared" si="67"/>
        <v>-3.1095813665730501</v>
      </c>
      <c r="I402">
        <f t="shared" si="68"/>
        <v>8.3961695161491292</v>
      </c>
      <c r="J402">
        <f t="shared" si="69"/>
        <v>-3.1107215131044801</v>
      </c>
      <c r="K402" s="7">
        <f t="shared" si="70"/>
        <v>-4.0102480539871997E-5</v>
      </c>
      <c r="L402" s="7">
        <f t="shared" si="71"/>
        <v>1.1401465314300201E-3</v>
      </c>
      <c r="M402" s="7">
        <f t="shared" si="72"/>
        <v>0.10472662828358099</v>
      </c>
      <c r="N402" s="7">
        <f t="shared" si="73"/>
        <v>3.8800476213591999E-2</v>
      </c>
      <c r="O402">
        <v>3.7379337000000001</v>
      </c>
      <c r="P402">
        <v>-9.3303861000000001</v>
      </c>
      <c r="Q402">
        <v>-0.29274860000000003</v>
      </c>
      <c r="R402">
        <v>-10.145864</v>
      </c>
      <c r="S402">
        <f t="shared" si="74"/>
        <v>1.0098301334196425</v>
      </c>
      <c r="T402">
        <f t="shared" si="75"/>
        <v>-23.484749973978563</v>
      </c>
    </row>
    <row r="403" spans="1:20" x14ac:dyDescent="0.35">
      <c r="A403">
        <v>1.8374999999999999</v>
      </c>
      <c r="B403">
        <v>16.122399999999999</v>
      </c>
      <c r="C403">
        <v>-5.2161536000000001E-2</v>
      </c>
      <c r="D403">
        <v>-1.4179641999999999E-2</v>
      </c>
      <c r="E403">
        <v>0.94793247999999997</v>
      </c>
      <c r="F403">
        <v>-1.6454928000000001E-2</v>
      </c>
      <c r="G403">
        <f t="shared" si="66"/>
        <v>8.3313203876776498</v>
      </c>
      <c r="H403">
        <f t="shared" si="67"/>
        <v>-2.5951032344902201</v>
      </c>
      <c r="I403">
        <f t="shared" si="68"/>
        <v>8.3313686875154396</v>
      </c>
      <c r="J403">
        <f t="shared" si="69"/>
        <v>-2.5962407690690301</v>
      </c>
      <c r="K403" s="7">
        <f t="shared" si="70"/>
        <v>-4.8299837789755897E-5</v>
      </c>
      <c r="L403" s="7">
        <f t="shared" si="71"/>
        <v>1.13753457881005E-3</v>
      </c>
      <c r="M403" s="7">
        <f t="shared" si="72"/>
        <v>0.109404218560091</v>
      </c>
      <c r="N403" s="7">
        <f t="shared" si="73"/>
        <v>3.4092800737468301E-2</v>
      </c>
      <c r="O403">
        <v>3.3199605999999999</v>
      </c>
      <c r="P403">
        <v>-9.6836634000000004</v>
      </c>
      <c r="Q403">
        <v>-0.82347459999999995</v>
      </c>
      <c r="R403">
        <v>-10.317185</v>
      </c>
      <c r="S403">
        <f t="shared" si="74"/>
        <v>1.0110413438936221</v>
      </c>
      <c r="T403">
        <f t="shared" si="75"/>
        <v>-23.487272253824703</v>
      </c>
    </row>
    <row r="404" spans="1:20" x14ac:dyDescent="0.35">
      <c r="A404">
        <v>1.8374999999999999</v>
      </c>
      <c r="B404">
        <v>16.171199999999999</v>
      </c>
      <c r="C404">
        <v>-5.4003651E-2</v>
      </c>
      <c r="D404">
        <v>-1.1746674E-2</v>
      </c>
      <c r="E404">
        <v>0.94610771000000005</v>
      </c>
      <c r="F404">
        <v>-1.4016719E-2</v>
      </c>
      <c r="G404">
        <f t="shared" si="66"/>
        <v>8.2682306693346401</v>
      </c>
      <c r="H404">
        <f t="shared" si="67"/>
        <v>-2.0931174899090799</v>
      </c>
      <c r="I404">
        <f t="shared" si="68"/>
        <v>8.2682876347937508</v>
      </c>
      <c r="J404">
        <f t="shared" si="69"/>
        <v>-2.0942523845604999</v>
      </c>
      <c r="K404" s="7">
        <f t="shared" si="70"/>
        <v>-5.6965459110713803E-5</v>
      </c>
      <c r="L404" s="7">
        <f t="shared" si="71"/>
        <v>1.1348946514200299E-3</v>
      </c>
      <c r="M404" s="7">
        <f t="shared" si="72"/>
        <v>0.113652698619502</v>
      </c>
      <c r="N404" s="7">
        <f t="shared" si="73"/>
        <v>2.8786787011863098E-2</v>
      </c>
      <c r="O404">
        <v>2.8596897000000001</v>
      </c>
      <c r="P404">
        <v>-10.000135999999999</v>
      </c>
      <c r="Q404">
        <v>-1.3798039</v>
      </c>
      <c r="R404">
        <v>-10.435952</v>
      </c>
      <c r="S404">
        <f t="shared" si="74"/>
        <v>1.0120936059553758</v>
      </c>
      <c r="T404">
        <f t="shared" si="75"/>
        <v>-23.490435925250466</v>
      </c>
    </row>
    <row r="405" spans="1:20" x14ac:dyDescent="0.35">
      <c r="A405">
        <v>1.8374999999999999</v>
      </c>
      <c r="B405">
        <v>16.22</v>
      </c>
      <c r="C405">
        <v>-5.5609668000000001E-2</v>
      </c>
      <c r="D405">
        <v>-9.0941786000000007E-3</v>
      </c>
      <c r="E405">
        <v>0.94439271000000002</v>
      </c>
      <c r="F405">
        <v>-1.1351378000000001E-2</v>
      </c>
      <c r="G405">
        <f t="shared" si="66"/>
        <v>8.1974990077524197</v>
      </c>
      <c r="H405">
        <f t="shared" si="67"/>
        <v>-1.5983396518888</v>
      </c>
      <c r="I405">
        <f t="shared" si="68"/>
        <v>8.1975014704821394</v>
      </c>
      <c r="J405">
        <f t="shared" si="69"/>
        <v>-1.59946824746747</v>
      </c>
      <c r="K405" s="7">
        <f t="shared" si="70"/>
        <v>-2.4627297197099598E-6</v>
      </c>
      <c r="L405" s="7">
        <f t="shared" si="71"/>
        <v>1.1285955786699601E-3</v>
      </c>
      <c r="M405" s="7">
        <f t="shared" si="72"/>
        <v>0.11751455487321</v>
      </c>
      <c r="N405" s="7">
        <f t="shared" si="73"/>
        <v>2.29290351226882E-2</v>
      </c>
      <c r="O405">
        <v>2.3612812000000001</v>
      </c>
      <c r="P405">
        <v>-10.2691</v>
      </c>
      <c r="Q405">
        <v>-1.9555933000000001</v>
      </c>
      <c r="R405">
        <v>-10.497918</v>
      </c>
      <c r="S405">
        <f t="shared" si="74"/>
        <v>1.0134223140258054</v>
      </c>
      <c r="T405">
        <f t="shared" si="75"/>
        <v>-23.501852974408564</v>
      </c>
    </row>
    <row r="406" spans="1:20" x14ac:dyDescent="0.35">
      <c r="A406">
        <v>1.8374999999999999</v>
      </c>
      <c r="B406">
        <v>16.268799999999999</v>
      </c>
      <c r="C406">
        <v>-5.6938754000000001E-2</v>
      </c>
      <c r="D406">
        <v>-6.2624233999999997E-3</v>
      </c>
      <c r="E406">
        <v>0.94306228000000003</v>
      </c>
      <c r="F406">
        <v>-8.5107572999999995E-3</v>
      </c>
      <c r="G406">
        <f t="shared" si="66"/>
        <v>8.1360999701149304</v>
      </c>
      <c r="H406">
        <f t="shared" si="67"/>
        <v>-1.1197982000941999</v>
      </c>
      <c r="I406">
        <f t="shared" si="68"/>
        <v>8.13610175086243</v>
      </c>
      <c r="J406">
        <f t="shared" si="69"/>
        <v>-1.1209223644611499</v>
      </c>
      <c r="K406" s="7">
        <f t="shared" si="70"/>
        <v>-1.7807474996800499E-6</v>
      </c>
      <c r="L406" s="7">
        <f t="shared" si="71"/>
        <v>1.12416436694995E-3</v>
      </c>
      <c r="M406" s="7">
        <f t="shared" si="72"/>
        <v>0.12061950913094199</v>
      </c>
      <c r="N406" s="7">
        <f t="shared" si="73"/>
        <v>1.6617922134622602E-2</v>
      </c>
      <c r="O406">
        <v>1.8322673</v>
      </c>
      <c r="P406">
        <v>-10.486924999999999</v>
      </c>
      <c r="Q406">
        <v>-2.5388687999999999</v>
      </c>
      <c r="R406">
        <v>-10.498398</v>
      </c>
      <c r="S406">
        <f t="shared" si="74"/>
        <v>1.0145823465008401</v>
      </c>
      <c r="T406">
        <f t="shared" si="75"/>
        <v>-23.505680280774968</v>
      </c>
    </row>
    <row r="407" spans="1:20" x14ac:dyDescent="0.35">
      <c r="A407">
        <v>1.8374999999999999</v>
      </c>
      <c r="B407">
        <v>16.317599999999999</v>
      </c>
      <c r="C407">
        <v>-5.7964283999999998E-2</v>
      </c>
      <c r="D407">
        <v>-3.2972823E-3</v>
      </c>
      <c r="E407">
        <v>0.94203576</v>
      </c>
      <c r="F407">
        <v>-5.5368218999999998E-3</v>
      </c>
      <c r="G407">
        <f t="shared" si="66"/>
        <v>8.0762029581454495</v>
      </c>
      <c r="H407">
        <f t="shared" si="67"/>
        <v>-0.65297277193332304</v>
      </c>
      <c r="I407">
        <f t="shared" si="68"/>
        <v>8.0762042340281894</v>
      </c>
      <c r="J407">
        <f t="shared" si="69"/>
        <v>-0.65409254027999197</v>
      </c>
      <c r="K407" s="7">
        <f t="shared" si="70"/>
        <v>-1.2758827399039799E-6</v>
      </c>
      <c r="L407" s="7">
        <f t="shared" si="71"/>
        <v>1.11976834666894E-3</v>
      </c>
      <c r="M407" s="7">
        <f t="shared" si="72"/>
        <v>0.12301364863555</v>
      </c>
      <c r="N407" s="7">
        <f t="shared" si="73"/>
        <v>9.9628869693659198E-3</v>
      </c>
      <c r="O407">
        <v>1.2819094</v>
      </c>
      <c r="P407">
        <v>-10.651185</v>
      </c>
      <c r="Q407">
        <v>-3.1207026999999998</v>
      </c>
      <c r="R407">
        <v>-10.437023</v>
      </c>
      <c r="S407">
        <f t="shared" si="74"/>
        <v>1.0154303854629367</v>
      </c>
      <c r="T407">
        <f t="shared" si="75"/>
        <v>-23.509579996361623</v>
      </c>
    </row>
    <row r="408" spans="1:20" x14ac:dyDescent="0.35">
      <c r="A408">
        <v>1.8374999999999999</v>
      </c>
      <c r="B408">
        <v>16.366399999999999</v>
      </c>
      <c r="C408">
        <v>-5.8667751999999997E-2</v>
      </c>
      <c r="D408">
        <v>-2.5505915999999998E-4</v>
      </c>
      <c r="E408">
        <v>0.94132813000000004</v>
      </c>
      <c r="F408">
        <v>-2.4885254999999998E-3</v>
      </c>
      <c r="G408">
        <f t="shared" si="66"/>
        <v>8.0176143528416208</v>
      </c>
      <c r="H408">
        <f t="shared" si="67"/>
        <v>-0.198596823947222</v>
      </c>
      <c r="I408">
        <f t="shared" si="68"/>
        <v>8.0176135409365195</v>
      </c>
      <c r="J408">
        <f t="shared" si="69"/>
        <v>-0.19971356032326401</v>
      </c>
      <c r="K408" s="7">
        <f t="shared" si="70"/>
        <v>8.1190510137218997E-7</v>
      </c>
      <c r="L408" s="7">
        <f t="shared" si="71"/>
        <v>1.1167363760420099E-3</v>
      </c>
      <c r="M408" s="7">
        <f t="shared" si="72"/>
        <v>0.124648051919277</v>
      </c>
      <c r="N408" s="7">
        <f t="shared" si="73"/>
        <v>3.1049022391830298E-3</v>
      </c>
      <c r="O408">
        <v>0.71965058000000004</v>
      </c>
      <c r="P408">
        <v>-10.750697000000001</v>
      </c>
      <c r="Q408">
        <v>-3.6900306999999999</v>
      </c>
      <c r="R408">
        <v>-10.315078</v>
      </c>
      <c r="S408">
        <f t="shared" si="74"/>
        <v>1.0167500441818609</v>
      </c>
      <c r="T408">
        <f t="shared" si="75"/>
        <v>-23.513402066552782</v>
      </c>
    </row>
    <row r="409" spans="1:20" x14ac:dyDescent="0.35">
      <c r="A409">
        <v>1.8374999999999999</v>
      </c>
      <c r="B409">
        <v>16.415199999999999</v>
      </c>
      <c r="C409">
        <v>-5.9046182000000003E-2</v>
      </c>
      <c r="D409">
        <v>2.8281411999999998E-3</v>
      </c>
      <c r="E409">
        <v>0.94096201999999995</v>
      </c>
      <c r="F409">
        <v>6.0746308000000004E-4</v>
      </c>
      <c r="G409">
        <f t="shared" si="66"/>
        <v>7.9613710415464096</v>
      </c>
      <c r="H409">
        <f t="shared" si="67"/>
        <v>0.246734933323707</v>
      </c>
      <c r="I409">
        <f t="shared" si="68"/>
        <v>7.9613763753657203</v>
      </c>
      <c r="J409">
        <f t="shared" si="69"/>
        <v>0.245624604739512</v>
      </c>
      <c r="K409" s="7">
        <f t="shared" si="70"/>
        <v>-5.3338193106711199E-6</v>
      </c>
      <c r="L409" s="7">
        <f t="shared" si="71"/>
        <v>1.11032858419499E-3</v>
      </c>
      <c r="M409" s="7">
        <f t="shared" si="72"/>
        <v>0.125486977431221</v>
      </c>
      <c r="N409" s="7">
        <f t="shared" si="73"/>
        <v>-3.8715277080571E-3</v>
      </c>
      <c r="O409">
        <v>0.15296924000000001</v>
      </c>
      <c r="P409">
        <v>-10.795185</v>
      </c>
      <c r="Q409">
        <v>-4.2405013</v>
      </c>
      <c r="R409">
        <v>-10.134966</v>
      </c>
      <c r="S409">
        <f t="shared" si="74"/>
        <v>1.017604094631386</v>
      </c>
      <c r="T409">
        <f t="shared" si="75"/>
        <v>-23.516420630429668</v>
      </c>
    </row>
    <row r="410" spans="1:20" x14ac:dyDescent="0.35">
      <c r="A410">
        <v>1.8374999999999999</v>
      </c>
      <c r="B410">
        <v>16.463999999999999</v>
      </c>
      <c r="C410">
        <v>-5.9100977999999998E-2</v>
      </c>
      <c r="D410">
        <v>5.8782451999999999E-3</v>
      </c>
      <c r="E410">
        <v>0.94085233000000001</v>
      </c>
      <c r="F410">
        <v>3.6604251000000002E-3</v>
      </c>
      <c r="G410">
        <f t="shared" si="66"/>
        <v>7.9020946942688397</v>
      </c>
      <c r="H410">
        <f t="shared" si="67"/>
        <v>0.67831872524691506</v>
      </c>
      <c r="I410">
        <f t="shared" si="68"/>
        <v>7.9020725774899097</v>
      </c>
      <c r="J410">
        <f t="shared" si="69"/>
        <v>0.67720976478160499</v>
      </c>
      <c r="K410" s="7">
        <f t="shared" si="70"/>
        <v>2.2116778930048002E-5</v>
      </c>
      <c r="L410" s="7">
        <f t="shared" si="71"/>
        <v>1.10896046531006E-3</v>
      </c>
      <c r="M410" s="7">
        <f t="shared" si="72"/>
        <v>0.12562641037096101</v>
      </c>
      <c r="N410" s="7">
        <f t="shared" si="73"/>
        <v>-1.07662174680633E-2</v>
      </c>
      <c r="O410">
        <v>-0.40486578000000001</v>
      </c>
      <c r="P410">
        <v>-10.777644</v>
      </c>
      <c r="Q410">
        <v>-4.7599346000000002</v>
      </c>
      <c r="R410">
        <v>-9.9027200000000004</v>
      </c>
      <c r="S410">
        <f t="shared" si="74"/>
        <v>1.0187346532704751</v>
      </c>
      <c r="T410">
        <f t="shared" si="75"/>
        <v>-23.520846616417369</v>
      </c>
    </row>
    <row r="411" spans="1:20" x14ac:dyDescent="0.35">
      <c r="A411">
        <v>1.8374999999999999</v>
      </c>
      <c r="B411">
        <v>16.512799999999999</v>
      </c>
      <c r="C411">
        <v>-5.8850232000000002E-2</v>
      </c>
      <c r="D411">
        <v>8.8572378000000007E-3</v>
      </c>
      <c r="E411">
        <v>0.94109973000000002</v>
      </c>
      <c r="F411">
        <v>6.6424344000000001E-3</v>
      </c>
      <c r="G411">
        <f t="shared" si="66"/>
        <v>7.8479020926265397</v>
      </c>
      <c r="H411">
        <f t="shared" si="67"/>
        <v>1.0993988232478</v>
      </c>
      <c r="I411">
        <f t="shared" si="68"/>
        <v>7.8478782994296301</v>
      </c>
      <c r="J411">
        <f t="shared" si="69"/>
        <v>1.0982913674917401</v>
      </c>
      <c r="K411" s="7">
        <f t="shared" si="70"/>
        <v>2.37931969095939E-5</v>
      </c>
      <c r="L411" s="7">
        <f t="shared" si="71"/>
        <v>1.1074557560599701E-3</v>
      </c>
      <c r="M411" s="7">
        <f t="shared" si="72"/>
        <v>0.12497529411455501</v>
      </c>
      <c r="N411" s="7">
        <f t="shared" si="73"/>
        <v>-1.7489986648459101E-2</v>
      </c>
      <c r="O411">
        <v>-0.94698612999999998</v>
      </c>
      <c r="P411">
        <v>-10.706258</v>
      </c>
      <c r="Q411">
        <v>-5.2429063999999999</v>
      </c>
      <c r="R411">
        <v>-9.6245961999999992</v>
      </c>
      <c r="S411">
        <f t="shared" si="74"/>
        <v>1.0197162427816397</v>
      </c>
      <c r="T411">
        <f t="shared" si="75"/>
        <v>-23.524164058794163</v>
      </c>
    </row>
    <row r="412" spans="1:20" x14ac:dyDescent="0.35">
      <c r="A412">
        <v>1.8374999999999999</v>
      </c>
      <c r="B412">
        <v>16.561599999999999</v>
      </c>
      <c r="C412">
        <v>-5.8321369999999997E-2</v>
      </c>
      <c r="D412">
        <v>1.1714830000000001E-2</v>
      </c>
      <c r="E412">
        <v>0.94163768999999997</v>
      </c>
      <c r="F412">
        <v>9.5077800000000004E-3</v>
      </c>
      <c r="G412">
        <f t="shared" si="66"/>
        <v>7.7957575898851497</v>
      </c>
      <c r="H412">
        <f t="shared" si="67"/>
        <v>1.50939538353723</v>
      </c>
      <c r="I412">
        <f t="shared" si="68"/>
        <v>7.7957383373068501</v>
      </c>
      <c r="J412">
        <f t="shared" si="69"/>
        <v>1.5082918147014699</v>
      </c>
      <c r="K412" s="7">
        <f t="shared" si="70"/>
        <v>1.9252578299600001E-5</v>
      </c>
      <c r="L412" s="7">
        <f t="shared" si="71"/>
        <v>1.10356883576013E-3</v>
      </c>
      <c r="M412" s="7">
        <f t="shared" si="72"/>
        <v>0.123646728440108</v>
      </c>
      <c r="N412" s="7">
        <f t="shared" si="73"/>
        <v>-2.3922730644812699E-2</v>
      </c>
      <c r="O412">
        <v>-1.4649965</v>
      </c>
      <c r="P412">
        <v>-10.584198000000001</v>
      </c>
      <c r="Q412">
        <v>-5.6832833000000003</v>
      </c>
      <c r="R412">
        <v>-9.3084056000000004</v>
      </c>
      <c r="S412">
        <f t="shared" si="74"/>
        <v>1.020695889526342</v>
      </c>
      <c r="T412">
        <f t="shared" si="75"/>
        <v>-23.525872865012378</v>
      </c>
    </row>
    <row r="413" spans="1:20" x14ac:dyDescent="0.35">
      <c r="A413">
        <v>1.8374999999999999</v>
      </c>
      <c r="B413">
        <v>16.610399999999998</v>
      </c>
      <c r="C413">
        <v>-5.7546190999999997E-2</v>
      </c>
      <c r="D413">
        <v>1.4397082E-2</v>
      </c>
      <c r="E413">
        <v>0.94245548999999995</v>
      </c>
      <c r="F413">
        <v>1.2204207999999999E-2</v>
      </c>
      <c r="G413">
        <f t="shared" si="66"/>
        <v>7.7481601413999801</v>
      </c>
      <c r="H413">
        <f t="shared" si="67"/>
        <v>1.9069726730241401</v>
      </c>
      <c r="I413">
        <f t="shared" si="68"/>
        <v>7.7481621840688897</v>
      </c>
      <c r="J413">
        <f t="shared" si="69"/>
        <v>1.9058762391853501</v>
      </c>
      <c r="K413" s="7">
        <f t="shared" si="70"/>
        <v>-2.0426689095742698E-6</v>
      </c>
      <c r="L413" s="7">
        <f t="shared" si="71"/>
        <v>1.0964338387899899E-3</v>
      </c>
      <c r="M413" s="7">
        <f t="shared" si="72"/>
        <v>0.1216994276289</v>
      </c>
      <c r="N413" s="7">
        <f t="shared" si="73"/>
        <v>-2.9935362984177202E-2</v>
      </c>
      <c r="O413">
        <v>-1.9486599</v>
      </c>
      <c r="P413">
        <v>-10.419618</v>
      </c>
      <c r="Q413">
        <v>-6.0755429000000003</v>
      </c>
      <c r="R413">
        <v>-8.9656409000000004</v>
      </c>
      <c r="S413">
        <f t="shared" si="74"/>
        <v>1.0216984307926815</v>
      </c>
      <c r="T413">
        <f t="shared" si="75"/>
        <v>-23.530432191874201</v>
      </c>
    </row>
    <row r="414" spans="1:20" x14ac:dyDescent="0.35">
      <c r="A414">
        <v>1.8374999999999999</v>
      </c>
      <c r="B414">
        <v>16.659199999999998</v>
      </c>
      <c r="C414">
        <v>-5.6559947999999999E-2</v>
      </c>
      <c r="D414">
        <v>1.6921512E-2</v>
      </c>
      <c r="E414">
        <v>0.94344371000000005</v>
      </c>
      <c r="F414">
        <v>1.4733827E-2</v>
      </c>
      <c r="G414">
        <f t="shared" si="66"/>
        <v>7.6984053509681001</v>
      </c>
      <c r="H414">
        <f t="shared" si="67"/>
        <v>2.2948536699440201</v>
      </c>
      <c r="I414">
        <f t="shared" si="68"/>
        <v>7.6984083764481799</v>
      </c>
      <c r="J414">
        <f t="shared" si="69"/>
        <v>2.2937598327540498</v>
      </c>
      <c r="K414" s="7">
        <f t="shared" si="70"/>
        <v>-3.0254800797990798E-6</v>
      </c>
      <c r="L414" s="7">
        <f t="shared" si="71"/>
        <v>1.0938371899702501E-3</v>
      </c>
      <c r="M414" s="7">
        <f t="shared" si="72"/>
        <v>0.11930554917004101</v>
      </c>
      <c r="N414" s="7">
        <f t="shared" si="73"/>
        <v>-3.5547383709613099E-2</v>
      </c>
      <c r="O414">
        <v>-2.4014361000000002</v>
      </c>
      <c r="P414">
        <v>-10.216771</v>
      </c>
      <c r="Q414">
        <v>-6.4236382000000001</v>
      </c>
      <c r="R414">
        <v>-8.5989392999999996</v>
      </c>
      <c r="S414">
        <f t="shared" si="74"/>
        <v>1.0226913116038734</v>
      </c>
      <c r="T414">
        <f t="shared" si="75"/>
        <v>-23.533535794377723</v>
      </c>
    </row>
    <row r="415" spans="1:20" x14ac:dyDescent="0.35">
      <c r="A415">
        <v>1.8374999999999999</v>
      </c>
      <c r="B415">
        <v>16.707999999999998</v>
      </c>
      <c r="C415">
        <v>-5.5399895999999997E-2</v>
      </c>
      <c r="D415">
        <v>1.9248276000000002E-2</v>
      </c>
      <c r="E415">
        <v>0.94453911000000002</v>
      </c>
      <c r="F415">
        <v>1.7057474E-2</v>
      </c>
      <c r="G415">
        <f t="shared" si="66"/>
        <v>7.6466183161883299</v>
      </c>
      <c r="H415">
        <f t="shared" si="67"/>
        <v>2.6684753816394</v>
      </c>
      <c r="I415">
        <f t="shared" si="68"/>
        <v>7.6465890182699496</v>
      </c>
      <c r="J415">
        <f t="shared" si="69"/>
        <v>2.6673799151379902</v>
      </c>
      <c r="K415" s="7">
        <f t="shared" si="70"/>
        <v>2.9297918380244402E-5</v>
      </c>
      <c r="L415" s="7">
        <f t="shared" si="71"/>
        <v>1.09546650140979E-3</v>
      </c>
      <c r="M415" s="7">
        <f t="shared" si="72"/>
        <v>0.116590091131934</v>
      </c>
      <c r="N415" s="7">
        <f t="shared" si="73"/>
        <v>-4.0670430520900303E-2</v>
      </c>
      <c r="O415">
        <v>-2.8162921000000001</v>
      </c>
      <c r="P415">
        <v>-9.9836118999999997</v>
      </c>
      <c r="Q415">
        <v>-6.7247709000000002</v>
      </c>
      <c r="R415">
        <v>-8.2188131000000002</v>
      </c>
      <c r="S415">
        <f t="shared" si="74"/>
        <v>1.0237297515129695</v>
      </c>
      <c r="T415">
        <f t="shared" si="75"/>
        <v>-23.53729883084695</v>
      </c>
    </row>
    <row r="416" spans="1:20" x14ac:dyDescent="0.35">
      <c r="A416">
        <v>1.8374999999999999</v>
      </c>
      <c r="B416">
        <v>16.756799999999998</v>
      </c>
      <c r="C416">
        <v>-5.4109506000000002E-2</v>
      </c>
      <c r="D416">
        <v>2.1365439999999999E-2</v>
      </c>
      <c r="E416">
        <v>0.94583729000000005</v>
      </c>
      <c r="F416">
        <v>1.9185995000000001E-2</v>
      </c>
      <c r="G416">
        <f t="shared" si="66"/>
        <v>7.5997997797080004</v>
      </c>
      <c r="H416">
        <f t="shared" si="67"/>
        <v>3.0341762412414499</v>
      </c>
      <c r="I416">
        <f t="shared" si="68"/>
        <v>7.5997743645888196</v>
      </c>
      <c r="J416">
        <f t="shared" si="69"/>
        <v>3.0330864620557199</v>
      </c>
      <c r="K416" s="7">
        <f t="shared" si="70"/>
        <v>2.5415119180749501E-5</v>
      </c>
      <c r="L416" s="7">
        <f t="shared" si="71"/>
        <v>1.0897791857300599E-3</v>
      </c>
      <c r="M416" s="7">
        <f t="shared" si="72"/>
        <v>0.113503696362482</v>
      </c>
      <c r="N416" s="7">
        <f t="shared" si="73"/>
        <v>-4.5299571844453601E-2</v>
      </c>
      <c r="O416">
        <v>-3.1923954000000001</v>
      </c>
      <c r="P416">
        <v>-9.7286971999999992</v>
      </c>
      <c r="Q416">
        <v>-6.9795300999999998</v>
      </c>
      <c r="R416">
        <v>-7.8322589000000002</v>
      </c>
      <c r="S416">
        <f t="shared" si="74"/>
        <v>1.0245891183037226</v>
      </c>
      <c r="T416">
        <f t="shared" si="75"/>
        <v>-23.538221964159654</v>
      </c>
    </row>
    <row r="417" spans="1:20" x14ac:dyDescent="0.35">
      <c r="A417">
        <v>1.8374999999999999</v>
      </c>
      <c r="B417">
        <v>16.805599999999998</v>
      </c>
      <c r="C417">
        <v>-5.2722387000000002E-2</v>
      </c>
      <c r="D417">
        <v>2.3271881000000001E-2</v>
      </c>
      <c r="E417">
        <v>0.94722156000000002</v>
      </c>
      <c r="F417">
        <v>2.1095744E-2</v>
      </c>
      <c r="G417">
        <f t="shared" si="66"/>
        <v>7.55418142481843</v>
      </c>
      <c r="H417">
        <f t="shared" si="67"/>
        <v>3.3876673295119399</v>
      </c>
      <c r="I417">
        <f t="shared" si="68"/>
        <v>7.5541545815241298</v>
      </c>
      <c r="J417">
        <f t="shared" si="69"/>
        <v>3.3865792013081699</v>
      </c>
      <c r="K417" s="7">
        <f t="shared" si="70"/>
        <v>2.6843294300249501E-5</v>
      </c>
      <c r="L417" s="7">
        <f t="shared" si="71"/>
        <v>1.08812820377002E-3</v>
      </c>
      <c r="M417" s="7">
        <f t="shared" si="72"/>
        <v>0.11022464512786601</v>
      </c>
      <c r="N417" s="7">
        <f t="shared" si="73"/>
        <v>-4.9414462814221502E-2</v>
      </c>
      <c r="O417">
        <v>-3.5286419000000002</v>
      </c>
      <c r="P417">
        <v>-9.4580824999999997</v>
      </c>
      <c r="Q417">
        <v>-7.1913635999999999</v>
      </c>
      <c r="R417">
        <v>-7.4466875000000003</v>
      </c>
      <c r="S417">
        <f t="shared" si="74"/>
        <v>1.0254938929843265</v>
      </c>
      <c r="T417">
        <f t="shared" si="75"/>
        <v>-23.541072871919106</v>
      </c>
    </row>
    <row r="418" spans="1:20" x14ac:dyDescent="0.35">
      <c r="A418">
        <v>1.8374999999999999</v>
      </c>
      <c r="B418">
        <v>16.854399999999998</v>
      </c>
      <c r="C418">
        <v>-5.1269090000000003E-2</v>
      </c>
      <c r="D418">
        <v>2.4976512999999999E-2</v>
      </c>
      <c r="E418">
        <v>0.94871464000000005</v>
      </c>
      <c r="F418">
        <v>2.2821032000000002E-2</v>
      </c>
      <c r="G418">
        <f t="shared" si="66"/>
        <v>7.5108053611268302</v>
      </c>
      <c r="H418">
        <f t="shared" si="67"/>
        <v>3.7341327212356799</v>
      </c>
      <c r="I418">
        <f t="shared" si="68"/>
        <v>7.51079838761222</v>
      </c>
      <c r="J418">
        <f t="shared" si="69"/>
        <v>3.7330549644524802</v>
      </c>
      <c r="K418" s="7">
        <f t="shared" si="70"/>
        <v>6.9735146102090101E-6</v>
      </c>
      <c r="L418" s="7">
        <f t="shared" si="71"/>
        <v>1.0777567831996601E-3</v>
      </c>
      <c r="M418" s="7">
        <f t="shared" si="72"/>
        <v>0.106766654600268</v>
      </c>
      <c r="N418" s="7">
        <f t="shared" si="73"/>
        <v>-5.3065702129733501E-2</v>
      </c>
      <c r="O418">
        <v>-3.8270832000000001</v>
      </c>
      <c r="P418">
        <v>-9.1770333999999991</v>
      </c>
      <c r="Q418">
        <v>-7.3631131999999999</v>
      </c>
      <c r="R418">
        <v>-7.0661110999999996</v>
      </c>
      <c r="S418">
        <f t="shared" si="74"/>
        <v>1.0263601055075802</v>
      </c>
      <c r="T418">
        <f t="shared" si="75"/>
        <v>-23.54165323125909</v>
      </c>
    </row>
    <row r="419" spans="1:20" x14ac:dyDescent="0.35">
      <c r="A419">
        <v>1.8374999999999999</v>
      </c>
      <c r="B419">
        <v>16.903200000000002</v>
      </c>
      <c r="C419">
        <v>-4.9783586999999997E-2</v>
      </c>
      <c r="D419">
        <v>2.6478054000000001E-2</v>
      </c>
      <c r="E419">
        <v>0.95019200000000004</v>
      </c>
      <c r="F419">
        <v>2.4318191999999999E-2</v>
      </c>
      <c r="G419">
        <f t="shared" si="66"/>
        <v>7.4681338770010797</v>
      </c>
      <c r="H419">
        <f t="shared" si="67"/>
        <v>4.0646484069377298</v>
      </c>
      <c r="I419">
        <f t="shared" si="68"/>
        <v>7.4681228366444001</v>
      </c>
      <c r="J419">
        <f t="shared" si="69"/>
        <v>4.0635684508324204</v>
      </c>
      <c r="K419" s="7">
        <f t="shared" si="70"/>
        <v>1.1040356679537E-5</v>
      </c>
      <c r="L419" s="7">
        <f t="shared" si="71"/>
        <v>1.07995610530942E-3</v>
      </c>
      <c r="M419" s="7">
        <f t="shared" si="72"/>
        <v>0.103314333935141</v>
      </c>
      <c r="N419" s="7">
        <f t="shared" si="73"/>
        <v>-5.6215581489583499E-2</v>
      </c>
      <c r="O419">
        <v>-4.0883466000000004</v>
      </c>
      <c r="P419">
        <v>-8.8920291000000002</v>
      </c>
      <c r="Q419">
        <v>-7.4986756000000003</v>
      </c>
      <c r="R419">
        <v>-6.6962178999999997</v>
      </c>
      <c r="S419">
        <f t="shared" si="74"/>
        <v>1.0272267531607893</v>
      </c>
      <c r="T419">
        <f t="shared" si="75"/>
        <v>-23.543705564820062</v>
      </c>
    </row>
    <row r="420" spans="1:20" x14ac:dyDescent="0.35">
      <c r="A420">
        <v>1.8374999999999999</v>
      </c>
      <c r="B420">
        <v>16.952000000000002</v>
      </c>
      <c r="C420">
        <v>-4.8342794000000001E-2</v>
      </c>
      <c r="D420">
        <v>2.7757705000000001E-2</v>
      </c>
      <c r="E420">
        <v>0.95160352000000004</v>
      </c>
      <c r="F420">
        <v>2.5590056999999999E-2</v>
      </c>
      <c r="G420">
        <f t="shared" si="66"/>
        <v>7.4265567406341502</v>
      </c>
      <c r="H420">
        <f t="shared" si="67"/>
        <v>4.3717074485660499</v>
      </c>
      <c r="I420">
        <f t="shared" si="68"/>
        <v>7.4265310716812598</v>
      </c>
      <c r="J420">
        <f t="shared" si="69"/>
        <v>4.3706235676508003</v>
      </c>
      <c r="K420" s="7">
        <f t="shared" si="70"/>
        <v>2.5668952890356399E-5</v>
      </c>
      <c r="L420" s="7">
        <f t="shared" si="71"/>
        <v>1.0838809152495801E-3</v>
      </c>
      <c r="M420" s="7">
        <f t="shared" si="72"/>
        <v>0.10001292370314301</v>
      </c>
      <c r="N420" s="7">
        <f t="shared" si="73"/>
        <v>-5.8859087397268799E-2</v>
      </c>
      <c r="O420">
        <v>-4.3093347</v>
      </c>
      <c r="P420">
        <v>-8.6168379000000002</v>
      </c>
      <c r="Q420">
        <v>-7.6003550999999998</v>
      </c>
      <c r="R420">
        <v>-6.3507669</v>
      </c>
      <c r="S420">
        <f t="shared" si="74"/>
        <v>1.0280349567983236</v>
      </c>
      <c r="T420">
        <f t="shared" si="75"/>
        <v>-23.548345946124243</v>
      </c>
    </row>
    <row r="421" spans="1:20" x14ac:dyDescent="0.35">
      <c r="A421">
        <v>1.8374999999999999</v>
      </c>
      <c r="B421">
        <v>17</v>
      </c>
      <c r="C421">
        <v>-4.8560899999999997E-2</v>
      </c>
      <c r="D421">
        <v>2.8256422999999999E-2</v>
      </c>
      <c r="E421">
        <v>0.95130793999999996</v>
      </c>
      <c r="F421">
        <v>2.6217462E-2</v>
      </c>
      <c r="G421">
        <f t="shared" si="66"/>
        <v>7.3268906145755501</v>
      </c>
      <c r="H421">
        <f t="shared" si="67"/>
        <v>4.3845345318379803</v>
      </c>
      <c r="I421">
        <f t="shared" si="68"/>
        <v>7.3268260698184298</v>
      </c>
      <c r="J421">
        <f t="shared" si="69"/>
        <v>4.3835149186696203</v>
      </c>
      <c r="K421" s="7">
        <f t="shared" si="70"/>
        <v>6.4544757120366101E-5</v>
      </c>
      <c r="L421" s="7">
        <f t="shared" si="71"/>
        <v>1.01961316835997E-3</v>
      </c>
      <c r="M421" s="7">
        <f t="shared" si="72"/>
        <v>0.100508490654746</v>
      </c>
      <c r="N421" s="7">
        <f t="shared" si="73"/>
        <v>-6.0132513593155898E-2</v>
      </c>
      <c r="O421">
        <v>-4.5123215999999999</v>
      </c>
      <c r="P421">
        <v>-8.8988280999999994</v>
      </c>
      <c r="Q421">
        <v>-7.6449036000000001</v>
      </c>
      <c r="R421">
        <v>-6.3380748000000002</v>
      </c>
      <c r="S421">
        <f t="shared" si="74"/>
        <v>0.99529560036474851</v>
      </c>
      <c r="T421">
        <f t="shared" si="75"/>
        <v>-23.451108766282946</v>
      </c>
    </row>
    <row r="422" spans="1:20" x14ac:dyDescent="0.35">
      <c r="A422">
        <v>1.9750000000000001</v>
      </c>
      <c r="B422">
        <v>15</v>
      </c>
      <c r="C422">
        <v>-1.3637811999999999E-2</v>
      </c>
      <c r="D422">
        <v>-2.2257104999999999E-2</v>
      </c>
      <c r="E422">
        <v>0.98625737000000002</v>
      </c>
      <c r="F422">
        <v>-2.478576E-2</v>
      </c>
      <c r="G422">
        <f t="shared" si="66"/>
        <v>8.7416831724368596</v>
      </c>
      <c r="H422">
        <f t="shared" si="67"/>
        <v>-15.877638058220599</v>
      </c>
      <c r="I422">
        <f t="shared" si="68"/>
        <v>8.7416323594628604</v>
      </c>
      <c r="J422">
        <f t="shared" si="69"/>
        <v>-15.8789025162339</v>
      </c>
      <c r="K422" s="7">
        <f t="shared" si="70"/>
        <v>5.0812973999114802E-5</v>
      </c>
      <c r="L422" s="7">
        <f t="shared" si="71"/>
        <v>1.264458013301E-3</v>
      </c>
      <c r="M422" s="7">
        <f t="shared" si="72"/>
        <v>2.6606243183704501E-2</v>
      </c>
      <c r="N422" s="7">
        <f t="shared" si="73"/>
        <v>4.8329410854246302E-2</v>
      </c>
      <c r="O422">
        <v>4.8939463999999999</v>
      </c>
      <c r="P422">
        <v>-2.5678804</v>
      </c>
      <c r="Q422">
        <v>3.3551823999999999</v>
      </c>
      <c r="R422">
        <v>-4.1499585999999997</v>
      </c>
      <c r="S422">
        <f t="shared" si="74"/>
        <v>0.96560026472726457</v>
      </c>
      <c r="T422">
        <f t="shared" si="75"/>
        <v>-23.35871269247065</v>
      </c>
    </row>
    <row r="423" spans="1:20" x14ac:dyDescent="0.35">
      <c r="A423">
        <v>1.9750000000000001</v>
      </c>
      <c r="B423">
        <v>15.0488</v>
      </c>
      <c r="C423">
        <v>-1.4624903E-2</v>
      </c>
      <c r="D423">
        <v>-2.296337E-2</v>
      </c>
      <c r="E423">
        <v>0.98527609999999999</v>
      </c>
      <c r="F423">
        <v>-2.5489201E-2</v>
      </c>
      <c r="G423">
        <f t="shared" si="66"/>
        <v>8.6457913473658596</v>
      </c>
      <c r="H423">
        <f t="shared" si="67"/>
        <v>-15.098312857818399</v>
      </c>
      <c r="I423">
        <f t="shared" si="68"/>
        <v>8.6457434416055108</v>
      </c>
      <c r="J423">
        <f t="shared" si="69"/>
        <v>-15.0995758963378</v>
      </c>
      <c r="K423" s="7">
        <f t="shared" si="70"/>
        <v>4.7905760348854201E-5</v>
      </c>
      <c r="L423" s="7">
        <f t="shared" si="71"/>
        <v>1.2630385194007899E-3</v>
      </c>
      <c r="M423" s="7">
        <f t="shared" si="72"/>
        <v>2.8557739451866199E-2</v>
      </c>
      <c r="N423" s="7">
        <f t="shared" si="73"/>
        <v>4.9875381705892799E-2</v>
      </c>
      <c r="O423">
        <v>5.0095099999999997</v>
      </c>
      <c r="P423">
        <v>-2.7431006</v>
      </c>
      <c r="Q423">
        <v>3.3930750999999999</v>
      </c>
      <c r="R423">
        <v>-4.3523380999999999</v>
      </c>
      <c r="S423">
        <f t="shared" si="74"/>
        <v>0.96626101180973234</v>
      </c>
      <c r="T423">
        <f t="shared" si="75"/>
        <v>-23.355913127829414</v>
      </c>
    </row>
    <row r="424" spans="1:20" x14ac:dyDescent="0.35">
      <c r="A424">
        <v>1.9750000000000001</v>
      </c>
      <c r="B424">
        <v>15.0976</v>
      </c>
      <c r="C424">
        <v>-1.5661489000000001E-2</v>
      </c>
      <c r="D424">
        <v>-2.3647738000000001E-2</v>
      </c>
      <c r="E424">
        <v>0.98423676999999998</v>
      </c>
      <c r="F424">
        <v>-2.6170051E-2</v>
      </c>
      <c r="G424">
        <f t="shared" si="66"/>
        <v>8.5579014357978593</v>
      </c>
      <c r="H424">
        <f t="shared" si="67"/>
        <v>-14.358873892045001</v>
      </c>
      <c r="I424">
        <f t="shared" si="68"/>
        <v>8.5578521534658591</v>
      </c>
      <c r="J424">
        <f t="shared" si="69"/>
        <v>-14.360135174859799</v>
      </c>
      <c r="K424" s="7">
        <f t="shared" si="70"/>
        <v>4.9282332000188897E-5</v>
      </c>
      <c r="L424" s="7">
        <f t="shared" si="71"/>
        <v>1.2612828147986501E-3</v>
      </c>
      <c r="M424" s="7">
        <f t="shared" si="72"/>
        <v>3.0623877204759599E-2</v>
      </c>
      <c r="N424" s="7">
        <f t="shared" si="73"/>
        <v>5.1387078013559101E-2</v>
      </c>
      <c r="O424">
        <v>5.1187939</v>
      </c>
      <c r="P424">
        <v>-2.927152</v>
      </c>
      <c r="Q424">
        <v>3.4244506000000001</v>
      </c>
      <c r="R424">
        <v>-4.5649877999999999</v>
      </c>
      <c r="S424">
        <f t="shared" si="74"/>
        <v>0.96778305923913044</v>
      </c>
      <c r="T424">
        <f t="shared" si="75"/>
        <v>-23.361576639292796</v>
      </c>
    </row>
    <row r="425" spans="1:20" x14ac:dyDescent="0.35">
      <c r="A425">
        <v>1.9750000000000001</v>
      </c>
      <c r="B425">
        <v>15.1464</v>
      </c>
      <c r="C425">
        <v>-1.6765457000000001E-2</v>
      </c>
      <c r="D425">
        <v>-2.4316094E-2</v>
      </c>
      <c r="E425">
        <v>0.98312907000000005</v>
      </c>
      <c r="F425">
        <v>-2.6833745999999999E-2</v>
      </c>
      <c r="G425">
        <f t="shared" si="66"/>
        <v>8.47520324679423</v>
      </c>
      <c r="H425">
        <f t="shared" si="67"/>
        <v>-13.6476527158734</v>
      </c>
      <c r="I425">
        <f t="shared" si="68"/>
        <v>8.4751520924040697</v>
      </c>
      <c r="J425">
        <f t="shared" si="69"/>
        <v>-13.648911672660899</v>
      </c>
      <c r="K425" s="7">
        <f t="shared" si="70"/>
        <v>5.11543901602352E-5</v>
      </c>
      <c r="L425" s="7">
        <f t="shared" si="71"/>
        <v>1.2589567874989899E-3</v>
      </c>
      <c r="M425" s="7">
        <f t="shared" si="72"/>
        <v>3.2834028721330101E-2</v>
      </c>
      <c r="N425" s="7">
        <f t="shared" si="73"/>
        <v>5.2877960535564102E-2</v>
      </c>
      <c r="O425">
        <v>5.2256372999999998</v>
      </c>
      <c r="P425">
        <v>-3.1234270999999998</v>
      </c>
      <c r="Q425">
        <v>3.4490006000000002</v>
      </c>
      <c r="R425">
        <v>-4.7882762000000003</v>
      </c>
      <c r="S425">
        <f t="shared" si="74"/>
        <v>0.96931188181114358</v>
      </c>
      <c r="T425">
        <f t="shared" si="75"/>
        <v>-23.367477271723921</v>
      </c>
    </row>
    <row r="426" spans="1:20" x14ac:dyDescent="0.35">
      <c r="A426">
        <v>1.9750000000000001</v>
      </c>
      <c r="B426">
        <v>15.1952</v>
      </c>
      <c r="C426">
        <v>-1.7951167000000001E-2</v>
      </c>
      <c r="D426">
        <v>-2.4971011000000001E-2</v>
      </c>
      <c r="E426">
        <v>0.98193885999999997</v>
      </c>
      <c r="F426">
        <v>-2.7483747999999999E-2</v>
      </c>
      <c r="G426">
        <f t="shared" si="66"/>
        <v>8.3954949818654896</v>
      </c>
      <c r="H426">
        <f t="shared" si="67"/>
        <v>-12.956321288098399</v>
      </c>
      <c r="I426">
        <f t="shared" si="68"/>
        <v>8.39544157106155</v>
      </c>
      <c r="J426">
        <f t="shared" si="69"/>
        <v>-12.957577792792801</v>
      </c>
      <c r="K426" s="7">
        <f t="shared" si="70"/>
        <v>5.3410803939613101E-5</v>
      </c>
      <c r="L426" s="7">
        <f t="shared" si="71"/>
        <v>1.2565046944015301E-3</v>
      </c>
      <c r="M426" s="7">
        <f t="shared" si="72"/>
        <v>3.5218398888914197E-2</v>
      </c>
      <c r="N426" s="7">
        <f t="shared" si="73"/>
        <v>5.4356300318222903E-2</v>
      </c>
      <c r="O426">
        <v>5.3297666000000001</v>
      </c>
      <c r="P426">
        <v>-3.3339422000000001</v>
      </c>
      <c r="Q426">
        <v>3.4654948999999999</v>
      </c>
      <c r="R426">
        <v>-5.0236102999999996</v>
      </c>
      <c r="S426">
        <f t="shared" si="74"/>
        <v>0.97078821245022462</v>
      </c>
      <c r="T426">
        <f t="shared" si="75"/>
        <v>-23.373159376329344</v>
      </c>
    </row>
    <row r="427" spans="1:20" x14ac:dyDescent="0.35">
      <c r="A427">
        <v>1.9750000000000001</v>
      </c>
      <c r="B427">
        <v>15.244</v>
      </c>
      <c r="C427">
        <v>-1.9227471999999999E-2</v>
      </c>
      <c r="D427">
        <v>-2.5608426E-2</v>
      </c>
      <c r="E427">
        <v>0.98065749999999996</v>
      </c>
      <c r="F427">
        <v>-2.8116111999999999E-2</v>
      </c>
      <c r="G427">
        <f t="shared" si="66"/>
        <v>8.3181001716737093</v>
      </c>
      <c r="H427">
        <f t="shared" si="67"/>
        <v>-12.282162711063499</v>
      </c>
      <c r="I427">
        <f t="shared" si="68"/>
        <v>8.3180442267567507</v>
      </c>
      <c r="J427">
        <f t="shared" si="69"/>
        <v>-12.2834166963314</v>
      </c>
      <c r="K427" s="7">
        <f t="shared" si="70"/>
        <v>5.5944916958594597E-5</v>
      </c>
      <c r="L427" s="7">
        <f t="shared" si="71"/>
        <v>1.2539852679012099E-3</v>
      </c>
      <c r="M427" s="7">
        <f t="shared" si="72"/>
        <v>3.7796890179853097E-2</v>
      </c>
      <c r="N427" s="7">
        <f t="shared" si="73"/>
        <v>5.5815398337408798E-2</v>
      </c>
      <c r="O427">
        <v>5.4301940999999996</v>
      </c>
      <c r="P427">
        <v>-3.5600437999999999</v>
      </c>
      <c r="Q427">
        <v>3.4725495999999998</v>
      </c>
      <c r="R427">
        <v>-5.2719049</v>
      </c>
      <c r="S427">
        <f t="shared" si="74"/>
        <v>0.97222714937652388</v>
      </c>
      <c r="T427">
        <f t="shared" si="75"/>
        <v>-23.37860235529353</v>
      </c>
    </row>
    <row r="428" spans="1:20" x14ac:dyDescent="0.35">
      <c r="A428">
        <v>1.9750000000000001</v>
      </c>
      <c r="B428">
        <v>15.2928</v>
      </c>
      <c r="C428">
        <v>-2.0601583E-2</v>
      </c>
      <c r="D428">
        <v>-2.6221463E-2</v>
      </c>
      <c r="E428">
        <v>0.97927796</v>
      </c>
      <c r="F428">
        <v>-2.8723885000000001E-2</v>
      </c>
      <c r="G428">
        <f t="shared" si="66"/>
        <v>8.2427479363601996</v>
      </c>
      <c r="H428">
        <f t="shared" si="67"/>
        <v>-11.624001621523099</v>
      </c>
      <c r="I428">
        <f t="shared" si="68"/>
        <v>8.2426892700419394</v>
      </c>
      <c r="J428">
        <f t="shared" si="69"/>
        <v>-11.625252981294601</v>
      </c>
      <c r="K428" s="7">
        <f t="shared" si="70"/>
        <v>5.8666318260236501E-5</v>
      </c>
      <c r="L428" s="7">
        <f t="shared" si="71"/>
        <v>1.25135977150137E-3</v>
      </c>
      <c r="M428" s="7">
        <f t="shared" si="72"/>
        <v>4.0586699778289097E-2</v>
      </c>
      <c r="N428" s="7">
        <f t="shared" si="73"/>
        <v>5.7242319483440197E-2</v>
      </c>
      <c r="O428">
        <v>5.5255976999999996</v>
      </c>
      <c r="P428">
        <v>-3.8028742000000002</v>
      </c>
      <c r="Q428">
        <v>3.4685502000000001</v>
      </c>
      <c r="R428">
        <v>-5.533798</v>
      </c>
      <c r="S428">
        <f t="shared" si="74"/>
        <v>0.97364573592846748</v>
      </c>
      <c r="T428">
        <f t="shared" si="75"/>
        <v>-23.383910390443411</v>
      </c>
    </row>
    <row r="429" spans="1:20" x14ac:dyDescent="0.35">
      <c r="A429">
        <v>1.9750000000000001</v>
      </c>
      <c r="B429">
        <v>15.3416</v>
      </c>
      <c r="C429">
        <v>-2.2080044E-2</v>
      </c>
      <c r="D429">
        <v>-2.680128E-2</v>
      </c>
      <c r="E429">
        <v>0.97779382999999997</v>
      </c>
      <c r="F429">
        <v>-2.9298147E-2</v>
      </c>
      <c r="G429">
        <f t="shared" si="66"/>
        <v>8.1692987520144698</v>
      </c>
      <c r="H429">
        <f t="shared" si="67"/>
        <v>-10.981144596258501</v>
      </c>
      <c r="I429">
        <f t="shared" si="68"/>
        <v>8.1692372439159193</v>
      </c>
      <c r="J429">
        <f t="shared" si="69"/>
        <v>-10.982393185287</v>
      </c>
      <c r="K429" s="7">
        <f t="shared" si="70"/>
        <v>6.1508098550433501E-5</v>
      </c>
      <c r="L429" s="7">
        <f t="shared" si="71"/>
        <v>1.2485890284992299E-3</v>
      </c>
      <c r="M429" s="7">
        <f t="shared" si="72"/>
        <v>4.3604288911402798E-2</v>
      </c>
      <c r="N429" s="7">
        <f t="shared" si="73"/>
        <v>5.8619847984770199E-2</v>
      </c>
      <c r="O429">
        <v>5.6143660999999998</v>
      </c>
      <c r="P429">
        <v>-4.0634763999999999</v>
      </c>
      <c r="Q429">
        <v>3.4516163</v>
      </c>
      <c r="R429">
        <v>-5.8096646999999999</v>
      </c>
      <c r="S429">
        <f t="shared" si="74"/>
        <v>0.97504845502923865</v>
      </c>
      <c r="T429">
        <f t="shared" si="75"/>
        <v>-23.389096199083454</v>
      </c>
    </row>
    <row r="430" spans="1:20" x14ac:dyDescent="0.35">
      <c r="A430">
        <v>1.9750000000000001</v>
      </c>
      <c r="B430">
        <v>15.3904</v>
      </c>
      <c r="C430">
        <v>-2.3668877000000001E-2</v>
      </c>
      <c r="D430">
        <v>-2.7337213999999999E-2</v>
      </c>
      <c r="E430">
        <v>0.97619917</v>
      </c>
      <c r="F430">
        <v>-2.9828178E-2</v>
      </c>
      <c r="G430">
        <f t="shared" si="66"/>
        <v>8.0976619064169508</v>
      </c>
      <c r="H430">
        <f t="shared" si="67"/>
        <v>-10.353072253258301</v>
      </c>
      <c r="I430">
        <f t="shared" si="68"/>
        <v>8.0975974770938404</v>
      </c>
      <c r="J430">
        <f t="shared" si="69"/>
        <v>-10.3543178976871</v>
      </c>
      <c r="K430" s="7">
        <f t="shared" si="70"/>
        <v>6.4429323110459804E-5</v>
      </c>
      <c r="L430" s="7">
        <f t="shared" si="71"/>
        <v>1.24564442879915E-3</v>
      </c>
      <c r="M430" s="7">
        <f t="shared" si="72"/>
        <v>4.6865711474283298E-2</v>
      </c>
      <c r="N430" s="7">
        <f t="shared" si="73"/>
        <v>5.99267222751814E-2</v>
      </c>
      <c r="O430">
        <v>5.6945952999999996</v>
      </c>
      <c r="P430">
        <v>-4.3427974999999996</v>
      </c>
      <c r="Q430">
        <v>3.4196203999999999</v>
      </c>
      <c r="R430">
        <v>-6.0996665999999999</v>
      </c>
      <c r="S430">
        <f t="shared" si="74"/>
        <v>0.97643667268700263</v>
      </c>
      <c r="T430">
        <f t="shared" si="75"/>
        <v>-23.394183151538272</v>
      </c>
    </row>
    <row r="431" spans="1:20" x14ac:dyDescent="0.35">
      <c r="A431">
        <v>1.9750000000000001</v>
      </c>
      <c r="B431">
        <v>15.4392</v>
      </c>
      <c r="C431">
        <v>-2.5373435999999999E-2</v>
      </c>
      <c r="D431">
        <v>-2.7816713999999999E-2</v>
      </c>
      <c r="E431">
        <v>0.97448869999999999</v>
      </c>
      <c r="F431">
        <v>-3.0301392999999999E-2</v>
      </c>
      <c r="G431">
        <f t="shared" si="66"/>
        <v>8.0277671806953208</v>
      </c>
      <c r="H431">
        <f t="shared" si="67"/>
        <v>-9.7393472717069898</v>
      </c>
      <c r="I431">
        <f t="shared" si="68"/>
        <v>8.0276997876676504</v>
      </c>
      <c r="J431">
        <f t="shared" si="69"/>
        <v>-9.7405897805806401</v>
      </c>
      <c r="K431" s="7">
        <f t="shared" si="70"/>
        <v>6.7393027670448205E-5</v>
      </c>
      <c r="L431" s="7">
        <f t="shared" si="71"/>
        <v>1.2425088736502899E-3</v>
      </c>
      <c r="M431" s="7">
        <f t="shared" si="72"/>
        <v>5.0386303982540501E-2</v>
      </c>
      <c r="N431" s="7">
        <f t="shared" si="73"/>
        <v>6.1137353243768698E-2</v>
      </c>
      <c r="O431">
        <v>5.7573669000000001</v>
      </c>
      <c r="P431">
        <v>-4.6362125000000001</v>
      </c>
      <c r="Q431">
        <v>3.3702260000000002</v>
      </c>
      <c r="R431">
        <v>-6.4037756999999997</v>
      </c>
      <c r="S431">
        <f t="shared" si="74"/>
        <v>0.97896151485421634</v>
      </c>
      <c r="T431">
        <f t="shared" si="75"/>
        <v>-23.399420679629227</v>
      </c>
    </row>
    <row r="432" spans="1:20" x14ac:dyDescent="0.35">
      <c r="A432">
        <v>1.9750000000000001</v>
      </c>
      <c r="B432">
        <v>15.488</v>
      </c>
      <c r="C432">
        <v>-2.7198117000000001E-2</v>
      </c>
      <c r="D432">
        <v>-2.8225233999999998E-2</v>
      </c>
      <c r="E432">
        <v>0.97265809999999997</v>
      </c>
      <c r="F432">
        <v>-3.0703224000000001E-2</v>
      </c>
      <c r="G432">
        <f t="shared" si="66"/>
        <v>7.9595547879147297</v>
      </c>
      <c r="H432">
        <f t="shared" si="67"/>
        <v>-9.1395764263884196</v>
      </c>
      <c r="I432">
        <f t="shared" si="68"/>
        <v>7.95948442668334</v>
      </c>
      <c r="J432">
        <f t="shared" si="69"/>
        <v>-9.1408155976514909</v>
      </c>
      <c r="K432" s="7">
        <f t="shared" si="70"/>
        <v>7.0361231389704001E-5</v>
      </c>
      <c r="L432" s="7">
        <f t="shared" si="71"/>
        <v>1.2391712630712699E-3</v>
      </c>
      <c r="M432" s="7">
        <f t="shared" si="72"/>
        <v>5.41800972673371E-2</v>
      </c>
      <c r="N432" s="7">
        <f t="shared" si="73"/>
        <v>6.2221401743469101E-2</v>
      </c>
      <c r="O432">
        <v>5.8134411000000004</v>
      </c>
      <c r="P432">
        <v>-4.9548569000000002</v>
      </c>
      <c r="Q432">
        <v>3.3007257999999999</v>
      </c>
      <c r="R432">
        <v>-6.7213525000000001</v>
      </c>
      <c r="S432">
        <f t="shared" si="74"/>
        <v>0.98030771267309169</v>
      </c>
      <c r="T432">
        <f t="shared" si="75"/>
        <v>-23.403937399063643</v>
      </c>
    </row>
    <row r="433" spans="1:20" x14ac:dyDescent="0.35">
      <c r="A433">
        <v>1.9750000000000001</v>
      </c>
      <c r="B433">
        <v>15.536799999999999</v>
      </c>
      <c r="C433">
        <v>-2.9145951E-2</v>
      </c>
      <c r="D433">
        <v>-2.8546134000000001E-2</v>
      </c>
      <c r="E433">
        <v>0.97070438000000003</v>
      </c>
      <c r="F433">
        <v>-3.1017023000000001E-2</v>
      </c>
      <c r="G433">
        <f t="shared" si="66"/>
        <v>7.8929710846037997</v>
      </c>
      <c r="H433">
        <f t="shared" si="67"/>
        <v>-8.5533902743897201</v>
      </c>
      <c r="I433">
        <f t="shared" si="68"/>
        <v>7.8928977711666999</v>
      </c>
      <c r="J433">
        <f t="shared" si="69"/>
        <v>-8.5546259019319901</v>
      </c>
      <c r="K433" s="7">
        <f t="shared" si="70"/>
        <v>7.3313437099820105E-5</v>
      </c>
      <c r="L433" s="7">
        <f t="shared" si="71"/>
        <v>1.2356275422700199E-3</v>
      </c>
      <c r="M433" s="7">
        <f t="shared" si="72"/>
        <v>5.8258999537599998E-2</v>
      </c>
      <c r="N433" s="7">
        <f t="shared" si="73"/>
        <v>6.3143342396455193E-2</v>
      </c>
      <c r="O433">
        <v>5.8533150000000003</v>
      </c>
      <c r="P433">
        <v>-5.2940309000000001</v>
      </c>
      <c r="Q433">
        <v>3.2082853999999998</v>
      </c>
      <c r="R433">
        <v>-7.0515800000000004</v>
      </c>
      <c r="S433">
        <f t="shared" si="74"/>
        <v>0.98160759209616177</v>
      </c>
      <c r="T433">
        <f t="shared" si="75"/>
        <v>-23.407932833864045</v>
      </c>
    </row>
    <row r="434" spans="1:20" x14ac:dyDescent="0.35">
      <c r="A434">
        <v>1.9750000000000001</v>
      </c>
      <c r="B434">
        <v>15.585599999999999</v>
      </c>
      <c r="C434">
        <v>-3.1218104E-2</v>
      </c>
      <c r="D434">
        <v>-2.8760635E-2</v>
      </c>
      <c r="E434">
        <v>0.96862643999999998</v>
      </c>
      <c r="F434">
        <v>-3.122401E-2</v>
      </c>
      <c r="G434">
        <f t="shared" si="66"/>
        <v>7.8279669271087204</v>
      </c>
      <c r="H434">
        <f t="shared" si="67"/>
        <v>-7.9804445071284702</v>
      </c>
      <c r="I434">
        <f t="shared" si="68"/>
        <v>7.82789071047221</v>
      </c>
      <c r="J434">
        <f t="shared" si="69"/>
        <v>-7.9816763842549001</v>
      </c>
      <c r="K434" s="7">
        <f t="shared" si="70"/>
        <v>7.6216636510473306E-5</v>
      </c>
      <c r="L434" s="7">
        <f t="shared" si="71"/>
        <v>1.2318771264299101E-3</v>
      </c>
      <c r="M434" s="7">
        <f t="shared" si="72"/>
        <v>6.2631628113651E-2</v>
      </c>
      <c r="N434" s="7">
        <f t="shared" si="73"/>
        <v>6.3862080541490701E-2</v>
      </c>
      <c r="O434">
        <v>5.8811020000000003</v>
      </c>
      <c r="P434">
        <v>-5.6609211000000004</v>
      </c>
      <c r="Q434">
        <v>3.0898560000000002</v>
      </c>
      <c r="R434">
        <v>-7.3937328999999998</v>
      </c>
      <c r="S434">
        <f t="shared" si="74"/>
        <v>0.98168146421807279</v>
      </c>
      <c r="T434">
        <f t="shared" si="75"/>
        <v>-23.412718790369816</v>
      </c>
    </row>
    <row r="435" spans="1:20" x14ac:dyDescent="0.35">
      <c r="A435">
        <v>1.9750000000000001</v>
      </c>
      <c r="B435">
        <v>15.634399999999999</v>
      </c>
      <c r="C435">
        <v>-3.3413275999999999E-2</v>
      </c>
      <c r="D435">
        <v>-2.8847871000000001E-2</v>
      </c>
      <c r="E435">
        <v>0.96642565000000002</v>
      </c>
      <c r="F435">
        <v>-3.1303330999999997E-2</v>
      </c>
      <c r="G435">
        <f t="shared" si="66"/>
        <v>7.7644958092850596</v>
      </c>
      <c r="H435">
        <f t="shared" si="67"/>
        <v>-7.4204130160060204</v>
      </c>
      <c r="I435">
        <f t="shared" si="68"/>
        <v>7.7644167734812397</v>
      </c>
      <c r="J435">
        <f t="shared" si="69"/>
        <v>-7.4216409419341103</v>
      </c>
      <c r="K435" s="7">
        <f t="shared" si="70"/>
        <v>7.9035803819849107E-5</v>
      </c>
      <c r="L435" s="7">
        <f t="shared" si="71"/>
        <v>1.2279259280898499E-3</v>
      </c>
      <c r="M435" s="7">
        <f t="shared" si="72"/>
        <v>6.7301932234339307E-2</v>
      </c>
      <c r="N435" s="7">
        <f t="shared" si="73"/>
        <v>6.4330752755006604E-2</v>
      </c>
      <c r="O435">
        <v>5.8743587000000002</v>
      </c>
      <c r="P435">
        <v>-6.0370574000000001</v>
      </c>
      <c r="Q435">
        <v>2.9425927999999999</v>
      </c>
      <c r="R435">
        <v>-7.7467008999999996</v>
      </c>
      <c r="S435">
        <f t="shared" si="74"/>
        <v>0.98377398676878614</v>
      </c>
      <c r="T435">
        <f t="shared" si="75"/>
        <v>-23.41810699376121</v>
      </c>
    </row>
    <row r="436" spans="1:20" x14ac:dyDescent="0.35">
      <c r="A436">
        <v>1.9750000000000001</v>
      </c>
      <c r="B436">
        <v>15.683199999999999</v>
      </c>
      <c r="C436">
        <v>-3.5727019999999998E-2</v>
      </c>
      <c r="D436">
        <v>-2.8785070999999999E-2</v>
      </c>
      <c r="E436">
        <v>0.96410653000000002</v>
      </c>
      <c r="F436">
        <v>-3.1232236E-2</v>
      </c>
      <c r="G436">
        <f t="shared" si="66"/>
        <v>7.7025148588508001</v>
      </c>
      <c r="H436">
        <f t="shared" si="67"/>
        <v>-6.8729853104701304</v>
      </c>
      <c r="I436">
        <f t="shared" si="68"/>
        <v>7.7024331244495601</v>
      </c>
      <c r="J436">
        <f t="shared" si="69"/>
        <v>-6.8742090948283501</v>
      </c>
      <c r="K436" s="7">
        <f t="shared" si="70"/>
        <v>8.1734401240041206E-5</v>
      </c>
      <c r="L436" s="7">
        <f t="shared" si="71"/>
        <v>1.2237843582196799E-3</v>
      </c>
      <c r="M436" s="7">
        <f t="shared" si="72"/>
        <v>7.2267519283217299E-2</v>
      </c>
      <c r="N436" s="7">
        <f t="shared" si="73"/>
        <v>6.4496767487725107E-2</v>
      </c>
      <c r="O436">
        <v>5.8447912000000004</v>
      </c>
      <c r="P436">
        <v>-6.4364286999999996</v>
      </c>
      <c r="Q436">
        <v>2.7627603000000001</v>
      </c>
      <c r="R436">
        <v>-8.1063434000000001</v>
      </c>
      <c r="S436">
        <f t="shared" si="74"/>
        <v>0.98504779660744846</v>
      </c>
      <c r="T436">
        <f t="shared" si="75"/>
        <v>-23.4220956098833</v>
      </c>
    </row>
    <row r="437" spans="1:20" x14ac:dyDescent="0.35">
      <c r="A437">
        <v>1.9750000000000001</v>
      </c>
      <c r="B437">
        <v>15.731999999999999</v>
      </c>
      <c r="C437">
        <v>-3.8150998999999998E-2</v>
      </c>
      <c r="D437">
        <v>-2.8547927000000001E-2</v>
      </c>
      <c r="E437">
        <v>0.96167749999999996</v>
      </c>
      <c r="F437">
        <v>-3.0986449999999999E-2</v>
      </c>
      <c r="G437">
        <f t="shared" si="66"/>
        <v>7.6419839869367001</v>
      </c>
      <c r="H437">
        <f t="shared" si="67"/>
        <v>-6.3378662348836201</v>
      </c>
      <c r="I437">
        <f t="shared" si="68"/>
        <v>7.6418997160617996</v>
      </c>
      <c r="J437">
        <f t="shared" si="69"/>
        <v>-6.3390857037019099</v>
      </c>
      <c r="K437" s="7">
        <f t="shared" si="70"/>
        <v>8.4270874900482795E-5</v>
      </c>
      <c r="L437" s="7">
        <f t="shared" si="71"/>
        <v>1.21946881828983E-3</v>
      </c>
      <c r="M437" s="7">
        <f t="shared" si="72"/>
        <v>7.7517702983179601E-2</v>
      </c>
      <c r="N437" s="7">
        <f t="shared" si="73"/>
        <v>6.4302252191516501E-2</v>
      </c>
      <c r="O437">
        <v>5.7884400999999999</v>
      </c>
      <c r="P437">
        <v>-6.8585114000000003</v>
      </c>
      <c r="Q437">
        <v>2.5472877</v>
      </c>
      <c r="R437">
        <v>-8.4705767999999999</v>
      </c>
      <c r="S437">
        <f t="shared" si="74"/>
        <v>0.98558191678676899</v>
      </c>
      <c r="T437">
        <f t="shared" si="75"/>
        <v>-23.426483828516702</v>
      </c>
    </row>
    <row r="438" spans="1:20" x14ac:dyDescent="0.35">
      <c r="A438">
        <v>1.9750000000000001</v>
      </c>
      <c r="B438">
        <v>15.780799999999999</v>
      </c>
      <c r="C438">
        <v>-4.0672220000000002E-2</v>
      </c>
      <c r="D438">
        <v>-2.8111189000000002E-2</v>
      </c>
      <c r="E438">
        <v>0.95915161999999998</v>
      </c>
      <c r="F438">
        <v>-3.0540772000000001E-2</v>
      </c>
      <c r="G438">
        <f t="shared" si="66"/>
        <v>7.5828652440583504</v>
      </c>
      <c r="H438">
        <f t="shared" si="67"/>
        <v>-5.8147736053770398</v>
      </c>
      <c r="I438">
        <f t="shared" si="68"/>
        <v>7.5827786324058097</v>
      </c>
      <c r="J438">
        <f t="shared" si="69"/>
        <v>-5.81598860910968</v>
      </c>
      <c r="K438" s="7">
        <f t="shared" si="70"/>
        <v>8.6611652540646803E-5</v>
      </c>
      <c r="L438" s="7">
        <f t="shared" si="71"/>
        <v>1.21500373264016E-3</v>
      </c>
      <c r="M438" s="7">
        <f t="shared" si="72"/>
        <v>8.3031376586423206E-2</v>
      </c>
      <c r="N438" s="7">
        <f t="shared" si="73"/>
        <v>6.3685037350499504E-2</v>
      </c>
      <c r="O438">
        <v>5.6901843999999997</v>
      </c>
      <c r="P438">
        <v>-7.2880799999999999</v>
      </c>
      <c r="Q438">
        <v>2.2933268999999998</v>
      </c>
      <c r="R438">
        <v>-8.8360029999999998</v>
      </c>
      <c r="S438">
        <f t="shared" si="74"/>
        <v>0.98728670004076391</v>
      </c>
      <c r="T438">
        <f t="shared" si="75"/>
        <v>-23.431303522980215</v>
      </c>
    </row>
    <row r="439" spans="1:20" x14ac:dyDescent="0.35">
      <c r="A439">
        <v>1.9750000000000001</v>
      </c>
      <c r="B439">
        <v>15.829599999999999</v>
      </c>
      <c r="C439">
        <v>-4.3272325E-2</v>
      </c>
      <c r="D439">
        <v>-2.7449530999999999E-2</v>
      </c>
      <c r="E439">
        <v>0.95654733000000003</v>
      </c>
      <c r="F439">
        <v>-2.9869948E-2</v>
      </c>
      <c r="G439">
        <f t="shared" si="66"/>
        <v>7.5251227227073896</v>
      </c>
      <c r="H439">
        <f t="shared" si="67"/>
        <v>-5.3034401876664301</v>
      </c>
      <c r="I439">
        <f t="shared" si="68"/>
        <v>7.5250340070743196</v>
      </c>
      <c r="J439">
        <f t="shared" si="69"/>
        <v>-5.3046506126779001</v>
      </c>
      <c r="K439" s="7">
        <f t="shared" si="70"/>
        <v>8.8715633070002298E-5</v>
      </c>
      <c r="L439" s="7">
        <f t="shared" si="71"/>
        <v>1.21042501146995E-3</v>
      </c>
      <c r="M439" s="7">
        <f t="shared" si="72"/>
        <v>8.8774772851393305E-2</v>
      </c>
      <c r="N439" s="7">
        <f t="shared" si="73"/>
        <v>6.2580335551144603E-2</v>
      </c>
      <c r="O439">
        <v>5.5567808999999997</v>
      </c>
      <c r="P439">
        <v>-7.7351270000000003</v>
      </c>
      <c r="Q439">
        <v>1.9980042</v>
      </c>
      <c r="R439">
        <v>-9.1960523999999992</v>
      </c>
      <c r="S439">
        <f t="shared" si="74"/>
        <v>0.98807461488129023</v>
      </c>
      <c r="T439">
        <f t="shared" si="75"/>
        <v>-23.434804744472874</v>
      </c>
    </row>
    <row r="440" spans="1:20" x14ac:dyDescent="0.35">
      <c r="A440">
        <v>1.9750000000000001</v>
      </c>
      <c r="B440">
        <v>15.878399999999999</v>
      </c>
      <c r="C440">
        <v>-4.5927005E-2</v>
      </c>
      <c r="D440">
        <v>-2.6538716E-2</v>
      </c>
      <c r="E440">
        <v>0.95388903000000003</v>
      </c>
      <c r="F440">
        <v>-2.8949824999999998E-2</v>
      </c>
      <c r="G440">
        <f t="shared" si="66"/>
        <v>7.4687238635687496</v>
      </c>
      <c r="H440">
        <f t="shared" si="67"/>
        <v>-4.8036135128834196</v>
      </c>
      <c r="I440">
        <f t="shared" si="68"/>
        <v>7.4686333263678497</v>
      </c>
      <c r="J440">
        <f t="shared" si="69"/>
        <v>-4.8048192874411102</v>
      </c>
      <c r="K440" s="7">
        <f t="shared" si="70"/>
        <v>9.0537200899909505E-5</v>
      </c>
      <c r="L440" s="7">
        <f t="shared" si="71"/>
        <v>1.2057745576905499E-3</v>
      </c>
      <c r="M440" s="7">
        <f t="shared" si="72"/>
        <v>9.4699366068718899E-2</v>
      </c>
      <c r="N440" s="7">
        <f t="shared" si="73"/>
        <v>6.0923239997472102E-2</v>
      </c>
      <c r="O440">
        <v>5.3766948000000001</v>
      </c>
      <c r="P440">
        <v>-8.1853023999999994</v>
      </c>
      <c r="Q440">
        <v>1.6594895999999999</v>
      </c>
      <c r="R440">
        <v>-9.5478181000000006</v>
      </c>
      <c r="S440">
        <f t="shared" si="74"/>
        <v>0.98955378333830224</v>
      </c>
      <c r="T440">
        <f t="shared" si="75"/>
        <v>-23.439806160854129</v>
      </c>
    </row>
    <row r="441" spans="1:20" x14ac:dyDescent="0.35">
      <c r="A441">
        <v>1.9750000000000001</v>
      </c>
      <c r="B441">
        <v>15.927199999999999</v>
      </c>
      <c r="C441">
        <v>-4.8605671000000003E-2</v>
      </c>
      <c r="D441">
        <v>-2.5357049E-2</v>
      </c>
      <c r="E441">
        <v>0.95120735999999995</v>
      </c>
      <c r="F441">
        <v>-2.7758820999999999E-2</v>
      </c>
      <c r="G441">
        <f t="shared" si="66"/>
        <v>7.4136367246031796</v>
      </c>
      <c r="H441">
        <f t="shared" si="67"/>
        <v>-4.31505184755106</v>
      </c>
      <c r="I441">
        <f t="shared" si="68"/>
        <v>7.4135446738926296</v>
      </c>
      <c r="J441">
        <f t="shared" si="69"/>
        <v>-4.3162529563785297</v>
      </c>
      <c r="K441" s="7">
        <f t="shared" si="70"/>
        <v>9.2050710549962403E-5</v>
      </c>
      <c r="L441" s="7">
        <f t="shared" si="71"/>
        <v>1.2011088274697099E-3</v>
      </c>
      <c r="M441" s="7">
        <f t="shared" si="72"/>
        <v>0.100740260169459</v>
      </c>
      <c r="N441" s="7">
        <f t="shared" si="73"/>
        <v>5.8652165045153699E-2</v>
      </c>
      <c r="O441">
        <v>5.1512148</v>
      </c>
      <c r="P441">
        <v>-8.6398981999999993</v>
      </c>
      <c r="Q441">
        <v>1.2765369</v>
      </c>
      <c r="R441">
        <v>-9.8821510000000004</v>
      </c>
      <c r="S441">
        <f t="shared" si="74"/>
        <v>0.99058452162457811</v>
      </c>
      <c r="T441">
        <f t="shared" si="75"/>
        <v>-23.443441799102764</v>
      </c>
    </row>
    <row r="442" spans="1:20" x14ac:dyDescent="0.35">
      <c r="A442">
        <v>1.9750000000000001</v>
      </c>
      <c r="B442">
        <v>15.976000000000001</v>
      </c>
      <c r="C442">
        <v>-5.1274101000000002E-2</v>
      </c>
      <c r="D442">
        <v>-2.3878336E-2</v>
      </c>
      <c r="E442">
        <v>0.94866603000000005</v>
      </c>
      <c r="F442">
        <v>-2.6167807000000001E-2</v>
      </c>
      <c r="G442">
        <f t="shared" si="66"/>
        <v>7.3729379556913903</v>
      </c>
      <c r="H442">
        <f t="shared" si="67"/>
        <v>-3.8393737027638202</v>
      </c>
      <c r="I442">
        <f t="shared" si="68"/>
        <v>7.3729093308306304</v>
      </c>
      <c r="J442">
        <f t="shared" si="69"/>
        <v>-3.84051850530081</v>
      </c>
      <c r="K442" s="7">
        <f t="shared" si="70"/>
        <v>2.8624860759940401E-5</v>
      </c>
      <c r="L442" s="7">
        <f t="shared" si="71"/>
        <v>1.14480253698979E-3</v>
      </c>
      <c r="M442" s="7">
        <f t="shared" si="72"/>
        <v>0.106684648730887</v>
      </c>
      <c r="N442" s="7">
        <f t="shared" si="73"/>
        <v>5.5571599933988101E-2</v>
      </c>
      <c r="O442">
        <v>4.8741626</v>
      </c>
      <c r="P442">
        <v>-9.0891766999999994</v>
      </c>
      <c r="Q442">
        <v>0.84735028999999995</v>
      </c>
      <c r="R442">
        <v>-10.194671</v>
      </c>
      <c r="S442">
        <f t="shared" si="74"/>
        <v>0.99187606728409594</v>
      </c>
      <c r="T442">
        <f t="shared" si="75"/>
        <v>-23.451551841186102</v>
      </c>
    </row>
    <row r="443" spans="1:20" x14ac:dyDescent="0.35">
      <c r="A443">
        <v>1.9750000000000001</v>
      </c>
      <c r="B443">
        <v>16.024799999999999</v>
      </c>
      <c r="C443">
        <v>-5.388072E-2</v>
      </c>
      <c r="D443">
        <v>-2.2110213E-2</v>
      </c>
      <c r="E443">
        <v>0.94606283000000002</v>
      </c>
      <c r="F443">
        <v>-2.4389833999999999E-2</v>
      </c>
      <c r="G443">
        <f t="shared" si="66"/>
        <v>7.3202983064322202</v>
      </c>
      <c r="H443">
        <f t="shared" si="67"/>
        <v>-3.3721877082773699</v>
      </c>
      <c r="I443">
        <f t="shared" si="68"/>
        <v>7.3202713799118397</v>
      </c>
      <c r="J443">
        <f t="shared" si="69"/>
        <v>-3.3733275816414201</v>
      </c>
      <c r="K443" s="7">
        <f t="shared" si="70"/>
        <v>2.6926520380499101E-5</v>
      </c>
      <c r="L443" s="7">
        <f t="shared" si="71"/>
        <v>1.13987336405019E-3</v>
      </c>
      <c r="M443" s="7">
        <f t="shared" si="72"/>
        <v>0.11267899864521599</v>
      </c>
      <c r="N443" s="7">
        <f t="shared" si="73"/>
        <v>5.1924738069781901E-2</v>
      </c>
      <c r="O443">
        <v>4.5474313999999998</v>
      </c>
      <c r="P443">
        <v>-9.5261715999999996</v>
      </c>
      <c r="Q443">
        <v>0.37721284999999999</v>
      </c>
      <c r="R443">
        <v>-10.475061</v>
      </c>
      <c r="S443">
        <f t="shared" si="74"/>
        <v>0.99298478917337352</v>
      </c>
      <c r="T443">
        <f t="shared" si="75"/>
        <v>-23.455669569804289</v>
      </c>
    </row>
    <row r="444" spans="1:20" x14ac:dyDescent="0.35">
      <c r="A444">
        <v>1.9750000000000001</v>
      </c>
      <c r="B444">
        <v>16.073599999999999</v>
      </c>
      <c r="C444">
        <v>-5.6391249999999997E-2</v>
      </c>
      <c r="D444">
        <v>-2.0034757E-2</v>
      </c>
      <c r="E444">
        <v>0.94355778000000001</v>
      </c>
      <c r="F444">
        <v>-2.2306597000000001E-2</v>
      </c>
      <c r="G444">
        <f t="shared" si="66"/>
        <v>7.2686746193647203</v>
      </c>
      <c r="H444">
        <f t="shared" si="67"/>
        <v>-2.9146635467145701</v>
      </c>
      <c r="I444">
        <f t="shared" si="68"/>
        <v>7.26865042412647</v>
      </c>
      <c r="J444">
        <f t="shared" si="69"/>
        <v>-2.9157995231487899</v>
      </c>
      <c r="K444" s="7">
        <f t="shared" si="70"/>
        <v>2.4195238250257499E-5</v>
      </c>
      <c r="L444" s="7">
        <f t="shared" si="71"/>
        <v>1.13597643421981E-3</v>
      </c>
      <c r="M444" s="7">
        <f t="shared" si="72"/>
        <v>0.11850706399354501</v>
      </c>
      <c r="N444" s="7">
        <f t="shared" si="73"/>
        <v>4.7538789255182803E-2</v>
      </c>
      <c r="O444">
        <v>4.1681461000000004</v>
      </c>
      <c r="P444">
        <v>-9.9434465000000003</v>
      </c>
      <c r="Q444">
        <v>-0.13405902</v>
      </c>
      <c r="R444">
        <v>-10.717313000000001</v>
      </c>
      <c r="S444">
        <f t="shared" si="74"/>
        <v>0.99410368108407809</v>
      </c>
      <c r="T444">
        <f t="shared" si="75"/>
        <v>-23.459367256357204</v>
      </c>
    </row>
    <row r="445" spans="1:20" x14ac:dyDescent="0.35">
      <c r="A445">
        <v>1.9750000000000001</v>
      </c>
      <c r="B445">
        <v>16.122399999999999</v>
      </c>
      <c r="C445">
        <v>-5.8748415999999998E-2</v>
      </c>
      <c r="D445">
        <v>-1.7662707999999999E-2</v>
      </c>
      <c r="E445">
        <v>0.94120588000000005</v>
      </c>
      <c r="F445">
        <v>-1.9926327000000001E-2</v>
      </c>
      <c r="G445">
        <f t="shared" si="66"/>
        <v>7.2182536828130699</v>
      </c>
      <c r="H445">
        <f t="shared" si="67"/>
        <v>-2.4676580192450199</v>
      </c>
      <c r="I445">
        <f t="shared" si="68"/>
        <v>7.2182321113697698</v>
      </c>
      <c r="J445">
        <f t="shared" si="69"/>
        <v>-2.46878987902504</v>
      </c>
      <c r="K445" s="7">
        <f t="shared" si="70"/>
        <v>2.1571443300061299E-5</v>
      </c>
      <c r="L445" s="7">
        <f t="shared" si="71"/>
        <v>1.1318597800200601E-3</v>
      </c>
      <c r="M445" s="7">
        <f t="shared" si="72"/>
        <v>0.124029298781952</v>
      </c>
      <c r="N445" s="7">
        <f t="shared" si="73"/>
        <v>4.2420674870394103E-2</v>
      </c>
      <c r="O445">
        <v>3.7386526999999998</v>
      </c>
      <c r="P445">
        <v>-10.331555</v>
      </c>
      <c r="Q445">
        <v>-0.68081853000000003</v>
      </c>
      <c r="R445">
        <v>-10.91358</v>
      </c>
      <c r="S445">
        <f t="shared" si="74"/>
        <v>0.99523040723983669</v>
      </c>
      <c r="T445">
        <f t="shared" si="75"/>
        <v>-23.463176717162408</v>
      </c>
    </row>
    <row r="446" spans="1:20" x14ac:dyDescent="0.35">
      <c r="A446">
        <v>1.9750000000000001</v>
      </c>
      <c r="B446">
        <v>16.171199999999999</v>
      </c>
      <c r="C446">
        <v>-6.0901884000000003E-2</v>
      </c>
      <c r="D446">
        <v>-1.5011544999999999E-2</v>
      </c>
      <c r="E446">
        <v>0.93905808000000002</v>
      </c>
      <c r="F446">
        <v>-1.7267333999999999E-2</v>
      </c>
      <c r="G446">
        <f t="shared" si="66"/>
        <v>7.1690074694952504</v>
      </c>
      <c r="H446">
        <f t="shared" si="67"/>
        <v>-2.03110816749638</v>
      </c>
      <c r="I446">
        <f t="shared" si="68"/>
        <v>7.16898872331529</v>
      </c>
      <c r="J446">
        <f t="shared" si="69"/>
        <v>-2.0322361057191598</v>
      </c>
      <c r="K446" s="7">
        <f t="shared" si="70"/>
        <v>1.8746179960338301E-5</v>
      </c>
      <c r="L446" s="7">
        <f t="shared" si="71"/>
        <v>1.12793822277979E-3</v>
      </c>
      <c r="M446" s="7">
        <f t="shared" si="72"/>
        <v>0.12911424401883501</v>
      </c>
      <c r="N446" s="7">
        <f t="shared" si="73"/>
        <v>3.6600786887047702E-2</v>
      </c>
      <c r="O446">
        <v>3.2624613</v>
      </c>
      <c r="P446">
        <v>-10.681903999999999</v>
      </c>
      <c r="Q446">
        <v>-1.2565263</v>
      </c>
      <c r="R446">
        <v>-11.057104000000001</v>
      </c>
      <c r="S446">
        <f t="shared" si="74"/>
        <v>0.99635269357593803</v>
      </c>
      <c r="T446">
        <f t="shared" si="75"/>
        <v>-23.466954971206256</v>
      </c>
    </row>
    <row r="447" spans="1:20" x14ac:dyDescent="0.35">
      <c r="A447">
        <v>1.9750000000000001</v>
      </c>
      <c r="B447">
        <v>16.22</v>
      </c>
      <c r="C447">
        <v>-6.2802916E-2</v>
      </c>
      <c r="D447">
        <v>-1.2111368000000001E-2</v>
      </c>
      <c r="E447">
        <v>0.93716306000000005</v>
      </c>
      <c r="F447">
        <v>-1.4359768E-2</v>
      </c>
      <c r="G447">
        <f t="shared" si="66"/>
        <v>7.1209672426541504</v>
      </c>
      <c r="H447">
        <f t="shared" si="67"/>
        <v>-1.60510234440341</v>
      </c>
      <c r="I447">
        <f t="shared" si="68"/>
        <v>7.1209514942532799</v>
      </c>
      <c r="J447">
        <f t="shared" si="69"/>
        <v>-1.6062265812332801</v>
      </c>
      <c r="K447" s="7">
        <f t="shared" si="70"/>
        <v>1.5748400870485599E-5</v>
      </c>
      <c r="L447" s="7">
        <f t="shared" si="71"/>
        <v>1.1242368298700601E-3</v>
      </c>
      <c r="M447" s="7">
        <f t="shared" si="72"/>
        <v>0.13363164286020601</v>
      </c>
      <c r="N447" s="7">
        <f t="shared" si="73"/>
        <v>3.0142418050334401E-2</v>
      </c>
      <c r="O447">
        <v>2.7446963000000002</v>
      </c>
      <c r="P447">
        <v>-10.984183</v>
      </c>
      <c r="Q447">
        <v>-1.8528591000000001</v>
      </c>
      <c r="R447">
        <v>-11.14263</v>
      </c>
      <c r="S447">
        <f t="shared" si="74"/>
        <v>0.9976790131997858</v>
      </c>
      <c r="T447">
        <f t="shared" si="75"/>
        <v>-23.470696728939831</v>
      </c>
    </row>
    <row r="448" spans="1:20" x14ac:dyDescent="0.35">
      <c r="A448">
        <v>1.9750000000000001</v>
      </c>
      <c r="B448">
        <v>16.268799999999999</v>
      </c>
      <c r="C448">
        <v>-6.4411604999999997E-2</v>
      </c>
      <c r="D448">
        <v>-8.9929940000000007E-3</v>
      </c>
      <c r="E448">
        <v>0.93566795999999997</v>
      </c>
      <c r="F448">
        <v>-1.138048E-2</v>
      </c>
      <c r="G448">
        <f t="shared" si="66"/>
        <v>7.07759036620992</v>
      </c>
      <c r="H448">
        <f t="shared" si="67"/>
        <v>-1.19854788072536</v>
      </c>
      <c r="I448">
        <f t="shared" si="68"/>
        <v>7.0776315719775997</v>
      </c>
      <c r="J448">
        <f t="shared" si="69"/>
        <v>-1.19974152705003</v>
      </c>
      <c r="K448" s="7">
        <f t="shared" si="70"/>
        <v>-4.1205767679741698E-5</v>
      </c>
      <c r="L448" s="7">
        <f t="shared" si="71"/>
        <v>1.1936463246700101E-3</v>
      </c>
      <c r="M448" s="7">
        <f t="shared" si="72"/>
        <v>0.13734373701274599</v>
      </c>
      <c r="N448" s="7">
        <f t="shared" si="73"/>
        <v>2.3281373592096699E-2</v>
      </c>
      <c r="O448">
        <v>2.1929810000000001</v>
      </c>
      <c r="P448">
        <v>-11.238609</v>
      </c>
      <c r="Q448">
        <v>-2.4624476999999998</v>
      </c>
      <c r="R448">
        <v>-11.167408</v>
      </c>
      <c r="S448">
        <f t="shared" si="74"/>
        <v>0.99869935431619394</v>
      </c>
      <c r="T448">
        <f t="shared" si="75"/>
        <v>-23.476249845543801</v>
      </c>
    </row>
    <row r="449" spans="1:20" x14ac:dyDescent="0.35">
      <c r="A449">
        <v>1.9750000000000001</v>
      </c>
      <c r="B449">
        <v>16.317599999999999</v>
      </c>
      <c r="C449">
        <v>-6.5694276999999995E-2</v>
      </c>
      <c r="D449">
        <v>-5.7132282E-3</v>
      </c>
      <c r="E449">
        <v>0.93439269999999996</v>
      </c>
      <c r="F449">
        <v>-8.0995475999999997E-3</v>
      </c>
      <c r="G449">
        <f t="shared" si="66"/>
        <v>7.0326695096176604</v>
      </c>
      <c r="H449">
        <f t="shared" si="67"/>
        <v>-0.79183405639590199</v>
      </c>
      <c r="I449">
        <f t="shared" si="68"/>
        <v>7.0327144196687996</v>
      </c>
      <c r="J449">
        <f t="shared" si="69"/>
        <v>-0.79302711062689901</v>
      </c>
      <c r="K449" s="7">
        <f t="shared" si="70"/>
        <v>-4.4910051139268603E-5</v>
      </c>
      <c r="L449" s="7">
        <f t="shared" si="71"/>
        <v>1.1930542309970299E-3</v>
      </c>
      <c r="M449" s="7">
        <f t="shared" si="72"/>
        <v>0.14040727238728201</v>
      </c>
      <c r="N449" s="7">
        <f t="shared" si="73"/>
        <v>1.5832688047289399E-2</v>
      </c>
      <c r="O449">
        <v>1.6152614000000001</v>
      </c>
      <c r="P449">
        <v>-11.432979</v>
      </c>
      <c r="Q449">
        <v>-3.0730211000000001</v>
      </c>
      <c r="R449">
        <v>-11.127535999999999</v>
      </c>
      <c r="S449">
        <f t="shared" si="74"/>
        <v>0.99978785174367724</v>
      </c>
      <c r="T449">
        <f t="shared" si="75"/>
        <v>-23.479794384831845</v>
      </c>
    </row>
    <row r="450" spans="1:20" x14ac:dyDescent="0.35">
      <c r="A450">
        <v>1.9750000000000001</v>
      </c>
      <c r="B450">
        <v>16.366399999999999</v>
      </c>
      <c r="C450">
        <v>-6.6627823000000003E-2</v>
      </c>
      <c r="D450">
        <v>-2.3218039999999998E-3</v>
      </c>
      <c r="E450">
        <v>0.93346748999999996</v>
      </c>
      <c r="F450">
        <v>-4.7069955999999996E-3</v>
      </c>
      <c r="G450">
        <f t="shared" si="66"/>
        <v>6.9888538464845098</v>
      </c>
      <c r="H450">
        <f t="shared" si="67"/>
        <v>-0.39470034854897901</v>
      </c>
      <c r="I450">
        <f t="shared" si="68"/>
        <v>6.9889029227928603</v>
      </c>
      <c r="J450">
        <f t="shared" si="69"/>
        <v>-0.39589282899133499</v>
      </c>
      <c r="K450" s="7">
        <f t="shared" si="70"/>
        <v>-4.9076308350493003E-5</v>
      </c>
      <c r="L450" s="7">
        <f t="shared" si="71"/>
        <v>1.1924804423559801E-3</v>
      </c>
      <c r="M450" s="7">
        <f t="shared" si="72"/>
        <v>0.142626319764319</v>
      </c>
      <c r="N450" s="7">
        <f t="shared" si="73"/>
        <v>8.0791989592487994E-3</v>
      </c>
      <c r="O450">
        <v>1.0211427</v>
      </c>
      <c r="P450">
        <v>-11.566115999999999</v>
      </c>
      <c r="Q450">
        <v>-3.6754123000000001</v>
      </c>
      <c r="R450">
        <v>-11.024385000000001</v>
      </c>
      <c r="S450">
        <f t="shared" si="74"/>
        <v>1.0008450376727582</v>
      </c>
      <c r="T450">
        <f t="shared" si="75"/>
        <v>-23.483251532620368</v>
      </c>
    </row>
    <row r="451" spans="1:20" x14ac:dyDescent="0.35">
      <c r="A451">
        <v>1.9750000000000001</v>
      </c>
      <c r="B451">
        <v>16.415199999999999</v>
      </c>
      <c r="C451">
        <v>-6.7200924999999995E-2</v>
      </c>
      <c r="D451">
        <v>1.1224207000000001E-3</v>
      </c>
      <c r="E451">
        <v>0.93290384999999998</v>
      </c>
      <c r="F451">
        <v>-1.2616515000000001E-3</v>
      </c>
      <c r="G451">
        <f t="shared" ref="G451:G484" si="76">IMREAL(IMDIV(IMSUM(IMPRODUCT(COMPLEX(1 + C451,D451),COMPLEX(1 - C451, - D451)),IMPRODUCT(COMPLEX(E451,F451),COMPLEX(E451,F451))),IMSUB(IMPRODUCT(COMPLEX(1 - C451, - D451),COMPLEX(1 - C451, - D451)),IMPRODUCT(COMPLEX(E451,F451),COMPLEX(E451,F451)))))</f>
        <v>6.9461436499447</v>
      </c>
      <c r="H451">
        <f t="shared" ref="H451:H484" si="77">IMAGINARY(IMDIV(IMSUM(IMPRODUCT(COMPLEX(1 + C451,D451),COMPLEX(1 - C451, - D451)),IMPRODUCT(COMPLEX(E451,F451),COMPLEX(E451,F451))),IMSUB(IMPRODUCT(COMPLEX(1 - C451, - D451),COMPLEX(1 - C451, - D451)),IMPRODUCT(COMPLEX(E451,F451),COMPLEX(E451,F451)))))</f>
        <v>-7.1237687182320198E-3</v>
      </c>
      <c r="I451">
        <f t="shared" ref="I451:I484" si="78">IMREAL(IMDIV(IMPRODUCT(COMPLEX(2,0),COMPLEX(E451,F451)),IMSUB(IMPRODUCT(COMPLEX(1 - C451, - D451),COMPLEX(1 - C451, - D451)),IMPRODUCT(COMPLEX(E451,F451),COMPLEX(E451,F451)))))</f>
        <v>6.9461974554251302</v>
      </c>
      <c r="J451">
        <f t="shared" ref="J451:J484" si="79">IMAGINARY(IMDIV(IMPRODUCT(COMPLEX(2,0),COMPLEX(E451,F451)),IMSUB(IMPRODUCT(COMPLEX(1 - C451, - D451),COMPLEX(1 - C451, - D451)),IMPRODUCT(COMPLEX(E451,F451),COMPLEX(E451,F451)))))</f>
        <v>-8.3156782389969108E-3</v>
      </c>
      <c r="K451" s="7">
        <f t="shared" ref="K451:K484" si="80">IMREAL(IMSUB(COMPLEX(G451,H451),COMPLEX(I451,J451)))</f>
        <v>-5.3805480430213499E-5</v>
      </c>
      <c r="L451" s="7">
        <f t="shared" ref="L451:L484" si="81">IMAGINARY(IMSUB(COMPLEX(G451,H451),COMPLEX(I451,J451)))</f>
        <v>1.1919095207648901E-3</v>
      </c>
      <c r="M451" s="7">
        <f t="shared" ref="M451:M484" si="82">IMREAL(IMDIV(IMSUB(IMPRODUCT(COMPLEX(1 - C451, - D451),COMPLEX(1 - C451, - D451)),IMPRODUCT(COMPLEX(E451,F451),COMPLEX(E451,F451))),IMPRODUCT(COMPLEX(2,0),COMPLEX(E451,F451))))</f>
        <v>0.14396345241234501</v>
      </c>
      <c r="N451" s="7">
        <f t="shared" ref="N451:N484" si="83">IMAGINARY(IMDIV(IMSUB(IMPRODUCT(COMPLEX(1 - C451, - D451),COMPLEX(1 - C451, - D451)),IMPRODUCT(COMPLEX(E451,F451),COMPLEX(E451,F451))),IMPRODUCT(COMPLEX(2,0),COMPLEX(E451,F451))))</f>
        <v>1.7234663369685799E-4</v>
      </c>
      <c r="O451">
        <v>0.42086881999999998</v>
      </c>
      <c r="P451">
        <v>-11.636100000000001</v>
      </c>
      <c r="Q451">
        <v>-4.2594998000000004</v>
      </c>
      <c r="R451">
        <v>-10.860507999999999</v>
      </c>
      <c r="S451">
        <f t="shared" ref="S451:S484" si="84">IMABS(COMPLEX(Q451,R451))/IMABS(COMPLEX(O451,P451))</f>
        <v>1.0019086161594499</v>
      </c>
      <c r="T451">
        <f t="shared" ref="T451:T484" si="85">IMARGUMENT(IMDIV(COMPLEX(Q451,R451),COMPLEX(O451/B451,P451/B451)))/PI()*180</f>
        <v>-23.486592198370193</v>
      </c>
    </row>
    <row r="452" spans="1:20" x14ac:dyDescent="0.35">
      <c r="A452">
        <v>1.9750000000000001</v>
      </c>
      <c r="B452">
        <v>16.463999999999999</v>
      </c>
      <c r="C452">
        <v>-6.7415258000000006E-2</v>
      </c>
      <c r="D452">
        <v>4.5621000000000004E-3</v>
      </c>
      <c r="E452">
        <v>0.93270014999999995</v>
      </c>
      <c r="F452">
        <v>2.1791288000000001E-3</v>
      </c>
      <c r="G452">
        <f t="shared" si="76"/>
        <v>6.9045014156800599</v>
      </c>
      <c r="H452">
        <f t="shared" si="77"/>
        <v>0.37112306397255201</v>
      </c>
      <c r="I452">
        <f t="shared" si="78"/>
        <v>6.9045605357406901</v>
      </c>
      <c r="J452">
        <f t="shared" si="79"/>
        <v>0.36993171755870702</v>
      </c>
      <c r="K452" s="7">
        <f t="shared" si="80"/>
        <v>-5.91200606301356E-5</v>
      </c>
      <c r="L452" s="7">
        <f t="shared" si="81"/>
        <v>1.191346413845E-3</v>
      </c>
      <c r="M452" s="7">
        <f t="shared" si="82"/>
        <v>0.14441724745294099</v>
      </c>
      <c r="N452" s="7">
        <f t="shared" si="83"/>
        <v>-7.7375699899828801E-3</v>
      </c>
      <c r="O452">
        <v>-0.17560530999999999</v>
      </c>
      <c r="P452">
        <v>-11.643848</v>
      </c>
      <c r="Q452">
        <v>-4.8164031999999999</v>
      </c>
      <c r="R452">
        <v>-10.640446000000001</v>
      </c>
      <c r="S452">
        <f t="shared" si="84"/>
        <v>1.002970285232367</v>
      </c>
      <c r="T452">
        <f t="shared" si="85"/>
        <v>-23.489874930580914</v>
      </c>
    </row>
    <row r="453" spans="1:20" x14ac:dyDescent="0.35">
      <c r="A453">
        <v>1.9750000000000001</v>
      </c>
      <c r="B453">
        <v>16.512799999999999</v>
      </c>
      <c r="C453">
        <v>-6.7287745999999996E-2</v>
      </c>
      <c r="D453">
        <v>7.9428095000000001E-3</v>
      </c>
      <c r="E453">
        <v>0.93277173999999996</v>
      </c>
      <c r="F453">
        <v>5.6304941000000002E-3</v>
      </c>
      <c r="G453">
        <f t="shared" si="76"/>
        <v>6.8591150571538</v>
      </c>
      <c r="H453">
        <f t="shared" si="77"/>
        <v>0.74314925724904801</v>
      </c>
      <c r="I453">
        <f t="shared" si="78"/>
        <v>6.85914613584875</v>
      </c>
      <c r="J453">
        <f t="shared" si="79"/>
        <v>0.74199316986642705</v>
      </c>
      <c r="K453" s="7">
        <f t="shared" si="80"/>
        <v>-3.1078694950004101E-5</v>
      </c>
      <c r="L453" s="7">
        <f t="shared" si="81"/>
        <v>1.15608738262096E-3</v>
      </c>
      <c r="M453" s="7">
        <f t="shared" si="82"/>
        <v>0.14410443276705401</v>
      </c>
      <c r="N453" s="7">
        <f t="shared" si="83"/>
        <v>-1.55886028294102E-2</v>
      </c>
      <c r="O453">
        <v>-0.75900146999999996</v>
      </c>
      <c r="P453">
        <v>-11.591042</v>
      </c>
      <c r="Q453">
        <v>-5.3378367999999998</v>
      </c>
      <c r="R453">
        <v>-10.369612</v>
      </c>
      <c r="S453">
        <f t="shared" si="84"/>
        <v>1.0040421909817165</v>
      </c>
      <c r="T453">
        <f t="shared" si="85"/>
        <v>-23.491012157976911</v>
      </c>
    </row>
    <row r="454" spans="1:20" x14ac:dyDescent="0.35">
      <c r="A454">
        <v>1.9750000000000001</v>
      </c>
      <c r="B454">
        <v>16.561599999999999</v>
      </c>
      <c r="C454">
        <v>-6.6833507E-2</v>
      </c>
      <c r="D454">
        <v>1.1207764E-2</v>
      </c>
      <c r="E454">
        <v>0.93320738000000003</v>
      </c>
      <c r="F454">
        <v>8.8241064000000001E-3</v>
      </c>
      <c r="G454">
        <f t="shared" si="76"/>
        <v>6.8190740225596</v>
      </c>
      <c r="H454">
        <f t="shared" si="77"/>
        <v>1.0977986933294901</v>
      </c>
      <c r="I454">
        <f t="shared" si="78"/>
        <v>6.8190958860084203</v>
      </c>
      <c r="J454">
        <f t="shared" si="79"/>
        <v>1.0966069149511</v>
      </c>
      <c r="K454" s="7">
        <f t="shared" si="80"/>
        <v>-2.1863448820269599E-5</v>
      </c>
      <c r="L454" s="7">
        <f t="shared" si="81"/>
        <v>1.1917783783901301E-3</v>
      </c>
      <c r="M454" s="7">
        <f t="shared" si="82"/>
        <v>0.14295014696269601</v>
      </c>
      <c r="N454" s="7">
        <f t="shared" si="83"/>
        <v>-2.2988402315065298E-2</v>
      </c>
      <c r="O454">
        <v>-1.3200118000000001</v>
      </c>
      <c r="P454">
        <v>-11.486567000000001</v>
      </c>
      <c r="Q454">
        <v>-5.8194043999999998</v>
      </c>
      <c r="R454">
        <v>-10.057752000000001</v>
      </c>
      <c r="S454">
        <f t="shared" si="84"/>
        <v>1.0050000433537183</v>
      </c>
      <c r="T454">
        <f t="shared" si="85"/>
        <v>-23.498075603278757</v>
      </c>
    </row>
    <row r="455" spans="1:20" x14ac:dyDescent="0.35">
      <c r="A455">
        <v>1.9750000000000001</v>
      </c>
      <c r="B455">
        <v>16.610399999999998</v>
      </c>
      <c r="C455">
        <v>-6.6092152000000001E-2</v>
      </c>
      <c r="D455">
        <v>1.4322069E-2</v>
      </c>
      <c r="E455">
        <v>0.93395441999999995</v>
      </c>
      <c r="F455">
        <v>1.1937229000000001E-2</v>
      </c>
      <c r="G455">
        <f t="shared" si="76"/>
        <v>6.7803311566340998</v>
      </c>
      <c r="H455">
        <f t="shared" si="77"/>
        <v>1.4473949638713399</v>
      </c>
      <c r="I455">
        <f t="shared" si="78"/>
        <v>6.7803558638559798</v>
      </c>
      <c r="J455">
        <f t="shared" si="79"/>
        <v>1.44620260109808</v>
      </c>
      <c r="K455" s="7">
        <f t="shared" si="80"/>
        <v>-2.4707221879971501E-5</v>
      </c>
      <c r="L455" s="7">
        <f t="shared" si="81"/>
        <v>1.1923627732599599E-3</v>
      </c>
      <c r="M455" s="7">
        <f t="shared" si="82"/>
        <v>0.14106718589410899</v>
      </c>
      <c r="N455" s="7">
        <f t="shared" si="83"/>
        <v>-3.0088646564581E-2</v>
      </c>
      <c r="O455">
        <v>-1.8522183999999999</v>
      </c>
      <c r="P455">
        <v>-11.331363</v>
      </c>
      <c r="Q455">
        <v>-6.2546103000000004</v>
      </c>
      <c r="R455">
        <v>-9.7109527</v>
      </c>
      <c r="S455">
        <f t="shared" si="84"/>
        <v>1.0060208863092841</v>
      </c>
      <c r="T455">
        <f t="shared" si="85"/>
        <v>-23.501254740038537</v>
      </c>
    </row>
    <row r="456" spans="1:20" x14ac:dyDescent="0.35">
      <c r="A456">
        <v>1.9750000000000001</v>
      </c>
      <c r="B456">
        <v>16.659199999999998</v>
      </c>
      <c r="C456">
        <v>-6.5108817999999999E-2</v>
      </c>
      <c r="D456">
        <v>1.7240749999999999E-2</v>
      </c>
      <c r="E456">
        <v>0.93487045000000002</v>
      </c>
      <c r="F456">
        <v>1.4876385000000001E-2</v>
      </c>
      <c r="G456">
        <f t="shared" si="76"/>
        <v>6.7380658829453104</v>
      </c>
      <c r="H456">
        <f t="shared" si="77"/>
        <v>1.7855166868199699</v>
      </c>
      <c r="I456">
        <f t="shared" si="78"/>
        <v>6.7380569144348303</v>
      </c>
      <c r="J456">
        <f t="shared" si="79"/>
        <v>1.7843344814628099</v>
      </c>
      <c r="K456" s="7">
        <f t="shared" si="80"/>
        <v>8.9685104800452092E-6</v>
      </c>
      <c r="L456" s="7">
        <f t="shared" si="81"/>
        <v>1.18220535715996E-3</v>
      </c>
      <c r="M456" s="7">
        <f t="shared" si="82"/>
        <v>0.138685207031467</v>
      </c>
      <c r="N456" s="7">
        <f t="shared" si="83"/>
        <v>-3.6725839528740603E-2</v>
      </c>
      <c r="O456">
        <v>-2.3490337999999999</v>
      </c>
      <c r="P456">
        <v>-11.135266</v>
      </c>
      <c r="Q456">
        <v>-6.6403714000000003</v>
      </c>
      <c r="R456">
        <v>-9.3391254999999997</v>
      </c>
      <c r="S456">
        <f t="shared" si="84"/>
        <v>1.0069316529362562</v>
      </c>
      <c r="T456">
        <f t="shared" si="85"/>
        <v>-23.501713930955027</v>
      </c>
    </row>
    <row r="457" spans="1:20" x14ac:dyDescent="0.35">
      <c r="A457">
        <v>1.9750000000000001</v>
      </c>
      <c r="B457">
        <v>16.707999999999998</v>
      </c>
      <c r="C457">
        <v>-6.3906721999999999E-2</v>
      </c>
      <c r="D457">
        <v>1.9959507000000001E-2</v>
      </c>
      <c r="E457">
        <v>0.93617116</v>
      </c>
      <c r="F457">
        <v>1.7630165E-2</v>
      </c>
      <c r="G457">
        <f t="shared" si="76"/>
        <v>6.70472846578354</v>
      </c>
      <c r="H457">
        <f t="shared" si="77"/>
        <v>2.1207760160717899</v>
      </c>
      <c r="I457">
        <f t="shared" si="78"/>
        <v>6.7047687615654299</v>
      </c>
      <c r="J457">
        <f t="shared" si="79"/>
        <v>2.1196114373529702</v>
      </c>
      <c r="K457" s="7">
        <f t="shared" si="80"/>
        <v>-4.0295781889909697E-5</v>
      </c>
      <c r="L457" s="7">
        <f t="shared" si="81"/>
        <v>1.1645787188197E-3</v>
      </c>
      <c r="M457" s="7">
        <f t="shared" si="82"/>
        <v>0.135595942874945</v>
      </c>
      <c r="N457" s="7">
        <f t="shared" si="83"/>
        <v>-4.2866610556944899E-2</v>
      </c>
      <c r="O457">
        <v>-2.8070821000000001</v>
      </c>
      <c r="P457">
        <v>-10.903978</v>
      </c>
      <c r="Q457">
        <v>-6.9779739999999997</v>
      </c>
      <c r="R457">
        <v>-8.9504619999999999</v>
      </c>
      <c r="S457">
        <f t="shared" si="84"/>
        <v>1.0079605135024889</v>
      </c>
      <c r="T457">
        <f t="shared" si="85"/>
        <v>-23.504196835552811</v>
      </c>
    </row>
    <row r="458" spans="1:20" x14ac:dyDescent="0.35">
      <c r="A458">
        <v>1.9750000000000001</v>
      </c>
      <c r="B458">
        <v>16.756799999999998</v>
      </c>
      <c r="C458">
        <v>-6.2542786000000003E-2</v>
      </c>
      <c r="D458">
        <v>2.2447649E-2</v>
      </c>
      <c r="E458">
        <v>0.93754634999999997</v>
      </c>
      <c r="F458">
        <v>2.0123815E-2</v>
      </c>
      <c r="G458">
        <f t="shared" si="76"/>
        <v>6.6686678025758299</v>
      </c>
      <c r="H458">
        <f t="shared" si="77"/>
        <v>2.4421038037437599</v>
      </c>
      <c r="I458">
        <f t="shared" si="78"/>
        <v>6.66871371845843</v>
      </c>
      <c r="J458">
        <f t="shared" si="79"/>
        <v>2.44094199187384</v>
      </c>
      <c r="K458" s="7">
        <f t="shared" si="80"/>
        <v>-4.59158826000561E-5</v>
      </c>
      <c r="L458" s="7">
        <f t="shared" si="81"/>
        <v>1.1618118699199299E-3</v>
      </c>
      <c r="M458" s="7">
        <f t="shared" si="82"/>
        <v>0.13223719196922601</v>
      </c>
      <c r="N458" s="7">
        <f t="shared" si="83"/>
        <v>-4.8402634809728097E-2</v>
      </c>
      <c r="O458">
        <v>-3.2255476999999999</v>
      </c>
      <c r="P458">
        <v>-10.646773</v>
      </c>
      <c r="Q458">
        <v>-7.2681893000000004</v>
      </c>
      <c r="R458">
        <v>-8.5517696999999995</v>
      </c>
      <c r="S458">
        <f t="shared" si="84"/>
        <v>1.0088548015246821</v>
      </c>
      <c r="T458">
        <f t="shared" si="85"/>
        <v>-23.506650525691555</v>
      </c>
    </row>
    <row r="459" spans="1:20" x14ac:dyDescent="0.35">
      <c r="A459">
        <v>1.9750000000000001</v>
      </c>
      <c r="B459">
        <v>16.805599999999998</v>
      </c>
      <c r="C459">
        <v>-6.1056768999999997E-2</v>
      </c>
      <c r="D459">
        <v>2.4697725E-2</v>
      </c>
      <c r="E459">
        <v>0.93898883</v>
      </c>
      <c r="F459">
        <v>2.2349017999999998E-2</v>
      </c>
      <c r="G459">
        <f t="shared" si="76"/>
        <v>6.6326335601760196</v>
      </c>
      <c r="H459">
        <f t="shared" si="77"/>
        <v>2.74961158191809</v>
      </c>
      <c r="I459">
        <f t="shared" si="78"/>
        <v>6.6326577381661398</v>
      </c>
      <c r="J459">
        <f t="shared" si="79"/>
        <v>2.7484372835850102</v>
      </c>
      <c r="K459" s="7">
        <f t="shared" si="80"/>
        <v>-2.4177990120222101E-5</v>
      </c>
      <c r="L459" s="7">
        <f t="shared" si="81"/>
        <v>1.1742983330797999E-3</v>
      </c>
      <c r="M459" s="7">
        <f t="shared" si="82"/>
        <v>0.128674397820987</v>
      </c>
      <c r="N459" s="7">
        <f t="shared" si="83"/>
        <v>-5.3320030427475698E-2</v>
      </c>
      <c r="O459">
        <v>-3.6016992000000001</v>
      </c>
      <c r="P459">
        <v>-10.370198</v>
      </c>
      <c r="Q459">
        <v>-7.5126176999999998</v>
      </c>
      <c r="R459">
        <v>-8.1513910000000003</v>
      </c>
      <c r="S459">
        <f t="shared" si="84"/>
        <v>1.009790642846554</v>
      </c>
      <c r="T459">
        <f t="shared" si="85"/>
        <v>-23.512037813892501</v>
      </c>
    </row>
    <row r="460" spans="1:20" x14ac:dyDescent="0.35">
      <c r="A460">
        <v>1.9750000000000001</v>
      </c>
      <c r="B460">
        <v>16.854399999999998</v>
      </c>
      <c r="C460">
        <v>-5.9479452000000002E-2</v>
      </c>
      <c r="D460">
        <v>2.6727352999999999E-2</v>
      </c>
      <c r="E460">
        <v>0.94055845000000005</v>
      </c>
      <c r="F460">
        <v>2.4375214999999999E-2</v>
      </c>
      <c r="G460">
        <f t="shared" si="76"/>
        <v>6.59819285884309</v>
      </c>
      <c r="H460">
        <f t="shared" si="77"/>
        <v>3.0508179682432801</v>
      </c>
      <c r="I460">
        <f t="shared" si="78"/>
        <v>6.5982131925417198</v>
      </c>
      <c r="J460">
        <f t="shared" si="79"/>
        <v>3.0496419454439301</v>
      </c>
      <c r="K460" s="7">
        <f t="shared" si="80"/>
        <v>-2.0333698629748701E-5</v>
      </c>
      <c r="L460" s="7">
        <f t="shared" si="81"/>
        <v>1.1760227993500301E-3</v>
      </c>
      <c r="M460" s="7">
        <f t="shared" si="82"/>
        <v>0.124879279560608</v>
      </c>
      <c r="N460" s="7">
        <f t="shared" si="83"/>
        <v>-5.7718215212464903E-2</v>
      </c>
      <c r="O460">
        <v>-3.9393349999999998</v>
      </c>
      <c r="P460">
        <v>-10.079476</v>
      </c>
      <c r="Q460">
        <v>-7.7149083000000003</v>
      </c>
      <c r="R460">
        <v>-7.7525005</v>
      </c>
      <c r="S460">
        <f t="shared" si="84"/>
        <v>1.010646035986301</v>
      </c>
      <c r="T460">
        <f t="shared" si="85"/>
        <v>-23.513829782660544</v>
      </c>
    </row>
    <row r="461" spans="1:20" x14ac:dyDescent="0.35">
      <c r="A461">
        <v>1.9750000000000001</v>
      </c>
      <c r="B461">
        <v>16.903200000000002</v>
      </c>
      <c r="C461">
        <v>-5.7849968000000002E-2</v>
      </c>
      <c r="D461">
        <v>2.8530172999999999E-2</v>
      </c>
      <c r="E461">
        <v>0.94220192999999997</v>
      </c>
      <c r="F461">
        <v>2.6180985E-2</v>
      </c>
      <c r="G461">
        <f t="shared" si="76"/>
        <v>6.5655774859826197</v>
      </c>
      <c r="H461">
        <f t="shared" si="77"/>
        <v>3.3432005988235201</v>
      </c>
      <c r="I461">
        <f t="shared" si="78"/>
        <v>6.5656048138710599</v>
      </c>
      <c r="J461">
        <f t="shared" si="79"/>
        <v>3.3420260674006199</v>
      </c>
      <c r="K461" s="7">
        <f t="shared" si="80"/>
        <v>-2.7327888440176199E-5</v>
      </c>
      <c r="L461" s="7">
        <f t="shared" si="81"/>
        <v>1.17453142290014E-3</v>
      </c>
      <c r="M461" s="7">
        <f t="shared" si="82"/>
        <v>0.12096631922906299</v>
      </c>
      <c r="N461" s="7">
        <f t="shared" si="83"/>
        <v>-6.1574310912976798E-2</v>
      </c>
      <c r="O461">
        <v>-4.2366045999999997</v>
      </c>
      <c r="P461">
        <v>-9.7821201000000002</v>
      </c>
      <c r="Q461">
        <v>-7.8776697000000002</v>
      </c>
      <c r="R461">
        <v>-7.3629442000000003</v>
      </c>
      <c r="S461">
        <f t="shared" si="84"/>
        <v>1.011513990745212</v>
      </c>
      <c r="T461">
        <f t="shared" si="85"/>
        <v>-23.517050658889325</v>
      </c>
    </row>
    <row r="462" spans="1:20" x14ac:dyDescent="0.35">
      <c r="A462">
        <v>1.9750000000000001</v>
      </c>
      <c r="B462">
        <v>16.952000000000002</v>
      </c>
      <c r="C462">
        <v>-5.6221988000000001E-2</v>
      </c>
      <c r="D462">
        <v>3.0101728000000001E-2</v>
      </c>
      <c r="E462">
        <v>0.94389000999999995</v>
      </c>
      <c r="F462">
        <v>2.7687653999999999E-2</v>
      </c>
      <c r="G462">
        <f t="shared" si="76"/>
        <v>6.5391599538988503</v>
      </c>
      <c r="H462">
        <f t="shared" si="77"/>
        <v>3.6219263435805802</v>
      </c>
      <c r="I462">
        <f t="shared" si="78"/>
        <v>6.5392174064545996</v>
      </c>
      <c r="J462">
        <f t="shared" si="79"/>
        <v>3.6207194435131398</v>
      </c>
      <c r="K462" s="7">
        <f t="shared" si="80"/>
        <v>-5.7452555749293297E-5</v>
      </c>
      <c r="L462" s="7">
        <f t="shared" si="81"/>
        <v>1.2069000674404E-3</v>
      </c>
      <c r="M462" s="7">
        <f t="shared" si="82"/>
        <v>0.117041407867761</v>
      </c>
      <c r="N462" s="7">
        <f t="shared" si="83"/>
        <v>-6.4805017913101406E-2</v>
      </c>
      <c r="O462">
        <v>-4.4941931999999998</v>
      </c>
      <c r="P462">
        <v>-9.4877638999999991</v>
      </c>
      <c r="Q462">
        <v>-8.003838</v>
      </c>
      <c r="R462">
        <v>-6.9913083</v>
      </c>
      <c r="S462">
        <f t="shared" si="84"/>
        <v>1.0122838841707189</v>
      </c>
      <c r="T462">
        <f t="shared" si="85"/>
        <v>-23.51684362933721</v>
      </c>
    </row>
    <row r="463" spans="1:20" x14ac:dyDescent="0.35">
      <c r="A463">
        <v>1.9750000000000001</v>
      </c>
      <c r="B463">
        <v>17</v>
      </c>
      <c r="C463">
        <v>-5.6687214E-2</v>
      </c>
      <c r="D463">
        <v>3.0578277000000001E-2</v>
      </c>
      <c r="E463">
        <v>0.94323235999999999</v>
      </c>
      <c r="F463">
        <v>2.8363723E-2</v>
      </c>
      <c r="G463">
        <f t="shared" si="76"/>
        <v>6.44078303573274</v>
      </c>
      <c r="H463">
        <f t="shared" si="77"/>
        <v>3.6064151350901499</v>
      </c>
      <c r="I463">
        <f t="shared" si="78"/>
        <v>6.4407440473243502</v>
      </c>
      <c r="J463">
        <f t="shared" si="79"/>
        <v>3.6053077703887202</v>
      </c>
      <c r="K463" s="7">
        <f t="shared" si="80"/>
        <v>3.8988408389783999E-5</v>
      </c>
      <c r="L463" s="7">
        <f t="shared" si="81"/>
        <v>1.1073647014296899E-3</v>
      </c>
      <c r="M463" s="7">
        <f t="shared" si="82"/>
        <v>0.11821907544428301</v>
      </c>
      <c r="N463" s="7">
        <f t="shared" si="83"/>
        <v>-6.6174986643740899E-2</v>
      </c>
      <c r="O463">
        <v>-4.6729956000000001</v>
      </c>
      <c r="P463">
        <v>-9.8087166999999997</v>
      </c>
      <c r="Q463">
        <v>-8.0495248999999998</v>
      </c>
      <c r="R463">
        <v>-7.0173614000000004</v>
      </c>
      <c r="S463">
        <f t="shared" si="84"/>
        <v>0.98287034209093904</v>
      </c>
      <c r="T463">
        <f t="shared" si="85"/>
        <v>-23.445233542714877</v>
      </c>
    </row>
    <row r="464" spans="1:20" x14ac:dyDescent="0.35">
      <c r="A464">
        <v>2.1125000000000003</v>
      </c>
      <c r="B464">
        <v>15</v>
      </c>
      <c r="C464">
        <v>-1.5354609999999999E-2</v>
      </c>
      <c r="D464">
        <v>-2.5630778E-2</v>
      </c>
      <c r="E464">
        <v>0.98463548000000001</v>
      </c>
      <c r="F464">
        <v>-2.8286245000000002E-2</v>
      </c>
      <c r="G464">
        <f t="shared" si="76"/>
        <v>7.4775245645577604</v>
      </c>
      <c r="H464">
        <f t="shared" si="77"/>
        <v>-14.001174375713401</v>
      </c>
      <c r="I464">
        <f t="shared" si="78"/>
        <v>7.4775213724325704</v>
      </c>
      <c r="J464">
        <f t="shared" si="79"/>
        <v>-14.0025021200307</v>
      </c>
      <c r="K464" s="7">
        <f t="shared" si="80"/>
        <v>3.19212518995471E-6</v>
      </c>
      <c r="L464" s="7">
        <f t="shared" si="81"/>
        <v>1.32774431729921E-3</v>
      </c>
      <c r="M464" s="7">
        <f t="shared" si="82"/>
        <v>2.9674659619508902E-2</v>
      </c>
      <c r="N464" s="7">
        <f t="shared" si="83"/>
        <v>5.5569146985692597E-2</v>
      </c>
      <c r="O464">
        <v>5.1934690000000003</v>
      </c>
      <c r="P464">
        <v>-2.7214630999999998</v>
      </c>
      <c r="Q464">
        <v>3.5408881999999999</v>
      </c>
      <c r="R464">
        <v>-4.3699335000000001</v>
      </c>
      <c r="S464">
        <f t="shared" si="84"/>
        <v>0.95925735373675136</v>
      </c>
      <c r="T464">
        <f t="shared" si="85"/>
        <v>-23.327418195082707</v>
      </c>
    </row>
    <row r="465" spans="1:20" x14ac:dyDescent="0.35">
      <c r="A465">
        <v>2.1125000000000003</v>
      </c>
      <c r="B465">
        <v>15.0488</v>
      </c>
      <c r="C465">
        <v>-1.6398355E-2</v>
      </c>
      <c r="D465">
        <v>-2.6419581000000001E-2</v>
      </c>
      <c r="E465">
        <v>0.98364353000000004</v>
      </c>
      <c r="F465">
        <v>-2.9033441E-2</v>
      </c>
      <c r="G465">
        <f t="shared" si="76"/>
        <v>7.3966826639631398</v>
      </c>
      <c r="H465">
        <f t="shared" si="77"/>
        <v>-13.3682332999502</v>
      </c>
      <c r="I465">
        <f t="shared" si="78"/>
        <v>7.3967053139803598</v>
      </c>
      <c r="J465">
        <f t="shared" si="79"/>
        <v>-13.369540172979001</v>
      </c>
      <c r="K465" s="7">
        <f t="shared" si="80"/>
        <v>-2.2650017220016101E-5</v>
      </c>
      <c r="L465" s="7">
        <f t="shared" si="81"/>
        <v>1.30687302880084E-3</v>
      </c>
      <c r="M465" s="7">
        <f t="shared" si="82"/>
        <v>3.1683528980689102E-2</v>
      </c>
      <c r="N465" s="7">
        <f t="shared" si="83"/>
        <v>5.7267958577238501E-2</v>
      </c>
      <c r="O465">
        <v>5.3050303000000003</v>
      </c>
      <c r="P465">
        <v>-2.8925955999999999</v>
      </c>
      <c r="Q465">
        <v>3.5837135</v>
      </c>
      <c r="R465">
        <v>-4.5749402999999997</v>
      </c>
      <c r="S465">
        <f t="shared" si="84"/>
        <v>0.9617821547733999</v>
      </c>
      <c r="T465">
        <f t="shared" si="85"/>
        <v>-23.325480181670557</v>
      </c>
    </row>
    <row r="466" spans="1:20" x14ac:dyDescent="0.35">
      <c r="A466">
        <v>2.1125000000000003</v>
      </c>
      <c r="B466">
        <v>15.0976</v>
      </c>
      <c r="C466">
        <v>-1.7535768E-2</v>
      </c>
      <c r="D466">
        <v>-2.7178631000000002E-2</v>
      </c>
      <c r="E466">
        <v>0.98251045000000004</v>
      </c>
      <c r="F466">
        <v>-2.9790466000000002E-2</v>
      </c>
      <c r="G466">
        <f t="shared" si="76"/>
        <v>7.3316854726759697</v>
      </c>
      <c r="H466">
        <f t="shared" si="77"/>
        <v>-12.7376969763231</v>
      </c>
      <c r="I466">
        <f t="shared" si="78"/>
        <v>7.3317102864413402</v>
      </c>
      <c r="J466">
        <f t="shared" si="79"/>
        <v>-12.7390028312414</v>
      </c>
      <c r="K466" s="7">
        <f t="shared" si="80"/>
        <v>-2.4813765370446099E-5</v>
      </c>
      <c r="L466" s="7">
        <f t="shared" si="81"/>
        <v>1.3058549183000399E-3</v>
      </c>
      <c r="M466" s="7">
        <f t="shared" si="82"/>
        <v>3.39374204105478E-2</v>
      </c>
      <c r="N466" s="7">
        <f t="shared" si="83"/>
        <v>5.8966991029980001E-2</v>
      </c>
      <c r="O466">
        <v>5.4177647000000002</v>
      </c>
      <c r="P466">
        <v>-3.0817739</v>
      </c>
      <c r="Q466">
        <v>3.6176316000000002</v>
      </c>
      <c r="R466">
        <v>-4.7943210000000001</v>
      </c>
      <c r="S466">
        <f t="shared" si="84"/>
        <v>0.96360049996240393</v>
      </c>
      <c r="T466">
        <f t="shared" si="85"/>
        <v>-23.330624900649269</v>
      </c>
    </row>
    <row r="467" spans="1:20" x14ac:dyDescent="0.35">
      <c r="A467">
        <v>2.1125000000000003</v>
      </c>
      <c r="B467">
        <v>15.1464</v>
      </c>
      <c r="C467">
        <v>-1.8752673000000001E-2</v>
      </c>
      <c r="D467">
        <v>-2.7923524000000002E-2</v>
      </c>
      <c r="E467">
        <v>0.98129736999999995</v>
      </c>
      <c r="F467">
        <v>-3.0533021E-2</v>
      </c>
      <c r="G467">
        <f t="shared" si="76"/>
        <v>7.27068776707626</v>
      </c>
      <c r="H467">
        <f t="shared" si="77"/>
        <v>-12.127092032777099</v>
      </c>
      <c r="I467">
        <f t="shared" si="78"/>
        <v>7.2707144901881904</v>
      </c>
      <c r="J467">
        <f t="shared" si="79"/>
        <v>-12.128396713765101</v>
      </c>
      <c r="K467" s="7">
        <f t="shared" si="80"/>
        <v>-2.6723111930415699E-5</v>
      </c>
      <c r="L467" s="7">
        <f t="shared" si="81"/>
        <v>1.3046809880012901E-3</v>
      </c>
      <c r="M467" s="7">
        <f t="shared" si="82"/>
        <v>3.6360608947930403E-2</v>
      </c>
      <c r="N467" s="7">
        <f t="shared" si="83"/>
        <v>6.06537212635294E-2</v>
      </c>
      <c r="O467">
        <v>5.5324667999999999</v>
      </c>
      <c r="P467">
        <v>-3.2865798000000002</v>
      </c>
      <c r="Q467">
        <v>3.6444597000000001</v>
      </c>
      <c r="R467">
        <v>-5.0251691000000003</v>
      </c>
      <c r="S467">
        <f t="shared" si="84"/>
        <v>0.96465677482245682</v>
      </c>
      <c r="T467">
        <f t="shared" si="85"/>
        <v>-23.336264142731917</v>
      </c>
    </row>
    <row r="468" spans="1:20" x14ac:dyDescent="0.35">
      <c r="A468">
        <v>2.1125000000000003</v>
      </c>
      <c r="B468">
        <v>15.1952</v>
      </c>
      <c r="C468">
        <v>-2.0060093000000001E-2</v>
      </c>
      <c r="D468">
        <v>-2.8655394000000001E-2</v>
      </c>
      <c r="E468">
        <v>0.97999340999999995</v>
      </c>
      <c r="F468">
        <v>-3.1263698999999999E-2</v>
      </c>
      <c r="G468">
        <f t="shared" si="76"/>
        <v>7.2115877587153996</v>
      </c>
      <c r="H468">
        <f t="shared" si="77"/>
        <v>-11.5319271973369</v>
      </c>
      <c r="I468">
        <f t="shared" si="78"/>
        <v>7.2116162101741104</v>
      </c>
      <c r="J468">
        <f t="shared" si="79"/>
        <v>-11.533231277845699</v>
      </c>
      <c r="K468" s="7">
        <f t="shared" si="80"/>
        <v>-2.8451458710776499E-5</v>
      </c>
      <c r="L468" s="7">
        <f t="shared" si="81"/>
        <v>1.3040805087989301E-3</v>
      </c>
      <c r="M468" s="7">
        <f t="shared" si="82"/>
        <v>3.8976898847824001E-2</v>
      </c>
      <c r="N468" s="7">
        <f t="shared" si="83"/>
        <v>6.2334097628622603E-2</v>
      </c>
      <c r="O468">
        <v>5.6423572000000002</v>
      </c>
      <c r="P468">
        <v>-3.5048843999999999</v>
      </c>
      <c r="Q468">
        <v>3.6633439000000001</v>
      </c>
      <c r="R468">
        <v>-5.2688670999999996</v>
      </c>
      <c r="S468">
        <f t="shared" si="84"/>
        <v>0.96611524644038549</v>
      </c>
      <c r="T468">
        <f t="shared" si="85"/>
        <v>-23.342372857206531</v>
      </c>
    </row>
    <row r="469" spans="1:20" x14ac:dyDescent="0.35">
      <c r="A469">
        <v>2.1125000000000003</v>
      </c>
      <c r="B469">
        <v>15.244</v>
      </c>
      <c r="C469">
        <v>-2.1466348E-2</v>
      </c>
      <c r="D469">
        <v>-2.9369370999999998E-2</v>
      </c>
      <c r="E469">
        <v>0.97859032000000001</v>
      </c>
      <c r="F469">
        <v>-3.1977384999999997E-2</v>
      </c>
      <c r="G469">
        <f t="shared" si="76"/>
        <v>7.1539880686773296</v>
      </c>
      <c r="H469">
        <f t="shared" si="77"/>
        <v>-10.950648367329901</v>
      </c>
      <c r="I469">
        <f t="shared" si="78"/>
        <v>7.1540181021613796</v>
      </c>
      <c r="J469">
        <f t="shared" si="79"/>
        <v>-10.9519522982204</v>
      </c>
      <c r="K469" s="7">
        <f t="shared" si="80"/>
        <v>-3.0033484049951701E-5</v>
      </c>
      <c r="L469" s="7">
        <f t="shared" si="81"/>
        <v>1.30393089049896E-3</v>
      </c>
      <c r="M469" s="7">
        <f t="shared" si="82"/>
        <v>4.1805746170381901E-2</v>
      </c>
      <c r="N469" s="7">
        <f t="shared" si="83"/>
        <v>6.3999633675962703E-2</v>
      </c>
      <c r="O469">
        <v>5.7424892999999999</v>
      </c>
      <c r="P469">
        <v>-3.7351702000000002</v>
      </c>
      <c r="Q469">
        <v>3.6727902000000001</v>
      </c>
      <c r="R469">
        <v>-5.5259074999999998</v>
      </c>
      <c r="S469">
        <f t="shared" si="84"/>
        <v>0.96857966328769607</v>
      </c>
      <c r="T469">
        <f t="shared" si="85"/>
        <v>-23.348266100414563</v>
      </c>
    </row>
    <row r="470" spans="1:20" x14ac:dyDescent="0.35">
      <c r="A470">
        <v>2.1125000000000003</v>
      </c>
      <c r="B470">
        <v>15.2928</v>
      </c>
      <c r="C470">
        <v>-2.2978875999999999E-2</v>
      </c>
      <c r="D470">
        <v>-3.0058036E-2</v>
      </c>
      <c r="E470">
        <v>0.97708075000000005</v>
      </c>
      <c r="F470">
        <v>-3.2666391000000003E-2</v>
      </c>
      <c r="G470">
        <f t="shared" si="76"/>
        <v>7.0977642409995996</v>
      </c>
      <c r="H470">
        <f t="shared" si="77"/>
        <v>-10.3824820428144</v>
      </c>
      <c r="I470">
        <f t="shared" si="78"/>
        <v>7.0977957538347596</v>
      </c>
      <c r="J470">
        <f t="shared" si="79"/>
        <v>-10.383786140337</v>
      </c>
      <c r="K470" s="7">
        <f t="shared" si="80"/>
        <v>-3.1512835160008003E-5</v>
      </c>
      <c r="L470" s="7">
        <f t="shared" si="81"/>
        <v>1.3040975225990801E-3</v>
      </c>
      <c r="M470" s="7">
        <f t="shared" si="82"/>
        <v>4.4865478017621203E-2</v>
      </c>
      <c r="N470" s="7">
        <f t="shared" si="83"/>
        <v>6.5636367257718001E-2</v>
      </c>
      <c r="O470">
        <v>5.8433174000000001</v>
      </c>
      <c r="P470">
        <v>-3.9859998999999999</v>
      </c>
      <c r="Q470">
        <v>3.6710536999999999</v>
      </c>
      <c r="R470">
        <v>-5.796576</v>
      </c>
      <c r="S470">
        <f t="shared" si="84"/>
        <v>0.97001338356942401</v>
      </c>
      <c r="T470">
        <f t="shared" si="85"/>
        <v>-23.353614459251347</v>
      </c>
    </row>
    <row r="471" spans="1:20" x14ac:dyDescent="0.35">
      <c r="A471">
        <v>2.1125000000000003</v>
      </c>
      <c r="B471">
        <v>15.3416</v>
      </c>
      <c r="C471">
        <v>-2.4604357E-2</v>
      </c>
      <c r="D471">
        <v>-3.0711855999999999E-2</v>
      </c>
      <c r="E471">
        <v>0.97538212999999996</v>
      </c>
      <c r="F471">
        <v>-3.3358152000000002E-2</v>
      </c>
      <c r="G471">
        <f t="shared" si="76"/>
        <v>7.0404105409327</v>
      </c>
      <c r="H471">
        <f t="shared" si="77"/>
        <v>-9.8142946435888696</v>
      </c>
      <c r="I471">
        <f t="shared" si="78"/>
        <v>7.0404055351401098</v>
      </c>
      <c r="J471">
        <f t="shared" si="79"/>
        <v>-9.8156178071522397</v>
      </c>
      <c r="K471" s="7">
        <f t="shared" si="80"/>
        <v>5.00579259021805E-6</v>
      </c>
      <c r="L471" s="7">
        <f t="shared" si="81"/>
        <v>1.3231635633701401E-3</v>
      </c>
      <c r="M471" s="7">
        <f t="shared" si="82"/>
        <v>4.8250488601852999E-2</v>
      </c>
      <c r="N471" s="7">
        <f t="shared" si="83"/>
        <v>6.7270039028329703E-2</v>
      </c>
      <c r="O471">
        <v>5.9439285000000002</v>
      </c>
      <c r="P471">
        <v>-4.2601599999999999</v>
      </c>
      <c r="Q471">
        <v>3.6561701000000002</v>
      </c>
      <c r="R471">
        <v>-6.0823894000000003</v>
      </c>
      <c r="S471">
        <f t="shared" si="84"/>
        <v>0.97042800306266908</v>
      </c>
      <c r="T471">
        <f t="shared" si="85"/>
        <v>-23.359504996487555</v>
      </c>
    </row>
    <row r="472" spans="1:20" x14ac:dyDescent="0.35">
      <c r="A472">
        <v>2.1125000000000003</v>
      </c>
      <c r="B472">
        <v>15.3904</v>
      </c>
      <c r="C472">
        <v>-2.6350107000000001E-2</v>
      </c>
      <c r="D472">
        <v>-3.1320004999999998E-2</v>
      </c>
      <c r="E472">
        <v>0.97363657999999997</v>
      </c>
      <c r="F472">
        <v>-3.3968172999999997E-2</v>
      </c>
      <c r="G472">
        <f t="shared" si="76"/>
        <v>6.9863772146647598</v>
      </c>
      <c r="H472">
        <f t="shared" si="77"/>
        <v>-9.2715645669032902</v>
      </c>
      <c r="I472">
        <f t="shared" si="78"/>
        <v>6.98637231135082</v>
      </c>
      <c r="J472">
        <f t="shared" si="79"/>
        <v>-9.2728886662095498</v>
      </c>
      <c r="K472" s="7">
        <f t="shared" si="80"/>
        <v>4.9033139397636197E-6</v>
      </c>
      <c r="L472" s="7">
        <f t="shared" si="81"/>
        <v>1.3240993062595401E-3</v>
      </c>
      <c r="M472" s="7">
        <f t="shared" si="82"/>
        <v>5.1829278679091199E-2</v>
      </c>
      <c r="N472" s="7">
        <f t="shared" si="83"/>
        <v>6.8792086854620405E-2</v>
      </c>
      <c r="O472">
        <v>6.0302854000000004</v>
      </c>
      <c r="P472">
        <v>-4.5487815999999999</v>
      </c>
      <c r="Q472">
        <v>3.6266672999999998</v>
      </c>
      <c r="R472">
        <v>-6.3819952999999998</v>
      </c>
      <c r="S472">
        <f t="shared" si="84"/>
        <v>0.97179454688153022</v>
      </c>
      <c r="T472">
        <f t="shared" si="85"/>
        <v>-23.36384588059909</v>
      </c>
    </row>
    <row r="473" spans="1:20" x14ac:dyDescent="0.35">
      <c r="A473">
        <v>2.1125000000000003</v>
      </c>
      <c r="B473">
        <v>15.4392</v>
      </c>
      <c r="C473">
        <v>-2.8221643000000001E-2</v>
      </c>
      <c r="D473">
        <v>-3.1869195000000003E-2</v>
      </c>
      <c r="E473">
        <v>0.97176574999999998</v>
      </c>
      <c r="F473">
        <v>-3.4518814000000002E-2</v>
      </c>
      <c r="G473">
        <f t="shared" si="76"/>
        <v>6.9336562402883901</v>
      </c>
      <c r="H473">
        <f t="shared" si="77"/>
        <v>-8.74077201022053</v>
      </c>
      <c r="I473">
        <f t="shared" si="78"/>
        <v>6.9336516918989597</v>
      </c>
      <c r="J473">
        <f t="shared" si="79"/>
        <v>-8.7420968340972909</v>
      </c>
      <c r="K473" s="7">
        <f t="shared" si="80"/>
        <v>4.5483894304254599E-6</v>
      </c>
      <c r="L473" s="7">
        <f t="shared" si="81"/>
        <v>1.3248238767609201E-3</v>
      </c>
      <c r="M473" s="7">
        <f t="shared" si="82"/>
        <v>5.56920786017506E-2</v>
      </c>
      <c r="N473" s="7">
        <f t="shared" si="83"/>
        <v>7.0217767730891098E-2</v>
      </c>
      <c r="O473">
        <v>6.1060648000000004</v>
      </c>
      <c r="P473">
        <v>-4.8573899000000003</v>
      </c>
      <c r="Q473">
        <v>3.5797793000000002</v>
      </c>
      <c r="R473">
        <v>-6.6963685000000002</v>
      </c>
      <c r="S473">
        <f t="shared" si="84"/>
        <v>0.97317684812665362</v>
      </c>
      <c r="T473">
        <f t="shared" si="85"/>
        <v>-23.369363835035578</v>
      </c>
    </row>
    <row r="474" spans="1:20" x14ac:dyDescent="0.35">
      <c r="A474">
        <v>2.1125000000000003</v>
      </c>
      <c r="B474">
        <v>15.488</v>
      </c>
      <c r="C474">
        <v>-3.0223959000000002E-2</v>
      </c>
      <c r="D474">
        <v>-3.2344195999999999E-2</v>
      </c>
      <c r="E474">
        <v>0.96976465000000001</v>
      </c>
      <c r="F474">
        <v>-3.4994729000000002E-2</v>
      </c>
      <c r="G474">
        <f t="shared" si="76"/>
        <v>6.8822181954391803</v>
      </c>
      <c r="H474">
        <f t="shared" si="77"/>
        <v>-8.2215700154962104</v>
      </c>
      <c r="I474">
        <f t="shared" si="78"/>
        <v>6.8822142562649704</v>
      </c>
      <c r="J474">
        <f t="shared" si="79"/>
        <v>-8.2228952947648004</v>
      </c>
      <c r="K474" s="7">
        <f t="shared" si="80"/>
        <v>3.93917420993262E-6</v>
      </c>
      <c r="L474" s="7">
        <f t="shared" si="81"/>
        <v>1.3252792685900499E-3</v>
      </c>
      <c r="M474" s="7">
        <f t="shared" si="82"/>
        <v>5.9855292900967597E-2</v>
      </c>
      <c r="N474" s="7">
        <f t="shared" si="83"/>
        <v>7.1515327485495606E-2</v>
      </c>
      <c r="O474">
        <v>6.1621756999999997</v>
      </c>
      <c r="P474">
        <v>-5.1811492000000001</v>
      </c>
      <c r="Q474">
        <v>3.5127939000000001</v>
      </c>
      <c r="R474">
        <v>-7.0245081999999996</v>
      </c>
      <c r="S474">
        <f t="shared" si="84"/>
        <v>0.97553030945256658</v>
      </c>
      <c r="T474">
        <f t="shared" si="85"/>
        <v>-23.374348003686304</v>
      </c>
    </row>
    <row r="475" spans="1:20" x14ac:dyDescent="0.35">
      <c r="A475">
        <v>2.1125000000000003</v>
      </c>
      <c r="B475">
        <v>15.536799999999999</v>
      </c>
      <c r="C475">
        <v>-3.2360698E-2</v>
      </c>
      <c r="D475">
        <v>-3.2727573000000003E-2</v>
      </c>
      <c r="E475">
        <v>0.96762952999999996</v>
      </c>
      <c r="F475">
        <v>-3.5378461999999999E-2</v>
      </c>
      <c r="G475">
        <f t="shared" si="76"/>
        <v>6.8320236034998096</v>
      </c>
      <c r="H475">
        <f t="shared" si="77"/>
        <v>-7.7136264631126199</v>
      </c>
      <c r="I475">
        <f t="shared" si="78"/>
        <v>6.8320204743017197</v>
      </c>
      <c r="J475">
        <f t="shared" si="79"/>
        <v>-7.71495191823636</v>
      </c>
      <c r="K475" s="7">
        <f t="shared" si="80"/>
        <v>3.1291980899794701E-6</v>
      </c>
      <c r="L475" s="7">
        <f t="shared" si="81"/>
        <v>1.32545512374005E-3</v>
      </c>
      <c r="M475" s="7">
        <f t="shared" si="82"/>
        <v>6.4333468172512606E-2</v>
      </c>
      <c r="N475" s="7">
        <f t="shared" si="83"/>
        <v>7.26475594666674E-2</v>
      </c>
      <c r="O475">
        <v>6.2089131000000002</v>
      </c>
      <c r="P475">
        <v>-5.5312596999999997</v>
      </c>
      <c r="Q475">
        <v>3.4233541999999999</v>
      </c>
      <c r="R475">
        <v>-7.3667673999999996</v>
      </c>
      <c r="S475">
        <f t="shared" si="84"/>
        <v>0.97690594083770532</v>
      </c>
      <c r="T475">
        <f t="shared" si="85"/>
        <v>-23.379094341887342</v>
      </c>
    </row>
    <row r="476" spans="1:20" x14ac:dyDescent="0.35">
      <c r="A476">
        <v>2.1125000000000003</v>
      </c>
      <c r="B476">
        <v>15.585599999999999</v>
      </c>
      <c r="C476">
        <v>-3.4633645999999997E-2</v>
      </c>
      <c r="D476">
        <v>-3.2999624999999998E-2</v>
      </c>
      <c r="E476">
        <v>0.96535839999999995</v>
      </c>
      <c r="F476">
        <v>-3.5650392000000003E-2</v>
      </c>
      <c r="G476">
        <f t="shared" si="76"/>
        <v>6.7830211774169902</v>
      </c>
      <c r="H476">
        <f t="shared" si="77"/>
        <v>-7.2166260226455803</v>
      </c>
      <c r="I476">
        <f t="shared" si="78"/>
        <v>6.78301895706048</v>
      </c>
      <c r="J476">
        <f t="shared" si="79"/>
        <v>-7.2179514143594998</v>
      </c>
      <c r="K476" s="7">
        <f t="shared" si="80"/>
        <v>2.2203565102074701E-6</v>
      </c>
      <c r="L476" s="7">
        <f t="shared" si="81"/>
        <v>1.32539171391954E-3</v>
      </c>
      <c r="M476" s="7">
        <f t="shared" si="82"/>
        <v>6.9138166990440897E-2</v>
      </c>
      <c r="N476" s="7">
        <f t="shared" si="83"/>
        <v>7.3571360094081301E-2</v>
      </c>
      <c r="O476">
        <v>6.2432246999999998</v>
      </c>
      <c r="P476">
        <v>-5.9090050999999999</v>
      </c>
      <c r="Q476">
        <v>3.3078710999999998</v>
      </c>
      <c r="R476">
        <v>-7.7207078999999998</v>
      </c>
      <c r="S476">
        <f t="shared" si="84"/>
        <v>0.97711903725293137</v>
      </c>
      <c r="T476">
        <f t="shared" si="85"/>
        <v>-23.38309629847771</v>
      </c>
    </row>
    <row r="477" spans="1:20" x14ac:dyDescent="0.35">
      <c r="A477">
        <v>2.1125000000000003</v>
      </c>
      <c r="B477">
        <v>15.634399999999999</v>
      </c>
      <c r="C477">
        <v>-3.7042125000000002E-2</v>
      </c>
      <c r="D477">
        <v>-3.3138411999999999E-2</v>
      </c>
      <c r="E477">
        <v>0.96295171000000002</v>
      </c>
      <c r="F477">
        <v>-3.5788721000000003E-2</v>
      </c>
      <c r="G477">
        <f t="shared" si="76"/>
        <v>6.7351530473381702</v>
      </c>
      <c r="H477">
        <f t="shared" si="77"/>
        <v>-6.7302797509607304</v>
      </c>
      <c r="I477">
        <f t="shared" si="78"/>
        <v>6.7351517208762797</v>
      </c>
      <c r="J477">
        <f t="shared" si="79"/>
        <v>-6.7316049113033101</v>
      </c>
      <c r="K477" s="7">
        <f t="shared" si="80"/>
        <v>1.32646189054952E-6</v>
      </c>
      <c r="L477" s="7">
        <f t="shared" si="81"/>
        <v>1.32516034257968E-3</v>
      </c>
      <c r="M477" s="7">
        <f t="shared" si="82"/>
        <v>7.4276481941764602E-2</v>
      </c>
      <c r="N477" s="7">
        <f t="shared" si="83"/>
        <v>7.4237367078712396E-2</v>
      </c>
      <c r="O477">
        <v>6.2480143000000004</v>
      </c>
      <c r="P477">
        <v>-6.3017082000000002</v>
      </c>
      <c r="Q477">
        <v>3.1633368000000002</v>
      </c>
      <c r="R477">
        <v>-8.0856977000000008</v>
      </c>
      <c r="S477">
        <f t="shared" si="84"/>
        <v>0.97840793441375362</v>
      </c>
      <c r="T477">
        <f t="shared" si="85"/>
        <v>-23.388122630186682</v>
      </c>
    </row>
    <row r="478" spans="1:20" x14ac:dyDescent="0.35">
      <c r="A478">
        <v>2.1125000000000003</v>
      </c>
      <c r="B478">
        <v>15.683199999999999</v>
      </c>
      <c r="C478">
        <v>-3.9582307999999997E-2</v>
      </c>
      <c r="D478">
        <v>-3.3119911000000002E-2</v>
      </c>
      <c r="E478">
        <v>0.96041312000000001</v>
      </c>
      <c r="F478">
        <v>-3.5769573999999998E-2</v>
      </c>
      <c r="G478">
        <f t="shared" si="76"/>
        <v>6.6883630611082197</v>
      </c>
      <c r="H478">
        <f t="shared" si="77"/>
        <v>-6.2543292464249598</v>
      </c>
      <c r="I478">
        <f t="shared" si="78"/>
        <v>6.6883625302904601</v>
      </c>
      <c r="J478">
        <f t="shared" si="79"/>
        <v>-6.2556540816567896</v>
      </c>
      <c r="K478" s="7">
        <f t="shared" si="80"/>
        <v>5.3081775952534795E-7</v>
      </c>
      <c r="L478" s="7">
        <f t="shared" si="81"/>
        <v>1.3248352318298001E-3</v>
      </c>
      <c r="M478" s="7">
        <f t="shared" si="82"/>
        <v>7.9749252087790101E-2</v>
      </c>
      <c r="N478" s="7">
        <f t="shared" si="83"/>
        <v>7.4589816576583604E-2</v>
      </c>
      <c r="O478">
        <v>6.2209881999999999</v>
      </c>
      <c r="P478">
        <v>-6.7089993999999997</v>
      </c>
      <c r="Q478">
        <v>2.9866394000000001</v>
      </c>
      <c r="R478">
        <v>-8.4595877000000002</v>
      </c>
      <c r="S478">
        <f t="shared" si="84"/>
        <v>0.98053766967373779</v>
      </c>
      <c r="T478">
        <f t="shared" si="85"/>
        <v>-23.393064443902393</v>
      </c>
    </row>
    <row r="479" spans="1:20" x14ac:dyDescent="0.35">
      <c r="A479">
        <v>2.1125000000000003</v>
      </c>
      <c r="B479">
        <v>15.731999999999999</v>
      </c>
      <c r="C479">
        <v>-4.2246453000000003E-2</v>
      </c>
      <c r="D479">
        <v>-3.2918344000000002E-2</v>
      </c>
      <c r="E479">
        <v>0.95775025999999996</v>
      </c>
      <c r="F479">
        <v>-3.5567292E-2</v>
      </c>
      <c r="G479">
        <f t="shared" si="76"/>
        <v>6.64260231525357</v>
      </c>
      <c r="H479">
        <f t="shared" si="77"/>
        <v>-5.7885413779048198</v>
      </c>
      <c r="I479">
        <f t="shared" si="78"/>
        <v>6.6426024259877998</v>
      </c>
      <c r="J479">
        <f t="shared" si="79"/>
        <v>-5.7898658539349199</v>
      </c>
      <c r="K479" s="7">
        <f t="shared" si="80"/>
        <v>-1.10734229785692E-7</v>
      </c>
      <c r="L479" s="7">
        <f t="shared" si="81"/>
        <v>1.3244760301001099E-3</v>
      </c>
      <c r="M479" s="7">
        <f t="shared" si="82"/>
        <v>8.5549047967746705E-2</v>
      </c>
      <c r="N479" s="7">
        <f t="shared" si="83"/>
        <v>7.4566785711465994E-2</v>
      </c>
      <c r="O479">
        <v>6.1684485999999996</v>
      </c>
      <c r="P479">
        <v>-7.1402659999999996</v>
      </c>
      <c r="Q479">
        <v>2.7744339999999998</v>
      </c>
      <c r="R479">
        <v>-8.8390883999999996</v>
      </c>
      <c r="S479">
        <f t="shared" si="84"/>
        <v>0.98182932389963307</v>
      </c>
      <c r="T479">
        <f t="shared" si="85"/>
        <v>-23.397456307102669</v>
      </c>
    </row>
    <row r="480" spans="1:20" x14ac:dyDescent="0.35">
      <c r="A480">
        <v>2.1125000000000003</v>
      </c>
      <c r="B480">
        <v>15.780799999999999</v>
      </c>
      <c r="C480">
        <v>-4.5022110999999997E-2</v>
      </c>
      <c r="D480">
        <v>-3.2506739999999999E-2</v>
      </c>
      <c r="E480">
        <v>0.95497557</v>
      </c>
      <c r="F480">
        <v>-3.5154975999999998E-2</v>
      </c>
      <c r="G480">
        <f t="shared" si="76"/>
        <v>6.5978305256217098</v>
      </c>
      <c r="H480">
        <f t="shared" si="77"/>
        <v>-5.3327067518624602</v>
      </c>
      <c r="I480">
        <f t="shared" si="78"/>
        <v>6.5978311194118504</v>
      </c>
      <c r="J480">
        <f t="shared" si="79"/>
        <v>-5.3340308706115103</v>
      </c>
      <c r="K480" s="7">
        <f t="shared" si="80"/>
        <v>-5.9379014061278202E-7</v>
      </c>
      <c r="L480" s="7">
        <f t="shared" si="81"/>
        <v>1.3241187490500299E-3</v>
      </c>
      <c r="M480" s="7">
        <f t="shared" si="82"/>
        <v>9.1657852746157106E-2</v>
      </c>
      <c r="N480" s="7">
        <f t="shared" si="83"/>
        <v>7.4100989739420406E-2</v>
      </c>
      <c r="O480">
        <v>6.0860697999999998</v>
      </c>
      <c r="P480">
        <v>-7.5944745999999999</v>
      </c>
      <c r="Q480">
        <v>2.5234629000000002</v>
      </c>
      <c r="R480">
        <v>-9.2199518000000005</v>
      </c>
      <c r="S480">
        <f t="shared" si="84"/>
        <v>0.98220524643726992</v>
      </c>
      <c r="T480">
        <f t="shared" si="85"/>
        <v>-23.40127143433077</v>
      </c>
    </row>
    <row r="481" spans="1:20" x14ac:dyDescent="0.35">
      <c r="A481">
        <v>2.1125000000000003</v>
      </c>
      <c r="B481">
        <v>15.829599999999999</v>
      </c>
      <c r="C481">
        <v>-4.7891362999999999E-2</v>
      </c>
      <c r="D481">
        <v>-3.1857744E-2</v>
      </c>
      <c r="E481">
        <v>0.95210698000000005</v>
      </c>
      <c r="F481">
        <v>-3.4505319E-2</v>
      </c>
      <c r="G481">
        <f t="shared" si="76"/>
        <v>6.5540145522496598</v>
      </c>
      <c r="H481">
        <f t="shared" si="77"/>
        <v>-4.8866279559615604</v>
      </c>
      <c r="I481">
        <f t="shared" si="78"/>
        <v>6.5540154761635998</v>
      </c>
      <c r="J481">
        <f t="shared" si="79"/>
        <v>-4.8879517433352602</v>
      </c>
      <c r="K481" s="7">
        <f t="shared" si="80"/>
        <v>-9.2391394002078197E-7</v>
      </c>
      <c r="L481" s="7">
        <f t="shared" si="81"/>
        <v>1.32378737369976E-3</v>
      </c>
      <c r="M481" s="7">
        <f t="shared" si="82"/>
        <v>9.8044740065085595E-2</v>
      </c>
      <c r="N481" s="7">
        <f t="shared" si="83"/>
        <v>7.3121273495452499E-2</v>
      </c>
      <c r="O481">
        <v>5.9550204000000004</v>
      </c>
      <c r="P481">
        <v>-8.0504783999999994</v>
      </c>
      <c r="Q481">
        <v>2.2309570000000001</v>
      </c>
      <c r="R481">
        <v>-9.5985750000000003</v>
      </c>
      <c r="S481">
        <f t="shared" si="84"/>
        <v>0.98410332094132391</v>
      </c>
      <c r="T481">
        <f t="shared" si="85"/>
        <v>-23.406005470284111</v>
      </c>
    </row>
    <row r="482" spans="1:20" x14ac:dyDescent="0.35">
      <c r="A482">
        <v>2.1125000000000003</v>
      </c>
      <c r="B482">
        <v>15.878399999999999</v>
      </c>
      <c r="C482">
        <v>-5.0828361000000002E-2</v>
      </c>
      <c r="D482">
        <v>-3.0946141E-2</v>
      </c>
      <c r="E482">
        <v>0.94917017999999997</v>
      </c>
      <c r="F482">
        <v>-3.3590355000000002E-2</v>
      </c>
      <c r="G482">
        <f t="shared" si="76"/>
        <v>6.5112252004652298</v>
      </c>
      <c r="H482">
        <f t="shared" si="77"/>
        <v>-4.4503328117994796</v>
      </c>
      <c r="I482">
        <f t="shared" si="78"/>
        <v>6.5112262189323999</v>
      </c>
      <c r="J482">
        <f t="shared" si="79"/>
        <v>-4.4516549184174297</v>
      </c>
      <c r="K482" s="7">
        <f t="shared" si="80"/>
        <v>-1.01846717015519E-6</v>
      </c>
      <c r="L482" s="7">
        <f t="shared" si="81"/>
        <v>1.32210661795007E-3</v>
      </c>
      <c r="M482" s="7">
        <f t="shared" si="82"/>
        <v>0.104659717259352</v>
      </c>
      <c r="N482" s="7">
        <f t="shared" si="83"/>
        <v>7.1554716336390004E-2</v>
      </c>
      <c r="O482">
        <v>5.7847543999999997</v>
      </c>
      <c r="P482">
        <v>-8.5207615000000008</v>
      </c>
      <c r="Q482">
        <v>1.8949670000000001</v>
      </c>
      <c r="R482">
        <v>-9.9697887000000005</v>
      </c>
      <c r="S482">
        <f t="shared" si="84"/>
        <v>0.98537783541264945</v>
      </c>
      <c r="T482">
        <f t="shared" si="85"/>
        <v>-23.410736852216719</v>
      </c>
    </row>
    <row r="483" spans="1:20" x14ac:dyDescent="0.35">
      <c r="A483">
        <v>2.1125000000000003</v>
      </c>
      <c r="B483">
        <v>15.927199999999999</v>
      </c>
      <c r="C483">
        <v>-5.3808580000000002E-2</v>
      </c>
      <c r="D483">
        <v>-2.974371E-2</v>
      </c>
      <c r="E483">
        <v>0.94619056000000001</v>
      </c>
      <c r="F483">
        <v>-3.2387271000000002E-2</v>
      </c>
      <c r="G483">
        <f t="shared" si="76"/>
        <v>6.4692220865353196</v>
      </c>
      <c r="H483">
        <f t="shared" si="77"/>
        <v>-4.0228720275907603</v>
      </c>
      <c r="I483">
        <f t="shared" si="78"/>
        <v>6.4692234036380398</v>
      </c>
      <c r="J483">
        <f t="shared" si="79"/>
        <v>-4.0241938069182197</v>
      </c>
      <c r="K483" s="7">
        <f t="shared" si="80"/>
        <v>-1.3171027202218999E-6</v>
      </c>
      <c r="L483" s="7">
        <f t="shared" si="81"/>
        <v>1.3217793274593599E-3</v>
      </c>
      <c r="M483" s="7">
        <f t="shared" si="82"/>
        <v>0.111451887769172</v>
      </c>
      <c r="N483" s="7">
        <f t="shared" si="83"/>
        <v>6.9328877447303303E-2</v>
      </c>
      <c r="O483">
        <v>5.5708076999999996</v>
      </c>
      <c r="P483">
        <v>-9.0018013999999997</v>
      </c>
      <c r="Q483">
        <v>1.5132410999999999</v>
      </c>
      <c r="R483">
        <v>-10.326805999999999</v>
      </c>
      <c r="S483">
        <f t="shared" si="84"/>
        <v>0.9859202938401791</v>
      </c>
      <c r="T483">
        <f t="shared" si="85"/>
        <v>-23.414970644926989</v>
      </c>
    </row>
    <row r="484" spans="1:20" x14ac:dyDescent="0.35">
      <c r="A484" s="16">
        <v>2.1125000000000003</v>
      </c>
      <c r="B484" s="16">
        <v>15.976000000000001</v>
      </c>
      <c r="C484" s="16">
        <v>-5.6789001999999998E-2</v>
      </c>
      <c r="D484" s="16">
        <v>-2.8232466000000001E-2</v>
      </c>
      <c r="E484" s="16">
        <v>0.94321060000000001</v>
      </c>
      <c r="F484" s="16">
        <v>-3.0875550000000002E-2</v>
      </c>
      <c r="G484" s="16">
        <f t="shared" si="76"/>
        <v>6.4281260847814998</v>
      </c>
      <c r="H484" s="16">
        <f t="shared" si="77"/>
        <v>-3.60484719612626</v>
      </c>
      <c r="I484" s="16">
        <f t="shared" si="78"/>
        <v>6.4281276322527203</v>
      </c>
      <c r="J484" s="16">
        <f t="shared" si="79"/>
        <v>-3.6061687363442001</v>
      </c>
      <c r="K484" s="15">
        <f t="shared" si="80"/>
        <v>-1.5474712204977E-6</v>
      </c>
      <c r="L484" s="15">
        <f t="shared" si="81"/>
        <v>1.3215402179400601E-3</v>
      </c>
      <c r="M484" s="15">
        <f t="shared" si="82"/>
        <v>0.11832664076850601</v>
      </c>
      <c r="N484" s="15">
        <f t="shared" si="83"/>
        <v>6.6381045465720004E-2</v>
      </c>
      <c r="O484" s="16">
        <v>5.2996359999999996</v>
      </c>
      <c r="P484" s="16">
        <v>-9.4692317999999993</v>
      </c>
      <c r="Q484" s="16">
        <v>1.0859217000000001</v>
      </c>
      <c r="R484" s="16">
        <v>-10.66188</v>
      </c>
      <c r="S484" s="16">
        <f t="shared" si="84"/>
        <v>0.98761966855888939</v>
      </c>
      <c r="T484" s="16">
        <f t="shared" si="85"/>
        <v>-23.418818723867449</v>
      </c>
    </row>
    <row r="485" spans="1:20" x14ac:dyDescent="0.35">
      <c r="A485" s="17">
        <v>2.1125000000000003</v>
      </c>
      <c r="B485" s="17">
        <v>16.024799999999999</v>
      </c>
      <c r="C485" s="17">
        <v>-5.9726974000000002E-2</v>
      </c>
      <c r="D485" s="17">
        <v>-2.6397365999999998E-2</v>
      </c>
      <c r="E485" s="17">
        <v>0.94027305000000005</v>
      </c>
      <c r="F485" s="17">
        <v>-2.9040155000000002E-2</v>
      </c>
      <c r="G485" s="17">
        <f t="shared" ref="G485:G548" si="86">IMREAL(IMDIV(IMSUM(IMPRODUCT(COMPLEX(1 + C485,D485),COMPLEX(1 - C485, - D485)),IMPRODUCT(COMPLEX(E485,F485),COMPLEX(E485,F485))),IMSUB(IMPRODUCT(COMPLEX(1 - C485, - D485),COMPLEX(1 - C485, - D485)),IMPRODUCT(COMPLEX(E485,F485),COMPLEX(E485,F485)))))</f>
        <v>6.3879056928962097</v>
      </c>
      <c r="H485" s="17">
        <f t="shared" ref="H485:H548" si="87">IMAGINARY(IMDIV(IMSUM(IMPRODUCT(COMPLEX(1 + C485,D485),COMPLEX(1 - C485, - D485)),IMPRODUCT(COMPLEX(E485,F485),COMPLEX(E485,F485))),IMSUB(IMPRODUCT(COMPLEX(1 - C485, - D485),COMPLEX(1 - C485, - D485)),IMPRODUCT(COMPLEX(E485,F485),COMPLEX(E485,F485)))))</f>
        <v>-3.19595648016027</v>
      </c>
      <c r="I485" s="17">
        <f t="shared" ref="I485:I548" si="88">IMREAL(IMDIV(IMPRODUCT(COMPLEX(2,0),COMPLEX(E485,F485)),IMSUB(IMPRODUCT(COMPLEX(1 - C485, - D485),COMPLEX(1 - C485, - D485)),IMPRODUCT(COMPLEX(E485,F485),COMPLEX(E485,F485)))))</f>
        <v>6.3879074509765301</v>
      </c>
      <c r="J485" s="17">
        <f t="shared" ref="J485:J548" si="89">IMAGINARY(IMDIV(IMPRODUCT(COMPLEX(2,0),COMPLEX(E485,F485)),IMSUB(IMPRODUCT(COMPLEX(1 - C485, - D485),COMPLEX(1 - C485, - D485)),IMPRODUCT(COMPLEX(E485,F485),COMPLEX(E485,F485)))))</f>
        <v>-3.1972778723212998</v>
      </c>
      <c r="K485" s="15">
        <f t="shared" ref="K485:K548" si="90">IMREAL(IMSUB(COMPLEX(G485,H485),COMPLEX(I485,J485)))</f>
        <v>-1.7580803204353399E-6</v>
      </c>
      <c r="L485" s="15">
        <f t="shared" ref="L485:L548" si="91">IMAGINARY(IMSUB(COMPLEX(G485,H485),COMPLEX(I485,J485)))</f>
        <v>1.32139216102978E-3</v>
      </c>
      <c r="M485" s="15">
        <f t="shared" ref="M485:M548" si="92">IMREAL(IMDIV(IMSUB(IMPRODUCT(COMPLEX(1 - C485, - D485),COMPLEX(1 - C485, - D485)),IMPRODUCT(COMPLEX(E485,F485),COMPLEX(E485,F485))),IMPRODUCT(COMPLEX(2,0),COMPLEX(E485,F485))))</f>
        <v>0.12518448765965501</v>
      </c>
      <c r="N485" s="15">
        <f t="shared" ref="N485:N548" si="93">IMAGINARY(IMDIV(IMSUB(IMPRODUCT(COMPLEX(1 - C485, - D485),COMPLEX(1 - C485, - D485)),IMPRODUCT(COMPLEX(E485,F485),COMPLEX(E485,F485))),IMPRODUCT(COMPLEX(2,0),COMPLEX(E485,F485))))</f>
        <v>6.2657387481546395E-2</v>
      </c>
      <c r="O485" s="17">
        <v>4.9821103999999998</v>
      </c>
      <c r="P485" s="17">
        <v>-9.9379459000000008</v>
      </c>
      <c r="Q485" s="17">
        <v>0.61378255999999998</v>
      </c>
      <c r="R485" s="17">
        <v>-10.969296</v>
      </c>
      <c r="S485" s="17">
        <f t="shared" ref="S485:S548" si="94">IMABS(COMPLEX(Q485,R485))/IMABS(COMPLEX(O485,P485))</f>
        <v>0.98827111300089698</v>
      </c>
      <c r="T485" s="17">
        <f t="shared" ref="T485:T548" si="95">IMARGUMENT(IMDIV(COMPLEX(Q485,R485),COMPLEX(O485/B485,P485/B485)))/PI()*180</f>
        <v>-23.422989998145962</v>
      </c>
    </row>
    <row r="486" spans="1:20" x14ac:dyDescent="0.35">
      <c r="A486" s="16">
        <v>2.1125000000000003</v>
      </c>
      <c r="B486" s="16">
        <v>16.073599999999999</v>
      </c>
      <c r="C486" s="16">
        <v>-6.2573759000000007E-2</v>
      </c>
      <c r="D486" s="16">
        <v>-2.4231268E-2</v>
      </c>
      <c r="E486" s="16">
        <v>0.93742674999999998</v>
      </c>
      <c r="F486" s="16">
        <v>-2.6873946999999999E-2</v>
      </c>
      <c r="G486" s="16">
        <f t="shared" si="86"/>
        <v>6.3485443534871298</v>
      </c>
      <c r="H486" s="16">
        <f t="shared" si="87"/>
        <v>-2.7960212942970499</v>
      </c>
      <c r="I486" s="16">
        <f t="shared" si="88"/>
        <v>6.3485463539207698</v>
      </c>
      <c r="J486" s="16">
        <f t="shared" si="89"/>
        <v>-2.79734263081752</v>
      </c>
      <c r="K486" s="15">
        <f t="shared" si="90"/>
        <v>-2.0004336400702999E-6</v>
      </c>
      <c r="L486" s="15">
        <f t="shared" si="91"/>
        <v>1.3213365204700601E-3</v>
      </c>
      <c r="M486" s="15">
        <f t="shared" si="92"/>
        <v>0.13190642602250599</v>
      </c>
      <c r="N486" s="15">
        <f t="shared" si="93"/>
        <v>5.8121568028506501E-2</v>
      </c>
      <c r="O486" s="16">
        <v>4.6062371000000004</v>
      </c>
      <c r="P486" s="16">
        <v>-10.378887000000001</v>
      </c>
      <c r="Q486" s="16">
        <v>9.9045955000000005E-2</v>
      </c>
      <c r="R486" s="16">
        <v>-11.240119</v>
      </c>
      <c r="S486" s="16">
        <f t="shared" si="94"/>
        <v>0.98991088504333946</v>
      </c>
      <c r="T486" s="16">
        <f t="shared" si="95"/>
        <v>-23.427182394589504</v>
      </c>
    </row>
    <row r="487" spans="1:20" x14ac:dyDescent="0.35">
      <c r="A487" s="17">
        <v>2.1125000000000003</v>
      </c>
      <c r="B487" s="17">
        <v>16.122399999999999</v>
      </c>
      <c r="C487" s="17">
        <v>-6.5273405000000007E-2</v>
      </c>
      <c r="D487" s="17">
        <v>-2.1740768000000001E-2</v>
      </c>
      <c r="E487" s="17">
        <v>0.93472759000000005</v>
      </c>
      <c r="F487" s="17">
        <v>-2.4382764000000001E-2</v>
      </c>
      <c r="G487" s="17">
        <f t="shared" si="86"/>
        <v>6.3100461920197102</v>
      </c>
      <c r="H487" s="17">
        <f t="shared" si="87"/>
        <v>-2.4054176691286502</v>
      </c>
      <c r="I487" s="17">
        <f t="shared" si="88"/>
        <v>6.3100484345495396</v>
      </c>
      <c r="J487" s="17">
        <f t="shared" si="89"/>
        <v>-2.4067386635090799</v>
      </c>
      <c r="K487" s="15">
        <f t="shared" si="90"/>
        <v>-2.24252982938822E-6</v>
      </c>
      <c r="L487" s="15">
        <f t="shared" si="91"/>
        <v>1.32099438042976E-3</v>
      </c>
      <c r="M487" s="15">
        <f t="shared" si="92"/>
        <v>0.138350638897385</v>
      </c>
      <c r="N487" s="15">
        <f t="shared" si="93"/>
        <v>5.2768823442365699E-2</v>
      </c>
      <c r="O487" s="17">
        <v>4.1814226999999997</v>
      </c>
      <c r="P487" s="17">
        <v>-10.798818000000001</v>
      </c>
      <c r="Q487" s="17">
        <v>-0.45329941000000001</v>
      </c>
      <c r="R487" s="17">
        <v>-11.466431999999999</v>
      </c>
      <c r="S487" s="17">
        <f t="shared" si="94"/>
        <v>0.99095745683411274</v>
      </c>
      <c r="T487" s="17">
        <f t="shared" si="95"/>
        <v>-23.430838644454614</v>
      </c>
    </row>
    <row r="488" spans="1:20" x14ac:dyDescent="0.35">
      <c r="A488" s="16">
        <v>2.1125000000000003</v>
      </c>
      <c r="B488" s="16">
        <v>16.171199999999999</v>
      </c>
      <c r="C488" s="16">
        <v>-6.7780465999999998E-2</v>
      </c>
      <c r="D488" s="16">
        <v>-1.8929088E-2</v>
      </c>
      <c r="E488" s="16">
        <v>0.93222130000000003</v>
      </c>
      <c r="F488" s="16">
        <v>-2.1571626E-2</v>
      </c>
      <c r="G488" s="16">
        <f t="shared" si="86"/>
        <v>6.2723375287346999</v>
      </c>
      <c r="H488" s="16">
        <f t="shared" si="87"/>
        <v>-2.0226961550381599</v>
      </c>
      <c r="I488" s="16">
        <f t="shared" si="88"/>
        <v>6.2723401574780198</v>
      </c>
      <c r="J488" s="16">
        <f t="shared" si="89"/>
        <v>-2.0240174193982101</v>
      </c>
      <c r="K488" s="15">
        <f t="shared" si="90"/>
        <v>-2.6287433199101399E-6</v>
      </c>
      <c r="L488" s="15">
        <f t="shared" si="91"/>
        <v>1.3212643600502001E-3</v>
      </c>
      <c r="M488" s="15">
        <f t="shared" si="92"/>
        <v>0.14439455209636301</v>
      </c>
      <c r="N488" s="15">
        <f t="shared" si="93"/>
        <v>4.6594585333642399E-2</v>
      </c>
      <c r="O488" s="16">
        <v>3.7070873999999998</v>
      </c>
      <c r="P488" s="16">
        <v>-11.188689</v>
      </c>
      <c r="Q488" s="16">
        <v>-1.0396592</v>
      </c>
      <c r="R488" s="16">
        <v>-11.642169000000001</v>
      </c>
      <c r="S488" s="16">
        <f t="shared" si="94"/>
        <v>0.99165785320816413</v>
      </c>
      <c r="T488" s="16">
        <f t="shared" si="95"/>
        <v>-23.434344630569132</v>
      </c>
    </row>
    <row r="489" spans="1:20" x14ac:dyDescent="0.35">
      <c r="A489" s="17">
        <v>2.1125000000000003</v>
      </c>
      <c r="B489" s="17">
        <v>16.22</v>
      </c>
      <c r="C489" s="17">
        <v>-7.0036687E-2</v>
      </c>
      <c r="D489" s="17">
        <v>-1.5826516999999998E-2</v>
      </c>
      <c r="E489" s="17">
        <v>0.92996632999999995</v>
      </c>
      <c r="F489" s="17">
        <v>-1.8468577999999999E-2</v>
      </c>
      <c r="G489" s="17">
        <f t="shared" si="86"/>
        <v>6.2354912757331</v>
      </c>
      <c r="H489" s="17">
        <f t="shared" si="87"/>
        <v>-1.6484704954243701</v>
      </c>
      <c r="I489" s="17">
        <f t="shared" si="88"/>
        <v>6.2354945293414703</v>
      </c>
      <c r="J489" s="17">
        <f t="shared" si="89"/>
        <v>-1.64979151963349</v>
      </c>
      <c r="K489" s="15">
        <f t="shared" si="90"/>
        <v>-3.2536083702794401E-6</v>
      </c>
      <c r="L489" s="15">
        <f t="shared" si="91"/>
        <v>1.3210242091199499E-3</v>
      </c>
      <c r="M489" s="15">
        <f t="shared" si="92"/>
        <v>0.14988015146132</v>
      </c>
      <c r="N489" s="15">
        <f t="shared" si="93"/>
        <v>3.9655395683328799E-2</v>
      </c>
      <c r="O489" s="17">
        <v>3.1856564000000001</v>
      </c>
      <c r="P489" s="17">
        <v>-11.53116</v>
      </c>
      <c r="Q489" s="17">
        <v>-1.6518029999999999</v>
      </c>
      <c r="R489" s="17">
        <v>-11.761297000000001</v>
      </c>
      <c r="S489" s="17">
        <f t="shared" si="94"/>
        <v>0.99277872640991394</v>
      </c>
      <c r="T489" s="17">
        <f t="shared" si="95"/>
        <v>-23.438171284247865</v>
      </c>
    </row>
    <row r="490" spans="1:20" x14ac:dyDescent="0.35">
      <c r="A490" s="16">
        <v>2.1125000000000003</v>
      </c>
      <c r="B490" s="16">
        <v>16.268799999999999</v>
      </c>
      <c r="C490" s="16">
        <v>-7.1993103000000003E-2</v>
      </c>
      <c r="D490" s="16">
        <v>-1.247094E-2</v>
      </c>
      <c r="E490" s="16">
        <v>0.92801080000000002</v>
      </c>
      <c r="F490" s="16">
        <v>-1.5113524E-2</v>
      </c>
      <c r="G490" s="16">
        <f t="shared" si="86"/>
        <v>6.1994026336969901</v>
      </c>
      <c r="H490" s="16">
        <f t="shared" si="87"/>
        <v>-1.28282682747091</v>
      </c>
      <c r="I490" s="16">
        <f t="shared" si="88"/>
        <v>6.1994063309924501</v>
      </c>
      <c r="J490" s="16">
        <f t="shared" si="89"/>
        <v>-1.28414811200721</v>
      </c>
      <c r="K490" s="15">
        <f t="shared" si="90"/>
        <v>-3.69729546001452E-6</v>
      </c>
      <c r="L490" s="15">
        <f t="shared" si="91"/>
        <v>1.3212845362999799E-3</v>
      </c>
      <c r="M490" s="15">
        <f t="shared" si="92"/>
        <v>0.15466934192168499</v>
      </c>
      <c r="N490" s="15">
        <f t="shared" si="93"/>
        <v>3.2038284443654703E-2</v>
      </c>
      <c r="O490" s="16">
        <v>2.6254339</v>
      </c>
      <c r="P490" s="16">
        <v>-11.822782999999999</v>
      </c>
      <c r="Q490" s="16">
        <v>-2.2805341000000001</v>
      </c>
      <c r="R490" s="16">
        <v>-11.818712</v>
      </c>
      <c r="S490" s="16">
        <f t="shared" si="94"/>
        <v>0.99388496965150197</v>
      </c>
      <c r="T490" s="16">
        <f t="shared" si="95"/>
        <v>-23.441801157599549</v>
      </c>
    </row>
    <row r="491" spans="1:20" x14ac:dyDescent="0.35">
      <c r="A491" s="17">
        <v>2.1125000000000003</v>
      </c>
      <c r="B491" s="17">
        <v>16.317599999999999</v>
      </c>
      <c r="C491" s="17">
        <v>-7.3601292999999998E-2</v>
      </c>
      <c r="D491" s="17">
        <v>-8.9288781000000008E-3</v>
      </c>
      <c r="E491" s="17">
        <v>0.92648578999999998</v>
      </c>
      <c r="F491" s="17">
        <v>-1.1583148E-2</v>
      </c>
      <c r="G491" s="17">
        <f t="shared" si="86"/>
        <v>6.1677351025913802</v>
      </c>
      <c r="H491" s="17">
        <f t="shared" si="87"/>
        <v>-0.92900887995475701</v>
      </c>
      <c r="I491" s="17">
        <f t="shared" si="88"/>
        <v>6.16778040324962</v>
      </c>
      <c r="J491" s="17">
        <f t="shared" si="89"/>
        <v>-0.93033589700435504</v>
      </c>
      <c r="K491" s="15">
        <f t="shared" si="90"/>
        <v>-4.5300658239710903E-5</v>
      </c>
      <c r="L491" s="15">
        <f t="shared" si="91"/>
        <v>1.3270170495980301E-3</v>
      </c>
      <c r="M491" s="15">
        <f t="shared" si="92"/>
        <v>0.15852607666354501</v>
      </c>
      <c r="N491" s="15">
        <f t="shared" si="93"/>
        <v>2.3911762431369301E-2</v>
      </c>
      <c r="O491" s="17">
        <v>2.0374485999999998</v>
      </c>
      <c r="P491" s="17">
        <v>-12.055674</v>
      </c>
      <c r="Q491" s="17">
        <v>-2.9111861999999999</v>
      </c>
      <c r="R491" s="17">
        <v>-11.810025</v>
      </c>
      <c r="S491" s="17">
        <f t="shared" si="94"/>
        <v>0.99483994822904431</v>
      </c>
      <c r="T491" s="17">
        <f t="shared" si="95"/>
        <v>-23.439951429541903</v>
      </c>
    </row>
    <row r="492" spans="1:20" x14ac:dyDescent="0.35">
      <c r="A492" s="16">
        <v>2.1125000000000003</v>
      </c>
      <c r="B492" s="16">
        <v>16.366399999999999</v>
      </c>
      <c r="C492" s="16">
        <v>-7.4847670000000005E-2</v>
      </c>
      <c r="D492" s="16">
        <v>-5.2164098999999998E-3</v>
      </c>
      <c r="E492" s="16">
        <v>0.92524234999999999</v>
      </c>
      <c r="F492" s="16">
        <v>-7.8743713000000003E-3</v>
      </c>
      <c r="G492" s="16">
        <f t="shared" si="86"/>
        <v>6.1334409783207198</v>
      </c>
      <c r="H492" s="16">
        <f t="shared" si="87"/>
        <v>-0.57977770066199497</v>
      </c>
      <c r="I492" s="16">
        <f t="shared" si="88"/>
        <v>6.1334877522430196</v>
      </c>
      <c r="J492" s="16">
        <f t="shared" si="89"/>
        <v>-0.58110655938842304</v>
      </c>
      <c r="K492" s="15">
        <f t="shared" si="90"/>
        <v>-4.6773922299792E-5</v>
      </c>
      <c r="L492" s="15">
        <f t="shared" si="91"/>
        <v>1.3288587264280701E-3</v>
      </c>
      <c r="M492" s="15">
        <f t="shared" si="92"/>
        <v>0.16158890562512301</v>
      </c>
      <c r="N492" s="15">
        <f t="shared" si="93"/>
        <v>1.53094579750023E-2</v>
      </c>
      <c r="O492" s="16">
        <v>1.4243604999999999</v>
      </c>
      <c r="P492" s="16">
        <v>-12.226765</v>
      </c>
      <c r="Q492" s="16">
        <v>-3.5435821000000001</v>
      </c>
      <c r="R492" s="16">
        <v>-11.738165</v>
      </c>
      <c r="S492" s="16">
        <f t="shared" si="94"/>
        <v>0.99609495788203384</v>
      </c>
      <c r="T492" s="16">
        <f t="shared" si="95"/>
        <v>-23.443042602182711</v>
      </c>
    </row>
    <row r="493" spans="1:20" x14ac:dyDescent="0.35">
      <c r="A493" s="17">
        <v>2.1125000000000003</v>
      </c>
      <c r="B493" s="17">
        <v>16.415199999999999</v>
      </c>
      <c r="C493" s="17">
        <v>-7.5705428000000005E-2</v>
      </c>
      <c r="D493" s="17">
        <v>-1.4164028E-3</v>
      </c>
      <c r="E493" s="17">
        <v>0.92439336999999999</v>
      </c>
      <c r="F493" s="17">
        <v>-4.0727334000000004E-3</v>
      </c>
      <c r="G493" s="17">
        <f t="shared" si="86"/>
        <v>6.1001471193810497</v>
      </c>
      <c r="H493" s="17">
        <f t="shared" si="87"/>
        <v>-0.238769955021821</v>
      </c>
      <c r="I493" s="17">
        <f t="shared" si="88"/>
        <v>6.1001982796994598</v>
      </c>
      <c r="J493" s="17">
        <f t="shared" si="89"/>
        <v>-0.24009798676902</v>
      </c>
      <c r="K493" s="15">
        <f t="shared" si="90"/>
        <v>-5.1160318410126097E-5</v>
      </c>
      <c r="L493" s="15">
        <f t="shared" si="91"/>
        <v>1.3280317471990001E-3</v>
      </c>
      <c r="M493" s="15">
        <f t="shared" si="92"/>
        <v>0.16367554230161099</v>
      </c>
      <c r="N493" s="15">
        <f t="shared" si="93"/>
        <v>6.4421132540433898E-3</v>
      </c>
      <c r="O493" s="17">
        <v>0.80057900999999998</v>
      </c>
      <c r="P493" s="17">
        <v>-12.338224</v>
      </c>
      <c r="Q493" s="17">
        <v>-4.1619419000000004</v>
      </c>
      <c r="R493" s="17">
        <v>-11.602414</v>
      </c>
      <c r="S493" s="17">
        <f t="shared" si="94"/>
        <v>0.99693744842301624</v>
      </c>
      <c r="T493" s="17">
        <f t="shared" si="95"/>
        <v>-23.446087097394933</v>
      </c>
    </row>
    <row r="494" spans="1:20" x14ac:dyDescent="0.35">
      <c r="A494" s="16">
        <v>2.1125000000000003</v>
      </c>
      <c r="B494" s="16">
        <v>16.463999999999999</v>
      </c>
      <c r="C494" s="16">
        <v>-7.6171313000000004E-2</v>
      </c>
      <c r="D494" s="16">
        <v>2.4163188E-3</v>
      </c>
      <c r="E494" s="16">
        <v>0.92381296000000002</v>
      </c>
      <c r="F494" s="16">
        <v>-1.5675064999999999E-4</v>
      </c>
      <c r="G494" s="16">
        <f t="shared" si="86"/>
        <v>6.0620332228033202</v>
      </c>
      <c r="H494" s="16">
        <f t="shared" si="87"/>
        <v>9.7962221936274393E-2</v>
      </c>
      <c r="I494" s="16">
        <f t="shared" si="88"/>
        <v>6.0620270144494102</v>
      </c>
      <c r="J494" s="16">
        <f t="shared" si="89"/>
        <v>9.6675669107203502E-2</v>
      </c>
      <c r="K494" s="15">
        <f t="shared" si="90"/>
        <v>6.2083539100754601E-6</v>
      </c>
      <c r="L494" s="15">
        <f t="shared" si="91"/>
        <v>1.2865528290708899E-3</v>
      </c>
      <c r="M494" s="15">
        <f t="shared" si="92"/>
        <v>0.16491937955265401</v>
      </c>
      <c r="N494" s="15">
        <f t="shared" si="93"/>
        <v>-2.6300924309631702E-3</v>
      </c>
      <c r="O494" s="16">
        <v>0.17485996000000001</v>
      </c>
      <c r="P494" s="16">
        <v>-12.383642999999999</v>
      </c>
      <c r="Q494" s="16">
        <v>-4.7597303999999996</v>
      </c>
      <c r="R494" s="16">
        <v>-11.408363</v>
      </c>
      <c r="S494" s="16">
        <f t="shared" si="94"/>
        <v>0.99810947083333756</v>
      </c>
      <c r="T494" s="16">
        <f t="shared" si="95"/>
        <v>-23.455563778861343</v>
      </c>
    </row>
    <row r="495" spans="1:20" x14ac:dyDescent="0.35">
      <c r="A495" s="17">
        <v>2.1125000000000003</v>
      </c>
      <c r="B495" s="17">
        <v>16.512799999999999</v>
      </c>
      <c r="C495" s="17">
        <v>-7.6249632999999997E-2</v>
      </c>
      <c r="D495" s="17">
        <v>6.2118551999999997E-3</v>
      </c>
      <c r="E495" s="17">
        <v>0.92377951000000003</v>
      </c>
      <c r="F495" s="17">
        <v>3.6078821999999998E-3</v>
      </c>
      <c r="G495" s="17">
        <f t="shared" si="86"/>
        <v>6.0315614343938799</v>
      </c>
      <c r="H495" s="17">
        <f t="shared" si="87"/>
        <v>0.42131238999243797</v>
      </c>
      <c r="I495" s="17">
        <f t="shared" si="88"/>
        <v>6.0315777007734397</v>
      </c>
      <c r="J495" s="17">
        <f t="shared" si="89"/>
        <v>0.42001044364235601</v>
      </c>
      <c r="K495" s="15">
        <f t="shared" si="90"/>
        <v>-1.62663795597595E-5</v>
      </c>
      <c r="L495" s="15">
        <f t="shared" si="91"/>
        <v>1.30194635008196E-3</v>
      </c>
      <c r="M495" s="15">
        <f t="shared" si="92"/>
        <v>0.16499403320407799</v>
      </c>
      <c r="N495" s="15">
        <f t="shared" si="93"/>
        <v>-1.1489401367655401E-2</v>
      </c>
      <c r="O495" s="17">
        <v>-0.44218975999999999</v>
      </c>
      <c r="P495" s="17">
        <v>-12.365511</v>
      </c>
      <c r="Q495" s="17">
        <v>-5.3241107999999997</v>
      </c>
      <c r="R495" s="17">
        <v>-11.158408</v>
      </c>
      <c r="S495" s="17">
        <f t="shared" si="94"/>
        <v>0.99919900337782608</v>
      </c>
      <c r="T495" s="17">
        <f t="shared" si="95"/>
        <v>-23.4596059634938</v>
      </c>
    </row>
    <row r="496" spans="1:20" x14ac:dyDescent="0.35">
      <c r="A496" s="16">
        <v>2.1125000000000003</v>
      </c>
      <c r="B496" s="16">
        <v>16.561599999999999</v>
      </c>
      <c r="C496" s="16">
        <v>-7.5963686000000002E-2</v>
      </c>
      <c r="D496" s="16">
        <v>9.9081722000000007E-3</v>
      </c>
      <c r="E496" s="16">
        <v>0.92405320000000002</v>
      </c>
      <c r="F496" s="16">
        <v>7.3446821000000004E-3</v>
      </c>
      <c r="G496" s="16">
        <f t="shared" si="86"/>
        <v>5.9989903220669998</v>
      </c>
      <c r="H496" s="16">
        <f t="shared" si="87"/>
        <v>0.73874803863534499</v>
      </c>
      <c r="I496" s="16">
        <f t="shared" si="88"/>
        <v>5.9990004078217796</v>
      </c>
      <c r="J496" s="16">
        <f t="shared" si="89"/>
        <v>0.73746631733428303</v>
      </c>
      <c r="K496" s="15">
        <f t="shared" si="90"/>
        <v>-1.00857547797872E-5</v>
      </c>
      <c r="L496" s="15">
        <f t="shared" si="91"/>
        <v>1.28172130106197E-3</v>
      </c>
      <c r="M496" s="15">
        <f t="shared" si="92"/>
        <v>0.164212826926661</v>
      </c>
      <c r="N496" s="15">
        <f t="shared" si="93"/>
        <v>-2.01869345724262E-2</v>
      </c>
      <c r="O496" s="16">
        <v>-1.0400590999999999</v>
      </c>
      <c r="P496" s="16">
        <v>-12.2904</v>
      </c>
      <c r="Q496" s="16">
        <v>-5.8482922999999998</v>
      </c>
      <c r="R496" s="16">
        <v>-10.861103999999999</v>
      </c>
      <c r="S496" s="16">
        <f t="shared" si="94"/>
        <v>1.0001000630334456</v>
      </c>
      <c r="T496" s="16">
        <f t="shared" si="95"/>
        <v>-23.463721993660492</v>
      </c>
    </row>
    <row r="497" spans="1:20" x14ac:dyDescent="0.35">
      <c r="A497" s="17">
        <v>2.1125000000000003</v>
      </c>
      <c r="B497" s="17">
        <v>16.610399999999998</v>
      </c>
      <c r="C497" s="17">
        <v>-7.5342566E-2</v>
      </c>
      <c r="D497" s="17">
        <v>1.3466196E-2</v>
      </c>
      <c r="E497" s="17">
        <v>0.92463698999999999</v>
      </c>
      <c r="F497" s="17">
        <v>1.092364E-2</v>
      </c>
      <c r="G497" s="17">
        <f t="shared" si="86"/>
        <v>5.9661025302375403</v>
      </c>
      <c r="H497" s="17">
        <f t="shared" si="87"/>
        <v>1.0470937815105501</v>
      </c>
      <c r="I497" s="17">
        <f t="shared" si="88"/>
        <v>5.9660939243277404</v>
      </c>
      <c r="J497" s="17">
        <f t="shared" si="89"/>
        <v>1.0458224795747899</v>
      </c>
      <c r="K497" s="15">
        <f t="shared" si="90"/>
        <v>8.6059097998969492E-6</v>
      </c>
      <c r="L497" s="15">
        <f t="shared" si="91"/>
        <v>1.2713019357601899E-3</v>
      </c>
      <c r="M497" s="15">
        <f t="shared" si="92"/>
        <v>0.16261694419884201</v>
      </c>
      <c r="N497" s="15">
        <f t="shared" si="93"/>
        <v>-2.8505829435474798E-2</v>
      </c>
      <c r="O497" s="17">
        <v>-1.6131385</v>
      </c>
      <c r="P497" s="17">
        <v>-12.160489</v>
      </c>
      <c r="Q497" s="17">
        <v>-6.3288104000000001</v>
      </c>
      <c r="R497" s="17">
        <v>-10.523954</v>
      </c>
      <c r="S497" s="17">
        <f t="shared" si="94"/>
        <v>1.0010883928438952</v>
      </c>
      <c r="T497" s="17">
        <f t="shared" si="95"/>
        <v>-23.465117911066997</v>
      </c>
    </row>
    <row r="498" spans="1:20" x14ac:dyDescent="0.35">
      <c r="A498" s="16">
        <v>2.1125000000000003</v>
      </c>
      <c r="B498" s="16">
        <v>16.659199999999998</v>
      </c>
      <c r="C498" s="16">
        <v>-7.4424306999999995E-2</v>
      </c>
      <c r="D498" s="16">
        <v>1.6841874E-2</v>
      </c>
      <c r="E498" s="16">
        <v>0.92555518999999997</v>
      </c>
      <c r="F498" s="16">
        <v>1.431253E-2</v>
      </c>
      <c r="G498" s="16">
        <f t="shared" si="86"/>
        <v>5.9354697277333299</v>
      </c>
      <c r="H498" s="16">
        <f t="shared" si="87"/>
        <v>1.3474065687685</v>
      </c>
      <c r="I498" s="16">
        <f t="shared" si="88"/>
        <v>5.93546107557012</v>
      </c>
      <c r="J498" s="16">
        <f t="shared" si="89"/>
        <v>1.3461418728613199</v>
      </c>
      <c r="K498" s="15">
        <f t="shared" si="90"/>
        <v>8.6521632098879292E-6</v>
      </c>
      <c r="L498" s="15">
        <f t="shared" si="91"/>
        <v>1.26469590718004E-3</v>
      </c>
      <c r="M498" s="15">
        <f t="shared" si="92"/>
        <v>0.160236859360296</v>
      </c>
      <c r="N498" s="15">
        <f t="shared" si="93"/>
        <v>-3.6341160899613201E-2</v>
      </c>
      <c r="O498" s="16">
        <v>-2.1539139</v>
      </c>
      <c r="P498" s="16">
        <v>-11.983371999999999</v>
      </c>
      <c r="Q498" s="16">
        <v>-6.7621449</v>
      </c>
      <c r="R498" s="16">
        <v>-10.155593</v>
      </c>
      <c r="S498" s="16">
        <f t="shared" si="94"/>
        <v>1.0020961602633798</v>
      </c>
      <c r="T498" s="16">
        <f t="shared" si="95"/>
        <v>-23.468181987040918</v>
      </c>
    </row>
    <row r="499" spans="1:20" x14ac:dyDescent="0.35">
      <c r="A499" s="17">
        <v>2.1125000000000003</v>
      </c>
      <c r="B499" s="17">
        <v>16.707999999999998</v>
      </c>
      <c r="C499" s="17">
        <v>-7.325102E-2</v>
      </c>
      <c r="D499" s="17">
        <v>2.0005814E-2</v>
      </c>
      <c r="E499" s="17">
        <v>0.92674666000000006</v>
      </c>
      <c r="F499" s="17">
        <v>1.7328961E-2</v>
      </c>
      <c r="G499" s="17">
        <f t="shared" si="86"/>
        <v>5.9094897036511904</v>
      </c>
      <c r="H499" s="17">
        <f t="shared" si="87"/>
        <v>1.63404632085832</v>
      </c>
      <c r="I499" s="17">
        <f t="shared" si="88"/>
        <v>5.9094903350383596</v>
      </c>
      <c r="J499" s="17">
        <f t="shared" si="89"/>
        <v>1.6327078936508099</v>
      </c>
      <c r="K499" s="15">
        <f t="shared" si="90"/>
        <v>-6.3138716921429197E-7</v>
      </c>
      <c r="L499" s="15">
        <f t="shared" si="91"/>
        <v>1.3384272075100999E-3</v>
      </c>
      <c r="M499" s="15">
        <f t="shared" si="92"/>
        <v>0.15721826209919701</v>
      </c>
      <c r="N499" s="15">
        <f t="shared" si="93"/>
        <v>-4.3437163444274299E-2</v>
      </c>
      <c r="O499" s="17">
        <v>-2.6587901999999999</v>
      </c>
      <c r="P499" s="17">
        <v>-11.768131</v>
      </c>
      <c r="Q499" s="17">
        <v>-7.1469329999999998</v>
      </c>
      <c r="R499" s="17">
        <v>-9.7648954000000003</v>
      </c>
      <c r="S499" s="17">
        <f t="shared" si="94"/>
        <v>1.0029969261197416</v>
      </c>
      <c r="T499" s="17">
        <f t="shared" si="95"/>
        <v>-23.469253383799661</v>
      </c>
    </row>
    <row r="500" spans="1:20" x14ac:dyDescent="0.35">
      <c r="A500" s="16">
        <v>2.1125000000000003</v>
      </c>
      <c r="B500" s="16">
        <v>16.756799999999998</v>
      </c>
      <c r="C500" s="16">
        <v>-7.1868504999999999E-2</v>
      </c>
      <c r="D500" s="16">
        <v>2.2931164E-2</v>
      </c>
      <c r="E500" s="16">
        <v>0.92815939999999997</v>
      </c>
      <c r="F500" s="16">
        <v>2.0330594E-2</v>
      </c>
      <c r="G500" s="16">
        <f t="shared" si="86"/>
        <v>5.8802900273912302</v>
      </c>
      <c r="H500" s="16">
        <f t="shared" si="87"/>
        <v>1.9213558538114499</v>
      </c>
      <c r="I500" s="16">
        <f t="shared" si="88"/>
        <v>5.8803056703639998</v>
      </c>
      <c r="J500" s="16">
        <f t="shared" si="89"/>
        <v>1.92005560729345</v>
      </c>
      <c r="K500" s="15">
        <f t="shared" si="90"/>
        <v>-1.56429727695695E-5</v>
      </c>
      <c r="L500" s="15">
        <f t="shared" si="91"/>
        <v>1.3002465179998699E-3</v>
      </c>
      <c r="M500" s="15">
        <f t="shared" si="92"/>
        <v>0.15367479061631301</v>
      </c>
      <c r="N500" s="15">
        <f t="shared" si="93"/>
        <v>-5.0178368262314303E-2</v>
      </c>
      <c r="O500" s="16">
        <v>-3.1228904000000002</v>
      </c>
      <c r="P500" s="16">
        <v>-11.520123</v>
      </c>
      <c r="Q500" s="16">
        <v>-7.4818037000000004</v>
      </c>
      <c r="R500" s="16">
        <v>-9.3583982999999993</v>
      </c>
      <c r="S500" s="16">
        <f t="shared" si="94"/>
        <v>1.0038228328845651</v>
      </c>
      <c r="T500" s="16">
        <f t="shared" si="95"/>
        <v>-23.474149282839882</v>
      </c>
    </row>
    <row r="501" spans="1:20" x14ac:dyDescent="0.35">
      <c r="A501" s="17">
        <v>2.1125000000000003</v>
      </c>
      <c r="B501" s="17">
        <v>16.805599999999998</v>
      </c>
      <c r="C501" s="17">
        <v>-7.0320126999999996E-2</v>
      </c>
      <c r="D501" s="17">
        <v>2.5611716E-2</v>
      </c>
      <c r="E501" s="17">
        <v>0.92970196999999999</v>
      </c>
      <c r="F501" s="17">
        <v>2.3009285000000001E-2</v>
      </c>
      <c r="G501" s="17">
        <f t="shared" si="86"/>
        <v>5.8520370592830098</v>
      </c>
      <c r="H501" s="17">
        <f t="shared" si="87"/>
        <v>2.1969722946197501</v>
      </c>
      <c r="I501" s="17">
        <f t="shared" si="88"/>
        <v>5.85204980076373</v>
      </c>
      <c r="J501" s="17">
        <f t="shared" si="89"/>
        <v>2.1956711100752999</v>
      </c>
      <c r="K501" s="15">
        <f t="shared" si="90"/>
        <v>-1.27414807202797E-5</v>
      </c>
      <c r="L501" s="15">
        <f t="shared" si="91"/>
        <v>1.30118454445016E-3</v>
      </c>
      <c r="M501" s="15">
        <f t="shared" si="92"/>
        <v>0.149793460499275</v>
      </c>
      <c r="N501" s="15">
        <f t="shared" si="93"/>
        <v>-5.6202046273348703E-2</v>
      </c>
      <c r="O501" s="17">
        <v>-3.5456351000000002</v>
      </c>
      <c r="P501" s="17">
        <v>-11.246611</v>
      </c>
      <c r="Q501" s="17">
        <v>-7.7690219000000003</v>
      </c>
      <c r="R501" s="17">
        <v>-8.9450754999999997</v>
      </c>
      <c r="S501" s="17">
        <f t="shared" si="94"/>
        <v>1.0047145826349446</v>
      </c>
      <c r="T501" s="17">
        <f t="shared" si="95"/>
        <v>-23.477021473690286</v>
      </c>
    </row>
    <row r="502" spans="1:20" x14ac:dyDescent="0.35">
      <c r="A502" s="16">
        <v>2.1125000000000003</v>
      </c>
      <c r="B502" s="16">
        <v>16.854399999999998</v>
      </c>
      <c r="C502" s="16">
        <v>-6.8651452000000002E-2</v>
      </c>
      <c r="D502" s="16">
        <v>2.8037262E-2</v>
      </c>
      <c r="E502" s="16">
        <v>0.93141103999999997</v>
      </c>
      <c r="F502" s="16">
        <v>2.5450044000000002E-2</v>
      </c>
      <c r="G502" s="16">
        <f t="shared" si="86"/>
        <v>5.8256442267593602</v>
      </c>
      <c r="H502" s="16">
        <f t="shared" si="87"/>
        <v>2.4659741678684002</v>
      </c>
      <c r="I502" s="16">
        <f t="shared" si="88"/>
        <v>5.8256771450476599</v>
      </c>
      <c r="J502" s="16">
        <f t="shared" si="89"/>
        <v>2.4646806418693101</v>
      </c>
      <c r="K502" s="15">
        <f t="shared" si="90"/>
        <v>-3.2918288299654798E-5</v>
      </c>
      <c r="L502" s="15">
        <f t="shared" si="91"/>
        <v>1.2935259990900501E-3</v>
      </c>
      <c r="M502" s="15">
        <f t="shared" si="92"/>
        <v>0.14559401048983001</v>
      </c>
      <c r="N502" s="15">
        <f t="shared" si="93"/>
        <v>-6.1596743226913699E-2</v>
      </c>
      <c r="O502" s="16">
        <v>-3.9258313999999999</v>
      </c>
      <c r="P502" s="16">
        <v>-10.955477999999999</v>
      </c>
      <c r="Q502" s="16">
        <v>-8.0099818999999997</v>
      </c>
      <c r="R502" s="16">
        <v>-8.5313523999999994</v>
      </c>
      <c r="S502" s="16">
        <f t="shared" si="94"/>
        <v>1.0055560104115238</v>
      </c>
      <c r="T502" s="16">
        <f t="shared" si="95"/>
        <v>-23.479834013959369</v>
      </c>
    </row>
    <row r="503" spans="1:20" x14ac:dyDescent="0.35">
      <c r="A503" s="17">
        <v>2.1125000000000003</v>
      </c>
      <c r="B503" s="17">
        <v>16.903200000000002</v>
      </c>
      <c r="C503" s="17">
        <v>-6.6908981000000006E-2</v>
      </c>
      <c r="D503" s="17">
        <v>3.0206276000000001E-2</v>
      </c>
      <c r="E503" s="17">
        <v>0.93310773999999996</v>
      </c>
      <c r="F503" s="17">
        <v>2.7605889000000002E-2</v>
      </c>
      <c r="G503" s="17">
        <f t="shared" si="86"/>
        <v>5.7980003589583999</v>
      </c>
      <c r="H503" s="17">
        <f t="shared" si="87"/>
        <v>2.72186046917458</v>
      </c>
      <c r="I503" s="17">
        <f t="shared" si="88"/>
        <v>5.7980104098463698</v>
      </c>
      <c r="J503" s="17">
        <f t="shared" si="89"/>
        <v>2.7205602996127398</v>
      </c>
      <c r="K503" s="15">
        <f t="shared" si="90"/>
        <v>-1.0050887969903499E-5</v>
      </c>
      <c r="L503" s="15">
        <f t="shared" si="91"/>
        <v>1.3001695618401999E-3</v>
      </c>
      <c r="M503" s="15">
        <f t="shared" si="92"/>
        <v>0.14135154511998199</v>
      </c>
      <c r="N503" s="15">
        <f t="shared" si="93"/>
        <v>-6.6325407296488906E-2</v>
      </c>
      <c r="O503" s="17">
        <v>-4.2640780999999999</v>
      </c>
      <c r="P503" s="17">
        <v>-10.654305000000001</v>
      </c>
      <c r="Q503" s="17">
        <v>-8.2085266000000008</v>
      </c>
      <c r="R503" s="17">
        <v>-8.1246442000000005</v>
      </c>
      <c r="S503" s="17">
        <f t="shared" si="94"/>
        <v>1.006407789218412</v>
      </c>
      <c r="T503" s="17">
        <f t="shared" si="95"/>
        <v>-23.481920385807445</v>
      </c>
    </row>
    <row r="504" spans="1:20" x14ac:dyDescent="0.35">
      <c r="A504" s="16">
        <v>2.1125000000000003</v>
      </c>
      <c r="B504" s="16">
        <v>16.952000000000002</v>
      </c>
      <c r="C504" s="16">
        <v>-6.5166550000000004E-2</v>
      </c>
      <c r="D504" s="16">
        <v>3.2095645999999999E-2</v>
      </c>
      <c r="E504" s="16">
        <v>0.93487107999999997</v>
      </c>
      <c r="F504" s="16">
        <v>2.9471824000000001E-2</v>
      </c>
      <c r="G504" s="16">
        <f t="shared" si="86"/>
        <v>5.7740093776497696</v>
      </c>
      <c r="H504" s="16">
        <f t="shared" si="87"/>
        <v>2.9652679480674</v>
      </c>
      <c r="I504" s="16">
        <f t="shared" si="88"/>
        <v>5.7740299133061503</v>
      </c>
      <c r="J504" s="16">
        <f t="shared" si="89"/>
        <v>2.9639560886909901</v>
      </c>
      <c r="K504" s="15">
        <f t="shared" si="90"/>
        <v>-2.0535656380715699E-5</v>
      </c>
      <c r="L504" s="15">
        <f t="shared" si="91"/>
        <v>1.3118593764098699E-3</v>
      </c>
      <c r="M504" s="15">
        <f t="shared" si="92"/>
        <v>0.13707072579572799</v>
      </c>
      <c r="N504" s="15">
        <f t="shared" si="93"/>
        <v>-7.0361882152237501E-2</v>
      </c>
      <c r="O504" s="16">
        <v>-4.5557014999999996</v>
      </c>
      <c r="P504" s="16">
        <v>-10.355461</v>
      </c>
      <c r="Q504" s="16">
        <v>-8.3650395999999994</v>
      </c>
      <c r="R504" s="16">
        <v>-7.7378264999999997</v>
      </c>
      <c r="S504" s="16">
        <f t="shared" si="94"/>
        <v>1.0072316760202717</v>
      </c>
      <c r="T504" s="16">
        <f t="shared" si="95"/>
        <v>-23.484322683690973</v>
      </c>
    </row>
    <row r="505" spans="1:20" x14ac:dyDescent="0.35">
      <c r="A505" s="17">
        <v>2.1125000000000003</v>
      </c>
      <c r="B505" s="17">
        <v>17</v>
      </c>
      <c r="C505" s="17">
        <v>-6.5712171999999999E-2</v>
      </c>
      <c r="D505" s="17">
        <v>3.2663803999999998E-2</v>
      </c>
      <c r="E505" s="17">
        <v>0.93425237999999999</v>
      </c>
      <c r="F505" s="17">
        <v>3.0080164E-2</v>
      </c>
      <c r="G505" s="17">
        <f t="shared" si="86"/>
        <v>5.6955402678112996</v>
      </c>
      <c r="H505" s="17">
        <f t="shared" si="87"/>
        <v>2.9576890755931</v>
      </c>
      <c r="I505" s="17">
        <f t="shared" si="88"/>
        <v>5.6955242123820202</v>
      </c>
      <c r="J505" s="17">
        <f t="shared" si="89"/>
        <v>2.9563972119553799</v>
      </c>
      <c r="K505" s="15">
        <f t="shared" si="90"/>
        <v>1.60554292794046E-5</v>
      </c>
      <c r="L505" s="15">
        <f t="shared" si="91"/>
        <v>1.29186363772016E-3</v>
      </c>
      <c r="M505" s="15">
        <f t="shared" si="92"/>
        <v>0.13831043523002401</v>
      </c>
      <c r="N505" s="15">
        <f t="shared" si="93"/>
        <v>-7.1793318727261898E-2</v>
      </c>
      <c r="O505" s="17">
        <v>-4.6956037000000004</v>
      </c>
      <c r="P505" s="17">
        <v>-10.612749000000001</v>
      </c>
      <c r="Q505" s="17">
        <v>-8.4201698</v>
      </c>
      <c r="R505" s="17">
        <v>-7.7731585000000001</v>
      </c>
      <c r="S505" s="17">
        <f t="shared" si="94"/>
        <v>0.98745507966463764</v>
      </c>
      <c r="T505" s="17">
        <f t="shared" si="95"/>
        <v>-23.421097817484736</v>
      </c>
    </row>
    <row r="506" spans="1:20" x14ac:dyDescent="0.35">
      <c r="A506" s="16">
        <v>2.25</v>
      </c>
      <c r="B506" s="16">
        <v>15</v>
      </c>
      <c r="C506" s="16">
        <v>-1.7153554000000001E-2</v>
      </c>
      <c r="D506" s="16">
        <v>-2.9188189E-2</v>
      </c>
      <c r="E506" s="16">
        <v>0.98282263999999997</v>
      </c>
      <c r="F506" s="16">
        <v>-3.1962101E-2</v>
      </c>
      <c r="G506" s="16">
        <f t="shared" si="86"/>
        <v>6.4807138249890697</v>
      </c>
      <c r="H506" s="16">
        <f t="shared" si="87"/>
        <v>-12.4333585009717</v>
      </c>
      <c r="I506" s="16">
        <f t="shared" si="88"/>
        <v>6.48070384555934</v>
      </c>
      <c r="J506" s="16">
        <f t="shared" si="89"/>
        <v>-12.4347454873221</v>
      </c>
      <c r="K506" s="15">
        <f t="shared" si="90"/>
        <v>9.9794297296895706E-6</v>
      </c>
      <c r="L506" s="15">
        <f t="shared" si="91"/>
        <v>1.3869863504005801E-3</v>
      </c>
      <c r="M506" s="15">
        <f t="shared" si="92"/>
        <v>3.2960147283365299E-2</v>
      </c>
      <c r="N506" s="15">
        <f t="shared" si="93"/>
        <v>6.3241748498372302E-2</v>
      </c>
      <c r="O506" s="16">
        <v>5.4111918000000001</v>
      </c>
      <c r="P506" s="16">
        <v>-2.8299878999999999</v>
      </c>
      <c r="Q506" s="16">
        <v>3.7212212999999998</v>
      </c>
      <c r="R506" s="16">
        <v>-4.5875266999999997</v>
      </c>
      <c r="S506" s="16">
        <f t="shared" si="94"/>
        <v>0.96732692056441549</v>
      </c>
      <c r="T506" s="16">
        <f t="shared" si="95"/>
        <v>-23.343370906779551</v>
      </c>
    </row>
    <row r="507" spans="1:20" x14ac:dyDescent="0.35">
      <c r="A507" s="17">
        <v>2.25</v>
      </c>
      <c r="B507" s="17">
        <v>15.0488</v>
      </c>
      <c r="C507" s="17">
        <v>-1.8323916999999999E-2</v>
      </c>
      <c r="D507" s="17">
        <v>-3.0068891E-2</v>
      </c>
      <c r="E507" s="17">
        <v>0.98156969999999999</v>
      </c>
      <c r="F507" s="17">
        <v>-3.2950765999999999E-2</v>
      </c>
      <c r="G507" s="17">
        <f t="shared" si="86"/>
        <v>6.4056630152105196</v>
      </c>
      <c r="H507" s="17">
        <f t="shared" si="87"/>
        <v>-11.8398501276492</v>
      </c>
      <c r="I507" s="17">
        <f t="shared" si="88"/>
        <v>6.40561189750896</v>
      </c>
      <c r="J507" s="17">
        <f t="shared" si="89"/>
        <v>-11.841291215460201</v>
      </c>
      <c r="K507" s="15">
        <f t="shared" si="90"/>
        <v>5.1117701559633099E-5</v>
      </c>
      <c r="L507" s="15">
        <f t="shared" si="91"/>
        <v>1.44108781100094E-3</v>
      </c>
      <c r="M507" s="15">
        <f t="shared" si="92"/>
        <v>3.5341688919452698E-2</v>
      </c>
      <c r="N507" s="15">
        <f t="shared" si="93"/>
        <v>6.5331967849033695E-2</v>
      </c>
      <c r="O507" s="17">
        <v>5.5262247000000002</v>
      </c>
      <c r="P507" s="17">
        <v>-3.0090823000000002</v>
      </c>
      <c r="Q507" s="17">
        <v>3.7654690999999998</v>
      </c>
      <c r="R507" s="17">
        <v>-4.8016205000000003</v>
      </c>
      <c r="S507" s="17">
        <f t="shared" si="94"/>
        <v>0.96974702461534379</v>
      </c>
      <c r="T507" s="17">
        <f t="shared" si="95"/>
        <v>-23.327459144802091</v>
      </c>
    </row>
    <row r="508" spans="1:20" x14ac:dyDescent="0.35">
      <c r="A508" s="16">
        <v>2.25</v>
      </c>
      <c r="B508" s="16">
        <v>15.0976</v>
      </c>
      <c r="C508" s="16">
        <v>-1.9578352E-2</v>
      </c>
      <c r="D508" s="16">
        <v>-3.0913953000000001E-2</v>
      </c>
      <c r="E508" s="16">
        <v>0.98031800999999996</v>
      </c>
      <c r="F508" s="16">
        <v>-3.3794005000000002E-2</v>
      </c>
      <c r="G508" s="16">
        <f t="shared" si="86"/>
        <v>6.35354345376824</v>
      </c>
      <c r="H508" s="16">
        <f t="shared" si="87"/>
        <v>-11.2950855495339</v>
      </c>
      <c r="I508" s="16">
        <f t="shared" si="88"/>
        <v>6.3534937060758798</v>
      </c>
      <c r="J508" s="16">
        <f t="shared" si="89"/>
        <v>-11.2965257218001</v>
      </c>
      <c r="K508" s="15">
        <f t="shared" si="90"/>
        <v>4.9747692360213598E-5</v>
      </c>
      <c r="L508" s="15">
        <f t="shared" si="91"/>
        <v>1.44017226620008E-3</v>
      </c>
      <c r="M508" s="15">
        <f t="shared" si="92"/>
        <v>3.7823283391372399E-2</v>
      </c>
      <c r="N508" s="15">
        <f t="shared" si="93"/>
        <v>6.7249880692409197E-2</v>
      </c>
      <c r="O508" s="16">
        <v>5.6434632999999996</v>
      </c>
      <c r="P508" s="16">
        <v>-3.2041178000000001</v>
      </c>
      <c r="Q508" s="16">
        <v>3.8011694</v>
      </c>
      <c r="R508" s="16">
        <v>-5.0294783000000001</v>
      </c>
      <c r="S508" s="16">
        <f t="shared" si="94"/>
        <v>0.97144918232118538</v>
      </c>
      <c r="T508" s="16">
        <f t="shared" si="95"/>
        <v>-23.332748924475791</v>
      </c>
    </row>
    <row r="509" spans="1:20" x14ac:dyDescent="0.35">
      <c r="A509" s="17">
        <v>2.25</v>
      </c>
      <c r="B509" s="17">
        <v>15.1464</v>
      </c>
      <c r="C509" s="17">
        <v>-2.0920694E-2</v>
      </c>
      <c r="D509" s="17">
        <v>-3.1741223999999998E-2</v>
      </c>
      <c r="E509" s="17">
        <v>0.97897780000000001</v>
      </c>
      <c r="F509" s="17">
        <v>-3.4621618E-2</v>
      </c>
      <c r="G509" s="17">
        <f t="shared" si="86"/>
        <v>6.3053638340199498</v>
      </c>
      <c r="H509" s="17">
        <f t="shared" si="87"/>
        <v>-10.766816985571101</v>
      </c>
      <c r="I509" s="17">
        <f t="shared" si="88"/>
        <v>6.3053151529228897</v>
      </c>
      <c r="J509" s="17">
        <f t="shared" si="89"/>
        <v>-10.768257325783001</v>
      </c>
      <c r="K509" s="15">
        <f t="shared" si="90"/>
        <v>4.8681097060132599E-5</v>
      </c>
      <c r="L509" s="15">
        <f t="shared" si="91"/>
        <v>1.4403402119000899E-3</v>
      </c>
      <c r="M509" s="15">
        <f t="shared" si="92"/>
        <v>4.04933490827055E-2</v>
      </c>
      <c r="N509" s="15">
        <f t="shared" si="93"/>
        <v>6.9154799138501505E-2</v>
      </c>
      <c r="O509" s="17">
        <v>5.7591866999999999</v>
      </c>
      <c r="P509" s="17">
        <v>-3.4128756999999998</v>
      </c>
      <c r="Q509" s="17">
        <v>3.8297430000000001</v>
      </c>
      <c r="R509" s="17">
        <v>-5.2691502000000003</v>
      </c>
      <c r="S509" s="17">
        <f t="shared" si="94"/>
        <v>0.97302653119002047</v>
      </c>
      <c r="T509" s="17">
        <f t="shared" si="95"/>
        <v>-23.338611995630153</v>
      </c>
    </row>
    <row r="510" spans="1:20" x14ac:dyDescent="0.35">
      <c r="A510" s="16">
        <v>2.25</v>
      </c>
      <c r="B510" s="16">
        <v>15.1952</v>
      </c>
      <c r="C510" s="16">
        <v>-2.2360555000000001E-2</v>
      </c>
      <c r="D510" s="16">
        <v>-3.2552418999999999E-2</v>
      </c>
      <c r="E510" s="16">
        <v>0.97753902999999998</v>
      </c>
      <c r="F510" s="16">
        <v>-3.5433724999999999E-2</v>
      </c>
      <c r="G510" s="16">
        <f t="shared" si="86"/>
        <v>6.2593290399447099</v>
      </c>
      <c r="H510" s="16">
        <f t="shared" si="87"/>
        <v>-10.2519223055259</v>
      </c>
      <c r="I510" s="16">
        <f t="shared" si="88"/>
        <v>6.2592809057132204</v>
      </c>
      <c r="J510" s="16">
        <f t="shared" si="89"/>
        <v>-10.253363100209301</v>
      </c>
      <c r="K510" s="15">
        <f t="shared" si="90"/>
        <v>4.8134231489527197E-5</v>
      </c>
      <c r="L510" s="15">
        <f t="shared" si="91"/>
        <v>1.44079468340053E-3</v>
      </c>
      <c r="M510" s="15">
        <f t="shared" si="92"/>
        <v>4.3373838516630799E-2</v>
      </c>
      <c r="N510" s="15">
        <f t="shared" si="93"/>
        <v>7.1050927743941006E-2</v>
      </c>
      <c r="O510" s="16">
        <v>5.8723425000000002</v>
      </c>
      <c r="P510" s="16">
        <v>-3.6364749999999999</v>
      </c>
      <c r="Q510" s="16">
        <v>3.8500928999999999</v>
      </c>
      <c r="R510" s="16">
        <v>-5.5214867999999999</v>
      </c>
      <c r="S510" s="16">
        <f t="shared" si="94"/>
        <v>0.97454063857443318</v>
      </c>
      <c r="T510" s="16">
        <f t="shared" si="95"/>
        <v>-23.34416220748988</v>
      </c>
    </row>
    <row r="511" spans="1:20" x14ac:dyDescent="0.35">
      <c r="A511" s="17">
        <v>2.25</v>
      </c>
      <c r="B511" s="17">
        <v>15.244</v>
      </c>
      <c r="C511" s="17">
        <v>-2.3906726999999999E-2</v>
      </c>
      <c r="D511" s="17">
        <v>-3.3343261999999999E-2</v>
      </c>
      <c r="E511" s="17">
        <v>0.97599318000000002</v>
      </c>
      <c r="F511" s="17">
        <v>-3.6225658000000001E-2</v>
      </c>
      <c r="G511" s="17">
        <f t="shared" si="86"/>
        <v>6.2147967197106002</v>
      </c>
      <c r="H511" s="17">
        <f t="shared" si="87"/>
        <v>-9.7489120833318506</v>
      </c>
      <c r="I511" s="17">
        <f t="shared" si="88"/>
        <v>6.2147487480650501</v>
      </c>
      <c r="J511" s="17">
        <f t="shared" si="89"/>
        <v>-9.7503534226024602</v>
      </c>
      <c r="K511" s="15">
        <f t="shared" si="90"/>
        <v>4.7971645550148898E-5</v>
      </c>
      <c r="L511" s="15">
        <f t="shared" si="91"/>
        <v>1.44133927060963E-3</v>
      </c>
      <c r="M511" s="15">
        <f t="shared" si="92"/>
        <v>4.6485397708541799E-2</v>
      </c>
      <c r="N511" s="15">
        <f t="shared" si="93"/>
        <v>7.2931195615854205E-2</v>
      </c>
      <c r="O511" s="17">
        <v>5.9818930999999997</v>
      </c>
      <c r="P511" s="17">
        <v>-3.8761250999999999</v>
      </c>
      <c r="Q511" s="17">
        <v>3.8608684000000002</v>
      </c>
      <c r="R511" s="17">
        <v>-5.7873196</v>
      </c>
      <c r="S511" s="17">
        <f t="shared" si="94"/>
        <v>0.97601484024459917</v>
      </c>
      <c r="T511" s="17">
        <f t="shared" si="95"/>
        <v>-23.349454588926189</v>
      </c>
    </row>
    <row r="512" spans="1:20" x14ac:dyDescent="0.35">
      <c r="A512" s="16">
        <v>2.25</v>
      </c>
      <c r="B512" s="16">
        <v>15.2928</v>
      </c>
      <c r="C512" s="16">
        <v>-2.5567344999999998E-2</v>
      </c>
      <c r="D512" s="16">
        <v>-3.4106457999999999E-2</v>
      </c>
      <c r="E512" s="16">
        <v>0.97433232000000003</v>
      </c>
      <c r="F512" s="16">
        <v>-3.6989978999999999E-2</v>
      </c>
      <c r="G512" s="16">
        <f t="shared" si="86"/>
        <v>6.1714848115721299</v>
      </c>
      <c r="H512" s="16">
        <f t="shared" si="87"/>
        <v>-9.2569517064716198</v>
      </c>
      <c r="I512" s="16">
        <f t="shared" si="88"/>
        <v>6.1714367205371099</v>
      </c>
      <c r="J512" s="16">
        <f t="shared" si="89"/>
        <v>-9.2583936086439902</v>
      </c>
      <c r="K512" s="15">
        <f t="shared" si="90"/>
        <v>4.8091035020014799E-5</v>
      </c>
      <c r="L512" s="15">
        <f t="shared" si="91"/>
        <v>1.44190217237039E-3</v>
      </c>
      <c r="M512" s="15">
        <f t="shared" si="92"/>
        <v>4.9848249034652202E-2</v>
      </c>
      <c r="N512" s="15">
        <f t="shared" si="93"/>
        <v>7.4782377453325194E-2</v>
      </c>
      <c r="O512" s="16">
        <v>6.0865543000000004</v>
      </c>
      <c r="P512" s="16">
        <v>-4.1329663999999999</v>
      </c>
      <c r="Q512" s="16">
        <v>3.860541</v>
      </c>
      <c r="R512" s="16">
        <v>-6.0674938999999997</v>
      </c>
      <c r="S512" s="16">
        <f t="shared" si="94"/>
        <v>0.97749095064444125</v>
      </c>
      <c r="T512" s="16">
        <f t="shared" si="95"/>
        <v>-23.35501574106824</v>
      </c>
    </row>
    <row r="513" spans="1:20" x14ac:dyDescent="0.35">
      <c r="A513" s="17">
        <v>2.25</v>
      </c>
      <c r="B513" s="17">
        <v>15.3416</v>
      </c>
      <c r="C513" s="17">
        <v>-2.7350072999999999E-2</v>
      </c>
      <c r="D513" s="17">
        <v>-3.4832465999999999E-2</v>
      </c>
      <c r="E513" s="17">
        <v>0.97254894000000003</v>
      </c>
      <c r="F513" s="17">
        <v>-3.7717094E-2</v>
      </c>
      <c r="G513" s="17">
        <f t="shared" si="86"/>
        <v>6.1292447108374901</v>
      </c>
      <c r="H513" s="17">
        <f t="shared" si="87"/>
        <v>-8.77550299030022</v>
      </c>
      <c r="I513" s="17">
        <f t="shared" si="88"/>
        <v>6.1291962953682502</v>
      </c>
      <c r="J513" s="17">
        <f t="shared" si="89"/>
        <v>-8.7769454469651897</v>
      </c>
      <c r="K513" s="15">
        <f t="shared" si="90"/>
        <v>4.8415469239948502E-5</v>
      </c>
      <c r="L513" s="15">
        <f t="shared" si="91"/>
        <v>1.4424566649697799E-3</v>
      </c>
      <c r="M513" s="15">
        <f t="shared" si="92"/>
        <v>5.3482539543564099E-2</v>
      </c>
      <c r="N513" s="15">
        <f t="shared" si="93"/>
        <v>7.6586441242508393E-2</v>
      </c>
      <c r="O513" s="17">
        <v>6.1943530999999998</v>
      </c>
      <c r="P513" s="17">
        <v>-4.4149501000000004</v>
      </c>
      <c r="Q513" s="17">
        <v>3.8470219000000001</v>
      </c>
      <c r="R513" s="17">
        <v>-6.3617626999999999</v>
      </c>
      <c r="S513" s="17">
        <f t="shared" si="94"/>
        <v>0.97736116092473357</v>
      </c>
      <c r="T513" s="17">
        <f t="shared" si="95"/>
        <v>-23.359313091266788</v>
      </c>
    </row>
    <row r="514" spans="1:20" x14ac:dyDescent="0.35">
      <c r="A514" s="16">
        <v>2.25</v>
      </c>
      <c r="B514" s="16">
        <v>15.3904</v>
      </c>
      <c r="C514" s="16">
        <v>-2.9262066999999999E-2</v>
      </c>
      <c r="D514" s="16">
        <v>-3.5509665000000003E-2</v>
      </c>
      <c r="E514" s="16">
        <v>0.97063593999999997</v>
      </c>
      <c r="F514" s="16">
        <v>-3.8395362000000002E-2</v>
      </c>
      <c r="G514" s="16">
        <f t="shared" si="86"/>
        <v>6.0879878859993699</v>
      </c>
      <c r="H514" s="16">
        <f t="shared" si="87"/>
        <v>-8.3041698533079007</v>
      </c>
      <c r="I514" s="16">
        <f t="shared" si="88"/>
        <v>6.0879389690245898</v>
      </c>
      <c r="J514" s="16">
        <f t="shared" si="89"/>
        <v>-8.3056128459752703</v>
      </c>
      <c r="K514" s="15">
        <f t="shared" si="90"/>
        <v>4.8916974780155402E-5</v>
      </c>
      <c r="L514" s="15">
        <f t="shared" si="91"/>
        <v>1.4429926673695801E-3</v>
      </c>
      <c r="M514" s="15">
        <f t="shared" si="92"/>
        <v>5.7408362066418799E-2</v>
      </c>
      <c r="N514" s="15">
        <f t="shared" si="93"/>
        <v>7.8320698001616604E-2</v>
      </c>
      <c r="O514" s="16">
        <v>6.2773130999999998</v>
      </c>
      <c r="P514" s="16">
        <v>-4.7043879000000004</v>
      </c>
      <c r="Q514" s="16">
        <v>3.8183880000000001</v>
      </c>
      <c r="R514" s="16">
        <v>-6.6706583000000004</v>
      </c>
      <c r="S514" s="16">
        <f t="shared" si="94"/>
        <v>0.97982310416235674</v>
      </c>
      <c r="T514" s="16">
        <f t="shared" si="95"/>
        <v>-23.363630325953356</v>
      </c>
    </row>
    <row r="515" spans="1:20" x14ac:dyDescent="0.35">
      <c r="A515" s="17">
        <v>2.25</v>
      </c>
      <c r="B515" s="17">
        <v>15.4392</v>
      </c>
      <c r="C515" s="17">
        <v>-3.1309795000000001E-2</v>
      </c>
      <c r="D515" s="17">
        <v>-3.6124310999999999E-2</v>
      </c>
      <c r="E515" s="17">
        <v>0.96858690000000003</v>
      </c>
      <c r="F515" s="17">
        <v>-3.9011031000000002E-2</v>
      </c>
      <c r="G515" s="17">
        <f t="shared" si="86"/>
        <v>6.04765443884187</v>
      </c>
      <c r="H515" s="17">
        <f t="shared" si="87"/>
        <v>-7.8426405992737198</v>
      </c>
      <c r="I515" s="17">
        <f t="shared" si="88"/>
        <v>6.0476048672803602</v>
      </c>
      <c r="J515" s="17">
        <f t="shared" si="89"/>
        <v>-7.8440841053840202</v>
      </c>
      <c r="K515" s="15">
        <f t="shared" si="90"/>
        <v>4.9571561509864603E-5</v>
      </c>
      <c r="L515" s="15">
        <f t="shared" si="91"/>
        <v>1.4435061103004201E-3</v>
      </c>
      <c r="M515" s="15">
        <f t="shared" si="92"/>
        <v>6.1645349948474301E-2</v>
      </c>
      <c r="N515" s="15">
        <f t="shared" si="93"/>
        <v>7.9957490661773101E-2</v>
      </c>
      <c r="O515" s="17">
        <v>6.3568198999999996</v>
      </c>
      <c r="P515" s="17">
        <v>-5.0189757000000004</v>
      </c>
      <c r="Q515" s="17">
        <v>3.7724169000000001</v>
      </c>
      <c r="R515" s="17">
        <v>-6.9948459999999999</v>
      </c>
      <c r="S515" s="17">
        <f t="shared" si="94"/>
        <v>0.98122385464714423</v>
      </c>
      <c r="T515" s="17">
        <f t="shared" si="95"/>
        <v>-23.368831866006801</v>
      </c>
    </row>
    <row r="516" spans="1:20" x14ac:dyDescent="0.35">
      <c r="A516" s="16">
        <v>2.25</v>
      </c>
      <c r="B516" s="16">
        <v>15.488</v>
      </c>
      <c r="C516" s="16">
        <v>-3.3498734000000002E-2</v>
      </c>
      <c r="D516" s="16">
        <v>-3.6660439000000003E-2</v>
      </c>
      <c r="E516" s="16">
        <v>0.96639635999999995</v>
      </c>
      <c r="F516" s="16">
        <v>-3.9548132999999999E-2</v>
      </c>
      <c r="G516" s="16">
        <f t="shared" si="86"/>
        <v>6.0082000000094604</v>
      </c>
      <c r="H516" s="16">
        <f t="shared" si="87"/>
        <v>-7.3906515019611296</v>
      </c>
      <c r="I516" s="16">
        <f t="shared" si="88"/>
        <v>6.0081496292759002</v>
      </c>
      <c r="J516" s="16">
        <f t="shared" si="89"/>
        <v>-7.3920954974306703</v>
      </c>
      <c r="K516" s="15">
        <f t="shared" si="90"/>
        <v>5.0370733560178801E-5</v>
      </c>
      <c r="L516" s="15">
        <f t="shared" si="91"/>
        <v>1.44399546954066E-3</v>
      </c>
      <c r="M516" s="15">
        <f t="shared" si="92"/>
        <v>6.6212117421537098E-2</v>
      </c>
      <c r="N516" s="15">
        <f t="shared" si="93"/>
        <v>8.1463732641106595E-2</v>
      </c>
      <c r="O516" s="16">
        <v>6.4312733</v>
      </c>
      <c r="P516" s="16">
        <v>-5.3609923000000004</v>
      </c>
      <c r="Q516" s="16">
        <v>3.7063245</v>
      </c>
      <c r="R516" s="16">
        <v>-7.3332024999999996</v>
      </c>
      <c r="S516" s="16">
        <f t="shared" si="94"/>
        <v>0.98136154975295076</v>
      </c>
      <c r="T516" s="16">
        <f t="shared" si="95"/>
        <v>-23.37322332368306</v>
      </c>
    </row>
    <row r="517" spans="1:20" x14ac:dyDescent="0.35">
      <c r="A517" s="17">
        <v>2.25</v>
      </c>
      <c r="B517" s="17">
        <v>15.536799999999999</v>
      </c>
      <c r="C517" s="17">
        <v>-3.5832971999999998E-2</v>
      </c>
      <c r="D517" s="17">
        <v>-3.7099763000000001E-2</v>
      </c>
      <c r="E517" s="17">
        <v>0.96406026</v>
      </c>
      <c r="F517" s="17">
        <v>-3.9988384000000002E-2</v>
      </c>
      <c r="G517" s="17">
        <f t="shared" si="86"/>
        <v>5.9695884070421199</v>
      </c>
      <c r="H517" s="17">
        <f t="shared" si="87"/>
        <v>-6.9479716518837398</v>
      </c>
      <c r="I517" s="17">
        <f t="shared" si="88"/>
        <v>5.9695371065547</v>
      </c>
      <c r="J517" s="17">
        <f t="shared" si="89"/>
        <v>-6.94941611358872</v>
      </c>
      <c r="K517" s="15">
        <f t="shared" si="90"/>
        <v>5.1300487419858598E-5</v>
      </c>
      <c r="L517" s="15">
        <f t="shared" si="91"/>
        <v>1.4444617049802499E-3</v>
      </c>
      <c r="M517" s="15">
        <f t="shared" si="92"/>
        <v>7.1125394356271507E-2</v>
      </c>
      <c r="N517" s="15">
        <f t="shared" si="93"/>
        <v>8.2800383480671105E-2</v>
      </c>
      <c r="O517" s="17">
        <v>6.4821966</v>
      </c>
      <c r="P517" s="17">
        <v>-5.7181531999999997</v>
      </c>
      <c r="Q517" s="17">
        <v>3.6174811999999998</v>
      </c>
      <c r="R517" s="17">
        <v>-7.6854392999999996</v>
      </c>
      <c r="S517" s="17">
        <f t="shared" si="94"/>
        <v>0.98269193469614136</v>
      </c>
      <c r="T517" s="17">
        <f t="shared" si="95"/>
        <v>-23.377422100038462</v>
      </c>
    </row>
    <row r="518" spans="1:20" x14ac:dyDescent="0.35">
      <c r="A518" s="16">
        <v>2.25</v>
      </c>
      <c r="B518" s="16">
        <v>15.585599999999999</v>
      </c>
      <c r="C518" s="16">
        <v>-3.8316969999999999E-2</v>
      </c>
      <c r="D518" s="16">
        <v>-3.7423495000000001E-2</v>
      </c>
      <c r="E518" s="16">
        <v>0.9617076</v>
      </c>
      <c r="F518" s="16">
        <v>-4.0188138999999998E-2</v>
      </c>
      <c r="G518" s="16">
        <f t="shared" si="86"/>
        <v>5.94178185262904</v>
      </c>
      <c r="H518" s="16">
        <f t="shared" si="87"/>
        <v>-6.5253743545840903</v>
      </c>
      <c r="I518" s="16">
        <f t="shared" si="88"/>
        <v>5.9417960482181602</v>
      </c>
      <c r="J518" s="16">
        <f t="shared" si="89"/>
        <v>-6.5267566399798396</v>
      </c>
      <c r="K518" s="15">
        <f t="shared" si="90"/>
        <v>-1.41955891201917E-5</v>
      </c>
      <c r="L518" s="15">
        <f t="shared" si="91"/>
        <v>1.38228539574925E-3</v>
      </c>
      <c r="M518" s="15">
        <f t="shared" si="92"/>
        <v>7.6271240945802302E-2</v>
      </c>
      <c r="N518" s="15">
        <f t="shared" si="93"/>
        <v>8.3780026147447395E-2</v>
      </c>
      <c r="O518" s="16">
        <v>6.5079456999999996</v>
      </c>
      <c r="P518" s="16">
        <v>-6.0905968000000001</v>
      </c>
      <c r="Q518" s="16">
        <v>3.5029398</v>
      </c>
      <c r="R518" s="16">
        <v>-8.0500898000000003</v>
      </c>
      <c r="S518" s="16">
        <f t="shared" si="94"/>
        <v>0.98494500179103883</v>
      </c>
      <c r="T518" s="16">
        <f t="shared" si="95"/>
        <v>-23.381402810901836</v>
      </c>
    </row>
    <row r="519" spans="1:20" x14ac:dyDescent="0.35">
      <c r="A519" s="17">
        <v>2.25</v>
      </c>
      <c r="B519" s="17">
        <v>15.634399999999999</v>
      </c>
      <c r="C519" s="17">
        <v>-4.0946220999999998E-2</v>
      </c>
      <c r="D519" s="17">
        <v>-3.7604635999999997E-2</v>
      </c>
      <c r="E519" s="17">
        <v>0.95907960000000003</v>
      </c>
      <c r="F519" s="17">
        <v>-4.0371523999999999E-2</v>
      </c>
      <c r="G519" s="17">
        <f t="shared" si="86"/>
        <v>5.9046161206555201</v>
      </c>
      <c r="H519" s="17">
        <f t="shared" si="87"/>
        <v>-6.0995716673905598</v>
      </c>
      <c r="I519" s="17">
        <f t="shared" si="88"/>
        <v>5.9046309448283498</v>
      </c>
      <c r="J519" s="17">
        <f t="shared" si="89"/>
        <v>-6.1009550730216802</v>
      </c>
      <c r="K519" s="15">
        <f t="shared" si="90"/>
        <v>-1.48241728297194E-5</v>
      </c>
      <c r="L519" s="15">
        <f t="shared" si="91"/>
        <v>1.38340563112038E-3</v>
      </c>
      <c r="M519" s="15">
        <f t="shared" si="92"/>
        <v>8.1910562145035101E-2</v>
      </c>
      <c r="N519" s="15">
        <f t="shared" si="93"/>
        <v>8.4634021045889005E-2</v>
      </c>
      <c r="O519" s="17">
        <v>6.5239072</v>
      </c>
      <c r="P519" s="17">
        <v>-6.4966166999999997</v>
      </c>
      <c r="Q519" s="17">
        <v>3.3591669999999998</v>
      </c>
      <c r="R519" s="17">
        <v>-8.4265477000000004</v>
      </c>
      <c r="S519" s="17">
        <f t="shared" si="94"/>
        <v>0.98528299438565214</v>
      </c>
      <c r="T519" s="17">
        <f t="shared" si="95"/>
        <v>-23.385838777900467</v>
      </c>
    </row>
    <row r="520" spans="1:20" x14ac:dyDescent="0.35">
      <c r="A520" s="16">
        <v>2.25</v>
      </c>
      <c r="B520" s="16">
        <v>15.683199999999999</v>
      </c>
      <c r="C520" s="16">
        <v>-4.3719137999999998E-2</v>
      </c>
      <c r="D520" s="16">
        <v>-3.7620000000000001E-2</v>
      </c>
      <c r="E520" s="16">
        <v>0.95630817000000001</v>
      </c>
      <c r="F520" s="16">
        <v>-4.0389240999999999E-2</v>
      </c>
      <c r="G520" s="16">
        <f t="shared" si="86"/>
        <v>5.8682138472216296</v>
      </c>
      <c r="H520" s="16">
        <f t="shared" si="87"/>
        <v>-5.6825777555070403</v>
      </c>
      <c r="I520" s="16">
        <f t="shared" si="88"/>
        <v>5.8682294181269201</v>
      </c>
      <c r="J520" s="16">
        <f t="shared" si="89"/>
        <v>-5.6839623355421898</v>
      </c>
      <c r="K520" s="15">
        <f t="shared" si="90"/>
        <v>-1.5570905290473999E-5</v>
      </c>
      <c r="L520" s="15">
        <f t="shared" si="91"/>
        <v>1.3845800351495201E-3</v>
      </c>
      <c r="M520" s="15">
        <f t="shared" si="92"/>
        <v>8.7922052635044795E-2</v>
      </c>
      <c r="N520" s="15">
        <f t="shared" si="93"/>
        <v>8.5161230080310305E-2</v>
      </c>
      <c r="O520" s="16">
        <v>6.5072520999999997</v>
      </c>
      <c r="P520" s="16">
        <v>-6.9171845999999997</v>
      </c>
      <c r="Q520" s="16">
        <v>3.1831746000000001</v>
      </c>
      <c r="R520" s="16">
        <v>-8.8120972999999996</v>
      </c>
      <c r="S520" s="16">
        <f t="shared" si="94"/>
        <v>0.98657095672343831</v>
      </c>
      <c r="T520" s="16">
        <f t="shared" si="95"/>
        <v>-23.389813814333092</v>
      </c>
    </row>
    <row r="521" spans="1:20" x14ac:dyDescent="0.35">
      <c r="A521" s="17">
        <v>2.25</v>
      </c>
      <c r="B521" s="17">
        <v>15.731999999999999</v>
      </c>
      <c r="C521" s="17">
        <v>-4.662823E-2</v>
      </c>
      <c r="D521" s="17">
        <v>-3.7442448000000003E-2</v>
      </c>
      <c r="E521" s="17">
        <v>0.95340086000000002</v>
      </c>
      <c r="F521" s="17">
        <v>-4.0214185E-2</v>
      </c>
      <c r="G521" s="17">
        <f t="shared" si="86"/>
        <v>5.8325575782370498</v>
      </c>
      <c r="H521" s="17">
        <f t="shared" si="87"/>
        <v>-5.2742144360739101</v>
      </c>
      <c r="I521" s="17">
        <f t="shared" si="88"/>
        <v>5.8325740435695197</v>
      </c>
      <c r="J521" s="17">
        <f t="shared" si="89"/>
        <v>-5.2756002615983002</v>
      </c>
      <c r="K521" s="15">
        <f t="shared" si="90"/>
        <v>-1.6465332469905999E-5</v>
      </c>
      <c r="L521" s="15">
        <f t="shared" si="91"/>
        <v>1.38582552439015E-3</v>
      </c>
      <c r="M521" s="15">
        <f t="shared" si="92"/>
        <v>9.4300585914317697E-2</v>
      </c>
      <c r="N521" s="15">
        <f t="shared" si="93"/>
        <v>8.5295478806126507E-2</v>
      </c>
      <c r="O521" s="17">
        <v>6.4554121999999996</v>
      </c>
      <c r="P521" s="17">
        <v>-7.3513652</v>
      </c>
      <c r="Q521" s="17">
        <v>2.9715562000000002</v>
      </c>
      <c r="R521" s="17">
        <v>-9.2041071999999993</v>
      </c>
      <c r="S521" s="17">
        <f t="shared" si="94"/>
        <v>0.98860359116104479</v>
      </c>
      <c r="T521" s="17">
        <f t="shared" si="95"/>
        <v>-23.394421821571932</v>
      </c>
    </row>
    <row r="522" spans="1:20" x14ac:dyDescent="0.35">
      <c r="A522" s="16">
        <v>2.25</v>
      </c>
      <c r="B522" s="16">
        <v>15.780799999999999</v>
      </c>
      <c r="C522" s="16">
        <v>-4.9661220999999998E-2</v>
      </c>
      <c r="D522" s="16">
        <v>-3.7043484000000002E-2</v>
      </c>
      <c r="E522" s="16">
        <v>0.95036995000000002</v>
      </c>
      <c r="F522" s="16">
        <v>-3.9817893E-2</v>
      </c>
      <c r="G522" s="16">
        <f t="shared" si="86"/>
        <v>5.79763028190008</v>
      </c>
      <c r="H522" s="16">
        <f t="shared" si="87"/>
        <v>-4.8743090602201802</v>
      </c>
      <c r="I522" s="16">
        <f t="shared" si="88"/>
        <v>5.7976477913998297</v>
      </c>
      <c r="J522" s="16">
        <f t="shared" si="89"/>
        <v>-4.8756962188113704</v>
      </c>
      <c r="K522" s="15">
        <f t="shared" si="90"/>
        <v>-1.7509499749657199E-5</v>
      </c>
      <c r="L522" s="15">
        <f t="shared" si="91"/>
        <v>1.3871585911902099E-3</v>
      </c>
      <c r="M522" s="15">
        <f t="shared" si="92"/>
        <v>0.101030483587568</v>
      </c>
      <c r="N522" s="15">
        <f t="shared" si="93"/>
        <v>8.4964448434294002E-2</v>
      </c>
      <c r="O522" s="16">
        <v>6.3791732999999997</v>
      </c>
      <c r="P522" s="16">
        <v>-7.8142733</v>
      </c>
      <c r="Q522" s="16">
        <v>2.7213058000000001</v>
      </c>
      <c r="R522" s="16">
        <v>-9.5990614000000001</v>
      </c>
      <c r="S522" s="16">
        <f t="shared" si="94"/>
        <v>0.98908496018974734</v>
      </c>
      <c r="T522" s="16">
        <f t="shared" si="95"/>
        <v>-23.398564781599028</v>
      </c>
    </row>
    <row r="523" spans="1:20" x14ac:dyDescent="0.35">
      <c r="A523" s="17">
        <v>2.25</v>
      </c>
      <c r="B523" s="17">
        <v>15.829599999999999</v>
      </c>
      <c r="C523" s="17">
        <v>-5.2794795999999998E-2</v>
      </c>
      <c r="D523" s="17">
        <v>-3.6395093000000003E-2</v>
      </c>
      <c r="E523" s="17">
        <v>0.94723703000000004</v>
      </c>
      <c r="F523" s="17">
        <v>-3.9173284000000003E-2</v>
      </c>
      <c r="G523" s="17">
        <f t="shared" si="86"/>
        <v>5.7634237571605897</v>
      </c>
      <c r="H523" s="17">
        <f t="shared" si="87"/>
        <v>-4.4832715530582696</v>
      </c>
      <c r="I523" s="17">
        <f t="shared" si="88"/>
        <v>5.7634415993978498</v>
      </c>
      <c r="J523" s="17">
        <f t="shared" si="89"/>
        <v>-4.4846606016697796</v>
      </c>
      <c r="K523" s="15">
        <f t="shared" si="90"/>
        <v>-1.7842237260090599E-5</v>
      </c>
      <c r="L523" s="15">
        <f t="shared" si="91"/>
        <v>1.3890486115100101E-3</v>
      </c>
      <c r="M523" s="15">
        <f t="shared" si="92"/>
        <v>0.108072419717422</v>
      </c>
      <c r="N523" s="15">
        <f t="shared" si="93"/>
        <v>8.4093525452652806E-2</v>
      </c>
      <c r="O523" s="17">
        <v>6.2591697000000002</v>
      </c>
      <c r="P523" s="17">
        <v>-8.2846797999999993</v>
      </c>
      <c r="Q523" s="17">
        <v>2.4299596000000001</v>
      </c>
      <c r="R523" s="17">
        <v>-9.9914398999999996</v>
      </c>
      <c r="S523" s="17">
        <f t="shared" si="94"/>
        <v>0.99030880740028204</v>
      </c>
      <c r="T523" s="17">
        <f t="shared" si="95"/>
        <v>-23.402269180681259</v>
      </c>
    </row>
    <row r="524" spans="1:20" x14ac:dyDescent="0.35">
      <c r="A524" s="16">
        <v>2.25</v>
      </c>
      <c r="B524" s="16">
        <v>15.878399999999999</v>
      </c>
      <c r="C524" s="16">
        <v>-5.6020506999999997E-2</v>
      </c>
      <c r="D524" s="16">
        <v>-3.5465215000000001E-2</v>
      </c>
      <c r="E524" s="16">
        <v>0.94401389999999996</v>
      </c>
      <c r="F524" s="16">
        <v>-3.8246791000000002E-2</v>
      </c>
      <c r="G524" s="16">
        <f t="shared" si="86"/>
        <v>5.7298687219906999</v>
      </c>
      <c r="H524" s="16">
        <f t="shared" si="87"/>
        <v>-4.0992130049112898</v>
      </c>
      <c r="I524" s="16">
        <f t="shared" si="88"/>
        <v>5.7298878593824396</v>
      </c>
      <c r="J524" s="16">
        <f t="shared" si="89"/>
        <v>-4.1006037423696897</v>
      </c>
      <c r="K524" s="15">
        <f t="shared" si="90"/>
        <v>-1.9137391739754201E-5</v>
      </c>
      <c r="L524" s="15">
        <f t="shared" si="91"/>
        <v>1.3907374583999E-3</v>
      </c>
      <c r="M524" s="15">
        <f t="shared" si="92"/>
        <v>0.115413578999828</v>
      </c>
      <c r="N524" s="15">
        <f t="shared" si="93"/>
        <v>8.2595919079292604E-2</v>
      </c>
      <c r="O524" s="16">
        <v>6.0919173999999998</v>
      </c>
      <c r="P524" s="16">
        <v>-8.7613645000000009</v>
      </c>
      <c r="Q524" s="16">
        <v>2.0936252999999998</v>
      </c>
      <c r="R524" s="16">
        <v>-10.378822</v>
      </c>
      <c r="S524" s="16">
        <f t="shared" si="94"/>
        <v>0.99219883933363262</v>
      </c>
      <c r="T524" s="16">
        <f t="shared" si="95"/>
        <v>-23.406800362878403</v>
      </c>
    </row>
    <row r="525" spans="1:20" x14ac:dyDescent="0.35">
      <c r="A525" s="17">
        <v>2.25</v>
      </c>
      <c r="B525" s="17">
        <v>15.927199999999999</v>
      </c>
      <c r="C525" s="17">
        <v>-5.9293796000000003E-2</v>
      </c>
      <c r="D525" s="17">
        <v>-3.4230517000000002E-2</v>
      </c>
      <c r="E525" s="17">
        <v>0.94074352999999999</v>
      </c>
      <c r="F525" s="17">
        <v>-3.7015742999999997E-2</v>
      </c>
      <c r="G525" s="17">
        <f t="shared" si="86"/>
        <v>5.6970130528535003</v>
      </c>
      <c r="H525" s="17">
        <f t="shared" si="87"/>
        <v>-3.72358669369742</v>
      </c>
      <c r="I525" s="17">
        <f t="shared" si="88"/>
        <v>5.6970336547638096</v>
      </c>
      <c r="J525" s="17">
        <f t="shared" si="89"/>
        <v>-3.7249792520176102</v>
      </c>
      <c r="K525" s="15">
        <f t="shared" si="90"/>
        <v>-2.06019103092814E-5</v>
      </c>
      <c r="L525" s="15">
        <f t="shared" si="91"/>
        <v>1.3925583201901399E-3</v>
      </c>
      <c r="M525" s="15">
        <f t="shared" si="92"/>
        <v>0.122961994006312</v>
      </c>
      <c r="N525" s="15">
        <f t="shared" si="93"/>
        <v>8.0398134225032294E-2</v>
      </c>
      <c r="O525" s="17">
        <v>5.8859918999999996</v>
      </c>
      <c r="P525" s="17">
        <v>-9.2544842000000003</v>
      </c>
      <c r="Q525" s="17">
        <v>1.7120067999999999</v>
      </c>
      <c r="R525" s="17">
        <v>-10.752696</v>
      </c>
      <c r="S525" s="17">
        <f t="shared" si="94"/>
        <v>0.99274559455609013</v>
      </c>
      <c r="T525" s="17">
        <f t="shared" si="95"/>
        <v>-23.410475467277546</v>
      </c>
    </row>
    <row r="526" spans="1:20" x14ac:dyDescent="0.35">
      <c r="A526" s="16">
        <v>2.25</v>
      </c>
      <c r="B526" s="16">
        <v>15.976000000000001</v>
      </c>
      <c r="C526" s="16">
        <v>-6.2580268999999994E-2</v>
      </c>
      <c r="D526" s="16">
        <v>-3.2666812000000003E-2</v>
      </c>
      <c r="E526" s="16">
        <v>0.93746010999999996</v>
      </c>
      <c r="F526" s="16">
        <v>-3.5455891000000003E-2</v>
      </c>
      <c r="G526" s="16">
        <f t="shared" si="86"/>
        <v>5.66483215190644</v>
      </c>
      <c r="H526" s="16">
        <f t="shared" si="87"/>
        <v>-3.35580251958929</v>
      </c>
      <c r="I526" s="16">
        <f t="shared" si="88"/>
        <v>5.6648542856176798</v>
      </c>
      <c r="J526" s="16">
        <f t="shared" si="89"/>
        <v>-3.3571970000690898</v>
      </c>
      <c r="K526" s="15">
        <f t="shared" si="90"/>
        <v>-2.2133711239824499E-5</v>
      </c>
      <c r="L526" s="15">
        <f t="shared" si="91"/>
        <v>1.3944804797998401E-3</v>
      </c>
      <c r="M526" s="15">
        <f t="shared" si="92"/>
        <v>0.13064295363595499</v>
      </c>
      <c r="N526" s="15">
        <f t="shared" si="93"/>
        <v>7.7423727056903799E-2</v>
      </c>
      <c r="O526" s="16">
        <v>5.6229595999999997</v>
      </c>
      <c r="P526" s="16">
        <v>-9.7360366000000003</v>
      </c>
      <c r="Q526" s="16">
        <v>1.2838953</v>
      </c>
      <c r="R526" s="16">
        <v>-11.107237</v>
      </c>
      <c r="S526" s="16">
        <f t="shared" si="94"/>
        <v>0.99449078311020855</v>
      </c>
      <c r="T526" s="16">
        <f t="shared" si="95"/>
        <v>-23.41458502218293</v>
      </c>
    </row>
    <row r="527" spans="1:20" x14ac:dyDescent="0.35">
      <c r="A527" s="17">
        <v>2.25</v>
      </c>
      <c r="B527" s="17">
        <v>16.024799999999999</v>
      </c>
      <c r="C527" s="17">
        <v>-6.5834570999999995E-2</v>
      </c>
      <c r="D527" s="17">
        <v>-3.0757073999999999E-2</v>
      </c>
      <c r="E527" s="17">
        <v>0.93420908000000003</v>
      </c>
      <c r="F527" s="17">
        <v>-3.3550278000000003E-2</v>
      </c>
      <c r="G527" s="17">
        <f t="shared" si="86"/>
        <v>5.6333135800807002</v>
      </c>
      <c r="H527" s="17">
        <f t="shared" si="87"/>
        <v>-2.9958179587423901</v>
      </c>
      <c r="I527" s="17">
        <f t="shared" si="88"/>
        <v>5.6333373554699904</v>
      </c>
      <c r="J527" s="17">
        <f t="shared" si="89"/>
        <v>-2.9972144970574801</v>
      </c>
      <c r="K527" s="15">
        <f t="shared" si="90"/>
        <v>-2.3775389290214798E-5</v>
      </c>
      <c r="L527" s="15">
        <f t="shared" si="91"/>
        <v>1.39653831509001E-3</v>
      </c>
      <c r="M527" s="15">
        <f t="shared" si="92"/>
        <v>0.13835078269561599</v>
      </c>
      <c r="N527" s="15">
        <f t="shared" si="93"/>
        <v>7.3609469024947805E-2</v>
      </c>
      <c r="O527" s="17">
        <v>5.3138489</v>
      </c>
      <c r="P527" s="17">
        <v>-10.220923000000001</v>
      </c>
      <c r="Q527" s="17">
        <v>0.80992931000000001</v>
      </c>
      <c r="R527" s="17">
        <v>-11.434820999999999</v>
      </c>
      <c r="S527" s="17">
        <f t="shared" si="94"/>
        <v>0.99511580846593972</v>
      </c>
      <c r="T527" s="17">
        <f t="shared" si="95"/>
        <v>-23.418383324891277</v>
      </c>
    </row>
    <row r="528" spans="1:20" x14ac:dyDescent="0.35">
      <c r="A528" s="16">
        <v>2.25</v>
      </c>
      <c r="B528" s="16">
        <v>16.073599999999999</v>
      </c>
      <c r="C528" s="16">
        <v>-6.9004011000000004E-2</v>
      </c>
      <c r="D528" s="16">
        <v>-2.8492930999999999E-2</v>
      </c>
      <c r="E528" s="16">
        <v>0.93104251999999998</v>
      </c>
      <c r="F528" s="16">
        <v>-3.1290350000000001E-2</v>
      </c>
      <c r="G528" s="16">
        <f t="shared" si="86"/>
        <v>5.6024762859934301</v>
      </c>
      <c r="H528" s="16">
        <f t="shared" si="87"/>
        <v>-2.6437111292067299</v>
      </c>
      <c r="I528" s="16">
        <f t="shared" si="88"/>
        <v>5.6025015072000501</v>
      </c>
      <c r="J528" s="16">
        <f t="shared" si="89"/>
        <v>-2.6451097708894902</v>
      </c>
      <c r="K528" s="15">
        <f t="shared" si="90"/>
        <v>-2.5221206620074099E-5</v>
      </c>
      <c r="L528" s="15">
        <f t="shared" si="91"/>
        <v>1.3986416827602699E-3</v>
      </c>
      <c r="M528" s="15">
        <f t="shared" si="92"/>
        <v>0.145956901936213</v>
      </c>
      <c r="N528" s="15">
        <f t="shared" si="93"/>
        <v>6.8910651241070903E-2</v>
      </c>
      <c r="O528" s="16">
        <v>4.9461604000000001</v>
      </c>
      <c r="P528" s="16">
        <v>-10.679893</v>
      </c>
      <c r="Q528" s="16">
        <v>0.29231805</v>
      </c>
      <c r="R528" s="16">
        <v>-11.727891</v>
      </c>
      <c r="S528" s="16">
        <f t="shared" si="94"/>
        <v>0.99676161251755635</v>
      </c>
      <c r="T528" s="16">
        <f t="shared" si="95"/>
        <v>-23.42238494178341</v>
      </c>
    </row>
    <row r="529" spans="1:20" x14ac:dyDescent="0.35">
      <c r="A529" s="17">
        <v>2.25</v>
      </c>
      <c r="B529" s="17">
        <v>16.122399999999999</v>
      </c>
      <c r="C529" s="17">
        <v>-7.2039434999999999E-2</v>
      </c>
      <c r="D529" s="17">
        <v>-2.5870302000000001E-2</v>
      </c>
      <c r="E529" s="17">
        <v>0.92801082000000001</v>
      </c>
      <c r="F529" s="17">
        <v>-2.8672459000000001E-2</v>
      </c>
      <c r="G529" s="17">
        <f t="shared" si="86"/>
        <v>5.5722355180748497</v>
      </c>
      <c r="H529" s="17">
        <f t="shared" si="87"/>
        <v>-2.2988233063488601</v>
      </c>
      <c r="I529" s="17">
        <f t="shared" si="88"/>
        <v>5.5722626078126103</v>
      </c>
      <c r="J529" s="17">
        <f t="shared" si="89"/>
        <v>-2.3002243116902399</v>
      </c>
      <c r="K529" s="15">
        <f t="shared" si="90"/>
        <v>-2.7089737760555E-5</v>
      </c>
      <c r="L529" s="15">
        <f t="shared" si="91"/>
        <v>1.40100534137977E-3</v>
      </c>
      <c r="M529" s="15">
        <f t="shared" si="92"/>
        <v>0.15333207025031001</v>
      </c>
      <c r="N529" s="15">
        <f t="shared" si="93"/>
        <v>6.3295321950020605E-2</v>
      </c>
      <c r="O529" s="17">
        <v>4.5297045000000002</v>
      </c>
      <c r="P529" s="17">
        <v>-11.125951000000001</v>
      </c>
      <c r="Q529" s="17">
        <v>-0.26621065999999999</v>
      </c>
      <c r="R529" s="17">
        <v>-11.978764</v>
      </c>
      <c r="S529" s="17">
        <f t="shared" si="94"/>
        <v>0.99742104167911205</v>
      </c>
      <c r="T529" s="17">
        <f t="shared" si="95"/>
        <v>-23.425801515482885</v>
      </c>
    </row>
    <row r="530" spans="1:20" x14ac:dyDescent="0.35">
      <c r="A530" s="16">
        <v>2.25</v>
      </c>
      <c r="B530" s="16">
        <v>16.171199999999999</v>
      </c>
      <c r="C530" s="16">
        <v>-7.4880124000000006E-2</v>
      </c>
      <c r="D530" s="16">
        <v>-2.2901943000000001E-2</v>
      </c>
      <c r="E530" s="16">
        <v>0.92517408000000001</v>
      </c>
      <c r="F530" s="16">
        <v>-2.5709152999999998E-2</v>
      </c>
      <c r="G530" s="16">
        <f t="shared" si="86"/>
        <v>5.5426259102373301</v>
      </c>
      <c r="H530" s="16">
        <f t="shared" si="87"/>
        <v>-1.9614058910805801</v>
      </c>
      <c r="I530" s="16">
        <f t="shared" si="88"/>
        <v>5.5426549814457697</v>
      </c>
      <c r="J530" s="16">
        <f t="shared" si="89"/>
        <v>-1.96280941723772</v>
      </c>
      <c r="K530" s="15">
        <f t="shared" si="90"/>
        <v>-2.9071208439646101E-5</v>
      </c>
      <c r="L530" s="15">
        <f t="shared" si="91"/>
        <v>1.4035261571399E-3</v>
      </c>
      <c r="M530" s="15">
        <f t="shared" si="92"/>
        <v>0.160314452617034</v>
      </c>
      <c r="N530" s="15">
        <f t="shared" si="93"/>
        <v>5.6771839194281998E-2</v>
      </c>
      <c r="O530" s="16">
        <v>4.0599238</v>
      </c>
      <c r="P530" s="16">
        <v>-11.534940000000001</v>
      </c>
      <c r="Q530" s="16">
        <v>-0.86011426999999996</v>
      </c>
      <c r="R530" s="16">
        <v>-12.180507</v>
      </c>
      <c r="S530" s="16">
        <f t="shared" si="94"/>
        <v>0.99855023623540662</v>
      </c>
      <c r="T530" s="16">
        <f t="shared" si="95"/>
        <v>-23.429590077081162</v>
      </c>
    </row>
    <row r="531" spans="1:20" x14ac:dyDescent="0.35">
      <c r="A531" s="17">
        <v>2.25</v>
      </c>
      <c r="B531" s="17">
        <v>16.22</v>
      </c>
      <c r="C531" s="17">
        <v>-7.7468519999999999E-2</v>
      </c>
      <c r="D531" s="17">
        <v>-1.9611651000000001E-2</v>
      </c>
      <c r="E531" s="17">
        <v>0.92258954000000004</v>
      </c>
      <c r="F531" s="17">
        <v>-2.2423990000000001E-2</v>
      </c>
      <c r="G531" s="17">
        <f t="shared" si="86"/>
        <v>5.5136527384146099</v>
      </c>
      <c r="H531" s="17">
        <f t="shared" si="87"/>
        <v>-1.63146421020979</v>
      </c>
      <c r="I531" s="17">
        <f t="shared" si="88"/>
        <v>5.5136837447084401</v>
      </c>
      <c r="J531" s="17">
        <f t="shared" si="89"/>
        <v>-1.6328702952910299</v>
      </c>
      <c r="K531" s="15">
        <f t="shared" si="90"/>
        <v>-3.1006293830238001E-5</v>
      </c>
      <c r="L531" s="15">
        <f t="shared" si="91"/>
        <v>1.40608508123985E-3</v>
      </c>
      <c r="M531" s="15">
        <f t="shared" si="92"/>
        <v>0.16674291913546399</v>
      </c>
      <c r="N531" s="15">
        <f t="shared" si="93"/>
        <v>4.9380699404044298E-2</v>
      </c>
      <c r="O531" s="17">
        <v>3.5418618999999998</v>
      </c>
      <c r="P531" s="17">
        <v>-11.898937999999999</v>
      </c>
      <c r="Q531" s="17">
        <v>-1.4822900999999999</v>
      </c>
      <c r="R531" s="17">
        <v>-12.32644</v>
      </c>
      <c r="S531" s="17">
        <f t="shared" si="94"/>
        <v>1.0000285332837531</v>
      </c>
      <c r="T531" s="17">
        <f t="shared" si="95"/>
        <v>-23.433326563226853</v>
      </c>
    </row>
    <row r="532" spans="1:20" x14ac:dyDescent="0.35">
      <c r="A532" s="16">
        <v>2.25</v>
      </c>
      <c r="B532" s="16">
        <v>16.268799999999999</v>
      </c>
      <c r="C532" s="16">
        <v>-7.9760758000000001E-2</v>
      </c>
      <c r="D532" s="16">
        <v>-1.6028099000000001E-2</v>
      </c>
      <c r="E532" s="16">
        <v>0.92038801000000003</v>
      </c>
      <c r="F532" s="16">
        <v>-1.8945144000000001E-2</v>
      </c>
      <c r="G532" s="16">
        <f t="shared" si="86"/>
        <v>5.4862871834997504</v>
      </c>
      <c r="H532" s="16">
        <f t="shared" si="87"/>
        <v>-1.31292840179561</v>
      </c>
      <c r="I532" s="16">
        <f t="shared" si="88"/>
        <v>5.4863636887759002</v>
      </c>
      <c r="J532" s="16">
        <f t="shared" si="89"/>
        <v>-1.31438670423657</v>
      </c>
      <c r="K532" s="15">
        <f t="shared" si="90"/>
        <v>-7.6505276149774204E-5</v>
      </c>
      <c r="L532" s="15">
        <f t="shared" si="91"/>
        <v>1.4583024409600099E-3</v>
      </c>
      <c r="M532" s="15">
        <f t="shared" si="92"/>
        <v>0.17237647190710501</v>
      </c>
      <c r="N532" s="15">
        <f t="shared" si="93"/>
        <v>4.1296814365665797E-2</v>
      </c>
      <c r="O532" s="16">
        <v>2.9833769999999999</v>
      </c>
      <c r="P532" s="16">
        <v>-12.219473000000001</v>
      </c>
      <c r="Q532" s="16">
        <v>-2.1252346000000002</v>
      </c>
      <c r="R532" s="16">
        <v>-12.412414</v>
      </c>
      <c r="S532" s="16">
        <f t="shared" si="94"/>
        <v>1.0011641368039828</v>
      </c>
      <c r="T532" s="16">
        <f t="shared" si="95"/>
        <v>-23.43619975395395</v>
      </c>
    </row>
    <row r="533" spans="1:20" x14ac:dyDescent="0.35">
      <c r="A533" s="17">
        <v>2.25</v>
      </c>
      <c r="B533" s="17">
        <v>16.317599999999999</v>
      </c>
      <c r="C533" s="17">
        <v>-8.1692089999999995E-2</v>
      </c>
      <c r="D533" s="17">
        <v>-1.2211916E-2</v>
      </c>
      <c r="E533" s="17">
        <v>0.91845843999999999</v>
      </c>
      <c r="F533" s="17">
        <v>-1.5138057E-2</v>
      </c>
      <c r="G533" s="17">
        <f t="shared" si="86"/>
        <v>5.4588627348809098</v>
      </c>
      <c r="H533" s="17">
        <f t="shared" si="87"/>
        <v>-0.99768889812405204</v>
      </c>
      <c r="I533" s="17">
        <f t="shared" si="88"/>
        <v>5.4589401343039698</v>
      </c>
      <c r="J533" s="17">
        <f t="shared" si="89"/>
        <v>-0.99915174528204898</v>
      </c>
      <c r="K533" s="15">
        <f t="shared" si="90"/>
        <v>-7.7399423060065003E-5</v>
      </c>
      <c r="L533" s="15">
        <f t="shared" si="91"/>
        <v>1.4628471579969399E-3</v>
      </c>
      <c r="M533" s="15">
        <f t="shared" si="92"/>
        <v>0.177247917361255</v>
      </c>
      <c r="N533" s="15">
        <f t="shared" si="93"/>
        <v>3.2441749061548703E-2</v>
      </c>
      <c r="O533" s="17">
        <v>2.3919977000000001</v>
      </c>
      <c r="P533" s="17">
        <v>-12.484515999999999</v>
      </c>
      <c r="Q533" s="17">
        <v>-2.7776029000000002</v>
      </c>
      <c r="R533" s="17">
        <v>-12.433182</v>
      </c>
      <c r="S533" s="17">
        <f t="shared" si="94"/>
        <v>1.0022078565866586</v>
      </c>
      <c r="T533" s="17">
        <f t="shared" si="95"/>
        <v>-23.439492364088242</v>
      </c>
    </row>
    <row r="534" spans="1:20" x14ac:dyDescent="0.35">
      <c r="A534" s="16">
        <v>2.25</v>
      </c>
      <c r="B534" s="16">
        <v>16.366399999999999</v>
      </c>
      <c r="C534" s="16">
        <v>-8.3240930000000005E-2</v>
      </c>
      <c r="D534" s="16">
        <v>-8.2005429999999994E-3</v>
      </c>
      <c r="E534" s="16">
        <v>0.91691303999999996</v>
      </c>
      <c r="F534" s="16">
        <v>-1.1133041999999999E-2</v>
      </c>
      <c r="G534" s="16">
        <f t="shared" si="86"/>
        <v>5.4320317050278701</v>
      </c>
      <c r="H534" s="16">
        <f t="shared" si="87"/>
        <v>-0.68879779604221603</v>
      </c>
      <c r="I534" s="16">
        <f t="shared" si="88"/>
        <v>5.43211083348816</v>
      </c>
      <c r="J534" s="16">
        <f t="shared" si="89"/>
        <v>-0.69026381665855197</v>
      </c>
      <c r="K534" s="15">
        <f t="shared" si="90"/>
        <v>-7.9128460289901197E-5</v>
      </c>
      <c r="L534" s="15">
        <f t="shared" si="91"/>
        <v>1.4660206163359399E-3</v>
      </c>
      <c r="M534" s="15">
        <f t="shared" si="92"/>
        <v>0.181165217751489</v>
      </c>
      <c r="N534" s="15">
        <f t="shared" si="93"/>
        <v>2.30208474171762E-2</v>
      </c>
      <c r="O534" s="16">
        <v>1.7740853999999999</v>
      </c>
      <c r="P534" s="16">
        <v>-12.693206</v>
      </c>
      <c r="Q534" s="16">
        <v>-3.4323638999999999</v>
      </c>
      <c r="R534" s="16">
        <v>-12.388192</v>
      </c>
      <c r="S534" s="16">
        <f t="shared" si="94"/>
        <v>1.0029893718390037</v>
      </c>
      <c r="T534" s="16">
        <f t="shared" si="95"/>
        <v>-23.44280741930303</v>
      </c>
    </row>
    <row r="535" spans="1:20" x14ac:dyDescent="0.35">
      <c r="A535" s="17">
        <v>2.25</v>
      </c>
      <c r="B535" s="17">
        <v>16.415199999999999</v>
      </c>
      <c r="C535" s="17">
        <v>-8.4377748000000002E-2</v>
      </c>
      <c r="D535" s="17">
        <v>-4.0655396999999998E-3</v>
      </c>
      <c r="E535" s="17">
        <v>0.91578077000000002</v>
      </c>
      <c r="F535" s="17">
        <v>-7.0041627000000002E-3</v>
      </c>
      <c r="G535" s="17">
        <f t="shared" si="86"/>
        <v>5.4058039477386002</v>
      </c>
      <c r="H535" s="17">
        <f t="shared" si="87"/>
        <v>-0.38703008005413397</v>
      </c>
      <c r="I535" s="17">
        <f t="shared" si="88"/>
        <v>5.4058853588154703</v>
      </c>
      <c r="J535" s="17">
        <f t="shared" si="89"/>
        <v>-0.38849915549845099</v>
      </c>
      <c r="K535" s="15">
        <f t="shared" si="90"/>
        <v>-8.1411076870097104E-5</v>
      </c>
      <c r="L535" s="15">
        <f t="shared" si="91"/>
        <v>1.4690754443170101E-3</v>
      </c>
      <c r="M535" s="15">
        <f t="shared" si="92"/>
        <v>0.18403309626693901</v>
      </c>
      <c r="N535" s="15">
        <f t="shared" si="93"/>
        <v>1.32257156298885E-2</v>
      </c>
      <c r="O535" s="17">
        <v>1.1397906</v>
      </c>
      <c r="P535" s="17">
        <v>-12.834921</v>
      </c>
      <c r="Q535" s="17">
        <v>-4.0776298999999998</v>
      </c>
      <c r="R535" s="17">
        <v>-12.278273</v>
      </c>
      <c r="S535" s="17">
        <f t="shared" si="94"/>
        <v>1.0040533964024767</v>
      </c>
      <c r="T535" s="17">
        <f t="shared" si="95"/>
        <v>-23.446166412009099</v>
      </c>
    </row>
    <row r="536" spans="1:20" x14ac:dyDescent="0.35">
      <c r="A536" s="16">
        <v>2.25</v>
      </c>
      <c r="B536" s="16">
        <v>16.463999999999999</v>
      </c>
      <c r="C536" s="16">
        <v>-8.5091910000000007E-2</v>
      </c>
      <c r="D536" s="16">
        <v>1.2729800999999999E-4</v>
      </c>
      <c r="E536" s="16">
        <v>0.91507229999999995</v>
      </c>
      <c r="F536" s="16">
        <v>-2.8168344E-3</v>
      </c>
      <c r="G536" s="16">
        <f t="shared" si="86"/>
        <v>5.3801608780815204</v>
      </c>
      <c r="H536" s="16">
        <f t="shared" si="87"/>
        <v>-9.2282888626283505E-2</v>
      </c>
      <c r="I536" s="16">
        <f t="shared" si="88"/>
        <v>5.38024514278138</v>
      </c>
      <c r="J536" s="16">
        <f t="shared" si="89"/>
        <v>-9.37547099441772E-2</v>
      </c>
      <c r="K536" s="15">
        <f t="shared" si="90"/>
        <v>-8.4264699859559796E-5</v>
      </c>
      <c r="L536" s="15">
        <f t="shared" si="91"/>
        <v>1.4718213178937E-3</v>
      </c>
      <c r="M536" s="15">
        <f t="shared" si="92"/>
        <v>0.185808714940184</v>
      </c>
      <c r="N536" s="15">
        <f t="shared" si="93"/>
        <v>3.2378528695277101E-3</v>
      </c>
      <c r="O536" s="16">
        <v>0.49974363999999999</v>
      </c>
      <c r="P536" s="16">
        <v>-12.909765</v>
      </c>
      <c r="Q536" s="16">
        <v>-4.7033541999999997</v>
      </c>
      <c r="R536" s="16">
        <v>-12.105748999999999</v>
      </c>
      <c r="S536" s="16">
        <f t="shared" si="94"/>
        <v>1.0052552130100305</v>
      </c>
      <c r="T536" s="16">
        <f t="shared" si="95"/>
        <v>-23.44910380304675</v>
      </c>
    </row>
    <row r="537" spans="1:20" x14ac:dyDescent="0.35">
      <c r="A537" s="17">
        <v>2.25</v>
      </c>
      <c r="B537" s="17">
        <v>16.512799999999999</v>
      </c>
      <c r="C537" s="17">
        <v>-8.5386205000000007E-2</v>
      </c>
      <c r="D537" s="17">
        <v>4.3143516999999999E-3</v>
      </c>
      <c r="E537" s="17">
        <v>0.91467887999999997</v>
      </c>
      <c r="F537" s="17">
        <v>1.4417716000000001E-3</v>
      </c>
      <c r="G537" s="17">
        <f t="shared" si="86"/>
        <v>5.3513092494990904</v>
      </c>
      <c r="H537" s="17">
        <f t="shared" si="87"/>
        <v>0.19802045099252999</v>
      </c>
      <c r="I537" s="17">
        <f t="shared" si="88"/>
        <v>5.3513438536635602</v>
      </c>
      <c r="J537" s="17">
        <f t="shared" si="89"/>
        <v>0.196584257381478</v>
      </c>
      <c r="K537" s="15">
        <f t="shared" si="90"/>
        <v>-3.4604164469875798E-5</v>
      </c>
      <c r="L537" s="15">
        <f t="shared" si="91"/>
        <v>1.4361936110519899E-3</v>
      </c>
      <c r="M537" s="15">
        <f t="shared" si="92"/>
        <v>0.18661710955458</v>
      </c>
      <c r="N537" s="15">
        <f t="shared" si="93"/>
        <v>-6.8554716160407897E-3</v>
      </c>
      <c r="O537" s="17">
        <v>-0.1362997</v>
      </c>
      <c r="P537" s="17">
        <v>-12.924706</v>
      </c>
      <c r="Q537" s="17">
        <v>-5.3006051000000003</v>
      </c>
      <c r="R537" s="17">
        <v>-11.875273</v>
      </c>
      <c r="S537" s="17">
        <f t="shared" si="94"/>
        <v>1.0061222840796924</v>
      </c>
      <c r="T537" s="17">
        <f t="shared" si="95"/>
        <v>-23.449705356356237</v>
      </c>
    </row>
    <row r="538" spans="1:20" x14ac:dyDescent="0.35">
      <c r="A538" s="16">
        <v>2.25</v>
      </c>
      <c r="B538" s="16">
        <v>16.561599999999999</v>
      </c>
      <c r="C538" s="16">
        <v>-8.5276646999999997E-2</v>
      </c>
      <c r="D538" s="16">
        <v>8.4274760999999993E-3</v>
      </c>
      <c r="E538" s="16">
        <v>0.91479248999999996</v>
      </c>
      <c r="F538" s="16">
        <v>5.5556861999999999E-3</v>
      </c>
      <c r="G538" s="16">
        <f t="shared" si="86"/>
        <v>5.3264329044854399</v>
      </c>
      <c r="H538" s="16">
        <f t="shared" si="87"/>
        <v>0.47860519369643101</v>
      </c>
      <c r="I538" s="16">
        <f t="shared" si="88"/>
        <v>5.3264695333667502</v>
      </c>
      <c r="J538" s="16">
        <f t="shared" si="89"/>
        <v>0.47716940097485699</v>
      </c>
      <c r="K538" s="15">
        <f t="shared" si="90"/>
        <v>-3.6628881310285501E-5</v>
      </c>
      <c r="L538" s="15">
        <f t="shared" si="91"/>
        <v>1.4357927215740099E-3</v>
      </c>
      <c r="M538" s="15">
        <f t="shared" si="92"/>
        <v>0.18624691186211201</v>
      </c>
      <c r="N538" s="15">
        <f t="shared" si="93"/>
        <v>-1.6684846653105202E-2</v>
      </c>
      <c r="O538" s="16">
        <v>-0.75796262000000003</v>
      </c>
      <c r="P538" s="16">
        <v>-12.875598999999999</v>
      </c>
      <c r="Q538" s="16">
        <v>-5.8618509000000003</v>
      </c>
      <c r="R538" s="16">
        <v>-11.593783999999999</v>
      </c>
      <c r="S538" s="16">
        <f t="shared" si="94"/>
        <v>1.0072519898053889</v>
      </c>
      <c r="T538" s="16">
        <f t="shared" si="95"/>
        <v>-23.452285461326642</v>
      </c>
    </row>
    <row r="539" spans="1:20" x14ac:dyDescent="0.35">
      <c r="A539" s="17">
        <v>2.25</v>
      </c>
      <c r="B539" s="17">
        <v>16.610399999999998</v>
      </c>
      <c r="C539" s="17">
        <v>-8.4791511E-2</v>
      </c>
      <c r="D539" s="17">
        <v>1.2408838E-2</v>
      </c>
      <c r="E539" s="17">
        <v>0.91528240000000005</v>
      </c>
      <c r="F539" s="17">
        <v>9.5395753999999999E-3</v>
      </c>
      <c r="G539" s="17">
        <f t="shared" si="86"/>
        <v>5.3020922784840598</v>
      </c>
      <c r="H539" s="17">
        <f t="shared" si="87"/>
        <v>0.75198748662596004</v>
      </c>
      <c r="I539" s="17">
        <f t="shared" si="88"/>
        <v>5.3021312905529596</v>
      </c>
      <c r="J539" s="17">
        <f t="shared" si="89"/>
        <v>0.75055296430738305</v>
      </c>
      <c r="K539" s="15">
        <f t="shared" si="90"/>
        <v>-3.9012068899779699E-5</v>
      </c>
      <c r="L539" s="15">
        <f t="shared" si="91"/>
        <v>1.43452231857699E-3</v>
      </c>
      <c r="M539" s="15">
        <f t="shared" si="92"/>
        <v>0.18489834627378601</v>
      </c>
      <c r="N539" s="15">
        <f t="shared" si="93"/>
        <v>-2.6173626092320001E-2</v>
      </c>
      <c r="O539" s="17">
        <v>-1.3570774999999999</v>
      </c>
      <c r="P539" s="17">
        <v>-12.773865000000001</v>
      </c>
      <c r="Q539" s="17">
        <v>-6.3804968000000004</v>
      </c>
      <c r="R539" s="17">
        <v>-11.268757000000001</v>
      </c>
      <c r="S539" s="17">
        <f t="shared" si="94"/>
        <v>1.0080948770488378</v>
      </c>
      <c r="T539" s="17">
        <f t="shared" si="95"/>
        <v>-23.45475012733375</v>
      </c>
    </row>
    <row r="540" spans="1:20" x14ac:dyDescent="0.35">
      <c r="A540" s="16">
        <v>2.25</v>
      </c>
      <c r="B540" s="16">
        <v>16.659199999999998</v>
      </c>
      <c r="C540" s="16">
        <v>-8.3967687999999999E-2</v>
      </c>
      <c r="D540" s="16">
        <v>1.6217555000000002E-2</v>
      </c>
      <c r="E540" s="16">
        <v>0.91611209000000005</v>
      </c>
      <c r="F540" s="16">
        <v>1.3310658E-2</v>
      </c>
      <c r="G540" s="16">
        <f t="shared" si="86"/>
        <v>5.2786545076721403</v>
      </c>
      <c r="H540" s="16">
        <f t="shared" si="87"/>
        <v>1.01727876831527</v>
      </c>
      <c r="I540" s="16">
        <f t="shared" si="88"/>
        <v>5.2786965073363703</v>
      </c>
      <c r="J540" s="16">
        <f t="shared" si="89"/>
        <v>1.01582543883148</v>
      </c>
      <c r="K540" s="15">
        <f t="shared" si="90"/>
        <v>-4.19996642300191E-5</v>
      </c>
      <c r="L540" s="15">
        <f t="shared" si="91"/>
        <v>1.4533294837899601E-3</v>
      </c>
      <c r="M540" s="15">
        <f t="shared" si="92"/>
        <v>0.18267574067147799</v>
      </c>
      <c r="N540" s="15">
        <f t="shared" si="93"/>
        <v>-3.5153880162189302E-2</v>
      </c>
      <c r="O540" s="16">
        <v>-1.9267874</v>
      </c>
      <c r="P540" s="16">
        <v>-12.619908000000001</v>
      </c>
      <c r="Q540" s="16">
        <v>-6.8540710000000002</v>
      </c>
      <c r="R540" s="16">
        <v>-10.908583</v>
      </c>
      <c r="S540" s="16">
        <f t="shared" si="94"/>
        <v>1.0091646082027561</v>
      </c>
      <c r="T540" s="16">
        <f t="shared" si="95"/>
        <v>-23.461140208884689</v>
      </c>
    </row>
    <row r="541" spans="1:20" x14ac:dyDescent="0.35">
      <c r="A541" s="17">
        <v>2.25</v>
      </c>
      <c r="B541" s="17">
        <v>16.707999999999998</v>
      </c>
      <c r="C541" s="17">
        <v>-8.2846775999999997E-2</v>
      </c>
      <c r="D541" s="17">
        <v>1.9810075E-2</v>
      </c>
      <c r="E541" s="17">
        <v>0.91723911999999996</v>
      </c>
      <c r="F541" s="17">
        <v>1.6903693000000001E-2</v>
      </c>
      <c r="G541" s="17">
        <f t="shared" si="86"/>
        <v>5.2554799151219704</v>
      </c>
      <c r="H541" s="17">
        <f t="shared" si="87"/>
        <v>1.2766710534128001</v>
      </c>
      <c r="I541" s="17">
        <f t="shared" si="88"/>
        <v>5.2555249727650697</v>
      </c>
      <c r="J541" s="17">
        <f t="shared" si="89"/>
        <v>1.2752179902963201</v>
      </c>
      <c r="K541" s="15">
        <f t="shared" si="90"/>
        <v>-4.5057643099255502E-5</v>
      </c>
      <c r="L541" s="15">
        <f t="shared" si="91"/>
        <v>1.4530631164799701E-3</v>
      </c>
      <c r="M541" s="15">
        <f t="shared" si="92"/>
        <v>0.17969619549453</v>
      </c>
      <c r="N541" s="15">
        <f t="shared" si="93"/>
        <v>-4.36020801860761E-2</v>
      </c>
      <c r="O541" s="17">
        <v>-2.4622728</v>
      </c>
      <c r="P541" s="17">
        <v>-12.424186000000001</v>
      </c>
      <c r="Q541" s="17">
        <v>-7.2775755000000002</v>
      </c>
      <c r="R541" s="17">
        <v>-10.520580000000001</v>
      </c>
      <c r="S541" s="17">
        <f t="shared" si="94"/>
        <v>1.0099938824050538</v>
      </c>
      <c r="T541" s="17">
        <f t="shared" si="95"/>
        <v>-23.46357467262624</v>
      </c>
    </row>
    <row r="542" spans="1:20" x14ac:dyDescent="0.35">
      <c r="A542" s="16">
        <v>2.25</v>
      </c>
      <c r="B542" s="16">
        <v>16.756799999999998</v>
      </c>
      <c r="C542" s="16">
        <v>-8.1475849000000003E-2</v>
      </c>
      <c r="D542" s="16">
        <v>2.3162912000000001E-2</v>
      </c>
      <c r="E542" s="16">
        <v>0.91855703</v>
      </c>
      <c r="F542" s="16">
        <v>2.0196306000000001E-2</v>
      </c>
      <c r="G542" s="16">
        <f t="shared" si="86"/>
        <v>5.23201480778404</v>
      </c>
      <c r="H542" s="16">
        <f t="shared" si="87"/>
        <v>1.52626265030062</v>
      </c>
      <c r="I542" s="16">
        <f t="shared" si="88"/>
        <v>5.2320334470882397</v>
      </c>
      <c r="J542" s="16">
        <f t="shared" si="89"/>
        <v>1.52477939933226</v>
      </c>
      <c r="K542" s="15">
        <f t="shared" si="90"/>
        <v>-1.8639304199652398E-5</v>
      </c>
      <c r="L542" s="15">
        <f t="shared" si="91"/>
        <v>1.48325096835999E-3</v>
      </c>
      <c r="M542" s="15">
        <f t="shared" si="92"/>
        <v>0.17616792529287101</v>
      </c>
      <c r="N542" s="15">
        <f t="shared" si="93"/>
        <v>-5.1340884194684598E-2</v>
      </c>
      <c r="O542" s="16">
        <v>-2.9595558999999998</v>
      </c>
      <c r="P542" s="16">
        <v>-12.191103</v>
      </c>
      <c r="Q542" s="16">
        <v>-7.6514338000000004</v>
      </c>
      <c r="R542" s="16">
        <v>-10.113815000000001</v>
      </c>
      <c r="S542" s="16">
        <f t="shared" si="94"/>
        <v>1.0109066129488928</v>
      </c>
      <c r="T542" s="16">
        <f t="shared" si="95"/>
        <v>-23.463347060543924</v>
      </c>
    </row>
    <row r="543" spans="1:20" x14ac:dyDescent="0.35">
      <c r="A543" s="17">
        <v>2.25</v>
      </c>
      <c r="B543" s="17">
        <v>16.805599999999998</v>
      </c>
      <c r="C543" s="17">
        <v>-7.9885300000000006E-2</v>
      </c>
      <c r="D543" s="17">
        <v>2.6285233000000002E-2</v>
      </c>
      <c r="E543" s="17">
        <v>0.92018705000000001</v>
      </c>
      <c r="F543" s="17">
        <v>2.33872E-2</v>
      </c>
      <c r="G543" s="17">
        <f t="shared" si="86"/>
        <v>5.2094272791873202</v>
      </c>
      <c r="H543" s="17">
        <f t="shared" si="87"/>
        <v>1.7765867104936699</v>
      </c>
      <c r="I543" s="17">
        <f t="shared" si="88"/>
        <v>5.2094655522952902</v>
      </c>
      <c r="J543" s="17">
        <f t="shared" si="89"/>
        <v>1.7751378018663</v>
      </c>
      <c r="K543" s="15">
        <f t="shared" si="90"/>
        <v>-3.8273107969999401E-5</v>
      </c>
      <c r="L543" s="15">
        <f t="shared" si="91"/>
        <v>1.4489086273699E-3</v>
      </c>
      <c r="M543" s="15">
        <f t="shared" si="92"/>
        <v>0.17198832989429999</v>
      </c>
      <c r="N543" s="15">
        <f t="shared" si="93"/>
        <v>-5.8605433284938002E-2</v>
      </c>
      <c r="O543" s="17">
        <v>-3.4193357999999998</v>
      </c>
      <c r="P543" s="17">
        <v>-11.925988</v>
      </c>
      <c r="Q543" s="17">
        <v>-7.9793003000000002</v>
      </c>
      <c r="R543" s="17">
        <v>-9.6913131000000003</v>
      </c>
      <c r="S543" s="17">
        <f t="shared" si="94"/>
        <v>1.0118506195902961</v>
      </c>
      <c r="T543" s="17">
        <f t="shared" si="95"/>
        <v>-23.467899381056743</v>
      </c>
    </row>
    <row r="544" spans="1:20" x14ac:dyDescent="0.35">
      <c r="A544" s="16">
        <v>2.25</v>
      </c>
      <c r="B544" s="16">
        <v>16.854399999999998</v>
      </c>
      <c r="C544" s="16">
        <v>-7.8115906999999998E-2</v>
      </c>
      <c r="D544" s="16">
        <v>2.9170129E-2</v>
      </c>
      <c r="E544" s="16">
        <v>0.92194633999999998</v>
      </c>
      <c r="F544" s="16">
        <v>2.6251673999999999E-2</v>
      </c>
      <c r="G544" s="16">
        <f t="shared" si="86"/>
        <v>5.1870433574543799</v>
      </c>
      <c r="H544" s="16">
        <f t="shared" si="87"/>
        <v>2.0189660522759598</v>
      </c>
      <c r="I544" s="16">
        <f t="shared" si="88"/>
        <v>5.1870766091272902</v>
      </c>
      <c r="J544" s="16">
        <f t="shared" si="89"/>
        <v>2.0175069187110499</v>
      </c>
      <c r="K544" s="15">
        <f t="shared" si="90"/>
        <v>-3.3251672910239402E-5</v>
      </c>
      <c r="L544" s="15">
        <f t="shared" si="91"/>
        <v>1.4591335649098999E-3</v>
      </c>
      <c r="M544" s="15">
        <f t="shared" si="92"/>
        <v>0.167454164923969</v>
      </c>
      <c r="N544" s="15">
        <f t="shared" si="93"/>
        <v>-6.5131086690838502E-2</v>
      </c>
      <c r="O544" s="16">
        <v>-3.8439049999999999</v>
      </c>
      <c r="P544" s="16">
        <v>-11.63565</v>
      </c>
      <c r="Q544" s="16">
        <v>-8.2644392</v>
      </c>
      <c r="R544" s="16">
        <v>-9.2579960000000003</v>
      </c>
      <c r="S544" s="16">
        <f t="shared" si="94"/>
        <v>1.0127299336383702</v>
      </c>
      <c r="T544" s="16">
        <f t="shared" si="95"/>
        <v>-23.473416583590424</v>
      </c>
    </row>
    <row r="545" spans="1:20" x14ac:dyDescent="0.35">
      <c r="A545" s="17">
        <v>2.25</v>
      </c>
      <c r="B545" s="17">
        <v>16.903200000000002</v>
      </c>
      <c r="C545" s="17">
        <v>-7.6272234999999994E-2</v>
      </c>
      <c r="D545" s="17">
        <v>3.1716490999999999E-2</v>
      </c>
      <c r="E545" s="17">
        <v>0.92378930999999997</v>
      </c>
      <c r="F545" s="17">
        <v>2.8796259000000001E-2</v>
      </c>
      <c r="G545" s="17">
        <f t="shared" si="86"/>
        <v>5.1657903329347299</v>
      </c>
      <c r="H545" s="17">
        <f t="shared" si="87"/>
        <v>2.2492017633750998</v>
      </c>
      <c r="I545" s="17">
        <f t="shared" si="88"/>
        <v>5.1658232362251999</v>
      </c>
      <c r="J545" s="17">
        <f t="shared" si="89"/>
        <v>2.2477417403462798</v>
      </c>
      <c r="K545" s="15">
        <f t="shared" si="90"/>
        <v>-3.2903290470009902E-5</v>
      </c>
      <c r="L545" s="15">
        <f t="shared" si="91"/>
        <v>1.46002302881998E-3</v>
      </c>
      <c r="M545" s="15">
        <f t="shared" si="92"/>
        <v>0.16276423886690999</v>
      </c>
      <c r="N545" s="15">
        <f t="shared" si="93"/>
        <v>-7.0821620641472793E-2</v>
      </c>
      <c r="O545" s="17">
        <v>-4.2153229000000003</v>
      </c>
      <c r="P545" s="17">
        <v>-11.336477</v>
      </c>
      <c r="Q545" s="17">
        <v>-8.4960842999999997</v>
      </c>
      <c r="R545" s="17">
        <v>-8.8371876</v>
      </c>
      <c r="S545" s="17">
        <f t="shared" si="94"/>
        <v>1.0135618121795538</v>
      </c>
      <c r="T545" s="17">
        <f t="shared" si="95"/>
        <v>-23.475613319738407</v>
      </c>
    </row>
    <row r="546" spans="1:20" x14ac:dyDescent="0.35">
      <c r="A546" s="16">
        <v>2.25</v>
      </c>
      <c r="B546" s="16">
        <v>16.952000000000002</v>
      </c>
      <c r="C546" s="16">
        <v>-7.4363141999999993E-2</v>
      </c>
      <c r="D546" s="16">
        <v>3.399137E-2</v>
      </c>
      <c r="E546" s="16">
        <v>0.92570646999999995</v>
      </c>
      <c r="F546" s="16">
        <v>3.1083469999999998E-2</v>
      </c>
      <c r="G546" s="16">
        <f t="shared" si="86"/>
        <v>5.1451271133970096</v>
      </c>
      <c r="H546" s="16">
        <f t="shared" si="87"/>
        <v>2.4719038971285601</v>
      </c>
      <c r="I546" s="16">
        <f t="shared" si="88"/>
        <v>5.1451640319310199</v>
      </c>
      <c r="J546" s="16">
        <f t="shared" si="89"/>
        <v>2.4704500514088301</v>
      </c>
      <c r="K546" s="15">
        <f t="shared" si="90"/>
        <v>-3.6918534010332801E-5</v>
      </c>
      <c r="L546" s="15">
        <f t="shared" si="91"/>
        <v>1.45384571972995E-3</v>
      </c>
      <c r="M546" s="15">
        <f t="shared" si="92"/>
        <v>0.15794418823751899</v>
      </c>
      <c r="N546" s="15">
        <f t="shared" si="93"/>
        <v>-7.5836887906693295E-2</v>
      </c>
      <c r="O546" s="16">
        <v>-4.5452209000000003</v>
      </c>
      <c r="P546" s="16">
        <v>-11.028224</v>
      </c>
      <c r="Q546" s="16">
        <v>-8.6844891999999998</v>
      </c>
      <c r="R546" s="16">
        <v>-8.4242238</v>
      </c>
      <c r="S546" s="16">
        <f t="shared" si="94"/>
        <v>1.0143305472672131</v>
      </c>
      <c r="T546" s="16">
        <f t="shared" si="95"/>
        <v>-23.472807588395131</v>
      </c>
    </row>
    <row r="547" spans="1:20" x14ac:dyDescent="0.35">
      <c r="A547" s="17">
        <v>2.25</v>
      </c>
      <c r="B547" s="17">
        <v>17</v>
      </c>
      <c r="C547" s="17">
        <v>-7.4659418000000005E-2</v>
      </c>
      <c r="D547" s="17">
        <v>3.4830693000000003E-2</v>
      </c>
      <c r="E547" s="17">
        <v>0.92535487000000005</v>
      </c>
      <c r="F547" s="17">
        <v>3.2099447000000003E-2</v>
      </c>
      <c r="G547" s="17">
        <f t="shared" si="86"/>
        <v>5.0769932104330904</v>
      </c>
      <c r="H547" s="17">
        <f t="shared" si="87"/>
        <v>2.5007354970203299</v>
      </c>
      <c r="I547" s="17">
        <f t="shared" si="88"/>
        <v>5.0770022192647897</v>
      </c>
      <c r="J547" s="17">
        <f t="shared" si="89"/>
        <v>2.49936989607885</v>
      </c>
      <c r="K547" s="15">
        <f t="shared" si="90"/>
        <v>-9.0088316992975592E-6</v>
      </c>
      <c r="L547" s="15">
        <f t="shared" si="91"/>
        <v>1.36560094147997E-3</v>
      </c>
      <c r="M547" s="15">
        <f t="shared" si="92"/>
        <v>0.15854335022003599</v>
      </c>
      <c r="N547" s="15">
        <f t="shared" si="93"/>
        <v>-7.80496954009266E-2</v>
      </c>
      <c r="O547" s="17">
        <v>-4.7131395999999999</v>
      </c>
      <c r="P547" s="17">
        <v>-11.171326000000001</v>
      </c>
      <c r="Q547" s="17">
        <v>-8.7843166000000004</v>
      </c>
      <c r="R547" s="17">
        <v>-8.4011636000000003</v>
      </c>
      <c r="S547" s="17">
        <f t="shared" si="94"/>
        <v>1.0024849998677303</v>
      </c>
      <c r="T547" s="17">
        <f t="shared" si="95"/>
        <v>-23.402512234782613</v>
      </c>
    </row>
    <row r="548" spans="1:20" x14ac:dyDescent="0.35">
      <c r="A548" s="16">
        <v>2.3875000000000002</v>
      </c>
      <c r="B548" s="16">
        <v>15</v>
      </c>
      <c r="C548" s="16">
        <v>-1.8980713999999999E-2</v>
      </c>
      <c r="D548" s="16">
        <v>-3.2965763000000002E-2</v>
      </c>
      <c r="E548" s="16">
        <v>0.98094957000000005</v>
      </c>
      <c r="F548" s="16">
        <v>-3.5925695000000001E-2</v>
      </c>
      <c r="G548" s="16">
        <f t="shared" si="86"/>
        <v>5.6415993194219496</v>
      </c>
      <c r="H548" s="16">
        <f t="shared" si="87"/>
        <v>-11.1244211315184</v>
      </c>
      <c r="I548" s="16">
        <f t="shared" si="88"/>
        <v>5.6415666507304598</v>
      </c>
      <c r="J548" s="16">
        <f t="shared" si="89"/>
        <v>-11.1259011974591</v>
      </c>
      <c r="K548" s="15">
        <f t="shared" si="90"/>
        <v>3.2668691489767803E-5</v>
      </c>
      <c r="L548" s="15">
        <f t="shared" si="91"/>
        <v>1.48006594070083E-3</v>
      </c>
      <c r="M548" s="15">
        <f t="shared" si="92"/>
        <v>3.6253837408789097E-2</v>
      </c>
      <c r="N548" s="15">
        <f t="shared" si="93"/>
        <v>7.1497269820734802E-2</v>
      </c>
      <c r="O548" s="16">
        <v>5.6546851</v>
      </c>
      <c r="P548" s="16">
        <v>-2.9499673</v>
      </c>
      <c r="Q548" s="16">
        <v>3.9119969000000001</v>
      </c>
      <c r="R548" s="16">
        <v>-4.8023398000000004</v>
      </c>
      <c r="S548" s="16">
        <f t="shared" si="94"/>
        <v>0.97117109868104723</v>
      </c>
      <c r="T548" s="16">
        <f t="shared" si="95"/>
        <v>-23.283264796730947</v>
      </c>
    </row>
    <row r="549" spans="1:20" x14ac:dyDescent="0.35">
      <c r="A549" s="17">
        <v>2.3875000000000002</v>
      </c>
      <c r="B549" s="17">
        <v>15.0488</v>
      </c>
      <c r="C549" s="17">
        <v>-2.0250238E-2</v>
      </c>
      <c r="D549" s="17">
        <v>-3.3913289999999999E-2</v>
      </c>
      <c r="E549" s="17">
        <v>0.97967029999999999</v>
      </c>
      <c r="F549" s="17">
        <v>-3.6831060999999998E-2</v>
      </c>
      <c r="G549" s="17">
        <f t="shared" ref="G549:G612" si="96">IMREAL(IMDIV(IMSUM(IMPRODUCT(COMPLEX(1 + C549,D549),COMPLEX(1 - C549, - D549)),IMPRODUCT(COMPLEX(E549,F549),COMPLEX(E549,F549))),IMSUB(IMPRODUCT(COMPLEX(1 - C549, - D549),COMPLEX(1 - C549, - D549)),IMPRODUCT(COMPLEX(E549,F549),COMPLEX(E549,F549)))))</f>
        <v>5.6008939653581304</v>
      </c>
      <c r="H549" s="17">
        <f t="shared" ref="H549:H612" si="97">IMAGINARY(IMDIV(IMSUM(IMPRODUCT(COMPLEX(1 + C549,D549),COMPLEX(1 - C549, - D549)),IMPRODUCT(COMPLEX(E549,F549),COMPLEX(E549,F549))),IMSUB(IMPRODUCT(COMPLEX(1 - C549, - D549),COMPLEX(1 - C549, - D549)),IMPRODUCT(COMPLEX(E549,F549),COMPLEX(E549,F549)))))</f>
        <v>-10.635128396045999</v>
      </c>
      <c r="I549" s="17">
        <f t="shared" ref="I549:I612" si="98">IMREAL(IMDIV(IMPRODUCT(COMPLEX(2,0),COMPLEX(E549,F549)),IMSUB(IMPRODUCT(COMPLEX(1 - C549, - D549),COMPLEX(1 - C549, - D549)),IMPRODUCT(COMPLEX(E549,F549),COMPLEX(E549,F549)))))</f>
        <v>5.6008563613755999</v>
      </c>
      <c r="J549" s="17">
        <f t="shared" ref="J549:J612" si="99">IMAGINARY(IMDIV(IMPRODUCT(COMPLEX(2,0),COMPLEX(E549,F549)),IMSUB(IMPRODUCT(COMPLEX(1 - C549, - D549),COMPLEX(1 - C549, - D549)),IMPRODUCT(COMPLEX(E549,F549),COMPLEX(E549,F549)))))</f>
        <v>-10.6365873943734</v>
      </c>
      <c r="K549" s="15">
        <f t="shared" ref="K549:K612" si="100">IMREAL(IMSUB(COMPLEX(G549,H549),COMPLEX(I549,J549)))</f>
        <v>3.7603982530498597E-5</v>
      </c>
      <c r="L549" s="15">
        <f t="shared" ref="L549:L612" si="101">IMAGINARY(IMSUB(COMPLEX(G549,H549),COMPLEX(I549,J549)))</f>
        <v>1.45899832740071E-3</v>
      </c>
      <c r="M549" s="15">
        <f t="shared" ref="M549:M612" si="102">IMREAL(IMDIV(IMSUB(IMPRODUCT(COMPLEX(1 - C549, - D549),COMPLEX(1 - C549, - D549)),IMPRODUCT(COMPLEX(E549,F549),COMPLEX(E549,F549))),IMPRODUCT(COMPLEX(2,0),COMPLEX(E549,F549))))</f>
        <v>3.8758485810226603E-2</v>
      </c>
      <c r="N549" s="15">
        <f t="shared" ref="N549:N612" si="103">IMAGINARY(IMDIV(IMSUB(IMPRODUCT(COMPLEX(1 - C549, - D549),COMPLEX(1 - C549, - D549)),IMPRODUCT(COMPLEX(E549,F549),COMPLEX(E549,F549))),IMPRODUCT(COMPLEX(2,0),COMPLEX(E549,F549))))</f>
        <v>7.3606247865425301E-2</v>
      </c>
      <c r="O549" s="17">
        <v>5.7697694999999998</v>
      </c>
      <c r="P549" s="17">
        <v>-3.1304432000000002</v>
      </c>
      <c r="Q549" s="17">
        <v>3.9579141999999998</v>
      </c>
      <c r="R549" s="17">
        <v>-5.0210992000000001</v>
      </c>
      <c r="S549" s="17">
        <f t="shared" ref="S549:S612" si="104">IMABS(COMPLEX(Q549,R549))/IMABS(COMPLEX(O549,P549))</f>
        <v>0.97397800836852533</v>
      </c>
      <c r="T549" s="17">
        <f t="shared" ref="T549:T612" si="105">IMARGUMENT(IMDIV(COMPLEX(Q549,R549),COMPLEX(O549/B549,P549/B549)))/PI()*180</f>
        <v>-23.270359239161309</v>
      </c>
    </row>
    <row r="550" spans="1:20" x14ac:dyDescent="0.35">
      <c r="A550" s="16">
        <v>2.3875000000000002</v>
      </c>
      <c r="B550" s="16">
        <v>15.0976</v>
      </c>
      <c r="C550" s="16">
        <v>-2.1614039000000002E-2</v>
      </c>
      <c r="D550" s="16">
        <v>-3.4830621999999999E-2</v>
      </c>
      <c r="E550" s="16">
        <v>0.97830249999999996</v>
      </c>
      <c r="F550" s="16">
        <v>-3.775129E-2</v>
      </c>
      <c r="G550" s="16">
        <f t="shared" si="96"/>
        <v>5.5626454122876803</v>
      </c>
      <c r="H550" s="16">
        <f t="shared" si="97"/>
        <v>-10.159078657375799</v>
      </c>
      <c r="I550" s="16">
        <f t="shared" si="98"/>
        <v>5.5626058128840201</v>
      </c>
      <c r="J550" s="16">
        <f t="shared" si="99"/>
        <v>-10.1605391101496</v>
      </c>
      <c r="K550" s="15">
        <f t="shared" si="100"/>
        <v>3.9599403660162098E-5</v>
      </c>
      <c r="L550" s="15">
        <f t="shared" si="101"/>
        <v>1.46045277380047E-3</v>
      </c>
      <c r="M550" s="15">
        <f t="shared" si="102"/>
        <v>4.14565623063477E-2</v>
      </c>
      <c r="N550" s="15">
        <f t="shared" si="103"/>
        <v>7.5723687216946695E-2</v>
      </c>
      <c r="O550" s="16">
        <v>5.8899727999999998</v>
      </c>
      <c r="P550" s="16">
        <v>-3.3298527</v>
      </c>
      <c r="Q550" s="16">
        <v>3.9954139</v>
      </c>
      <c r="R550" s="16">
        <v>-5.2555114999999999</v>
      </c>
      <c r="S550" s="16">
        <f t="shared" si="104"/>
        <v>0.97572121965189629</v>
      </c>
      <c r="T550" s="16">
        <f t="shared" si="105"/>
        <v>-23.275373585187335</v>
      </c>
    </row>
    <row r="551" spans="1:20" x14ac:dyDescent="0.35">
      <c r="A551" s="17">
        <v>2.3875000000000002</v>
      </c>
      <c r="B551" s="17">
        <v>15.1464</v>
      </c>
      <c r="C551" s="17">
        <v>-2.3073840000000002E-2</v>
      </c>
      <c r="D551" s="17">
        <v>-3.5733884E-2</v>
      </c>
      <c r="E551" s="17">
        <v>0.97683843999999997</v>
      </c>
      <c r="F551" s="17">
        <v>-3.8659902000000003E-2</v>
      </c>
      <c r="G551" s="17">
        <f t="shared" si="96"/>
        <v>5.5264169049784799</v>
      </c>
      <c r="H551" s="17">
        <f t="shared" si="97"/>
        <v>-9.6958735812183807</v>
      </c>
      <c r="I551" s="17">
        <f t="shared" si="98"/>
        <v>5.5263751837271204</v>
      </c>
      <c r="J551" s="17">
        <f t="shared" si="99"/>
        <v>-9.6973367154300298</v>
      </c>
      <c r="K551" s="15">
        <f t="shared" si="100"/>
        <v>4.1721251359483299E-5</v>
      </c>
      <c r="L551" s="15">
        <f t="shared" si="101"/>
        <v>1.4631342116491199E-3</v>
      </c>
      <c r="M551" s="15">
        <f t="shared" si="102"/>
        <v>4.4360349620803298E-2</v>
      </c>
      <c r="N551" s="15">
        <f t="shared" si="103"/>
        <v>7.7840760495925504E-2</v>
      </c>
      <c r="O551" s="17">
        <v>6.0095900999999996</v>
      </c>
      <c r="P551" s="17">
        <v>-3.5437611000000002</v>
      </c>
      <c r="Q551" s="17">
        <v>4.0257284000000002</v>
      </c>
      <c r="R551" s="17">
        <v>-5.5021955</v>
      </c>
      <c r="S551" s="17">
        <f t="shared" si="104"/>
        <v>0.9772150738238925</v>
      </c>
      <c r="T551" s="17">
        <f t="shared" si="105"/>
        <v>-23.281425852440698</v>
      </c>
    </row>
    <row r="552" spans="1:20" x14ac:dyDescent="0.35">
      <c r="A552" s="16">
        <v>2.3875000000000002</v>
      </c>
      <c r="B552" s="16">
        <v>15.1952</v>
      </c>
      <c r="C552" s="16">
        <v>-2.4640229E-2</v>
      </c>
      <c r="D552" s="16">
        <v>-3.6622941999999999E-2</v>
      </c>
      <c r="E552" s="16">
        <v>0.97526752999999999</v>
      </c>
      <c r="F552" s="16">
        <v>-3.9555104000000001E-2</v>
      </c>
      <c r="G552" s="16">
        <f t="shared" si="96"/>
        <v>5.4913031777548698</v>
      </c>
      <c r="H552" s="16">
        <f t="shared" si="97"/>
        <v>-9.2433249140338898</v>
      </c>
      <c r="I552" s="16">
        <f t="shared" si="98"/>
        <v>5.4912592048139803</v>
      </c>
      <c r="J552" s="16">
        <f t="shared" si="99"/>
        <v>-9.2447911271242802</v>
      </c>
      <c r="K552" s="15">
        <f t="shared" si="100"/>
        <v>4.3972940889425201E-5</v>
      </c>
      <c r="L552" s="15">
        <f t="shared" si="101"/>
        <v>1.4662130903904101E-3</v>
      </c>
      <c r="M552" s="15">
        <f t="shared" si="102"/>
        <v>4.7493988064564202E-2</v>
      </c>
      <c r="N552" s="15">
        <f t="shared" si="103"/>
        <v>7.9958345267350003E-2</v>
      </c>
      <c r="O552" s="16">
        <v>6.1268574999999998</v>
      </c>
      <c r="P552" s="16">
        <v>-3.7728803000000002</v>
      </c>
      <c r="Q552" s="16">
        <v>4.0478623000000002</v>
      </c>
      <c r="R552" s="16">
        <v>-5.7620681999999999</v>
      </c>
      <c r="S552" s="16">
        <f t="shared" si="104"/>
        <v>0.97865709248813237</v>
      </c>
      <c r="T552" s="16">
        <f t="shared" si="105"/>
        <v>-23.287396118809568</v>
      </c>
    </row>
    <row r="553" spans="1:20" x14ac:dyDescent="0.35">
      <c r="A553" s="17">
        <v>2.3875000000000002</v>
      </c>
      <c r="B553" s="17">
        <v>15.244</v>
      </c>
      <c r="C553" s="17">
        <v>-2.6322160000000001E-2</v>
      </c>
      <c r="D553" s="17">
        <v>-3.749222E-2</v>
      </c>
      <c r="E553" s="17">
        <v>0.97358100999999997</v>
      </c>
      <c r="F553" s="17">
        <v>-4.0430903999999997E-2</v>
      </c>
      <c r="G553" s="17">
        <f t="shared" si="96"/>
        <v>5.45702354347541</v>
      </c>
      <c r="H553" s="17">
        <f t="shared" si="97"/>
        <v>-8.8005159330159692</v>
      </c>
      <c r="I553" s="17">
        <f t="shared" si="98"/>
        <v>5.4569772854061602</v>
      </c>
      <c r="J553" s="17">
        <f t="shared" si="99"/>
        <v>-8.8019854141298506</v>
      </c>
      <c r="K553" s="15">
        <f t="shared" si="100"/>
        <v>4.6258069249738298E-5</v>
      </c>
      <c r="L553" s="15">
        <f t="shared" si="101"/>
        <v>1.46948111388134E-3</v>
      </c>
      <c r="M553" s="15">
        <f t="shared" si="102"/>
        <v>5.0879223770962101E-2</v>
      </c>
      <c r="N553" s="15">
        <f t="shared" si="103"/>
        <v>8.2067078914169506E-2</v>
      </c>
      <c r="O553" s="17">
        <v>6.2406113999999997</v>
      </c>
      <c r="P553" s="17">
        <v>-4.0183286999999996</v>
      </c>
      <c r="Q553" s="17">
        <v>4.0604142999999997</v>
      </c>
      <c r="R553" s="17">
        <v>-6.0358587999999997</v>
      </c>
      <c r="S553" s="17">
        <f t="shared" si="104"/>
        <v>0.98007418195686369</v>
      </c>
      <c r="T553" s="17">
        <f t="shared" si="105"/>
        <v>-23.29319779966616</v>
      </c>
    </row>
    <row r="554" spans="1:20" x14ac:dyDescent="0.35">
      <c r="A554" s="16">
        <v>2.3875000000000002</v>
      </c>
      <c r="B554" s="16">
        <v>15.2928</v>
      </c>
      <c r="C554" s="16">
        <v>-2.8127963999999998E-2</v>
      </c>
      <c r="D554" s="16">
        <v>-3.8333486E-2</v>
      </c>
      <c r="E554" s="16">
        <v>0.97177073000000003</v>
      </c>
      <c r="F554" s="16">
        <v>-4.1278861999999999E-2</v>
      </c>
      <c r="G554" s="16">
        <f t="shared" si="96"/>
        <v>5.4234709032826904</v>
      </c>
      <c r="H554" s="16">
        <f t="shared" si="97"/>
        <v>-8.3669470796824097</v>
      </c>
      <c r="I554" s="16">
        <f t="shared" si="98"/>
        <v>5.4234224168516603</v>
      </c>
      <c r="J554" s="16">
        <f t="shared" si="99"/>
        <v>-8.3684199136912394</v>
      </c>
      <c r="K554" s="15">
        <f t="shared" si="100"/>
        <v>4.8486431030170299E-5</v>
      </c>
      <c r="L554" s="15">
        <f t="shared" si="101"/>
        <v>1.4728340088296899E-3</v>
      </c>
      <c r="M554" s="15">
        <f t="shared" si="102"/>
        <v>5.4537472934970702E-2</v>
      </c>
      <c r="N554" s="15">
        <f t="shared" si="103"/>
        <v>8.4152116407769206E-2</v>
      </c>
      <c r="O554" s="16">
        <v>6.3495502999999998</v>
      </c>
      <c r="P554" s="16">
        <v>-4.2812182999999999</v>
      </c>
      <c r="Q554" s="16">
        <v>4.0617729000000002</v>
      </c>
      <c r="R554" s="16">
        <v>-6.3241481999999998</v>
      </c>
      <c r="S554" s="16">
        <f t="shared" si="104"/>
        <v>0.98147434714640958</v>
      </c>
      <c r="T554" s="16">
        <f t="shared" si="105"/>
        <v>-23.298796435758419</v>
      </c>
    </row>
    <row r="555" spans="1:20" x14ac:dyDescent="0.35">
      <c r="A555" s="17">
        <v>2.3875000000000002</v>
      </c>
      <c r="B555" s="17">
        <v>15.3416</v>
      </c>
      <c r="C555" s="17">
        <v>-3.0069741000000001E-2</v>
      </c>
      <c r="D555" s="17">
        <v>-3.9135659000000003E-2</v>
      </c>
      <c r="E555" s="17">
        <v>0.96990938000000004</v>
      </c>
      <c r="F555" s="17">
        <v>-4.2068068E-2</v>
      </c>
      <c r="G555" s="17">
        <f t="shared" si="96"/>
        <v>5.3903898853524197</v>
      </c>
      <c r="H555" s="17">
        <f t="shared" si="97"/>
        <v>-7.9500382497826498</v>
      </c>
      <c r="I555" s="17">
        <f t="shared" si="98"/>
        <v>5.3903815955617702</v>
      </c>
      <c r="J555" s="17">
        <f t="shared" si="99"/>
        <v>-7.9515044817439096</v>
      </c>
      <c r="K555" s="15">
        <f t="shared" si="100"/>
        <v>8.2897906494849798E-6</v>
      </c>
      <c r="L555" s="15">
        <f t="shared" si="101"/>
        <v>1.46623196125972E-3</v>
      </c>
      <c r="M555" s="15">
        <f t="shared" si="102"/>
        <v>5.8411655270006101E-2</v>
      </c>
      <c r="N555" s="15">
        <f t="shared" si="103"/>
        <v>8.6164686197346796E-2</v>
      </c>
      <c r="O555" s="17">
        <v>6.4512542000000002</v>
      </c>
      <c r="P555" s="17">
        <v>-4.5634158999999999</v>
      </c>
      <c r="Q555" s="17">
        <v>4.0489632000000002</v>
      </c>
      <c r="R555" s="17">
        <v>-6.6272672999999998</v>
      </c>
      <c r="S555" s="17">
        <f t="shared" si="104"/>
        <v>0.98280741966990959</v>
      </c>
      <c r="T555" s="17">
        <f t="shared" si="105"/>
        <v>-23.302543696010126</v>
      </c>
    </row>
    <row r="556" spans="1:20" x14ac:dyDescent="0.35">
      <c r="A556" s="16">
        <v>2.3875000000000002</v>
      </c>
      <c r="B556" s="16">
        <v>15.3904</v>
      </c>
      <c r="C556" s="16">
        <v>-3.2147382000000002E-2</v>
      </c>
      <c r="D556" s="16">
        <v>-3.9887718000000003E-2</v>
      </c>
      <c r="E556" s="16">
        <v>0.96783134000000004</v>
      </c>
      <c r="F556" s="16">
        <v>-4.2824041E-2</v>
      </c>
      <c r="G556" s="16">
        <f t="shared" si="96"/>
        <v>5.3587473724372696</v>
      </c>
      <c r="H556" s="16">
        <f t="shared" si="97"/>
        <v>-7.5337306327867504</v>
      </c>
      <c r="I556" s="16">
        <f t="shared" si="98"/>
        <v>5.3587388888864202</v>
      </c>
      <c r="J556" s="16">
        <f t="shared" si="99"/>
        <v>-7.5351988223620401</v>
      </c>
      <c r="K556" s="15">
        <f t="shared" si="100"/>
        <v>8.4835508493696904E-6</v>
      </c>
      <c r="L556" s="15">
        <f t="shared" si="101"/>
        <v>1.4681895752897099E-3</v>
      </c>
      <c r="M556" s="15">
        <f t="shared" si="102"/>
        <v>6.2678751375518094E-2</v>
      </c>
      <c r="N556" s="15">
        <f t="shared" si="103"/>
        <v>8.8135821383540799E-2</v>
      </c>
      <c r="O556" s="16">
        <v>6.5498567000000003</v>
      </c>
      <c r="P556" s="16">
        <v>-4.8675141000000002</v>
      </c>
      <c r="Q556" s="16">
        <v>4.0222714000000002</v>
      </c>
      <c r="R556" s="16">
        <v>-6.9459004000000002</v>
      </c>
      <c r="S556" s="16">
        <f t="shared" si="104"/>
        <v>0.98357887888975937</v>
      </c>
      <c r="T556" s="16">
        <f t="shared" si="105"/>
        <v>-23.307663744912315</v>
      </c>
    </row>
    <row r="557" spans="1:20" x14ac:dyDescent="0.35">
      <c r="A557" s="17">
        <v>2.3875000000000002</v>
      </c>
      <c r="B557" s="17">
        <v>15.4392</v>
      </c>
      <c r="C557" s="17">
        <v>-3.4371242000000003E-2</v>
      </c>
      <c r="D557" s="17">
        <v>-4.0574527999999999E-2</v>
      </c>
      <c r="E557" s="17">
        <v>0.96560721000000005</v>
      </c>
      <c r="F557" s="17">
        <v>-4.3514886000000003E-2</v>
      </c>
      <c r="G557" s="17">
        <f t="shared" si="96"/>
        <v>5.3277008923312899</v>
      </c>
      <c r="H557" s="17">
        <f t="shared" si="97"/>
        <v>-7.1257753208868904</v>
      </c>
      <c r="I557" s="17">
        <f t="shared" si="98"/>
        <v>5.3276922797067003</v>
      </c>
      <c r="J557" s="17">
        <f t="shared" si="99"/>
        <v>-7.1272455283890102</v>
      </c>
      <c r="K557" s="15">
        <f t="shared" si="100"/>
        <v>8.6126245895101795E-6</v>
      </c>
      <c r="L557" s="15">
        <f t="shared" si="101"/>
        <v>1.47020750211979E-3</v>
      </c>
      <c r="M557" s="15">
        <f t="shared" si="102"/>
        <v>6.7284189975127306E-2</v>
      </c>
      <c r="N557" s="15">
        <f t="shared" si="103"/>
        <v>9.0011006070700297E-2</v>
      </c>
      <c r="O557" s="17">
        <v>6.6339639000000004</v>
      </c>
      <c r="P557" s="17">
        <v>-5.1890307</v>
      </c>
      <c r="Q557" s="17">
        <v>3.9779825999999998</v>
      </c>
      <c r="R557" s="17">
        <v>-7.2796345999999996</v>
      </c>
      <c r="S557" s="17">
        <f t="shared" si="104"/>
        <v>0.98495716221592822</v>
      </c>
      <c r="T557" s="17">
        <f t="shared" si="105"/>
        <v>-23.313224092956805</v>
      </c>
    </row>
    <row r="558" spans="1:20" x14ac:dyDescent="0.35">
      <c r="A558" s="16">
        <v>2.3875000000000002</v>
      </c>
      <c r="B558" s="16">
        <v>15.488</v>
      </c>
      <c r="C558" s="16">
        <v>-3.6747230999999998E-2</v>
      </c>
      <c r="D558" s="16">
        <v>-4.1179332999999999E-2</v>
      </c>
      <c r="E558" s="16">
        <v>0.96323112</v>
      </c>
      <c r="F558" s="16">
        <v>-4.4123853999999997E-2</v>
      </c>
      <c r="G558" s="16">
        <f t="shared" si="96"/>
        <v>5.29723234077042</v>
      </c>
      <c r="H558" s="16">
        <f t="shared" si="97"/>
        <v>-6.72598019670626</v>
      </c>
      <c r="I558" s="16">
        <f t="shared" si="98"/>
        <v>5.2972236837699196</v>
      </c>
      <c r="J558" s="16">
        <f t="shared" si="99"/>
        <v>-6.7274524858884099</v>
      </c>
      <c r="K558" s="15">
        <f t="shared" si="100"/>
        <v>8.6570005004560408E-6</v>
      </c>
      <c r="L558" s="15">
        <f t="shared" si="101"/>
        <v>1.47228918214992E-3</v>
      </c>
      <c r="M558" s="15">
        <f t="shared" si="102"/>
        <v>7.2248796959353198E-2</v>
      </c>
      <c r="N558" s="15">
        <f t="shared" si="103"/>
        <v>9.1755677638429803E-2</v>
      </c>
      <c r="O558" s="16">
        <v>6.7014038999999999</v>
      </c>
      <c r="P558" s="16">
        <v>-5.5284114000000004</v>
      </c>
      <c r="Q558" s="16">
        <v>3.9135870000000001</v>
      </c>
      <c r="R558" s="16">
        <v>-7.6279329000000002</v>
      </c>
      <c r="S558" s="16">
        <f t="shared" si="104"/>
        <v>0.9868583466996369</v>
      </c>
      <c r="T558" s="16">
        <f t="shared" si="105"/>
        <v>-23.318080824324337</v>
      </c>
    </row>
    <row r="559" spans="1:20" x14ac:dyDescent="0.35">
      <c r="A559" s="17">
        <v>2.3875000000000002</v>
      </c>
      <c r="B559" s="17">
        <v>15.536799999999999</v>
      </c>
      <c r="C559" s="17">
        <v>-3.9279887999999999E-2</v>
      </c>
      <c r="D559" s="17">
        <v>-4.1682985999999998E-2</v>
      </c>
      <c r="E559" s="17">
        <v>0.96069853999999999</v>
      </c>
      <c r="F559" s="17">
        <v>-4.4631808000000002E-2</v>
      </c>
      <c r="G559" s="17">
        <f t="shared" si="96"/>
        <v>5.2673275918165698</v>
      </c>
      <c r="H559" s="17">
        <f t="shared" si="97"/>
        <v>-6.3341671055823099</v>
      </c>
      <c r="I559" s="17">
        <f t="shared" si="98"/>
        <v>5.2673189796536599</v>
      </c>
      <c r="J559" s="17">
        <f t="shared" si="99"/>
        <v>-6.3356415451835</v>
      </c>
      <c r="K559" s="15">
        <f t="shared" si="100"/>
        <v>8.6121629099267205E-6</v>
      </c>
      <c r="L559" s="15">
        <f t="shared" si="101"/>
        <v>1.47443960119009E-3</v>
      </c>
      <c r="M559" s="15">
        <f t="shared" si="102"/>
        <v>7.7591791192964901E-2</v>
      </c>
      <c r="N559" s="15">
        <f t="shared" si="103"/>
        <v>9.3329030906663502E-2</v>
      </c>
      <c r="O559" s="17">
        <v>6.7572190000000001</v>
      </c>
      <c r="P559" s="17">
        <v>-5.8924149999999997</v>
      </c>
      <c r="Q559" s="17">
        <v>3.8263815999999999</v>
      </c>
      <c r="R559" s="17">
        <v>-7.9902217999999996</v>
      </c>
      <c r="S559" s="17">
        <f t="shared" si="104"/>
        <v>0.98813746985624695</v>
      </c>
      <c r="T559" s="17">
        <f t="shared" si="105"/>
        <v>-23.32202435865603</v>
      </c>
    </row>
    <row r="560" spans="1:20" x14ac:dyDescent="0.35">
      <c r="A560" s="16">
        <v>2.3875000000000002</v>
      </c>
      <c r="B560" s="16">
        <v>15.585599999999999</v>
      </c>
      <c r="C560" s="16">
        <v>-4.1971865999999997E-2</v>
      </c>
      <c r="D560" s="16">
        <v>-4.2063867999999997E-2</v>
      </c>
      <c r="E560" s="16">
        <v>0.95800682000000004</v>
      </c>
      <c r="F560" s="16">
        <v>-4.5017135E-2</v>
      </c>
      <c r="G560" s="16">
        <f t="shared" si="96"/>
        <v>5.23797499452564</v>
      </c>
      <c r="H560" s="16">
        <f t="shared" si="97"/>
        <v>-5.95016948660603</v>
      </c>
      <c r="I560" s="16">
        <f t="shared" si="98"/>
        <v>5.23796651792353</v>
      </c>
      <c r="J560" s="16">
        <f t="shared" si="99"/>
        <v>-5.9516461483596599</v>
      </c>
      <c r="K560" s="15">
        <f t="shared" si="100"/>
        <v>8.4766021100080008E-6</v>
      </c>
      <c r="L560" s="15">
        <f t="shared" si="101"/>
        <v>1.4766617536299299E-3</v>
      </c>
      <c r="M560" s="15">
        <f t="shared" si="102"/>
        <v>8.3329638648467805E-2</v>
      </c>
      <c r="N560" s="15">
        <f t="shared" si="103"/>
        <v>9.4683408381725107E-2</v>
      </c>
      <c r="O560" s="16">
        <v>6.7990965000000001</v>
      </c>
      <c r="P560" s="16">
        <v>-6.2825385000000002</v>
      </c>
      <c r="Q560" s="16">
        <v>3.7135234000000001</v>
      </c>
      <c r="R560" s="16">
        <v>-8.3665403999999999</v>
      </c>
      <c r="S560" s="16">
        <f t="shared" si="104"/>
        <v>0.98880080484045896</v>
      </c>
      <c r="T560" s="16">
        <f t="shared" si="105"/>
        <v>-23.327040271526339</v>
      </c>
    </row>
    <row r="561" spans="1:20" x14ac:dyDescent="0.35">
      <c r="A561" s="17">
        <v>2.3875000000000002</v>
      </c>
      <c r="B561" s="17">
        <v>15.634399999999999</v>
      </c>
      <c r="C561" s="17">
        <v>-4.4823310999999998E-2</v>
      </c>
      <c r="D561" s="17">
        <v>-4.2297897000000001E-2</v>
      </c>
      <c r="E561" s="17">
        <v>0.95515581000000005</v>
      </c>
      <c r="F561" s="17">
        <v>-4.5255759E-2</v>
      </c>
      <c r="G561" s="17">
        <f t="shared" si="96"/>
        <v>5.2091632005009902</v>
      </c>
      <c r="H561" s="17">
        <f t="shared" si="97"/>
        <v>-5.5738303934865403</v>
      </c>
      <c r="I561" s="17">
        <f t="shared" si="98"/>
        <v>5.2091549481926203</v>
      </c>
      <c r="J561" s="17">
        <f t="shared" si="99"/>
        <v>-5.57530935213072</v>
      </c>
      <c r="K561" s="15">
        <f t="shared" si="100"/>
        <v>8.2523083699825895E-6</v>
      </c>
      <c r="L561" s="15">
        <f t="shared" si="101"/>
        <v>1.4789586441796799E-3</v>
      </c>
      <c r="M561" s="15">
        <f t="shared" si="102"/>
        <v>8.9474602350481006E-2</v>
      </c>
      <c r="N561" s="15">
        <f t="shared" si="103"/>
        <v>9.5763822006464799E-2</v>
      </c>
      <c r="O561" s="17">
        <v>6.8142811999999999</v>
      </c>
      <c r="P561" s="17">
        <v>-6.690302</v>
      </c>
      <c r="Q561" s="17">
        <v>3.5716735000000002</v>
      </c>
      <c r="R561" s="17">
        <v>-8.7547794999999997</v>
      </c>
      <c r="S561" s="17">
        <f t="shared" si="104"/>
        <v>0.99012857943941801</v>
      </c>
      <c r="T561" s="17">
        <f t="shared" si="105"/>
        <v>-23.332082723247947</v>
      </c>
    </row>
    <row r="562" spans="1:20" x14ac:dyDescent="0.35">
      <c r="A562" s="16">
        <v>2.3875000000000002</v>
      </c>
      <c r="B562" s="16">
        <v>15.683199999999999</v>
      </c>
      <c r="C562" s="16">
        <v>-4.7831159999999998E-2</v>
      </c>
      <c r="D562" s="16">
        <v>-4.2358638999999997E-2</v>
      </c>
      <c r="E562" s="16">
        <v>0.95214856999999997</v>
      </c>
      <c r="F562" s="16">
        <v>-4.5321258000000003E-2</v>
      </c>
      <c r="G562" s="16">
        <f t="shared" si="96"/>
        <v>5.1808821407427699</v>
      </c>
      <c r="H562" s="16">
        <f t="shared" si="97"/>
        <v>-5.2050006568703502</v>
      </c>
      <c r="I562" s="16">
        <f t="shared" si="98"/>
        <v>5.1808741999797903</v>
      </c>
      <c r="J562" s="16">
        <f t="shared" si="99"/>
        <v>-5.2064819931464204</v>
      </c>
      <c r="K562" s="15">
        <f t="shared" si="100"/>
        <v>7.9407629796079993E-6</v>
      </c>
      <c r="L562" s="15">
        <f t="shared" si="101"/>
        <v>1.48133627607017E-3</v>
      </c>
      <c r="M562" s="15">
        <f t="shared" si="102"/>
        <v>9.6032968723428397E-2</v>
      </c>
      <c r="N562" s="15">
        <f t="shared" si="103"/>
        <v>9.6507636184038903E-2</v>
      </c>
      <c r="O562" s="16">
        <v>6.7993804999999998</v>
      </c>
      <c r="P562" s="16">
        <v>-7.1146399000000002</v>
      </c>
      <c r="Q562" s="16">
        <v>3.3974633999999999</v>
      </c>
      <c r="R562" s="16">
        <v>-9.1523003999999997</v>
      </c>
      <c r="S562" s="16">
        <f t="shared" si="104"/>
        <v>0.99200562327456043</v>
      </c>
      <c r="T562" s="16">
        <f t="shared" si="105"/>
        <v>-23.336394381560361</v>
      </c>
    </row>
    <row r="563" spans="1:20" x14ac:dyDescent="0.35">
      <c r="A563" s="17">
        <v>2.3875000000000002</v>
      </c>
      <c r="B563" s="17">
        <v>15.731999999999999</v>
      </c>
      <c r="C563" s="17">
        <v>-5.0988341E-2</v>
      </c>
      <c r="D563" s="17">
        <v>-4.2217610000000003E-2</v>
      </c>
      <c r="E563" s="17">
        <v>0.94899215999999997</v>
      </c>
      <c r="F563" s="17">
        <v>-4.5185161000000001E-2</v>
      </c>
      <c r="G563" s="17">
        <f t="shared" si="96"/>
        <v>5.1531215274286497</v>
      </c>
      <c r="H563" s="17">
        <f t="shared" si="97"/>
        <v>-4.8435390479492</v>
      </c>
      <c r="I563" s="17">
        <f t="shared" si="98"/>
        <v>5.1531139794828702</v>
      </c>
      <c r="J563" s="17">
        <f t="shared" si="99"/>
        <v>-4.8450228491149803</v>
      </c>
      <c r="K563" s="15">
        <f t="shared" si="100"/>
        <v>7.5479457795068996E-6</v>
      </c>
      <c r="L563" s="15">
        <f t="shared" si="101"/>
        <v>1.48380116578029E-3</v>
      </c>
      <c r="M563" s="15">
        <f t="shared" si="102"/>
        <v>0.103002887930856</v>
      </c>
      <c r="N563" s="15">
        <f t="shared" si="103"/>
        <v>9.6844616194557101E-2</v>
      </c>
      <c r="O563" s="17">
        <v>6.7590266000000003</v>
      </c>
      <c r="P563" s="17">
        <v>-7.5630648999999996</v>
      </c>
      <c r="Q563" s="17">
        <v>3.1878693</v>
      </c>
      <c r="R563" s="17">
        <v>-9.5571140999999997</v>
      </c>
      <c r="S563" s="17">
        <f t="shared" si="104"/>
        <v>0.99325391889697734</v>
      </c>
      <c r="T563" s="17">
        <f t="shared" si="105"/>
        <v>-23.34017611092019</v>
      </c>
    </row>
    <row r="564" spans="1:20" x14ac:dyDescent="0.35">
      <c r="A564" s="16">
        <v>2.3875000000000002</v>
      </c>
      <c r="B564" s="16">
        <v>15.780799999999999</v>
      </c>
      <c r="C564" s="16">
        <v>-5.4282947999999998E-2</v>
      </c>
      <c r="D564" s="16">
        <v>-4.1844774000000001E-2</v>
      </c>
      <c r="E564" s="16">
        <v>0.9456985</v>
      </c>
      <c r="F564" s="16">
        <v>-4.4817448000000003E-2</v>
      </c>
      <c r="G564" s="16">
        <f t="shared" si="96"/>
        <v>5.1258716646616698</v>
      </c>
      <c r="H564" s="16">
        <f t="shared" si="97"/>
        <v>-4.4893126414620497</v>
      </c>
      <c r="I564" s="16">
        <f t="shared" si="98"/>
        <v>5.1258645978299002</v>
      </c>
      <c r="J564" s="16">
        <f t="shared" si="99"/>
        <v>-4.4907990027532296</v>
      </c>
      <c r="K564" s="15">
        <f t="shared" si="100"/>
        <v>7.0668317695421504E-6</v>
      </c>
      <c r="L564" s="15">
        <f t="shared" si="101"/>
        <v>1.48636129117996E-3</v>
      </c>
      <c r="M564" s="15">
        <f t="shared" si="102"/>
        <v>0.110371876627435</v>
      </c>
      <c r="N564" s="15">
        <f t="shared" si="103"/>
        <v>9.6697426166959102E-2</v>
      </c>
      <c r="O564" s="16">
        <v>6.6893263999999997</v>
      </c>
      <c r="P564" s="16">
        <v>-8.0349766999999996</v>
      </c>
      <c r="Q564" s="16">
        <v>2.9395342000000002</v>
      </c>
      <c r="R564" s="16">
        <v>-9.9664546999999999</v>
      </c>
      <c r="S564" s="16">
        <f t="shared" si="104"/>
        <v>0.99386608889974282</v>
      </c>
      <c r="T564" s="16">
        <f t="shared" si="105"/>
        <v>-23.345213582028922</v>
      </c>
    </row>
    <row r="565" spans="1:20" x14ac:dyDescent="0.35">
      <c r="A565" s="17">
        <v>2.3875000000000002</v>
      </c>
      <c r="B565" s="17">
        <v>15.829599999999999</v>
      </c>
      <c r="C565" s="17">
        <v>-5.7697406999999999E-2</v>
      </c>
      <c r="D565" s="17">
        <v>-4.1209308E-2</v>
      </c>
      <c r="E565" s="17">
        <v>0.94228513999999997</v>
      </c>
      <c r="F565" s="17">
        <v>-4.4187311E-2</v>
      </c>
      <c r="G565" s="17">
        <f t="shared" si="96"/>
        <v>5.09912287459405</v>
      </c>
      <c r="H565" s="17">
        <f t="shared" si="97"/>
        <v>-4.1421936464270503</v>
      </c>
      <c r="I565" s="17">
        <f t="shared" si="98"/>
        <v>5.0991163651965001</v>
      </c>
      <c r="J565" s="17">
        <f t="shared" si="99"/>
        <v>-4.1436826706135301</v>
      </c>
      <c r="K565" s="15">
        <f t="shared" si="100"/>
        <v>6.5093975498697904E-6</v>
      </c>
      <c r="L565" s="15">
        <f t="shared" si="101"/>
        <v>1.48902418647978E-3</v>
      </c>
      <c r="M565" s="15">
        <f t="shared" si="102"/>
        <v>0.118114134219433</v>
      </c>
      <c r="N565" s="15">
        <f t="shared" si="103"/>
        <v>9.5982804875786101E-2</v>
      </c>
      <c r="O565" s="17">
        <v>6.5723769000000001</v>
      </c>
      <c r="P565" s="17">
        <v>-8.5113325999999994</v>
      </c>
      <c r="Q565" s="17">
        <v>2.6494371000000001</v>
      </c>
      <c r="R565" s="17">
        <v>-10.374938999999999</v>
      </c>
      <c r="S565" s="17">
        <f t="shared" si="104"/>
        <v>0.99575346318564073</v>
      </c>
      <c r="T565" s="17">
        <f t="shared" si="105"/>
        <v>-23.349609463174815</v>
      </c>
    </row>
    <row r="566" spans="1:20" x14ac:dyDescent="0.35">
      <c r="A566" s="16">
        <v>2.3875000000000002</v>
      </c>
      <c r="B566" s="16">
        <v>15.878399999999999</v>
      </c>
      <c r="C566" s="16">
        <v>-6.1207729000000002E-2</v>
      </c>
      <c r="D566" s="16">
        <v>-4.0280653999999999E-2</v>
      </c>
      <c r="E566" s="16">
        <v>0.93877608999999995</v>
      </c>
      <c r="F566" s="16">
        <v>-4.3264209999999997E-2</v>
      </c>
      <c r="G566" s="16">
        <f t="shared" si="96"/>
        <v>5.0728666421482203</v>
      </c>
      <c r="H566" s="16">
        <f t="shared" si="97"/>
        <v>-3.80206311720677</v>
      </c>
      <c r="I566" s="16">
        <f t="shared" si="98"/>
        <v>5.07286077703343</v>
      </c>
      <c r="J566" s="16">
        <f t="shared" si="99"/>
        <v>-3.8035549160256301</v>
      </c>
      <c r="K566" s="15">
        <f t="shared" si="100"/>
        <v>5.8651147902821802E-6</v>
      </c>
      <c r="L566" s="15">
        <f t="shared" si="101"/>
        <v>1.4917988188600799E-3</v>
      </c>
      <c r="M566" s="15">
        <f t="shared" si="102"/>
        <v>0.12618759565224999</v>
      </c>
      <c r="N566" s="15">
        <f t="shared" si="103"/>
        <v>9.4613566364272803E-2</v>
      </c>
      <c r="O566" s="16">
        <v>6.4173901000000004</v>
      </c>
      <c r="P566" s="16">
        <v>-9.0045389999999994</v>
      </c>
      <c r="Q566" s="16">
        <v>2.3151885000000001</v>
      </c>
      <c r="R566" s="16">
        <v>-10.777725</v>
      </c>
      <c r="S566" s="16">
        <f t="shared" si="104"/>
        <v>0.99694800016170415</v>
      </c>
      <c r="T566" s="16">
        <f t="shared" si="105"/>
        <v>-23.353257305443535</v>
      </c>
    </row>
    <row r="567" spans="1:20" x14ac:dyDescent="0.35">
      <c r="A567" s="17">
        <v>2.3875000000000002</v>
      </c>
      <c r="B567" s="17">
        <v>15.927199999999999</v>
      </c>
      <c r="C567" s="17">
        <v>-6.4790449E-2</v>
      </c>
      <c r="D567" s="17">
        <v>-3.9025391E-2</v>
      </c>
      <c r="E567" s="17">
        <v>0.93520608999999999</v>
      </c>
      <c r="F567" s="17">
        <v>-4.2052784000000003E-2</v>
      </c>
      <c r="G567" s="17">
        <f t="shared" si="96"/>
        <v>5.0459039472760496</v>
      </c>
      <c r="H567" s="17">
        <f t="shared" si="97"/>
        <v>-3.46919737199083</v>
      </c>
      <c r="I567" s="17">
        <f t="shared" si="98"/>
        <v>5.0459045080567897</v>
      </c>
      <c r="J567" s="17">
        <f t="shared" si="99"/>
        <v>-3.4707110702614301</v>
      </c>
      <c r="K567" s="15">
        <f t="shared" si="100"/>
        <v>-5.6078074006649103E-7</v>
      </c>
      <c r="L567" s="15">
        <f t="shared" si="101"/>
        <v>1.51369827060011E-3</v>
      </c>
      <c r="M567" s="15">
        <f t="shared" si="102"/>
        <v>0.13453238518653701</v>
      </c>
      <c r="N567" s="15">
        <f t="shared" si="103"/>
        <v>9.2535052502490903E-2</v>
      </c>
      <c r="O567" s="17">
        <v>6.2199916000000002</v>
      </c>
      <c r="P567" s="17">
        <v>-9.5124236999999994</v>
      </c>
      <c r="Q567" s="17">
        <v>1.9335241999999999</v>
      </c>
      <c r="R567" s="17">
        <v>-11.171950000000001</v>
      </c>
      <c r="S567" s="17">
        <f t="shared" si="104"/>
        <v>0.99758361070114465</v>
      </c>
      <c r="T567" s="17">
        <f t="shared" si="105"/>
        <v>-23.361014142409218</v>
      </c>
    </row>
    <row r="568" spans="1:20" x14ac:dyDescent="0.35">
      <c r="A568" s="16">
        <v>2.3875000000000002</v>
      </c>
      <c r="B568" s="16">
        <v>15.976000000000001</v>
      </c>
      <c r="C568" s="16">
        <v>-6.8394607999999996E-2</v>
      </c>
      <c r="D568" s="16">
        <v>-3.7424817999999999E-2</v>
      </c>
      <c r="E568" s="16">
        <v>0.93160297999999997</v>
      </c>
      <c r="F568" s="16">
        <v>-4.0458768999999999E-2</v>
      </c>
      <c r="G568" s="16">
        <f t="shared" si="96"/>
        <v>5.0207322682174498</v>
      </c>
      <c r="H568" s="16">
        <f t="shared" si="97"/>
        <v>-3.1425221416289602</v>
      </c>
      <c r="I568" s="16">
        <f t="shared" si="98"/>
        <v>5.0207333634336999</v>
      </c>
      <c r="J568" s="16">
        <f t="shared" si="99"/>
        <v>-3.1440391172970199</v>
      </c>
      <c r="K568" s="15">
        <f t="shared" si="100"/>
        <v>-1.09521625013542E-6</v>
      </c>
      <c r="L568" s="15">
        <f t="shared" si="101"/>
        <v>1.5169756680597499E-3</v>
      </c>
      <c r="M568" s="15">
        <f t="shared" si="102"/>
        <v>0.14307040657765799</v>
      </c>
      <c r="N568" s="15">
        <f t="shared" si="103"/>
        <v>8.9592281096583196E-2</v>
      </c>
      <c r="O568" s="16">
        <v>5.9651009999999998</v>
      </c>
      <c r="P568" s="16">
        <v>-10.008884999999999</v>
      </c>
      <c r="Q568" s="16">
        <v>1.5055807000000001</v>
      </c>
      <c r="R568" s="16">
        <v>-11.545923999999999</v>
      </c>
      <c r="S568" s="16">
        <f t="shared" si="104"/>
        <v>0.99931814430173216</v>
      </c>
      <c r="T568" s="16">
        <f t="shared" si="105"/>
        <v>-23.364710303592478</v>
      </c>
    </row>
    <row r="569" spans="1:20" x14ac:dyDescent="0.35">
      <c r="A569" s="17">
        <v>2.3875000000000002</v>
      </c>
      <c r="B569" s="17">
        <v>16.024799999999999</v>
      </c>
      <c r="C569" s="17">
        <v>-7.1977017000000004E-2</v>
      </c>
      <c r="D569" s="17">
        <v>-3.5457651E-2</v>
      </c>
      <c r="E569" s="17">
        <v>0.92802172000000005</v>
      </c>
      <c r="F569" s="17">
        <v>-3.8497969E-2</v>
      </c>
      <c r="G569" s="17">
        <f t="shared" si="96"/>
        <v>4.9960365867126697</v>
      </c>
      <c r="H569" s="17">
        <f t="shared" si="97"/>
        <v>-2.8227751706655302</v>
      </c>
      <c r="I569" s="17">
        <f t="shared" si="98"/>
        <v>4.9960382660946996</v>
      </c>
      <c r="J569" s="17">
        <f t="shared" si="99"/>
        <v>-2.82429532807258</v>
      </c>
      <c r="K569" s="15">
        <f t="shared" si="100"/>
        <v>-1.67938202988438E-6</v>
      </c>
      <c r="L569" s="15">
        <f t="shared" si="101"/>
        <v>1.5201574070498E-3</v>
      </c>
      <c r="M569" s="15">
        <f t="shared" si="102"/>
        <v>0.15168448328959</v>
      </c>
      <c r="N569" s="15">
        <f t="shared" si="103"/>
        <v>8.5748297886990898E-2</v>
      </c>
      <c r="O569" s="17">
        <v>5.6650514000000003</v>
      </c>
      <c r="P569" s="17">
        <v>-10.511324</v>
      </c>
      <c r="Q569" s="17">
        <v>1.0309788</v>
      </c>
      <c r="R569" s="17">
        <v>-11.895382</v>
      </c>
      <c r="S569" s="17">
        <f t="shared" si="104"/>
        <v>0.99993789506341568</v>
      </c>
      <c r="T569" s="17">
        <f t="shared" si="105"/>
        <v>-23.36885894185891</v>
      </c>
    </row>
    <row r="570" spans="1:20" x14ac:dyDescent="0.35">
      <c r="A570" s="16">
        <v>2.3875000000000002</v>
      </c>
      <c r="B570" s="16">
        <v>16.073599999999999</v>
      </c>
      <c r="C570" s="16">
        <v>-7.5506830999999996E-2</v>
      </c>
      <c r="D570" s="16">
        <v>-3.3095368999999999E-2</v>
      </c>
      <c r="E570" s="16">
        <v>0.92449031999999998</v>
      </c>
      <c r="F570" s="16">
        <v>-3.6147385999999997E-2</v>
      </c>
      <c r="G570" s="16">
        <f t="shared" si="96"/>
        <v>4.9715040812337801</v>
      </c>
      <c r="H570" s="16">
        <f t="shared" si="97"/>
        <v>-2.5079828627712302</v>
      </c>
      <c r="I570" s="16">
        <f t="shared" si="98"/>
        <v>4.9715049854382301</v>
      </c>
      <c r="J570" s="16">
        <f t="shared" si="99"/>
        <v>-2.5095088720652101</v>
      </c>
      <c r="K570" s="15">
        <f t="shared" si="100"/>
        <v>-9.0420444998073901E-7</v>
      </c>
      <c r="L570" s="15">
        <f t="shared" si="101"/>
        <v>1.52600929397995E-3</v>
      </c>
      <c r="M570" s="15">
        <f t="shared" si="102"/>
        <v>0.16030133750106301</v>
      </c>
      <c r="N570" s="15">
        <f t="shared" si="103"/>
        <v>8.0916670070959998E-2</v>
      </c>
      <c r="O570" s="16">
        <v>5.3054582999999997</v>
      </c>
      <c r="P570" s="16">
        <v>-10.997804</v>
      </c>
      <c r="Q570" s="16">
        <v>0.50767317999999995</v>
      </c>
      <c r="R570" s="16">
        <v>-12.213597999999999</v>
      </c>
      <c r="S570" s="16">
        <f t="shared" si="104"/>
        <v>1.0011064586206746</v>
      </c>
      <c r="T570" s="16">
        <f t="shared" si="105"/>
        <v>-23.372959480157682</v>
      </c>
    </row>
    <row r="571" spans="1:20" x14ac:dyDescent="0.35">
      <c r="A571" s="17">
        <v>2.3875000000000002</v>
      </c>
      <c r="B571" s="17">
        <v>16.122399999999999</v>
      </c>
      <c r="C571" s="17">
        <v>-7.8894382999999998E-2</v>
      </c>
      <c r="D571" s="17">
        <v>-3.0356269000000002E-2</v>
      </c>
      <c r="E571" s="17">
        <v>0.92110316000000003</v>
      </c>
      <c r="F571" s="17">
        <v>-3.3415157000000001E-2</v>
      </c>
      <c r="G571" s="17">
        <f t="shared" si="96"/>
        <v>4.9476762740290203</v>
      </c>
      <c r="H571" s="17">
        <f t="shared" si="97"/>
        <v>-2.2009174322885401</v>
      </c>
      <c r="I571" s="17">
        <f t="shared" si="98"/>
        <v>4.9476773847296096</v>
      </c>
      <c r="J571" s="17">
        <f t="shared" si="99"/>
        <v>-2.2024468764687</v>
      </c>
      <c r="K571" s="15">
        <f t="shared" si="100"/>
        <v>-1.11070058927965E-6</v>
      </c>
      <c r="L571" s="15">
        <f t="shared" si="101"/>
        <v>1.5294441801598801E-3</v>
      </c>
      <c r="M571" s="15">
        <f t="shared" si="102"/>
        <v>0.16868835731022699</v>
      </c>
      <c r="N571" s="15">
        <f t="shared" si="103"/>
        <v>7.5091222964783197E-2</v>
      </c>
      <c r="O571" s="17">
        <v>4.8931943999999996</v>
      </c>
      <c r="P571" s="17">
        <v>-11.461198</v>
      </c>
      <c r="Q571" s="17">
        <v>-5.607169E-2</v>
      </c>
      <c r="R571" s="17">
        <v>-12.489979999999999</v>
      </c>
      <c r="S571" s="17">
        <f t="shared" si="104"/>
        <v>1.0022522047107367</v>
      </c>
      <c r="T571" s="17">
        <f t="shared" si="105"/>
        <v>-23.376583459042063</v>
      </c>
    </row>
    <row r="572" spans="1:20" x14ac:dyDescent="0.35">
      <c r="A572" s="16">
        <v>2.3875000000000002</v>
      </c>
      <c r="B572" s="16">
        <v>16.171199999999999</v>
      </c>
      <c r="C572" s="16">
        <v>-8.2091214999999995E-2</v>
      </c>
      <c r="D572" s="16">
        <v>-2.724093E-2</v>
      </c>
      <c r="E572" s="16">
        <v>0.91790726</v>
      </c>
      <c r="F572" s="16">
        <v>-3.0307038000000001E-2</v>
      </c>
      <c r="G572" s="16">
        <f t="shared" si="96"/>
        <v>4.9243152237337497</v>
      </c>
      <c r="H572" s="16">
        <f t="shared" si="97"/>
        <v>-1.9005055230441601</v>
      </c>
      <c r="I572" s="16">
        <f t="shared" si="98"/>
        <v>4.9243168114875999</v>
      </c>
      <c r="J572" s="16">
        <f t="shared" si="99"/>
        <v>-1.9020385757789999</v>
      </c>
      <c r="K572" s="15">
        <f t="shared" si="100"/>
        <v>-1.5877538501740701E-6</v>
      </c>
      <c r="L572" s="15">
        <f t="shared" si="101"/>
        <v>1.5330527348398301E-3</v>
      </c>
      <c r="M572" s="15">
        <f t="shared" si="102"/>
        <v>0.176710059383337</v>
      </c>
      <c r="N572" s="15">
        <f t="shared" si="103"/>
        <v>6.8255021466372398E-2</v>
      </c>
      <c r="O572" s="16">
        <v>4.4286440999999996</v>
      </c>
      <c r="P572" s="16">
        <v>-11.894695</v>
      </c>
      <c r="Q572" s="16">
        <v>-0.65738026000000005</v>
      </c>
      <c r="R572" s="16">
        <v>-12.718374000000001</v>
      </c>
      <c r="S572" s="16">
        <f t="shared" si="104"/>
        <v>1.003385179557909</v>
      </c>
      <c r="T572" s="16">
        <f t="shared" si="105"/>
        <v>-23.38019224319088</v>
      </c>
    </row>
    <row r="573" spans="1:20" x14ac:dyDescent="0.35">
      <c r="A573" s="17">
        <v>2.3875000000000002</v>
      </c>
      <c r="B573" s="17">
        <v>16.22</v>
      </c>
      <c r="C573" s="17">
        <v>-8.5038483999999998E-2</v>
      </c>
      <c r="D573" s="17">
        <v>-2.3768001E-2</v>
      </c>
      <c r="E573" s="17">
        <v>0.91496115</v>
      </c>
      <c r="F573" s="17">
        <v>-2.6841401000000001E-2</v>
      </c>
      <c r="G573" s="17">
        <f t="shared" si="96"/>
        <v>4.90140371721452</v>
      </c>
      <c r="H573" s="17">
        <f t="shared" si="97"/>
        <v>-1.6065114740969899</v>
      </c>
      <c r="I573" s="17">
        <f t="shared" si="98"/>
        <v>4.9014058956570903</v>
      </c>
      <c r="J573" s="17">
        <f t="shared" si="99"/>
        <v>-1.6080481710305901</v>
      </c>
      <c r="K573" s="15">
        <f t="shared" si="100"/>
        <v>-2.1784425703330599E-6</v>
      </c>
      <c r="L573" s="15">
        <f t="shared" si="101"/>
        <v>1.53669693360015E-3</v>
      </c>
      <c r="M573" s="15">
        <f t="shared" si="102"/>
        <v>0.18419691163490401</v>
      </c>
      <c r="N573" s="15">
        <f t="shared" si="103"/>
        <v>6.0431132040388302E-2</v>
      </c>
      <c r="O573" s="17">
        <v>3.9148789000000002</v>
      </c>
      <c r="P573" s="17">
        <v>-12.290067000000001</v>
      </c>
      <c r="Q573" s="17">
        <v>-1.2901749</v>
      </c>
      <c r="R573" s="17">
        <v>-12.892123</v>
      </c>
      <c r="S573" s="17">
        <f t="shared" si="104"/>
        <v>1.0044959484502554</v>
      </c>
      <c r="T573" s="17">
        <f t="shared" si="105"/>
        <v>-23.38359076687971</v>
      </c>
    </row>
    <row r="574" spans="1:20" x14ac:dyDescent="0.35">
      <c r="A574" s="16">
        <v>2.3875000000000002</v>
      </c>
      <c r="B574" s="16">
        <v>16.268799999999999</v>
      </c>
      <c r="C574" s="16">
        <v>-8.7678681999999994E-2</v>
      </c>
      <c r="D574" s="16">
        <v>-1.9969675999999999E-2</v>
      </c>
      <c r="E574" s="16">
        <v>0.91232226999999999</v>
      </c>
      <c r="F574" s="16">
        <v>-2.3050271000000001E-2</v>
      </c>
      <c r="G574" s="16">
        <f t="shared" si="96"/>
        <v>4.8789327534261497</v>
      </c>
      <c r="H574" s="16">
        <f t="shared" si="97"/>
        <v>-1.31883636606195</v>
      </c>
      <c r="I574" s="16">
        <f t="shared" si="98"/>
        <v>4.8789356019332901</v>
      </c>
      <c r="J574" s="16">
        <f t="shared" si="99"/>
        <v>-1.32037665844122</v>
      </c>
      <c r="K574" s="15">
        <f t="shared" si="100"/>
        <v>-2.8485071403849798E-6</v>
      </c>
      <c r="L574" s="15">
        <f t="shared" si="101"/>
        <v>1.5402923792699999E-3</v>
      </c>
      <c r="M574" s="15">
        <f t="shared" si="102"/>
        <v>0.19097576429163199</v>
      </c>
      <c r="N574" s="15">
        <f t="shared" si="103"/>
        <v>5.16833920494306E-2</v>
      </c>
      <c r="O574" s="16">
        <v>3.3569225999999999</v>
      </c>
      <c r="P574" s="16">
        <v>-12.639459</v>
      </c>
      <c r="Q574" s="16">
        <v>-1.9468434999999999</v>
      </c>
      <c r="R574" s="16">
        <v>-13.006104000000001</v>
      </c>
      <c r="S574" s="16">
        <f t="shared" si="104"/>
        <v>1.0056094370227524</v>
      </c>
      <c r="T574" s="16">
        <f t="shared" si="105"/>
        <v>-23.387066298708152</v>
      </c>
    </row>
    <row r="575" spans="1:20" x14ac:dyDescent="0.35">
      <c r="A575" s="17">
        <v>2.3875000000000002</v>
      </c>
      <c r="B575" s="17">
        <v>16.317599999999999</v>
      </c>
      <c r="C575" s="17">
        <v>-8.9960015000000004E-2</v>
      </c>
      <c r="D575" s="17">
        <v>-1.5890522000000001E-2</v>
      </c>
      <c r="E575" s="17">
        <v>0.91004233999999995</v>
      </c>
      <c r="F575" s="17">
        <v>-1.8978020000000002E-2</v>
      </c>
      <c r="G575" s="17">
        <f t="shared" si="96"/>
        <v>4.8568934731107101</v>
      </c>
      <c r="H575" s="17">
        <f t="shared" si="97"/>
        <v>-1.0374092146673</v>
      </c>
      <c r="I575" s="17">
        <f t="shared" si="98"/>
        <v>4.8568970337561899</v>
      </c>
      <c r="J575" s="17">
        <f t="shared" si="99"/>
        <v>-1.0389529563527999</v>
      </c>
      <c r="K575" s="15">
        <f t="shared" si="100"/>
        <v>-3.5606454797942901E-6</v>
      </c>
      <c r="L575" s="15">
        <f t="shared" si="101"/>
        <v>1.5437416854999801E-3</v>
      </c>
      <c r="M575" s="15">
        <f t="shared" si="102"/>
        <v>0.196883628302193</v>
      </c>
      <c r="N575" s="15">
        <f t="shared" si="103"/>
        <v>4.21159489814905E-2</v>
      </c>
      <c r="O575" s="17">
        <v>2.7615468999999999</v>
      </c>
      <c r="P575" s="17">
        <v>-12.936128999999999</v>
      </c>
      <c r="Q575" s="17">
        <v>-2.6183592</v>
      </c>
      <c r="R575" s="17">
        <v>-13.055873999999999</v>
      </c>
      <c r="S575" s="17">
        <f t="shared" si="104"/>
        <v>1.0066705611750357</v>
      </c>
      <c r="T575" s="17">
        <f t="shared" si="105"/>
        <v>-23.390612534321249</v>
      </c>
    </row>
    <row r="576" spans="1:20" x14ac:dyDescent="0.35">
      <c r="A576" s="16">
        <v>2.3875000000000002</v>
      </c>
      <c r="B576" s="16">
        <v>16.366399999999999</v>
      </c>
      <c r="C576" s="16">
        <v>-9.1841275E-2</v>
      </c>
      <c r="D576" s="16">
        <v>-1.1574568E-2</v>
      </c>
      <c r="E576" s="16">
        <v>0.90806401999999997</v>
      </c>
      <c r="F576" s="16">
        <v>-1.4677216E-2</v>
      </c>
      <c r="G576" s="16">
        <f t="shared" si="96"/>
        <v>4.8325819884585997</v>
      </c>
      <c r="H576" s="16">
        <f t="shared" si="97"/>
        <v>-0.76095727054050399</v>
      </c>
      <c r="I576" s="16">
        <f t="shared" si="98"/>
        <v>4.8325370406585</v>
      </c>
      <c r="J576" s="16">
        <f t="shared" si="99"/>
        <v>-0.76250873773495498</v>
      </c>
      <c r="K576" s="15">
        <f t="shared" si="100"/>
        <v>4.4947800099670601E-5</v>
      </c>
      <c r="L576" s="15">
        <f t="shared" si="101"/>
        <v>1.55146719445098E-3</v>
      </c>
      <c r="M576" s="15">
        <f t="shared" si="102"/>
        <v>0.20190393115327199</v>
      </c>
      <c r="N576" s="15">
        <f t="shared" si="103"/>
        <v>3.1857699256543803E-2</v>
      </c>
      <c r="O576" s="16">
        <v>2.1345081000000001</v>
      </c>
      <c r="P576" s="16">
        <v>-13.172444</v>
      </c>
      <c r="Q576" s="16">
        <v>-3.2980312000000001</v>
      </c>
      <c r="R576" s="16">
        <v>-13.038633000000001</v>
      </c>
      <c r="S576" s="16">
        <f t="shared" si="104"/>
        <v>1.0078692005078067</v>
      </c>
      <c r="T576" s="16">
        <f t="shared" si="105"/>
        <v>-23.39923512169144</v>
      </c>
    </row>
    <row r="577" spans="1:20" x14ac:dyDescent="0.35">
      <c r="A577" s="17">
        <v>2.3875000000000002</v>
      </c>
      <c r="B577" s="17">
        <v>16.415199999999999</v>
      </c>
      <c r="C577" s="17">
        <v>-9.328736E-2</v>
      </c>
      <c r="D577" s="17">
        <v>-7.1078850000000004E-3</v>
      </c>
      <c r="E577" s="17">
        <v>0.90661278999999995</v>
      </c>
      <c r="F577" s="17">
        <v>-1.0219357E-2</v>
      </c>
      <c r="G577" s="17">
        <f t="shared" si="96"/>
        <v>4.8111806791490501</v>
      </c>
      <c r="H577" s="17">
        <f t="shared" si="97"/>
        <v>-0.49220672654675601</v>
      </c>
      <c r="I577" s="17">
        <f t="shared" si="98"/>
        <v>4.8111331723276196</v>
      </c>
      <c r="J577" s="17">
        <f t="shared" si="99"/>
        <v>-0.49376261413251699</v>
      </c>
      <c r="K577" s="15">
        <f t="shared" si="100"/>
        <v>4.7506821430509701E-5</v>
      </c>
      <c r="L577" s="15">
        <f t="shared" si="101"/>
        <v>1.55588758576097E-3</v>
      </c>
      <c r="M577" s="15">
        <f t="shared" si="102"/>
        <v>0.205684814792153</v>
      </c>
      <c r="N577" s="15">
        <f t="shared" si="103"/>
        <v>2.1109262246840298E-2</v>
      </c>
      <c r="O577" s="17">
        <v>1.4898775</v>
      </c>
      <c r="P577" s="17">
        <v>-13.348483999999999</v>
      </c>
      <c r="Q577" s="17">
        <v>-3.9692599999999998</v>
      </c>
      <c r="R577" s="17">
        <v>-12.955342999999999</v>
      </c>
      <c r="S577" s="17">
        <f t="shared" si="104"/>
        <v>1.0088141101888464</v>
      </c>
      <c r="T577" s="17">
        <f t="shared" si="105"/>
        <v>-23.402676371393635</v>
      </c>
    </row>
    <row r="578" spans="1:20" x14ac:dyDescent="0.35">
      <c r="A578" s="16">
        <v>2.3875000000000002</v>
      </c>
      <c r="B578" s="16">
        <v>16.463999999999999</v>
      </c>
      <c r="C578" s="16">
        <v>-9.4282477000000003E-2</v>
      </c>
      <c r="D578" s="16">
        <v>-2.5529248000000001E-3</v>
      </c>
      <c r="E578" s="16">
        <v>0.90561055999999995</v>
      </c>
      <c r="F578" s="16">
        <v>-5.6801548E-3</v>
      </c>
      <c r="G578" s="16">
        <f t="shared" si="96"/>
        <v>4.7901579657786799</v>
      </c>
      <c r="H578" s="16">
        <f t="shared" si="97"/>
        <v>-0.23006370888000999</v>
      </c>
      <c r="I578" s="16">
        <f t="shared" si="98"/>
        <v>4.7901069266964598</v>
      </c>
      <c r="J578" s="16">
        <f t="shared" si="99"/>
        <v>-0.231627487318701</v>
      </c>
      <c r="K578" s="15">
        <f t="shared" si="100"/>
        <v>5.1039082220150099E-5</v>
      </c>
      <c r="L578" s="15">
        <f t="shared" si="101"/>
        <v>1.56377843869102E-3</v>
      </c>
      <c r="M578" s="15">
        <f t="shared" si="102"/>
        <v>0.20827660554979099</v>
      </c>
      <c r="N578" s="15">
        <f t="shared" si="103"/>
        <v>1.00712964343026E-2</v>
      </c>
      <c r="O578" s="16">
        <v>0.83547519999999997</v>
      </c>
      <c r="P578" s="16">
        <v>-13.456091000000001</v>
      </c>
      <c r="Q578" s="16">
        <v>-4.6244832000000002</v>
      </c>
      <c r="R578" s="16">
        <v>-12.807594999999999</v>
      </c>
      <c r="S578" s="16">
        <f t="shared" si="104"/>
        <v>1.0100067169319016</v>
      </c>
      <c r="T578" s="16">
        <f t="shared" si="105"/>
        <v>-23.40618486072194</v>
      </c>
    </row>
    <row r="579" spans="1:20" x14ac:dyDescent="0.35">
      <c r="A579" s="17">
        <v>2.3875000000000002</v>
      </c>
      <c r="B579" s="17">
        <v>16.512799999999999</v>
      </c>
      <c r="C579" s="17">
        <v>-9.4825252999999998E-2</v>
      </c>
      <c r="D579" s="17">
        <v>2.0203366E-3</v>
      </c>
      <c r="E579" s="17">
        <v>0.90505853999999997</v>
      </c>
      <c r="F579" s="17">
        <v>-1.1179427E-3</v>
      </c>
      <c r="G579" s="17">
        <f t="shared" si="96"/>
        <v>4.7695367471256596</v>
      </c>
      <c r="H579" s="17">
        <f t="shared" si="97"/>
        <v>2.5842650723833301E-2</v>
      </c>
      <c r="I579" s="17">
        <f t="shared" si="98"/>
        <v>4.76948110287187</v>
      </c>
      <c r="J579" s="17">
        <f t="shared" si="99"/>
        <v>2.4273332577351599E-2</v>
      </c>
      <c r="K579" s="15">
        <f t="shared" si="100"/>
        <v>5.5644253789566298E-5</v>
      </c>
      <c r="L579" s="15">
        <f t="shared" si="101"/>
        <v>1.5693181464816999E-3</v>
      </c>
      <c r="M579" s="15">
        <f t="shared" si="102"/>
        <v>0.20966098367970701</v>
      </c>
      <c r="N579" s="15">
        <f t="shared" si="103"/>
        <v>-1.06702818935331E-3</v>
      </c>
      <c r="O579" s="17">
        <v>0.18181032999999999</v>
      </c>
      <c r="P579" s="17">
        <v>-13.503254999999999</v>
      </c>
      <c r="Q579" s="17">
        <v>-5.2544434999999998</v>
      </c>
      <c r="R579" s="17">
        <v>-12.599313</v>
      </c>
      <c r="S579" s="17">
        <f t="shared" si="104"/>
        <v>1.0108554113958663</v>
      </c>
      <c r="T579" s="17">
        <f t="shared" si="105"/>
        <v>-23.409583827359164</v>
      </c>
    </row>
    <row r="580" spans="1:20" x14ac:dyDescent="0.35">
      <c r="A580" s="16">
        <v>2.3875000000000002</v>
      </c>
      <c r="B580" s="16">
        <v>16.561599999999999</v>
      </c>
      <c r="C580" s="16">
        <v>-9.4927005999999994E-2</v>
      </c>
      <c r="D580" s="16">
        <v>6.5506532000000001E-3</v>
      </c>
      <c r="E580" s="16">
        <v>0.90494711999999999</v>
      </c>
      <c r="F580" s="16">
        <v>3.3990004999999998E-3</v>
      </c>
      <c r="G580" s="16">
        <f t="shared" si="96"/>
        <v>4.74934731301816</v>
      </c>
      <c r="H580" s="16">
        <f t="shared" si="97"/>
        <v>0.27570599383364203</v>
      </c>
      <c r="I580" s="16">
        <f t="shared" si="98"/>
        <v>4.7492868557482799</v>
      </c>
      <c r="J580" s="16">
        <f t="shared" si="99"/>
        <v>0.27412997302346098</v>
      </c>
      <c r="K580" s="15">
        <f t="shared" si="100"/>
        <v>6.0457269880132003E-5</v>
      </c>
      <c r="L580" s="15">
        <f t="shared" si="101"/>
        <v>1.5760208101810399E-3</v>
      </c>
      <c r="M580" s="15">
        <f t="shared" si="102"/>
        <v>0.20985875714426899</v>
      </c>
      <c r="N580" s="15">
        <f t="shared" si="103"/>
        <v>-1.21130976464532E-2</v>
      </c>
      <c r="O580" s="16">
        <v>-0.46270847999999998</v>
      </c>
      <c r="P580" s="16">
        <v>-13.485654</v>
      </c>
      <c r="Q580" s="16">
        <v>-5.8518108</v>
      </c>
      <c r="R580" s="16">
        <v>-12.33602</v>
      </c>
      <c r="S580" s="16">
        <f t="shared" si="104"/>
        <v>1.0118590221807349</v>
      </c>
      <c r="T580" s="16">
        <f t="shared" si="105"/>
        <v>-23.413043191438756</v>
      </c>
    </row>
    <row r="581" spans="1:20" x14ac:dyDescent="0.35">
      <c r="A581" s="17">
        <v>2.3875000000000002</v>
      </c>
      <c r="B581" s="17">
        <v>16.610399999999998</v>
      </c>
      <c r="C581" s="17">
        <v>-9.4610448E-2</v>
      </c>
      <c r="D581" s="17">
        <v>1.0977527000000001E-2</v>
      </c>
      <c r="E581" s="17">
        <v>0.90539612000000003</v>
      </c>
      <c r="F581" s="17">
        <v>7.7449846999999997E-3</v>
      </c>
      <c r="G581" s="17">
        <f t="shared" si="96"/>
        <v>4.73376606136185</v>
      </c>
      <c r="H581" s="17">
        <f t="shared" si="97"/>
        <v>0.51868276561791304</v>
      </c>
      <c r="I581" s="17">
        <f t="shared" si="98"/>
        <v>4.7337719576509203</v>
      </c>
      <c r="J581" s="17">
        <f t="shared" si="99"/>
        <v>0.51706650930569997</v>
      </c>
      <c r="K581" s="15">
        <f t="shared" si="100"/>
        <v>-5.89628907032846E-6</v>
      </c>
      <c r="L581" s="15">
        <f t="shared" si="101"/>
        <v>1.61625631221307E-3</v>
      </c>
      <c r="M581" s="15">
        <f t="shared" si="102"/>
        <v>0.208757338584731</v>
      </c>
      <c r="N581" s="15">
        <f t="shared" si="103"/>
        <v>-2.2802414083233399E-2</v>
      </c>
      <c r="O581" s="17">
        <v>-1.0892727</v>
      </c>
      <c r="P581" s="17">
        <v>-13.409916000000001</v>
      </c>
      <c r="Q581" s="17">
        <v>-6.4105648999999998</v>
      </c>
      <c r="R581" s="17">
        <v>-12.024938000000001</v>
      </c>
      <c r="S581" s="17">
        <f t="shared" si="104"/>
        <v>1.012850565015545</v>
      </c>
      <c r="T581" s="17">
        <f t="shared" si="105"/>
        <v>-23.41846162043673</v>
      </c>
    </row>
    <row r="582" spans="1:20" x14ac:dyDescent="0.35">
      <c r="A582" s="16">
        <v>2.3875000000000002</v>
      </c>
      <c r="B582" s="16">
        <v>16.659199999999998</v>
      </c>
      <c r="C582" s="16">
        <v>-9.3910241000000005E-2</v>
      </c>
      <c r="D582" s="16">
        <v>1.5235372E-2</v>
      </c>
      <c r="E582" s="16">
        <v>0.90609306000000001</v>
      </c>
      <c r="F582" s="16">
        <v>1.1974804E-2</v>
      </c>
      <c r="G582" s="16">
        <f t="shared" si="96"/>
        <v>4.7148693595484499</v>
      </c>
      <c r="H582" s="16">
        <f t="shared" si="97"/>
        <v>0.75632414302629103</v>
      </c>
      <c r="I582" s="16">
        <f t="shared" si="98"/>
        <v>4.7148736678514096</v>
      </c>
      <c r="J582" s="16">
        <f t="shared" si="99"/>
        <v>0.75469386874081501</v>
      </c>
      <c r="K582" s="15">
        <f t="shared" si="100"/>
        <v>-4.3083029597212902E-6</v>
      </c>
      <c r="L582" s="15">
        <f t="shared" si="101"/>
        <v>1.6302742854760199E-3</v>
      </c>
      <c r="M582" s="15">
        <f t="shared" si="102"/>
        <v>0.206796364125194</v>
      </c>
      <c r="N582" s="15">
        <f t="shared" si="103"/>
        <v>-3.3101194025055999E-2</v>
      </c>
      <c r="O582" s="16">
        <v>-1.6894671000000001</v>
      </c>
      <c r="P582" s="16">
        <v>-13.280328000000001</v>
      </c>
      <c r="Q582" s="16">
        <v>-6.9232814999999999</v>
      </c>
      <c r="R582" s="16">
        <v>-11.673159</v>
      </c>
      <c r="S582" s="16">
        <f t="shared" si="104"/>
        <v>1.013779126944764</v>
      </c>
      <c r="T582" s="16">
        <f t="shared" si="105"/>
        <v>-23.421945732467062</v>
      </c>
    </row>
    <row r="583" spans="1:20" x14ac:dyDescent="0.35">
      <c r="A583" s="17">
        <v>2.3875000000000002</v>
      </c>
      <c r="B583" s="17">
        <v>16.707999999999998</v>
      </c>
      <c r="C583" s="17">
        <v>-9.2869405000000002E-2</v>
      </c>
      <c r="D583" s="17">
        <v>1.9281449999999999E-2</v>
      </c>
      <c r="E583" s="17">
        <v>0.90712718999999997</v>
      </c>
      <c r="F583" s="17">
        <v>1.5996603000000002E-2</v>
      </c>
      <c r="G583" s="17">
        <f t="shared" si="96"/>
        <v>4.6963546395276303</v>
      </c>
      <c r="H583" s="17">
        <f t="shared" si="97"/>
        <v>0.98776589764073897</v>
      </c>
      <c r="I583" s="17">
        <f t="shared" si="98"/>
        <v>4.6963556345861699</v>
      </c>
      <c r="J583" s="17">
        <f t="shared" si="99"/>
        <v>0.98612347297881597</v>
      </c>
      <c r="K583" s="15">
        <f t="shared" si="100"/>
        <v>-9.9505853956571897E-7</v>
      </c>
      <c r="L583" s="15">
        <f t="shared" si="101"/>
        <v>1.6424246619229899E-3</v>
      </c>
      <c r="M583" s="15">
        <f t="shared" si="102"/>
        <v>0.20393936570087201</v>
      </c>
      <c r="N583" s="15">
        <f t="shared" si="103"/>
        <v>-4.2822437487692801E-2</v>
      </c>
      <c r="O583" s="17">
        <v>-2.2571154</v>
      </c>
      <c r="P583" s="17">
        <v>-13.103477</v>
      </c>
      <c r="Q583" s="17">
        <v>-7.3874183999999996</v>
      </c>
      <c r="R583" s="17">
        <v>-11.289687000000001</v>
      </c>
      <c r="S583" s="17">
        <f t="shared" si="104"/>
        <v>1.0146980685097571</v>
      </c>
      <c r="T583" s="17">
        <f t="shared" si="105"/>
        <v>-23.425302124189471</v>
      </c>
    </row>
    <row r="584" spans="1:20" x14ac:dyDescent="0.35">
      <c r="A584" s="16">
        <v>2.3875000000000002</v>
      </c>
      <c r="B584" s="16">
        <v>16.756799999999998</v>
      </c>
      <c r="C584" s="16">
        <v>-9.1540527999999996E-2</v>
      </c>
      <c r="D584" s="16">
        <v>2.3066501999999999E-2</v>
      </c>
      <c r="E584" s="16">
        <v>0.90846769000000005</v>
      </c>
      <c r="F584" s="16">
        <v>1.9841676999999999E-2</v>
      </c>
      <c r="G584" s="16">
        <f t="shared" si="96"/>
        <v>4.6778680339883598</v>
      </c>
      <c r="H584" s="16">
        <f t="shared" si="97"/>
        <v>1.21438345344217</v>
      </c>
      <c r="I584" s="16">
        <f t="shared" si="98"/>
        <v>4.6778747428067398</v>
      </c>
      <c r="J584" s="16">
        <f t="shared" si="99"/>
        <v>1.2127710583848901</v>
      </c>
      <c r="K584" s="15">
        <f t="shared" si="100"/>
        <v>-6.7088183799413102E-6</v>
      </c>
      <c r="L584" s="15">
        <f t="shared" si="101"/>
        <v>1.6123950572799501E-3</v>
      </c>
      <c r="M584" s="15">
        <f t="shared" si="102"/>
        <v>0.20030871803849401</v>
      </c>
      <c r="N584" s="15">
        <f t="shared" si="103"/>
        <v>-5.1931406746796999E-2</v>
      </c>
      <c r="O584" s="16">
        <v>-2.7852828999999999</v>
      </c>
      <c r="P584" s="16">
        <v>-12.886513000000001</v>
      </c>
      <c r="Q584" s="16">
        <v>-7.7985685</v>
      </c>
      <c r="R584" s="16">
        <v>-10.884383</v>
      </c>
      <c r="S584" s="16">
        <f t="shared" si="104"/>
        <v>1.0156055525380947</v>
      </c>
      <c r="T584" s="16">
        <f t="shared" si="105"/>
        <v>-23.425015355271018</v>
      </c>
    </row>
    <row r="585" spans="1:20" x14ac:dyDescent="0.35">
      <c r="A585" s="17">
        <v>2.3875000000000002</v>
      </c>
      <c r="B585" s="17">
        <v>16.805599999999998</v>
      </c>
      <c r="C585" s="17">
        <v>-8.9965747999999998E-2</v>
      </c>
      <c r="D585" s="17">
        <v>2.6596649E-2</v>
      </c>
      <c r="E585" s="17">
        <v>0.90999098</v>
      </c>
      <c r="F585" s="17">
        <v>2.3394165000000001E-2</v>
      </c>
      <c r="G585" s="17">
        <f t="shared" si="96"/>
        <v>4.6583579229916596</v>
      </c>
      <c r="H585" s="17">
        <f t="shared" si="97"/>
        <v>1.43361280619947</v>
      </c>
      <c r="I585" s="17">
        <f t="shared" si="98"/>
        <v>4.6583388506593302</v>
      </c>
      <c r="J585" s="17">
        <f t="shared" si="99"/>
        <v>1.4320114990141699</v>
      </c>
      <c r="K585" s="15">
        <f t="shared" si="100"/>
        <v>1.90723323294506E-5</v>
      </c>
      <c r="L585" s="15">
        <f t="shared" si="101"/>
        <v>1.60130718530005E-3</v>
      </c>
      <c r="M585" s="15">
        <f t="shared" si="102"/>
        <v>0.19613416005311601</v>
      </c>
      <c r="N585" s="15">
        <f t="shared" si="103"/>
        <v>-6.0293246487596E-2</v>
      </c>
      <c r="O585" s="17">
        <v>-3.2752628000000001</v>
      </c>
      <c r="P585" s="17">
        <v>-12.636469999999999</v>
      </c>
      <c r="Q585" s="17">
        <v>-8.1624092000000008</v>
      </c>
      <c r="R585" s="17">
        <v>-10.462839000000001</v>
      </c>
      <c r="S585" s="17">
        <f t="shared" si="104"/>
        <v>1.0165529809518816</v>
      </c>
      <c r="T585" s="17">
        <f t="shared" si="105"/>
        <v>-23.428174116106597</v>
      </c>
    </row>
    <row r="586" spans="1:20" x14ac:dyDescent="0.35">
      <c r="A586" s="16">
        <v>2.3875000000000002</v>
      </c>
      <c r="B586" s="16">
        <v>16.854399999999998</v>
      </c>
      <c r="C586" s="16">
        <v>-8.8200432999999995E-2</v>
      </c>
      <c r="D586" s="16">
        <v>2.9838915000000001E-2</v>
      </c>
      <c r="E586" s="16">
        <v>0.91178811000000004</v>
      </c>
      <c r="F586" s="16">
        <v>2.6592028E-2</v>
      </c>
      <c r="G586" s="16">
        <f t="shared" si="96"/>
        <v>4.6423545497738603</v>
      </c>
      <c r="H586" s="16">
        <f t="shared" si="97"/>
        <v>1.6457525373580999</v>
      </c>
      <c r="I586" s="16">
        <f t="shared" si="98"/>
        <v>4.6423514568481901</v>
      </c>
      <c r="J586" s="16">
        <f t="shared" si="99"/>
        <v>1.6441290795369301</v>
      </c>
      <c r="K586" s="15">
        <f t="shared" si="100"/>
        <v>3.0929256702449901E-6</v>
      </c>
      <c r="L586" s="15">
        <f t="shared" si="101"/>
        <v>1.62345782116979E-3</v>
      </c>
      <c r="M586" s="15">
        <f t="shared" si="102"/>
        <v>0.19140096531645401</v>
      </c>
      <c r="N586" s="15">
        <f t="shared" si="103"/>
        <v>-6.7786313865575307E-2</v>
      </c>
      <c r="O586" s="16">
        <v>-3.7231488000000001</v>
      </c>
      <c r="P586" s="16">
        <v>-12.362071</v>
      </c>
      <c r="Q586" s="16">
        <v>-8.4766414999999995</v>
      </c>
      <c r="R586" s="16">
        <v>-10.033481</v>
      </c>
      <c r="S586" s="16">
        <f t="shared" si="104"/>
        <v>1.0173720932662189</v>
      </c>
      <c r="T586" s="16">
        <f t="shared" si="105"/>
        <v>-23.431315671827402</v>
      </c>
    </row>
    <row r="587" spans="1:20" x14ac:dyDescent="0.35">
      <c r="A587" s="17">
        <v>2.3875000000000002</v>
      </c>
      <c r="B587" s="17">
        <v>16.903200000000002</v>
      </c>
      <c r="C587" s="17">
        <v>-8.6304017999999996E-2</v>
      </c>
      <c r="D587" s="17">
        <v>3.2777147999999999E-2</v>
      </c>
      <c r="E587" s="17">
        <v>0.91368417000000002</v>
      </c>
      <c r="F587" s="17">
        <v>2.9549242999999999E-2</v>
      </c>
      <c r="G587" s="17">
        <f t="shared" si="96"/>
        <v>4.6249606627300404</v>
      </c>
      <c r="H587" s="17">
        <f t="shared" si="97"/>
        <v>1.8512326615572099</v>
      </c>
      <c r="I587" s="17">
        <f t="shared" si="98"/>
        <v>4.6249573615771897</v>
      </c>
      <c r="J587" s="17">
        <f t="shared" si="99"/>
        <v>1.8496186941972099</v>
      </c>
      <c r="K587" s="15">
        <f t="shared" si="100"/>
        <v>3.3011528506321501E-6</v>
      </c>
      <c r="L587" s="15">
        <f t="shared" si="101"/>
        <v>1.6139673599999699E-3</v>
      </c>
      <c r="M587" s="15">
        <f t="shared" si="102"/>
        <v>0.18640513194348299</v>
      </c>
      <c r="N587" s="15">
        <f t="shared" si="103"/>
        <v>-7.4547371960935999E-2</v>
      </c>
      <c r="O587" s="17">
        <v>-4.1270198999999996</v>
      </c>
      <c r="P587" s="17">
        <v>-12.07048</v>
      </c>
      <c r="Q587" s="17">
        <v>-8.7429743999999996</v>
      </c>
      <c r="R587" s="17">
        <v>-9.6055077000000004</v>
      </c>
      <c r="S587" s="17">
        <f t="shared" si="104"/>
        <v>1.0181980956945464</v>
      </c>
      <c r="T587" s="17">
        <f t="shared" si="105"/>
        <v>-23.4325167348786</v>
      </c>
    </row>
    <row r="588" spans="1:20" x14ac:dyDescent="0.35">
      <c r="A588" s="16">
        <v>2.3875000000000002</v>
      </c>
      <c r="B588" s="16">
        <v>16.952000000000002</v>
      </c>
      <c r="C588" s="16">
        <v>-8.4306501000000006E-2</v>
      </c>
      <c r="D588" s="16">
        <v>3.5433177000000003E-2</v>
      </c>
      <c r="E588" s="16">
        <v>0.91569882999999996</v>
      </c>
      <c r="F588" s="16">
        <v>3.2190915000000001E-2</v>
      </c>
      <c r="G588" s="16">
        <f t="shared" si="96"/>
        <v>4.6090784939610696</v>
      </c>
      <c r="H588" s="16">
        <f t="shared" si="97"/>
        <v>2.0499283189159101</v>
      </c>
      <c r="I588" s="16">
        <f t="shared" si="98"/>
        <v>4.6090837874917696</v>
      </c>
      <c r="J588" s="16">
        <f t="shared" si="99"/>
        <v>2.0483072008185101</v>
      </c>
      <c r="K588" s="15">
        <f t="shared" si="100"/>
        <v>-5.2935307000012699E-6</v>
      </c>
      <c r="L588" s="15">
        <f t="shared" si="101"/>
        <v>1.62111809739995E-3</v>
      </c>
      <c r="M588" s="15">
        <f t="shared" si="102"/>
        <v>0.18118026251123301</v>
      </c>
      <c r="N588" s="15">
        <f t="shared" si="103"/>
        <v>-8.0517702315388795E-2</v>
      </c>
      <c r="O588" s="16">
        <v>-4.4903786999999999</v>
      </c>
      <c r="P588" s="16">
        <v>-11.767454000000001</v>
      </c>
      <c r="Q588" s="16">
        <v>-8.9674677000000003</v>
      </c>
      <c r="R588" s="16">
        <v>-9.1824314999999999</v>
      </c>
      <c r="S588" s="16">
        <f t="shared" si="104"/>
        <v>1.0190327766311209</v>
      </c>
      <c r="T588" s="16">
        <f t="shared" si="105"/>
        <v>-23.434924958315129</v>
      </c>
    </row>
    <row r="589" spans="1:20" x14ac:dyDescent="0.35">
      <c r="A589" s="17">
        <v>2.3875000000000002</v>
      </c>
      <c r="B589" s="17">
        <v>17</v>
      </c>
      <c r="C589" s="17">
        <v>-8.4873852E-2</v>
      </c>
      <c r="D589" s="17">
        <v>3.6021730000000002E-2</v>
      </c>
      <c r="E589" s="17">
        <v>0.91514313000000003</v>
      </c>
      <c r="F589" s="17">
        <v>3.2830013999999998E-2</v>
      </c>
      <c r="G589" s="17">
        <f t="shared" si="96"/>
        <v>4.5591710293867402</v>
      </c>
      <c r="H589" s="17">
        <f t="shared" si="97"/>
        <v>2.0530670868629901</v>
      </c>
      <c r="I589" s="17">
        <f t="shared" si="98"/>
        <v>4.5591820670060503</v>
      </c>
      <c r="J589" s="17">
        <f t="shared" si="99"/>
        <v>2.0514712600276299</v>
      </c>
      <c r="K589" s="15">
        <f t="shared" si="100"/>
        <v>-1.1037619310094701E-5</v>
      </c>
      <c r="L589" s="15">
        <f t="shared" si="101"/>
        <v>1.5958268353601899E-3</v>
      </c>
      <c r="M589" s="15">
        <f t="shared" si="102"/>
        <v>0.18240613189697799</v>
      </c>
      <c r="N589" s="15">
        <f t="shared" si="103"/>
        <v>-8.2076331179551307E-2</v>
      </c>
      <c r="O589" s="17">
        <v>-4.7036338000000004</v>
      </c>
      <c r="P589" s="17">
        <v>-12.251955000000001</v>
      </c>
      <c r="Q589" s="17">
        <v>-9.0222736000000001</v>
      </c>
      <c r="R589" s="17">
        <v>-9.2180353000000004</v>
      </c>
      <c r="S589" s="17">
        <f t="shared" si="104"/>
        <v>0.98283821838848462</v>
      </c>
      <c r="T589" s="17">
        <f t="shared" si="105"/>
        <v>-23.382866959770407</v>
      </c>
    </row>
    <row r="590" spans="1:20" x14ac:dyDescent="0.35">
      <c r="A590" s="16">
        <v>2.5250000000000004</v>
      </c>
      <c r="B590" s="16">
        <v>15</v>
      </c>
      <c r="C590" s="16">
        <v>-2.0887088000000002E-2</v>
      </c>
      <c r="D590" s="16">
        <v>-3.6815052000000001E-2</v>
      </c>
      <c r="E590" s="16">
        <v>0.97914161</v>
      </c>
      <c r="F590" s="16">
        <v>-3.9853631E-2</v>
      </c>
      <c r="G590" s="16">
        <f t="shared" si="96"/>
        <v>4.9778459653347298</v>
      </c>
      <c r="H590" s="16">
        <f t="shared" si="97"/>
        <v>-10.059728232637401</v>
      </c>
      <c r="I590" s="16">
        <f t="shared" si="98"/>
        <v>4.9778626222647304</v>
      </c>
      <c r="J590" s="16">
        <f t="shared" si="99"/>
        <v>-10.061247475031101</v>
      </c>
      <c r="K590" s="15">
        <f t="shared" si="100"/>
        <v>-1.6656930000635802E-5</v>
      </c>
      <c r="L590" s="15">
        <f t="shared" si="101"/>
        <v>1.51924239369983E-3</v>
      </c>
      <c r="M590" s="15">
        <f t="shared" si="102"/>
        <v>3.9504395355774803E-2</v>
      </c>
      <c r="N590" s="15">
        <f t="shared" si="103"/>
        <v>7.9846216777491097E-2</v>
      </c>
      <c r="O590" s="16">
        <v>5.9078416000000002</v>
      </c>
      <c r="P590" s="16">
        <v>-3.0786023999999999</v>
      </c>
      <c r="Q590" s="16">
        <v>4.0854838000000004</v>
      </c>
      <c r="R590" s="16">
        <v>-5.0103507</v>
      </c>
      <c r="S590" s="16">
        <f t="shared" si="104"/>
        <v>0.97043298765940245</v>
      </c>
      <c r="T590" s="16">
        <f t="shared" si="105"/>
        <v>-23.281677016068873</v>
      </c>
    </row>
    <row r="591" spans="1:20" x14ac:dyDescent="0.35">
      <c r="A591" s="17">
        <v>2.5250000000000004</v>
      </c>
      <c r="B591" s="17">
        <v>15.0488</v>
      </c>
      <c r="C591" s="17">
        <v>-2.2276701999999999E-2</v>
      </c>
      <c r="D591" s="17">
        <v>-3.7829471000000003E-2</v>
      </c>
      <c r="E591" s="17">
        <v>0.97769810000000001</v>
      </c>
      <c r="F591" s="17">
        <v>-4.0904075999999998E-2</v>
      </c>
      <c r="G591" s="17">
        <f t="shared" si="96"/>
        <v>4.9455690883118297</v>
      </c>
      <c r="H591" s="17">
        <f t="shared" si="97"/>
        <v>-9.6170422891739005</v>
      </c>
      <c r="I591" s="17">
        <f t="shared" si="98"/>
        <v>4.9455588525358101</v>
      </c>
      <c r="J591" s="17">
        <f t="shared" si="99"/>
        <v>-9.6185796267783008</v>
      </c>
      <c r="K591" s="15">
        <f t="shared" si="100"/>
        <v>1.02357760196625E-5</v>
      </c>
      <c r="L591" s="15">
        <f t="shared" si="101"/>
        <v>1.5373376044003401E-3</v>
      </c>
      <c r="M591" s="15">
        <f t="shared" si="102"/>
        <v>4.2278541305693002E-2</v>
      </c>
      <c r="N591" s="15">
        <f t="shared" si="103"/>
        <v>8.2227211964999894E-2</v>
      </c>
      <c r="O591" s="17">
        <v>6.0270016999999996</v>
      </c>
      <c r="P591" s="17">
        <v>-3.2683244999999999</v>
      </c>
      <c r="Q591" s="17">
        <v>4.1275402000000003</v>
      </c>
      <c r="R591" s="17">
        <v>-5.2374077999999997</v>
      </c>
      <c r="S591" s="17">
        <f t="shared" si="104"/>
        <v>0.97261104739681747</v>
      </c>
      <c r="T591" s="17">
        <f t="shared" si="105"/>
        <v>-23.288660202289268</v>
      </c>
    </row>
    <row r="592" spans="1:20" x14ac:dyDescent="0.35">
      <c r="A592" s="16">
        <v>2.5250000000000004</v>
      </c>
      <c r="B592" s="16">
        <v>15.0976</v>
      </c>
      <c r="C592" s="16">
        <v>-2.3768171000000001E-2</v>
      </c>
      <c r="D592" s="16">
        <v>-3.8827954999999997E-2</v>
      </c>
      <c r="E592" s="16">
        <v>0.97620295000000001</v>
      </c>
      <c r="F592" s="16">
        <v>-4.1905295000000002E-2</v>
      </c>
      <c r="G592" s="16">
        <f t="shared" si="96"/>
        <v>4.9172671979858196</v>
      </c>
      <c r="H592" s="16">
        <f t="shared" si="97"/>
        <v>-9.1940391729107098</v>
      </c>
      <c r="I592" s="16">
        <f t="shared" si="98"/>
        <v>4.9172551258796204</v>
      </c>
      <c r="J592" s="16">
        <f t="shared" si="99"/>
        <v>-9.19557788370388</v>
      </c>
      <c r="K592" s="15">
        <f t="shared" si="100"/>
        <v>1.20721061991347E-5</v>
      </c>
      <c r="L592" s="15">
        <f t="shared" si="101"/>
        <v>1.53871079317014E-3</v>
      </c>
      <c r="M592" s="15">
        <f t="shared" si="102"/>
        <v>4.5221107967985001E-2</v>
      </c>
      <c r="N592" s="15">
        <f t="shared" si="103"/>
        <v>8.4566330129678194E-2</v>
      </c>
      <c r="O592" s="16">
        <v>6.1458371999999999</v>
      </c>
      <c r="P592" s="16">
        <v>-3.4714494</v>
      </c>
      <c r="Q592" s="16">
        <v>4.1659239000000001</v>
      </c>
      <c r="R592" s="16">
        <v>-5.4792164000000003</v>
      </c>
      <c r="S592" s="16">
        <f t="shared" si="104"/>
        <v>0.97514855102112352</v>
      </c>
      <c r="T592" s="16">
        <f t="shared" si="105"/>
        <v>-23.294026529433395</v>
      </c>
    </row>
    <row r="593" spans="1:20" x14ac:dyDescent="0.35">
      <c r="A593" s="17">
        <v>2.5250000000000004</v>
      </c>
      <c r="B593" s="17">
        <v>15.1464</v>
      </c>
      <c r="C593" s="17">
        <v>-2.5361423000000001E-2</v>
      </c>
      <c r="D593" s="17">
        <v>-3.9813079000000001E-2</v>
      </c>
      <c r="E593" s="17">
        <v>0.97459191999999994</v>
      </c>
      <c r="F593" s="17">
        <v>-4.2934622999999998E-2</v>
      </c>
      <c r="G593" s="17">
        <f t="shared" si="96"/>
        <v>4.8868525071654698</v>
      </c>
      <c r="H593" s="17">
        <f t="shared" si="97"/>
        <v>-8.7790731376854403</v>
      </c>
      <c r="I593" s="17">
        <f t="shared" si="98"/>
        <v>4.8868316142950299</v>
      </c>
      <c r="J593" s="17">
        <f t="shared" si="99"/>
        <v>-8.7806339787065308</v>
      </c>
      <c r="K593" s="15">
        <f t="shared" si="100"/>
        <v>2.0892870439936901E-5</v>
      </c>
      <c r="L593" s="15">
        <f t="shared" si="101"/>
        <v>1.56084102109055E-3</v>
      </c>
      <c r="M593" s="15">
        <f t="shared" si="102"/>
        <v>4.83937398866136E-2</v>
      </c>
      <c r="N593" s="15">
        <f t="shared" si="103"/>
        <v>8.6953623603907307E-2</v>
      </c>
      <c r="O593" s="17">
        <v>6.2699881</v>
      </c>
      <c r="P593" s="17">
        <v>-3.6930754000000001</v>
      </c>
      <c r="Q593" s="17">
        <v>4.1972297000000003</v>
      </c>
      <c r="R593" s="17">
        <v>-5.7344984999999999</v>
      </c>
      <c r="S593" s="17">
        <f t="shared" si="104"/>
        <v>0.97658832204817569</v>
      </c>
      <c r="T593" s="17">
        <f t="shared" si="105"/>
        <v>-23.30018486973016</v>
      </c>
    </row>
    <row r="594" spans="1:20" x14ac:dyDescent="0.35">
      <c r="A594" s="16">
        <v>2.5250000000000004</v>
      </c>
      <c r="B594" s="16">
        <v>15.1952</v>
      </c>
      <c r="C594" s="16">
        <v>-2.7068005999999999E-2</v>
      </c>
      <c r="D594" s="16">
        <v>-4.0781703000000002E-2</v>
      </c>
      <c r="E594" s="16">
        <v>0.97285409</v>
      </c>
      <c r="F594" s="16">
        <v>-4.3888051999999997E-2</v>
      </c>
      <c r="G594" s="16">
        <f t="shared" si="96"/>
        <v>4.8634228321509596</v>
      </c>
      <c r="H594" s="16">
        <f t="shared" si="97"/>
        <v>-8.3756363438318697</v>
      </c>
      <c r="I594" s="16">
        <f t="shared" si="98"/>
        <v>4.8633862912607899</v>
      </c>
      <c r="J594" s="16">
        <f t="shared" si="99"/>
        <v>-8.3771896355900992</v>
      </c>
      <c r="K594" s="15">
        <f t="shared" si="100"/>
        <v>3.6540890169689499E-5</v>
      </c>
      <c r="L594" s="15">
        <f t="shared" si="101"/>
        <v>1.5532917582294901E-3</v>
      </c>
      <c r="M594" s="15">
        <f t="shared" si="102"/>
        <v>5.1831983138145701E-2</v>
      </c>
      <c r="N594" s="15">
        <f t="shared" si="103"/>
        <v>8.9280662882403106E-2</v>
      </c>
      <c r="O594" s="16">
        <v>6.3914996000000004</v>
      </c>
      <c r="P594" s="16">
        <v>-3.9292150000000001</v>
      </c>
      <c r="Q594" s="16">
        <v>4.2204103999999996</v>
      </c>
      <c r="R594" s="16">
        <v>-6.0020794999999998</v>
      </c>
      <c r="S594" s="16">
        <f t="shared" si="104"/>
        <v>0.97796675930011123</v>
      </c>
      <c r="T594" s="16">
        <f t="shared" si="105"/>
        <v>-23.305336651310505</v>
      </c>
    </row>
    <row r="595" spans="1:20" x14ac:dyDescent="0.35">
      <c r="A595" s="17">
        <v>2.5250000000000004</v>
      </c>
      <c r="B595" s="17">
        <v>15.244</v>
      </c>
      <c r="C595" s="17">
        <v>-2.8897448999999999E-2</v>
      </c>
      <c r="D595" s="17">
        <v>-4.1729465E-2</v>
      </c>
      <c r="E595" s="17">
        <v>0.97102496000000005</v>
      </c>
      <c r="F595" s="17">
        <v>-4.4835392000000002E-2</v>
      </c>
      <c r="G595" s="17">
        <f t="shared" si="96"/>
        <v>4.8374795197708496</v>
      </c>
      <c r="H595" s="17">
        <f t="shared" si="97"/>
        <v>-7.9829232198167404</v>
      </c>
      <c r="I595" s="17">
        <f t="shared" si="98"/>
        <v>4.8374431347362199</v>
      </c>
      <c r="J595" s="17">
        <f t="shared" si="99"/>
        <v>-7.9844763000738803</v>
      </c>
      <c r="K595" s="15">
        <f t="shared" si="100"/>
        <v>3.6385034629660099E-5</v>
      </c>
      <c r="L595" s="15">
        <f t="shared" si="101"/>
        <v>1.55308025713996E-3</v>
      </c>
      <c r="M595" s="15">
        <f t="shared" si="102"/>
        <v>5.5505361772528503E-2</v>
      </c>
      <c r="N595" s="15">
        <f t="shared" si="103"/>
        <v>9.1614771121014293E-2</v>
      </c>
      <c r="O595" s="17">
        <v>6.5093129000000003</v>
      </c>
      <c r="P595" s="17">
        <v>-4.1821723000000004</v>
      </c>
      <c r="Q595" s="17">
        <v>4.2338906999999999</v>
      </c>
      <c r="R595" s="17">
        <v>-6.2842852000000002</v>
      </c>
      <c r="S595" s="17">
        <f t="shared" si="104"/>
        <v>0.9793765579457413</v>
      </c>
      <c r="T595" s="17">
        <f t="shared" si="105"/>
        <v>-23.310435652004177</v>
      </c>
    </row>
    <row r="596" spans="1:20" x14ac:dyDescent="0.35">
      <c r="A596" s="16">
        <v>2.5250000000000004</v>
      </c>
      <c r="B596" s="16">
        <v>15.2928</v>
      </c>
      <c r="C596" s="16">
        <v>-3.0853393E-2</v>
      </c>
      <c r="D596" s="16">
        <v>-4.2647895999999998E-2</v>
      </c>
      <c r="E596" s="16">
        <v>0.96910267000000005</v>
      </c>
      <c r="F596" s="16">
        <v>-4.5643791000000003E-2</v>
      </c>
      <c r="G596" s="16">
        <f t="shared" si="96"/>
        <v>4.8194163759273998</v>
      </c>
      <c r="H596" s="16">
        <f t="shared" si="97"/>
        <v>-7.6049817799001103</v>
      </c>
      <c r="I596" s="16">
        <f t="shared" si="98"/>
        <v>4.8193966509343404</v>
      </c>
      <c r="J596" s="16">
        <f t="shared" si="99"/>
        <v>-7.6064797898561496</v>
      </c>
      <c r="K596" s="15">
        <f t="shared" si="100"/>
        <v>1.9724993059355701E-5</v>
      </c>
      <c r="L596" s="15">
        <f t="shared" si="101"/>
        <v>1.49800995603933E-3</v>
      </c>
      <c r="M596" s="15">
        <f t="shared" si="102"/>
        <v>5.9436265469510502E-2</v>
      </c>
      <c r="N596" s="15">
        <f t="shared" si="103"/>
        <v>9.3808579127992495E-2</v>
      </c>
      <c r="O596" s="16">
        <v>6.6227527999999998</v>
      </c>
      <c r="P596" s="16">
        <v>-4.44991</v>
      </c>
      <c r="Q596" s="16">
        <v>4.2383606</v>
      </c>
      <c r="R596" s="16">
        <v>-6.5766248000000003</v>
      </c>
      <c r="S596" s="16">
        <f t="shared" si="104"/>
        <v>0.98059429513247331</v>
      </c>
      <c r="T596" s="16">
        <f t="shared" si="105"/>
        <v>-23.302262272466152</v>
      </c>
    </row>
    <row r="597" spans="1:20" x14ac:dyDescent="0.35">
      <c r="A597" s="17">
        <v>2.5250000000000004</v>
      </c>
      <c r="B597" s="17">
        <v>15.3416</v>
      </c>
      <c r="C597" s="17">
        <v>-3.2955534000000002E-2</v>
      </c>
      <c r="D597" s="17">
        <v>-4.3524339000000002E-2</v>
      </c>
      <c r="E597" s="17">
        <v>0.96700165000000005</v>
      </c>
      <c r="F597" s="17">
        <v>-4.6545185000000003E-2</v>
      </c>
      <c r="G597" s="17">
        <f t="shared" si="96"/>
        <v>4.7922248857663803</v>
      </c>
      <c r="H597" s="17">
        <f t="shared" si="97"/>
        <v>-7.22652670211271</v>
      </c>
      <c r="I597" s="17">
        <f t="shared" si="98"/>
        <v>4.7922057588270297</v>
      </c>
      <c r="J597" s="17">
        <f t="shared" si="99"/>
        <v>-7.2280371863389297</v>
      </c>
      <c r="K597" s="15">
        <f t="shared" si="100"/>
        <v>1.9126939350577699E-5</v>
      </c>
      <c r="L597" s="15">
        <f t="shared" si="101"/>
        <v>1.51048422621969E-3</v>
      </c>
      <c r="M597" s="15">
        <f t="shared" si="102"/>
        <v>6.37178726753065E-2</v>
      </c>
      <c r="N597" s="15">
        <f t="shared" si="103"/>
        <v>9.6105045632317296E-2</v>
      </c>
      <c r="O597" s="17">
        <v>6.7323972999999997</v>
      </c>
      <c r="P597" s="17">
        <v>-4.7420040999999999</v>
      </c>
      <c r="Q597" s="17">
        <v>4.2268821000000001</v>
      </c>
      <c r="R597" s="17">
        <v>-6.8889108999999999</v>
      </c>
      <c r="S597" s="17">
        <f t="shared" si="104"/>
        <v>0.98148254516137723</v>
      </c>
      <c r="T597" s="17">
        <f t="shared" si="105"/>
        <v>-23.308470553806359</v>
      </c>
    </row>
    <row r="598" spans="1:20" x14ac:dyDescent="0.35">
      <c r="A598" s="16">
        <v>2.5250000000000004</v>
      </c>
      <c r="B598" s="16">
        <v>15.3904</v>
      </c>
      <c r="C598" s="16">
        <v>-3.5206553000000002E-2</v>
      </c>
      <c r="D598" s="16">
        <v>-4.4346812999999999E-2</v>
      </c>
      <c r="E598" s="16">
        <v>0.96475316</v>
      </c>
      <c r="F598" s="16">
        <v>-4.7388249E-2</v>
      </c>
      <c r="G598" s="16">
        <f t="shared" si="96"/>
        <v>4.7659765882141203</v>
      </c>
      <c r="H598" s="16">
        <f t="shared" si="97"/>
        <v>-6.8558841308328002</v>
      </c>
      <c r="I598" s="16">
        <f t="shared" si="98"/>
        <v>4.76595875702598</v>
      </c>
      <c r="J598" s="16">
        <f t="shared" si="99"/>
        <v>-6.8574049065827403</v>
      </c>
      <c r="K598" s="15">
        <f t="shared" si="100"/>
        <v>1.78311881402493E-5</v>
      </c>
      <c r="L598" s="15">
        <f t="shared" si="101"/>
        <v>1.52077574994003E-3</v>
      </c>
      <c r="M598" s="15">
        <f t="shared" si="102"/>
        <v>6.8340557769732205E-2</v>
      </c>
      <c r="N598" s="15">
        <f t="shared" si="103"/>
        <v>9.8330451449646902E-2</v>
      </c>
      <c r="O598" s="16">
        <v>6.8301632999999997</v>
      </c>
      <c r="P598" s="16">
        <v>-5.0512807000000004</v>
      </c>
      <c r="Q598" s="16">
        <v>4.2000457000000004</v>
      </c>
      <c r="R598" s="16">
        <v>-7.2161391000000004</v>
      </c>
      <c r="S598" s="16">
        <f t="shared" si="104"/>
        <v>0.98285399997491996</v>
      </c>
      <c r="T598" s="16">
        <f t="shared" si="105"/>
        <v>-23.314137056876625</v>
      </c>
    </row>
    <row r="599" spans="1:20" x14ac:dyDescent="0.35">
      <c r="A599" s="17">
        <v>2.5250000000000004</v>
      </c>
      <c r="B599" s="17">
        <v>15.4392</v>
      </c>
      <c r="C599" s="17">
        <v>-3.7613727E-2</v>
      </c>
      <c r="D599" s="17">
        <v>-4.5100128000000003E-2</v>
      </c>
      <c r="E599" s="17">
        <v>0.96234898999999996</v>
      </c>
      <c r="F599" s="17">
        <v>-4.8159169000000002E-2</v>
      </c>
      <c r="G599" s="17">
        <f t="shared" si="96"/>
        <v>4.74052708234424</v>
      </c>
      <c r="H599" s="17">
        <f t="shared" si="97"/>
        <v>-6.4926759785052397</v>
      </c>
      <c r="I599" s="17">
        <f t="shared" si="98"/>
        <v>4.7405107800550397</v>
      </c>
      <c r="J599" s="17">
        <f t="shared" si="99"/>
        <v>-6.4942055524534696</v>
      </c>
      <c r="K599" s="15">
        <f t="shared" si="100"/>
        <v>1.6302289200353898E-5</v>
      </c>
      <c r="L599" s="15">
        <f t="shared" si="101"/>
        <v>1.5295739482299501E-3</v>
      </c>
      <c r="M599" s="15">
        <f t="shared" si="102"/>
        <v>7.33290007536197E-2</v>
      </c>
      <c r="N599" s="15">
        <f t="shared" si="103"/>
        <v>0.100456179923399</v>
      </c>
      <c r="O599" s="17">
        <v>6.9163990999999996</v>
      </c>
      <c r="P599" s="17">
        <v>-5.3801842999999998</v>
      </c>
      <c r="Q599" s="17">
        <v>4.1560442999999996</v>
      </c>
      <c r="R599" s="17">
        <v>-7.5592604000000003</v>
      </c>
      <c r="S599" s="17">
        <f t="shared" si="104"/>
        <v>0.98446022722064563</v>
      </c>
      <c r="T599" s="17">
        <f t="shared" si="105"/>
        <v>-23.319299966503412</v>
      </c>
    </row>
    <row r="600" spans="1:20" x14ac:dyDescent="0.35">
      <c r="A600" s="16">
        <v>2.5250000000000004</v>
      </c>
      <c r="B600" s="16">
        <v>15.488</v>
      </c>
      <c r="C600" s="16">
        <v>-4.0183343000000003E-2</v>
      </c>
      <c r="D600" s="16">
        <v>-4.5766741E-2</v>
      </c>
      <c r="E600" s="16">
        <v>0.95978247000000005</v>
      </c>
      <c r="F600" s="16">
        <v>-4.8841331000000002E-2</v>
      </c>
      <c r="G600" s="16">
        <f t="shared" si="96"/>
        <v>4.7157671658769198</v>
      </c>
      <c r="H600" s="16">
        <f t="shared" si="97"/>
        <v>-6.1366395469406196</v>
      </c>
      <c r="I600" s="16">
        <f t="shared" si="98"/>
        <v>4.7157524354762401</v>
      </c>
      <c r="J600" s="16">
        <f t="shared" si="99"/>
        <v>-6.1381768908641696</v>
      </c>
      <c r="K600" s="15">
        <f t="shared" si="100"/>
        <v>1.4730400679674499E-5</v>
      </c>
      <c r="L600" s="15">
        <f t="shared" si="101"/>
        <v>1.53734392354998E-3</v>
      </c>
      <c r="M600" s="15">
        <f t="shared" si="102"/>
        <v>7.8706671173272805E-2</v>
      </c>
      <c r="N600" s="15">
        <f t="shared" si="103"/>
        <v>0.10244716548693</v>
      </c>
      <c r="O600" s="16">
        <v>6.9911542999999998</v>
      </c>
      <c r="P600" s="16">
        <v>-5.7313203000000001</v>
      </c>
      <c r="Q600" s="16">
        <v>4.0917792000000004</v>
      </c>
      <c r="R600" s="16">
        <v>-7.9169850000000004</v>
      </c>
      <c r="S600" s="16">
        <f t="shared" si="104"/>
        <v>0.98580948370498289</v>
      </c>
      <c r="T600" s="16">
        <f t="shared" si="105"/>
        <v>-23.323709450377486</v>
      </c>
    </row>
    <row r="601" spans="1:20" x14ac:dyDescent="0.35">
      <c r="A601" s="17">
        <v>2.5250000000000004</v>
      </c>
      <c r="B601" s="17">
        <v>15.536799999999999</v>
      </c>
      <c r="C601" s="17">
        <v>-4.2920275000000001E-2</v>
      </c>
      <c r="D601" s="17">
        <v>-4.6326632E-2</v>
      </c>
      <c r="E601" s="17">
        <v>0.95704862000000002</v>
      </c>
      <c r="F601" s="17">
        <v>-4.9415343E-2</v>
      </c>
      <c r="G601" s="17">
        <f t="shared" si="96"/>
        <v>4.6916166798567103</v>
      </c>
      <c r="H601" s="17">
        <f t="shared" si="97"/>
        <v>-5.7875755852213304</v>
      </c>
      <c r="I601" s="17">
        <f t="shared" si="98"/>
        <v>4.6916035122543196</v>
      </c>
      <c r="J601" s="17">
        <f t="shared" si="99"/>
        <v>-5.7891199850760504</v>
      </c>
      <c r="K601" s="15">
        <f t="shared" si="100"/>
        <v>1.3167602390673501E-5</v>
      </c>
      <c r="L601" s="15">
        <f t="shared" si="101"/>
        <v>1.54439985471999E-3</v>
      </c>
      <c r="M601" s="15">
        <f t="shared" si="102"/>
        <v>8.4495253910037593E-2</v>
      </c>
      <c r="N601" s="15">
        <f t="shared" si="103"/>
        <v>0.10426140269036401</v>
      </c>
      <c r="O601" s="17">
        <v>7.0521301999999997</v>
      </c>
      <c r="P601" s="17">
        <v>-6.1057692000000001</v>
      </c>
      <c r="Q601" s="17">
        <v>4.0044857</v>
      </c>
      <c r="R601" s="17">
        <v>-8.2891329999999996</v>
      </c>
      <c r="S601" s="17">
        <f t="shared" si="104"/>
        <v>0.98688533251679711</v>
      </c>
      <c r="T601" s="17">
        <f t="shared" si="105"/>
        <v>-23.328604763892994</v>
      </c>
    </row>
    <row r="602" spans="1:20" x14ac:dyDescent="0.35">
      <c r="A602" s="16">
        <v>2.5250000000000004</v>
      </c>
      <c r="B602" s="16">
        <v>15.585599999999999</v>
      </c>
      <c r="C602" s="16">
        <v>-4.5827462999999999E-2</v>
      </c>
      <c r="D602" s="16">
        <v>-4.6757224999999999E-2</v>
      </c>
      <c r="E602" s="16">
        <v>0.95414443999999998</v>
      </c>
      <c r="F602" s="16">
        <v>-4.9859055999999999E-2</v>
      </c>
      <c r="G602" s="16">
        <f t="shared" si="96"/>
        <v>4.6680176388498804</v>
      </c>
      <c r="H602" s="16">
        <f t="shared" si="97"/>
        <v>-5.4453154735783702</v>
      </c>
      <c r="I602" s="16">
        <f t="shared" si="98"/>
        <v>4.6680059955870101</v>
      </c>
      <c r="J602" s="16">
        <f t="shared" si="99"/>
        <v>-5.4468664289247002</v>
      </c>
      <c r="K602" s="15">
        <f t="shared" si="100"/>
        <v>1.1643262870286701E-5</v>
      </c>
      <c r="L602" s="15">
        <f t="shared" si="101"/>
        <v>1.55095534632999E-3</v>
      </c>
      <c r="M602" s="15">
        <f t="shared" si="102"/>
        <v>9.07137567514084E-2</v>
      </c>
      <c r="N602" s="15">
        <f t="shared" si="103"/>
        <v>0.105849417665273</v>
      </c>
      <c r="O602" s="16">
        <v>7.0927638999999996</v>
      </c>
      <c r="P602" s="16">
        <v>-6.5008584000000003</v>
      </c>
      <c r="Q602" s="16">
        <v>3.8915888000000001</v>
      </c>
      <c r="R602" s="16">
        <v>-8.6755747999999997</v>
      </c>
      <c r="S602" s="16">
        <f t="shared" si="104"/>
        <v>0.98827284819728334</v>
      </c>
      <c r="T602" s="16">
        <f t="shared" si="105"/>
        <v>-23.333750937611281</v>
      </c>
    </row>
    <row r="603" spans="1:20" x14ac:dyDescent="0.35">
      <c r="A603" s="17">
        <v>2.5250000000000004</v>
      </c>
      <c r="B603" s="17">
        <v>15.634399999999999</v>
      </c>
      <c r="C603" s="17">
        <v>-4.8905288999999998E-2</v>
      </c>
      <c r="D603" s="17">
        <v>-4.7033383999999998E-2</v>
      </c>
      <c r="E603" s="17">
        <v>0.95106955999999998</v>
      </c>
      <c r="F603" s="17">
        <v>-5.0147629999999999E-2</v>
      </c>
      <c r="G603" s="17">
        <f t="shared" si="96"/>
        <v>4.6449269958184196</v>
      </c>
      <c r="H603" s="17">
        <f t="shared" si="97"/>
        <v>-5.1097136129810297</v>
      </c>
      <c r="I603" s="17">
        <f t="shared" si="98"/>
        <v>4.6449168448779004</v>
      </c>
      <c r="J603" s="17">
        <f t="shared" si="99"/>
        <v>-5.1112707713693197</v>
      </c>
      <c r="K603" s="15">
        <f t="shared" si="100"/>
        <v>1.01509405192601E-5</v>
      </c>
      <c r="L603" s="15">
        <f t="shared" si="101"/>
        <v>1.5571583882900699E-3</v>
      </c>
      <c r="M603" s="15">
        <f t="shared" si="102"/>
        <v>9.7377014694781702E-2</v>
      </c>
      <c r="N603" s="15">
        <f t="shared" si="103"/>
        <v>0.107153756597708</v>
      </c>
      <c r="O603" s="17">
        <v>7.1112615000000003</v>
      </c>
      <c r="P603" s="17">
        <v>-6.9177673000000004</v>
      </c>
      <c r="Q603" s="17">
        <v>3.7496143000000002</v>
      </c>
      <c r="R603" s="17">
        <v>-9.0738368000000005</v>
      </c>
      <c r="S603" s="17">
        <f t="shared" si="104"/>
        <v>0.98962660462627872</v>
      </c>
      <c r="T603" s="17">
        <f t="shared" si="105"/>
        <v>-23.338138494897255</v>
      </c>
    </row>
    <row r="604" spans="1:20" x14ac:dyDescent="0.35">
      <c r="A604" s="16">
        <v>2.5250000000000004</v>
      </c>
      <c r="B604" s="16">
        <v>15.683199999999999</v>
      </c>
      <c r="C604" s="16">
        <v>-5.2150854000000003E-2</v>
      </c>
      <c r="D604" s="16">
        <v>-4.7127533999999999E-2</v>
      </c>
      <c r="E604" s="16">
        <v>0.94782686000000005</v>
      </c>
      <c r="F604" s="16">
        <v>-5.0253696E-2</v>
      </c>
      <c r="G604" s="16">
        <f t="shared" si="96"/>
        <v>4.6223122283494797</v>
      </c>
      <c r="H604" s="16">
        <f t="shared" si="97"/>
        <v>-4.7806366251326002</v>
      </c>
      <c r="I604" s="16">
        <f t="shared" si="98"/>
        <v>4.6223035285232301</v>
      </c>
      <c r="J604" s="16">
        <f t="shared" si="99"/>
        <v>-4.7821997371488898</v>
      </c>
      <c r="K604" s="15">
        <f t="shared" si="100"/>
        <v>8.6998262496251806E-6</v>
      </c>
      <c r="L604" s="15">
        <f t="shared" si="101"/>
        <v>1.5631120162895599E-3</v>
      </c>
      <c r="M604" s="15">
        <f t="shared" si="102"/>
        <v>0.104493965109832</v>
      </c>
      <c r="N604" s="15">
        <f t="shared" si="103"/>
        <v>0.108108653920773</v>
      </c>
      <c r="O604" s="16">
        <v>7.1048847999999998</v>
      </c>
      <c r="P604" s="16">
        <v>-7.3568708000000003</v>
      </c>
      <c r="Q604" s="16">
        <v>3.5752345000000001</v>
      </c>
      <c r="R604" s="16">
        <v>-9.4816128000000006</v>
      </c>
      <c r="S604" s="16">
        <f t="shared" si="104"/>
        <v>0.99078160674414784</v>
      </c>
      <c r="T604" s="16">
        <f t="shared" si="105"/>
        <v>-23.341792971153115</v>
      </c>
    </row>
    <row r="605" spans="1:20" x14ac:dyDescent="0.35">
      <c r="A605" s="17">
        <v>2.5250000000000004</v>
      </c>
      <c r="B605" s="17">
        <v>15.731999999999999</v>
      </c>
      <c r="C605" s="17">
        <v>-5.5557187000000001E-2</v>
      </c>
      <c r="D605" s="17">
        <v>-4.7009943999999998E-2</v>
      </c>
      <c r="E605" s="17">
        <v>0.94442333000000001</v>
      </c>
      <c r="F605" s="17">
        <v>-5.0147661000000003E-2</v>
      </c>
      <c r="G605" s="17">
        <f t="shared" si="96"/>
        <v>4.6001482756439298</v>
      </c>
      <c r="H605" s="17">
        <f t="shared" si="97"/>
        <v>-4.4579633352458403</v>
      </c>
      <c r="I605" s="17">
        <f t="shared" si="98"/>
        <v>4.6001409954319001</v>
      </c>
      <c r="J605" s="17">
        <f t="shared" si="99"/>
        <v>-4.4595322204507601</v>
      </c>
      <c r="K605" s="15">
        <f t="shared" si="100"/>
        <v>7.2802120296700002E-6</v>
      </c>
      <c r="L605" s="15">
        <f t="shared" si="101"/>
        <v>1.5688852049198199E-3</v>
      </c>
      <c r="M605" s="15">
        <f t="shared" si="102"/>
        <v>0.112065381263328</v>
      </c>
      <c r="N605" s="15">
        <f t="shared" si="103"/>
        <v>0.10863996973944701</v>
      </c>
      <c r="O605" s="17">
        <v>7.0682368000000002</v>
      </c>
      <c r="P605" s="17">
        <v>-7.8156298</v>
      </c>
      <c r="Q605" s="17">
        <v>3.3655512000000001</v>
      </c>
      <c r="R605" s="17">
        <v>-9.8985196999999996</v>
      </c>
      <c r="S605" s="17">
        <f t="shared" si="104"/>
        <v>0.99215061324857279</v>
      </c>
      <c r="T605" s="17">
        <f t="shared" si="105"/>
        <v>-23.34699241339921</v>
      </c>
    </row>
    <row r="606" spans="1:20" x14ac:dyDescent="0.35">
      <c r="A606" s="16">
        <v>2.5250000000000004</v>
      </c>
      <c r="B606" s="16">
        <v>15.780799999999999</v>
      </c>
      <c r="C606" s="16">
        <v>-5.9112397999999997E-2</v>
      </c>
      <c r="D606" s="16">
        <v>-4.6649225000000002E-2</v>
      </c>
      <c r="E606" s="16">
        <v>0.94087083999999999</v>
      </c>
      <c r="F606" s="16">
        <v>-4.9798217999999998E-2</v>
      </c>
      <c r="G606" s="16">
        <f t="shared" si="96"/>
        <v>4.5784150008469</v>
      </c>
      <c r="H606" s="16">
        <f t="shared" si="97"/>
        <v>-4.1415791385307497</v>
      </c>
      <c r="I606" s="16">
        <f t="shared" si="98"/>
        <v>4.57840909887208</v>
      </c>
      <c r="J606" s="16">
        <f t="shared" si="99"/>
        <v>-4.1431536575194299</v>
      </c>
      <c r="K606" s="15">
        <f t="shared" si="100"/>
        <v>5.9019748199773403E-6</v>
      </c>
      <c r="L606" s="15">
        <f t="shared" si="101"/>
        <v>1.57451898868022E-3</v>
      </c>
      <c r="M606" s="15">
        <f t="shared" si="102"/>
        <v>0.120081380679496</v>
      </c>
      <c r="N606" s="15">
        <f t="shared" si="103"/>
        <v>0.10866560869032001</v>
      </c>
      <c r="O606" s="16">
        <v>6.9982498</v>
      </c>
      <c r="P606" s="16">
        <v>-8.2933950999999997</v>
      </c>
      <c r="Q606" s="16">
        <v>3.1169549000000001</v>
      </c>
      <c r="R606" s="16">
        <v>-10.318887</v>
      </c>
      <c r="S606" s="16">
        <f t="shared" si="104"/>
        <v>0.99334948818435254</v>
      </c>
      <c r="T606" s="16">
        <f t="shared" si="105"/>
        <v>-23.351186292955521</v>
      </c>
    </row>
    <row r="607" spans="1:20" x14ac:dyDescent="0.35">
      <c r="A607" s="17">
        <v>2.5250000000000004</v>
      </c>
      <c r="B607" s="17">
        <v>15.829599999999999</v>
      </c>
      <c r="C607" s="17">
        <v>-6.2804546000000003E-2</v>
      </c>
      <c r="D607" s="17">
        <v>-4.6010196000000003E-2</v>
      </c>
      <c r="E607" s="17">
        <v>0.93713522000000005</v>
      </c>
      <c r="F607" s="17">
        <v>-4.9192884999999999E-2</v>
      </c>
      <c r="G607" s="17">
        <f t="shared" si="96"/>
        <v>4.5558261794828701</v>
      </c>
      <c r="H607" s="17">
        <f t="shared" si="97"/>
        <v>-3.8293268065972099</v>
      </c>
      <c r="I607" s="17">
        <f t="shared" si="98"/>
        <v>4.5557985941755303</v>
      </c>
      <c r="J607" s="17">
        <f t="shared" si="99"/>
        <v>-3.8309182429242199</v>
      </c>
      <c r="K607" s="15">
        <f t="shared" si="100"/>
        <v>2.7585307339705902E-5</v>
      </c>
      <c r="L607" s="15">
        <f t="shared" si="101"/>
        <v>1.59143632700998E-3</v>
      </c>
      <c r="M607" s="15">
        <f t="shared" si="102"/>
        <v>0.128581420908918</v>
      </c>
      <c r="N607" s="15">
        <f t="shared" si="103"/>
        <v>0.108122626775216</v>
      </c>
      <c r="O607" s="17">
        <v>6.8892981000000004</v>
      </c>
      <c r="P607" s="17">
        <v>-8.7873924999999993</v>
      </c>
      <c r="Q607" s="17">
        <v>2.8251056999999999</v>
      </c>
      <c r="R607" s="17">
        <v>-10.741292</v>
      </c>
      <c r="S607" s="17">
        <f t="shared" si="104"/>
        <v>0.99467578534183432</v>
      </c>
      <c r="T607" s="17">
        <f t="shared" si="105"/>
        <v>-23.360545272881701</v>
      </c>
    </row>
    <row r="608" spans="1:20" x14ac:dyDescent="0.35">
      <c r="A608" s="16">
        <v>2.5250000000000004</v>
      </c>
      <c r="B608" s="16">
        <v>15.878399999999999</v>
      </c>
      <c r="C608" s="16">
        <v>-6.6597823E-2</v>
      </c>
      <c r="D608" s="16">
        <v>-4.5066195000000003E-2</v>
      </c>
      <c r="E608" s="16">
        <v>0.93334397000000002</v>
      </c>
      <c r="F608" s="16">
        <v>-4.8258049999999997E-2</v>
      </c>
      <c r="G608" s="16">
        <f t="shared" si="96"/>
        <v>4.5349196731174004</v>
      </c>
      <c r="H608" s="16">
        <f t="shared" si="97"/>
        <v>-3.52539524882329</v>
      </c>
      <c r="I608" s="16">
        <f t="shared" si="98"/>
        <v>4.5348931159708501</v>
      </c>
      <c r="J608" s="16">
        <f t="shared" si="99"/>
        <v>-3.5269912651562199</v>
      </c>
      <c r="K608" s="15">
        <f t="shared" si="100"/>
        <v>2.6557146550310099E-5</v>
      </c>
      <c r="L608" s="15">
        <f t="shared" si="101"/>
        <v>1.59601633292983E-3</v>
      </c>
      <c r="M608" s="15">
        <f t="shared" si="102"/>
        <v>0.13740050603279799</v>
      </c>
      <c r="N608" s="15">
        <f t="shared" si="103"/>
        <v>0.10686258136912601</v>
      </c>
      <c r="O608" s="16">
        <v>6.7393875999999997</v>
      </c>
      <c r="P608" s="16">
        <v>-9.2939460999999994</v>
      </c>
      <c r="Q608" s="16">
        <v>2.4904503999999998</v>
      </c>
      <c r="R608" s="16">
        <v>-11.157852999999999</v>
      </c>
      <c r="S608" s="16">
        <f t="shared" si="104"/>
        <v>0.99583053627934692</v>
      </c>
      <c r="T608" s="16">
        <f t="shared" si="105"/>
        <v>-23.365001454649416</v>
      </c>
    </row>
    <row r="609" spans="1:20" x14ac:dyDescent="0.35">
      <c r="A609" s="17">
        <v>2.5250000000000004</v>
      </c>
      <c r="B609" s="17">
        <v>15.927199999999999</v>
      </c>
      <c r="C609" s="17">
        <v>-7.0466776999999994E-2</v>
      </c>
      <c r="D609" s="17">
        <v>-4.3783908000000003E-2</v>
      </c>
      <c r="E609" s="17">
        <v>0.92947692000000004</v>
      </c>
      <c r="F609" s="17">
        <v>-4.6985184999999999E-2</v>
      </c>
      <c r="G609" s="17">
        <f t="shared" si="96"/>
        <v>4.5143818415424199</v>
      </c>
      <c r="H609" s="17">
        <f t="shared" si="97"/>
        <v>-3.22744413705828</v>
      </c>
      <c r="I609" s="17">
        <f t="shared" si="98"/>
        <v>4.5143562515033198</v>
      </c>
      <c r="J609" s="17">
        <f t="shared" si="99"/>
        <v>-3.22904486158148</v>
      </c>
      <c r="K609" s="15">
        <f t="shared" si="100"/>
        <v>2.5590039100187302E-5</v>
      </c>
      <c r="L609" s="15">
        <f t="shared" si="101"/>
        <v>1.60072452319993E-3</v>
      </c>
      <c r="M609" s="15">
        <f t="shared" si="102"/>
        <v>0.14654078049477201</v>
      </c>
      <c r="N609" s="15">
        <f t="shared" si="103"/>
        <v>0.10481821280968</v>
      </c>
      <c r="O609" s="17">
        <v>6.5418925000000003</v>
      </c>
      <c r="P609" s="17">
        <v>-9.8064900999999995</v>
      </c>
      <c r="Q609" s="17">
        <v>2.1095244000000002</v>
      </c>
      <c r="R609" s="17">
        <v>-11.563587999999999</v>
      </c>
      <c r="S609" s="17">
        <f t="shared" si="104"/>
        <v>0.99712841782033645</v>
      </c>
      <c r="T609" s="17">
        <f t="shared" si="105"/>
        <v>-23.368508740774931</v>
      </c>
    </row>
    <row r="610" spans="1:20" x14ac:dyDescent="0.35">
      <c r="A610" s="16">
        <v>2.5250000000000004</v>
      </c>
      <c r="B610" s="16">
        <v>15.976000000000001</v>
      </c>
      <c r="C610" s="16">
        <v>-7.4372586000000004E-2</v>
      </c>
      <c r="D610" s="16">
        <v>-4.2135800000000001E-2</v>
      </c>
      <c r="E610" s="16">
        <v>0.92557281000000002</v>
      </c>
      <c r="F610" s="16">
        <v>-4.5346796000000002E-2</v>
      </c>
      <c r="G610" s="16">
        <f t="shared" si="96"/>
        <v>4.49420212063895</v>
      </c>
      <c r="H610" s="16">
        <f t="shared" si="97"/>
        <v>-2.9353890282477302</v>
      </c>
      <c r="I610" s="16">
        <f t="shared" si="98"/>
        <v>4.4941773957218496</v>
      </c>
      <c r="J610" s="16">
        <f t="shared" si="99"/>
        <v>-2.9369946097791302</v>
      </c>
      <c r="K610" s="15">
        <f t="shared" si="100"/>
        <v>2.4724917100371599E-5</v>
      </c>
      <c r="L610" s="15">
        <f t="shared" si="101"/>
        <v>1.6055815314E-3</v>
      </c>
      <c r="M610" s="15">
        <f t="shared" si="102"/>
        <v>0.155920232588144</v>
      </c>
      <c r="N610" s="15">
        <f t="shared" si="103"/>
        <v>0.101895595644002</v>
      </c>
      <c r="O610" s="16">
        <v>6.2964034</v>
      </c>
      <c r="P610" s="16">
        <v>-10.324071999999999</v>
      </c>
      <c r="Q610" s="16">
        <v>1.6810768</v>
      </c>
      <c r="R610" s="16">
        <v>-11.953039</v>
      </c>
      <c r="S610" s="16">
        <f t="shared" si="104"/>
        <v>0.99818616291971207</v>
      </c>
      <c r="T610" s="16">
        <f t="shared" si="105"/>
        <v>-23.372433273723477</v>
      </c>
    </row>
    <row r="611" spans="1:20" x14ac:dyDescent="0.35">
      <c r="A611" s="17">
        <v>2.5250000000000004</v>
      </c>
      <c r="B611" s="17">
        <v>16.024799999999999</v>
      </c>
      <c r="C611" s="17">
        <v>-7.8263058999999996E-2</v>
      </c>
      <c r="D611" s="17">
        <v>-4.0102433999999999E-2</v>
      </c>
      <c r="E611" s="17">
        <v>0.92168349999999999</v>
      </c>
      <c r="F611" s="17">
        <v>-4.3323967999999997E-2</v>
      </c>
      <c r="G611" s="17">
        <f t="shared" si="96"/>
        <v>4.4744044103105498</v>
      </c>
      <c r="H611" s="17">
        <f t="shared" si="97"/>
        <v>-2.6495766452403999</v>
      </c>
      <c r="I611" s="17">
        <f t="shared" si="98"/>
        <v>4.4743802838681397</v>
      </c>
      <c r="J611" s="17">
        <f t="shared" si="99"/>
        <v>-2.6511874941451699</v>
      </c>
      <c r="K611" s="15">
        <f t="shared" si="100"/>
        <v>2.4126442410121699E-5</v>
      </c>
      <c r="L611" s="15">
        <f t="shared" si="101"/>
        <v>1.61084890476992E-3</v>
      </c>
      <c r="M611" s="15">
        <f t="shared" si="102"/>
        <v>0.16541835623072501</v>
      </c>
      <c r="N611" s="15">
        <f t="shared" si="103"/>
        <v>9.8014708075240597E-2</v>
      </c>
      <c r="O611" s="17">
        <v>5.9971581</v>
      </c>
      <c r="P611" s="17">
        <v>-10.8339</v>
      </c>
      <c r="Q611" s="17">
        <v>1.2058224</v>
      </c>
      <c r="R611" s="17">
        <v>-12.318175</v>
      </c>
      <c r="S611" s="17">
        <f t="shared" si="104"/>
        <v>0.99951777803223529</v>
      </c>
      <c r="T611" s="17">
        <f t="shared" si="105"/>
        <v>-23.376080520805896</v>
      </c>
    </row>
    <row r="612" spans="1:20" x14ac:dyDescent="0.35">
      <c r="A612" s="16">
        <v>2.5250000000000004</v>
      </c>
      <c r="B612" s="16">
        <v>16.073599999999999</v>
      </c>
      <c r="C612" s="16">
        <v>-8.2098354999999998E-2</v>
      </c>
      <c r="D612" s="16">
        <v>-3.7662353000000003E-2</v>
      </c>
      <c r="E612" s="16">
        <v>0.91784915</v>
      </c>
      <c r="F612" s="16">
        <v>-4.0894205000000003E-2</v>
      </c>
      <c r="G612" s="16">
        <f t="shared" si="96"/>
        <v>4.4548982791994503</v>
      </c>
      <c r="H612" s="16">
        <f t="shared" si="97"/>
        <v>-2.3689984480695401</v>
      </c>
      <c r="I612" s="16">
        <f t="shared" si="98"/>
        <v>4.4548746424261498</v>
      </c>
      <c r="J612" s="16">
        <f t="shared" si="99"/>
        <v>-2.37061445468095</v>
      </c>
      <c r="K612" s="15">
        <f t="shared" si="100"/>
        <v>2.3636773300417199E-5</v>
      </c>
      <c r="L612" s="15">
        <f t="shared" si="101"/>
        <v>1.61600661140993E-3</v>
      </c>
      <c r="M612" s="15">
        <f t="shared" si="102"/>
        <v>0.174936128737195</v>
      </c>
      <c r="N612" s="15">
        <f t="shared" si="103"/>
        <v>9.30904119008992E-2</v>
      </c>
      <c r="O612" s="16">
        <v>5.6452783999999996</v>
      </c>
      <c r="P612" s="16">
        <v>-11.337161999999999</v>
      </c>
      <c r="Q612" s="16">
        <v>0.68322866999999998</v>
      </c>
      <c r="R612" s="16">
        <v>-12.652913</v>
      </c>
      <c r="S612" s="16">
        <f t="shared" si="104"/>
        <v>1.0005067231036182</v>
      </c>
      <c r="T612" s="16">
        <f t="shared" si="105"/>
        <v>-23.37991961863651</v>
      </c>
    </row>
    <row r="613" spans="1:20" x14ac:dyDescent="0.35">
      <c r="A613" s="17">
        <v>2.5250000000000004</v>
      </c>
      <c r="B613" s="17">
        <v>16.122399999999999</v>
      </c>
      <c r="C613" s="17">
        <v>-8.5817724999999997E-2</v>
      </c>
      <c r="D613" s="17">
        <v>-3.4808093999999998E-2</v>
      </c>
      <c r="E613" s="17">
        <v>0.91417382000000003</v>
      </c>
      <c r="F613" s="17">
        <v>-3.8061038999999998E-2</v>
      </c>
      <c r="G613" s="17">
        <f t="shared" ref="G613:G676" si="106">IMREAL(IMDIV(IMSUM(IMPRODUCT(COMPLEX(1 + C613,D613),COMPLEX(1 - C613, - D613)),IMPRODUCT(COMPLEX(E613,F613),COMPLEX(E613,F613))),IMSUB(IMPRODUCT(COMPLEX(1 - C613, - D613),COMPLEX(1 - C613, - D613)),IMPRODUCT(COMPLEX(E613,F613),COMPLEX(E613,F613)))))</f>
        <v>4.4363338295936501</v>
      </c>
      <c r="H613" s="17">
        <f t="shared" ref="H613:H676" si="107">IMAGINARY(IMDIV(IMSUM(IMPRODUCT(COMPLEX(1 + C613,D613),COMPLEX(1 - C613, - D613)),IMPRODUCT(COMPLEX(E613,F613),COMPLEX(E613,F613))),IMSUB(IMPRODUCT(COMPLEX(1 - C613, - D613),COMPLEX(1 - C613, - D613)),IMPRODUCT(COMPLEX(E613,F613),COMPLEX(E613,F613)))))</f>
        <v>-2.0948411821680102</v>
      </c>
      <c r="I613" s="17">
        <f t="shared" ref="I613:I676" si="108">IMREAL(IMDIV(IMPRODUCT(COMPLEX(2,0),COMPLEX(E613,F613)),IMSUB(IMPRODUCT(COMPLEX(1 - C613, - D613),COMPLEX(1 - C613, - D613)),IMPRODUCT(COMPLEX(E613,F613),COMPLEX(E613,F613)))))</f>
        <v>4.4363322475151303</v>
      </c>
      <c r="J613" s="17">
        <f t="shared" ref="J613:J676" si="109">IMAGINARY(IMDIV(IMPRODUCT(COMPLEX(2,0),COMPLEX(E613,F613)),IMSUB(IMPRODUCT(COMPLEX(1 - C613, - D613),COMPLEX(1 - C613, - D613)),IMPRODUCT(COMPLEX(E613,F613),COMPLEX(E613,F613)))))</f>
        <v>-2.0964676641171698</v>
      </c>
      <c r="K613" s="15">
        <f t="shared" ref="K613:K676" si="110">IMREAL(IMSUB(COMPLEX(G613,H613),COMPLEX(I613,J613)))</f>
        <v>1.5820785197462301E-6</v>
      </c>
      <c r="L613" s="15">
        <f t="shared" ref="L613:L676" si="111">IMAGINARY(IMSUB(COMPLEX(G613,H613),COMPLEX(I613,J613)))</f>
        <v>1.6264819491596E-3</v>
      </c>
      <c r="M613" s="15">
        <f t="shared" ref="M613:M676" si="112">IMREAL(IMDIV(IMSUB(IMPRODUCT(COMPLEX(1 - C613, - D613),COMPLEX(1 - C613, - D613)),IMPRODUCT(COMPLEX(E613,F613),COMPLEX(E613,F613))),IMPRODUCT(COMPLEX(2,0),COMPLEX(E613,F613))))</f>
        <v>0.184261987953938</v>
      </c>
      <c r="N613" s="15">
        <f t="shared" ref="N613:N676" si="113">IMAGINARY(IMDIV(IMSUB(IMPRODUCT(COMPLEX(1 - C613, - D613),COMPLEX(1 - C613, - D613)),IMPRODUCT(COMPLEX(E613,F613),COMPLEX(E613,F613))),IMPRODUCT(COMPLEX(2,0),COMPLEX(E613,F613))))</f>
        <v>8.7076277861684301E-2</v>
      </c>
      <c r="O613" s="17">
        <v>5.2376999</v>
      </c>
      <c r="P613" s="17">
        <v>-11.820907</v>
      </c>
      <c r="Q613" s="17">
        <v>0.11489523</v>
      </c>
      <c r="R613" s="17">
        <v>-12.950706</v>
      </c>
      <c r="S613" s="17">
        <f t="shared" ref="S613:S676" si="114">IMABS(COMPLEX(Q613,R613))/IMABS(COMPLEX(O613,P613))</f>
        <v>1.001693407589725</v>
      </c>
      <c r="T613" s="17">
        <f t="shared" ref="T613:T676" si="115">IMARGUMENT(IMDIV(COMPLEX(Q613,R613),COMPLEX(O613/B613,P613/B613)))/PI()*180</f>
        <v>-23.38924902259113</v>
      </c>
    </row>
    <row r="614" spans="1:20" x14ac:dyDescent="0.35">
      <c r="A614" s="16">
        <v>2.5250000000000004</v>
      </c>
      <c r="B614" s="16">
        <v>16.171199999999999</v>
      </c>
      <c r="C614" s="16">
        <v>-8.9351375999999996E-2</v>
      </c>
      <c r="D614" s="16">
        <v>-3.1547480000000003E-2</v>
      </c>
      <c r="E614" s="16">
        <v>0.91064036000000004</v>
      </c>
      <c r="F614" s="16">
        <v>-3.4809171E-2</v>
      </c>
      <c r="G614" s="16">
        <f t="shared" si="106"/>
        <v>4.4176375743157896</v>
      </c>
      <c r="H614" s="16">
        <f t="shared" si="107"/>
        <v>-1.82513754814624</v>
      </c>
      <c r="I614" s="16">
        <f t="shared" si="108"/>
        <v>4.4176361019816603</v>
      </c>
      <c r="J614" s="16">
        <f t="shared" si="109"/>
        <v>-1.82676840278608</v>
      </c>
      <c r="K614" s="15">
        <f t="shared" si="110"/>
        <v>1.4723341292821599E-6</v>
      </c>
      <c r="L614" s="15">
        <f t="shared" si="111"/>
        <v>1.6308546398400301E-3</v>
      </c>
      <c r="M614" s="15">
        <f t="shared" si="112"/>
        <v>0.19331007149767199</v>
      </c>
      <c r="N614" s="15">
        <f t="shared" si="113"/>
        <v>7.9937034739882007E-2</v>
      </c>
      <c r="O614" s="16">
        <v>4.7760824</v>
      </c>
      <c r="P614" s="16">
        <v>-12.276354</v>
      </c>
      <c r="Q614" s="16">
        <v>-0.49204205000000001</v>
      </c>
      <c r="R614" s="16">
        <v>-13.200628999999999</v>
      </c>
      <c r="S614" s="16">
        <f t="shared" si="114"/>
        <v>1.0028166927142144</v>
      </c>
      <c r="T614" s="16">
        <f t="shared" si="115"/>
        <v>-23.393051615633588</v>
      </c>
    </row>
    <row r="615" spans="1:20" x14ac:dyDescent="0.35">
      <c r="A615" s="17">
        <v>2.5250000000000004</v>
      </c>
      <c r="B615" s="17">
        <v>16.22</v>
      </c>
      <c r="C615" s="17">
        <v>-9.2630772E-2</v>
      </c>
      <c r="D615" s="17">
        <v>-2.7907405999999999E-2</v>
      </c>
      <c r="E615" s="17">
        <v>0.90736258000000003</v>
      </c>
      <c r="F615" s="17">
        <v>-3.1178467000000001E-2</v>
      </c>
      <c r="G615" s="17">
        <f t="shared" si="106"/>
        <v>4.3992736256420697</v>
      </c>
      <c r="H615" s="17">
        <f t="shared" si="107"/>
        <v>-1.5616622068150301</v>
      </c>
      <c r="I615" s="17">
        <f t="shared" si="108"/>
        <v>4.3992729766105603</v>
      </c>
      <c r="J615" s="17">
        <f t="shared" si="109"/>
        <v>-1.56329774381307</v>
      </c>
      <c r="K615" s="15">
        <f t="shared" si="110"/>
        <v>6.4903150942541298E-7</v>
      </c>
      <c r="L615" s="15">
        <f t="shared" si="111"/>
        <v>1.6355369980398701E-3</v>
      </c>
      <c r="M615" s="15">
        <f t="shared" si="112"/>
        <v>0.201824634028341</v>
      </c>
      <c r="N615" s="15">
        <f t="shared" si="113"/>
        <v>7.1719121932163205E-2</v>
      </c>
      <c r="O615" s="17">
        <v>4.2649286000000002</v>
      </c>
      <c r="P615" s="17">
        <v>-12.694699</v>
      </c>
      <c r="Q615" s="17">
        <v>-1.1312101000000001</v>
      </c>
      <c r="R615" s="17">
        <v>-13.396940000000001</v>
      </c>
      <c r="S615" s="17">
        <f t="shared" si="114"/>
        <v>1.0039306035415803</v>
      </c>
      <c r="T615" s="17">
        <f t="shared" si="115"/>
        <v>-23.396849315424912</v>
      </c>
    </row>
    <row r="616" spans="1:20" x14ac:dyDescent="0.35">
      <c r="A616" s="16">
        <v>2.5250000000000004</v>
      </c>
      <c r="B616" s="16">
        <v>16.268799999999999</v>
      </c>
      <c r="C616" s="16">
        <v>-9.5604574999999997E-2</v>
      </c>
      <c r="D616" s="16">
        <v>-2.3907065000000002E-2</v>
      </c>
      <c r="E616" s="16">
        <v>0.90439044999999996</v>
      </c>
      <c r="F616" s="16">
        <v>-2.7187297999999999E-2</v>
      </c>
      <c r="G616" s="16">
        <f t="shared" si="106"/>
        <v>4.38121409824865</v>
      </c>
      <c r="H616" s="16">
        <f t="shared" si="107"/>
        <v>-1.3034901219280799</v>
      </c>
      <c r="I616" s="16">
        <f t="shared" si="108"/>
        <v>4.3812143007374198</v>
      </c>
      <c r="J616" s="16">
        <f t="shared" si="109"/>
        <v>-1.30513024217577</v>
      </c>
      <c r="K616" s="15">
        <f t="shared" si="110"/>
        <v>-2.0248876975159599E-7</v>
      </c>
      <c r="L616" s="15">
        <f t="shared" si="111"/>
        <v>1.6401202476901101E-3</v>
      </c>
      <c r="M616" s="15">
        <f t="shared" si="112"/>
        <v>0.209643490672489</v>
      </c>
      <c r="N616" s="15">
        <f t="shared" si="113"/>
        <v>6.2451192973123203E-2</v>
      </c>
      <c r="O616" s="16">
        <v>3.7071223</v>
      </c>
      <c r="P616" s="16">
        <v>-13.069322</v>
      </c>
      <c r="Q616" s="16">
        <v>-1.7973315000000001</v>
      </c>
      <c r="R616" s="16">
        <v>-13.534519</v>
      </c>
      <c r="S616" s="16">
        <f t="shared" si="114"/>
        <v>1.0050365511175006</v>
      </c>
      <c r="T616" s="16">
        <f t="shared" si="115"/>
        <v>-23.400423278564254</v>
      </c>
    </row>
    <row r="617" spans="1:20" x14ac:dyDescent="0.35">
      <c r="A617" s="17">
        <v>2.5250000000000004</v>
      </c>
      <c r="B617" s="17">
        <v>16.317599999999999</v>
      </c>
      <c r="C617" s="17">
        <v>-9.8212980000000005E-2</v>
      </c>
      <c r="D617" s="17">
        <v>-1.9593053999999999E-2</v>
      </c>
      <c r="E617" s="17">
        <v>0.90178360999999996</v>
      </c>
      <c r="F617" s="17">
        <v>-2.2882968E-2</v>
      </c>
      <c r="G617" s="17">
        <f t="shared" si="106"/>
        <v>4.3634717610110201</v>
      </c>
      <c r="H617" s="17">
        <f t="shared" si="107"/>
        <v>-1.05085810602858</v>
      </c>
      <c r="I617" s="17">
        <f t="shared" si="108"/>
        <v>4.3634727618981604</v>
      </c>
      <c r="J617" s="17">
        <f t="shared" si="109"/>
        <v>-1.05250306418682</v>
      </c>
      <c r="K617" s="15">
        <f t="shared" si="110"/>
        <v>-1.0008871402789099E-6</v>
      </c>
      <c r="L617" s="15">
        <f t="shared" si="111"/>
        <v>1.6449581582400599E-3</v>
      </c>
      <c r="M617" s="15">
        <f t="shared" si="112"/>
        <v>0.216574696951849</v>
      </c>
      <c r="N617" s="15">
        <f t="shared" si="113"/>
        <v>5.2239476354149203E-2</v>
      </c>
      <c r="O617" s="17">
        <v>3.1086757999999999</v>
      </c>
      <c r="P617" s="17">
        <v>-13.389357</v>
      </c>
      <c r="Q617" s="17">
        <v>-2.4811573</v>
      </c>
      <c r="R617" s="17">
        <v>-13.608457</v>
      </c>
      <c r="S617" s="17">
        <f t="shared" si="114"/>
        <v>1.0063509382817279</v>
      </c>
      <c r="T617" s="17">
        <f t="shared" si="115"/>
        <v>-23.404007259583516</v>
      </c>
    </row>
    <row r="618" spans="1:20" x14ac:dyDescent="0.35">
      <c r="A618" s="16">
        <v>2.5250000000000004</v>
      </c>
      <c r="B618" s="16">
        <v>16.366399999999999</v>
      </c>
      <c r="C618" s="16">
        <v>-0.10040904</v>
      </c>
      <c r="D618" s="16">
        <v>-1.5019189E-2</v>
      </c>
      <c r="E618" s="16">
        <v>0.89958912000000002</v>
      </c>
      <c r="F618" s="16">
        <v>-1.8319228999999999E-2</v>
      </c>
      <c r="G618" s="16">
        <f t="shared" si="106"/>
        <v>4.3460290697264004</v>
      </c>
      <c r="H618" s="16">
        <f t="shared" si="107"/>
        <v>-0.80367173992525998</v>
      </c>
      <c r="I618" s="16">
        <f t="shared" si="108"/>
        <v>4.3460308722916503</v>
      </c>
      <c r="J618" s="16">
        <f t="shared" si="109"/>
        <v>-0.805321758469006</v>
      </c>
      <c r="K618" s="15">
        <f t="shared" si="110"/>
        <v>-1.80256524995315E-6</v>
      </c>
      <c r="L618" s="15">
        <f t="shared" si="111"/>
        <v>1.6500185437460201E-3</v>
      </c>
      <c r="M618" s="15">
        <f t="shared" si="112"/>
        <v>0.22245667134448999</v>
      </c>
      <c r="N618" s="15">
        <f t="shared" si="113"/>
        <v>4.1221335746251003E-2</v>
      </c>
      <c r="O618" s="16">
        <v>2.4793547</v>
      </c>
      <c r="P618" s="16">
        <v>-13.658244</v>
      </c>
      <c r="Q618" s="16">
        <v>-3.1733283000000001</v>
      </c>
      <c r="R618" s="16">
        <v>-13.616342</v>
      </c>
      <c r="S618" s="16">
        <f t="shared" si="114"/>
        <v>1.0071875264280583</v>
      </c>
      <c r="T618" s="16">
        <f t="shared" si="115"/>
        <v>-23.407540060193977</v>
      </c>
    </row>
    <row r="619" spans="1:20" x14ac:dyDescent="0.35">
      <c r="A619" s="17">
        <v>2.5250000000000004</v>
      </c>
      <c r="B619" s="17">
        <v>16.415199999999999</v>
      </c>
      <c r="C619" s="17">
        <v>-0.10215579</v>
      </c>
      <c r="D619" s="17">
        <v>-1.0250079E-2</v>
      </c>
      <c r="E619" s="17">
        <v>0.89784381999999996</v>
      </c>
      <c r="F619" s="17">
        <v>-1.3560615E-2</v>
      </c>
      <c r="G619" s="17">
        <f t="shared" si="106"/>
        <v>4.3288896596155801</v>
      </c>
      <c r="H619" s="17">
        <f t="shared" si="107"/>
        <v>-0.56193550092655498</v>
      </c>
      <c r="I619" s="17">
        <f t="shared" si="108"/>
        <v>4.3288922045217797</v>
      </c>
      <c r="J619" s="17">
        <f t="shared" si="109"/>
        <v>-0.56359076503682803</v>
      </c>
      <c r="K619" s="15">
        <f t="shared" si="110"/>
        <v>-2.54490619955305E-6</v>
      </c>
      <c r="L619" s="15">
        <f t="shared" si="111"/>
        <v>1.65526411027306E-3</v>
      </c>
      <c r="M619" s="15">
        <f t="shared" si="112"/>
        <v>0.227155655060575</v>
      </c>
      <c r="N619" s="15">
        <f t="shared" si="113"/>
        <v>2.9574039585532799E-2</v>
      </c>
      <c r="O619" s="17">
        <v>1.8259388999999999</v>
      </c>
      <c r="P619" s="17">
        <v>-13.861923000000001</v>
      </c>
      <c r="Q619" s="17">
        <v>-3.8636001000000002</v>
      </c>
      <c r="R619" s="17">
        <v>-13.55706</v>
      </c>
      <c r="S619" s="17">
        <f t="shared" si="114"/>
        <v>1.0082385317441172</v>
      </c>
      <c r="T619" s="17">
        <f t="shared" si="115"/>
        <v>-23.410908909053543</v>
      </c>
    </row>
    <row r="620" spans="1:20" x14ac:dyDescent="0.35">
      <c r="A620" s="16">
        <v>2.5250000000000004</v>
      </c>
      <c r="B620" s="16">
        <v>16.463999999999999</v>
      </c>
      <c r="C620" s="16">
        <v>-0.10343083</v>
      </c>
      <c r="D620" s="16">
        <v>-5.3593673E-3</v>
      </c>
      <c r="E620" s="16">
        <v>0.89659040999999995</v>
      </c>
      <c r="F620" s="16">
        <v>-8.7503535000000004E-3</v>
      </c>
      <c r="G620" s="16">
        <f t="shared" si="106"/>
        <v>4.31224513367175</v>
      </c>
      <c r="H620" s="16">
        <f t="shared" si="107"/>
        <v>-0.32742239855682997</v>
      </c>
      <c r="I620" s="16">
        <f t="shared" si="108"/>
        <v>4.3122586281559796</v>
      </c>
      <c r="J620" s="16">
        <f t="shared" si="109"/>
        <v>-0.329117850771323</v>
      </c>
      <c r="K620" s="15">
        <f t="shared" si="110"/>
        <v>-1.34944842296036E-5</v>
      </c>
      <c r="L620" s="15">
        <f t="shared" si="111"/>
        <v>1.69545221449302E-3</v>
      </c>
      <c r="M620" s="15">
        <f t="shared" si="112"/>
        <v>0.23055406807030401</v>
      </c>
      <c r="N620" s="15">
        <f t="shared" si="113"/>
        <v>1.7596221820844599E-2</v>
      </c>
      <c r="O620" s="16">
        <v>1.1588187999999999</v>
      </c>
      <c r="P620" s="16">
        <v>-14.000068000000001</v>
      </c>
      <c r="Q620" s="16">
        <v>-4.5418925999999997</v>
      </c>
      <c r="R620" s="16">
        <v>-13.432399999999999</v>
      </c>
      <c r="S620" s="16">
        <f t="shared" si="114"/>
        <v>1.0093645429379239</v>
      </c>
      <c r="T620" s="16">
        <f t="shared" si="115"/>
        <v>-23.413640341224237</v>
      </c>
    </row>
    <row r="621" spans="1:20" x14ac:dyDescent="0.35">
      <c r="A621" s="17">
        <v>2.5250000000000004</v>
      </c>
      <c r="B621" s="17">
        <v>16.512799999999999</v>
      </c>
      <c r="C621" s="17">
        <v>-0.10422455999999999</v>
      </c>
      <c r="D621" s="17">
        <v>-4.1508818999999998E-4</v>
      </c>
      <c r="E621" s="17">
        <v>0.89579686000000003</v>
      </c>
      <c r="F621" s="17">
        <v>-3.8245776000000002E-3</v>
      </c>
      <c r="G621" s="17">
        <f t="shared" si="106"/>
        <v>4.2958356229668997</v>
      </c>
      <c r="H621" s="17">
        <f t="shared" si="107"/>
        <v>-9.6700752353672301E-2</v>
      </c>
      <c r="I621" s="17">
        <f t="shared" si="108"/>
        <v>4.2958492389048999</v>
      </c>
      <c r="J621" s="17">
        <f t="shared" si="109"/>
        <v>-9.8405455589602606E-2</v>
      </c>
      <c r="K621" s="15">
        <f t="shared" si="110"/>
        <v>-1.36159380001999E-5</v>
      </c>
      <c r="L621" s="15">
        <f t="shared" si="111"/>
        <v>1.7047032359302999E-3</v>
      </c>
      <c r="M621" s="15">
        <f t="shared" si="112"/>
        <v>0.23266075793368499</v>
      </c>
      <c r="N621" s="15">
        <f t="shared" si="113"/>
        <v>5.3295836536672797E-3</v>
      </c>
      <c r="O621" s="17">
        <v>0.48818632000000001</v>
      </c>
      <c r="P621" s="17">
        <v>-14.074973999999999</v>
      </c>
      <c r="Q621" s="17">
        <v>-5.1986298</v>
      </c>
      <c r="R621" s="17">
        <v>-13.24474</v>
      </c>
      <c r="S621" s="17">
        <f t="shared" si="114"/>
        <v>1.0102969008244609</v>
      </c>
      <c r="T621" s="17">
        <f t="shared" si="115"/>
        <v>-23.416758115902802</v>
      </c>
    </row>
    <row r="622" spans="1:20" x14ac:dyDescent="0.35">
      <c r="A622" s="16">
        <v>2.5250000000000004</v>
      </c>
      <c r="B622" s="16">
        <v>16.561599999999999</v>
      </c>
      <c r="C622" s="16">
        <v>-0.10454382</v>
      </c>
      <c r="D622" s="16">
        <v>4.5073079000000002E-3</v>
      </c>
      <c r="E622" s="16">
        <v>0.89547743000000002</v>
      </c>
      <c r="F622" s="16">
        <v>1.0790858999999999E-3</v>
      </c>
      <c r="G622" s="16">
        <f t="shared" si="106"/>
        <v>4.2797500951444798</v>
      </c>
      <c r="H622" s="16">
        <f t="shared" si="107"/>
        <v>0.12857533602848001</v>
      </c>
      <c r="I622" s="16">
        <f t="shared" si="108"/>
        <v>4.2797636581058196</v>
      </c>
      <c r="J622" s="16">
        <f t="shared" si="109"/>
        <v>0.12686126648889001</v>
      </c>
      <c r="K622" s="15">
        <f t="shared" si="110"/>
        <v>-1.3562961339808101E-5</v>
      </c>
      <c r="L622" s="15">
        <f t="shared" si="111"/>
        <v>1.71406953959E-3</v>
      </c>
      <c r="M622" s="15">
        <f t="shared" si="112"/>
        <v>0.23345263802284599</v>
      </c>
      <c r="N622" s="15">
        <f t="shared" si="113"/>
        <v>-6.9200310322412696E-3</v>
      </c>
      <c r="O622" s="16">
        <v>-0.17639901999999999</v>
      </c>
      <c r="P622" s="16">
        <v>-14.084679</v>
      </c>
      <c r="Q622" s="16">
        <v>-5.8251844000000004</v>
      </c>
      <c r="R622" s="16">
        <v>-12.999605000000001</v>
      </c>
      <c r="S622" s="16">
        <f t="shared" si="114"/>
        <v>1.0113095171079409</v>
      </c>
      <c r="T622" s="16">
        <f t="shared" si="115"/>
        <v>-23.419831633174205</v>
      </c>
    </row>
    <row r="623" spans="1:20" x14ac:dyDescent="0.35">
      <c r="A623" s="17">
        <v>2.5250000000000004</v>
      </c>
      <c r="B623" s="17">
        <v>16.610399999999998</v>
      </c>
      <c r="C623" s="17">
        <v>-0.1044123</v>
      </c>
      <c r="D623" s="17">
        <v>9.3170378000000005E-3</v>
      </c>
      <c r="E623" s="17">
        <v>0.89560234000000005</v>
      </c>
      <c r="F623" s="17">
        <v>5.8810772000000002E-3</v>
      </c>
      <c r="G623" s="17">
        <f t="shared" si="106"/>
        <v>4.2638018321432201</v>
      </c>
      <c r="H623" s="17">
        <f t="shared" si="107"/>
        <v>0.34758997453066498</v>
      </c>
      <c r="I623" s="17">
        <f t="shared" si="108"/>
        <v>4.2638121034724197</v>
      </c>
      <c r="J623" s="17">
        <f t="shared" si="109"/>
        <v>0.34587202445199999</v>
      </c>
      <c r="K623" s="15">
        <f t="shared" si="110"/>
        <v>-1.02713291996182E-5</v>
      </c>
      <c r="L623" s="15">
        <f t="shared" si="111"/>
        <v>1.7179500786649901E-3</v>
      </c>
      <c r="M623" s="15">
        <f t="shared" si="112"/>
        <v>0.23299874777357099</v>
      </c>
      <c r="N623" s="15">
        <f t="shared" si="113"/>
        <v>-1.8900398664752599E-2</v>
      </c>
      <c r="O623" s="17">
        <v>-0.82278370000000001</v>
      </c>
      <c r="P623" s="17">
        <v>-14.033967000000001</v>
      </c>
      <c r="Q623" s="17">
        <v>-6.4115517000000004</v>
      </c>
      <c r="R623" s="17">
        <v>-12.704803</v>
      </c>
      <c r="S623" s="17">
        <f t="shared" si="114"/>
        <v>1.0122980855383723</v>
      </c>
      <c r="T623" s="17">
        <f t="shared" si="115"/>
        <v>-23.42275939535411</v>
      </c>
    </row>
    <row r="624" spans="1:20" x14ac:dyDescent="0.35">
      <c r="A624" s="16">
        <v>2.5250000000000004</v>
      </c>
      <c r="B624" s="16">
        <v>16.659199999999998</v>
      </c>
      <c r="C624" s="16">
        <v>-0.10385732</v>
      </c>
      <c r="D624" s="16">
        <v>1.3997737999999999E-2</v>
      </c>
      <c r="E624" s="16">
        <v>0.89615548</v>
      </c>
      <c r="F624" s="16">
        <v>1.0540501000000001E-2</v>
      </c>
      <c r="G624" s="16">
        <f t="shared" si="106"/>
        <v>4.2483147156402099</v>
      </c>
      <c r="H624" s="16">
        <f t="shared" si="107"/>
        <v>0.56183860629062599</v>
      </c>
      <c r="I624" s="16">
        <f t="shared" si="108"/>
        <v>4.2483241036548796</v>
      </c>
      <c r="J624" s="16">
        <f t="shared" si="109"/>
        <v>0.56011001508190605</v>
      </c>
      <c r="K624" s="15">
        <f t="shared" si="110"/>
        <v>-9.3880146696534405E-6</v>
      </c>
      <c r="L624" s="15">
        <f t="shared" si="111"/>
        <v>1.72859120871993E-3</v>
      </c>
      <c r="M624" s="15">
        <f t="shared" si="112"/>
        <v>0.23136523899393899</v>
      </c>
      <c r="N624" s="15">
        <f t="shared" si="113"/>
        <v>-3.0503790280698301E-2</v>
      </c>
      <c r="O624" s="16">
        <v>-1.4488840999999999</v>
      </c>
      <c r="P624" s="16">
        <v>-13.927766</v>
      </c>
      <c r="Q624" s="16">
        <v>-6.9573577000000002</v>
      </c>
      <c r="R624" s="16">
        <v>-12.365144000000001</v>
      </c>
      <c r="S624" s="16">
        <f t="shared" si="114"/>
        <v>1.0132225323912663</v>
      </c>
      <c r="T624" s="16">
        <f t="shared" si="115"/>
        <v>-23.425637416802804</v>
      </c>
    </row>
    <row r="625" spans="1:20" x14ac:dyDescent="0.35">
      <c r="A625" s="17">
        <v>2.5250000000000004</v>
      </c>
      <c r="B625" s="17">
        <v>16.707999999999998</v>
      </c>
      <c r="C625" s="17">
        <v>-0.10292237999999999</v>
      </c>
      <c r="D625" s="17">
        <v>1.8470482E-2</v>
      </c>
      <c r="E625" s="17">
        <v>0.89708732999999996</v>
      </c>
      <c r="F625" s="17">
        <v>1.4990473000000001E-2</v>
      </c>
      <c r="G625" s="17">
        <f t="shared" si="106"/>
        <v>4.2331742745306</v>
      </c>
      <c r="H625" s="17">
        <f t="shared" si="107"/>
        <v>0.770304853140929</v>
      </c>
      <c r="I625" s="17">
        <f t="shared" si="108"/>
        <v>4.2331821570694403</v>
      </c>
      <c r="J625" s="17">
        <f t="shared" si="109"/>
        <v>0.768564870804197</v>
      </c>
      <c r="K625" s="15">
        <f t="shared" si="110"/>
        <v>-7.8825388403203095E-6</v>
      </c>
      <c r="L625" s="15">
        <f t="shared" si="111"/>
        <v>1.7399823367320001E-3</v>
      </c>
      <c r="M625" s="15">
        <f t="shared" si="112"/>
        <v>0.22869057379237301</v>
      </c>
      <c r="N625" s="15">
        <f t="shared" si="113"/>
        <v>-4.1520429497073998E-2</v>
      </c>
      <c r="O625" s="17">
        <v>-2.0442836</v>
      </c>
      <c r="P625" s="17">
        <v>-13.771151</v>
      </c>
      <c r="Q625" s="17">
        <v>-7.4553203000000003</v>
      </c>
      <c r="R625" s="17">
        <v>-11.990432</v>
      </c>
      <c r="S625" s="17">
        <f t="shared" si="114"/>
        <v>1.014161564933483</v>
      </c>
      <c r="T625" s="17">
        <f t="shared" si="115"/>
        <v>-23.428497043762263</v>
      </c>
    </row>
    <row r="626" spans="1:20" x14ac:dyDescent="0.35">
      <c r="A626" s="16">
        <v>2.5250000000000004</v>
      </c>
      <c r="B626" s="16">
        <v>16.756799999999998</v>
      </c>
      <c r="C626" s="16">
        <v>-0.10165251</v>
      </c>
      <c r="D626" s="16">
        <v>2.2701977000000002E-2</v>
      </c>
      <c r="E626" s="16">
        <v>0.89837537999999995</v>
      </c>
      <c r="F626" s="16">
        <v>1.9260768000000001E-2</v>
      </c>
      <c r="G626" s="16">
        <f t="shared" si="106"/>
        <v>4.2183180602270101</v>
      </c>
      <c r="H626" s="16">
        <f t="shared" si="107"/>
        <v>0.97487015219483197</v>
      </c>
      <c r="I626" s="16">
        <f t="shared" si="108"/>
        <v>4.2183349653797899</v>
      </c>
      <c r="J626" s="16">
        <f t="shared" si="109"/>
        <v>0.97314960077500501</v>
      </c>
      <c r="K626" s="15">
        <f t="shared" si="110"/>
        <v>-1.6905152779855798E-5</v>
      </c>
      <c r="L626" s="15">
        <f t="shared" si="111"/>
        <v>1.7205514198269699E-3</v>
      </c>
      <c r="M626" s="15">
        <f t="shared" si="112"/>
        <v>0.225081462006779</v>
      </c>
      <c r="N626" s="15">
        <f t="shared" si="113"/>
        <v>-5.19252114143171E-2</v>
      </c>
      <c r="O626" s="16">
        <v>-2.6047014000000002</v>
      </c>
      <c r="P626" s="16">
        <v>-13.570396000000001</v>
      </c>
      <c r="Q626" s="16">
        <v>-7.9030139000000004</v>
      </c>
      <c r="R626" s="16">
        <v>-11.588001</v>
      </c>
      <c r="S626" s="16">
        <f t="shared" si="114"/>
        <v>1.0150725290183242</v>
      </c>
      <c r="T626" s="16">
        <f t="shared" si="115"/>
        <v>-23.428770334144343</v>
      </c>
    </row>
    <row r="627" spans="1:20" x14ac:dyDescent="0.35">
      <c r="A627" s="17">
        <v>2.5250000000000004</v>
      </c>
      <c r="B627" s="17">
        <v>16.805599999999998</v>
      </c>
      <c r="C627" s="17">
        <v>-0.10010134</v>
      </c>
      <c r="D627" s="17">
        <v>2.6662126000000001E-2</v>
      </c>
      <c r="E627" s="17">
        <v>0.89987043</v>
      </c>
      <c r="F627" s="17">
        <v>2.3233289000000001E-2</v>
      </c>
      <c r="G627" s="17">
        <f t="shared" si="106"/>
        <v>4.2022518940630702</v>
      </c>
      <c r="H627" s="17">
        <f t="shared" si="107"/>
        <v>1.1726070415705201</v>
      </c>
      <c r="I627" s="17">
        <f t="shared" si="108"/>
        <v>4.2022407182104597</v>
      </c>
      <c r="J627" s="17">
        <f t="shared" si="109"/>
        <v>1.1708925797108001</v>
      </c>
      <c r="K627" s="15">
        <f t="shared" si="110"/>
        <v>1.1175852610456601E-5</v>
      </c>
      <c r="L627" s="15">
        <f t="shared" si="111"/>
        <v>1.71446185972002E-3</v>
      </c>
      <c r="M627" s="15">
        <f t="shared" si="112"/>
        <v>0.22082402744553301</v>
      </c>
      <c r="N627" s="15">
        <f t="shared" si="113"/>
        <v>-6.1529367900642097E-2</v>
      </c>
      <c r="O627" s="17">
        <v>-3.1263375</v>
      </c>
      <c r="P627" s="17">
        <v>-13.333799000000001</v>
      </c>
      <c r="Q627" s="17">
        <v>-8.3021743000000008</v>
      </c>
      <c r="R627" s="17">
        <v>-11.166867</v>
      </c>
      <c r="S627" s="17">
        <f t="shared" si="114"/>
        <v>1.0160282432582348</v>
      </c>
      <c r="T627" s="17">
        <f t="shared" si="115"/>
        <v>-23.433895509335287</v>
      </c>
    </row>
    <row r="628" spans="1:20" x14ac:dyDescent="0.35">
      <c r="A628" s="16">
        <v>2.5250000000000004</v>
      </c>
      <c r="B628" s="16">
        <v>16.854399999999998</v>
      </c>
      <c r="C628" s="16">
        <v>-9.8324017999999999E-2</v>
      </c>
      <c r="D628" s="16">
        <v>3.0321599000000001E-2</v>
      </c>
      <c r="E628" s="16">
        <v>0.90164763999999997</v>
      </c>
      <c r="F628" s="16">
        <v>2.6880927999999998E-2</v>
      </c>
      <c r="G628" s="16">
        <f t="shared" si="106"/>
        <v>4.1879414149641798</v>
      </c>
      <c r="H628" s="16">
        <f t="shared" si="107"/>
        <v>1.3643273096664299</v>
      </c>
      <c r="I628" s="16">
        <f t="shared" si="108"/>
        <v>4.1879302034346599</v>
      </c>
      <c r="J628" s="16">
        <f t="shared" si="109"/>
        <v>1.36260693049935</v>
      </c>
      <c r="K628" s="15">
        <f t="shared" si="110"/>
        <v>1.12115295198834E-5</v>
      </c>
      <c r="L628" s="15">
        <f t="shared" si="111"/>
        <v>1.7203791670799E-3</v>
      </c>
      <c r="M628" s="15">
        <f t="shared" si="112"/>
        <v>0.215923254383036</v>
      </c>
      <c r="N628" s="15">
        <f t="shared" si="113"/>
        <v>-7.0253922244692596E-2</v>
      </c>
      <c r="O628" s="16">
        <v>-3.6062908</v>
      </c>
      <c r="P628" s="16">
        <v>-13.069103</v>
      </c>
      <c r="Q628" s="16">
        <v>-8.6503730999999995</v>
      </c>
      <c r="R628" s="16">
        <v>-10.734797</v>
      </c>
      <c r="S628" s="16">
        <f t="shared" si="114"/>
        <v>1.0168809225077258</v>
      </c>
      <c r="T628" s="16">
        <f t="shared" si="115"/>
        <v>-23.43643194575726</v>
      </c>
    </row>
    <row r="629" spans="1:20" x14ac:dyDescent="0.35">
      <c r="A629" s="17">
        <v>2.5250000000000004</v>
      </c>
      <c r="B629" s="17">
        <v>16.903200000000002</v>
      </c>
      <c r="C629" s="17">
        <v>-9.6377276999999997E-2</v>
      </c>
      <c r="D629" s="17">
        <v>3.3665573999999997E-2</v>
      </c>
      <c r="E629" s="17">
        <v>0.90363592000000004</v>
      </c>
      <c r="F629" s="17">
        <v>3.0235119000000001E-2</v>
      </c>
      <c r="G629" s="17">
        <f t="shared" si="106"/>
        <v>4.1744927791900297</v>
      </c>
      <c r="H629" s="17">
        <f t="shared" si="107"/>
        <v>1.55062168521991</v>
      </c>
      <c r="I629" s="17">
        <f t="shared" si="108"/>
        <v>4.1745023195849704</v>
      </c>
      <c r="J629" s="17">
        <f t="shared" si="109"/>
        <v>1.5489064854015999</v>
      </c>
      <c r="K629" s="15">
        <f t="shared" si="110"/>
        <v>-9.5403949407213401E-6</v>
      </c>
      <c r="L629" s="15">
        <f t="shared" si="111"/>
        <v>1.7151998183100299E-3</v>
      </c>
      <c r="M629" s="15">
        <f t="shared" si="112"/>
        <v>0.21056141240533799</v>
      </c>
      <c r="N629" s="15">
        <f t="shared" si="113"/>
        <v>-7.8126663319802503E-2</v>
      </c>
      <c r="O629" s="17">
        <v>-4.0423533999999997</v>
      </c>
      <c r="P629" s="17">
        <v>-12.783360999999999</v>
      </c>
      <c r="Q629" s="17">
        <v>-8.9495076999999998</v>
      </c>
      <c r="R629" s="17">
        <v>-10.299777000000001</v>
      </c>
      <c r="S629" s="17">
        <f t="shared" si="114"/>
        <v>1.0177123390993106</v>
      </c>
      <c r="T629" s="17">
        <f t="shared" si="115"/>
        <v>-23.439484198670016</v>
      </c>
    </row>
    <row r="630" spans="1:20" x14ac:dyDescent="0.35">
      <c r="A630" s="16">
        <v>2.5250000000000004</v>
      </c>
      <c r="B630" s="16">
        <v>16.952000000000002</v>
      </c>
      <c r="C630" s="16">
        <v>-9.4306563999999996E-2</v>
      </c>
      <c r="D630" s="16">
        <v>3.6714082000000002E-2</v>
      </c>
      <c r="E630" s="16">
        <v>0.90566537999999996</v>
      </c>
      <c r="F630" s="16">
        <v>3.3198637000000003E-2</v>
      </c>
      <c r="G630" s="16">
        <f t="shared" si="106"/>
        <v>4.1608869856002997</v>
      </c>
      <c r="H630" s="16">
        <f t="shared" si="107"/>
        <v>1.7282583071113899</v>
      </c>
      <c r="I630" s="16">
        <f t="shared" si="108"/>
        <v>4.1608760471123798</v>
      </c>
      <c r="J630" s="16">
        <f t="shared" si="109"/>
        <v>1.7265005407266201</v>
      </c>
      <c r="K630" s="15">
        <f t="shared" si="110"/>
        <v>1.09384879198871E-5</v>
      </c>
      <c r="L630" s="15">
        <f t="shared" si="111"/>
        <v>1.75776638476988E-3</v>
      </c>
      <c r="M630" s="15">
        <f t="shared" si="112"/>
        <v>0.20503295899850901</v>
      </c>
      <c r="N630" s="15">
        <f t="shared" si="113"/>
        <v>-8.5075717365666395E-2</v>
      </c>
      <c r="O630" s="16">
        <v>-4.4385615999999999</v>
      </c>
      <c r="P630" s="16">
        <v>-12.481816999999999</v>
      </c>
      <c r="Q630" s="16">
        <v>-9.2055647999999994</v>
      </c>
      <c r="R630" s="16">
        <v>-9.8658172000000004</v>
      </c>
      <c r="S630" s="16">
        <f t="shared" si="114"/>
        <v>1.0185748260047898</v>
      </c>
      <c r="T630" s="16">
        <f t="shared" si="115"/>
        <v>-23.441710103476236</v>
      </c>
    </row>
    <row r="631" spans="1:20" x14ac:dyDescent="0.35">
      <c r="A631" s="17">
        <v>2.5250000000000004</v>
      </c>
      <c r="B631" s="17">
        <v>17</v>
      </c>
      <c r="C631" s="17">
        <v>-9.5062492999999998E-2</v>
      </c>
      <c r="D631" s="17">
        <v>3.7167013999999998E-2</v>
      </c>
      <c r="E631" s="17">
        <v>0.90491770999999999</v>
      </c>
      <c r="F631" s="17">
        <v>3.3753282000000003E-2</v>
      </c>
      <c r="G631" s="17">
        <f t="shared" si="106"/>
        <v>4.11687963508236</v>
      </c>
      <c r="H631" s="17">
        <f t="shared" si="107"/>
        <v>1.72285821375992</v>
      </c>
      <c r="I631" s="17">
        <f t="shared" si="108"/>
        <v>4.1168726499539599</v>
      </c>
      <c r="J631" s="17">
        <f t="shared" si="109"/>
        <v>1.7211513189415399</v>
      </c>
      <c r="K631" s="15">
        <f t="shared" si="110"/>
        <v>6.98512840013876E-6</v>
      </c>
      <c r="L631" s="15">
        <f t="shared" si="111"/>
        <v>1.70689481838004E-3</v>
      </c>
      <c r="M631" s="15">
        <f t="shared" si="112"/>
        <v>0.20676370743886899</v>
      </c>
      <c r="N631" s="15">
        <f t="shared" si="113"/>
        <v>-8.6442223995350495E-2</v>
      </c>
      <c r="O631" s="17">
        <v>-4.5873578000000004</v>
      </c>
      <c r="P631" s="17">
        <v>-12.89189</v>
      </c>
      <c r="Q631" s="17">
        <v>-9.2528486000000001</v>
      </c>
      <c r="R631" s="17">
        <v>-9.9401550000000007</v>
      </c>
      <c r="S631" s="17">
        <f t="shared" si="114"/>
        <v>0.9924336692321587</v>
      </c>
      <c r="T631" s="17">
        <f t="shared" si="115"/>
        <v>-23.361871107674478</v>
      </c>
    </row>
    <row r="632" spans="1:20" x14ac:dyDescent="0.35">
      <c r="A632" s="16">
        <v>2.6625000000000001</v>
      </c>
      <c r="B632" s="16">
        <v>15</v>
      </c>
      <c r="C632" s="16">
        <v>-2.2651105000000001E-2</v>
      </c>
      <c r="D632" s="16">
        <v>-4.0555676999999998E-2</v>
      </c>
      <c r="E632" s="16">
        <v>0.97733323999999999</v>
      </c>
      <c r="F632" s="16">
        <v>-4.3748535999999998E-2</v>
      </c>
      <c r="G632" s="16">
        <f t="shared" si="106"/>
        <v>4.4468767895067796</v>
      </c>
      <c r="H632" s="16">
        <f t="shared" si="107"/>
        <v>-9.2018050313563204</v>
      </c>
      <c r="I632" s="16">
        <f t="shared" si="108"/>
        <v>4.4468715105860204</v>
      </c>
      <c r="J632" s="16">
        <f t="shared" si="109"/>
        <v>-9.2034014817799701</v>
      </c>
      <c r="K632" s="15">
        <f t="shared" si="110"/>
        <v>5.2789207591885699E-6</v>
      </c>
      <c r="L632" s="15">
        <f t="shared" si="111"/>
        <v>1.59645042364964E-3</v>
      </c>
      <c r="M632" s="15">
        <f t="shared" si="112"/>
        <v>4.2563054342549499E-2</v>
      </c>
      <c r="N632" s="15">
        <f t="shared" si="113"/>
        <v>8.8089992362670996E-2</v>
      </c>
      <c r="O632" s="16">
        <v>6.1409884000000003</v>
      </c>
      <c r="P632" s="16">
        <v>-3.1799618000000001</v>
      </c>
      <c r="Q632" s="16">
        <v>4.2452836999999999</v>
      </c>
      <c r="R632" s="16">
        <v>-5.1741365000000004</v>
      </c>
      <c r="S632" s="16">
        <f t="shared" si="114"/>
        <v>0.9678053990801655</v>
      </c>
      <c r="T632" s="16">
        <f t="shared" si="115"/>
        <v>-23.255468939979913</v>
      </c>
    </row>
    <row r="633" spans="1:20" x14ac:dyDescent="0.35">
      <c r="A633" s="17">
        <v>2.6625000000000001</v>
      </c>
      <c r="B633" s="17">
        <v>15.0488</v>
      </c>
      <c r="C633" s="17">
        <v>-2.4179791999999999E-2</v>
      </c>
      <c r="D633" s="17">
        <v>-4.1675833000000002E-2</v>
      </c>
      <c r="E633" s="17">
        <v>0.97580595999999997</v>
      </c>
      <c r="F633" s="17">
        <v>-4.4932358999999998E-2</v>
      </c>
      <c r="G633" s="17">
        <f t="shared" si="106"/>
        <v>4.4155392583648698</v>
      </c>
      <c r="H633" s="17">
        <f t="shared" si="107"/>
        <v>-8.7999311500900106</v>
      </c>
      <c r="I633" s="17">
        <f t="shared" si="108"/>
        <v>4.4155347856041498</v>
      </c>
      <c r="J633" s="17">
        <f t="shared" si="109"/>
        <v>-8.8015594319727093</v>
      </c>
      <c r="K633" s="15">
        <f t="shared" si="110"/>
        <v>4.47276072002012E-6</v>
      </c>
      <c r="L633" s="15">
        <f t="shared" si="111"/>
        <v>1.6282818826987E-3</v>
      </c>
      <c r="M633" s="15">
        <f t="shared" si="112"/>
        <v>4.5537691908953799E-2</v>
      </c>
      <c r="N633" s="15">
        <f t="shared" si="113"/>
        <v>9.0771043869532206E-2</v>
      </c>
      <c r="O633" s="17">
        <v>6.2598529999999997</v>
      </c>
      <c r="P633" s="17">
        <v>-3.3748277</v>
      </c>
      <c r="Q633" s="17">
        <v>4.2931679000000003</v>
      </c>
      <c r="R633" s="17">
        <v>-5.4129934999999998</v>
      </c>
      <c r="S633" s="17">
        <f t="shared" si="114"/>
        <v>0.97148245153460444</v>
      </c>
      <c r="T633" s="17">
        <f t="shared" si="115"/>
        <v>-23.251161761420718</v>
      </c>
    </row>
    <row r="634" spans="1:20" x14ac:dyDescent="0.35">
      <c r="A634" s="16">
        <v>2.6625000000000001</v>
      </c>
      <c r="B634" s="16">
        <v>15.0976</v>
      </c>
      <c r="C634" s="16">
        <v>-2.5777860999999999E-2</v>
      </c>
      <c r="D634" s="16">
        <v>-4.2759987999999999E-2</v>
      </c>
      <c r="E634" s="16">
        <v>0.97420514000000002</v>
      </c>
      <c r="F634" s="16">
        <v>-4.6026030000000002E-2</v>
      </c>
      <c r="G634" s="16">
        <f t="shared" si="106"/>
        <v>4.3917961531223701</v>
      </c>
      <c r="H634" s="16">
        <f t="shared" si="107"/>
        <v>-8.4207449922652895</v>
      </c>
      <c r="I634" s="16">
        <f t="shared" si="108"/>
        <v>4.3917903203686102</v>
      </c>
      <c r="J634" s="16">
        <f t="shared" si="109"/>
        <v>-8.42237803667037</v>
      </c>
      <c r="K634" s="15">
        <f t="shared" si="110"/>
        <v>5.8327537599822702E-6</v>
      </c>
      <c r="L634" s="15">
        <f t="shared" si="111"/>
        <v>1.6330444050804999E-3</v>
      </c>
      <c r="M634" s="15">
        <f t="shared" si="112"/>
        <v>4.8676371946746698E-2</v>
      </c>
      <c r="N634" s="15">
        <f t="shared" si="113"/>
        <v>9.3349357797816696E-2</v>
      </c>
      <c r="O634" s="16">
        <v>6.3889712000000003</v>
      </c>
      <c r="P634" s="16">
        <v>-3.585906</v>
      </c>
      <c r="Q634" s="16">
        <v>4.3344909999999999</v>
      </c>
      <c r="R634" s="16">
        <v>-5.6608969</v>
      </c>
      <c r="S634" s="16">
        <f t="shared" si="114"/>
        <v>0.97314698295681268</v>
      </c>
      <c r="T634" s="16">
        <f t="shared" si="115"/>
        <v>-23.255114806203533</v>
      </c>
    </row>
    <row r="635" spans="1:20" x14ac:dyDescent="0.35">
      <c r="A635" s="17">
        <v>2.6625000000000001</v>
      </c>
      <c r="B635" s="17">
        <v>15.1464</v>
      </c>
      <c r="C635" s="17">
        <v>-2.7479109000000002E-2</v>
      </c>
      <c r="D635" s="17">
        <v>-4.3824157000000002E-2</v>
      </c>
      <c r="E635" s="17">
        <v>0.97250323999999999</v>
      </c>
      <c r="F635" s="17">
        <v>-4.7098584999999998E-2</v>
      </c>
      <c r="G635" s="17">
        <f t="shared" si="106"/>
        <v>4.3697391878011</v>
      </c>
      <c r="H635" s="17">
        <f t="shared" si="107"/>
        <v>-8.0530742699613693</v>
      </c>
      <c r="I635" s="17">
        <f t="shared" si="108"/>
        <v>4.3697330427566898</v>
      </c>
      <c r="J635" s="17">
        <f t="shared" si="109"/>
        <v>-8.0547115084715806</v>
      </c>
      <c r="K635" s="15">
        <f t="shared" si="110"/>
        <v>6.1450444102106897E-6</v>
      </c>
      <c r="L635" s="15">
        <f t="shared" si="111"/>
        <v>1.63723851021125E-3</v>
      </c>
      <c r="M635" s="15">
        <f t="shared" si="112"/>
        <v>5.2037392241018401E-2</v>
      </c>
      <c r="N635" s="15">
        <f t="shared" si="113"/>
        <v>9.5920317798214694E-2</v>
      </c>
      <c r="O635" s="17">
        <v>6.5174116</v>
      </c>
      <c r="P635" s="17">
        <v>-3.8112108999999998</v>
      </c>
      <c r="Q635" s="17">
        <v>4.3683297000000003</v>
      </c>
      <c r="R635" s="17">
        <v>-5.9202674999999996</v>
      </c>
      <c r="S635" s="17">
        <f t="shared" si="114"/>
        <v>0.97449932238518067</v>
      </c>
      <c r="T635" s="17">
        <f t="shared" si="115"/>
        <v>-23.25988767635177</v>
      </c>
    </row>
    <row r="636" spans="1:20" x14ac:dyDescent="0.35">
      <c r="A636" s="16">
        <v>2.6625000000000001</v>
      </c>
      <c r="B636" s="16">
        <v>15.1952</v>
      </c>
      <c r="C636" s="16">
        <v>-2.9298313999999999E-2</v>
      </c>
      <c r="D636" s="16">
        <v>-4.487186E-2</v>
      </c>
      <c r="E636" s="16">
        <v>0.97068330000000003</v>
      </c>
      <c r="F636" s="16">
        <v>-4.8154666999999998E-2</v>
      </c>
      <c r="G636" s="16">
        <f t="shared" si="106"/>
        <v>4.3483645945896798</v>
      </c>
      <c r="H636" s="16">
        <f t="shared" si="107"/>
        <v>-7.6939009412172297</v>
      </c>
      <c r="I636" s="16">
        <f t="shared" si="108"/>
        <v>4.34835809577765</v>
      </c>
      <c r="J636" s="16">
        <f t="shared" si="109"/>
        <v>-7.6955423704740502</v>
      </c>
      <c r="K636" s="15">
        <f t="shared" si="110"/>
        <v>6.4988120298536998E-6</v>
      </c>
      <c r="L636" s="15">
        <f t="shared" si="111"/>
        <v>1.6414292568205399E-3</v>
      </c>
      <c r="M636" s="15">
        <f t="shared" si="112"/>
        <v>5.5655713381810898E-2</v>
      </c>
      <c r="N636" s="15">
        <f t="shared" si="113"/>
        <v>9.8497154800699205E-2</v>
      </c>
      <c r="O636" s="16">
        <v>6.642817</v>
      </c>
      <c r="P636" s="16">
        <v>-4.0514083000000003</v>
      </c>
      <c r="Q636" s="16">
        <v>4.3938423000000002</v>
      </c>
      <c r="R636" s="16">
        <v>-6.1927139999999996</v>
      </c>
      <c r="S636" s="16">
        <f t="shared" si="114"/>
        <v>0.97587917982391936</v>
      </c>
      <c r="T636" s="16">
        <f t="shared" si="115"/>
        <v>-23.264884424991962</v>
      </c>
    </row>
    <row r="637" spans="1:20" x14ac:dyDescent="0.35">
      <c r="A637" s="17">
        <v>2.6625000000000001</v>
      </c>
      <c r="B637" s="17">
        <v>15.244</v>
      </c>
      <c r="C637" s="17">
        <v>-3.1246434999999999E-2</v>
      </c>
      <c r="D637" s="17">
        <v>-4.5898081E-2</v>
      </c>
      <c r="E637" s="17">
        <v>0.96873397000000006</v>
      </c>
      <c r="F637" s="17">
        <v>-4.9189442E-2</v>
      </c>
      <c r="G637" s="17">
        <f t="shared" si="106"/>
        <v>4.3274276929505602</v>
      </c>
      <c r="H637" s="17">
        <f t="shared" si="107"/>
        <v>-7.3421575375927004</v>
      </c>
      <c r="I637" s="17">
        <f t="shared" si="108"/>
        <v>4.3274206036911496</v>
      </c>
      <c r="J637" s="17">
        <f t="shared" si="109"/>
        <v>-7.3438032458831897</v>
      </c>
      <c r="K637" s="15">
        <f t="shared" si="110"/>
        <v>7.0892594106197697E-6</v>
      </c>
      <c r="L637" s="15">
        <f t="shared" si="111"/>
        <v>1.6457082904892701E-3</v>
      </c>
      <c r="M637" s="15">
        <f t="shared" si="112"/>
        <v>5.9558750566578299E-2</v>
      </c>
      <c r="N637" s="15">
        <f t="shared" si="113"/>
        <v>0.101073546065411</v>
      </c>
      <c r="O637" s="17">
        <v>6.7646056999999997</v>
      </c>
      <c r="P637" s="17">
        <v>-4.3079948000000003</v>
      </c>
      <c r="Q637" s="17">
        <v>4.4097746000000004</v>
      </c>
      <c r="R637" s="17">
        <v>-6.4791318999999996</v>
      </c>
      <c r="S637" s="17">
        <f t="shared" si="114"/>
        <v>0.97724813107594433</v>
      </c>
      <c r="T637" s="17">
        <f t="shared" si="115"/>
        <v>-23.269573728361856</v>
      </c>
    </row>
    <row r="638" spans="1:20" x14ac:dyDescent="0.35">
      <c r="A638" s="16">
        <v>2.6625000000000001</v>
      </c>
      <c r="B638" s="16">
        <v>15.2928</v>
      </c>
      <c r="C638" s="16">
        <v>-3.3333090000000003E-2</v>
      </c>
      <c r="D638" s="16">
        <v>-4.6894259000000001E-2</v>
      </c>
      <c r="E638" s="16">
        <v>0.96664561999999998</v>
      </c>
      <c r="F638" s="16">
        <v>-5.0194427E-2</v>
      </c>
      <c r="G638" s="16">
        <f t="shared" si="106"/>
        <v>4.3068514594628402</v>
      </c>
      <c r="H638" s="16">
        <f t="shared" si="107"/>
        <v>-6.9973487737723596</v>
      </c>
      <c r="I638" s="16">
        <f t="shared" si="108"/>
        <v>4.3068435372062597</v>
      </c>
      <c r="J638" s="16">
        <f t="shared" si="109"/>
        <v>-6.9989988884102097</v>
      </c>
      <c r="K638" s="15">
        <f t="shared" si="110"/>
        <v>7.9222565805281403E-6</v>
      </c>
      <c r="L638" s="15">
        <f t="shared" si="111"/>
        <v>1.65011463785003E-3</v>
      </c>
      <c r="M638" s="15">
        <f t="shared" si="112"/>
        <v>6.3772129458426294E-2</v>
      </c>
      <c r="N638" s="15">
        <f t="shared" si="113"/>
        <v>0.103635309556801</v>
      </c>
      <c r="O638" s="16">
        <v>6.8793670999999996</v>
      </c>
      <c r="P638" s="16">
        <v>-4.5806516999999998</v>
      </c>
      <c r="Q638" s="16">
        <v>4.4147879999999997</v>
      </c>
      <c r="R638" s="16">
        <v>-6.7805901000000004</v>
      </c>
      <c r="S638" s="16">
        <f t="shared" si="114"/>
        <v>0.9789813693879541</v>
      </c>
      <c r="T638" s="16">
        <f t="shared" si="115"/>
        <v>-23.274364289691626</v>
      </c>
    </row>
    <row r="639" spans="1:20" x14ac:dyDescent="0.35">
      <c r="A639" s="17">
        <v>2.6625000000000001</v>
      </c>
      <c r="B639" s="17">
        <v>15.3416</v>
      </c>
      <c r="C639" s="17">
        <v>-3.5567232999999997E-2</v>
      </c>
      <c r="D639" s="17">
        <v>-4.7849452000000001E-2</v>
      </c>
      <c r="E639" s="17">
        <v>0.96440934</v>
      </c>
      <c r="F639" s="17">
        <v>-5.1158726000000002E-2</v>
      </c>
      <c r="G639" s="17">
        <f t="shared" si="106"/>
        <v>4.2866035491911596</v>
      </c>
      <c r="H639" s="17">
        <f t="shared" si="107"/>
        <v>-6.6591850944681497</v>
      </c>
      <c r="I639" s="17">
        <f t="shared" si="108"/>
        <v>4.2865945734662798</v>
      </c>
      <c r="J639" s="17">
        <f t="shared" si="109"/>
        <v>-6.6608397657017298</v>
      </c>
      <c r="K639" s="15">
        <f t="shared" si="110"/>
        <v>8.9757248797894801E-6</v>
      </c>
      <c r="L639" s="15">
        <f t="shared" si="111"/>
        <v>1.6546712335801001E-3</v>
      </c>
      <c r="M639" s="15">
        <f t="shared" si="112"/>
        <v>6.8321323448490498E-2</v>
      </c>
      <c r="N639" s="15">
        <f t="shared" si="113"/>
        <v>0.106162917969423</v>
      </c>
      <c r="O639" s="17">
        <v>6.9898964000000001</v>
      </c>
      <c r="P639" s="17">
        <v>-4.8732277000000002</v>
      </c>
      <c r="Q639" s="17">
        <v>4.4068918999999998</v>
      </c>
      <c r="R639" s="17">
        <v>-7.0974975000000002</v>
      </c>
      <c r="S639" s="17">
        <f t="shared" si="114"/>
        <v>0.98044543599623801</v>
      </c>
      <c r="T639" s="17">
        <f t="shared" si="115"/>
        <v>-23.28002741911035</v>
      </c>
    </row>
    <row r="640" spans="1:20" x14ac:dyDescent="0.35">
      <c r="A640" s="16">
        <v>2.6625000000000001</v>
      </c>
      <c r="B640" s="16">
        <v>15.3904</v>
      </c>
      <c r="C640" s="16">
        <v>-3.7957269000000002E-2</v>
      </c>
      <c r="D640" s="16">
        <v>-4.8750553000000002E-2</v>
      </c>
      <c r="E640" s="16">
        <v>0.96201681000000006</v>
      </c>
      <c r="F640" s="16">
        <v>-5.2069254000000002E-2</v>
      </c>
      <c r="G640" s="16">
        <f t="shared" si="106"/>
        <v>4.2666651964525197</v>
      </c>
      <c r="H640" s="16">
        <f t="shared" si="107"/>
        <v>-6.3274669332823796</v>
      </c>
      <c r="I640" s="16">
        <f t="shared" si="108"/>
        <v>4.2666549893280896</v>
      </c>
      <c r="J640" s="16">
        <f t="shared" si="109"/>
        <v>-6.3291263222260801</v>
      </c>
      <c r="K640" s="15">
        <f t="shared" si="110"/>
        <v>1.02071244301172E-5</v>
      </c>
      <c r="L640" s="15">
        <f t="shared" si="111"/>
        <v>1.65938894370043E-3</v>
      </c>
      <c r="M640" s="15">
        <f t="shared" si="112"/>
        <v>7.3231977206598797E-2</v>
      </c>
      <c r="N640" s="15">
        <f t="shared" si="113"/>
        <v>0.10863180541343399</v>
      </c>
      <c r="O640" s="16">
        <v>7.0929023999999998</v>
      </c>
      <c r="P640" s="16">
        <v>-5.1857702000000003</v>
      </c>
      <c r="Q640" s="16">
        <v>4.3839112</v>
      </c>
      <c r="R640" s="16">
        <v>-7.4295533999999996</v>
      </c>
      <c r="S640" s="16">
        <f t="shared" si="114"/>
        <v>0.98180016924412317</v>
      </c>
      <c r="T640" s="16">
        <f t="shared" si="115"/>
        <v>-23.285356294875236</v>
      </c>
    </row>
    <row r="641" spans="1:20" x14ac:dyDescent="0.35">
      <c r="A641" s="17">
        <v>2.6625000000000001</v>
      </c>
      <c r="B641" s="17">
        <v>15.4392</v>
      </c>
      <c r="C641" s="17">
        <v>-4.0510920999999998E-2</v>
      </c>
      <c r="D641" s="17">
        <v>-4.9582222000000002E-2</v>
      </c>
      <c r="E641" s="17">
        <v>0.95946038</v>
      </c>
      <c r="F641" s="17">
        <v>-5.2910690000000003E-2</v>
      </c>
      <c r="G641" s="17">
        <f t="shared" si="106"/>
        <v>4.2470247503884098</v>
      </c>
      <c r="H641" s="17">
        <f t="shared" si="107"/>
        <v>-6.0020370658811899</v>
      </c>
      <c r="I641" s="17">
        <f t="shared" si="108"/>
        <v>4.2470131704688603</v>
      </c>
      <c r="J641" s="17">
        <f t="shared" si="109"/>
        <v>-6.0037013430344297</v>
      </c>
      <c r="K641" s="15">
        <f t="shared" si="110"/>
        <v>1.15799195494759E-5</v>
      </c>
      <c r="L641" s="15">
        <f t="shared" si="111"/>
        <v>1.6642771532398E-3</v>
      </c>
      <c r="M641" s="15">
        <f t="shared" si="112"/>
        <v>7.8529796512100597E-2</v>
      </c>
      <c r="N641" s="15">
        <f t="shared" si="113"/>
        <v>0.111012004404938</v>
      </c>
      <c r="O641" s="17">
        <v>7.1851662000000003</v>
      </c>
      <c r="P641" s="17">
        <v>-5.5182612999999998</v>
      </c>
      <c r="Q641" s="17">
        <v>4.3437305999999998</v>
      </c>
      <c r="R641" s="17">
        <v>-7.7767635000000004</v>
      </c>
      <c r="S641" s="17">
        <f t="shared" si="114"/>
        <v>0.98321780744047282</v>
      </c>
      <c r="T641" s="17">
        <f t="shared" si="115"/>
        <v>-23.289817549127683</v>
      </c>
    </row>
    <row r="642" spans="1:20" x14ac:dyDescent="0.35">
      <c r="A642" s="16">
        <v>2.6625000000000001</v>
      </c>
      <c r="B642" s="16">
        <v>15.488</v>
      </c>
      <c r="C642" s="16">
        <v>-4.3234951000000001E-2</v>
      </c>
      <c r="D642" s="16">
        <v>-5.0326768000000001E-2</v>
      </c>
      <c r="E642" s="16">
        <v>0.95673337999999997</v>
      </c>
      <c r="F642" s="16">
        <v>-5.3665361000000002E-2</v>
      </c>
      <c r="G642" s="16">
        <f t="shared" si="106"/>
        <v>4.2276731468312301</v>
      </c>
      <c r="H642" s="16">
        <f t="shared" si="107"/>
        <v>-5.6827628811084496</v>
      </c>
      <c r="I642" s="16">
        <f t="shared" si="108"/>
        <v>4.2276600987559201</v>
      </c>
      <c r="J642" s="16">
        <f t="shared" si="109"/>
        <v>-5.6844322258228104</v>
      </c>
      <c r="K642" s="15">
        <f t="shared" si="110"/>
        <v>1.3048075309996E-5</v>
      </c>
      <c r="L642" s="15">
        <f t="shared" si="111"/>
        <v>1.6693447143607499E-3</v>
      </c>
      <c r="M642" s="15">
        <f t="shared" si="112"/>
        <v>8.4240031838297605E-2</v>
      </c>
      <c r="N642" s="15">
        <f t="shared" si="113"/>
        <v>0.113267561842749</v>
      </c>
      <c r="O642" s="16">
        <v>7.2655634999999998</v>
      </c>
      <c r="P642" s="16">
        <v>-5.8723587000000004</v>
      </c>
      <c r="Q642" s="16">
        <v>4.2836803999999997</v>
      </c>
      <c r="R642" s="16">
        <v>-8.1387462999999993</v>
      </c>
      <c r="S642" s="16">
        <f t="shared" si="114"/>
        <v>0.98450346477802253</v>
      </c>
      <c r="T642" s="16">
        <f t="shared" si="115"/>
        <v>-23.294025421150099</v>
      </c>
    </row>
    <row r="643" spans="1:20" x14ac:dyDescent="0.35">
      <c r="A643" s="17">
        <v>2.6625000000000001</v>
      </c>
      <c r="B643" s="17">
        <v>15.536799999999999</v>
      </c>
      <c r="C643" s="17">
        <v>-4.6134768999999999E-2</v>
      </c>
      <c r="D643" s="17">
        <v>-5.0964016000000001E-2</v>
      </c>
      <c r="E643" s="17">
        <v>0.95383050000000003</v>
      </c>
      <c r="F643" s="17">
        <v>-5.4313109999999998E-2</v>
      </c>
      <c r="G643" s="17">
        <f t="shared" si="106"/>
        <v>4.2086036541854899</v>
      </c>
      <c r="H643" s="17">
        <f t="shared" si="107"/>
        <v>-5.3695263791158601</v>
      </c>
      <c r="I643" s="17">
        <f t="shared" si="108"/>
        <v>4.2085890926298104</v>
      </c>
      <c r="J643" s="17">
        <f t="shared" si="109"/>
        <v>-5.3712009795801503</v>
      </c>
      <c r="K643" s="15">
        <f t="shared" si="110"/>
        <v>1.4561555679470901E-5</v>
      </c>
      <c r="L643" s="15">
        <f t="shared" si="111"/>
        <v>1.67460046429024E-3</v>
      </c>
      <c r="M643" s="15">
        <f t="shared" si="112"/>
        <v>9.0386733685186002E-2</v>
      </c>
      <c r="N643" s="15">
        <f t="shared" si="113"/>
        <v>0.115355835845584</v>
      </c>
      <c r="O643" s="17">
        <v>7.3339103999999997</v>
      </c>
      <c r="P643" s="17">
        <v>-6.2507552999999998</v>
      </c>
      <c r="Q643" s="17">
        <v>4.2017030000000002</v>
      </c>
      <c r="R643" s="17">
        <v>-8.5166977999999993</v>
      </c>
      <c r="S643" s="17">
        <f t="shared" si="114"/>
        <v>0.98551983240131991</v>
      </c>
      <c r="T643" s="17">
        <f t="shared" si="115"/>
        <v>-23.299383541570638</v>
      </c>
    </row>
    <row r="644" spans="1:20" x14ac:dyDescent="0.35">
      <c r="A644" s="16">
        <v>2.6625000000000001</v>
      </c>
      <c r="B644" s="16">
        <v>15.585599999999999</v>
      </c>
      <c r="C644" s="16">
        <v>-4.9213934000000001E-2</v>
      </c>
      <c r="D644" s="16">
        <v>-5.1471213000000002E-2</v>
      </c>
      <c r="E644" s="16">
        <v>0.95074826999999995</v>
      </c>
      <c r="F644" s="16">
        <v>-5.4831208999999999E-2</v>
      </c>
      <c r="G644" s="16">
        <f t="shared" si="106"/>
        <v>4.1898112804927896</v>
      </c>
      <c r="H644" s="16">
        <f t="shared" si="107"/>
        <v>-5.0622187388934101</v>
      </c>
      <c r="I644" s="16">
        <f t="shared" si="108"/>
        <v>4.1897952046809701</v>
      </c>
      <c r="J644" s="16">
        <f t="shared" si="109"/>
        <v>-5.0638987956504398</v>
      </c>
      <c r="K644" s="15">
        <f t="shared" si="110"/>
        <v>1.60758118195048E-5</v>
      </c>
      <c r="L644" s="15">
        <f t="shared" si="111"/>
        <v>1.68005675702965E-3</v>
      </c>
      <c r="M644" s="15">
        <f t="shared" si="112"/>
        <v>9.6991714380242997E-2</v>
      </c>
      <c r="N644" s="15">
        <f t="shared" si="113"/>
        <v>0.117226785951124</v>
      </c>
      <c r="O644" s="16">
        <v>7.3816253999999999</v>
      </c>
      <c r="P644" s="16">
        <v>-6.6490736999999998</v>
      </c>
      <c r="Q644" s="16">
        <v>4.0945011999999998</v>
      </c>
      <c r="R644" s="16">
        <v>-8.9084023999999999</v>
      </c>
      <c r="S644" s="16">
        <f t="shared" si="114"/>
        <v>0.98687414784625793</v>
      </c>
      <c r="T644" s="16">
        <f t="shared" si="115"/>
        <v>-23.304164525054443</v>
      </c>
    </row>
    <row r="645" spans="1:20" x14ac:dyDescent="0.35">
      <c r="A645" s="17">
        <v>2.6625000000000001</v>
      </c>
      <c r="B645" s="17">
        <v>15.634399999999999</v>
      </c>
      <c r="C645" s="17">
        <v>-5.2473561000000002E-2</v>
      </c>
      <c r="D645" s="17">
        <v>-5.1823004999999998E-2</v>
      </c>
      <c r="E645" s="17">
        <v>0.94748568</v>
      </c>
      <c r="F645" s="17">
        <v>-5.5194337000000003E-2</v>
      </c>
      <c r="G645" s="17">
        <f t="shared" si="106"/>
        <v>4.1712925311440801</v>
      </c>
      <c r="H645" s="17">
        <f t="shared" si="107"/>
        <v>-4.7607388259549204</v>
      </c>
      <c r="I645" s="17">
        <f t="shared" si="108"/>
        <v>4.1712749928642801</v>
      </c>
      <c r="J645" s="17">
        <f t="shared" si="109"/>
        <v>-4.7624245558729399</v>
      </c>
      <c r="K645" s="15">
        <f t="shared" si="110"/>
        <v>1.7538279800000101E-5</v>
      </c>
      <c r="L645" s="15">
        <f t="shared" si="111"/>
        <v>1.68572991801952E-3</v>
      </c>
      <c r="M645" s="15">
        <f t="shared" si="112"/>
        <v>0.104073149053374</v>
      </c>
      <c r="N645" s="15">
        <f t="shared" si="113"/>
        <v>0.11882230768930301</v>
      </c>
      <c r="O645" s="17">
        <v>7.4045765000000001</v>
      </c>
      <c r="P645" s="17">
        <v>-7.0660474000000004</v>
      </c>
      <c r="Q645" s="17">
        <v>3.9588456999999999</v>
      </c>
      <c r="R645" s="17">
        <v>-9.3120805999999998</v>
      </c>
      <c r="S645" s="17">
        <f t="shared" si="114"/>
        <v>0.98862590547351925</v>
      </c>
      <c r="T645" s="17">
        <f t="shared" si="115"/>
        <v>-23.308341006131272</v>
      </c>
    </row>
    <row r="646" spans="1:20" x14ac:dyDescent="0.35">
      <c r="A646" s="16">
        <v>2.6625000000000001</v>
      </c>
      <c r="B646" s="16">
        <v>15.683199999999999</v>
      </c>
      <c r="C646" s="16">
        <v>-5.5918859000000001E-2</v>
      </c>
      <c r="D646" s="16">
        <v>-5.1989313000000002E-2</v>
      </c>
      <c r="E646" s="16">
        <v>0.94411146999999995</v>
      </c>
      <c r="F646" s="16">
        <v>-5.5386556000000003E-2</v>
      </c>
      <c r="G646" s="16">
        <f t="shared" si="106"/>
        <v>4.1527252508194898</v>
      </c>
      <c r="H646" s="16">
        <f t="shared" si="107"/>
        <v>-4.4674724494187803</v>
      </c>
      <c r="I646" s="16">
        <f t="shared" si="108"/>
        <v>4.1527433002649499</v>
      </c>
      <c r="J646" s="16">
        <f t="shared" si="109"/>
        <v>-4.4691710145017103</v>
      </c>
      <c r="K646" s="15">
        <f t="shared" si="110"/>
        <v>-1.8049445460022201E-5</v>
      </c>
      <c r="L646" s="15">
        <f t="shared" si="111"/>
        <v>1.6985650829299799E-3</v>
      </c>
      <c r="M646" s="15">
        <f t="shared" si="112"/>
        <v>0.111576596797785</v>
      </c>
      <c r="N646" s="15">
        <f t="shared" si="113"/>
        <v>0.12007842918525399</v>
      </c>
      <c r="O646" s="16">
        <v>7.4056626000000003</v>
      </c>
      <c r="P646" s="16">
        <v>-7.5084926999999997</v>
      </c>
      <c r="Q646" s="16">
        <v>3.7906073</v>
      </c>
      <c r="R646" s="16">
        <v>-9.7273905999999997</v>
      </c>
      <c r="S646" s="16">
        <f t="shared" si="114"/>
        <v>0.9899220483702752</v>
      </c>
      <c r="T646" s="16">
        <f t="shared" si="115"/>
        <v>-23.314902664365476</v>
      </c>
    </row>
    <row r="647" spans="1:20" x14ac:dyDescent="0.35">
      <c r="A647" s="17">
        <v>2.6625000000000001</v>
      </c>
      <c r="B647" s="17">
        <v>15.731999999999999</v>
      </c>
      <c r="C647" s="17">
        <v>-5.9530022000000002E-2</v>
      </c>
      <c r="D647" s="17">
        <v>-5.1943779000000002E-2</v>
      </c>
      <c r="E647" s="17">
        <v>0.94050036999999997</v>
      </c>
      <c r="F647" s="17">
        <v>-5.5354243999999997E-2</v>
      </c>
      <c r="G647" s="17">
        <f t="shared" si="106"/>
        <v>4.1349352731150502</v>
      </c>
      <c r="H647" s="17">
        <f t="shared" si="107"/>
        <v>-4.1772690348961001</v>
      </c>
      <c r="I647" s="17">
        <f t="shared" si="108"/>
        <v>4.1349533765610103</v>
      </c>
      <c r="J647" s="17">
        <f t="shared" si="109"/>
        <v>-4.1789742106136698</v>
      </c>
      <c r="K647" s="15">
        <f t="shared" si="110"/>
        <v>-1.8103445960093699E-5</v>
      </c>
      <c r="L647" s="15">
        <f t="shared" si="111"/>
        <v>1.7051757175696701E-3</v>
      </c>
      <c r="M647" s="15">
        <f t="shared" si="112"/>
        <v>0.11963987820033101</v>
      </c>
      <c r="N647" s="15">
        <f t="shared" si="113"/>
        <v>0.120913567827448</v>
      </c>
      <c r="O647" s="17">
        <v>7.3837669000000004</v>
      </c>
      <c r="P647" s="17">
        <v>-7.9764115999999996</v>
      </c>
      <c r="Q647" s="17">
        <v>3.589013</v>
      </c>
      <c r="R647" s="17">
        <v>-10.151659</v>
      </c>
      <c r="S647" s="17">
        <f t="shared" si="114"/>
        <v>0.99062004257512737</v>
      </c>
      <c r="T647" s="17">
        <f t="shared" si="115"/>
        <v>-23.319926029150267</v>
      </c>
    </row>
    <row r="648" spans="1:20" x14ac:dyDescent="0.35">
      <c r="A648" s="16">
        <v>2.6625000000000001</v>
      </c>
      <c r="B648" s="16">
        <v>15.780799999999999</v>
      </c>
      <c r="C648" s="16">
        <v>-6.3303105999999998E-2</v>
      </c>
      <c r="D648" s="16">
        <v>-5.1652710999999997E-2</v>
      </c>
      <c r="E648" s="16">
        <v>0.93672686999999999</v>
      </c>
      <c r="F648" s="16">
        <v>-5.5076416000000003E-2</v>
      </c>
      <c r="G648" s="16">
        <f t="shared" si="106"/>
        <v>4.1174299122969096</v>
      </c>
      <c r="H648" s="16">
        <f t="shared" si="107"/>
        <v>-3.89257019268056</v>
      </c>
      <c r="I648" s="16">
        <f t="shared" si="108"/>
        <v>4.1174478303709199</v>
      </c>
      <c r="J648" s="16">
        <f t="shared" si="109"/>
        <v>-3.8942819888510698</v>
      </c>
      <c r="K648" s="15">
        <f t="shared" si="110"/>
        <v>-1.7918074010303501E-5</v>
      </c>
      <c r="L648" s="15">
        <f t="shared" si="111"/>
        <v>1.71179617050976E-3</v>
      </c>
      <c r="M648" s="15">
        <f t="shared" si="112"/>
        <v>0.12819428797322699</v>
      </c>
      <c r="N648" s="15">
        <f t="shared" si="113"/>
        <v>0.121246152299822</v>
      </c>
      <c r="O648" s="16">
        <v>7.3190755000000003</v>
      </c>
      <c r="P648" s="16">
        <v>-8.4523525999999993</v>
      </c>
      <c r="Q648" s="16">
        <v>3.3494291</v>
      </c>
      <c r="R648" s="16">
        <v>-10.580475</v>
      </c>
      <c r="S648" s="16">
        <f t="shared" si="114"/>
        <v>0.99258918082069525</v>
      </c>
      <c r="T648" s="16">
        <f t="shared" si="115"/>
        <v>-23.323931082634342</v>
      </c>
    </row>
    <row r="649" spans="1:20" x14ac:dyDescent="0.35">
      <c r="A649" s="17">
        <v>2.6625000000000001</v>
      </c>
      <c r="B649" s="17">
        <v>15.829599999999999</v>
      </c>
      <c r="C649" s="17">
        <v>-6.7221856999999996E-2</v>
      </c>
      <c r="D649" s="17">
        <v>-5.1082916999999999E-2</v>
      </c>
      <c r="E649" s="17">
        <v>0.93280741</v>
      </c>
      <c r="F649" s="17">
        <v>-5.4520218000000002E-2</v>
      </c>
      <c r="G649" s="17">
        <f t="shared" si="106"/>
        <v>4.1001905562837599</v>
      </c>
      <c r="H649" s="17">
        <f t="shared" si="107"/>
        <v>-3.6133018569836701</v>
      </c>
      <c r="I649" s="17">
        <f t="shared" si="108"/>
        <v>4.1002081431907698</v>
      </c>
      <c r="J649" s="17">
        <f t="shared" si="109"/>
        <v>-3.61502045210886</v>
      </c>
      <c r="K649" s="15">
        <f t="shared" si="110"/>
        <v>-1.7586907009814501E-5</v>
      </c>
      <c r="L649" s="15">
        <f t="shared" si="111"/>
        <v>1.7185951251899E-3</v>
      </c>
      <c r="M649" s="15">
        <f t="shared" si="112"/>
        <v>0.13722212879580201</v>
      </c>
      <c r="N649" s="15">
        <f t="shared" si="113"/>
        <v>0.120984297566101</v>
      </c>
      <c r="O649" s="17">
        <v>7.2290441999999997</v>
      </c>
      <c r="P649" s="17">
        <v>-8.9583863000000008</v>
      </c>
      <c r="Q649" s="17">
        <v>3.0691291000000001</v>
      </c>
      <c r="R649" s="17">
        <v>-11.01193</v>
      </c>
      <c r="S649" s="17">
        <f t="shared" si="114"/>
        <v>0.99307243101616482</v>
      </c>
      <c r="T649" s="17">
        <f t="shared" si="115"/>
        <v>-23.328426013524656</v>
      </c>
    </row>
    <row r="650" spans="1:20" x14ac:dyDescent="0.35">
      <c r="A650" s="16">
        <v>2.6625000000000001</v>
      </c>
      <c r="B650" s="16">
        <v>15.878399999999999</v>
      </c>
      <c r="C650" s="16">
        <v>-7.1263631999999993E-2</v>
      </c>
      <c r="D650" s="16">
        <v>-5.0200973000000003E-2</v>
      </c>
      <c r="E650" s="16">
        <v>0.92876453999999997</v>
      </c>
      <c r="F650" s="16">
        <v>-5.3652967000000003E-2</v>
      </c>
      <c r="G650" s="16">
        <f t="shared" si="106"/>
        <v>4.0831890192852303</v>
      </c>
      <c r="H650" s="16">
        <f t="shared" si="107"/>
        <v>-3.3393907581212599</v>
      </c>
      <c r="I650" s="16">
        <f t="shared" si="108"/>
        <v>4.0832060840177098</v>
      </c>
      <c r="J650" s="16">
        <f t="shared" si="109"/>
        <v>-3.34111670135596</v>
      </c>
      <c r="K650" s="15">
        <f t="shared" si="110"/>
        <v>-1.7064732479532599E-5</v>
      </c>
      <c r="L650" s="15">
        <f t="shared" si="111"/>
        <v>1.7259432347001E-3</v>
      </c>
      <c r="M650" s="15">
        <f t="shared" si="112"/>
        <v>0.146689896459337</v>
      </c>
      <c r="N650" s="15">
        <f t="shared" si="113"/>
        <v>0.120030204916383</v>
      </c>
      <c r="O650" s="16">
        <v>7.0922561999999996</v>
      </c>
      <c r="P650" s="16">
        <v>-9.4713986999999999</v>
      </c>
      <c r="Q650" s="16">
        <v>2.7451914999999998</v>
      </c>
      <c r="R650" s="16">
        <v>-11.440375</v>
      </c>
      <c r="S650" s="16">
        <f t="shared" si="114"/>
        <v>0.99430826711061027</v>
      </c>
      <c r="T650" s="16">
        <f t="shared" si="115"/>
        <v>-23.332778880105316</v>
      </c>
    </row>
    <row r="651" spans="1:20" x14ac:dyDescent="0.35">
      <c r="A651" s="17">
        <v>2.6625000000000001</v>
      </c>
      <c r="B651" s="17">
        <v>15.927199999999999</v>
      </c>
      <c r="C651" s="17">
        <v>-7.5398719000000003E-2</v>
      </c>
      <c r="D651" s="17">
        <v>-4.8974470999999999E-2</v>
      </c>
      <c r="E651" s="17">
        <v>0.92462750999999999</v>
      </c>
      <c r="F651" s="17">
        <v>-5.2442754000000001E-2</v>
      </c>
      <c r="G651" s="17">
        <f t="shared" si="106"/>
        <v>4.0664071874483403</v>
      </c>
      <c r="H651" s="17">
        <f t="shared" si="107"/>
        <v>-3.07076158806934</v>
      </c>
      <c r="I651" s="17">
        <f t="shared" si="108"/>
        <v>4.06642330889572</v>
      </c>
      <c r="J651" s="17">
        <f t="shared" si="109"/>
        <v>-3.0724956788707298</v>
      </c>
      <c r="K651" s="15">
        <f t="shared" si="110"/>
        <v>-1.6121447379724399E-5</v>
      </c>
      <c r="L651" s="15">
        <f t="shared" si="111"/>
        <v>1.7340908013898601E-3</v>
      </c>
      <c r="M651" s="15">
        <f t="shared" si="112"/>
        <v>0.15654522985036001</v>
      </c>
      <c r="N651" s="15">
        <f t="shared" si="113"/>
        <v>0.118281965679975</v>
      </c>
      <c r="O651" s="17">
        <v>6.9072119000000001</v>
      </c>
      <c r="P651" s="17">
        <v>-9.9892351999999995</v>
      </c>
      <c r="Q651" s="17">
        <v>2.3755856</v>
      </c>
      <c r="R651" s="17">
        <v>-11.860799999999999</v>
      </c>
      <c r="S651" s="17">
        <f t="shared" si="114"/>
        <v>0.99601763964360723</v>
      </c>
      <c r="T651" s="17">
        <f t="shared" si="115"/>
        <v>-23.336679309273443</v>
      </c>
    </row>
    <row r="652" spans="1:20" x14ac:dyDescent="0.35">
      <c r="A652" s="16">
        <v>2.6625000000000001</v>
      </c>
      <c r="B652" s="16">
        <v>15.976000000000001</v>
      </c>
      <c r="C652" s="16">
        <v>-7.9589908000000001E-2</v>
      </c>
      <c r="D652" s="16">
        <v>-4.7373565999999999E-2</v>
      </c>
      <c r="E652" s="16">
        <v>0.92043341000000001</v>
      </c>
      <c r="F652" s="16">
        <v>-5.0859339000000003E-2</v>
      </c>
      <c r="G652" s="16">
        <f t="shared" si="106"/>
        <v>4.0498568079316897</v>
      </c>
      <c r="H652" s="16">
        <f t="shared" si="107"/>
        <v>-2.8073480305639502</v>
      </c>
      <c r="I652" s="16">
        <f t="shared" si="108"/>
        <v>4.0498715043336402</v>
      </c>
      <c r="J652" s="16">
        <f t="shared" si="109"/>
        <v>-2.8090908711300102</v>
      </c>
      <c r="K652" s="15">
        <f t="shared" si="110"/>
        <v>-1.4696401950509101E-5</v>
      </c>
      <c r="L652" s="15">
        <f t="shared" si="111"/>
        <v>1.7428405660599999E-3</v>
      </c>
      <c r="M652" s="15">
        <f t="shared" si="112"/>
        <v>0.166713171526683</v>
      </c>
      <c r="N652" s="15">
        <f t="shared" si="113"/>
        <v>0.11563637210010499</v>
      </c>
      <c r="O652" s="16">
        <v>6.6805453999999997</v>
      </c>
      <c r="P652" s="16">
        <v>-10.521729000000001</v>
      </c>
      <c r="Q652" s="16">
        <v>1.9586886999999999</v>
      </c>
      <c r="R652" s="16">
        <v>-12.267429</v>
      </c>
      <c r="S652" s="16">
        <f t="shared" si="114"/>
        <v>0.99674306987728312</v>
      </c>
      <c r="T652" s="16">
        <f t="shared" si="115"/>
        <v>-23.341022057511267</v>
      </c>
    </row>
    <row r="653" spans="1:20" x14ac:dyDescent="0.35">
      <c r="A653" s="17">
        <v>2.6625000000000001</v>
      </c>
      <c r="B653" s="17">
        <v>16.024799999999999</v>
      </c>
      <c r="C653" s="17">
        <v>-8.3790747999999998E-2</v>
      </c>
      <c r="D653" s="17">
        <v>-4.5373980000000001E-2</v>
      </c>
      <c r="E653" s="17">
        <v>0.91622988999999999</v>
      </c>
      <c r="F653" s="17">
        <v>-4.8877943E-2</v>
      </c>
      <c r="G653" s="17">
        <f t="shared" si="106"/>
        <v>4.0335581929954101</v>
      </c>
      <c r="H653" s="17">
        <f t="shared" si="107"/>
        <v>-2.5492256095599299</v>
      </c>
      <c r="I653" s="17">
        <f t="shared" si="108"/>
        <v>4.0335715812236703</v>
      </c>
      <c r="J653" s="17">
        <f t="shared" si="109"/>
        <v>-2.5509775495257299</v>
      </c>
      <c r="K653" s="15">
        <f t="shared" si="110"/>
        <v>-1.33882282602471E-5</v>
      </c>
      <c r="L653" s="15">
        <f t="shared" si="111"/>
        <v>1.75193996579992E-3</v>
      </c>
      <c r="M653" s="15">
        <f t="shared" si="112"/>
        <v>0.17708822999731599</v>
      </c>
      <c r="N653" s="15">
        <f t="shared" si="113"/>
        <v>0.111997045276522</v>
      </c>
      <c r="O653" s="17">
        <v>6.3977589000000004</v>
      </c>
      <c r="P653" s="17">
        <v>-11.045453</v>
      </c>
      <c r="Q653" s="17">
        <v>1.4943607999999999</v>
      </c>
      <c r="R653" s="17">
        <v>-12.653188999999999</v>
      </c>
      <c r="S653" s="17">
        <f t="shared" si="114"/>
        <v>0.9981661434144149</v>
      </c>
      <c r="T653" s="17">
        <f t="shared" si="115"/>
        <v>-23.344807380186467</v>
      </c>
    </row>
    <row r="654" spans="1:20" x14ac:dyDescent="0.35">
      <c r="A654" s="16">
        <v>2.6625000000000001</v>
      </c>
      <c r="B654" s="16">
        <v>16.073599999999999</v>
      </c>
      <c r="C654" s="16">
        <v>-8.7961633999999997E-2</v>
      </c>
      <c r="D654" s="16">
        <v>-4.2947262999999999E-2</v>
      </c>
      <c r="E654" s="16">
        <v>0.91215316999999996</v>
      </c>
      <c r="F654" s="16">
        <v>-4.6447163E-2</v>
      </c>
      <c r="G654" s="16">
        <f t="shared" si="106"/>
        <v>4.0194699507003397</v>
      </c>
      <c r="H654" s="16">
        <f t="shared" si="107"/>
        <v>-2.2971835679161901</v>
      </c>
      <c r="I654" s="16">
        <f t="shared" si="108"/>
        <v>4.0195304111938803</v>
      </c>
      <c r="J654" s="16">
        <f t="shared" si="109"/>
        <v>-2.2989333116745598</v>
      </c>
      <c r="K654" s="15">
        <f t="shared" si="110"/>
        <v>-6.0460493540581701E-5</v>
      </c>
      <c r="L654" s="15">
        <f t="shared" si="111"/>
        <v>1.74974375836978E-3</v>
      </c>
      <c r="M654" s="15">
        <f t="shared" si="112"/>
        <v>0.187463066408767</v>
      </c>
      <c r="N654" s="15">
        <f t="shared" si="113"/>
        <v>0.107217770233953</v>
      </c>
      <c r="O654" s="16">
        <v>6.0634468999999998</v>
      </c>
      <c r="P654" s="16">
        <v>-11.567588000000001</v>
      </c>
      <c r="Q654" s="16">
        <v>0.98184108000000003</v>
      </c>
      <c r="R654" s="16">
        <v>-13.012873000000001</v>
      </c>
      <c r="S654" s="16">
        <f t="shared" si="114"/>
        <v>0.99919180101727323</v>
      </c>
      <c r="T654" s="16">
        <f t="shared" si="115"/>
        <v>-23.347551664928137</v>
      </c>
    </row>
    <row r="655" spans="1:20" x14ac:dyDescent="0.35">
      <c r="A655" s="17">
        <v>2.6625000000000001</v>
      </c>
      <c r="B655" s="17">
        <v>16.122399999999999</v>
      </c>
      <c r="C655" s="17">
        <v>-9.2030286000000003E-2</v>
      </c>
      <c r="D655" s="17">
        <v>-4.0091186000000001E-2</v>
      </c>
      <c r="E655" s="17">
        <v>0.90805186999999998</v>
      </c>
      <c r="F655" s="17">
        <v>-4.3585803999999999E-2</v>
      </c>
      <c r="G655" s="17">
        <f t="shared" si="106"/>
        <v>4.0037449721873202</v>
      </c>
      <c r="H655" s="17">
        <f t="shared" si="107"/>
        <v>-2.0475279524957801</v>
      </c>
      <c r="I655" s="17">
        <f t="shared" si="108"/>
        <v>4.0037891012031803</v>
      </c>
      <c r="J655" s="17">
        <f t="shared" si="109"/>
        <v>-2.0492751126189002</v>
      </c>
      <c r="K655" s="15">
        <f t="shared" si="110"/>
        <v>-4.4129015860150403E-5</v>
      </c>
      <c r="L655" s="15">
        <f t="shared" si="111"/>
        <v>1.74716012312004E-3</v>
      </c>
      <c r="M655" s="15">
        <f t="shared" si="112"/>
        <v>0.19791486255064999</v>
      </c>
      <c r="N655" s="15">
        <f t="shared" si="113"/>
        <v>0.101299542006485</v>
      </c>
      <c r="O655" s="17">
        <v>5.6729627000000002</v>
      </c>
      <c r="P655" s="17">
        <v>-12.070754000000001</v>
      </c>
      <c r="Q655" s="17">
        <v>0.4239964</v>
      </c>
      <c r="R655" s="17">
        <v>-13.335903999999999</v>
      </c>
      <c r="S655" s="17">
        <f t="shared" si="114"/>
        <v>1.0003948402285241</v>
      </c>
      <c r="T655" s="17">
        <f t="shared" si="115"/>
        <v>-23.351364821798914</v>
      </c>
    </row>
    <row r="656" spans="1:20" x14ac:dyDescent="0.35">
      <c r="A656" s="16">
        <v>2.6625000000000001</v>
      </c>
      <c r="B656" s="16">
        <v>16.171199999999999</v>
      </c>
      <c r="C656" s="16">
        <v>-9.5933895000000005E-2</v>
      </c>
      <c r="D656" s="16">
        <v>-3.6807803E-2</v>
      </c>
      <c r="E656" s="16">
        <v>0.90418228</v>
      </c>
      <c r="F656" s="16">
        <v>-4.0338335000000003E-2</v>
      </c>
      <c r="G656" s="16">
        <f t="shared" si="106"/>
        <v>3.9885152639506898</v>
      </c>
      <c r="H656" s="16">
        <f t="shared" si="107"/>
        <v>-1.8049639504423101</v>
      </c>
      <c r="I656" s="16">
        <f t="shared" si="108"/>
        <v>3.9885764636881098</v>
      </c>
      <c r="J656" s="16">
        <f t="shared" si="109"/>
        <v>-1.8067290058808401</v>
      </c>
      <c r="K656" s="15">
        <f t="shared" si="110"/>
        <v>-6.1199737420025699E-5</v>
      </c>
      <c r="L656" s="15">
        <f t="shared" si="111"/>
        <v>1.76505543853001E-3</v>
      </c>
      <c r="M656" s="15">
        <f t="shared" si="112"/>
        <v>0.20803077174083801</v>
      </c>
      <c r="N656" s="15">
        <f t="shared" si="113"/>
        <v>9.4232925667020295E-2</v>
      </c>
      <c r="O656" s="16">
        <v>5.2294757000000001</v>
      </c>
      <c r="P656" s="16">
        <v>-12.552407000000001</v>
      </c>
      <c r="Q656" s="16">
        <v>-0.17536677000000001</v>
      </c>
      <c r="R656" s="16">
        <v>-13.61632</v>
      </c>
      <c r="S656" s="16">
        <f t="shared" si="114"/>
        <v>1.0014174835486176</v>
      </c>
      <c r="T656" s="16">
        <f t="shared" si="115"/>
        <v>-23.355046915928188</v>
      </c>
    </row>
    <row r="657" spans="1:20" x14ac:dyDescent="0.35">
      <c r="A657" s="17">
        <v>2.6625000000000001</v>
      </c>
      <c r="B657" s="17">
        <v>16.22</v>
      </c>
      <c r="C657" s="17">
        <v>-9.9608486999999996E-2</v>
      </c>
      <c r="D657" s="17">
        <v>-3.3107121000000003E-2</v>
      </c>
      <c r="E657" s="17">
        <v>0.90051223999999996</v>
      </c>
      <c r="F657" s="17">
        <v>-3.6659315999999997E-2</v>
      </c>
      <c r="G657" s="17">
        <f t="shared" si="106"/>
        <v>3.97337057087335</v>
      </c>
      <c r="H657" s="17">
        <f t="shared" si="107"/>
        <v>-1.56666216015597</v>
      </c>
      <c r="I657" s="17">
        <f t="shared" si="108"/>
        <v>3.9734340846710099</v>
      </c>
      <c r="J657" s="17">
        <f t="shared" si="109"/>
        <v>-1.56843803765109</v>
      </c>
      <c r="K657" s="15">
        <f t="shared" si="110"/>
        <v>-6.3513797659897606E-5</v>
      </c>
      <c r="L657" s="15">
        <f t="shared" si="111"/>
        <v>1.7758774951199801E-3</v>
      </c>
      <c r="M657" s="15">
        <f t="shared" si="112"/>
        <v>0.217744174467419</v>
      </c>
      <c r="N657" s="15">
        <f t="shared" si="113"/>
        <v>8.5950399184717599E-2</v>
      </c>
      <c r="O657" s="17">
        <v>4.7334016999999999</v>
      </c>
      <c r="P657" s="17">
        <v>-13.000871999999999</v>
      </c>
      <c r="Q657" s="17">
        <v>-0.81121213999999997</v>
      </c>
      <c r="R657" s="17">
        <v>-13.846527999999999</v>
      </c>
      <c r="S657" s="17">
        <f t="shared" si="114"/>
        <v>1.0024955789046024</v>
      </c>
      <c r="T657" s="17">
        <f t="shared" si="115"/>
        <v>-23.358621016734723</v>
      </c>
    </row>
    <row r="658" spans="1:20" x14ac:dyDescent="0.35">
      <c r="A658" s="16">
        <v>2.6625000000000001</v>
      </c>
      <c r="B658" s="16">
        <v>16.268799999999999</v>
      </c>
      <c r="C658" s="16">
        <v>-0.10299187</v>
      </c>
      <c r="D658" s="16">
        <v>-2.9010179000000001E-2</v>
      </c>
      <c r="E658" s="16">
        <v>0.89712091999999999</v>
      </c>
      <c r="F658" s="16">
        <v>-3.2562649999999999E-2</v>
      </c>
      <c r="G658" s="16">
        <f t="shared" si="106"/>
        <v>3.9585546375080201</v>
      </c>
      <c r="H658" s="16">
        <f t="shared" si="107"/>
        <v>-1.33260588272164</v>
      </c>
      <c r="I658" s="16">
        <f t="shared" si="108"/>
        <v>3.9586141837966902</v>
      </c>
      <c r="J658" s="16">
        <f t="shared" si="109"/>
        <v>-1.33438191229422</v>
      </c>
      <c r="K658" s="15">
        <f t="shared" si="110"/>
        <v>-5.9546288670109201E-5</v>
      </c>
      <c r="L658" s="15">
        <f t="shared" si="111"/>
        <v>1.77602957257994E-3</v>
      </c>
      <c r="M658" s="15">
        <f t="shared" si="112"/>
        <v>0.22683906430054901</v>
      </c>
      <c r="N658" s="15">
        <f t="shared" si="113"/>
        <v>7.6463613363323704E-2</v>
      </c>
      <c r="O658" s="16">
        <v>4.1881801000000003</v>
      </c>
      <c r="P658" s="16">
        <v>-13.408944</v>
      </c>
      <c r="Q658" s="16">
        <v>-1.4775966</v>
      </c>
      <c r="R658" s="16">
        <v>-14.020473000000001</v>
      </c>
      <c r="S658" s="16">
        <f t="shared" si="114"/>
        <v>1.003582108059639</v>
      </c>
      <c r="T658" s="16">
        <f t="shared" si="115"/>
        <v>-23.361900051703667</v>
      </c>
    </row>
    <row r="659" spans="1:20" x14ac:dyDescent="0.35">
      <c r="A659" s="17">
        <v>2.6625000000000001</v>
      </c>
      <c r="B659" s="17">
        <v>16.317599999999999</v>
      </c>
      <c r="C659" s="17">
        <v>-0.10601946</v>
      </c>
      <c r="D659" s="17">
        <v>-2.4562101999999999E-2</v>
      </c>
      <c r="E659" s="17">
        <v>0.89409590000000005</v>
      </c>
      <c r="F659" s="17">
        <v>-2.8135480000000001E-2</v>
      </c>
      <c r="G659" s="17">
        <f t="shared" si="106"/>
        <v>3.9438707238377901</v>
      </c>
      <c r="H659" s="17">
        <f t="shared" si="107"/>
        <v>-1.1041412638140999</v>
      </c>
      <c r="I659" s="17">
        <f t="shared" si="108"/>
        <v>3.9439315922060598</v>
      </c>
      <c r="J659" s="17">
        <f t="shared" si="109"/>
        <v>-1.1059277410172501</v>
      </c>
      <c r="K659" s="15">
        <f t="shared" si="110"/>
        <v>-6.0868368269684198E-5</v>
      </c>
      <c r="L659" s="15">
        <f t="shared" si="111"/>
        <v>1.7864772031501699E-3</v>
      </c>
      <c r="M659" s="15">
        <f t="shared" si="112"/>
        <v>0.235070244409535</v>
      </c>
      <c r="N659" s="15">
        <f t="shared" si="113"/>
        <v>6.59166363062582E-2</v>
      </c>
      <c r="O659" s="17">
        <v>3.5999978000000001</v>
      </c>
      <c r="P659" s="17">
        <v>-13.768775</v>
      </c>
      <c r="Q659" s="17">
        <v>-2.1659160000000002</v>
      </c>
      <c r="R659" s="17">
        <v>-14.133175</v>
      </c>
      <c r="S659" s="17">
        <f t="shared" si="114"/>
        <v>1.0046762553058661</v>
      </c>
      <c r="T659" s="17">
        <f t="shared" si="115"/>
        <v>-23.365416823528374</v>
      </c>
    </row>
    <row r="660" spans="1:20" x14ac:dyDescent="0.35">
      <c r="A660" s="16">
        <v>2.6625000000000001</v>
      </c>
      <c r="B660" s="16">
        <v>16.366399999999999</v>
      </c>
      <c r="C660" s="16">
        <v>-0.10863924</v>
      </c>
      <c r="D660" s="16">
        <v>-1.9810288999999998E-2</v>
      </c>
      <c r="E660" s="16">
        <v>0.89147841999999999</v>
      </c>
      <c r="F660" s="16">
        <v>-2.3407407000000002E-2</v>
      </c>
      <c r="G660" s="16">
        <f t="shared" si="106"/>
        <v>3.92941869499949</v>
      </c>
      <c r="H660" s="16">
        <f t="shared" si="107"/>
        <v>-0.88061625026345203</v>
      </c>
      <c r="I660" s="16">
        <f t="shared" si="108"/>
        <v>3.9294807557718898</v>
      </c>
      <c r="J660" s="16">
        <f t="shared" si="109"/>
        <v>-0.88241459184705495</v>
      </c>
      <c r="K660" s="15">
        <f t="shared" si="110"/>
        <v>-6.2060772399785704E-5</v>
      </c>
      <c r="L660" s="15">
        <f t="shared" si="111"/>
        <v>1.7983415836029201E-3</v>
      </c>
      <c r="M660" s="15">
        <f t="shared" si="112"/>
        <v>0.24226930104730099</v>
      </c>
      <c r="N660" s="15">
        <f t="shared" si="113"/>
        <v>5.4404635036501503E-2</v>
      </c>
      <c r="O660" s="16">
        <v>2.9753278000000001</v>
      </c>
      <c r="P660" s="16">
        <v>-14.073708999999999</v>
      </c>
      <c r="Q660" s="16">
        <v>-2.8676442999999998</v>
      </c>
      <c r="R660" s="16">
        <v>-14.18149</v>
      </c>
      <c r="S660" s="16">
        <f t="shared" si="114"/>
        <v>1.0058214474880292</v>
      </c>
      <c r="T660" s="16">
        <f t="shared" si="115"/>
        <v>-23.368805675160704</v>
      </c>
    </row>
    <row r="661" spans="1:20" x14ac:dyDescent="0.35">
      <c r="A661" s="17">
        <v>2.6625000000000001</v>
      </c>
      <c r="B661" s="17">
        <v>16.415199999999999</v>
      </c>
      <c r="C661" s="17">
        <v>-0.11081162</v>
      </c>
      <c r="D661" s="17">
        <v>-1.4806651000000001E-2</v>
      </c>
      <c r="E661" s="17">
        <v>0.88914210000000005</v>
      </c>
      <c r="F661" s="17">
        <v>-1.8370372999999999E-2</v>
      </c>
      <c r="G661" s="17">
        <f t="shared" si="106"/>
        <v>3.91238942434024</v>
      </c>
      <c r="H661" s="17">
        <f t="shared" si="107"/>
        <v>-0.65950482495148</v>
      </c>
      <c r="I661" s="17">
        <f t="shared" si="108"/>
        <v>3.9123694590437399</v>
      </c>
      <c r="J661" s="17">
        <f t="shared" si="109"/>
        <v>-0.66128676276090503</v>
      </c>
      <c r="K661" s="15">
        <f t="shared" si="110"/>
        <v>1.9965296500057399E-5</v>
      </c>
      <c r="L661" s="15">
        <f t="shared" si="111"/>
        <v>1.7819378094250399E-3</v>
      </c>
      <c r="M661" s="15">
        <f t="shared" si="112"/>
        <v>0.24850010288587199</v>
      </c>
      <c r="N661" s="15">
        <f t="shared" si="113"/>
        <v>4.2002635564821103E-2</v>
      </c>
      <c r="O661" s="17">
        <v>2.3214000000000001</v>
      </c>
      <c r="P661" s="17">
        <v>-14.318023999999999</v>
      </c>
      <c r="Q661" s="17">
        <v>-3.574112</v>
      </c>
      <c r="R661" s="17">
        <v>-14.161391999999999</v>
      </c>
      <c r="S661" s="17">
        <f t="shared" si="114"/>
        <v>1.0069262612803631</v>
      </c>
      <c r="T661" s="17">
        <f t="shared" si="115"/>
        <v>-23.374045931519397</v>
      </c>
    </row>
    <row r="662" spans="1:20" x14ac:dyDescent="0.35">
      <c r="A662" s="16">
        <v>2.6625000000000001</v>
      </c>
      <c r="B662" s="16">
        <v>16.463999999999999</v>
      </c>
      <c r="C662" s="16">
        <v>-0.11249628</v>
      </c>
      <c r="D662" s="16">
        <v>-9.6374236000000002E-3</v>
      </c>
      <c r="E662" s="16">
        <v>0.88745070999999998</v>
      </c>
      <c r="F662" s="16">
        <v>-1.3210032E-2</v>
      </c>
      <c r="G662" s="16">
        <f t="shared" si="106"/>
        <v>3.8982235083418302</v>
      </c>
      <c r="H662" s="16">
        <f t="shared" si="107"/>
        <v>-0.44562947872693398</v>
      </c>
      <c r="I662" s="16">
        <f t="shared" si="108"/>
        <v>3.8982001937655499</v>
      </c>
      <c r="J662" s="16">
        <f t="shared" si="109"/>
        <v>-0.44741587192221199</v>
      </c>
      <c r="K662" s="15">
        <f t="shared" si="110"/>
        <v>2.3314576280242199E-5</v>
      </c>
      <c r="L662" s="15">
        <f t="shared" si="111"/>
        <v>1.78639319527801E-3</v>
      </c>
      <c r="M662" s="15">
        <f t="shared" si="112"/>
        <v>0.25319325150600702</v>
      </c>
      <c r="N662" s="15">
        <f t="shared" si="113"/>
        <v>2.9060251848674799E-2</v>
      </c>
      <c r="O662" s="16">
        <v>1.6494408</v>
      </c>
      <c r="P662" s="16">
        <v>-14.500559000000001</v>
      </c>
      <c r="Q662" s="16">
        <v>-4.2734078999999996</v>
      </c>
      <c r="R662" s="16">
        <v>-14.076155</v>
      </c>
      <c r="S662" s="16">
        <f t="shared" si="114"/>
        <v>1.0079810595075811</v>
      </c>
      <c r="T662" s="16">
        <f t="shared" si="115"/>
        <v>-23.377379890646225</v>
      </c>
    </row>
    <row r="663" spans="1:20" x14ac:dyDescent="0.35">
      <c r="A663" s="17">
        <v>2.6625000000000001</v>
      </c>
      <c r="B663" s="17">
        <v>16.512799999999999</v>
      </c>
      <c r="C663" s="17">
        <v>-0.11368049</v>
      </c>
      <c r="D663" s="17">
        <v>-4.3699376000000002E-3</v>
      </c>
      <c r="E663" s="17">
        <v>0.88625936999999999</v>
      </c>
      <c r="F663" s="17">
        <v>-7.9505571000000001E-3</v>
      </c>
      <c r="G663" s="17">
        <f t="shared" si="106"/>
        <v>3.8842750133898001</v>
      </c>
      <c r="H663" s="17">
        <f t="shared" si="107"/>
        <v>-0.236621307875271</v>
      </c>
      <c r="I663" s="17">
        <f t="shared" si="108"/>
        <v>3.8842481479734401</v>
      </c>
      <c r="J663" s="17">
        <f t="shared" si="109"/>
        <v>-0.238411719560367</v>
      </c>
      <c r="K663" s="15">
        <f t="shared" si="110"/>
        <v>2.68654163599891E-5</v>
      </c>
      <c r="L663" s="15">
        <f t="shared" si="111"/>
        <v>1.7904116850959999E-3</v>
      </c>
      <c r="M663" s="15">
        <f t="shared" si="112"/>
        <v>0.25648380487214101</v>
      </c>
      <c r="N663" s="15">
        <f t="shared" si="113"/>
        <v>1.5742749337695199E-2</v>
      </c>
      <c r="O663" s="17">
        <v>0.9682269</v>
      </c>
      <c r="P663" s="17">
        <v>-14.619986000000001</v>
      </c>
      <c r="Q663" s="17">
        <v>-4.9567164000000004</v>
      </c>
      <c r="R663" s="17">
        <v>-13.926462000000001</v>
      </c>
      <c r="S663" s="17">
        <f t="shared" si="114"/>
        <v>1.0088898253835603</v>
      </c>
      <c r="T663" s="17">
        <f t="shared" si="115"/>
        <v>-23.380649929941139</v>
      </c>
    </row>
    <row r="664" spans="1:20" x14ac:dyDescent="0.35">
      <c r="A664" s="16">
        <v>2.6625000000000001</v>
      </c>
      <c r="B664" s="16">
        <v>16.561599999999999</v>
      </c>
      <c r="C664" s="16">
        <v>-0.11436272</v>
      </c>
      <c r="D664" s="16">
        <v>9.2164318999999998E-4</v>
      </c>
      <c r="E664" s="16">
        <v>0.88558364000000001</v>
      </c>
      <c r="F664" s="16">
        <v>-2.7449328000000001E-3</v>
      </c>
      <c r="G664" s="16">
        <f t="shared" si="106"/>
        <v>3.87076314935379</v>
      </c>
      <c r="H664" s="16">
        <f t="shared" si="107"/>
        <v>-3.3916676893965103E-2</v>
      </c>
      <c r="I664" s="16">
        <f t="shared" si="108"/>
        <v>3.87073968983848</v>
      </c>
      <c r="J664" s="16">
        <f t="shared" si="109"/>
        <v>-3.5750057068269302E-2</v>
      </c>
      <c r="K664" s="15">
        <f t="shared" si="110"/>
        <v>2.34595153099093E-5</v>
      </c>
      <c r="L664" s="15">
        <f t="shared" si="111"/>
        <v>1.8333801743042001E-3</v>
      </c>
      <c r="M664" s="15">
        <f t="shared" si="112"/>
        <v>0.25832651745013302</v>
      </c>
      <c r="N664" s="15">
        <f t="shared" si="113"/>
        <v>2.3858973945816799E-3</v>
      </c>
      <c r="O664" s="16">
        <v>0.28638001000000002</v>
      </c>
      <c r="P664" s="16">
        <v>-14.674379999999999</v>
      </c>
      <c r="Q664" s="16">
        <v>-5.6161254999999999</v>
      </c>
      <c r="R664" s="16">
        <v>-13.716165999999999</v>
      </c>
      <c r="S664" s="16">
        <f t="shared" si="114"/>
        <v>1.0098269465045175</v>
      </c>
      <c r="T664" s="16">
        <f t="shared" si="115"/>
        <v>-23.384816337103295</v>
      </c>
    </row>
    <row r="665" spans="1:20" x14ac:dyDescent="0.35">
      <c r="A665" s="17">
        <v>2.6625000000000001</v>
      </c>
      <c r="B665" s="17">
        <v>16.610399999999998</v>
      </c>
      <c r="C665" s="17">
        <v>-0.11455397</v>
      </c>
      <c r="D665" s="17">
        <v>6.1603155000000001E-3</v>
      </c>
      <c r="E665" s="17">
        <v>0.88536886000000004</v>
      </c>
      <c r="F665" s="17">
        <v>2.5660543E-3</v>
      </c>
      <c r="G665" s="17">
        <f t="shared" si="106"/>
        <v>3.8569863502473098</v>
      </c>
      <c r="H665" s="17">
        <f t="shared" si="107"/>
        <v>0.166793003498975</v>
      </c>
      <c r="I665" s="17">
        <f t="shared" si="108"/>
        <v>3.8569509938002899</v>
      </c>
      <c r="J665" s="17">
        <f t="shared" si="109"/>
        <v>0.16499574001141101</v>
      </c>
      <c r="K665" s="15">
        <f t="shared" si="110"/>
        <v>3.5356447019907498E-5</v>
      </c>
      <c r="L665" s="15">
        <f t="shared" si="111"/>
        <v>1.79726348756398E-3</v>
      </c>
      <c r="M665" s="15">
        <f t="shared" si="112"/>
        <v>0.25879854803567198</v>
      </c>
      <c r="N665" s="15">
        <f t="shared" si="113"/>
        <v>-1.1071091651323001E-2</v>
      </c>
      <c r="O665" s="17">
        <v>-0.38427105</v>
      </c>
      <c r="P665" s="17">
        <v>-14.664002</v>
      </c>
      <c r="Q665" s="17">
        <v>-6.2403740000000001</v>
      </c>
      <c r="R665" s="17">
        <v>-13.451114</v>
      </c>
      <c r="S665" s="17">
        <f t="shared" si="114"/>
        <v>1.01084854165242</v>
      </c>
      <c r="T665" s="17">
        <f t="shared" si="115"/>
        <v>-23.38689943881915</v>
      </c>
    </row>
    <row r="666" spans="1:20" x14ac:dyDescent="0.35">
      <c r="A666" s="16">
        <v>2.6625000000000001</v>
      </c>
      <c r="B666" s="16">
        <v>16.659199999999998</v>
      </c>
      <c r="C666" s="16">
        <v>-0.11428202</v>
      </c>
      <c r="D666" s="16">
        <v>1.1279393E-2</v>
      </c>
      <c r="E666" s="16">
        <v>0.88564600999999998</v>
      </c>
      <c r="F666" s="16">
        <v>7.5810340000000004E-3</v>
      </c>
      <c r="G666" s="16">
        <f t="shared" si="106"/>
        <v>3.8442191797468901</v>
      </c>
      <c r="H666" s="16">
        <f t="shared" si="107"/>
        <v>0.35928255836025003</v>
      </c>
      <c r="I666" s="16">
        <f t="shared" si="108"/>
        <v>3.84418661327422</v>
      </c>
      <c r="J666" s="16">
        <f t="shared" si="109"/>
        <v>0.35743325209171001</v>
      </c>
      <c r="K666" s="15">
        <f t="shared" si="110"/>
        <v>3.2566472670136897E-5</v>
      </c>
      <c r="L666" s="15">
        <f t="shared" si="111"/>
        <v>1.8493062685400201E-3</v>
      </c>
      <c r="M666" s="15">
        <f t="shared" si="112"/>
        <v>0.25790339608038698</v>
      </c>
      <c r="N666" s="15">
        <f t="shared" si="113"/>
        <v>-2.3979910150093799E-2</v>
      </c>
      <c r="O666" s="16">
        <v>-1.0380891999999999</v>
      </c>
      <c r="P666" s="16">
        <v>-14.595625</v>
      </c>
      <c r="Q666" s="16">
        <v>-6.8272824999999999</v>
      </c>
      <c r="R666" s="16">
        <v>-13.137786</v>
      </c>
      <c r="S666" s="16">
        <f t="shared" si="114"/>
        <v>1.0118473194880502</v>
      </c>
      <c r="T666" s="16">
        <f t="shared" si="115"/>
        <v>-23.391225687262985</v>
      </c>
    </row>
    <row r="667" spans="1:20" x14ac:dyDescent="0.35">
      <c r="A667" s="17">
        <v>2.6625000000000001</v>
      </c>
      <c r="B667" s="17">
        <v>16.707999999999998</v>
      </c>
      <c r="C667" s="17">
        <v>-0.11358103999999999</v>
      </c>
      <c r="D667" s="17">
        <v>1.6219917E-2</v>
      </c>
      <c r="E667" s="17">
        <v>0.88639917999999995</v>
      </c>
      <c r="F667" s="17">
        <v>1.2481126E-2</v>
      </c>
      <c r="G667" s="17">
        <f t="shared" si="106"/>
        <v>3.8326122360757702</v>
      </c>
      <c r="H667" s="17">
        <f t="shared" si="107"/>
        <v>0.54829530907373203</v>
      </c>
      <c r="I667" s="17">
        <f t="shared" si="108"/>
        <v>3.83260584070897</v>
      </c>
      <c r="J667" s="17">
        <f t="shared" si="109"/>
        <v>0.54642588312963902</v>
      </c>
      <c r="K667" s="15">
        <f t="shared" si="110"/>
        <v>6.3953668001381897E-6</v>
      </c>
      <c r="L667" s="15">
        <f t="shared" si="111"/>
        <v>1.86942594409301E-3</v>
      </c>
      <c r="M667" s="15">
        <f t="shared" si="112"/>
        <v>0.25572103017617698</v>
      </c>
      <c r="N667" s="15">
        <f t="shared" si="113"/>
        <v>-3.6458899129316699E-2</v>
      </c>
      <c r="O667" s="17">
        <v>-1.6658771000000001</v>
      </c>
      <c r="P667" s="17">
        <v>-14.474252</v>
      </c>
      <c r="Q667" s="17">
        <v>-7.3680969999999997</v>
      </c>
      <c r="R667" s="17">
        <v>-12.783899</v>
      </c>
      <c r="S667" s="17">
        <f t="shared" si="114"/>
        <v>1.0127271690407771</v>
      </c>
      <c r="T667" s="17">
        <f t="shared" si="115"/>
        <v>-23.39189957718995</v>
      </c>
    </row>
    <row r="668" spans="1:20" x14ac:dyDescent="0.35">
      <c r="A668" s="16">
        <v>2.6625000000000001</v>
      </c>
      <c r="B668" s="16">
        <v>16.756799999999998</v>
      </c>
      <c r="C668" s="16">
        <v>-0.11250052000000001</v>
      </c>
      <c r="D668" s="16">
        <v>2.0927293999999999E-2</v>
      </c>
      <c r="E668" s="16">
        <v>0.88749924000000002</v>
      </c>
      <c r="F668" s="16">
        <v>1.7177136999999999E-2</v>
      </c>
      <c r="G668" s="16">
        <f t="shared" si="106"/>
        <v>3.8205048118017699</v>
      </c>
      <c r="H668" s="16">
        <f t="shared" si="107"/>
        <v>0.73262422785461401</v>
      </c>
      <c r="I668" s="16">
        <f t="shared" si="108"/>
        <v>3.8205082077100498</v>
      </c>
      <c r="J668" s="16">
        <f t="shared" si="109"/>
        <v>0.73074915549720099</v>
      </c>
      <c r="K668" s="15">
        <f t="shared" si="110"/>
        <v>-3.3959082799128699E-6</v>
      </c>
      <c r="L668" s="15">
        <f t="shared" si="111"/>
        <v>1.87507235741302E-3</v>
      </c>
      <c r="M668" s="15">
        <f t="shared" si="112"/>
        <v>0.25250748109993798</v>
      </c>
      <c r="N668" s="15">
        <f t="shared" si="113"/>
        <v>-4.8297142301155498E-2</v>
      </c>
      <c r="O668" s="16">
        <v>-2.2608049000000001</v>
      </c>
      <c r="P668" s="16">
        <v>-14.305509000000001</v>
      </c>
      <c r="Q668" s="16">
        <v>-7.8607329000000004</v>
      </c>
      <c r="R668" s="16">
        <v>-12.398294</v>
      </c>
      <c r="S668" s="16">
        <f t="shared" si="114"/>
        <v>1.0136135274348015</v>
      </c>
      <c r="T668" s="16">
        <f t="shared" si="115"/>
        <v>-23.394804947813391</v>
      </c>
    </row>
    <row r="669" spans="1:20" x14ac:dyDescent="0.35">
      <c r="A669" s="17">
        <v>2.6625000000000001</v>
      </c>
      <c r="B669" s="17">
        <v>16.805599999999998</v>
      </c>
      <c r="C669" s="17">
        <v>-0.11108946</v>
      </c>
      <c r="D669" s="17">
        <v>2.5365734000000001E-2</v>
      </c>
      <c r="E669" s="17">
        <v>0.88891673999999998</v>
      </c>
      <c r="F669" s="17">
        <v>2.1632261E-2</v>
      </c>
      <c r="G669" s="17">
        <f t="shared" si="106"/>
        <v>3.8082136743425798</v>
      </c>
      <c r="H669" s="17">
        <f t="shared" si="107"/>
        <v>0.91228538955168403</v>
      </c>
      <c r="I669" s="17">
        <f t="shared" si="108"/>
        <v>3.8082202589935901</v>
      </c>
      <c r="J669" s="17">
        <f t="shared" si="109"/>
        <v>0.91041867113032005</v>
      </c>
      <c r="K669" s="15">
        <f t="shared" si="110"/>
        <v>-6.5846510102218801E-6</v>
      </c>
      <c r="L669" s="15">
        <f t="shared" si="111"/>
        <v>1.86671842136399E-3</v>
      </c>
      <c r="M669" s="15">
        <f t="shared" si="112"/>
        <v>0.248393450076069</v>
      </c>
      <c r="N669" s="15">
        <f t="shared" si="113"/>
        <v>-5.9382603777096997E-2</v>
      </c>
      <c r="O669" s="17">
        <v>-2.8181767</v>
      </c>
      <c r="P669" s="17">
        <v>-14.095264999999999</v>
      </c>
      <c r="Q669" s="17">
        <v>-8.3028712999999996</v>
      </c>
      <c r="R669" s="17">
        <v>-11.989037</v>
      </c>
      <c r="S669" s="17">
        <f t="shared" si="114"/>
        <v>1.014549335230267</v>
      </c>
      <c r="T669" s="17">
        <f t="shared" si="115"/>
        <v>-23.397589995666852</v>
      </c>
    </row>
    <row r="670" spans="1:20" x14ac:dyDescent="0.35">
      <c r="A670" s="16">
        <v>2.6625000000000001</v>
      </c>
      <c r="B670" s="16">
        <v>16.854399999999998</v>
      </c>
      <c r="C670" s="16">
        <v>-0.10940642</v>
      </c>
      <c r="D670" s="16">
        <v>2.9507748E-2</v>
      </c>
      <c r="E670" s="16">
        <v>0.89056800999999997</v>
      </c>
      <c r="F670" s="16">
        <v>2.5713461E-2</v>
      </c>
      <c r="G670" s="16">
        <f t="shared" si="106"/>
        <v>3.79603899804084</v>
      </c>
      <c r="H670" s="16">
        <f t="shared" si="107"/>
        <v>1.0850005821625801</v>
      </c>
      <c r="I670" s="16">
        <f t="shared" si="108"/>
        <v>3.7960298121559299</v>
      </c>
      <c r="J670" s="16">
        <f t="shared" si="109"/>
        <v>1.08310339698012</v>
      </c>
      <c r="K670" s="15">
        <f t="shared" si="110"/>
        <v>9.1858849100567903E-6</v>
      </c>
      <c r="L670" s="15">
        <f t="shared" si="111"/>
        <v>1.8971851824600701E-3</v>
      </c>
      <c r="M670" s="15">
        <f t="shared" si="112"/>
        <v>0.24360140539873101</v>
      </c>
      <c r="N670" s="15">
        <f t="shared" si="113"/>
        <v>-6.9505647413935306E-2</v>
      </c>
      <c r="O670" s="16">
        <v>-3.3379444</v>
      </c>
      <c r="P670" s="16">
        <v>-13.851727</v>
      </c>
      <c r="Q670" s="16">
        <v>-8.6960259999999998</v>
      </c>
      <c r="R670" s="16">
        <v>-11.562016</v>
      </c>
      <c r="S670" s="16">
        <f t="shared" si="114"/>
        <v>1.015370761771218</v>
      </c>
      <c r="T670" s="16">
        <f t="shared" si="115"/>
        <v>-23.398927272821261</v>
      </c>
    </row>
    <row r="671" spans="1:20" x14ac:dyDescent="0.35">
      <c r="A671" s="17">
        <v>2.6625000000000001</v>
      </c>
      <c r="B671" s="17">
        <v>16.903200000000002</v>
      </c>
      <c r="C671" s="17">
        <v>-0.10750157</v>
      </c>
      <c r="D671" s="17">
        <v>3.3335901000000001E-2</v>
      </c>
      <c r="E671" s="17">
        <v>0.89249513000000003</v>
      </c>
      <c r="F671" s="17">
        <v>2.9546336999999999E-2</v>
      </c>
      <c r="G671" s="17">
        <f t="shared" si="106"/>
        <v>3.784536817003</v>
      </c>
      <c r="H671" s="17">
        <f t="shared" si="107"/>
        <v>1.2540322976173299</v>
      </c>
      <c r="I671" s="17">
        <f t="shared" si="108"/>
        <v>3.7845387572039799</v>
      </c>
      <c r="J671" s="17">
        <f t="shared" si="109"/>
        <v>1.2521375161671999</v>
      </c>
      <c r="K671" s="15">
        <f t="shared" si="110"/>
        <v>-1.94020097987746E-6</v>
      </c>
      <c r="L671" s="15">
        <f t="shared" si="111"/>
        <v>1.89478145013E-3</v>
      </c>
      <c r="M671" s="15">
        <f t="shared" si="112"/>
        <v>0.238162376037377</v>
      </c>
      <c r="N671" s="15">
        <f t="shared" si="113"/>
        <v>-7.8797461225166093E-2</v>
      </c>
      <c r="O671" s="17">
        <v>-3.8142873000000002</v>
      </c>
      <c r="P671" s="17">
        <v>-13.582321</v>
      </c>
      <c r="Q671" s="17">
        <v>-9.0395372999999992</v>
      </c>
      <c r="R671" s="17">
        <v>-11.127691</v>
      </c>
      <c r="S671" s="17">
        <f t="shared" si="114"/>
        <v>1.0162241343254164</v>
      </c>
      <c r="T671" s="17">
        <f t="shared" si="115"/>
        <v>-23.402355131958533</v>
      </c>
    </row>
    <row r="672" spans="1:20" x14ac:dyDescent="0.35">
      <c r="A672" s="16">
        <v>2.6625000000000001</v>
      </c>
      <c r="B672" s="16">
        <v>16.952000000000002</v>
      </c>
      <c r="C672" s="16">
        <v>-0.10543888999999999</v>
      </c>
      <c r="D672" s="16">
        <v>3.6829769999999998E-2</v>
      </c>
      <c r="E672" s="16">
        <v>0.89455454000000001</v>
      </c>
      <c r="F672" s="16">
        <v>3.3030691000000001E-2</v>
      </c>
      <c r="G672" s="16">
        <f t="shared" si="106"/>
        <v>3.7730057639480599</v>
      </c>
      <c r="H672" s="16">
        <f t="shared" si="107"/>
        <v>1.4164847035177199</v>
      </c>
      <c r="I672" s="16">
        <f t="shared" si="108"/>
        <v>3.7730060872101299</v>
      </c>
      <c r="J672" s="16">
        <f t="shared" si="109"/>
        <v>1.4145851583917699</v>
      </c>
      <c r="K672" s="15">
        <f t="shared" si="110"/>
        <v>-3.2326207000110701E-7</v>
      </c>
      <c r="L672" s="15">
        <f t="shared" si="111"/>
        <v>1.89954512595003E-3</v>
      </c>
      <c r="M672" s="15">
        <f t="shared" si="112"/>
        <v>0.232376237706928</v>
      </c>
      <c r="N672" s="15">
        <f t="shared" si="113"/>
        <v>-8.7123097452037501E-2</v>
      </c>
      <c r="O672" s="16">
        <v>-4.2470736000000002</v>
      </c>
      <c r="P672" s="16">
        <v>-13.294299000000001</v>
      </c>
      <c r="Q672" s="16">
        <v>-9.3349312999999992</v>
      </c>
      <c r="R672" s="16">
        <v>-10.692606</v>
      </c>
      <c r="S672" s="16">
        <f t="shared" si="114"/>
        <v>1.0170456112847772</v>
      </c>
      <c r="T672" s="16">
        <f t="shared" si="115"/>
        <v>-23.404927923917615</v>
      </c>
    </row>
    <row r="673" spans="1:20" x14ac:dyDescent="0.35">
      <c r="A673" s="17">
        <v>2.6625000000000001</v>
      </c>
      <c r="B673" s="17">
        <v>17</v>
      </c>
      <c r="C673" s="17">
        <v>-0.10607413</v>
      </c>
      <c r="D673" s="17">
        <v>3.7434729E-2</v>
      </c>
      <c r="E673" s="17">
        <v>0.89388747000000002</v>
      </c>
      <c r="F673" s="17">
        <v>3.3717721999999999E-2</v>
      </c>
      <c r="G673" s="17">
        <f t="shared" si="106"/>
        <v>3.7364670755657698</v>
      </c>
      <c r="H673" s="17">
        <f t="shared" si="107"/>
        <v>1.42153911812656</v>
      </c>
      <c r="I673" s="17">
        <f t="shared" si="108"/>
        <v>3.7364513294194102</v>
      </c>
      <c r="J673" s="17">
        <f t="shared" si="109"/>
        <v>1.41968054967777</v>
      </c>
      <c r="K673" s="15">
        <f t="shared" si="110"/>
        <v>1.5746146359685301E-5</v>
      </c>
      <c r="L673" s="15">
        <f t="shared" si="111"/>
        <v>1.85856844878995E-3</v>
      </c>
      <c r="M673" s="15">
        <f t="shared" si="112"/>
        <v>0.23387080835555399</v>
      </c>
      <c r="N673" s="15">
        <f t="shared" si="113"/>
        <v>-8.8860206781119597E-2</v>
      </c>
      <c r="O673" s="17">
        <v>-4.4606596999999999</v>
      </c>
      <c r="P673" s="17">
        <v>-13.855636000000001</v>
      </c>
      <c r="Q673" s="17">
        <v>-9.3978561000000003</v>
      </c>
      <c r="R673" s="17">
        <v>-10.731646</v>
      </c>
      <c r="S673" s="17">
        <f t="shared" si="114"/>
        <v>0.98000502343938434</v>
      </c>
      <c r="T673" s="17">
        <f t="shared" si="115"/>
        <v>-23.363742512463219</v>
      </c>
    </row>
    <row r="674" spans="1:20" x14ac:dyDescent="0.35">
      <c r="A674" s="16">
        <v>2.8000000000000003</v>
      </c>
      <c r="B674" s="16">
        <v>15</v>
      </c>
      <c r="C674" s="16">
        <v>-2.4577793000000001E-2</v>
      </c>
      <c r="D674" s="16">
        <v>-4.4445950999999997E-2</v>
      </c>
      <c r="E674" s="16">
        <v>0.97549098000000001</v>
      </c>
      <c r="F674" s="16">
        <v>-4.7845523000000001E-2</v>
      </c>
      <c r="G674" s="16">
        <f t="shared" si="106"/>
        <v>3.9921359880195699</v>
      </c>
      <c r="H674" s="16">
        <f t="shared" si="107"/>
        <v>-8.44515728170758</v>
      </c>
      <c r="I674" s="16">
        <f t="shared" si="108"/>
        <v>3.9921732623032402</v>
      </c>
      <c r="J674" s="16">
        <f t="shared" si="109"/>
        <v>-8.4468569459037806</v>
      </c>
      <c r="K674" s="15">
        <f t="shared" si="110"/>
        <v>-3.7274283670285499E-5</v>
      </c>
      <c r="L674" s="15">
        <f t="shared" si="111"/>
        <v>1.6996641962006001E-3</v>
      </c>
      <c r="M674" s="15">
        <f t="shared" si="112"/>
        <v>4.5736256228841497E-2</v>
      </c>
      <c r="N674" s="15">
        <f t="shared" si="113"/>
        <v>9.6771254207372995E-2</v>
      </c>
      <c r="O674" s="16">
        <v>6.3137156000000001</v>
      </c>
      <c r="P674" s="16">
        <v>-3.2659558</v>
      </c>
      <c r="Q674" s="16">
        <v>4.3963378000000004</v>
      </c>
      <c r="R674" s="16">
        <v>-5.3551541</v>
      </c>
      <c r="S674" s="16">
        <f t="shared" si="114"/>
        <v>0.97470444043040028</v>
      </c>
      <c r="T674" s="16">
        <f t="shared" si="115"/>
        <v>-23.263962250991788</v>
      </c>
    </row>
    <row r="675" spans="1:20" x14ac:dyDescent="0.35">
      <c r="A675" s="17">
        <v>2.8000000000000003</v>
      </c>
      <c r="B675" s="17">
        <v>15.0488</v>
      </c>
      <c r="C675" s="17">
        <v>-2.6137942000000001E-2</v>
      </c>
      <c r="D675" s="17">
        <v>-4.5625196999999999E-2</v>
      </c>
      <c r="E675" s="17">
        <v>0.97391417999999996</v>
      </c>
      <c r="F675" s="17">
        <v>-4.9005292999999998E-2</v>
      </c>
      <c r="G675" s="17">
        <f t="shared" si="106"/>
        <v>3.9703365213435902</v>
      </c>
      <c r="H675" s="17">
        <f t="shared" si="107"/>
        <v>-8.0995194439981404</v>
      </c>
      <c r="I675" s="17">
        <f t="shared" si="108"/>
        <v>3.9703654376952202</v>
      </c>
      <c r="J675" s="17">
        <f t="shared" si="109"/>
        <v>-8.1012093990861995</v>
      </c>
      <c r="K675" s="15">
        <f t="shared" si="110"/>
        <v>-2.8916351630048401E-5</v>
      </c>
      <c r="L675" s="15">
        <f t="shared" si="111"/>
        <v>1.68995508805914E-3</v>
      </c>
      <c r="M675" s="15">
        <f t="shared" si="112"/>
        <v>4.8779946043455202E-2</v>
      </c>
      <c r="N675" s="15">
        <f t="shared" si="113"/>
        <v>9.9531532695276301E-2</v>
      </c>
      <c r="O675" s="17">
        <v>6.4423902000000002</v>
      </c>
      <c r="P675" s="17">
        <v>-3.4615151000000002</v>
      </c>
      <c r="Q675" s="17">
        <v>4.4459469</v>
      </c>
      <c r="R675" s="17">
        <v>-5.5917462000000002</v>
      </c>
      <c r="S675" s="17">
        <f t="shared" si="114"/>
        <v>0.97680550433609403</v>
      </c>
      <c r="T675" s="17">
        <f t="shared" si="115"/>
        <v>-23.262838731409722</v>
      </c>
    </row>
    <row r="676" spans="1:20" x14ac:dyDescent="0.35">
      <c r="A676" s="16">
        <v>2.8000000000000003</v>
      </c>
      <c r="B676" s="16">
        <v>15.0976</v>
      </c>
      <c r="C676" s="16">
        <v>-2.7822333000000001E-2</v>
      </c>
      <c r="D676" s="16">
        <v>-4.6779939E-2</v>
      </c>
      <c r="E676" s="16">
        <v>0.97222967999999999</v>
      </c>
      <c r="F676" s="16">
        <v>-5.0165851999999997E-2</v>
      </c>
      <c r="G676" s="16">
        <f t="shared" si="106"/>
        <v>3.95130447385624</v>
      </c>
      <c r="H676" s="16">
        <f t="shared" si="107"/>
        <v>-7.7616295323265403</v>
      </c>
      <c r="I676" s="16">
        <f t="shared" si="108"/>
        <v>3.9513333455498101</v>
      </c>
      <c r="J676" s="16">
        <f t="shared" si="109"/>
        <v>-7.7633223959225504</v>
      </c>
      <c r="K676" s="15">
        <f t="shared" si="110"/>
        <v>-2.88716935701316E-5</v>
      </c>
      <c r="L676" s="15">
        <f t="shared" si="111"/>
        <v>1.6928635960100601E-3</v>
      </c>
      <c r="M676" s="15">
        <f t="shared" si="112"/>
        <v>5.2071932991491598E-2</v>
      </c>
      <c r="N676" s="15">
        <f t="shared" si="113"/>
        <v>0.102307542350764</v>
      </c>
      <c r="O676" s="16">
        <v>6.5715573000000003</v>
      </c>
      <c r="P676" s="16">
        <v>-3.6720231999999999</v>
      </c>
      <c r="Q676" s="16">
        <v>4.4890287999999998</v>
      </c>
      <c r="R676" s="16">
        <v>-5.8424487000000003</v>
      </c>
      <c r="S676" s="16">
        <f t="shared" si="114"/>
        <v>0.97874382120739789</v>
      </c>
      <c r="T676" s="16">
        <f t="shared" si="115"/>
        <v>-23.267852977484548</v>
      </c>
    </row>
    <row r="677" spans="1:20" x14ac:dyDescent="0.35">
      <c r="A677" s="17">
        <v>2.8000000000000003</v>
      </c>
      <c r="B677" s="17">
        <v>15.1464</v>
      </c>
      <c r="C677" s="17">
        <v>-2.9623577000000002E-2</v>
      </c>
      <c r="D677" s="17">
        <v>-4.7920118999999997E-2</v>
      </c>
      <c r="E677" s="17">
        <v>0.97043592000000001</v>
      </c>
      <c r="F677" s="17">
        <v>-5.1308238999999999E-2</v>
      </c>
      <c r="G677" s="17">
        <f t="shared" ref="G677:G740" si="116">IMREAL(IMDIV(IMSUM(IMPRODUCT(COMPLEX(1 + C677,D677),COMPLEX(1 - C677, - D677)),IMPRODUCT(COMPLEX(E677,F677),COMPLEX(E677,F677))),IMSUB(IMPRODUCT(COMPLEX(1 - C677, - D677),COMPLEX(1 - C677, - D677)),IMPRODUCT(COMPLEX(E677,F677),COMPLEX(E677,F677)))))</f>
        <v>3.9337001174316599</v>
      </c>
      <c r="H677" s="17">
        <f t="shared" ref="H677:H740" si="117">IMAGINARY(IMDIV(IMSUM(IMPRODUCT(COMPLEX(1 + C677,D677),COMPLEX(1 - C677, - D677)),IMPRODUCT(COMPLEX(E677,F677),COMPLEX(E677,F677))),IMSUB(IMPRODUCT(COMPLEX(1 - C677, - D677),COMPLEX(1 - C677, - D677)),IMPRODUCT(COMPLEX(E677,F677),COMPLEX(E677,F677)))))</f>
        <v>-7.4322974162953797</v>
      </c>
      <c r="I677" s="17">
        <f t="shared" ref="I677:I740" si="118">IMREAL(IMDIV(IMPRODUCT(COMPLEX(2,0),COMPLEX(E677,F677)),IMSUB(IMPRODUCT(COMPLEX(1 - C677, - D677),COMPLEX(1 - C677, - D677)),IMPRODUCT(COMPLEX(E677,F677),COMPLEX(E677,F677)))))</f>
        <v>3.93373273462166</v>
      </c>
      <c r="J677" s="17">
        <f t="shared" ref="J677:J740" si="119">IMAGINARY(IMDIV(IMPRODUCT(COMPLEX(2,0),COMPLEX(E677,F677)),IMSUB(IMPRODUCT(COMPLEX(1 - C677, - D677),COMPLEX(1 - C677, - D677)),IMPRODUCT(COMPLEX(E677,F677),COMPLEX(E677,F677)))))</f>
        <v>-7.4339913706473197</v>
      </c>
      <c r="K677" s="15">
        <f t="shared" ref="K677:K740" si="120">IMREAL(IMSUB(COMPLEX(G677,H677),COMPLEX(I677,J677)))</f>
        <v>-3.26171900000283E-5</v>
      </c>
      <c r="L677" s="15">
        <f t="shared" ref="L677:L740" si="121">IMAGINARY(IMSUB(COMPLEX(G677,H677),COMPLEX(I677,J677)))</f>
        <v>1.69395435194009E-3</v>
      </c>
      <c r="M677" s="15">
        <f t="shared" ref="M677:M740" si="122">IMREAL(IMDIV(IMSUB(IMPRODUCT(COMPLEX(1 - C677, - D677),COMPLEX(1 - C677, - D677)),IMPRODUCT(COMPLEX(E677,F677),COMPLEX(E677,F677))),IMPRODUCT(COMPLEX(2,0),COMPLEX(E677,F677))))</f>
        <v>5.5609516674813501E-2</v>
      </c>
      <c r="N677" s="15">
        <f t="shared" ref="N677:N740" si="123">IMAGINARY(IMDIV(IMSUB(IMPRODUCT(COMPLEX(1 - C677, - D677),COMPLEX(1 - C677, - D677)),IMPRODUCT(COMPLEX(E677,F677),COMPLEX(E677,F677))),IMPRODUCT(COMPLEX(2,0),COMPLEX(E677,F677))))</f>
        <v>0.105091193269944</v>
      </c>
      <c r="O677" s="17">
        <v>6.7039670999999998</v>
      </c>
      <c r="P677" s="17">
        <v>-3.8994352999999999</v>
      </c>
      <c r="Q677" s="17">
        <v>4.5250266999999997</v>
      </c>
      <c r="R677" s="17">
        <v>-6.1059039000000004</v>
      </c>
      <c r="S677" s="17">
        <f t="shared" ref="S677:S740" si="124">IMABS(COMPLEX(Q677,R677))/IMABS(COMPLEX(O677,P677))</f>
        <v>0.97992407856704122</v>
      </c>
      <c r="T677" s="17">
        <f t="shared" ref="T677:T740" si="125">IMARGUMENT(IMDIV(COMPLEX(Q677,R677),COMPLEX(O677/B677,P677/B677)))/PI()*180</f>
        <v>-23.273322694163419</v>
      </c>
    </row>
    <row r="678" spans="1:20" x14ac:dyDescent="0.35">
      <c r="A678" s="16">
        <v>2.8000000000000003</v>
      </c>
      <c r="B678" s="16">
        <v>15.1952</v>
      </c>
      <c r="C678" s="16">
        <v>-3.1550855000000003E-2</v>
      </c>
      <c r="D678" s="16">
        <v>-4.9047665999999997E-2</v>
      </c>
      <c r="E678" s="16">
        <v>0.96848188000000002</v>
      </c>
      <c r="F678" s="16">
        <v>-5.2484138E-2</v>
      </c>
      <c r="G678" s="16">
        <f t="shared" si="116"/>
        <v>3.9146058138922499</v>
      </c>
      <c r="H678" s="16">
        <f t="shared" si="117"/>
        <v>-7.1060246538457301</v>
      </c>
      <c r="I678" s="16">
        <f t="shared" si="118"/>
        <v>3.9146251333056301</v>
      </c>
      <c r="J678" s="16">
        <f t="shared" si="119"/>
        <v>-7.1077428285281901</v>
      </c>
      <c r="K678" s="15">
        <f t="shared" si="120"/>
        <v>-1.9319413380181101E-5</v>
      </c>
      <c r="L678" s="15">
        <f t="shared" si="121"/>
        <v>1.71817468245994E-3</v>
      </c>
      <c r="M678" s="15">
        <f t="shared" si="122"/>
        <v>5.9452758237096198E-2</v>
      </c>
      <c r="N678" s="15">
        <f t="shared" si="123"/>
        <v>0.107947734867554</v>
      </c>
      <c r="O678" s="16">
        <v>6.8305503999999999</v>
      </c>
      <c r="P678" s="16">
        <v>-4.1406555000000003</v>
      </c>
      <c r="Q678" s="16">
        <v>4.5511974999999998</v>
      </c>
      <c r="R678" s="16">
        <v>-6.3813567000000004</v>
      </c>
      <c r="S678" s="16">
        <f t="shared" si="124"/>
        <v>0.98128026330026408</v>
      </c>
      <c r="T678" s="16">
        <f t="shared" si="125"/>
        <v>-23.27935623088802</v>
      </c>
    </row>
    <row r="679" spans="1:20" x14ac:dyDescent="0.35">
      <c r="A679" s="17">
        <v>2.8000000000000003</v>
      </c>
      <c r="B679" s="17">
        <v>15.244</v>
      </c>
      <c r="C679" s="17">
        <v>-3.3614439000000003E-2</v>
      </c>
      <c r="D679" s="17">
        <v>-5.0151053000000001E-2</v>
      </c>
      <c r="E679" s="17">
        <v>0.96642313999999996</v>
      </c>
      <c r="F679" s="17">
        <v>-5.3596247E-2</v>
      </c>
      <c r="G679" s="17">
        <f t="shared" si="116"/>
        <v>3.8978513111255899</v>
      </c>
      <c r="H679" s="17">
        <f t="shared" si="117"/>
        <v>-6.78969547070938</v>
      </c>
      <c r="I679" s="17">
        <f t="shared" si="118"/>
        <v>3.8978730674369402</v>
      </c>
      <c r="J679" s="17">
        <f t="shared" si="119"/>
        <v>-6.7914179978666196</v>
      </c>
      <c r="K679" s="15">
        <f t="shared" si="120"/>
        <v>-2.1756311350262802E-5</v>
      </c>
      <c r="L679" s="15">
        <f t="shared" si="121"/>
        <v>1.7225271572396401E-3</v>
      </c>
      <c r="M679" s="15">
        <f t="shared" si="122"/>
        <v>6.3569442501474296E-2</v>
      </c>
      <c r="N679" s="15">
        <f t="shared" si="123"/>
        <v>0.11075954718113599</v>
      </c>
      <c r="O679" s="17">
        <v>6.9499472000000004</v>
      </c>
      <c r="P679" s="17">
        <v>-4.3954506999999996</v>
      </c>
      <c r="Q679" s="17">
        <v>4.5689229999999998</v>
      </c>
      <c r="R679" s="17">
        <v>-6.6715457999999996</v>
      </c>
      <c r="S679" s="17">
        <f t="shared" si="124"/>
        <v>0.98331906453036166</v>
      </c>
      <c r="T679" s="17">
        <f t="shared" si="125"/>
        <v>-23.284153138110423</v>
      </c>
    </row>
    <row r="680" spans="1:20" x14ac:dyDescent="0.35">
      <c r="A680" s="16">
        <v>2.8000000000000003</v>
      </c>
      <c r="B680" s="16">
        <v>15.2928</v>
      </c>
      <c r="C680" s="16">
        <v>-3.5823222000000002E-2</v>
      </c>
      <c r="D680" s="16">
        <v>-5.1224287E-2</v>
      </c>
      <c r="E680" s="16">
        <v>0.96421983</v>
      </c>
      <c r="F680" s="16">
        <v>-5.4676453999999999E-2</v>
      </c>
      <c r="G680" s="16">
        <f t="shared" si="116"/>
        <v>3.8815405806558201</v>
      </c>
      <c r="H680" s="16">
        <f t="shared" si="117"/>
        <v>-6.4794122864137904</v>
      </c>
      <c r="I680" s="16">
        <f t="shared" si="118"/>
        <v>3.88156508535543</v>
      </c>
      <c r="J680" s="16">
        <f t="shared" si="119"/>
        <v>-6.4811382904626402</v>
      </c>
      <c r="K680" s="15">
        <f t="shared" si="120"/>
        <v>-2.4504699609906301E-5</v>
      </c>
      <c r="L680" s="15">
        <f t="shared" si="121"/>
        <v>1.72600404884982E-3</v>
      </c>
      <c r="M680" s="15">
        <f t="shared" si="122"/>
        <v>6.8012079784026597E-2</v>
      </c>
      <c r="N680" s="15">
        <f t="shared" si="123"/>
        <v>0.113561330239009</v>
      </c>
      <c r="O680" s="16">
        <v>7.0692710999999999</v>
      </c>
      <c r="P680" s="16">
        <v>-4.6703177</v>
      </c>
      <c r="Q680" s="16">
        <v>4.5759736000000002</v>
      </c>
      <c r="R680" s="16">
        <v>-6.9770488000000004</v>
      </c>
      <c r="S680" s="16">
        <f t="shared" si="124"/>
        <v>0.98478589656455218</v>
      </c>
      <c r="T680" s="16">
        <f t="shared" si="125"/>
        <v>-23.289930555585187</v>
      </c>
    </row>
    <row r="681" spans="1:20" x14ac:dyDescent="0.35">
      <c r="A681" s="17">
        <v>2.8000000000000003</v>
      </c>
      <c r="B681" s="17">
        <v>15.3416</v>
      </c>
      <c r="C681" s="17">
        <v>-3.8186922999999998E-2</v>
      </c>
      <c r="D681" s="17">
        <v>-5.2256401000000001E-2</v>
      </c>
      <c r="E681" s="17">
        <v>0.96180118999999997</v>
      </c>
      <c r="F681" s="17">
        <v>-5.5733238999999997E-2</v>
      </c>
      <c r="G681" s="17">
        <f t="shared" si="116"/>
        <v>3.8657630257245699</v>
      </c>
      <c r="H681" s="17">
        <f t="shared" si="117"/>
        <v>-6.1711867573488997</v>
      </c>
      <c r="I681" s="17">
        <f t="shared" si="118"/>
        <v>3.8657601043346101</v>
      </c>
      <c r="J681" s="17">
        <f t="shared" si="119"/>
        <v>-6.17292519175989</v>
      </c>
      <c r="K681" s="15">
        <f t="shared" si="120"/>
        <v>2.9213899597202399E-6</v>
      </c>
      <c r="L681" s="15">
        <f t="shared" si="121"/>
        <v>1.73843441099031E-3</v>
      </c>
      <c r="M681" s="15">
        <f t="shared" si="122"/>
        <v>7.2871351688334293E-2</v>
      </c>
      <c r="N681" s="15">
        <f t="shared" si="123"/>
        <v>0.116362472179825</v>
      </c>
      <c r="O681" s="17">
        <v>7.1890809000000004</v>
      </c>
      <c r="P681" s="17">
        <v>-4.9683552999999998</v>
      </c>
      <c r="Q681" s="17">
        <v>4.5695915999999999</v>
      </c>
      <c r="R681" s="17">
        <v>-7.2971396999999998</v>
      </c>
      <c r="S681" s="17">
        <f t="shared" si="124"/>
        <v>0.98523804744046628</v>
      </c>
      <c r="T681" s="17">
        <f t="shared" si="125"/>
        <v>-23.296258572596813</v>
      </c>
    </row>
    <row r="682" spans="1:20" x14ac:dyDescent="0.35">
      <c r="A682" s="16">
        <v>2.8000000000000003</v>
      </c>
      <c r="B682" s="16">
        <v>15.3904</v>
      </c>
      <c r="C682" s="16">
        <v>-4.0712779999999997E-2</v>
      </c>
      <c r="D682" s="16">
        <v>-5.3233906999999997E-2</v>
      </c>
      <c r="E682" s="16">
        <v>0.95927163000000004</v>
      </c>
      <c r="F682" s="16">
        <v>-5.6723092000000003E-2</v>
      </c>
      <c r="G682" s="16">
        <f t="shared" si="116"/>
        <v>3.8497470209066398</v>
      </c>
      <c r="H682" s="16">
        <f t="shared" si="117"/>
        <v>-5.8718943175830498</v>
      </c>
      <c r="I682" s="16">
        <f t="shared" si="118"/>
        <v>3.8497422695107701</v>
      </c>
      <c r="J682" s="16">
        <f t="shared" si="119"/>
        <v>-5.8736389319715503</v>
      </c>
      <c r="K682" s="15">
        <f t="shared" si="120"/>
        <v>4.7513958696399098E-6</v>
      </c>
      <c r="L682" s="15">
        <f t="shared" si="121"/>
        <v>1.74461438850049E-3</v>
      </c>
      <c r="M682" s="15">
        <f t="shared" si="122"/>
        <v>7.8056175450049503E-2</v>
      </c>
      <c r="N682" s="15">
        <f t="shared" si="123"/>
        <v>0.11909207393836201</v>
      </c>
      <c r="O682" s="16">
        <v>7.2950349000000001</v>
      </c>
      <c r="P682" s="16">
        <v>-5.2815538000000002</v>
      </c>
      <c r="Q682" s="16">
        <v>4.5488238000000001</v>
      </c>
      <c r="R682" s="16">
        <v>-7.6321173</v>
      </c>
      <c r="S682" s="16">
        <f t="shared" si="124"/>
        <v>0.98652448372351476</v>
      </c>
      <c r="T682" s="16">
        <f t="shared" si="125"/>
        <v>-23.300331068584633</v>
      </c>
    </row>
    <row r="683" spans="1:20" x14ac:dyDescent="0.35">
      <c r="A683" s="17">
        <v>2.8000000000000003</v>
      </c>
      <c r="B683" s="17">
        <v>15.4392</v>
      </c>
      <c r="C683" s="17">
        <v>-4.3408007999999998E-2</v>
      </c>
      <c r="D683" s="17">
        <v>-5.4141833E-2</v>
      </c>
      <c r="E683" s="17">
        <v>0.95662627</v>
      </c>
      <c r="F683" s="17">
        <v>-5.7619819000000003E-2</v>
      </c>
      <c r="G683" s="17">
        <f t="shared" si="116"/>
        <v>3.83436602193607</v>
      </c>
      <c r="H683" s="17">
        <f t="shared" si="117"/>
        <v>-5.5811463477058201</v>
      </c>
      <c r="I683" s="17">
        <f t="shared" si="118"/>
        <v>3.8343861845743601</v>
      </c>
      <c r="J683" s="17">
        <f t="shared" si="119"/>
        <v>-5.5828852758396499</v>
      </c>
      <c r="K683" s="15">
        <f t="shared" si="120"/>
        <v>-2.0162638290077701E-5</v>
      </c>
      <c r="L683" s="15">
        <f t="shared" si="121"/>
        <v>1.7389281338298099E-3</v>
      </c>
      <c r="M683" s="15">
        <f t="shared" si="122"/>
        <v>8.3590410085444405E-2</v>
      </c>
      <c r="N683" s="15">
        <f t="shared" si="123"/>
        <v>0.121708051094293</v>
      </c>
      <c r="O683" s="17">
        <v>7.3852064999999998</v>
      </c>
      <c r="P683" s="17">
        <v>-5.6094011999999998</v>
      </c>
      <c r="Q683" s="17">
        <v>4.5127667000000002</v>
      </c>
      <c r="R683" s="17">
        <v>-7.9831260000000004</v>
      </c>
      <c r="S683" s="17">
        <f t="shared" si="124"/>
        <v>0.98882626618143243</v>
      </c>
      <c r="T683" s="17">
        <f t="shared" si="125"/>
        <v>-23.302709770598245</v>
      </c>
    </row>
    <row r="684" spans="1:20" x14ac:dyDescent="0.35">
      <c r="A684" s="16">
        <v>2.8000000000000003</v>
      </c>
      <c r="B684" s="16">
        <v>15.488</v>
      </c>
      <c r="C684" s="16">
        <v>-4.6282012999999997E-2</v>
      </c>
      <c r="D684" s="16">
        <v>-5.4961835000000001E-2</v>
      </c>
      <c r="E684" s="16">
        <v>0.95374217999999999</v>
      </c>
      <c r="F684" s="16">
        <v>-5.8458115999999997E-2</v>
      </c>
      <c r="G684" s="16">
        <f t="shared" si="116"/>
        <v>3.81869238651556</v>
      </c>
      <c r="H684" s="16">
        <f t="shared" si="117"/>
        <v>-5.29227077851173</v>
      </c>
      <c r="I684" s="16">
        <f t="shared" si="118"/>
        <v>3.81870753874421</v>
      </c>
      <c r="J684" s="16">
        <f t="shared" si="119"/>
        <v>-5.2940188713776903</v>
      </c>
      <c r="K684" s="15">
        <f t="shared" si="120"/>
        <v>-1.5152228650006099E-5</v>
      </c>
      <c r="L684" s="15">
        <f t="shared" si="121"/>
        <v>1.74809286596034E-3</v>
      </c>
      <c r="M684" s="15">
        <f t="shared" si="122"/>
        <v>8.9621744784014398E-2</v>
      </c>
      <c r="N684" s="15">
        <f t="shared" si="123"/>
        <v>0.124246018674788</v>
      </c>
      <c r="O684" s="16">
        <v>7.4772394999999996</v>
      </c>
      <c r="P684" s="16">
        <v>-5.9695448999999998</v>
      </c>
      <c r="Q684" s="16">
        <v>4.4562813999999999</v>
      </c>
      <c r="R684" s="16">
        <v>-8.3493761000000006</v>
      </c>
      <c r="S684" s="16">
        <f t="shared" si="124"/>
        <v>0.98915932496128256</v>
      </c>
      <c r="T684" s="16">
        <f t="shared" si="125"/>
        <v>-23.307446455029428</v>
      </c>
    </row>
    <row r="685" spans="1:20" x14ac:dyDescent="0.35">
      <c r="A685" s="17">
        <v>2.8000000000000003</v>
      </c>
      <c r="B685" s="17">
        <v>15.536799999999999</v>
      </c>
      <c r="C685" s="17">
        <v>-4.9339452999999998E-2</v>
      </c>
      <c r="D685" s="17">
        <v>-5.5673789000000001E-2</v>
      </c>
      <c r="E685" s="17">
        <v>0.95067718999999995</v>
      </c>
      <c r="F685" s="17">
        <v>-5.9190794999999997E-2</v>
      </c>
      <c r="G685" s="17">
        <f t="shared" si="116"/>
        <v>3.8031070379380498</v>
      </c>
      <c r="H685" s="17">
        <f t="shared" si="117"/>
        <v>-5.0088908674546202</v>
      </c>
      <c r="I685" s="17">
        <f t="shared" si="118"/>
        <v>3.8031184516148402</v>
      </c>
      <c r="J685" s="17">
        <f t="shared" si="119"/>
        <v>-5.0106493357505499</v>
      </c>
      <c r="K685" s="15">
        <f t="shared" si="120"/>
        <v>-1.14136767903616E-5</v>
      </c>
      <c r="L685" s="15">
        <f t="shared" si="121"/>
        <v>1.7584682959297399E-3</v>
      </c>
      <c r="M685" s="15">
        <f t="shared" si="122"/>
        <v>9.61103869410459E-2</v>
      </c>
      <c r="N685" s="15">
        <f t="shared" si="123"/>
        <v>0.12662646525784599</v>
      </c>
      <c r="O685" s="17">
        <v>7.5474817999999999</v>
      </c>
      <c r="P685" s="17">
        <v>-6.3457369999999997</v>
      </c>
      <c r="Q685" s="17">
        <v>4.3778471999999997</v>
      </c>
      <c r="R685" s="17">
        <v>-8.7302551000000008</v>
      </c>
      <c r="S685" s="17">
        <f t="shared" si="124"/>
        <v>0.99044127948523175</v>
      </c>
      <c r="T685" s="17">
        <f t="shared" si="125"/>
        <v>-23.311908523319289</v>
      </c>
    </row>
    <row r="686" spans="1:20" x14ac:dyDescent="0.35">
      <c r="A686" s="16">
        <v>2.8000000000000003</v>
      </c>
      <c r="B686" s="16">
        <v>15.585599999999999</v>
      </c>
      <c r="C686" s="16">
        <v>-5.2582608000000003E-2</v>
      </c>
      <c r="D686" s="16">
        <v>-5.6253585000000002E-2</v>
      </c>
      <c r="E686" s="16">
        <v>0.94740606000000005</v>
      </c>
      <c r="F686" s="16">
        <v>-5.9724078999999999E-2</v>
      </c>
      <c r="G686" s="16">
        <f t="shared" si="116"/>
        <v>3.7906581493099298</v>
      </c>
      <c r="H686" s="16">
        <f t="shared" si="117"/>
        <v>-4.7304186178511101</v>
      </c>
      <c r="I686" s="16">
        <f t="shared" si="118"/>
        <v>3.7906554944020798</v>
      </c>
      <c r="J686" s="16">
        <f t="shared" si="119"/>
        <v>-4.7321538792900197</v>
      </c>
      <c r="K686" s="15">
        <f t="shared" si="120"/>
        <v>2.65490785000821E-6</v>
      </c>
      <c r="L686" s="15">
        <f t="shared" si="121"/>
        <v>1.73526143890967E-3</v>
      </c>
      <c r="M686" s="15">
        <f t="shared" si="122"/>
        <v>0.103112438534869</v>
      </c>
      <c r="N686" s="15">
        <f t="shared" si="123"/>
        <v>0.12872283612594501</v>
      </c>
      <c r="O686" s="16">
        <v>7.5941672999999996</v>
      </c>
      <c r="P686" s="16">
        <v>-6.7360796000000001</v>
      </c>
      <c r="Q686" s="16">
        <v>4.2770079000000001</v>
      </c>
      <c r="R686" s="16">
        <v>-9.1248391000000009</v>
      </c>
      <c r="S686" s="16">
        <f t="shared" si="124"/>
        <v>0.99274067711550307</v>
      </c>
      <c r="T686" s="16">
        <f t="shared" si="125"/>
        <v>-23.313255466798687</v>
      </c>
    </row>
    <row r="687" spans="1:20" x14ac:dyDescent="0.35">
      <c r="A687" s="17">
        <v>2.8000000000000003</v>
      </c>
      <c r="B687" s="17">
        <v>15.634399999999999</v>
      </c>
      <c r="C687" s="17">
        <v>-5.6016397000000002E-2</v>
      </c>
      <c r="D687" s="17">
        <v>-5.6678370999999998E-2</v>
      </c>
      <c r="E687" s="17">
        <v>0.94396904999999998</v>
      </c>
      <c r="F687" s="17">
        <v>-6.0175972000000001E-2</v>
      </c>
      <c r="G687" s="17">
        <f t="shared" si="116"/>
        <v>3.7750608743687502</v>
      </c>
      <c r="H687" s="17">
        <f t="shared" si="117"/>
        <v>-4.4575906643099197</v>
      </c>
      <c r="I687" s="17">
        <f t="shared" si="118"/>
        <v>3.7750566561764001</v>
      </c>
      <c r="J687" s="17">
        <f t="shared" si="119"/>
        <v>-4.4593394849119896</v>
      </c>
      <c r="K687" s="15">
        <f t="shared" si="120"/>
        <v>4.2181923500805902E-6</v>
      </c>
      <c r="L687" s="15">
        <f t="shared" si="121"/>
        <v>1.74882060206993E-3</v>
      </c>
      <c r="M687" s="15">
        <f t="shared" si="122"/>
        <v>0.110586256617856</v>
      </c>
      <c r="N687" s="15">
        <f t="shared" si="123"/>
        <v>0.13063159193062199</v>
      </c>
      <c r="O687" s="17">
        <v>7.6348038000000003</v>
      </c>
      <c r="P687" s="17">
        <v>-7.1634463000000004</v>
      </c>
      <c r="Q687" s="17">
        <v>4.1463082</v>
      </c>
      <c r="R687" s="17">
        <v>-9.5332972999999992</v>
      </c>
      <c r="S687" s="17">
        <f t="shared" si="124"/>
        <v>0.99299788297476987</v>
      </c>
      <c r="T687" s="17">
        <f t="shared" si="125"/>
        <v>-23.318759282715934</v>
      </c>
    </row>
    <row r="688" spans="1:20" x14ac:dyDescent="0.35">
      <c r="A688" s="16">
        <v>2.8000000000000003</v>
      </c>
      <c r="B688" s="16">
        <v>15.683199999999999</v>
      </c>
      <c r="C688" s="16">
        <v>-5.9637952000000001E-2</v>
      </c>
      <c r="D688" s="16">
        <v>-5.6918881999999997E-2</v>
      </c>
      <c r="E688" s="16">
        <v>0.94034669000000004</v>
      </c>
      <c r="F688" s="16">
        <v>-6.0440515E-2</v>
      </c>
      <c r="G688" s="16">
        <f t="shared" si="116"/>
        <v>3.7598517494736199</v>
      </c>
      <c r="H688" s="16">
        <f t="shared" si="117"/>
        <v>-4.1899828141875197</v>
      </c>
      <c r="I688" s="16">
        <f t="shared" si="118"/>
        <v>3.7598471709512098</v>
      </c>
      <c r="J688" s="16">
        <f t="shared" si="119"/>
        <v>-4.1917436522709197</v>
      </c>
      <c r="K688" s="15">
        <f t="shared" si="120"/>
        <v>4.5785224100924901E-6</v>
      </c>
      <c r="L688" s="15">
        <f t="shared" si="121"/>
        <v>1.7608380834E-3</v>
      </c>
      <c r="M688" s="15">
        <f t="shared" si="122"/>
        <v>0.118580361895006</v>
      </c>
      <c r="N688" s="15">
        <f t="shared" si="123"/>
        <v>0.132201777534385</v>
      </c>
      <c r="O688" s="16">
        <v>7.6389031999999997</v>
      </c>
      <c r="P688" s="16">
        <v>-7.6003701000000001</v>
      </c>
      <c r="Q688" s="16">
        <v>3.9854007</v>
      </c>
      <c r="R688" s="16">
        <v>-9.9539416999999997</v>
      </c>
      <c r="S688" s="16">
        <f t="shared" si="124"/>
        <v>0.99501812404946344</v>
      </c>
      <c r="T688" s="16">
        <f t="shared" si="125"/>
        <v>-23.324491997698221</v>
      </c>
    </row>
    <row r="689" spans="1:20" x14ac:dyDescent="0.35">
      <c r="A689" s="17">
        <v>2.8000000000000003</v>
      </c>
      <c r="B689" s="17">
        <v>15.731999999999999</v>
      </c>
      <c r="C689" s="17">
        <v>-6.3442225000000005E-2</v>
      </c>
      <c r="D689" s="17">
        <v>-5.6944783999999998E-2</v>
      </c>
      <c r="E689" s="17">
        <v>0.93654300999999995</v>
      </c>
      <c r="F689" s="17">
        <v>-6.0488223000000001E-2</v>
      </c>
      <c r="G689" s="17">
        <f t="shared" si="116"/>
        <v>3.7449859489538002</v>
      </c>
      <c r="H689" s="17">
        <f t="shared" si="117"/>
        <v>-3.9274380009428098</v>
      </c>
      <c r="I689" s="17">
        <f t="shared" si="118"/>
        <v>3.74498170544895</v>
      </c>
      <c r="J689" s="17">
        <f t="shared" si="119"/>
        <v>-3.9292097410409701</v>
      </c>
      <c r="K689" s="15">
        <f t="shared" si="120"/>
        <v>4.2435048501765502E-6</v>
      </c>
      <c r="L689" s="15">
        <f t="shared" si="121"/>
        <v>1.77174009816028E-3</v>
      </c>
      <c r="M689" s="15">
        <f t="shared" si="122"/>
        <v>0.12710546600300501</v>
      </c>
      <c r="N689" s="15">
        <f t="shared" si="123"/>
        <v>0.13335820424219899</v>
      </c>
      <c r="O689" s="17">
        <v>7.6266812000000002</v>
      </c>
      <c r="P689" s="17">
        <v>-8.0689928000000002</v>
      </c>
      <c r="Q689" s="17">
        <v>3.7907655</v>
      </c>
      <c r="R689" s="17">
        <v>-10.383380000000001</v>
      </c>
      <c r="S689" s="17">
        <f t="shared" si="124"/>
        <v>0.99556742855699509</v>
      </c>
      <c r="T689" s="17">
        <f t="shared" si="125"/>
        <v>-23.329672402442185</v>
      </c>
    </row>
    <row r="690" spans="1:20" x14ac:dyDescent="0.35">
      <c r="A690" s="16">
        <v>2.8000000000000003</v>
      </c>
      <c r="B690" s="16">
        <v>15.780799999999999</v>
      </c>
      <c r="C690" s="16">
        <v>-6.7419609000000005E-2</v>
      </c>
      <c r="D690" s="16">
        <v>-5.672377E-2</v>
      </c>
      <c r="E690" s="16">
        <v>0.93256700999999997</v>
      </c>
      <c r="F690" s="16">
        <v>-6.0287400999999997E-2</v>
      </c>
      <c r="G690" s="16">
        <f t="shared" si="116"/>
        <v>3.73042764603069</v>
      </c>
      <c r="H690" s="16">
        <f t="shared" si="117"/>
        <v>-3.6698361635388599</v>
      </c>
      <c r="I690" s="16">
        <f t="shared" si="118"/>
        <v>3.7304241304060599</v>
      </c>
      <c r="J690" s="16">
        <f t="shared" si="119"/>
        <v>-3.6716179972244198</v>
      </c>
      <c r="K690" s="15">
        <f t="shared" si="120"/>
        <v>3.51562463007937E-6</v>
      </c>
      <c r="L690" s="15">
        <f t="shared" si="121"/>
        <v>1.78183368555995E-3</v>
      </c>
      <c r="M690" s="15">
        <f t="shared" si="122"/>
        <v>0.13616255502962701</v>
      </c>
      <c r="N690" s="15">
        <f t="shared" si="123"/>
        <v>0.13401609846986001</v>
      </c>
      <c r="O690" s="16">
        <v>7.5742659000000003</v>
      </c>
      <c r="P690" s="16">
        <v>-8.5475971000000008</v>
      </c>
      <c r="Q690" s="16">
        <v>3.5594641</v>
      </c>
      <c r="R690" s="16">
        <v>-10.819527000000001</v>
      </c>
      <c r="S690" s="16">
        <f t="shared" si="124"/>
        <v>0.99731693268362598</v>
      </c>
      <c r="T690" s="16">
        <f t="shared" si="125"/>
        <v>-23.33461466900804</v>
      </c>
    </row>
    <row r="691" spans="1:20" x14ac:dyDescent="0.35">
      <c r="A691" s="17">
        <v>2.8000000000000003</v>
      </c>
      <c r="B691" s="17">
        <v>15.829599999999999</v>
      </c>
      <c r="C691" s="17">
        <v>-7.1555115000000002E-2</v>
      </c>
      <c r="D691" s="17">
        <v>-5.6222162999999999E-2</v>
      </c>
      <c r="E691" s="17">
        <v>0.92843337000000004</v>
      </c>
      <c r="F691" s="17">
        <v>-5.9804784999999999E-2</v>
      </c>
      <c r="G691" s="17">
        <f t="shared" si="116"/>
        <v>3.7161498655003</v>
      </c>
      <c r="H691" s="17">
        <f t="shared" si="117"/>
        <v>-3.4170814819456701</v>
      </c>
      <c r="I691" s="17">
        <f t="shared" si="118"/>
        <v>3.71614731680737</v>
      </c>
      <c r="J691" s="17">
        <f t="shared" si="119"/>
        <v>-3.4188728078247199</v>
      </c>
      <c r="K691" s="15">
        <f t="shared" si="120"/>
        <v>2.5486929300377902E-6</v>
      </c>
      <c r="L691" s="15">
        <f t="shared" si="121"/>
        <v>1.7913258790498399E-3</v>
      </c>
      <c r="M691" s="15">
        <f t="shared" si="122"/>
        <v>0.145740170871165</v>
      </c>
      <c r="N691" s="15">
        <f t="shared" si="123"/>
        <v>0.13408163474725401</v>
      </c>
      <c r="O691" s="17">
        <v>7.4939603999999997</v>
      </c>
      <c r="P691" s="17">
        <v>-9.0518181999999996</v>
      </c>
      <c r="Q691" s="17">
        <v>3.2883095999999998</v>
      </c>
      <c r="R691" s="17">
        <v>-11.258482000000001</v>
      </c>
      <c r="S691" s="17">
        <f t="shared" si="124"/>
        <v>0.99808477739915225</v>
      </c>
      <c r="T691" s="17">
        <f t="shared" si="125"/>
        <v>-23.339497651973396</v>
      </c>
    </row>
    <row r="692" spans="1:20" x14ac:dyDescent="0.35">
      <c r="A692" s="16">
        <v>2.8000000000000003</v>
      </c>
      <c r="B692" s="16">
        <v>15.878399999999999</v>
      </c>
      <c r="C692" s="16">
        <v>-7.5827562000000001E-2</v>
      </c>
      <c r="D692" s="16">
        <v>-5.5405774999999997E-2</v>
      </c>
      <c r="E692" s="16">
        <v>0.92416304999999999</v>
      </c>
      <c r="F692" s="16">
        <v>-5.9006453E-2</v>
      </c>
      <c r="G692" s="16">
        <f t="shared" si="116"/>
        <v>3.70213212699788</v>
      </c>
      <c r="H692" s="16">
        <f t="shared" si="117"/>
        <v>-3.1690913381633501</v>
      </c>
      <c r="I692" s="16">
        <f t="shared" si="118"/>
        <v>3.7021306742314901</v>
      </c>
      <c r="J692" s="16">
        <f t="shared" si="119"/>
        <v>-3.1708916882296698</v>
      </c>
      <c r="K692" s="15">
        <f t="shared" si="120"/>
        <v>1.4527663898533701E-6</v>
      </c>
      <c r="L692" s="15">
        <f t="shared" si="121"/>
        <v>1.8003500663197299E-3</v>
      </c>
      <c r="M692" s="15">
        <f t="shared" si="122"/>
        <v>0.15581144519062601</v>
      </c>
      <c r="N692" s="15">
        <f t="shared" si="123"/>
        <v>0.13345320842532599</v>
      </c>
      <c r="O692" s="16">
        <v>7.3686693999999999</v>
      </c>
      <c r="P692" s="16">
        <v>-9.5637670999999997</v>
      </c>
      <c r="Q692" s="16">
        <v>2.9747400000000002</v>
      </c>
      <c r="R692" s="16">
        <v>-11.696503999999999</v>
      </c>
      <c r="S692" s="16">
        <f t="shared" si="124"/>
        <v>0.99963754457506082</v>
      </c>
      <c r="T692" s="16">
        <f t="shared" si="125"/>
        <v>-23.344095169788773</v>
      </c>
    </row>
    <row r="693" spans="1:20" x14ac:dyDescent="0.35">
      <c r="A693" s="17">
        <v>2.8000000000000003</v>
      </c>
      <c r="B693" s="17">
        <v>15.927199999999999</v>
      </c>
      <c r="C693" s="17">
        <v>-8.0208885999999993E-2</v>
      </c>
      <c r="D693" s="17">
        <v>-5.4241046000000001E-2</v>
      </c>
      <c r="E693" s="17">
        <v>0.91978402000000004</v>
      </c>
      <c r="F693" s="17">
        <v>-5.7859015E-2</v>
      </c>
      <c r="G693" s="17">
        <f t="shared" si="116"/>
        <v>3.68835884031538</v>
      </c>
      <c r="H693" s="17">
        <f t="shared" si="117"/>
        <v>-2.9257943247863998</v>
      </c>
      <c r="I693" s="17">
        <f t="shared" si="118"/>
        <v>3.6883585657518401</v>
      </c>
      <c r="J693" s="17">
        <f t="shared" si="119"/>
        <v>-2.92760331619957</v>
      </c>
      <c r="K693" s="15">
        <f t="shared" si="120"/>
        <v>2.7456353990373801E-7</v>
      </c>
      <c r="L693" s="15">
        <f t="shared" si="121"/>
        <v>1.80899141317026E-3</v>
      </c>
      <c r="M693" s="15">
        <f t="shared" si="122"/>
        <v>0.16633071030249599</v>
      </c>
      <c r="N693" s="15">
        <f t="shared" si="123"/>
        <v>0.132023590002605</v>
      </c>
      <c r="O693" s="17">
        <v>7.2047466</v>
      </c>
      <c r="P693" s="17">
        <v>-10.092521</v>
      </c>
      <c r="Q693" s="17">
        <v>2.6162510000000001</v>
      </c>
      <c r="R693" s="17">
        <v>-12.128026999999999</v>
      </c>
      <c r="S693" s="17">
        <f t="shared" si="124"/>
        <v>1.0005411079638162</v>
      </c>
      <c r="T693" s="17">
        <f t="shared" si="125"/>
        <v>-23.348624629999154</v>
      </c>
    </row>
    <row r="694" spans="1:20" x14ac:dyDescent="0.35">
      <c r="A694" s="16">
        <v>2.8000000000000003</v>
      </c>
      <c r="B694" s="16">
        <v>15.976000000000001</v>
      </c>
      <c r="C694" s="16">
        <v>-8.4663632000000003E-2</v>
      </c>
      <c r="D694" s="16">
        <v>-5.2696485000000001E-2</v>
      </c>
      <c r="E694" s="16">
        <v>0.91533165000000005</v>
      </c>
      <c r="F694" s="16">
        <v>-5.6331089000000001E-2</v>
      </c>
      <c r="G694" s="16">
        <f t="shared" si="116"/>
        <v>3.6748169807562299</v>
      </c>
      <c r="H694" s="16">
        <f t="shared" si="117"/>
        <v>-2.6871259018993201</v>
      </c>
      <c r="I694" s="16">
        <f t="shared" si="118"/>
        <v>3.6748179243496901</v>
      </c>
      <c r="J694" s="16">
        <f t="shared" si="119"/>
        <v>-2.6889432064715502</v>
      </c>
      <c r="K694" s="15">
        <f t="shared" si="120"/>
        <v>-9.4359346025640899E-7</v>
      </c>
      <c r="L694" s="15">
        <f t="shared" si="121"/>
        <v>1.81730457223006E-3</v>
      </c>
      <c r="M694" s="15">
        <f t="shared" si="122"/>
        <v>0.17723031964719399</v>
      </c>
      <c r="N694" s="15">
        <f t="shared" si="123"/>
        <v>0.12968323160675699</v>
      </c>
      <c r="O694" s="16">
        <v>6.9907738000000004</v>
      </c>
      <c r="P694" s="16">
        <v>-10.623193000000001</v>
      </c>
      <c r="Q694" s="16">
        <v>2.2113681999999999</v>
      </c>
      <c r="R694" s="16">
        <v>-12.548413999999999</v>
      </c>
      <c r="S694" s="16">
        <f t="shared" si="124"/>
        <v>1.0019449399693705</v>
      </c>
      <c r="T694" s="16">
        <f t="shared" si="125"/>
        <v>-23.353160158201788</v>
      </c>
    </row>
    <row r="695" spans="1:20" x14ac:dyDescent="0.35">
      <c r="A695" s="17">
        <v>2.8000000000000003</v>
      </c>
      <c r="B695" s="17">
        <v>16.024799999999999</v>
      </c>
      <c r="C695" s="17">
        <v>-8.9148756999999995E-2</v>
      </c>
      <c r="D695" s="17">
        <v>-5.0744362000000001E-2</v>
      </c>
      <c r="E695" s="17">
        <v>0.91084896999999998</v>
      </c>
      <c r="F695" s="17">
        <v>-5.4395041999999998E-2</v>
      </c>
      <c r="G695" s="17">
        <f t="shared" si="116"/>
        <v>3.6614958386259402</v>
      </c>
      <c r="H695" s="17">
        <f t="shared" si="117"/>
        <v>-2.4530291723624198</v>
      </c>
      <c r="I695" s="17">
        <f t="shared" si="118"/>
        <v>3.6614980339910299</v>
      </c>
      <c r="J695" s="17">
        <f t="shared" si="119"/>
        <v>-2.45485451042962</v>
      </c>
      <c r="K695" s="15">
        <f t="shared" si="120"/>
        <v>-2.1953650897188498E-6</v>
      </c>
      <c r="L695" s="15">
        <f t="shared" si="121"/>
        <v>1.8253380672002E-3</v>
      </c>
      <c r="M695" s="15">
        <f t="shared" si="122"/>
        <v>0.18841768758893601</v>
      </c>
      <c r="N695" s="15">
        <f t="shared" si="123"/>
        <v>0.12632480092260301</v>
      </c>
      <c r="O695" s="17">
        <v>6.7293443999999996</v>
      </c>
      <c r="P695" s="17">
        <v>-11.158541</v>
      </c>
      <c r="Q695" s="17">
        <v>1.7591132</v>
      </c>
      <c r="R695" s="17">
        <v>-12.950419999999999</v>
      </c>
      <c r="S695" s="17">
        <f t="shared" si="124"/>
        <v>1.0029719128066064</v>
      </c>
      <c r="T695" s="17">
        <f t="shared" si="125"/>
        <v>-23.357381778915506</v>
      </c>
    </row>
    <row r="696" spans="1:20" x14ac:dyDescent="0.35">
      <c r="A696" s="16">
        <v>2.8000000000000003</v>
      </c>
      <c r="B696" s="16">
        <v>16.073599999999999</v>
      </c>
      <c r="C696" s="16">
        <v>-9.3613848999999999E-2</v>
      </c>
      <c r="D696" s="16">
        <v>-4.8362636000000001E-2</v>
      </c>
      <c r="E696" s="16">
        <v>0.90638640999999998</v>
      </c>
      <c r="F696" s="16">
        <v>-5.2028932E-2</v>
      </c>
      <c r="G696" s="16">
        <f t="shared" si="116"/>
        <v>3.64838586140745</v>
      </c>
      <c r="H696" s="16">
        <f t="shared" si="117"/>
        <v>-2.2234536322071099</v>
      </c>
      <c r="I696" s="16">
        <f t="shared" si="118"/>
        <v>3.6483893513264301</v>
      </c>
      <c r="J696" s="16">
        <f t="shared" si="119"/>
        <v>-2.2252867735721802</v>
      </c>
      <c r="K696" s="15">
        <f t="shared" si="120"/>
        <v>-3.4899189800263699E-6</v>
      </c>
      <c r="L696" s="15">
        <f t="shared" si="121"/>
        <v>1.8331413650702899E-3</v>
      </c>
      <c r="M696" s="15">
        <f t="shared" si="122"/>
        <v>0.19977331513975999</v>
      </c>
      <c r="N696" s="15">
        <f t="shared" si="123"/>
        <v>0.12184908820972</v>
      </c>
      <c r="O696" s="16">
        <v>6.4142020999999998</v>
      </c>
      <c r="P696" s="16">
        <v>-11.686275999999999</v>
      </c>
      <c r="Q696" s="16">
        <v>1.2596221000000001</v>
      </c>
      <c r="R696" s="16">
        <v>-13.327719999999999</v>
      </c>
      <c r="S696" s="16">
        <f t="shared" si="124"/>
        <v>1.0042219248391917</v>
      </c>
      <c r="T696" s="16">
        <f t="shared" si="125"/>
        <v>-23.361826239218523</v>
      </c>
    </row>
    <row r="697" spans="1:20" x14ac:dyDescent="0.35">
      <c r="A697" s="17">
        <v>2.8000000000000003</v>
      </c>
      <c r="B697" s="17">
        <v>16.122399999999999</v>
      </c>
      <c r="C697" s="17">
        <v>-9.8001859999999996E-2</v>
      </c>
      <c r="D697" s="17">
        <v>-4.5536957000000003E-2</v>
      </c>
      <c r="E697" s="17">
        <v>0.90200108000000001</v>
      </c>
      <c r="F697" s="17">
        <v>-4.9218547000000001E-2</v>
      </c>
      <c r="G697" s="17">
        <f t="shared" si="116"/>
        <v>3.6354790945775202</v>
      </c>
      <c r="H697" s="17">
        <f t="shared" si="117"/>
        <v>-1.9983555095372301</v>
      </c>
      <c r="I697" s="17">
        <f t="shared" si="118"/>
        <v>3.6354839530751701</v>
      </c>
      <c r="J697" s="17">
        <f t="shared" si="119"/>
        <v>-2.0001962928877801</v>
      </c>
      <c r="K697" s="15">
        <f t="shared" si="120"/>
        <v>-4.8584976499732599E-6</v>
      </c>
      <c r="L697" s="15">
        <f t="shared" si="121"/>
        <v>1.8407833505500501E-3</v>
      </c>
      <c r="M697" s="15">
        <f t="shared" si="122"/>
        <v>0.21115015975075599</v>
      </c>
      <c r="N697" s="15">
        <f t="shared" si="123"/>
        <v>0.116172089390981</v>
      </c>
      <c r="O697" s="17">
        <v>6.0463209000000004</v>
      </c>
      <c r="P697" s="17">
        <v>-12.203321000000001</v>
      </c>
      <c r="Q697" s="17">
        <v>0.71441535</v>
      </c>
      <c r="R697" s="17">
        <v>-13.67299</v>
      </c>
      <c r="S697" s="17">
        <f t="shared" si="124"/>
        <v>1.0053287374671618</v>
      </c>
      <c r="T697" s="17">
        <f t="shared" si="125"/>
        <v>-23.365823141967034</v>
      </c>
    </row>
    <row r="698" spans="1:20" x14ac:dyDescent="0.35">
      <c r="A698" s="16">
        <v>2.8000000000000003</v>
      </c>
      <c r="B698" s="16">
        <v>16.171199999999999</v>
      </c>
      <c r="C698" s="16">
        <v>-0.10225658</v>
      </c>
      <c r="D698" s="16">
        <v>-4.2256924000000001E-2</v>
      </c>
      <c r="E698" s="16">
        <v>0.89774821000000005</v>
      </c>
      <c r="F698" s="16">
        <v>-4.5955485999999997E-2</v>
      </c>
      <c r="G698" s="16">
        <f t="shared" si="116"/>
        <v>3.6227255813866499</v>
      </c>
      <c r="H698" s="16">
        <f t="shared" si="117"/>
        <v>-1.77736843045791</v>
      </c>
      <c r="I698" s="16">
        <f t="shared" si="118"/>
        <v>3.6227313961848702</v>
      </c>
      <c r="J698" s="16">
        <f t="shared" si="119"/>
        <v>-1.77921769627572</v>
      </c>
      <c r="K698" s="15">
        <f t="shared" si="120"/>
        <v>-5.8147982202605402E-6</v>
      </c>
      <c r="L698" s="15">
        <f t="shared" si="121"/>
        <v>1.84926581780998E-3</v>
      </c>
      <c r="M698" s="15">
        <f t="shared" si="122"/>
        <v>0.2223926479478</v>
      </c>
      <c r="N698" s="15">
        <f t="shared" si="123"/>
        <v>0.10922281877343799</v>
      </c>
      <c r="O698" s="16">
        <v>5.6239533000000002</v>
      </c>
      <c r="P698" s="16">
        <v>-12.701321999999999</v>
      </c>
      <c r="Q698" s="16">
        <v>0.12525153</v>
      </c>
      <c r="R698" s="16">
        <v>-13.979164000000001</v>
      </c>
      <c r="S698" s="16">
        <f t="shared" si="124"/>
        <v>1.0064066645853051</v>
      </c>
      <c r="T698" s="16">
        <f t="shared" si="125"/>
        <v>-23.369689050521757</v>
      </c>
    </row>
    <row r="699" spans="1:20" x14ac:dyDescent="0.35">
      <c r="A699" s="17">
        <v>2.8000000000000003</v>
      </c>
      <c r="B699" s="17">
        <v>16.22</v>
      </c>
      <c r="C699" s="17">
        <v>-0.10630307</v>
      </c>
      <c r="D699" s="17">
        <v>-3.8536334999999998E-2</v>
      </c>
      <c r="E699" s="17">
        <v>0.89370486999999998</v>
      </c>
      <c r="F699" s="17">
        <v>-4.2251068000000003E-2</v>
      </c>
      <c r="G699" s="17">
        <f t="shared" si="116"/>
        <v>3.6101915084457201</v>
      </c>
      <c r="H699" s="17">
        <f t="shared" si="117"/>
        <v>-1.5609471922727001</v>
      </c>
      <c r="I699" s="17">
        <f t="shared" si="118"/>
        <v>3.6101989281872902</v>
      </c>
      <c r="J699" s="17">
        <f t="shared" si="119"/>
        <v>-1.5628045376178601</v>
      </c>
      <c r="K699" s="15">
        <f t="shared" si="120"/>
        <v>-7.41974157003611E-6</v>
      </c>
      <c r="L699" s="15">
        <f t="shared" si="121"/>
        <v>1.85734534516002E-3</v>
      </c>
      <c r="M699" s="15">
        <f t="shared" si="122"/>
        <v>0.233278856305948</v>
      </c>
      <c r="N699" s="15">
        <f t="shared" si="123"/>
        <v>0.100983148689896</v>
      </c>
      <c r="O699" s="17">
        <v>5.1491122999999996</v>
      </c>
      <c r="P699" s="17">
        <v>-13.171044999999999</v>
      </c>
      <c r="Q699" s="17">
        <v>-0.50246133000000004</v>
      </c>
      <c r="R699" s="17">
        <v>-14.238955000000001</v>
      </c>
      <c r="S699" s="17">
        <f t="shared" si="124"/>
        <v>1.0074985776601904</v>
      </c>
      <c r="T699" s="17">
        <f t="shared" si="125"/>
        <v>-23.373610033670456</v>
      </c>
    </row>
    <row r="700" spans="1:20" x14ac:dyDescent="0.35">
      <c r="A700" s="16">
        <v>2.8000000000000003</v>
      </c>
      <c r="B700" s="16">
        <v>16.268799999999999</v>
      </c>
      <c r="C700" s="16">
        <v>-0.11007546</v>
      </c>
      <c r="D700" s="16">
        <v>-3.4395008999999997E-2</v>
      </c>
      <c r="E700" s="16">
        <v>0.88993571000000005</v>
      </c>
      <c r="F700" s="16">
        <v>-3.8125597999999997E-2</v>
      </c>
      <c r="G700" s="16">
        <f t="shared" si="116"/>
        <v>3.5978488731342502</v>
      </c>
      <c r="H700" s="16">
        <f t="shared" si="117"/>
        <v>-1.3490226395760201</v>
      </c>
      <c r="I700" s="16">
        <f t="shared" si="118"/>
        <v>3.5978579373562201</v>
      </c>
      <c r="J700" s="16">
        <f t="shared" si="119"/>
        <v>-1.35088790675106</v>
      </c>
      <c r="K700" s="15">
        <f t="shared" si="120"/>
        <v>-9.0642219698899902E-6</v>
      </c>
      <c r="L700" s="15">
        <f t="shared" si="121"/>
        <v>1.86526717503988E-3</v>
      </c>
      <c r="M700" s="15">
        <f t="shared" si="122"/>
        <v>0.24360085582221599</v>
      </c>
      <c r="N700" s="15">
        <f t="shared" si="123"/>
        <v>9.1464825997619306E-2</v>
      </c>
      <c r="O700" s="16">
        <v>4.6238871000000001</v>
      </c>
      <c r="P700" s="16">
        <v>-13.602423</v>
      </c>
      <c r="Q700" s="16">
        <v>-1.1630602000000001</v>
      </c>
      <c r="R700" s="16">
        <v>-14.445957</v>
      </c>
      <c r="S700" s="16">
        <f t="shared" si="124"/>
        <v>1.0087601507733521</v>
      </c>
      <c r="T700" s="16">
        <f t="shared" si="125"/>
        <v>-23.377515321763592</v>
      </c>
    </row>
    <row r="701" spans="1:20" x14ac:dyDescent="0.35">
      <c r="A701" s="17">
        <v>2.8000000000000003</v>
      </c>
      <c r="B701" s="17">
        <v>16.317599999999999</v>
      </c>
      <c r="C701" s="17">
        <v>-0.11351082</v>
      </c>
      <c r="D701" s="17">
        <v>-2.9864671999999998E-2</v>
      </c>
      <c r="E701" s="17">
        <v>0.88650388999999996</v>
      </c>
      <c r="F701" s="17">
        <v>-3.3611095000000001E-2</v>
      </c>
      <c r="G701" s="17">
        <f t="shared" si="116"/>
        <v>3.5856954298978798</v>
      </c>
      <c r="H701" s="17">
        <f t="shared" si="117"/>
        <v>-1.14150869232105</v>
      </c>
      <c r="I701" s="17">
        <f t="shared" si="118"/>
        <v>3.5857062936753699</v>
      </c>
      <c r="J701" s="17">
        <f t="shared" si="119"/>
        <v>-1.1433818696936799</v>
      </c>
      <c r="K701" s="15">
        <f t="shared" si="120"/>
        <v>-1.0863777490044399E-5</v>
      </c>
      <c r="L701" s="15">
        <f t="shared" si="121"/>
        <v>1.8731773726299299E-3</v>
      </c>
      <c r="M701" s="15">
        <f t="shared" si="122"/>
        <v>0.2531453994949</v>
      </c>
      <c r="N701" s="15">
        <f t="shared" si="123"/>
        <v>8.0721017415554194E-2</v>
      </c>
      <c r="O701" s="17">
        <v>4.0548776000000002</v>
      </c>
      <c r="P701" s="17">
        <v>-13.994821</v>
      </c>
      <c r="Q701" s="17">
        <v>-1.8496672999999999</v>
      </c>
      <c r="R701" s="17">
        <v>-14.594647</v>
      </c>
      <c r="S701" s="17">
        <f t="shared" si="124"/>
        <v>1.009675286776506</v>
      </c>
      <c r="T701" s="17">
        <f t="shared" si="125"/>
        <v>-23.381416424454471</v>
      </c>
    </row>
    <row r="702" spans="1:20" x14ac:dyDescent="0.35">
      <c r="A702" s="16">
        <v>2.8000000000000003</v>
      </c>
      <c r="B702" s="16">
        <v>16.366399999999999</v>
      </c>
      <c r="C702" s="16">
        <v>-0.11655406</v>
      </c>
      <c r="D702" s="16">
        <v>-2.4990140000000001E-2</v>
      </c>
      <c r="E702" s="16">
        <v>0.88348766999999995</v>
      </c>
      <c r="F702" s="16">
        <v>-2.8823897000000001E-2</v>
      </c>
      <c r="G702" s="16">
        <f t="shared" si="116"/>
        <v>3.57344317973984</v>
      </c>
      <c r="H702" s="16">
        <f t="shared" si="117"/>
        <v>-0.93958512174325803</v>
      </c>
      <c r="I702" s="16">
        <f t="shared" si="118"/>
        <v>3.5734677184841899</v>
      </c>
      <c r="J702" s="16">
        <f t="shared" si="119"/>
        <v>-0.94150191321161203</v>
      </c>
      <c r="K702" s="15">
        <f t="shared" si="120"/>
        <v>-2.4538744349822401E-5</v>
      </c>
      <c r="L702" s="15">
        <f t="shared" si="121"/>
        <v>1.9167914683540001E-3</v>
      </c>
      <c r="M702" s="15">
        <f t="shared" si="122"/>
        <v>0.261675617641771</v>
      </c>
      <c r="N702" s="15">
        <f t="shared" si="123"/>
        <v>6.8943702324828507E-2</v>
      </c>
      <c r="O702" s="16">
        <v>3.4442917</v>
      </c>
      <c r="P702" s="16">
        <v>-14.332034</v>
      </c>
      <c r="Q702" s="16">
        <v>-2.5547941000000001</v>
      </c>
      <c r="R702" s="16">
        <v>-14.681687</v>
      </c>
      <c r="S702" s="16">
        <f t="shared" si="124"/>
        <v>1.0110052919986352</v>
      </c>
      <c r="T702" s="16">
        <f t="shared" si="125"/>
        <v>-23.384460242663401</v>
      </c>
    </row>
    <row r="703" spans="1:20" x14ac:dyDescent="0.35">
      <c r="A703" s="17">
        <v>2.8000000000000003</v>
      </c>
      <c r="B703" s="17">
        <v>16.415199999999999</v>
      </c>
      <c r="C703" s="17">
        <v>-0.11914895</v>
      </c>
      <c r="D703" s="17">
        <v>-1.9827843000000001E-2</v>
      </c>
      <c r="E703" s="17">
        <v>0.88089761</v>
      </c>
      <c r="F703" s="17">
        <v>-2.3682232000000001E-2</v>
      </c>
      <c r="G703" s="17">
        <f t="shared" si="116"/>
        <v>3.5617700943449302</v>
      </c>
      <c r="H703" s="17">
        <f t="shared" si="117"/>
        <v>-0.74080986021952899</v>
      </c>
      <c r="I703" s="17">
        <f t="shared" si="118"/>
        <v>3.5617970876084502</v>
      </c>
      <c r="J703" s="17">
        <f t="shared" si="119"/>
        <v>-0.74273695783542804</v>
      </c>
      <c r="K703" s="15">
        <f t="shared" si="120"/>
        <v>-2.6993263519958801E-5</v>
      </c>
      <c r="L703" s="15">
        <f t="shared" si="121"/>
        <v>1.9270976158990399E-3</v>
      </c>
      <c r="M703" s="15">
        <f t="shared" si="122"/>
        <v>0.269057398167591</v>
      </c>
      <c r="N703" s="15">
        <f t="shared" si="123"/>
        <v>5.6106192599616203E-2</v>
      </c>
      <c r="O703" s="17">
        <v>2.8030107000000002</v>
      </c>
      <c r="P703" s="17">
        <v>-14.616611000000001</v>
      </c>
      <c r="Q703" s="17">
        <v>-3.2681770000000001</v>
      </c>
      <c r="R703" s="17">
        <v>-14.702716000000001</v>
      </c>
      <c r="S703" s="17">
        <f t="shared" si="124"/>
        <v>1.0120015698333911</v>
      </c>
      <c r="T703" s="17">
        <f t="shared" si="125"/>
        <v>-23.387926851086302</v>
      </c>
    </row>
    <row r="704" spans="1:20" x14ac:dyDescent="0.35">
      <c r="A704" s="16">
        <v>2.8000000000000003</v>
      </c>
      <c r="B704" s="16">
        <v>16.463999999999999</v>
      </c>
      <c r="C704" s="16">
        <v>-0.12125908000000001</v>
      </c>
      <c r="D704" s="16">
        <v>-1.444641E-2</v>
      </c>
      <c r="E704" s="16">
        <v>0.87879247000000005</v>
      </c>
      <c r="F704" s="16">
        <v>-1.8322301999999999E-2</v>
      </c>
      <c r="G704" s="16">
        <f t="shared" si="116"/>
        <v>3.55028651757195</v>
      </c>
      <c r="H704" s="16">
        <f t="shared" si="117"/>
        <v>-0.54641843522704803</v>
      </c>
      <c r="I704" s="16">
        <f t="shared" si="118"/>
        <v>3.5503160472378301</v>
      </c>
      <c r="J704" s="16">
        <f t="shared" si="119"/>
        <v>-0.54835627405235499</v>
      </c>
      <c r="K704" s="15">
        <f t="shared" si="120"/>
        <v>-2.9529665880101399E-5</v>
      </c>
      <c r="L704" s="15">
        <f t="shared" si="121"/>
        <v>1.93783882530696E-3</v>
      </c>
      <c r="M704" s="15">
        <f t="shared" si="122"/>
        <v>0.275102315129991</v>
      </c>
      <c r="N704" s="15">
        <f t="shared" si="123"/>
        <v>4.2490324382592398E-2</v>
      </c>
      <c r="O704" s="16">
        <v>2.1379975999999998</v>
      </c>
      <c r="P704" s="16">
        <v>-14.841127999999999</v>
      </c>
      <c r="Q704" s="16">
        <v>-3.9807104999999998</v>
      </c>
      <c r="R704" s="16">
        <v>-14.657748</v>
      </c>
      <c r="S704" s="16">
        <f t="shared" si="124"/>
        <v>1.0129603492616679</v>
      </c>
      <c r="T704" s="16">
        <f t="shared" si="125"/>
        <v>-23.391343004336946</v>
      </c>
    </row>
    <row r="705" spans="1:20" x14ac:dyDescent="0.35">
      <c r="A705" s="17">
        <v>2.8000000000000003</v>
      </c>
      <c r="B705" s="17">
        <v>16.512799999999999</v>
      </c>
      <c r="C705" s="17">
        <v>-0.12285863</v>
      </c>
      <c r="D705" s="17">
        <v>-8.9182450999999996E-3</v>
      </c>
      <c r="E705" s="17">
        <v>0.87719787999999999</v>
      </c>
      <c r="F705" s="17">
        <v>-1.2777007999999999E-2</v>
      </c>
      <c r="G705" s="17">
        <f t="shared" si="116"/>
        <v>3.53913563940724</v>
      </c>
      <c r="H705" s="17">
        <f t="shared" si="117"/>
        <v>-0.35574850478419501</v>
      </c>
      <c r="I705" s="17">
        <f t="shared" si="118"/>
        <v>3.5391676157923202</v>
      </c>
      <c r="J705" s="17">
        <f t="shared" si="119"/>
        <v>-0.35767777002816098</v>
      </c>
      <c r="K705" s="15">
        <f t="shared" si="120"/>
        <v>-3.19763850802346E-5</v>
      </c>
      <c r="L705" s="15">
        <f t="shared" si="121"/>
        <v>1.9292652439659699E-3</v>
      </c>
      <c r="M705" s="15">
        <f t="shared" si="122"/>
        <v>0.27969559684636802</v>
      </c>
      <c r="N705" s="15">
        <f t="shared" si="123"/>
        <v>2.8266787060411101E-2</v>
      </c>
      <c r="O705" s="17">
        <v>1.4583344</v>
      </c>
      <c r="P705" s="17">
        <v>-15.002069000000001</v>
      </c>
      <c r="Q705" s="17">
        <v>-4.6824868000000004</v>
      </c>
      <c r="R705" s="17">
        <v>-14.547637999999999</v>
      </c>
      <c r="S705" s="17">
        <f t="shared" si="124"/>
        <v>1.0139236517677594</v>
      </c>
      <c r="T705" s="17">
        <f t="shared" si="125"/>
        <v>-23.394161197406433</v>
      </c>
    </row>
    <row r="706" spans="1:20" x14ac:dyDescent="0.35">
      <c r="A706" s="16">
        <v>2.8000000000000003</v>
      </c>
      <c r="B706" s="16">
        <v>16.561599999999999</v>
      </c>
      <c r="C706" s="16">
        <v>-0.12393888</v>
      </c>
      <c r="D706" s="16">
        <v>-3.3160660999999999E-3</v>
      </c>
      <c r="E706" s="16">
        <v>0.87611538</v>
      </c>
      <c r="F706" s="16">
        <v>-7.1954463E-3</v>
      </c>
      <c r="G706" s="16">
        <f t="shared" si="116"/>
        <v>3.5278679941776701</v>
      </c>
      <c r="H706" s="16">
        <f t="shared" si="117"/>
        <v>-0.16987416558173499</v>
      </c>
      <c r="I706" s="16">
        <f t="shared" si="118"/>
        <v>3.5278988855189901</v>
      </c>
      <c r="J706" s="16">
        <f t="shared" si="119"/>
        <v>-0.17181374314136699</v>
      </c>
      <c r="K706" s="15">
        <f t="shared" si="120"/>
        <v>-3.0891341320060702E-5</v>
      </c>
      <c r="L706" s="15">
        <f t="shared" si="121"/>
        <v>1.9395775596320101E-3</v>
      </c>
      <c r="M706" s="15">
        <f t="shared" si="122"/>
        <v>0.28278412016141502</v>
      </c>
      <c r="N706" s="15">
        <f t="shared" si="123"/>
        <v>1.37719928383728E-2</v>
      </c>
      <c r="O706" s="16">
        <v>0.7726961</v>
      </c>
      <c r="P706" s="16">
        <v>-15.099083</v>
      </c>
      <c r="Q706" s="16">
        <v>-5.3654890000000002</v>
      </c>
      <c r="R706" s="16">
        <v>-14.375332999999999</v>
      </c>
      <c r="S706" s="16">
        <f t="shared" si="124"/>
        <v>1.0148933019928095</v>
      </c>
      <c r="T706" s="16">
        <f t="shared" si="125"/>
        <v>-23.397282765923563</v>
      </c>
    </row>
    <row r="707" spans="1:20" x14ac:dyDescent="0.35">
      <c r="A707" s="17">
        <v>2.8000000000000003</v>
      </c>
      <c r="B707" s="17">
        <v>16.610399999999998</v>
      </c>
      <c r="C707" s="17">
        <v>-0.12450414999999999</v>
      </c>
      <c r="D707" s="17">
        <v>2.2754305999999999E-3</v>
      </c>
      <c r="E707" s="17">
        <v>0.87547531000000001</v>
      </c>
      <c r="F707" s="17">
        <v>-1.5780646000000001E-3</v>
      </c>
      <c r="G707" s="17">
        <f t="shared" si="116"/>
        <v>3.5155709461850999</v>
      </c>
      <c r="H707" s="17">
        <f t="shared" si="117"/>
        <v>1.22083540964321E-2</v>
      </c>
      <c r="I707" s="17">
        <f t="shared" si="118"/>
        <v>3.5155643885365402</v>
      </c>
      <c r="J707" s="17">
        <f t="shared" si="119"/>
        <v>1.02815740734676E-2</v>
      </c>
      <c r="K707" s="15">
        <f t="shared" si="120"/>
        <v>6.5576485597240702E-6</v>
      </c>
      <c r="L707" s="15">
        <f t="shared" si="121"/>
        <v>1.9267800229645E-3</v>
      </c>
      <c r="M707" s="15">
        <f t="shared" si="122"/>
        <v>0.28444691558615998</v>
      </c>
      <c r="N707" s="15">
        <f t="shared" si="123"/>
        <v>-8.3188976487099102E-4</v>
      </c>
      <c r="O707" s="17">
        <v>9.1567619000000003E-2</v>
      </c>
      <c r="P707" s="17">
        <v>-15.131244000000001</v>
      </c>
      <c r="Q707" s="17">
        <v>-6.0202947</v>
      </c>
      <c r="R707" s="17">
        <v>-14.145365</v>
      </c>
      <c r="S707" s="17">
        <f t="shared" si="124"/>
        <v>1.0159719318186462</v>
      </c>
      <c r="T707" s="17">
        <f t="shared" si="125"/>
        <v>-23.401422125156188</v>
      </c>
    </row>
    <row r="708" spans="1:20" x14ac:dyDescent="0.35">
      <c r="A708" s="16">
        <v>2.8000000000000003</v>
      </c>
      <c r="B708" s="16">
        <v>16.659199999999998</v>
      </c>
      <c r="C708" s="16">
        <v>-0.12457049000000001</v>
      </c>
      <c r="D708" s="16">
        <v>7.7821388000000003E-3</v>
      </c>
      <c r="E708" s="16">
        <v>0.87540918999999995</v>
      </c>
      <c r="F708" s="16">
        <v>3.9168763000000002E-3</v>
      </c>
      <c r="G708" s="16">
        <f t="shared" si="116"/>
        <v>3.5046388081245801</v>
      </c>
      <c r="H708" s="16">
        <f t="shared" si="117"/>
        <v>0.188998310548499</v>
      </c>
      <c r="I708" s="16">
        <f t="shared" si="118"/>
        <v>3.5046323831847999</v>
      </c>
      <c r="J708" s="16">
        <f t="shared" si="119"/>
        <v>0.18706564724560101</v>
      </c>
      <c r="K708" s="15">
        <f t="shared" si="120"/>
        <v>6.4249397802029804E-6</v>
      </c>
      <c r="L708" s="15">
        <f t="shared" si="121"/>
        <v>1.9326633028979899E-3</v>
      </c>
      <c r="M708" s="15">
        <f t="shared" si="122"/>
        <v>0.28452599729814798</v>
      </c>
      <c r="N708" s="15">
        <f t="shared" si="123"/>
        <v>-1.5187053597447601E-2</v>
      </c>
      <c r="O708" s="16">
        <v>-0.57626778999999995</v>
      </c>
      <c r="P708" s="16">
        <v>-15.106000999999999</v>
      </c>
      <c r="Q708" s="16">
        <v>-6.6393190000000004</v>
      </c>
      <c r="R708" s="16">
        <v>-13.864053</v>
      </c>
      <c r="S708" s="16">
        <f t="shared" si="124"/>
        <v>1.0168565664425779</v>
      </c>
      <c r="T708" s="16">
        <f t="shared" si="125"/>
        <v>-23.404493334421325</v>
      </c>
    </row>
    <row r="709" spans="1:20" x14ac:dyDescent="0.35">
      <c r="A709" s="17">
        <v>2.8000000000000003</v>
      </c>
      <c r="B709" s="17">
        <v>16.707999999999998</v>
      </c>
      <c r="C709" s="17">
        <v>-0.12417066</v>
      </c>
      <c r="D709" s="17">
        <v>1.3139143000000001E-2</v>
      </c>
      <c r="E709" s="17">
        <v>0.87579686000000001</v>
      </c>
      <c r="F709" s="17">
        <v>9.2239980000000006E-3</v>
      </c>
      <c r="G709" s="17">
        <f t="shared" si="116"/>
        <v>3.4938183836990699</v>
      </c>
      <c r="H709" s="17">
        <f t="shared" si="117"/>
        <v>0.36057465291021701</v>
      </c>
      <c r="I709" s="17">
        <f t="shared" si="118"/>
        <v>3.49380597569745</v>
      </c>
      <c r="J709" s="17">
        <f t="shared" si="119"/>
        <v>0.35861702432876702</v>
      </c>
      <c r="K709" s="15">
        <f t="shared" si="120"/>
        <v>1.2408001619945699E-5</v>
      </c>
      <c r="L709" s="15">
        <f t="shared" si="121"/>
        <v>1.95762858144999E-3</v>
      </c>
      <c r="M709" s="15">
        <f t="shared" si="122"/>
        <v>0.28323671393146499</v>
      </c>
      <c r="N709" s="15">
        <f t="shared" si="123"/>
        <v>-2.9072452287647099E-2</v>
      </c>
      <c r="O709" s="17">
        <v>-1.2232718</v>
      </c>
      <c r="P709" s="17">
        <v>-15.02378</v>
      </c>
      <c r="Q709" s="17">
        <v>-7.2172140999999996</v>
      </c>
      <c r="R709" s="17">
        <v>-13.537993999999999</v>
      </c>
      <c r="S709" s="17">
        <f t="shared" si="124"/>
        <v>1.017787942659939</v>
      </c>
      <c r="T709" s="17">
        <f t="shared" si="125"/>
        <v>-23.407548697627565</v>
      </c>
    </row>
    <row r="710" spans="1:20" x14ac:dyDescent="0.35">
      <c r="A710" s="16">
        <v>2.8000000000000003</v>
      </c>
      <c r="B710" s="16">
        <v>16.756799999999998</v>
      </c>
      <c r="C710" s="16">
        <v>-0.12334637</v>
      </c>
      <c r="D710" s="16">
        <v>1.8294122999999999E-2</v>
      </c>
      <c r="E710" s="16">
        <v>0.87662742999999999</v>
      </c>
      <c r="F710" s="16">
        <v>1.4338188999999999E-2</v>
      </c>
      <c r="G710" s="16">
        <f t="shared" si="116"/>
        <v>3.4835119666712502</v>
      </c>
      <c r="H710" s="16">
        <f t="shared" si="117"/>
        <v>0.527868115206793</v>
      </c>
      <c r="I710" s="16">
        <f t="shared" si="118"/>
        <v>3.4835027789915398</v>
      </c>
      <c r="J710" s="16">
        <f t="shared" si="119"/>
        <v>0.52589010412192005</v>
      </c>
      <c r="K710" s="15">
        <f t="shared" si="120"/>
        <v>9.1876797103651597E-6</v>
      </c>
      <c r="L710" s="15">
        <f t="shared" si="121"/>
        <v>1.9780110848729398E-3</v>
      </c>
      <c r="M710" s="15">
        <f t="shared" si="122"/>
        <v>0.28067069368296699</v>
      </c>
      <c r="N710" s="15">
        <f t="shared" si="123"/>
        <v>-4.2371701614556202E-2</v>
      </c>
      <c r="O710" s="16">
        <v>-1.843148</v>
      </c>
      <c r="P710" s="16">
        <v>-14.891</v>
      </c>
      <c r="Q710" s="16">
        <v>-7.7496991</v>
      </c>
      <c r="R710" s="16">
        <v>-13.174828</v>
      </c>
      <c r="S710" s="16">
        <f t="shared" si="124"/>
        <v>1.0186911120098048</v>
      </c>
      <c r="T710" s="16">
        <f t="shared" si="125"/>
        <v>-23.408946333370366</v>
      </c>
    </row>
    <row r="711" spans="1:20" x14ac:dyDescent="0.35">
      <c r="A711" s="17">
        <v>2.8000000000000003</v>
      </c>
      <c r="B711" s="17">
        <v>16.805599999999998</v>
      </c>
      <c r="C711" s="17">
        <v>-0.12214796999999999</v>
      </c>
      <c r="D711" s="17">
        <v>2.3192689999999998E-2</v>
      </c>
      <c r="E711" s="17">
        <v>0.87785957000000003</v>
      </c>
      <c r="F711" s="17">
        <v>1.9240942E-2</v>
      </c>
      <c r="G711" s="17">
        <f t="shared" si="116"/>
        <v>3.4736232021883899</v>
      </c>
      <c r="H711" s="17">
        <f t="shared" si="117"/>
        <v>0.69121892923852901</v>
      </c>
      <c r="I711" s="17">
        <f t="shared" si="118"/>
        <v>3.4736308761928498</v>
      </c>
      <c r="J711" s="17">
        <f t="shared" si="119"/>
        <v>0.68924307785035499</v>
      </c>
      <c r="K711" s="15">
        <f t="shared" si="120"/>
        <v>-7.6740044598899698E-6</v>
      </c>
      <c r="L711" s="15">
        <f t="shared" si="121"/>
        <v>1.9758513881740201E-3</v>
      </c>
      <c r="M711" s="15">
        <f t="shared" si="122"/>
        <v>0.276978270205892</v>
      </c>
      <c r="N711" s="15">
        <f t="shared" si="123"/>
        <v>-5.4958446150044402E-2</v>
      </c>
      <c r="O711" s="17">
        <v>-2.4284430000000001</v>
      </c>
      <c r="P711" s="17">
        <v>-14.714266</v>
      </c>
      <c r="Q711" s="17">
        <v>-8.233587</v>
      </c>
      <c r="R711" s="17">
        <v>-12.783814</v>
      </c>
      <c r="S711" s="17">
        <f t="shared" si="124"/>
        <v>1.0196156620225187</v>
      </c>
      <c r="T711" s="17">
        <f t="shared" si="125"/>
        <v>-23.412485519832973</v>
      </c>
    </row>
    <row r="712" spans="1:20" x14ac:dyDescent="0.35">
      <c r="A712" s="16">
        <v>2.8000000000000003</v>
      </c>
      <c r="B712" s="16">
        <v>16.854399999999998</v>
      </c>
      <c r="C712" s="16">
        <v>-0.12062818</v>
      </c>
      <c r="D712" s="16">
        <v>2.7803907999999999E-2</v>
      </c>
      <c r="E712" s="16">
        <v>0.87937847999999996</v>
      </c>
      <c r="F712" s="16">
        <v>2.3835609000000001E-2</v>
      </c>
      <c r="G712" s="16">
        <f t="shared" si="116"/>
        <v>3.4634824715235202</v>
      </c>
      <c r="H712" s="16">
        <f t="shared" si="117"/>
        <v>0.84937657246266396</v>
      </c>
      <c r="I712" s="16">
        <f t="shared" si="118"/>
        <v>3.4634897383068499</v>
      </c>
      <c r="J712" s="16">
        <f t="shared" si="119"/>
        <v>0.84739244398819602</v>
      </c>
      <c r="K712" s="15">
        <f t="shared" si="120"/>
        <v>-7.2667833297401802E-6</v>
      </c>
      <c r="L712" s="15">
        <f t="shared" si="121"/>
        <v>1.9841284744679401E-3</v>
      </c>
      <c r="M712" s="15">
        <f t="shared" si="122"/>
        <v>0.27241895975620301</v>
      </c>
      <c r="N712" s="15">
        <f t="shared" si="123"/>
        <v>-6.6651206020140005E-2</v>
      </c>
      <c r="O712" s="16">
        <v>-2.9774383000000002</v>
      </c>
      <c r="P712" s="16">
        <v>-14.500261</v>
      </c>
      <c r="Q712" s="16">
        <v>-8.6684205999999993</v>
      </c>
      <c r="R712" s="16">
        <v>-12.371223000000001</v>
      </c>
      <c r="S712" s="16">
        <f t="shared" si="124"/>
        <v>1.0204773021678542</v>
      </c>
      <c r="T712" s="16">
        <f t="shared" si="125"/>
        <v>-23.414984471607301</v>
      </c>
    </row>
    <row r="713" spans="1:20" x14ac:dyDescent="0.35">
      <c r="A713" s="17">
        <v>2.8000000000000003</v>
      </c>
      <c r="B713" s="17">
        <v>16.903200000000002</v>
      </c>
      <c r="C713" s="17">
        <v>-0.11884276000000001</v>
      </c>
      <c r="D713" s="17">
        <v>3.2102208E-2</v>
      </c>
      <c r="E713" s="17">
        <v>0.88116530999999998</v>
      </c>
      <c r="F713" s="17">
        <v>2.8112142E-2</v>
      </c>
      <c r="G713" s="17">
        <f t="shared" si="116"/>
        <v>3.4536208667988801</v>
      </c>
      <c r="H713" s="17">
        <f t="shared" si="117"/>
        <v>1.0026278735032901</v>
      </c>
      <c r="I713" s="17">
        <f t="shared" si="118"/>
        <v>3.4536288818752401</v>
      </c>
      <c r="J713" s="17">
        <f t="shared" si="119"/>
        <v>1.0006328645434901</v>
      </c>
      <c r="K713" s="15">
        <f t="shared" si="120"/>
        <v>-8.0150763599462493E-6</v>
      </c>
      <c r="L713" s="15">
        <f t="shared" si="121"/>
        <v>1.9950089597999799E-3</v>
      </c>
      <c r="M713" s="15">
        <f t="shared" si="122"/>
        <v>0.26712640908496899</v>
      </c>
      <c r="N713" s="15">
        <f t="shared" si="123"/>
        <v>-7.7395537580973006E-2</v>
      </c>
      <c r="O713" s="17">
        <v>-3.4867544000000001</v>
      </c>
      <c r="P713" s="17">
        <v>-14.255815999999999</v>
      </c>
      <c r="Q713" s="17">
        <v>-9.0542216999999994</v>
      </c>
      <c r="R713" s="17">
        <v>-11.945206000000001</v>
      </c>
      <c r="S713" s="17">
        <f t="shared" si="124"/>
        <v>1.0213181378487008</v>
      </c>
      <c r="T713" s="17">
        <f t="shared" si="125"/>
        <v>-23.417531963532916</v>
      </c>
    </row>
    <row r="714" spans="1:20" x14ac:dyDescent="0.35">
      <c r="A714" s="16">
        <v>2.8000000000000003</v>
      </c>
      <c r="B714" s="16">
        <v>16.952000000000002</v>
      </c>
      <c r="C714" s="16">
        <v>-0.11688525</v>
      </c>
      <c r="D714" s="16">
        <v>3.5991726000000002E-2</v>
      </c>
      <c r="E714" s="16">
        <v>0.88310774999999997</v>
      </c>
      <c r="F714" s="16">
        <v>3.2020173999999998E-2</v>
      </c>
      <c r="G714" s="16">
        <f t="shared" si="116"/>
        <v>3.4437786142837998</v>
      </c>
      <c r="H714" s="16">
        <f t="shared" si="117"/>
        <v>1.1483397991519699</v>
      </c>
      <c r="I714" s="16">
        <f t="shared" si="118"/>
        <v>3.4437790576037202</v>
      </c>
      <c r="J714" s="16">
        <f t="shared" si="119"/>
        <v>1.1463540170820601</v>
      </c>
      <c r="K714" s="15">
        <f t="shared" si="120"/>
        <v>-4.4331992032908803E-7</v>
      </c>
      <c r="L714" s="15">
        <f t="shared" si="121"/>
        <v>1.9857820699098502E-3</v>
      </c>
      <c r="M714" s="15">
        <f t="shared" si="122"/>
        <v>0.26141237077261098</v>
      </c>
      <c r="N714" s="15">
        <f t="shared" si="123"/>
        <v>-8.7018103176063802E-2</v>
      </c>
      <c r="O714" s="16">
        <v>-3.9460644999999999</v>
      </c>
      <c r="P714" s="16">
        <v>-13.993551</v>
      </c>
      <c r="Q714" s="16">
        <v>-9.3861352</v>
      </c>
      <c r="R714" s="16">
        <v>-11.521583</v>
      </c>
      <c r="S714" s="16">
        <f t="shared" si="124"/>
        <v>1.0221203439479252</v>
      </c>
      <c r="T714" s="16">
        <f t="shared" si="125"/>
        <v>-23.420205649060847</v>
      </c>
    </row>
    <row r="715" spans="1:20" x14ac:dyDescent="0.35">
      <c r="A715" s="17">
        <v>2.8000000000000003</v>
      </c>
      <c r="B715" s="17">
        <v>17</v>
      </c>
      <c r="C715" s="17">
        <v>-0.11724703</v>
      </c>
      <c r="D715" s="17">
        <v>3.7427057E-2</v>
      </c>
      <c r="E715" s="17">
        <v>0.88271759999999999</v>
      </c>
      <c r="F715" s="17">
        <v>3.3440723999999998E-2</v>
      </c>
      <c r="G715" s="17">
        <f t="shared" si="116"/>
        <v>3.4071183380206498</v>
      </c>
      <c r="H715" s="17">
        <f t="shared" si="117"/>
        <v>1.1816088764477299</v>
      </c>
      <c r="I715" s="17">
        <f t="shared" si="118"/>
        <v>3.4071046256155699</v>
      </c>
      <c r="J715" s="17">
        <f t="shared" si="119"/>
        <v>1.1796156473663699</v>
      </c>
      <c r="K715" s="15">
        <f t="shared" si="120"/>
        <v>1.37124050798576E-5</v>
      </c>
      <c r="L715" s="15">
        <f t="shared" si="121"/>
        <v>1.9932290813600199E-3</v>
      </c>
      <c r="M715" s="15">
        <f t="shared" si="122"/>
        <v>0.26208789438033098</v>
      </c>
      <c r="N715" s="15">
        <f t="shared" si="123"/>
        <v>-9.0740677251871696E-2</v>
      </c>
      <c r="O715" s="17">
        <v>-4.2211125000000003</v>
      </c>
      <c r="P715" s="17">
        <v>-14.43468</v>
      </c>
      <c r="Q715" s="17">
        <v>-9.5102297</v>
      </c>
      <c r="R715" s="17">
        <v>-11.480608999999999</v>
      </c>
      <c r="S715" s="17">
        <f t="shared" si="124"/>
        <v>0.99127646921476198</v>
      </c>
      <c r="T715" s="17">
        <f t="shared" si="125"/>
        <v>-23.337015947440026</v>
      </c>
    </row>
    <row r="716" spans="1:20" x14ac:dyDescent="0.35">
      <c r="A716" s="16">
        <v>2.9375000000000004</v>
      </c>
      <c r="B716" s="16">
        <v>15</v>
      </c>
      <c r="C716" s="16">
        <v>-2.6637505999999998E-2</v>
      </c>
      <c r="D716" s="16">
        <v>-4.8489193E-2</v>
      </c>
      <c r="E716" s="16">
        <v>0.97341275000000005</v>
      </c>
      <c r="F716" s="16">
        <v>-5.2109205999999998E-2</v>
      </c>
      <c r="G716" s="16">
        <f t="shared" si="116"/>
        <v>3.6090814064902599</v>
      </c>
      <c r="H716" s="16">
        <f t="shared" si="117"/>
        <v>-7.7655644586672503</v>
      </c>
      <c r="I716" s="16">
        <f t="shared" si="118"/>
        <v>3.6091098097247101</v>
      </c>
      <c r="J716" s="16">
        <f t="shared" si="119"/>
        <v>-7.76737436827782</v>
      </c>
      <c r="K716" s="15">
        <f t="shared" si="120"/>
        <v>-2.8403234450191698E-5</v>
      </c>
      <c r="L716" s="15">
        <f t="shared" si="121"/>
        <v>1.8099096105697E-3</v>
      </c>
      <c r="M716" s="15">
        <f t="shared" si="122"/>
        <v>4.9198733910669201E-2</v>
      </c>
      <c r="N716" s="15">
        <f t="shared" si="123"/>
        <v>0.10588344630018399</v>
      </c>
      <c r="O716" s="16">
        <v>6.5592771000000001</v>
      </c>
      <c r="P716" s="16">
        <v>-3.3977222</v>
      </c>
      <c r="Q716" s="16">
        <v>4.5418576000000002</v>
      </c>
      <c r="R716" s="16">
        <v>-5.5392754000000002</v>
      </c>
      <c r="S716" s="16">
        <f t="shared" si="124"/>
        <v>0.9697016100266963</v>
      </c>
      <c r="T716" s="16">
        <f t="shared" si="125"/>
        <v>-23.266129791647366</v>
      </c>
    </row>
    <row r="717" spans="1:20" x14ac:dyDescent="0.35">
      <c r="A717" s="17">
        <v>2.9375000000000004</v>
      </c>
      <c r="B717" s="17">
        <v>15.0488</v>
      </c>
      <c r="C717" s="17">
        <v>-2.8334218000000001E-2</v>
      </c>
      <c r="D717" s="17">
        <v>-4.9767462999999998E-2</v>
      </c>
      <c r="E717" s="17">
        <v>0.97172442999999997</v>
      </c>
      <c r="F717" s="17">
        <v>-5.3408377999999999E-2</v>
      </c>
      <c r="G717" s="17">
        <f t="shared" si="116"/>
        <v>3.5873559370116901</v>
      </c>
      <c r="H717" s="17">
        <f t="shared" si="117"/>
        <v>-7.4486508459200902</v>
      </c>
      <c r="I717" s="17">
        <f t="shared" si="118"/>
        <v>3.5873885739148301</v>
      </c>
      <c r="J717" s="17">
        <f t="shared" si="119"/>
        <v>-7.4504711906262404</v>
      </c>
      <c r="K717" s="15">
        <f t="shared" si="120"/>
        <v>-3.2636903140037498E-5</v>
      </c>
      <c r="L717" s="15">
        <f t="shared" si="121"/>
        <v>1.8203447061502199E-3</v>
      </c>
      <c r="M717" s="15">
        <f t="shared" si="122"/>
        <v>5.2463402330447502E-2</v>
      </c>
      <c r="N717" s="15">
        <f t="shared" si="123"/>
        <v>0.108958664379833</v>
      </c>
      <c r="O717" s="17">
        <v>6.6882169999999999</v>
      </c>
      <c r="P717" s="17">
        <v>-3.5966719</v>
      </c>
      <c r="Q717" s="17">
        <v>4.5953967999999996</v>
      </c>
      <c r="R717" s="17">
        <v>-5.7819735000000003</v>
      </c>
      <c r="S717" s="17">
        <f t="shared" si="124"/>
        <v>0.9725779046053431</v>
      </c>
      <c r="T717" s="17">
        <f t="shared" si="125"/>
        <v>-23.253330918966547</v>
      </c>
    </row>
    <row r="718" spans="1:20" x14ac:dyDescent="0.35">
      <c r="A718" s="16">
        <v>2.9375000000000004</v>
      </c>
      <c r="B718" s="16">
        <v>15.0976</v>
      </c>
      <c r="C718" s="16">
        <v>-3.0145688E-2</v>
      </c>
      <c r="D718" s="16">
        <v>-5.1006557000000001E-2</v>
      </c>
      <c r="E718" s="16">
        <v>0.96990975999999995</v>
      </c>
      <c r="F718" s="16">
        <v>-5.4665363000000002E-2</v>
      </c>
      <c r="G718" s="16">
        <f t="shared" si="116"/>
        <v>3.5713766109018201</v>
      </c>
      <c r="H718" s="16">
        <f t="shared" si="117"/>
        <v>-7.1415307232897902</v>
      </c>
      <c r="I718" s="16">
        <f t="shared" si="118"/>
        <v>3.57140768055902</v>
      </c>
      <c r="J718" s="16">
        <f t="shared" si="119"/>
        <v>-7.1433600187354704</v>
      </c>
      <c r="K718" s="15">
        <f t="shared" si="120"/>
        <v>-3.1069657199900298E-5</v>
      </c>
      <c r="L718" s="15">
        <f t="shared" si="121"/>
        <v>1.82929544568022E-3</v>
      </c>
      <c r="M718" s="15">
        <f t="shared" si="122"/>
        <v>5.5993495878704898E-2</v>
      </c>
      <c r="N718" s="15">
        <f t="shared" si="123"/>
        <v>0.111995531046896</v>
      </c>
      <c r="O718" s="16">
        <v>6.8275066000000004</v>
      </c>
      <c r="P718" s="16">
        <v>-3.8170858000000001</v>
      </c>
      <c r="Q718" s="16">
        <v>4.6393275999999997</v>
      </c>
      <c r="R718" s="16">
        <v>-6.0385527000000003</v>
      </c>
      <c r="S718" s="16">
        <f t="shared" si="124"/>
        <v>0.97351952720157253</v>
      </c>
      <c r="T718" s="16">
        <f t="shared" si="125"/>
        <v>-23.257030090063989</v>
      </c>
    </row>
    <row r="719" spans="1:20" x14ac:dyDescent="0.35">
      <c r="A719" s="17">
        <v>2.9375000000000004</v>
      </c>
      <c r="B719" s="17">
        <v>15.1464</v>
      </c>
      <c r="C719" s="17">
        <v>-3.2076677999999997E-2</v>
      </c>
      <c r="D719" s="17">
        <v>-5.2225926999999998E-2</v>
      </c>
      <c r="E719" s="17">
        <v>0.96797677000000004</v>
      </c>
      <c r="F719" s="17">
        <v>-5.5902533999999997E-2</v>
      </c>
      <c r="G719" s="17">
        <f t="shared" si="116"/>
        <v>3.55679677921577</v>
      </c>
      <c r="H719" s="17">
        <f t="shared" si="117"/>
        <v>-6.8424108439097697</v>
      </c>
      <c r="I719" s="17">
        <f t="shared" si="118"/>
        <v>3.5568268815790498</v>
      </c>
      <c r="J719" s="17">
        <f t="shared" si="119"/>
        <v>-6.8442490429484799</v>
      </c>
      <c r="K719" s="15">
        <f t="shared" si="120"/>
        <v>-3.0102363279827001E-5</v>
      </c>
      <c r="L719" s="15">
        <f t="shared" si="121"/>
        <v>1.83819903871019E-3</v>
      </c>
      <c r="M719" s="15">
        <f t="shared" si="122"/>
        <v>5.9783865612000497E-2</v>
      </c>
      <c r="N719" s="15">
        <f t="shared" si="123"/>
        <v>0.115039522198236</v>
      </c>
      <c r="O719" s="17">
        <v>6.9605278000000004</v>
      </c>
      <c r="P719" s="17">
        <v>-4.0492796000000002</v>
      </c>
      <c r="Q719" s="17">
        <v>4.6756272000000001</v>
      </c>
      <c r="R719" s="17">
        <v>-6.3073740999999997</v>
      </c>
      <c r="S719" s="17">
        <f t="shared" si="124"/>
        <v>0.97500472391905846</v>
      </c>
      <c r="T719" s="17">
        <f t="shared" si="125"/>
        <v>-23.261972534792207</v>
      </c>
    </row>
    <row r="720" spans="1:20" x14ac:dyDescent="0.35">
      <c r="A720" s="16">
        <v>2.9375000000000004</v>
      </c>
      <c r="B720" s="16">
        <v>15.1952</v>
      </c>
      <c r="C720" s="16">
        <v>-3.4138210000000002E-2</v>
      </c>
      <c r="D720" s="16">
        <v>-5.3427091000000003E-2</v>
      </c>
      <c r="E720" s="16">
        <v>0.96591326</v>
      </c>
      <c r="F720" s="16">
        <v>-5.7121202000000003E-2</v>
      </c>
      <c r="G720" s="16">
        <f t="shared" si="116"/>
        <v>3.54280913603584</v>
      </c>
      <c r="H720" s="16">
        <f t="shared" si="117"/>
        <v>-6.5498656391719399</v>
      </c>
      <c r="I720" s="16">
        <f t="shared" si="118"/>
        <v>3.5428382817125699</v>
      </c>
      <c r="J720" s="16">
        <f t="shared" si="119"/>
        <v>-6.5517125933068998</v>
      </c>
      <c r="K720" s="15">
        <f t="shared" si="120"/>
        <v>-2.9145676729847002E-5</v>
      </c>
      <c r="L720" s="15">
        <f t="shared" si="121"/>
        <v>1.84695413495994E-3</v>
      </c>
      <c r="M720" s="15">
        <f t="shared" si="122"/>
        <v>6.3861802339284707E-2</v>
      </c>
      <c r="N720" s="15">
        <f t="shared" si="123"/>
        <v>0.11809858123564</v>
      </c>
      <c r="O720" s="16">
        <v>7.0832427999999998</v>
      </c>
      <c r="P720" s="16">
        <v>-4.2919939999999999</v>
      </c>
      <c r="Q720" s="16">
        <v>4.7035818999999996</v>
      </c>
      <c r="R720" s="16">
        <v>-6.5895542999999996</v>
      </c>
      <c r="S720" s="16">
        <f t="shared" si="124"/>
        <v>0.9775324480692088</v>
      </c>
      <c r="T720" s="16">
        <f t="shared" si="125"/>
        <v>-23.267801752920501</v>
      </c>
    </row>
    <row r="721" spans="1:20" x14ac:dyDescent="0.35">
      <c r="A721" s="17">
        <v>2.9375000000000004</v>
      </c>
      <c r="B721" s="17">
        <v>15.244</v>
      </c>
      <c r="C721" s="17">
        <v>-3.6341068999999997E-2</v>
      </c>
      <c r="D721" s="17">
        <v>-5.4604740999999998E-2</v>
      </c>
      <c r="E721" s="17">
        <v>0.96370807999999997</v>
      </c>
      <c r="F721" s="17">
        <v>-5.8316304999999999E-2</v>
      </c>
      <c r="G721" s="17">
        <f t="shared" si="116"/>
        <v>3.52917234902996</v>
      </c>
      <c r="H721" s="17">
        <f t="shared" si="117"/>
        <v>-6.2631670865182398</v>
      </c>
      <c r="I721" s="17">
        <f t="shared" si="118"/>
        <v>3.5292003665871698</v>
      </c>
      <c r="J721" s="17">
        <f t="shared" si="119"/>
        <v>-6.26502277092127</v>
      </c>
      <c r="K721" s="15">
        <f t="shared" si="120"/>
        <v>-2.8017557209825101E-5</v>
      </c>
      <c r="L721" s="15">
        <f t="shared" si="121"/>
        <v>1.85568440303019E-3</v>
      </c>
      <c r="M721" s="15">
        <f t="shared" si="122"/>
        <v>6.8255451383514895E-2</v>
      </c>
      <c r="N721" s="15">
        <f t="shared" si="123"/>
        <v>0.12116681195144299</v>
      </c>
      <c r="O721" s="17">
        <v>7.2102594</v>
      </c>
      <c r="P721" s="17">
        <v>-4.5555677000000001</v>
      </c>
      <c r="Q721" s="17">
        <v>4.7220189000000001</v>
      </c>
      <c r="R721" s="17">
        <v>-6.8856945999999999</v>
      </c>
      <c r="S721" s="17">
        <f t="shared" si="124"/>
        <v>0.978945652857385</v>
      </c>
      <c r="T721" s="17">
        <f t="shared" si="125"/>
        <v>-23.273336489688102</v>
      </c>
    </row>
    <row r="722" spans="1:20" x14ac:dyDescent="0.35">
      <c r="A722" s="16">
        <v>2.9375000000000004</v>
      </c>
      <c r="B722" s="16">
        <v>15.2928</v>
      </c>
      <c r="C722" s="16">
        <v>-3.8695287000000002E-2</v>
      </c>
      <c r="D722" s="16">
        <v>-5.5750194000000003E-2</v>
      </c>
      <c r="E722" s="16">
        <v>0.96135115999999998</v>
      </c>
      <c r="F722" s="16">
        <v>-5.9479311999999999E-2</v>
      </c>
      <c r="G722" s="16">
        <f t="shared" si="116"/>
        <v>3.51578704518999</v>
      </c>
      <c r="H722" s="16">
        <f t="shared" si="117"/>
        <v>-5.9819227508622497</v>
      </c>
      <c r="I722" s="16">
        <f t="shared" si="118"/>
        <v>3.51581374447664</v>
      </c>
      <c r="J722" s="16">
        <f t="shared" si="119"/>
        <v>-5.9837872167804296</v>
      </c>
      <c r="K722" s="15">
        <f t="shared" si="120"/>
        <v>-2.6699286650000401E-5</v>
      </c>
      <c r="L722" s="15">
        <f t="shared" si="121"/>
        <v>1.8644659181799E-3</v>
      </c>
      <c r="M722" s="15">
        <f t="shared" si="122"/>
        <v>7.2992689451831294E-2</v>
      </c>
      <c r="N722" s="15">
        <f t="shared" si="123"/>
        <v>0.124230904650869</v>
      </c>
      <c r="O722" s="16">
        <v>7.3403618000000002</v>
      </c>
      <c r="P722" s="16">
        <v>-4.8416576999999998</v>
      </c>
      <c r="Q722" s="16">
        <v>4.7296792999999999</v>
      </c>
      <c r="R722" s="16">
        <v>-7.1967514000000001</v>
      </c>
      <c r="S722" s="16">
        <f t="shared" si="124"/>
        <v>0.97935651050386929</v>
      </c>
      <c r="T722" s="16">
        <f t="shared" si="125"/>
        <v>-23.278626114465261</v>
      </c>
    </row>
    <row r="723" spans="1:20" x14ac:dyDescent="0.35">
      <c r="A723" s="17">
        <v>2.9375000000000004</v>
      </c>
      <c r="B723" s="17">
        <v>15.3416</v>
      </c>
      <c r="C723" s="17">
        <v>-4.1210324999999999E-2</v>
      </c>
      <c r="D723" s="17">
        <v>-5.6852264E-2</v>
      </c>
      <c r="E723" s="17">
        <v>0.95883300999999999</v>
      </c>
      <c r="F723" s="17">
        <v>-6.0599135999999998E-2</v>
      </c>
      <c r="G723" s="17">
        <f t="shared" si="116"/>
        <v>3.50260642098953</v>
      </c>
      <c r="H723" s="17">
        <f t="shared" si="117"/>
        <v>-5.7058917932168702</v>
      </c>
      <c r="I723" s="17">
        <f t="shared" si="118"/>
        <v>3.5026315975420599</v>
      </c>
      <c r="J723" s="17">
        <f t="shared" si="119"/>
        <v>-5.7077651414594497</v>
      </c>
      <c r="K723" s="15">
        <f t="shared" si="120"/>
        <v>-2.5176552529870799E-5</v>
      </c>
      <c r="L723" s="15">
        <f t="shared" si="121"/>
        <v>1.87334824257945E-3</v>
      </c>
      <c r="M723" s="15">
        <f t="shared" si="122"/>
        <v>7.8101784667962804E-2</v>
      </c>
      <c r="N723" s="15">
        <f t="shared" si="123"/>
        <v>0.12727191872716401</v>
      </c>
      <c r="O723" s="17">
        <v>7.4569257999999996</v>
      </c>
      <c r="P723" s="17">
        <v>-5.1414846000000001</v>
      </c>
      <c r="Q723" s="17">
        <v>4.7245178000000001</v>
      </c>
      <c r="R723" s="17">
        <v>-7.5225600999999997</v>
      </c>
      <c r="S723" s="17">
        <f t="shared" si="124"/>
        <v>0.98073468066607195</v>
      </c>
      <c r="T723" s="17">
        <f t="shared" si="125"/>
        <v>-23.283346128097751</v>
      </c>
    </row>
    <row r="724" spans="1:20" x14ac:dyDescent="0.35">
      <c r="A724" s="16">
        <v>2.9375000000000004</v>
      </c>
      <c r="B724" s="16">
        <v>15.3904</v>
      </c>
      <c r="C724" s="16">
        <v>-4.3895108000000002E-2</v>
      </c>
      <c r="D724" s="16">
        <v>-5.7897487999999997E-2</v>
      </c>
      <c r="E724" s="16">
        <v>0.95614474999999999</v>
      </c>
      <c r="F724" s="16">
        <v>-6.1662388999999998E-2</v>
      </c>
      <c r="G724" s="16">
        <f t="shared" si="116"/>
        <v>3.4896039360314801</v>
      </c>
      <c r="H724" s="16">
        <f t="shared" si="117"/>
        <v>-5.4349108154880996</v>
      </c>
      <c r="I724" s="16">
        <f t="shared" si="118"/>
        <v>3.48962740802979</v>
      </c>
      <c r="J724" s="16">
        <f t="shared" si="119"/>
        <v>-5.4367931842894803</v>
      </c>
      <c r="K724" s="15">
        <f t="shared" si="120"/>
        <v>-2.34719983098763E-5</v>
      </c>
      <c r="L724" s="15">
        <f t="shared" si="121"/>
        <v>1.88236880138071E-3</v>
      </c>
      <c r="M724" s="15">
        <f t="shared" si="122"/>
        <v>8.3611487660208095E-2</v>
      </c>
      <c r="N724" s="15">
        <f t="shared" si="123"/>
        <v>0.13026558800900001</v>
      </c>
      <c r="O724" s="16">
        <v>7.5569189000000003</v>
      </c>
      <c r="P724" s="16">
        <v>-5.4543249999999999</v>
      </c>
      <c r="Q724" s="16">
        <v>4.7046036999999998</v>
      </c>
      <c r="R724" s="16">
        <v>-7.8635305999999998</v>
      </c>
      <c r="S724" s="16">
        <f t="shared" si="124"/>
        <v>0.98323275903364271</v>
      </c>
      <c r="T724" s="16">
        <f t="shared" si="125"/>
        <v>-23.28824416195036</v>
      </c>
    </row>
    <row r="725" spans="1:20" x14ac:dyDescent="0.35">
      <c r="A725" s="17">
        <v>2.9375000000000004</v>
      </c>
      <c r="B725" s="17">
        <v>15.4392</v>
      </c>
      <c r="C725" s="17">
        <v>-4.6757885999999999E-2</v>
      </c>
      <c r="D725" s="17">
        <v>-5.8870106999999998E-2</v>
      </c>
      <c r="E725" s="17">
        <v>0.95327814</v>
      </c>
      <c r="F725" s="17">
        <v>-6.2653373999999998E-2</v>
      </c>
      <c r="G725" s="17">
        <f t="shared" si="116"/>
        <v>3.4767644259703201</v>
      </c>
      <c r="H725" s="17">
        <f t="shared" si="117"/>
        <v>-5.16885397660538</v>
      </c>
      <c r="I725" s="17">
        <f t="shared" si="118"/>
        <v>3.4767860167169999</v>
      </c>
      <c r="J725" s="17">
        <f t="shared" si="119"/>
        <v>-5.1707455351909504</v>
      </c>
      <c r="K725" s="15">
        <f t="shared" si="120"/>
        <v>-2.15907466798448E-5</v>
      </c>
      <c r="L725" s="15">
        <f t="shared" si="121"/>
        <v>1.8915585855703301E-3</v>
      </c>
      <c r="M725" s="15">
        <f t="shared" si="122"/>
        <v>8.9550993538343407E-2</v>
      </c>
      <c r="N725" s="15">
        <f t="shared" si="123"/>
        <v>0.13318202437075499</v>
      </c>
      <c r="O725" s="17">
        <v>7.6562789000000002</v>
      </c>
      <c r="P725" s="17">
        <v>-5.7935892999999998</v>
      </c>
      <c r="Q725" s="17">
        <v>4.6681374</v>
      </c>
      <c r="R725" s="17">
        <v>-8.2203716999999994</v>
      </c>
      <c r="S725" s="17">
        <f t="shared" si="124"/>
        <v>0.98459530437797849</v>
      </c>
      <c r="T725" s="17">
        <f t="shared" si="125"/>
        <v>-23.29368468468202</v>
      </c>
    </row>
    <row r="726" spans="1:20" x14ac:dyDescent="0.35">
      <c r="A726" s="16">
        <v>2.9375000000000004</v>
      </c>
      <c r="B726" s="16">
        <v>15.488</v>
      </c>
      <c r="C726" s="16">
        <v>-4.9805974000000003E-2</v>
      </c>
      <c r="D726" s="16">
        <v>-5.9751968000000003E-2</v>
      </c>
      <c r="E726" s="16">
        <v>0.95022587999999997</v>
      </c>
      <c r="F726" s="16">
        <v>-6.3553992000000004E-2</v>
      </c>
      <c r="G726" s="16">
        <f t="shared" si="116"/>
        <v>3.4640783809483202</v>
      </c>
      <c r="H726" s="16">
        <f t="shared" si="117"/>
        <v>-4.9076178506375499</v>
      </c>
      <c r="I726" s="16">
        <f t="shared" si="118"/>
        <v>3.4640979213555601</v>
      </c>
      <c r="J726" s="16">
        <f t="shared" si="119"/>
        <v>-4.9095187952146704</v>
      </c>
      <c r="K726" s="15">
        <f t="shared" si="120"/>
        <v>-1.95404072398375E-5</v>
      </c>
      <c r="L726" s="15">
        <f t="shared" si="121"/>
        <v>1.9009445771205301E-3</v>
      </c>
      <c r="M726" s="15">
        <f t="shared" si="122"/>
        <v>9.5949489374870994E-2</v>
      </c>
      <c r="N726" s="15">
        <f t="shared" si="123"/>
        <v>0.13598513441930701</v>
      </c>
      <c r="O726" s="16">
        <v>7.7521186000000002</v>
      </c>
      <c r="P726" s="16">
        <v>-6.1603915999999996</v>
      </c>
      <c r="Q726" s="16">
        <v>4.6128819999999999</v>
      </c>
      <c r="R726" s="16">
        <v>-8.5930119999999999</v>
      </c>
      <c r="S726" s="16">
        <f t="shared" si="124"/>
        <v>0.98495899918200724</v>
      </c>
      <c r="T726" s="16">
        <f t="shared" si="125"/>
        <v>-23.299121322516207</v>
      </c>
    </row>
    <row r="727" spans="1:20" x14ac:dyDescent="0.35">
      <c r="A727" s="17">
        <v>2.9375000000000004</v>
      </c>
      <c r="B727" s="17">
        <v>15.536799999999999</v>
      </c>
      <c r="C727" s="17">
        <v>-5.3045385E-2</v>
      </c>
      <c r="D727" s="17">
        <v>-6.0522410999999998E-2</v>
      </c>
      <c r="E727" s="17">
        <v>0.94698198</v>
      </c>
      <c r="F727" s="17">
        <v>-6.4343628E-2</v>
      </c>
      <c r="G727" s="17">
        <f t="shared" si="116"/>
        <v>3.45153968946433</v>
      </c>
      <c r="H727" s="17">
        <f t="shared" si="117"/>
        <v>-4.6511129019530797</v>
      </c>
      <c r="I727" s="17">
        <f t="shared" si="118"/>
        <v>3.4515570220387999</v>
      </c>
      <c r="J727" s="17">
        <f t="shared" si="119"/>
        <v>-4.6530234511962298</v>
      </c>
      <c r="K727" s="15">
        <f t="shared" si="120"/>
        <v>-1.7332574469897101E-5</v>
      </c>
      <c r="L727" s="15">
        <f t="shared" si="121"/>
        <v>1.9105492431501501E-3</v>
      </c>
      <c r="M727" s="15">
        <f t="shared" si="122"/>
        <v>0.10283548058769799</v>
      </c>
      <c r="N727" s="15">
        <f t="shared" si="123"/>
        <v>0.138631898512559</v>
      </c>
      <c r="O727" s="17">
        <v>7.8256981999999997</v>
      </c>
      <c r="P727" s="17">
        <v>-6.5426957000000003</v>
      </c>
      <c r="Q727" s="17">
        <v>4.5359122000000003</v>
      </c>
      <c r="R727" s="17">
        <v>-8.9801297000000009</v>
      </c>
      <c r="S727" s="17">
        <f t="shared" si="124"/>
        <v>0.98630101057623365</v>
      </c>
      <c r="T727" s="17">
        <f t="shared" si="125"/>
        <v>-23.304012906787122</v>
      </c>
    </row>
    <row r="728" spans="1:20" x14ac:dyDescent="0.35">
      <c r="A728" s="16">
        <v>2.9375000000000004</v>
      </c>
      <c r="B728" s="16">
        <v>15.585599999999999</v>
      </c>
      <c r="C728" s="16">
        <v>-5.6480368000000003E-2</v>
      </c>
      <c r="D728" s="16">
        <v>-6.1158179999999999E-2</v>
      </c>
      <c r="E728" s="16">
        <v>0.94354223999999998</v>
      </c>
      <c r="F728" s="16">
        <v>-6.4999069000000007E-2</v>
      </c>
      <c r="G728" s="16">
        <f t="shared" si="116"/>
        <v>3.4391442298749699</v>
      </c>
      <c r="H728" s="16">
        <f t="shared" si="117"/>
        <v>-4.3992592321717998</v>
      </c>
      <c r="I728" s="16">
        <f t="shared" si="118"/>
        <v>3.43915922171559</v>
      </c>
      <c r="J728" s="16">
        <f t="shared" si="119"/>
        <v>-4.4011796261726701</v>
      </c>
      <c r="K728" s="15">
        <f t="shared" si="120"/>
        <v>-1.4991840620037799E-5</v>
      </c>
      <c r="L728" s="15">
        <f t="shared" si="121"/>
        <v>1.9203940008703001E-3</v>
      </c>
      <c r="M728" s="15">
        <f t="shared" si="122"/>
        <v>0.110235828162232</v>
      </c>
      <c r="N728" s="15">
        <f t="shared" si="123"/>
        <v>0.14107159619666201</v>
      </c>
      <c r="O728" s="16">
        <v>7.8824034000000003</v>
      </c>
      <c r="P728" s="16">
        <v>-6.9470105999999996</v>
      </c>
      <c r="Q728" s="16">
        <v>4.4346603</v>
      </c>
      <c r="R728" s="16">
        <v>-9.3813742999999992</v>
      </c>
      <c r="S728" s="16">
        <f t="shared" si="124"/>
        <v>0.98761804339257175</v>
      </c>
      <c r="T728" s="16">
        <f t="shared" si="125"/>
        <v>-23.308731878114521</v>
      </c>
    </row>
    <row r="729" spans="1:20" x14ac:dyDescent="0.35">
      <c r="A729" s="17">
        <v>2.9375000000000004</v>
      </c>
      <c r="B729" s="17">
        <v>15.634399999999999</v>
      </c>
      <c r="C729" s="17">
        <v>-6.0112844999999998E-2</v>
      </c>
      <c r="D729" s="17">
        <v>-6.1633391000000003E-2</v>
      </c>
      <c r="E729" s="17">
        <v>0.93990476000000001</v>
      </c>
      <c r="F729" s="17">
        <v>-6.5494462000000003E-2</v>
      </c>
      <c r="G729" s="17">
        <f t="shared" si="116"/>
        <v>3.4268899776236101</v>
      </c>
      <c r="H729" s="17">
        <f t="shared" si="117"/>
        <v>-4.1519824371214398</v>
      </c>
      <c r="I729" s="17">
        <f t="shared" si="118"/>
        <v>3.4269025069011501</v>
      </c>
      <c r="J729" s="17">
        <f t="shared" si="119"/>
        <v>-4.1539129314400602</v>
      </c>
      <c r="K729" s="15">
        <f t="shared" si="120"/>
        <v>-1.25292775399188E-5</v>
      </c>
      <c r="L729" s="15">
        <f t="shared" si="121"/>
        <v>1.9304943186204699E-3</v>
      </c>
      <c r="M729" s="15">
        <f t="shared" si="122"/>
        <v>0.118174539198016</v>
      </c>
      <c r="N729" s="15">
        <f t="shared" si="123"/>
        <v>0.14324502828809901</v>
      </c>
      <c r="O729" s="17">
        <v>7.9192023000000002</v>
      </c>
      <c r="P729" s="17">
        <v>-7.3734082000000001</v>
      </c>
      <c r="Q729" s="17">
        <v>4.3062531000000002</v>
      </c>
      <c r="R729" s="17">
        <v>-9.7956424000000002</v>
      </c>
      <c r="S729" s="17">
        <f t="shared" si="124"/>
        <v>0.98890985896513428</v>
      </c>
      <c r="T729" s="17">
        <f t="shared" si="125"/>
        <v>-23.313296442075064</v>
      </c>
    </row>
    <row r="730" spans="1:20" x14ac:dyDescent="0.35">
      <c r="A730" s="16">
        <v>2.9375000000000004</v>
      </c>
      <c r="B730" s="16">
        <v>15.683199999999999</v>
      </c>
      <c r="C730" s="16">
        <v>-6.3941767999999996E-2</v>
      </c>
      <c r="D730" s="16">
        <v>-6.1919591000000003E-2</v>
      </c>
      <c r="E730" s="16">
        <v>0.93607061999999996</v>
      </c>
      <c r="F730" s="16">
        <v>-6.5801382000000005E-2</v>
      </c>
      <c r="G730" s="16">
        <f t="shared" si="116"/>
        <v>3.4147761477304401</v>
      </c>
      <c r="H730" s="16">
        <f t="shared" si="117"/>
        <v>-3.90921308154235</v>
      </c>
      <c r="I730" s="16">
        <f t="shared" si="118"/>
        <v>3.4147861086832201</v>
      </c>
      <c r="J730" s="16">
        <f t="shared" si="119"/>
        <v>-3.91115394568746</v>
      </c>
      <c r="K730" s="15">
        <f t="shared" si="120"/>
        <v>-9.9609527799415804E-6</v>
      </c>
      <c r="L730" s="15">
        <f t="shared" si="121"/>
        <v>1.9408641451099701E-3</v>
      </c>
      <c r="M730" s="15">
        <f t="shared" si="122"/>
        <v>0.12667112264334901</v>
      </c>
      <c r="N730" s="15">
        <f t="shared" si="123"/>
        <v>0.145083834056663</v>
      </c>
      <c r="O730" s="16">
        <v>7.9327820999999998</v>
      </c>
      <c r="P730" s="16">
        <v>-7.8215988999999997</v>
      </c>
      <c r="Q730" s="16">
        <v>4.1476848999999998</v>
      </c>
      <c r="R730" s="16">
        <v>-10.221323999999999</v>
      </c>
      <c r="S730" s="16">
        <f t="shared" si="124"/>
        <v>0.99017103147656549</v>
      </c>
      <c r="T730" s="16">
        <f t="shared" si="125"/>
        <v>-23.317649778443812</v>
      </c>
    </row>
    <row r="731" spans="1:20" x14ac:dyDescent="0.35">
      <c r="A731" s="17">
        <v>2.9375000000000004</v>
      </c>
      <c r="B731" s="17">
        <v>15.731999999999999</v>
      </c>
      <c r="C731" s="17">
        <v>-6.7962384000000001E-2</v>
      </c>
      <c r="D731" s="17">
        <v>-6.1985957000000001E-2</v>
      </c>
      <c r="E731" s="17">
        <v>0.9320446</v>
      </c>
      <c r="F731" s="17">
        <v>-6.5889017999999994E-2</v>
      </c>
      <c r="G731" s="17">
        <f t="shared" si="116"/>
        <v>3.40280279734128</v>
      </c>
      <c r="H731" s="17">
        <f t="shared" si="117"/>
        <v>-3.6708857355290498</v>
      </c>
      <c r="I731" s="17">
        <f t="shared" si="118"/>
        <v>3.4028100977459701</v>
      </c>
      <c r="J731" s="17">
        <f t="shared" si="119"/>
        <v>-3.6728372449674098</v>
      </c>
      <c r="K731" s="15">
        <f t="shared" si="120"/>
        <v>-7.30040469010262E-6</v>
      </c>
      <c r="L731" s="15">
        <f t="shared" si="121"/>
        <v>1.95150943835998E-3</v>
      </c>
      <c r="M731" s="15">
        <f t="shared" si="122"/>
        <v>0.13573857991861299</v>
      </c>
      <c r="N731" s="15">
        <f t="shared" si="123"/>
        <v>0.14651000131753</v>
      </c>
      <c r="O731" s="17">
        <v>7.9116195999999999</v>
      </c>
      <c r="P731" s="17">
        <v>-8.2825094999999997</v>
      </c>
      <c r="Q731" s="17">
        <v>3.9558523000000001</v>
      </c>
      <c r="R731" s="17">
        <v>-10.656103999999999</v>
      </c>
      <c r="S731" s="17">
        <f t="shared" si="124"/>
        <v>0.99237771760568305</v>
      </c>
      <c r="T731" s="17">
        <f t="shared" si="125"/>
        <v>-23.321624868485966</v>
      </c>
    </row>
    <row r="732" spans="1:20" x14ac:dyDescent="0.35">
      <c r="A732" s="16">
        <v>2.9375000000000004</v>
      </c>
      <c r="B732" s="16">
        <v>15.780799999999999</v>
      </c>
      <c r="C732" s="16">
        <v>-7.2165450000000006E-2</v>
      </c>
      <c r="D732" s="16">
        <v>-6.1799648999999998E-2</v>
      </c>
      <c r="E732" s="16">
        <v>0.92783596999999995</v>
      </c>
      <c r="F732" s="16">
        <v>-6.5724533000000002E-2</v>
      </c>
      <c r="G732" s="16">
        <f t="shared" si="116"/>
        <v>3.3909707376515401</v>
      </c>
      <c r="H732" s="16">
        <f t="shared" si="117"/>
        <v>-3.4369384062322799</v>
      </c>
      <c r="I732" s="16">
        <f t="shared" si="118"/>
        <v>3.3909752988066102</v>
      </c>
      <c r="J732" s="16">
        <f t="shared" si="119"/>
        <v>-3.43890083788795</v>
      </c>
      <c r="K732" s="15">
        <f t="shared" si="120"/>
        <v>-4.5611550700819203E-6</v>
      </c>
      <c r="L732" s="15">
        <f t="shared" si="121"/>
        <v>1.9624316556701199E-3</v>
      </c>
      <c r="M732" s="15">
        <f t="shared" si="122"/>
        <v>0.14538097697216501</v>
      </c>
      <c r="N732" s="15">
        <f t="shared" si="123"/>
        <v>0.14743568427009601</v>
      </c>
      <c r="O732" s="16">
        <v>7.8679544000000003</v>
      </c>
      <c r="P732" s="16">
        <v>-8.7711147999999994</v>
      </c>
      <c r="Q732" s="16">
        <v>3.7280772999999998</v>
      </c>
      <c r="R732" s="16">
        <v>-11.098777999999999</v>
      </c>
      <c r="S732" s="16">
        <f t="shared" si="124"/>
        <v>0.99365690748941093</v>
      </c>
      <c r="T732" s="16">
        <f t="shared" si="125"/>
        <v>-23.325872820116523</v>
      </c>
    </row>
    <row r="733" spans="1:20" x14ac:dyDescent="0.35">
      <c r="A733" s="17">
        <v>2.9375000000000004</v>
      </c>
      <c r="B733" s="17">
        <v>15.829599999999999</v>
      </c>
      <c r="C733" s="17">
        <v>-7.6528792999999998E-2</v>
      </c>
      <c r="D733" s="17">
        <v>-6.1327646999999999E-2</v>
      </c>
      <c r="E733" s="17">
        <v>0.92346737000000001</v>
      </c>
      <c r="F733" s="17">
        <v>-6.5273927999999995E-2</v>
      </c>
      <c r="G733" s="17">
        <f t="shared" si="116"/>
        <v>3.3793167787822802</v>
      </c>
      <c r="H733" s="17">
        <f t="shared" si="117"/>
        <v>-3.2077104972784798</v>
      </c>
      <c r="I733" s="17">
        <f t="shared" si="118"/>
        <v>3.3793187535692701</v>
      </c>
      <c r="J733" s="17">
        <f t="shared" si="119"/>
        <v>-3.20968363766741</v>
      </c>
      <c r="K733" s="15">
        <f t="shared" si="120"/>
        <v>-1.9747869899333598E-6</v>
      </c>
      <c r="L733" s="15">
        <f t="shared" si="121"/>
        <v>1.9731403889302599E-3</v>
      </c>
      <c r="M733" s="15">
        <f t="shared" si="122"/>
        <v>0.155572224746513</v>
      </c>
      <c r="N733" s="15">
        <f t="shared" si="123"/>
        <v>0.14776280684294599</v>
      </c>
      <c r="O733" s="17">
        <v>7.7986928999999998</v>
      </c>
      <c r="P733" s="17">
        <v>-9.2870226999999996</v>
      </c>
      <c r="Q733" s="17">
        <v>3.4614870999999998</v>
      </c>
      <c r="R733" s="17">
        <v>-11.544556</v>
      </c>
      <c r="S733" s="17">
        <f t="shared" si="124"/>
        <v>0.99382825515870277</v>
      </c>
      <c r="T733" s="17">
        <f t="shared" si="125"/>
        <v>-23.330869484540557</v>
      </c>
    </row>
    <row r="734" spans="1:20" x14ac:dyDescent="0.35">
      <c r="A734" s="16">
        <v>2.9375000000000004</v>
      </c>
      <c r="B734" s="16">
        <v>15.878399999999999</v>
      </c>
      <c r="C734" s="16">
        <v>-8.1048339999999996E-2</v>
      </c>
      <c r="D734" s="16">
        <v>-6.0529273000000001E-2</v>
      </c>
      <c r="E734" s="16">
        <v>0.91896381000000005</v>
      </c>
      <c r="F734" s="16">
        <v>-6.4445069999999993E-2</v>
      </c>
      <c r="G734" s="16">
        <f t="shared" si="116"/>
        <v>3.36928610479085</v>
      </c>
      <c r="H734" s="16">
        <f t="shared" si="117"/>
        <v>-2.9824156442966898</v>
      </c>
      <c r="I734" s="16">
        <f t="shared" si="118"/>
        <v>3.36929601303593</v>
      </c>
      <c r="J734" s="16">
        <f t="shared" si="119"/>
        <v>-2.9843735115033101</v>
      </c>
      <c r="K734" s="15">
        <f t="shared" si="120"/>
        <v>-9.9082450799592403E-6</v>
      </c>
      <c r="L734" s="15">
        <f t="shared" si="121"/>
        <v>1.9578672066202802E-3</v>
      </c>
      <c r="M734" s="15">
        <f t="shared" si="122"/>
        <v>0.166314020424983</v>
      </c>
      <c r="N734" s="15">
        <f t="shared" si="123"/>
        <v>0.147313609498118</v>
      </c>
      <c r="O734" s="16">
        <v>7.6734325999999999</v>
      </c>
      <c r="P734" s="16">
        <v>-9.7992357999999999</v>
      </c>
      <c r="Q734" s="16">
        <v>3.1511928</v>
      </c>
      <c r="R734" s="16">
        <v>-11.988823</v>
      </c>
      <c r="S734" s="16">
        <f t="shared" si="124"/>
        <v>0.99597432372453387</v>
      </c>
      <c r="T734" s="16">
        <f t="shared" si="125"/>
        <v>-23.336477855024196</v>
      </c>
    </row>
    <row r="735" spans="1:20" x14ac:dyDescent="0.35">
      <c r="A735" s="17">
        <v>2.9375000000000004</v>
      </c>
      <c r="B735" s="17">
        <v>15.927199999999999</v>
      </c>
      <c r="C735" s="17">
        <v>-8.5691574000000006E-2</v>
      </c>
      <c r="D735" s="17">
        <v>-5.9376736999999999E-2</v>
      </c>
      <c r="E735" s="17">
        <v>0.91431755999999997</v>
      </c>
      <c r="F735" s="17">
        <v>-6.3313813999999996E-2</v>
      </c>
      <c r="G735" s="17">
        <f t="shared" si="116"/>
        <v>3.3578572325707698</v>
      </c>
      <c r="H735" s="17">
        <f t="shared" si="117"/>
        <v>-2.76094642590171</v>
      </c>
      <c r="I735" s="17">
        <f t="shared" si="118"/>
        <v>3.3578656746256299</v>
      </c>
      <c r="J735" s="17">
        <f t="shared" si="119"/>
        <v>-2.7629149387930001</v>
      </c>
      <c r="K735" s="15">
        <f t="shared" si="120"/>
        <v>-8.4420548600583294E-6</v>
      </c>
      <c r="L735" s="15">
        <f t="shared" si="121"/>
        <v>1.9685128912900799E-3</v>
      </c>
      <c r="M735" s="15">
        <f t="shared" si="122"/>
        <v>0.17758065615806601</v>
      </c>
      <c r="N735" s="15">
        <f t="shared" si="123"/>
        <v>0.14611669890412901</v>
      </c>
      <c r="O735" s="17">
        <v>7.5227719999999998</v>
      </c>
      <c r="P735" s="17">
        <v>-10.344842</v>
      </c>
      <c r="Q735" s="17">
        <v>2.7977002</v>
      </c>
      <c r="R735" s="17">
        <v>-12.430463</v>
      </c>
      <c r="S735" s="17">
        <f t="shared" si="124"/>
        <v>0.99612863994246859</v>
      </c>
      <c r="T735" s="17">
        <f t="shared" si="125"/>
        <v>-23.340563247341535</v>
      </c>
    </row>
    <row r="736" spans="1:20" x14ac:dyDescent="0.35">
      <c r="A736" s="16">
        <v>2.9375000000000004</v>
      </c>
      <c r="B736" s="16">
        <v>15.976000000000001</v>
      </c>
      <c r="C736" s="16">
        <v>-9.0416996999999999E-2</v>
      </c>
      <c r="D736" s="16">
        <v>-5.7835323000000001E-2</v>
      </c>
      <c r="E736" s="16">
        <v>0.90958928999999999</v>
      </c>
      <c r="F736" s="16">
        <v>-6.1794169000000003E-2</v>
      </c>
      <c r="G736" s="16">
        <f t="shared" si="116"/>
        <v>3.3465862994654398</v>
      </c>
      <c r="H736" s="16">
        <f t="shared" si="117"/>
        <v>-2.5437839671851701</v>
      </c>
      <c r="I736" s="16">
        <f t="shared" si="118"/>
        <v>3.34659336101867</v>
      </c>
      <c r="J736" s="16">
        <f t="shared" si="119"/>
        <v>-2.5457633699851101</v>
      </c>
      <c r="K736" s="15">
        <f t="shared" si="120"/>
        <v>-7.06155323015878E-6</v>
      </c>
      <c r="L736" s="15">
        <f t="shared" si="121"/>
        <v>1.9794027999400199E-3</v>
      </c>
      <c r="M736" s="15">
        <f t="shared" si="122"/>
        <v>0.18928054988926199</v>
      </c>
      <c r="N736" s="15">
        <f t="shared" si="123"/>
        <v>0.14398626859525199</v>
      </c>
      <c r="O736" s="16">
        <v>7.3122862</v>
      </c>
      <c r="P736" s="16">
        <v>-10.878731</v>
      </c>
      <c r="Q736" s="16">
        <v>2.3981054999999998</v>
      </c>
      <c r="R736" s="16">
        <v>-12.860398999999999</v>
      </c>
      <c r="S736" s="16">
        <f t="shared" si="124"/>
        <v>0.99803217018132329</v>
      </c>
      <c r="T736" s="16">
        <f t="shared" si="125"/>
        <v>-23.344804790420906</v>
      </c>
    </row>
    <row r="737" spans="1:20" x14ac:dyDescent="0.35">
      <c r="A737" s="17">
        <v>2.9375000000000004</v>
      </c>
      <c r="B737" s="17">
        <v>16.024799999999999</v>
      </c>
      <c r="C737" s="17">
        <v>-9.5186360999999997E-2</v>
      </c>
      <c r="D737" s="17">
        <v>-5.5874695000000002E-2</v>
      </c>
      <c r="E737" s="17">
        <v>0.90481783000000005</v>
      </c>
      <c r="F737" s="17">
        <v>-5.9854669999999999E-2</v>
      </c>
      <c r="G737" s="17">
        <f t="shared" si="116"/>
        <v>3.3354845144258798</v>
      </c>
      <c r="H737" s="17">
        <f t="shared" si="117"/>
        <v>-2.3306852316211399</v>
      </c>
      <c r="I737" s="17">
        <f t="shared" si="118"/>
        <v>3.3354905699311601</v>
      </c>
      <c r="J737" s="17">
        <f t="shared" si="119"/>
        <v>-2.3326752029007798</v>
      </c>
      <c r="K737" s="15">
        <f t="shared" si="120"/>
        <v>-6.0555052803223896E-6</v>
      </c>
      <c r="L737" s="15">
        <f t="shared" si="121"/>
        <v>1.98997127963985E-3</v>
      </c>
      <c r="M737" s="15">
        <f t="shared" si="122"/>
        <v>0.20133497635974201</v>
      </c>
      <c r="N737" s="15">
        <f t="shared" si="123"/>
        <v>0.140803608040384</v>
      </c>
      <c r="O737" s="17">
        <v>7.0583128999999998</v>
      </c>
      <c r="P737" s="17">
        <v>-11.422889</v>
      </c>
      <c r="Q737" s="17">
        <v>1.9517234000000001</v>
      </c>
      <c r="R737" s="17">
        <v>-13.274678</v>
      </c>
      <c r="S737" s="17">
        <f t="shared" si="124"/>
        <v>0.99923467513581266</v>
      </c>
      <c r="T737" s="17">
        <f t="shared" si="125"/>
        <v>-23.348269697584765</v>
      </c>
    </row>
    <row r="738" spans="1:20" x14ac:dyDescent="0.35">
      <c r="A738" s="16">
        <v>2.9375000000000004</v>
      </c>
      <c r="B738" s="16">
        <v>16.073599999999999</v>
      </c>
      <c r="C738" s="16">
        <v>-9.9948225000000002E-2</v>
      </c>
      <c r="D738" s="16">
        <v>-5.3470772999999999E-2</v>
      </c>
      <c r="E738" s="16">
        <v>0.90005343000000004</v>
      </c>
      <c r="F738" s="16">
        <v>-5.7473644999999997E-2</v>
      </c>
      <c r="G738" s="16">
        <f t="shared" si="116"/>
        <v>3.3245207387073101</v>
      </c>
      <c r="H738" s="16">
        <f t="shared" si="117"/>
        <v>-2.1216633399937699</v>
      </c>
      <c r="I738" s="16">
        <f t="shared" si="118"/>
        <v>3.32452557192669</v>
      </c>
      <c r="J738" s="16">
        <f t="shared" si="119"/>
        <v>-2.1236647646642099</v>
      </c>
      <c r="K738" s="15">
        <f t="shared" si="120"/>
        <v>-4.8332193798295E-6</v>
      </c>
      <c r="L738" s="15">
        <f t="shared" si="121"/>
        <v>2.0014246704400701E-3</v>
      </c>
      <c r="M738" s="15">
        <f t="shared" si="122"/>
        <v>0.213625199565603</v>
      </c>
      <c r="N738" s="15">
        <f t="shared" si="123"/>
        <v>0.136461067706245</v>
      </c>
      <c r="O738" s="16">
        <v>6.7580131999999997</v>
      </c>
      <c r="P738" s="16">
        <v>-11.97298</v>
      </c>
      <c r="Q738" s="16">
        <v>1.4578462999999999</v>
      </c>
      <c r="R738" s="16">
        <v>-13.665570000000001</v>
      </c>
      <c r="S738" s="16">
        <f t="shared" si="124"/>
        <v>0.99960347958133278</v>
      </c>
      <c r="T738" s="16">
        <f t="shared" si="125"/>
        <v>-23.352766981789511</v>
      </c>
    </row>
    <row r="739" spans="1:20" x14ac:dyDescent="0.35">
      <c r="A739" s="17">
        <v>2.9375000000000004</v>
      </c>
      <c r="B739" s="17">
        <v>16.122399999999999</v>
      </c>
      <c r="C739" s="17">
        <v>-0.10464368</v>
      </c>
      <c r="D739" s="17">
        <v>-5.0608976E-2</v>
      </c>
      <c r="E739" s="17">
        <v>0.89535536999999998</v>
      </c>
      <c r="F739" s="17">
        <v>-5.4634838999999998E-2</v>
      </c>
      <c r="G739" s="17">
        <f t="shared" si="116"/>
        <v>3.31370961180447</v>
      </c>
      <c r="H739" s="17">
        <f t="shared" si="117"/>
        <v>-1.9167764133999801</v>
      </c>
      <c r="I739" s="17">
        <f t="shared" si="118"/>
        <v>3.3137131886868199</v>
      </c>
      <c r="J739" s="17">
        <f t="shared" si="119"/>
        <v>-1.9187893386560899</v>
      </c>
      <c r="K739" s="15">
        <f t="shared" si="120"/>
        <v>-3.57688234986497E-6</v>
      </c>
      <c r="L739" s="15">
        <f t="shared" si="121"/>
        <v>2.01292525610985E-3</v>
      </c>
      <c r="M739" s="15">
        <f t="shared" si="122"/>
        <v>0.22600000176538901</v>
      </c>
      <c r="N739" s="15">
        <f t="shared" si="123"/>
        <v>0.13086419048099199</v>
      </c>
      <c r="O739" s="17">
        <v>6.3992031000000003</v>
      </c>
      <c r="P739" s="17">
        <v>-12.503769</v>
      </c>
      <c r="Q739" s="17">
        <v>0.91839815000000002</v>
      </c>
      <c r="R739" s="17">
        <v>-14.026702</v>
      </c>
      <c r="S739" s="17">
        <f t="shared" si="124"/>
        <v>1.0007543876106721</v>
      </c>
      <c r="T739" s="17">
        <f t="shared" si="125"/>
        <v>-23.356452918070655</v>
      </c>
    </row>
    <row r="740" spans="1:20" x14ac:dyDescent="0.35">
      <c r="A740" s="16">
        <v>2.9375000000000004</v>
      </c>
      <c r="B740" s="16">
        <v>16.171199999999999</v>
      </c>
      <c r="C740" s="16">
        <v>-0.10921396</v>
      </c>
      <c r="D740" s="16">
        <v>-4.7280347E-2</v>
      </c>
      <c r="E740" s="16">
        <v>0.89084633000000002</v>
      </c>
      <c r="F740" s="16">
        <v>-5.1335161999999997E-2</v>
      </c>
      <c r="G740" s="16">
        <f t="shared" si="116"/>
        <v>3.30367140047542</v>
      </c>
      <c r="H740" s="16">
        <f t="shared" si="117"/>
        <v>-1.7167440723157199</v>
      </c>
      <c r="I740" s="16">
        <f t="shared" si="118"/>
        <v>3.3037056545593102</v>
      </c>
      <c r="J740" s="16">
        <f t="shared" si="119"/>
        <v>-1.71877134925648</v>
      </c>
      <c r="K740" s="15">
        <f t="shared" si="120"/>
        <v>-3.4254083890239401E-5</v>
      </c>
      <c r="L740" s="15">
        <f t="shared" si="121"/>
        <v>2.0272769407601002E-3</v>
      </c>
      <c r="M740" s="15">
        <f t="shared" si="122"/>
        <v>0.238214001125024</v>
      </c>
      <c r="N740" s="15">
        <f t="shared" si="123"/>
        <v>0.123932166765643</v>
      </c>
      <c r="O740" s="16">
        <v>5.9849611999999999</v>
      </c>
      <c r="P740" s="16">
        <v>-13.013286000000001</v>
      </c>
      <c r="Q740" s="16">
        <v>0.33567617</v>
      </c>
      <c r="R740" s="16">
        <v>-14.351134</v>
      </c>
      <c r="S740" s="16">
        <f t="shared" si="124"/>
        <v>1.0021966730566214</v>
      </c>
      <c r="T740" s="16">
        <f t="shared" si="125"/>
        <v>-23.358333240928971</v>
      </c>
    </row>
    <row r="741" spans="1:20" x14ac:dyDescent="0.35">
      <c r="A741" s="17">
        <v>2.9375000000000004</v>
      </c>
      <c r="B741" s="17">
        <v>16.22</v>
      </c>
      <c r="C741" s="17">
        <v>-0.11358952999999999</v>
      </c>
      <c r="D741" s="17">
        <v>-4.3489829000000001E-2</v>
      </c>
      <c r="E741" s="17">
        <v>0.88646895000000003</v>
      </c>
      <c r="F741" s="17">
        <v>-4.7569303E-2</v>
      </c>
      <c r="G741" s="17">
        <f t="shared" ref="G741:G804" si="126">IMREAL(IMDIV(IMSUM(IMPRODUCT(COMPLEX(1 + C741,D741),COMPLEX(1 - C741, - D741)),IMPRODUCT(COMPLEX(E741,F741),COMPLEX(E741,F741))),IMSUB(IMPRODUCT(COMPLEX(1 - C741, - D741),COMPLEX(1 - C741, - D741)),IMPRODUCT(COMPLEX(E741,F741),COMPLEX(E741,F741)))))</f>
        <v>3.2931957380666899</v>
      </c>
      <c r="H741" s="17">
        <f t="shared" ref="H741:H804" si="127">IMAGINARY(IMDIV(IMSUM(IMPRODUCT(COMPLEX(1 + C741,D741),COMPLEX(1 - C741, - D741)),IMPRODUCT(COMPLEX(E741,F741),COMPLEX(E741,F741))),IMSUB(IMPRODUCT(COMPLEX(1 - C741, - D741),COMPLEX(1 - C741, - D741)),IMPRODUCT(COMPLEX(E741,F741),COMPLEX(E741,F741)))))</f>
        <v>-1.51978747788197</v>
      </c>
      <c r="I741" s="17">
        <f t="shared" ref="I741:I804" si="128">IMREAL(IMDIV(IMPRODUCT(COMPLEX(2,0),COMPLEX(E741,F741)),IMSUB(IMPRODUCT(COMPLEX(1 - C741, - D741),COMPLEX(1 - C741, - D741)),IMPRODUCT(COMPLEX(E741,F741),COMPLEX(E741,F741)))))</f>
        <v>3.2932291373565201</v>
      </c>
      <c r="J741" s="17">
        <f t="shared" ref="J741:J804" si="129">IMAGINARY(IMDIV(IMPRODUCT(COMPLEX(2,0),COMPLEX(E741,F741)),IMSUB(IMPRODUCT(COMPLEX(1 - C741, - D741),COMPLEX(1 - C741, - D741)),IMPRODUCT(COMPLEX(E741,F741),COMPLEX(E741,F741)))))</f>
        <v>-1.5218270871180299</v>
      </c>
      <c r="K741" s="15">
        <f t="shared" ref="K741:K804" si="130">IMREAL(IMSUB(COMPLEX(G741,H741),COMPLEX(I741,J741)))</f>
        <v>-3.3399289830260401E-5</v>
      </c>
      <c r="L741" s="15">
        <f t="shared" ref="L741:L804" si="131">IMAGINARY(IMSUB(COMPLEX(G741,H741),COMPLEX(I741,J741)))</f>
        <v>2.0396092360599502E-3</v>
      </c>
      <c r="M741" s="15">
        <f t="shared" ref="M741:M804" si="132">IMREAL(IMDIV(IMSUB(IMPRODUCT(COMPLEX(1 - C741, - D741),COMPLEX(1 - C741, - D741)),IMPRODUCT(COMPLEX(E741,F741),COMPLEX(E741,F741))),IMPRODUCT(COMPLEX(2,0),COMPLEX(E741,F741))))</f>
        <v>0.25022035629552702</v>
      </c>
      <c r="N741" s="15">
        <f t="shared" ref="N741:N804" si="133">IMAGINARY(IMDIV(IMSUB(IMPRODUCT(COMPLEX(1 - C741, - D741),COMPLEX(1 - C741, - D741)),IMPRODUCT(COMPLEX(E741,F741),COMPLEX(E741,F741))),IMPRODUCT(COMPLEX(2,0),COMPLEX(E741,F741))))</f>
        <v>0.115628794741115</v>
      </c>
      <c r="O741" s="17">
        <v>5.5205479000000004</v>
      </c>
      <c r="P741" s="17">
        <v>-13.50292</v>
      </c>
      <c r="Q741" s="17">
        <v>-0.28742698999999999</v>
      </c>
      <c r="R741" s="17">
        <v>-14.631273</v>
      </c>
      <c r="S741" s="17">
        <f t="shared" ref="S741:S804" si="134">IMABS(COMPLEX(Q741,R741))/IMABS(COMPLEX(O741,P741))</f>
        <v>1.0031703330203179</v>
      </c>
      <c r="T741" s="17">
        <f t="shared" ref="T741:T804" si="135">IMARGUMENT(IMDIV(COMPLEX(Q741,R741),COMPLEX(O741/B741,P741/B741)))/PI()*180</f>
        <v>-23.362172472643874</v>
      </c>
    </row>
    <row r="742" spans="1:20" x14ac:dyDescent="0.35">
      <c r="A742" s="16">
        <v>2.9375000000000004</v>
      </c>
      <c r="B742" s="16">
        <v>16.268799999999999</v>
      </c>
      <c r="C742" s="16">
        <v>-0.11770426</v>
      </c>
      <c r="D742" s="16">
        <v>-3.9252929999999998E-2</v>
      </c>
      <c r="E742" s="16">
        <v>0.88235233999999996</v>
      </c>
      <c r="F742" s="16">
        <v>-4.3357183000000001E-2</v>
      </c>
      <c r="G742" s="16">
        <f t="shared" si="126"/>
        <v>3.2828670142452601</v>
      </c>
      <c r="H742" s="16">
        <f t="shared" si="127"/>
        <v>-1.3267915684245699</v>
      </c>
      <c r="I742" s="16">
        <f t="shared" si="128"/>
        <v>3.28289952429231</v>
      </c>
      <c r="J742" s="16">
        <f t="shared" si="129"/>
        <v>-1.32884357013819</v>
      </c>
      <c r="K742" s="15">
        <f t="shared" si="130"/>
        <v>-3.2510047049960599E-5</v>
      </c>
      <c r="L742" s="15">
        <f t="shared" si="131"/>
        <v>2.05200171362008E-3</v>
      </c>
      <c r="M742" s="15">
        <f t="shared" si="132"/>
        <v>0.261726294314438</v>
      </c>
      <c r="N742" s="15">
        <f t="shared" si="133"/>
        <v>0.10594089181294999</v>
      </c>
      <c r="O742" s="16">
        <v>5.0052418000000003</v>
      </c>
      <c r="P742" s="16">
        <v>-13.958985999999999</v>
      </c>
      <c r="Q742" s="16">
        <v>-0.94526695000000005</v>
      </c>
      <c r="R742" s="16">
        <v>-14.860927</v>
      </c>
      <c r="S742" s="16">
        <f t="shared" si="134"/>
        <v>1.004163450670146</v>
      </c>
      <c r="T742" s="16">
        <f t="shared" si="135"/>
        <v>-23.36573512467578</v>
      </c>
    </row>
    <row r="743" spans="1:20" x14ac:dyDescent="0.35">
      <c r="A743" s="17">
        <v>2.9375000000000004</v>
      </c>
      <c r="B743" s="17">
        <v>16.317599999999999</v>
      </c>
      <c r="C743" s="17">
        <v>-0.12149183</v>
      </c>
      <c r="D743" s="17">
        <v>-3.4598700000000003E-2</v>
      </c>
      <c r="E743" s="17">
        <v>0.87856290000000004</v>
      </c>
      <c r="F743" s="17">
        <v>-3.8727854999999999E-2</v>
      </c>
      <c r="G743" s="17">
        <f t="shared" si="126"/>
        <v>3.2726852123125898</v>
      </c>
      <c r="H743" s="17">
        <f t="shared" si="127"/>
        <v>-1.1377336212529201</v>
      </c>
      <c r="I743" s="17">
        <f t="shared" si="128"/>
        <v>3.2727168386759402</v>
      </c>
      <c r="J743" s="17">
        <f t="shared" si="129"/>
        <v>-1.1397980769640099</v>
      </c>
      <c r="K743" s="15">
        <f t="shared" si="130"/>
        <v>-3.1626363350412101E-5</v>
      </c>
      <c r="L743" s="15">
        <f t="shared" si="131"/>
        <v>2.06445571108982E-3</v>
      </c>
      <c r="M743" s="15">
        <f t="shared" si="132"/>
        <v>0.27250351436889803</v>
      </c>
      <c r="N743" s="15">
        <f t="shared" si="133"/>
        <v>9.4905546967291199E-2</v>
      </c>
      <c r="O743" s="17">
        <v>4.4429360000000004</v>
      </c>
      <c r="P743" s="17">
        <v>-14.374024</v>
      </c>
      <c r="Q743" s="17">
        <v>-1.6314689</v>
      </c>
      <c r="R743" s="17">
        <v>-15.034594999999999</v>
      </c>
      <c r="S743" s="17">
        <f t="shared" si="134"/>
        <v>1.0051743049723139</v>
      </c>
      <c r="T743" s="17">
        <f t="shared" si="135"/>
        <v>-23.369286467530284</v>
      </c>
    </row>
    <row r="744" spans="1:20" x14ac:dyDescent="0.35">
      <c r="A744" s="16">
        <v>2.9375000000000004</v>
      </c>
      <c r="B744" s="16">
        <v>16.366399999999999</v>
      </c>
      <c r="C744" s="16">
        <v>-0.12489136000000001</v>
      </c>
      <c r="D744" s="16">
        <v>-2.9568317E-2</v>
      </c>
      <c r="E744" s="16">
        <v>0.87513448000000005</v>
      </c>
      <c r="F744" s="16">
        <v>-3.3729001000000002E-2</v>
      </c>
      <c r="G744" s="16">
        <f t="shared" si="126"/>
        <v>3.26223726755024</v>
      </c>
      <c r="H744" s="16">
        <f t="shared" si="127"/>
        <v>-0.95244740624695101</v>
      </c>
      <c r="I744" s="16">
        <f t="shared" si="128"/>
        <v>3.26225451501967</v>
      </c>
      <c r="J744" s="16">
        <f t="shared" si="129"/>
        <v>-0.95452768548910605</v>
      </c>
      <c r="K744" s="15">
        <f t="shared" si="130"/>
        <v>-1.72474694299929E-5</v>
      </c>
      <c r="L744" s="15">
        <f t="shared" si="131"/>
        <v>2.0802792421550399E-3</v>
      </c>
      <c r="M744" s="15">
        <f t="shared" si="132"/>
        <v>0.28236248336279202</v>
      </c>
      <c r="N744" s="15">
        <f t="shared" si="133"/>
        <v>8.2618571442644603E-2</v>
      </c>
      <c r="O744" s="16">
        <v>3.8388190999999998</v>
      </c>
      <c r="P744" s="16">
        <v>-14.741254</v>
      </c>
      <c r="Q744" s="16">
        <v>-2.3387913999999999</v>
      </c>
      <c r="R744" s="16">
        <v>-15.147593000000001</v>
      </c>
      <c r="S744" s="16">
        <f t="shared" si="134"/>
        <v>1.0061832703845146</v>
      </c>
      <c r="T744" s="16">
        <f t="shared" si="135"/>
        <v>-23.373566947790803</v>
      </c>
    </row>
    <row r="745" spans="1:20" x14ac:dyDescent="0.35">
      <c r="A745" s="17">
        <v>2.9375000000000004</v>
      </c>
      <c r="B745" s="17">
        <v>16.415199999999999</v>
      </c>
      <c r="C745" s="17">
        <v>-0.12784635999999999</v>
      </c>
      <c r="D745" s="17">
        <v>-2.4219012000000002E-2</v>
      </c>
      <c r="E745" s="17">
        <v>0.87210668999999996</v>
      </c>
      <c r="F745" s="17">
        <v>-2.8387310999999998E-2</v>
      </c>
      <c r="G745" s="17">
        <f t="shared" si="126"/>
        <v>3.2514970907912</v>
      </c>
      <c r="H745" s="17">
        <f t="shared" si="127"/>
        <v>-0.77064873534466005</v>
      </c>
      <c r="I745" s="17">
        <f t="shared" si="128"/>
        <v>3.2514779592063001</v>
      </c>
      <c r="J745" s="17">
        <f t="shared" si="129"/>
        <v>-0.77273297364523796</v>
      </c>
      <c r="K745" s="15">
        <f t="shared" si="130"/>
        <v>1.9131584899856301E-5</v>
      </c>
      <c r="L745" s="15">
        <f t="shared" si="131"/>
        <v>2.0842383005779102E-3</v>
      </c>
      <c r="M745" s="15">
        <f t="shared" si="132"/>
        <v>0.29111043159832001</v>
      </c>
      <c r="N745" s="15">
        <f t="shared" si="133"/>
        <v>6.9184116358897305E-2</v>
      </c>
      <c r="O745" s="17">
        <v>3.1995035999999999</v>
      </c>
      <c r="P745" s="17">
        <v>-15.051551999999999</v>
      </c>
      <c r="Q745" s="17">
        <v>-3.0584221</v>
      </c>
      <c r="R745" s="17">
        <v>-15.197412999999999</v>
      </c>
      <c r="S745" s="17">
        <f t="shared" si="134"/>
        <v>1.0074248739635938</v>
      </c>
      <c r="T745" s="17">
        <f t="shared" si="135"/>
        <v>-23.379292675504875</v>
      </c>
    </row>
    <row r="746" spans="1:20" x14ac:dyDescent="0.35">
      <c r="A746" s="16">
        <v>2.9375000000000004</v>
      </c>
      <c r="B746" s="16">
        <v>16.463999999999999</v>
      </c>
      <c r="C746" s="16">
        <v>-0.13031449000000001</v>
      </c>
      <c r="D746" s="16">
        <v>-1.861167E-2</v>
      </c>
      <c r="E746" s="16">
        <v>0.86963151999999999</v>
      </c>
      <c r="F746" s="16">
        <v>-2.2799591000000001E-2</v>
      </c>
      <c r="G746" s="16">
        <f t="shared" si="126"/>
        <v>3.2416660563983499</v>
      </c>
      <c r="H746" s="16">
        <f t="shared" si="127"/>
        <v>-0.59334024776048599</v>
      </c>
      <c r="I746" s="16">
        <f t="shared" si="128"/>
        <v>3.2416434456760701</v>
      </c>
      <c r="J746" s="16">
        <f t="shared" si="129"/>
        <v>-0.59543431213571396</v>
      </c>
      <c r="K746" s="15">
        <f t="shared" si="130"/>
        <v>2.26107222798255E-5</v>
      </c>
      <c r="L746" s="15">
        <f t="shared" si="131"/>
        <v>2.0940643752279699E-3</v>
      </c>
      <c r="M746" s="15">
        <f t="shared" si="132"/>
        <v>0.29841708968992797</v>
      </c>
      <c r="N746" s="15">
        <f t="shared" si="133"/>
        <v>5.48141020154689E-2</v>
      </c>
      <c r="O746" s="16">
        <v>2.5341429</v>
      </c>
      <c r="P746" s="16">
        <v>-15.309338</v>
      </c>
      <c r="Q746" s="16">
        <v>-3.7807325999999999</v>
      </c>
      <c r="R746" s="16">
        <v>-15.181725999999999</v>
      </c>
      <c r="S746" s="16">
        <f t="shared" si="134"/>
        <v>1.0082324566672063</v>
      </c>
      <c r="T746" s="16">
        <f t="shared" si="135"/>
        <v>-23.382922605189638</v>
      </c>
    </row>
    <row r="747" spans="1:20" x14ac:dyDescent="0.35">
      <c r="A747" s="17">
        <v>2.9375000000000004</v>
      </c>
      <c r="B747" s="17">
        <v>16.512799999999999</v>
      </c>
      <c r="C747" s="17">
        <v>-0.13226223000000001</v>
      </c>
      <c r="D747" s="17">
        <v>-1.2827273E-2</v>
      </c>
      <c r="E747" s="17">
        <v>0.86767643999999999</v>
      </c>
      <c r="F747" s="17">
        <v>-1.7034107999999999E-2</v>
      </c>
      <c r="G747" s="17">
        <f t="shared" si="126"/>
        <v>3.23196951342885</v>
      </c>
      <c r="H747" s="17">
        <f t="shared" si="127"/>
        <v>-0.42014005625831702</v>
      </c>
      <c r="I747" s="17">
        <f t="shared" si="128"/>
        <v>3.2319432722411299</v>
      </c>
      <c r="J747" s="17">
        <f t="shared" si="129"/>
        <v>-0.422243593459459</v>
      </c>
      <c r="K747" s="15">
        <f t="shared" si="130"/>
        <v>2.6241187720099602E-5</v>
      </c>
      <c r="L747" s="15">
        <f t="shared" si="131"/>
        <v>2.1035372011419802E-3</v>
      </c>
      <c r="M747" s="15">
        <f t="shared" si="132"/>
        <v>0.30421877349101201</v>
      </c>
      <c r="N747" s="15">
        <f t="shared" si="133"/>
        <v>3.97452607599761E-2</v>
      </c>
      <c r="O747" s="17">
        <v>1.8504807000000001</v>
      </c>
      <c r="P747" s="17">
        <v>-15.501944</v>
      </c>
      <c r="Q747" s="17">
        <v>-4.4958745999999996</v>
      </c>
      <c r="R747" s="17">
        <v>-15.101265</v>
      </c>
      <c r="S747" s="17">
        <f t="shared" si="134"/>
        <v>1.0092430947305189</v>
      </c>
      <c r="T747" s="17">
        <f t="shared" si="135"/>
        <v>-23.386299698131392</v>
      </c>
    </row>
    <row r="748" spans="1:20" x14ac:dyDescent="0.35">
      <c r="A748" s="16">
        <v>2.9375000000000004</v>
      </c>
      <c r="B748" s="16">
        <v>16.561599999999999</v>
      </c>
      <c r="C748" s="16">
        <v>-0.13367598</v>
      </c>
      <c r="D748" s="16">
        <v>-6.9316749000000004E-3</v>
      </c>
      <c r="E748" s="16">
        <v>0.86625498999999995</v>
      </c>
      <c r="F748" s="16">
        <v>-1.1157663E-2</v>
      </c>
      <c r="G748" s="16">
        <f t="shared" si="126"/>
        <v>3.22240486077472</v>
      </c>
      <c r="H748" s="16">
        <f t="shared" si="127"/>
        <v>-0.25073955415009402</v>
      </c>
      <c r="I748" s="16">
        <f t="shared" si="128"/>
        <v>3.2223748097696499</v>
      </c>
      <c r="J748" s="16">
        <f t="shared" si="129"/>
        <v>-0.25285268463238803</v>
      </c>
      <c r="K748" s="15">
        <f t="shared" si="130"/>
        <v>3.0051005070141902E-5</v>
      </c>
      <c r="L748" s="15">
        <f t="shared" si="131"/>
        <v>2.1131304822939998E-3</v>
      </c>
      <c r="M748" s="15">
        <f t="shared" si="132"/>
        <v>0.308431061255378</v>
      </c>
      <c r="N748" s="15">
        <f t="shared" si="133"/>
        <v>2.4201908985259799E-2</v>
      </c>
      <c r="O748" s="16">
        <v>1.1569985</v>
      </c>
      <c r="P748" s="16">
        <v>-15.630893</v>
      </c>
      <c r="Q748" s="16">
        <v>-5.1960205000000004</v>
      </c>
      <c r="R748" s="16">
        <v>-14.957732999999999</v>
      </c>
      <c r="S748" s="16">
        <f t="shared" si="134"/>
        <v>1.0102641690683865</v>
      </c>
      <c r="T748" s="16">
        <f t="shared" si="135"/>
        <v>-23.389528158005003</v>
      </c>
    </row>
    <row r="749" spans="1:20" x14ac:dyDescent="0.35">
      <c r="A749" s="17">
        <v>2.9375000000000004</v>
      </c>
      <c r="B749" s="17">
        <v>16.610399999999998</v>
      </c>
      <c r="C749" s="17">
        <v>-0.13455213999999999</v>
      </c>
      <c r="D749" s="17">
        <v>-1.0089627E-3</v>
      </c>
      <c r="E749" s="17">
        <v>0.86537065999999996</v>
      </c>
      <c r="F749" s="17">
        <v>-5.2533526000000004E-3</v>
      </c>
      <c r="G749" s="17">
        <f t="shared" si="126"/>
        <v>3.2129733252085999</v>
      </c>
      <c r="H749" s="17">
        <f t="shared" si="127"/>
        <v>-8.5318107118981898E-2</v>
      </c>
      <c r="I749" s="17">
        <f t="shared" si="128"/>
        <v>3.2129392279312601</v>
      </c>
      <c r="J749" s="17">
        <f t="shared" si="129"/>
        <v>-8.7440456352731899E-2</v>
      </c>
      <c r="K749" s="15">
        <f t="shared" si="130"/>
        <v>3.40972773398285E-5</v>
      </c>
      <c r="L749" s="15">
        <f t="shared" si="131"/>
        <v>2.1223492337500002E-3</v>
      </c>
      <c r="M749" s="15">
        <f t="shared" si="132"/>
        <v>0.31101113831246602</v>
      </c>
      <c r="N749" s="15">
        <f t="shared" si="133"/>
        <v>8.46419864665004E-3</v>
      </c>
      <c r="O749" s="17">
        <v>0.4636498</v>
      </c>
      <c r="P749" s="17">
        <v>-15.698359999999999</v>
      </c>
      <c r="Q749" s="17">
        <v>-5.8722129000000001</v>
      </c>
      <c r="R749" s="17">
        <v>-14.755374</v>
      </c>
      <c r="S749" s="17">
        <f t="shared" si="134"/>
        <v>1.011188954699026</v>
      </c>
      <c r="T749" s="17">
        <f t="shared" si="135"/>
        <v>-23.392862197401147</v>
      </c>
    </row>
    <row r="750" spans="1:20" x14ac:dyDescent="0.35">
      <c r="A750" s="16">
        <v>2.9375000000000004</v>
      </c>
      <c r="B750" s="16">
        <v>16.659199999999998</v>
      </c>
      <c r="C750" s="16">
        <v>-0.13490598000000001</v>
      </c>
      <c r="D750" s="16">
        <v>4.8643675000000003E-3</v>
      </c>
      <c r="E750" s="16">
        <v>0.86504254000000003</v>
      </c>
      <c r="F750" s="16">
        <v>5.057452E-4</v>
      </c>
      <c r="G750" s="16">
        <f t="shared" si="126"/>
        <v>3.2041216258070602</v>
      </c>
      <c r="H750" s="16">
        <f t="shared" si="127"/>
        <v>7.4799187941625503E-2</v>
      </c>
      <c r="I750" s="16">
        <f t="shared" si="128"/>
        <v>3.2041006348857901</v>
      </c>
      <c r="J750" s="16">
        <f t="shared" si="129"/>
        <v>7.2619774947786195E-2</v>
      </c>
      <c r="K750" s="15">
        <f t="shared" si="130"/>
        <v>2.0990921270058701E-5</v>
      </c>
      <c r="L750" s="15">
        <f t="shared" si="131"/>
        <v>2.1794129938393098E-3</v>
      </c>
      <c r="M750" s="15">
        <f t="shared" si="132"/>
        <v>0.311939820842488</v>
      </c>
      <c r="N750" s="15">
        <f t="shared" si="133"/>
        <v>-7.0700025274461004E-3</v>
      </c>
      <c r="O750" s="16">
        <v>-0.22100164999999999</v>
      </c>
      <c r="P750" s="16">
        <v>-15.703328000000001</v>
      </c>
      <c r="Q750" s="16">
        <v>-6.5169715000000004</v>
      </c>
      <c r="R750" s="16">
        <v>-14.49954</v>
      </c>
      <c r="S750" s="16">
        <f t="shared" si="134"/>
        <v>1.0122188611551868</v>
      </c>
      <c r="T750" s="16">
        <f t="shared" si="135"/>
        <v>-23.395735675673272</v>
      </c>
    </row>
    <row r="751" spans="1:20" x14ac:dyDescent="0.35">
      <c r="A751" s="17">
        <v>2.9375000000000004</v>
      </c>
      <c r="B751" s="17">
        <v>16.707999999999998</v>
      </c>
      <c r="C751" s="17">
        <v>-0.13475896000000001</v>
      </c>
      <c r="D751" s="17">
        <v>1.0616097E-2</v>
      </c>
      <c r="E751" s="17">
        <v>0.86518103999999996</v>
      </c>
      <c r="F751" s="17">
        <v>6.2302347000000001E-3</v>
      </c>
      <c r="G751" s="17">
        <f t="shared" si="126"/>
        <v>3.1950852566246799</v>
      </c>
      <c r="H751" s="17">
        <f t="shared" si="127"/>
        <v>0.23200720193834101</v>
      </c>
      <c r="I751" s="17">
        <f t="shared" si="128"/>
        <v>3.1950600650813801</v>
      </c>
      <c r="J751" s="17">
        <f t="shared" si="129"/>
        <v>0.22981414975345499</v>
      </c>
      <c r="K751" s="15">
        <f t="shared" si="130"/>
        <v>2.5191543299829499E-5</v>
      </c>
      <c r="L751" s="15">
        <f t="shared" si="131"/>
        <v>2.1930521848860201E-3</v>
      </c>
      <c r="M751" s="15">
        <f t="shared" si="132"/>
        <v>0.31137223624152</v>
      </c>
      <c r="N751" s="15">
        <f t="shared" si="133"/>
        <v>-2.2396369480100601E-2</v>
      </c>
      <c r="O751" s="17">
        <v>-0.88840408000000004</v>
      </c>
      <c r="P751" s="17">
        <v>-15.652568</v>
      </c>
      <c r="Q751" s="17">
        <v>-7.1234504999999997</v>
      </c>
      <c r="R751" s="17">
        <v>-14.195876</v>
      </c>
      <c r="S751" s="17">
        <f t="shared" si="134"/>
        <v>1.0130846612526081</v>
      </c>
      <c r="T751" s="17">
        <f t="shared" si="135"/>
        <v>-23.398875905771305</v>
      </c>
    </row>
    <row r="752" spans="1:20" x14ac:dyDescent="0.35">
      <c r="A752" s="16">
        <v>2.9375000000000004</v>
      </c>
      <c r="B752" s="16">
        <v>16.756799999999998</v>
      </c>
      <c r="C752" s="16">
        <v>-0.13415348999999999</v>
      </c>
      <c r="D752" s="16">
        <v>1.6173150000000001E-2</v>
      </c>
      <c r="E752" s="16">
        <v>0.86577755000000001</v>
      </c>
      <c r="F752" s="16">
        <v>1.1760082E-2</v>
      </c>
      <c r="G752" s="16">
        <f t="shared" si="126"/>
        <v>3.1861982175994301</v>
      </c>
      <c r="H752" s="16">
        <f t="shared" si="127"/>
        <v>0.38477042959874902</v>
      </c>
      <c r="I752" s="16">
        <f t="shared" si="128"/>
        <v>3.1861686056827598</v>
      </c>
      <c r="J752" s="16">
        <f t="shared" si="129"/>
        <v>0.38256375417287902</v>
      </c>
      <c r="K752" s="15">
        <f t="shared" si="130"/>
        <v>2.9611916670280201E-5</v>
      </c>
      <c r="L752" s="15">
        <f t="shared" si="131"/>
        <v>2.2066754258699998E-3</v>
      </c>
      <c r="M752" s="15">
        <f t="shared" si="132"/>
        <v>0.30939607146790199</v>
      </c>
      <c r="N752" s="15">
        <f t="shared" si="133"/>
        <v>-3.7149233852844701E-2</v>
      </c>
      <c r="O752" s="16">
        <v>-1.5304348000000001</v>
      </c>
      <c r="P752" s="16">
        <v>-15.548674</v>
      </c>
      <c r="Q752" s="16">
        <v>-7.6859758999999999</v>
      </c>
      <c r="R752" s="16">
        <v>-13.852556999999999</v>
      </c>
      <c r="S752" s="16">
        <f t="shared" si="134"/>
        <v>1.0139622752703914</v>
      </c>
      <c r="T752" s="16">
        <f t="shared" si="135"/>
        <v>-23.401900650052362</v>
      </c>
    </row>
    <row r="753" spans="1:20" x14ac:dyDescent="0.35">
      <c r="A753" s="17">
        <v>2.9375000000000004</v>
      </c>
      <c r="B753" s="17">
        <v>16.805599999999998</v>
      </c>
      <c r="C753" s="17">
        <v>-0.13312905</v>
      </c>
      <c r="D753" s="17">
        <v>2.1501537000000001E-2</v>
      </c>
      <c r="E753" s="17">
        <v>0.86688642000000005</v>
      </c>
      <c r="F753" s="17">
        <v>1.7084779000000001E-2</v>
      </c>
      <c r="G753" s="17">
        <f t="shared" si="126"/>
        <v>3.17869704321765</v>
      </c>
      <c r="H753" s="17">
        <f t="shared" si="127"/>
        <v>0.53425548806041001</v>
      </c>
      <c r="I753" s="17">
        <f t="shared" si="128"/>
        <v>3.17870965495867</v>
      </c>
      <c r="J753" s="17">
        <f t="shared" si="129"/>
        <v>0.53204715399337699</v>
      </c>
      <c r="K753" s="15">
        <f t="shared" si="130"/>
        <v>-1.26117410199633E-5</v>
      </c>
      <c r="L753" s="15">
        <f t="shared" si="131"/>
        <v>2.2083340670330199E-3</v>
      </c>
      <c r="M753" s="15">
        <f t="shared" si="132"/>
        <v>0.30601976131611303</v>
      </c>
      <c r="N753" s="15">
        <f t="shared" si="133"/>
        <v>-5.1221080484649399E-2</v>
      </c>
      <c r="O753" s="17">
        <v>-2.1428940999999999</v>
      </c>
      <c r="P753" s="17">
        <v>-15.396893</v>
      </c>
      <c r="Q753" s="17">
        <v>-8.2017714999999995</v>
      </c>
      <c r="R753" s="17">
        <v>-13.476713999999999</v>
      </c>
      <c r="S753" s="17">
        <f t="shared" si="134"/>
        <v>1.0148583258528479</v>
      </c>
      <c r="T753" s="17">
        <f t="shared" si="135"/>
        <v>-23.400848038879406</v>
      </c>
    </row>
    <row r="754" spans="1:20" x14ac:dyDescent="0.35">
      <c r="A754" s="16">
        <v>2.9375000000000004</v>
      </c>
      <c r="B754" s="16">
        <v>16.854399999999998</v>
      </c>
      <c r="C754" s="16">
        <v>-0.13174794000000001</v>
      </c>
      <c r="D754" s="16">
        <v>2.6543466000000002E-2</v>
      </c>
      <c r="E754" s="16">
        <v>0.86828616000000003</v>
      </c>
      <c r="F754" s="16">
        <v>2.2130179999999999E-2</v>
      </c>
      <c r="G754" s="16">
        <f t="shared" si="126"/>
        <v>3.1703324961254</v>
      </c>
      <c r="H754" s="16">
        <f t="shared" si="127"/>
        <v>0.67918644506773995</v>
      </c>
      <c r="I754" s="16">
        <f t="shared" si="128"/>
        <v>3.17035441483528</v>
      </c>
      <c r="J754" s="16">
        <f t="shared" si="129"/>
        <v>0.67697988805630505</v>
      </c>
      <c r="K754" s="15">
        <f t="shared" si="130"/>
        <v>-2.1918709879997801E-5</v>
      </c>
      <c r="L754" s="15">
        <f t="shared" si="131"/>
        <v>2.2065570114349099E-3</v>
      </c>
      <c r="M754" s="15">
        <f t="shared" si="132"/>
        <v>0.301667047404516</v>
      </c>
      <c r="N754" s="15">
        <f t="shared" si="133"/>
        <v>-6.4416307219960001E-2</v>
      </c>
      <c r="O754" s="16">
        <v>-2.7198429000000002</v>
      </c>
      <c r="P754" s="16">
        <v>-15.205073000000001</v>
      </c>
      <c r="Q754" s="16">
        <v>-8.6699409000000003</v>
      </c>
      <c r="R754" s="16">
        <v>-13.076274</v>
      </c>
      <c r="S754" s="16">
        <f t="shared" si="134"/>
        <v>1.0157297800943017</v>
      </c>
      <c r="T754" s="16">
        <f t="shared" si="135"/>
        <v>-23.403851950120227</v>
      </c>
    </row>
    <row r="755" spans="1:20" x14ac:dyDescent="0.35">
      <c r="A755" s="17">
        <v>2.9375000000000004</v>
      </c>
      <c r="B755" s="17">
        <v>16.903200000000002</v>
      </c>
      <c r="C755" s="17">
        <v>-0.13006129</v>
      </c>
      <c r="D755" s="17">
        <v>3.1277197999999999E-2</v>
      </c>
      <c r="E755" s="17">
        <v>0.86997069999999999</v>
      </c>
      <c r="F755" s="17">
        <v>2.6842742999999999E-2</v>
      </c>
      <c r="G755" s="17">
        <f t="shared" si="126"/>
        <v>3.1619456755032398</v>
      </c>
      <c r="H755" s="17">
        <f t="shared" si="127"/>
        <v>0.81941066622011205</v>
      </c>
      <c r="I755" s="17">
        <f t="shared" si="128"/>
        <v>3.16196658608514</v>
      </c>
      <c r="J755" s="17">
        <f t="shared" si="129"/>
        <v>0.817193520546875</v>
      </c>
      <c r="K755" s="15">
        <f t="shared" si="130"/>
        <v>-2.0910581900235301E-5</v>
      </c>
      <c r="L755" s="15">
        <f t="shared" si="131"/>
        <v>2.2171456732370501E-3</v>
      </c>
      <c r="M755" s="15">
        <f t="shared" si="132"/>
        <v>0.29645740010444899</v>
      </c>
      <c r="N755" s="15">
        <f t="shared" si="133"/>
        <v>-7.6617845220014205E-2</v>
      </c>
      <c r="O755" s="17">
        <v>-3.2592123000000002</v>
      </c>
      <c r="P755" s="17">
        <v>-14.979369</v>
      </c>
      <c r="Q755" s="17">
        <v>-9.0897207000000009</v>
      </c>
      <c r="R755" s="17">
        <v>-12.658326000000001</v>
      </c>
      <c r="S755" s="17">
        <f t="shared" si="134"/>
        <v>1.0165694223124051</v>
      </c>
      <c r="T755" s="17">
        <f t="shared" si="135"/>
        <v>-23.406359620966086</v>
      </c>
    </row>
    <row r="756" spans="1:20" x14ac:dyDescent="0.35">
      <c r="A756" s="16">
        <v>2.9375000000000004</v>
      </c>
      <c r="B756" s="16">
        <v>16.952000000000002</v>
      </c>
      <c r="C756" s="16">
        <v>-0.12816939999999999</v>
      </c>
      <c r="D756" s="16">
        <v>3.5618657999999997E-2</v>
      </c>
      <c r="E756" s="16">
        <v>0.87173604000000005</v>
      </c>
      <c r="F756" s="16">
        <v>3.1136177000000001E-2</v>
      </c>
      <c r="G756" s="16">
        <f t="shared" si="126"/>
        <v>3.1521752804892702</v>
      </c>
      <c r="H756" s="16">
        <f t="shared" si="127"/>
        <v>0.95185095227701899</v>
      </c>
      <c r="I756" s="16">
        <f t="shared" si="128"/>
        <v>3.1521330221000499</v>
      </c>
      <c r="J756" s="16">
        <f t="shared" si="129"/>
        <v>0.94960951109046499</v>
      </c>
      <c r="K756" s="15">
        <f t="shared" si="130"/>
        <v>4.2258389220339899E-5</v>
      </c>
      <c r="L756" s="15">
        <f t="shared" si="131"/>
        <v>2.2414411865540099E-3</v>
      </c>
      <c r="M756" s="15">
        <f t="shared" si="132"/>
        <v>0.29084886883433098</v>
      </c>
      <c r="N756" s="15">
        <f t="shared" si="133"/>
        <v>-8.7620938011992694E-2</v>
      </c>
      <c r="O756" s="16">
        <v>-3.7517065999999999</v>
      </c>
      <c r="P756" s="16">
        <v>-14.731643</v>
      </c>
      <c r="Q756" s="16">
        <v>-9.4575040000000001</v>
      </c>
      <c r="R756" s="16">
        <v>-12.236725</v>
      </c>
      <c r="S756" s="16">
        <f t="shared" si="134"/>
        <v>1.0173427589279587</v>
      </c>
      <c r="T756" s="16">
        <f t="shared" si="135"/>
        <v>-23.411878287464994</v>
      </c>
    </row>
    <row r="757" spans="1:20" x14ac:dyDescent="0.35">
      <c r="A757" s="17">
        <v>2.9375000000000004</v>
      </c>
      <c r="B757" s="17">
        <v>17</v>
      </c>
      <c r="C757" s="17">
        <v>-0.12865570000000001</v>
      </c>
      <c r="D757" s="17">
        <v>3.6744433999999999E-2</v>
      </c>
      <c r="E757" s="17">
        <v>0.87136835999999995</v>
      </c>
      <c r="F757" s="17">
        <v>3.2376176E-2</v>
      </c>
      <c r="G757" s="17">
        <f t="shared" si="126"/>
        <v>3.1250622812556599</v>
      </c>
      <c r="H757" s="17">
        <f t="shared" si="127"/>
        <v>0.97497242986834798</v>
      </c>
      <c r="I757" s="17">
        <f t="shared" si="128"/>
        <v>3.1250790813355098</v>
      </c>
      <c r="J757" s="17">
        <f t="shared" si="129"/>
        <v>0.97278836383620204</v>
      </c>
      <c r="K757" s="15">
        <f t="shared" si="130"/>
        <v>-1.6800079849943499E-5</v>
      </c>
      <c r="L757" s="15">
        <f t="shared" si="131"/>
        <v>2.1840660321459401E-3</v>
      </c>
      <c r="M757" s="15">
        <f t="shared" si="132"/>
        <v>0.29172439821925999</v>
      </c>
      <c r="N757" s="15">
        <f t="shared" si="133"/>
        <v>-9.0809253989674196E-2</v>
      </c>
      <c r="O757" s="17">
        <v>-3.9965280999999999</v>
      </c>
      <c r="P757" s="17">
        <v>-15.270649000000001</v>
      </c>
      <c r="Q757" s="17">
        <v>-9.5472727000000006</v>
      </c>
      <c r="R757" s="17">
        <v>-12.226414</v>
      </c>
      <c r="S757" s="17">
        <f t="shared" si="134"/>
        <v>0.9827351070316398</v>
      </c>
      <c r="T757" s="17">
        <f t="shared" si="135"/>
        <v>-23.319191784644126</v>
      </c>
    </row>
    <row r="758" spans="1:20" x14ac:dyDescent="0.35">
      <c r="A758" s="16">
        <v>3.0750000000000002</v>
      </c>
      <c r="B758" s="16">
        <v>15</v>
      </c>
      <c r="C758" s="16">
        <v>-2.8489756000000001E-2</v>
      </c>
      <c r="D758" s="16">
        <v>-5.2399901999999998E-2</v>
      </c>
      <c r="E758" s="16">
        <v>0.97160628999999998</v>
      </c>
      <c r="F758" s="16">
        <v>-5.6205297000000001E-2</v>
      </c>
      <c r="G758" s="16">
        <f t="shared" si="126"/>
        <v>3.2844299674987401</v>
      </c>
      <c r="H758" s="16">
        <f t="shared" si="127"/>
        <v>-7.2245503343538102</v>
      </c>
      <c r="I758" s="16">
        <f t="shared" si="128"/>
        <v>3.2844816079157999</v>
      </c>
      <c r="J758" s="16">
        <f t="shared" si="129"/>
        <v>-7.2264528422335603</v>
      </c>
      <c r="K758" s="15">
        <f t="shared" si="130"/>
        <v>-5.1640417059850597E-5</v>
      </c>
      <c r="L758" s="15">
        <f t="shared" si="131"/>
        <v>1.9025078797500999E-3</v>
      </c>
      <c r="M758" s="15">
        <f t="shared" si="132"/>
        <v>5.21268178543677E-2</v>
      </c>
      <c r="N758" s="15">
        <f t="shared" si="133"/>
        <v>0.114688415405474</v>
      </c>
      <c r="O758" s="16">
        <v>6.7979602000000003</v>
      </c>
      <c r="P758" s="16">
        <v>-3.5023358999999998</v>
      </c>
      <c r="Q758" s="16">
        <v>4.6812554999999998</v>
      </c>
      <c r="R758" s="16">
        <v>-5.6724452000000003</v>
      </c>
      <c r="S758" s="16">
        <f t="shared" si="134"/>
        <v>0.9617519957806443</v>
      </c>
      <c r="T758" s="16">
        <f t="shared" si="135"/>
        <v>-23.21072336049123</v>
      </c>
    </row>
    <row r="759" spans="1:20" x14ac:dyDescent="0.35">
      <c r="A759" s="17">
        <v>3.0750000000000002</v>
      </c>
      <c r="B759" s="17">
        <v>15.0488</v>
      </c>
      <c r="C759" s="17">
        <v>-3.0330658999999999E-2</v>
      </c>
      <c r="D759" s="17">
        <v>-5.3762437000000003E-2</v>
      </c>
      <c r="E759" s="17">
        <v>0.96979592000000003</v>
      </c>
      <c r="F759" s="17">
        <v>-5.7577159000000003E-2</v>
      </c>
      <c r="G759" s="17">
        <f t="shared" si="126"/>
        <v>3.2690275416591801</v>
      </c>
      <c r="H759" s="17">
        <f t="shared" si="127"/>
        <v>-6.9313589688973698</v>
      </c>
      <c r="I759" s="17">
        <f t="shared" si="128"/>
        <v>3.2690944644759901</v>
      </c>
      <c r="J759" s="17">
        <f t="shared" si="129"/>
        <v>-6.9332660815512304</v>
      </c>
      <c r="K759" s="15">
        <f t="shared" si="130"/>
        <v>-6.6922816809977803E-5</v>
      </c>
      <c r="L759" s="15">
        <f t="shared" si="131"/>
        <v>1.9071126538605699E-3</v>
      </c>
      <c r="M759" s="15">
        <f t="shared" si="132"/>
        <v>5.5637383114455097E-2</v>
      </c>
      <c r="N759" s="15">
        <f t="shared" si="133"/>
        <v>0.117998664586022</v>
      </c>
      <c r="O759" s="17">
        <v>6.9364698000000002</v>
      </c>
      <c r="P759" s="17">
        <v>-3.7122863000000001</v>
      </c>
      <c r="Q759" s="17">
        <v>4.7360575999999996</v>
      </c>
      <c r="R759" s="17">
        <v>-5.9253923999999998</v>
      </c>
      <c r="S759" s="17">
        <f t="shared" si="134"/>
        <v>0.9641768489707282</v>
      </c>
      <c r="T759" s="17">
        <f t="shared" si="135"/>
        <v>-23.210327742603443</v>
      </c>
    </row>
    <row r="760" spans="1:20" x14ac:dyDescent="0.35">
      <c r="A760" s="16">
        <v>3.0750000000000002</v>
      </c>
      <c r="B760" s="16">
        <v>15.0976</v>
      </c>
      <c r="C760" s="16">
        <v>-3.2241352000000001E-2</v>
      </c>
      <c r="D760" s="16">
        <v>-5.5067893E-2</v>
      </c>
      <c r="E760" s="16">
        <v>0.96788892000000004</v>
      </c>
      <c r="F760" s="16">
        <v>-5.8907246000000003E-2</v>
      </c>
      <c r="G760" s="16">
        <f t="shared" si="126"/>
        <v>3.2563311912074999</v>
      </c>
      <c r="H760" s="16">
        <f t="shared" si="127"/>
        <v>-6.65197131419289</v>
      </c>
      <c r="I760" s="16">
        <f t="shared" si="128"/>
        <v>3.25640000738936</v>
      </c>
      <c r="J760" s="16">
        <f t="shared" si="129"/>
        <v>-6.6538907335647899</v>
      </c>
      <c r="K760" s="15">
        <f t="shared" si="130"/>
        <v>-6.8816181860054102E-5</v>
      </c>
      <c r="L760" s="15">
        <f t="shared" si="131"/>
        <v>1.9194193718998799E-3</v>
      </c>
      <c r="M760" s="15">
        <f t="shared" si="132"/>
        <v>5.93384616746968E-2</v>
      </c>
      <c r="N760" s="15">
        <f t="shared" si="133"/>
        <v>0.121247893190428</v>
      </c>
      <c r="O760" s="16">
        <v>7.0757561999999998</v>
      </c>
      <c r="P760" s="16">
        <v>-3.9346823</v>
      </c>
      <c r="Q760" s="16">
        <v>4.7811896000000003</v>
      </c>
      <c r="R760" s="16">
        <v>-6.1844717999999999</v>
      </c>
      <c r="S760" s="16">
        <f t="shared" si="134"/>
        <v>0.96553327466931049</v>
      </c>
      <c r="T760" s="16">
        <f t="shared" si="135"/>
        <v>-23.215004090581491</v>
      </c>
    </row>
    <row r="761" spans="1:20" x14ac:dyDescent="0.35">
      <c r="A761" s="17">
        <v>3.0750000000000002</v>
      </c>
      <c r="B761" s="17">
        <v>15.1464</v>
      </c>
      <c r="C761" s="17">
        <v>-3.4267908E-2</v>
      </c>
      <c r="D761" s="17">
        <v>-5.6356141999999998E-2</v>
      </c>
      <c r="E761" s="17">
        <v>0.96586225000000003</v>
      </c>
      <c r="F761" s="17">
        <v>-6.0220087999999998E-2</v>
      </c>
      <c r="G761" s="17">
        <f t="shared" si="126"/>
        <v>3.2442505647450099</v>
      </c>
      <c r="H761" s="17">
        <f t="shared" si="127"/>
        <v>-6.3800066877695896</v>
      </c>
      <c r="I761" s="17">
        <f t="shared" si="128"/>
        <v>3.2443193712871299</v>
      </c>
      <c r="J761" s="17">
        <f t="shared" si="129"/>
        <v>-6.38193840212318</v>
      </c>
      <c r="K761" s="15">
        <f t="shared" si="130"/>
        <v>-6.8806542119936905E-5</v>
      </c>
      <c r="L761" s="15">
        <f t="shared" si="131"/>
        <v>1.9317143535904099E-3</v>
      </c>
      <c r="M761" s="15">
        <f t="shared" si="132"/>
        <v>6.3297930973322702E-2</v>
      </c>
      <c r="N761" s="15">
        <f t="shared" si="133"/>
        <v>0.124514096863813</v>
      </c>
      <c r="O761" s="17">
        <v>7.2124465999999998</v>
      </c>
      <c r="P761" s="17">
        <v>-4.1701129000000003</v>
      </c>
      <c r="Q761" s="17">
        <v>4.8191544999999998</v>
      </c>
      <c r="R761" s="17">
        <v>-6.4552073999999999</v>
      </c>
      <c r="S761" s="17">
        <f t="shared" si="134"/>
        <v>0.96692660104159411</v>
      </c>
      <c r="T761" s="17">
        <f t="shared" si="135"/>
        <v>-23.220945974440053</v>
      </c>
    </row>
    <row r="762" spans="1:20" x14ac:dyDescent="0.35">
      <c r="A762" s="16">
        <v>3.0750000000000002</v>
      </c>
      <c r="B762" s="16">
        <v>15.1952</v>
      </c>
      <c r="C762" s="16">
        <v>-3.6428863999999998E-2</v>
      </c>
      <c r="D762" s="16">
        <v>-5.7628903000000002E-2</v>
      </c>
      <c r="E762" s="16">
        <v>0.96370005000000003</v>
      </c>
      <c r="F762" s="16">
        <v>-6.1517313999999997E-2</v>
      </c>
      <c r="G762" s="16">
        <f t="shared" si="126"/>
        <v>3.2324621110091498</v>
      </c>
      <c r="H762" s="16">
        <f t="shared" si="127"/>
        <v>-6.11369951553751</v>
      </c>
      <c r="I762" s="16">
        <f t="shared" si="128"/>
        <v>3.2325303430446199</v>
      </c>
      <c r="J762" s="16">
        <f t="shared" si="129"/>
        <v>-6.1156434630793797</v>
      </c>
      <c r="K762" s="15">
        <f t="shared" si="130"/>
        <v>-6.8232035470128198E-5</v>
      </c>
      <c r="L762" s="15">
        <f t="shared" si="131"/>
        <v>1.9439475418696599E-3</v>
      </c>
      <c r="M762" s="15">
        <f t="shared" si="132"/>
        <v>6.7555002620027393E-2</v>
      </c>
      <c r="N762" s="15">
        <f t="shared" si="133"/>
        <v>0.127807712945505</v>
      </c>
      <c r="O762" s="16">
        <v>7.3466202999999997</v>
      </c>
      <c r="P762" s="16">
        <v>-4.4205946000000003</v>
      </c>
      <c r="Q762" s="16">
        <v>4.8491410000000004</v>
      </c>
      <c r="R762" s="16">
        <v>-6.7390724000000004</v>
      </c>
      <c r="S762" s="16">
        <f t="shared" si="134"/>
        <v>0.96831210423969871</v>
      </c>
      <c r="T762" s="16">
        <f t="shared" si="135"/>
        <v>-23.226779561464621</v>
      </c>
    </row>
    <row r="763" spans="1:20" x14ac:dyDescent="0.35">
      <c r="A763" s="17">
        <v>3.0750000000000002</v>
      </c>
      <c r="B763" s="17">
        <v>15.244</v>
      </c>
      <c r="C763" s="17">
        <v>-3.8736039999999999E-2</v>
      </c>
      <c r="D763" s="17">
        <v>-5.8880088999999997E-2</v>
      </c>
      <c r="E763" s="17">
        <v>0.96139116999999996</v>
      </c>
      <c r="F763" s="17">
        <v>-6.2793132000000002E-2</v>
      </c>
      <c r="G763" s="17">
        <f t="shared" si="126"/>
        <v>3.2208664791989801</v>
      </c>
      <c r="H763" s="17">
        <f t="shared" si="127"/>
        <v>-5.8524664661098704</v>
      </c>
      <c r="I763" s="17">
        <f t="shared" si="128"/>
        <v>3.2209339073850201</v>
      </c>
      <c r="J763" s="17">
        <f t="shared" si="129"/>
        <v>-5.8544227312569204</v>
      </c>
      <c r="K763" s="15">
        <f t="shared" si="130"/>
        <v>-6.7428186039997202E-5</v>
      </c>
      <c r="L763" s="15">
        <f t="shared" si="131"/>
        <v>1.9562651470499399E-3</v>
      </c>
      <c r="M763" s="15">
        <f t="shared" si="132"/>
        <v>7.21395090098092E-2</v>
      </c>
      <c r="N763" s="15">
        <f t="shared" si="133"/>
        <v>0.13112196447136101</v>
      </c>
      <c r="O763" s="17">
        <v>7.4774878999999999</v>
      </c>
      <c r="P763" s="17">
        <v>-4.6873911000000001</v>
      </c>
      <c r="Q763" s="17">
        <v>4.8699459999999997</v>
      </c>
      <c r="R763" s="17">
        <v>-7.0369419999999998</v>
      </c>
      <c r="S763" s="17">
        <f t="shared" si="134"/>
        <v>0.96969178743383244</v>
      </c>
      <c r="T763" s="17">
        <f t="shared" si="135"/>
        <v>-23.232416240275107</v>
      </c>
    </row>
    <row r="764" spans="1:20" x14ac:dyDescent="0.35">
      <c r="A764" s="16">
        <v>3.0750000000000002</v>
      </c>
      <c r="B764" s="16">
        <v>15.2928</v>
      </c>
      <c r="C764" s="16">
        <v>-4.1199607999999999E-2</v>
      </c>
      <c r="D764" s="16">
        <v>-6.0100473000000001E-2</v>
      </c>
      <c r="E764" s="16">
        <v>0.95892569000000005</v>
      </c>
      <c r="F764" s="16">
        <v>-6.4038521000000001E-2</v>
      </c>
      <c r="G764" s="16">
        <f t="shared" si="126"/>
        <v>3.20942658672258</v>
      </c>
      <c r="H764" s="16">
        <f t="shared" si="127"/>
        <v>-5.5960337824702302</v>
      </c>
      <c r="I764" s="16">
        <f t="shared" si="128"/>
        <v>3.2094931081098199</v>
      </c>
      <c r="J764" s="16">
        <f t="shared" si="129"/>
        <v>-5.5980025521465704</v>
      </c>
      <c r="K764" s="15">
        <f t="shared" si="130"/>
        <v>-6.6521387239948395E-5</v>
      </c>
      <c r="L764" s="15">
        <f t="shared" si="131"/>
        <v>1.96876967634019E-3</v>
      </c>
      <c r="M764" s="15">
        <f t="shared" si="132"/>
        <v>7.7079980277618795E-2</v>
      </c>
      <c r="N764" s="15">
        <f t="shared" si="133"/>
        <v>0.13444301382769999</v>
      </c>
      <c r="O764" s="16">
        <v>7.6039646999999997</v>
      </c>
      <c r="P764" s="16">
        <v>-4.9715962999999999</v>
      </c>
      <c r="Q764" s="16">
        <v>4.8801243000000003</v>
      </c>
      <c r="R764" s="16">
        <v>-7.3494114000000001</v>
      </c>
      <c r="S764" s="16">
        <f t="shared" si="134"/>
        <v>0.97106330540261221</v>
      </c>
      <c r="T764" s="16">
        <f t="shared" si="135"/>
        <v>-23.237901970755232</v>
      </c>
    </row>
    <row r="765" spans="1:20" x14ac:dyDescent="0.35">
      <c r="A765" s="17">
        <v>3.0750000000000002</v>
      </c>
      <c r="B765" s="17">
        <v>15.3416</v>
      </c>
      <c r="C765" s="17">
        <v>-4.3829106999999999E-2</v>
      </c>
      <c r="D765" s="17">
        <v>-6.1278591E-2</v>
      </c>
      <c r="E765" s="17">
        <v>0.95629416</v>
      </c>
      <c r="F765" s="17">
        <v>-6.5242143000000002E-2</v>
      </c>
      <c r="G765" s="17">
        <f t="shared" si="126"/>
        <v>3.1981274819958601</v>
      </c>
      <c r="H765" s="17">
        <f t="shared" si="127"/>
        <v>-5.3442338209474398</v>
      </c>
      <c r="I765" s="17">
        <f t="shared" si="128"/>
        <v>3.1981930383920099</v>
      </c>
      <c r="J765" s="17">
        <f t="shared" si="129"/>
        <v>-5.3462153449010898</v>
      </c>
      <c r="K765" s="15">
        <f t="shared" si="130"/>
        <v>-6.5556396149801799E-5</v>
      </c>
      <c r="L765" s="15">
        <f t="shared" si="131"/>
        <v>1.9815239536500298E-3</v>
      </c>
      <c r="M765" s="15">
        <f t="shared" si="132"/>
        <v>8.2405446033812099E-2</v>
      </c>
      <c r="N765" s="15">
        <f t="shared" si="133"/>
        <v>0.13775192891761401</v>
      </c>
      <c r="O765" s="17">
        <v>7.7247196000000002</v>
      </c>
      <c r="P765" s="17">
        <v>-5.2742253999999997</v>
      </c>
      <c r="Q765" s="17">
        <v>4.8780348</v>
      </c>
      <c r="R765" s="17">
        <v>-7.6769049999999996</v>
      </c>
      <c r="S765" s="17">
        <f t="shared" si="134"/>
        <v>0.97242398350203063</v>
      </c>
      <c r="T765" s="17">
        <f t="shared" si="135"/>
        <v>-23.243252139106435</v>
      </c>
    </row>
    <row r="766" spans="1:20" x14ac:dyDescent="0.35">
      <c r="A766" s="16">
        <v>3.0750000000000002</v>
      </c>
      <c r="B766" s="16">
        <v>15.3904</v>
      </c>
      <c r="C766" s="16">
        <v>-4.6633593000000001E-2</v>
      </c>
      <c r="D766" s="16">
        <v>-6.2400878999999999E-2</v>
      </c>
      <c r="E766" s="16">
        <v>0.95348756999999995</v>
      </c>
      <c r="F766" s="16">
        <v>-6.6390516999999996E-2</v>
      </c>
      <c r="G766" s="16">
        <f t="shared" si="126"/>
        <v>3.1869616939782199</v>
      </c>
      <c r="H766" s="16">
        <f t="shared" si="127"/>
        <v>-5.0969455520070204</v>
      </c>
      <c r="I766" s="16">
        <f t="shared" si="128"/>
        <v>3.18702625037221</v>
      </c>
      <c r="J766" s="16">
        <f t="shared" si="129"/>
        <v>-5.0989401213947003</v>
      </c>
      <c r="K766" s="15">
        <f t="shared" si="130"/>
        <v>-6.4556393990056193E-5</v>
      </c>
      <c r="L766" s="15">
        <f t="shared" si="131"/>
        <v>1.9945693876799501E-3</v>
      </c>
      <c r="M766" s="15">
        <f t="shared" si="132"/>
        <v>8.8145742193090806E-2</v>
      </c>
      <c r="N766" s="15">
        <f t="shared" si="133"/>
        <v>0.14102483823155601</v>
      </c>
      <c r="O766" s="16">
        <v>7.8381866999999996</v>
      </c>
      <c r="P766" s="16">
        <v>-5.5962261</v>
      </c>
      <c r="Q766" s="16">
        <v>4.8618322999999997</v>
      </c>
      <c r="R766" s="16">
        <v>-8.0197146999999998</v>
      </c>
      <c r="S766" s="16">
        <f t="shared" si="134"/>
        <v>0.97377235965922293</v>
      </c>
      <c r="T766" s="16">
        <f t="shared" si="135"/>
        <v>-23.248608632143537</v>
      </c>
    </row>
    <row r="767" spans="1:20" x14ac:dyDescent="0.35">
      <c r="A767" s="17">
        <v>3.0750000000000002</v>
      </c>
      <c r="B767" s="17">
        <v>15.4392</v>
      </c>
      <c r="C767" s="17">
        <v>-4.9621524E-2</v>
      </c>
      <c r="D767" s="17">
        <v>-6.3451594E-2</v>
      </c>
      <c r="E767" s="17">
        <v>0.95049746000000002</v>
      </c>
      <c r="F767" s="17">
        <v>-6.7467968000000003E-2</v>
      </c>
      <c r="G767" s="17">
        <f t="shared" si="126"/>
        <v>3.1759253220771702</v>
      </c>
      <c r="H767" s="17">
        <f t="shared" si="127"/>
        <v>-4.8540702847497297</v>
      </c>
      <c r="I767" s="17">
        <f t="shared" si="128"/>
        <v>3.1759888426171798</v>
      </c>
      <c r="J767" s="17">
        <f t="shared" si="129"/>
        <v>-4.85607822473224</v>
      </c>
      <c r="K767" s="15">
        <f t="shared" si="130"/>
        <v>-6.3520540009687196E-5</v>
      </c>
      <c r="L767" s="15">
        <f t="shared" si="131"/>
        <v>2.0079399825103602E-3</v>
      </c>
      <c r="M767" s="15">
        <f t="shared" si="132"/>
        <v>9.4331443197138903E-2</v>
      </c>
      <c r="N767" s="15">
        <f t="shared" si="133"/>
        <v>0.144232517781678</v>
      </c>
      <c r="O767" s="17">
        <v>7.9474277999999998</v>
      </c>
      <c r="P767" s="17">
        <v>-5.9420948999999998</v>
      </c>
      <c r="Q767" s="17">
        <v>4.8295051000000004</v>
      </c>
      <c r="R767" s="17">
        <v>-8.3778168999999991</v>
      </c>
      <c r="S767" s="17">
        <f t="shared" si="134"/>
        <v>0.97449885380022128</v>
      </c>
      <c r="T767" s="17">
        <f t="shared" si="135"/>
        <v>-23.253568815843632</v>
      </c>
    </row>
    <row r="768" spans="1:20" x14ac:dyDescent="0.35">
      <c r="A768" s="16">
        <v>3.0750000000000002</v>
      </c>
      <c r="B768" s="16">
        <v>15.488</v>
      </c>
      <c r="C768" s="16">
        <v>-5.2800504999999998E-2</v>
      </c>
      <c r="D768" s="16">
        <v>-6.4412678000000001E-2</v>
      </c>
      <c r="E768" s="16">
        <v>0.94731620000000005</v>
      </c>
      <c r="F768" s="16">
        <v>-6.8456502000000002E-2</v>
      </c>
      <c r="G768" s="16">
        <f t="shared" si="126"/>
        <v>3.1650161187514998</v>
      </c>
      <c r="H768" s="16">
        <f t="shared" si="127"/>
        <v>-4.6155227284014098</v>
      </c>
      <c r="I768" s="16">
        <f t="shared" si="128"/>
        <v>3.1650785552425398</v>
      </c>
      <c r="J768" s="16">
        <f t="shared" si="129"/>
        <v>-4.6175443961909499</v>
      </c>
      <c r="K768" s="15">
        <f t="shared" si="130"/>
        <v>-6.2436491039985498E-5</v>
      </c>
      <c r="L768" s="15">
        <f t="shared" si="131"/>
        <v>2.0216677895401598E-3</v>
      </c>
      <c r="M768" s="15">
        <f t="shared" si="132"/>
        <v>0.10099346719520499</v>
      </c>
      <c r="N768" s="15">
        <f t="shared" si="133"/>
        <v>0.147339729602186</v>
      </c>
      <c r="O768" s="16">
        <v>8.0406382000000001</v>
      </c>
      <c r="P768" s="16">
        <v>-6.3055218000000002</v>
      </c>
      <c r="Q768" s="16">
        <v>4.7787271000000002</v>
      </c>
      <c r="R768" s="16">
        <v>-8.7510850999999992</v>
      </c>
      <c r="S768" s="16">
        <f t="shared" si="134"/>
        <v>0.975793241363202</v>
      </c>
      <c r="T768" s="16">
        <f t="shared" si="135"/>
        <v>-23.258481299618026</v>
      </c>
    </row>
    <row r="769" spans="1:20" x14ac:dyDescent="0.35">
      <c r="A769" s="17">
        <v>3.0750000000000002</v>
      </c>
      <c r="B769" s="17">
        <v>15.536799999999999</v>
      </c>
      <c r="C769" s="17">
        <v>-5.6176937000000003E-2</v>
      </c>
      <c r="D769" s="17">
        <v>-6.5263632000000002E-2</v>
      </c>
      <c r="E769" s="17">
        <v>0.94393737</v>
      </c>
      <c r="F769" s="17">
        <v>-6.9335674999999999E-2</v>
      </c>
      <c r="G769" s="17">
        <f t="shared" si="126"/>
        <v>3.1542322784883998</v>
      </c>
      <c r="H769" s="17">
        <f t="shared" si="127"/>
        <v>-4.3812268972301798</v>
      </c>
      <c r="I769" s="17">
        <f t="shared" si="128"/>
        <v>3.15429357337774</v>
      </c>
      <c r="J769" s="17">
        <f t="shared" si="129"/>
        <v>-4.3832626775805004</v>
      </c>
      <c r="K769" s="15">
        <f t="shared" si="130"/>
        <v>-6.1294889340146597E-5</v>
      </c>
      <c r="L769" s="15">
        <f t="shared" si="131"/>
        <v>2.0357803503205899E-3</v>
      </c>
      <c r="M769" s="15">
        <f t="shared" si="132"/>
        <v>0.108162438807874</v>
      </c>
      <c r="N769" s="15">
        <f t="shared" si="133"/>
        <v>0.15030445648562399</v>
      </c>
      <c r="O769" s="17">
        <v>8.1203202000000001</v>
      </c>
      <c r="P769" s="17">
        <v>-6.6905570000000001</v>
      </c>
      <c r="Q769" s="17">
        <v>4.7073551</v>
      </c>
      <c r="R769" s="17">
        <v>-9.1396101999999999</v>
      </c>
      <c r="S769" s="17">
        <f t="shared" si="134"/>
        <v>0.97710306974202499</v>
      </c>
      <c r="T769" s="17">
        <f t="shared" si="135"/>
        <v>-23.263217686201951</v>
      </c>
    </row>
    <row r="770" spans="1:20" x14ac:dyDescent="0.35">
      <c r="A770" s="16">
        <v>3.0750000000000002</v>
      </c>
      <c r="B770" s="16">
        <v>15.585599999999999</v>
      </c>
      <c r="C770" s="16">
        <v>-5.9755572E-2</v>
      </c>
      <c r="D770" s="16">
        <v>-6.5981395999999998E-2</v>
      </c>
      <c r="E770" s="16">
        <v>0.94035616</v>
      </c>
      <c r="F770" s="16">
        <v>-7.0082485E-2</v>
      </c>
      <c r="G770" s="16">
        <f t="shared" si="126"/>
        <v>3.14357301801622</v>
      </c>
      <c r="H770" s="16">
        <f t="shared" si="127"/>
        <v>-4.15111231278751</v>
      </c>
      <c r="I770" s="16">
        <f t="shared" si="128"/>
        <v>3.14363308490584</v>
      </c>
      <c r="J770" s="16">
        <f t="shared" si="129"/>
        <v>-4.15316261957524</v>
      </c>
      <c r="K770" s="15">
        <f t="shared" si="130"/>
        <v>-6.00668896200141E-5</v>
      </c>
      <c r="L770" s="15">
        <f t="shared" si="131"/>
        <v>2.0503067877299902E-3</v>
      </c>
      <c r="M770" s="15">
        <f t="shared" si="132"/>
        <v>0.115867871388861</v>
      </c>
      <c r="N770" s="15">
        <f t="shared" si="133"/>
        <v>0.153077060606258</v>
      </c>
      <c r="O770" s="16">
        <v>8.1838490000000004</v>
      </c>
      <c r="P770" s="16">
        <v>-7.0976042000000001</v>
      </c>
      <c r="Q770" s="16">
        <v>4.6126490000000002</v>
      </c>
      <c r="R770" s="16">
        <v>-9.5424521000000002</v>
      </c>
      <c r="S770" s="16">
        <f t="shared" si="134"/>
        <v>0.97839294857612202</v>
      </c>
      <c r="T770" s="16">
        <f t="shared" si="135"/>
        <v>-23.267607908537688</v>
      </c>
    </row>
    <row r="771" spans="1:20" x14ac:dyDescent="0.35">
      <c r="A771" s="17">
        <v>3.0750000000000002</v>
      </c>
      <c r="B771" s="17">
        <v>15.634399999999999</v>
      </c>
      <c r="C771" s="17">
        <v>-6.3538981999999994E-2</v>
      </c>
      <c r="D771" s="17">
        <v>-6.6540316000000002E-2</v>
      </c>
      <c r="E771" s="17">
        <v>0.93656991999999994</v>
      </c>
      <c r="F771" s="17">
        <v>-7.0671321999999995E-2</v>
      </c>
      <c r="G771" s="17">
        <f t="shared" si="126"/>
        <v>3.1330375271865099</v>
      </c>
      <c r="H771" s="17">
        <f t="shared" si="127"/>
        <v>-3.9251132332209999</v>
      </c>
      <c r="I771" s="17">
        <f t="shared" si="128"/>
        <v>3.1330962408093801</v>
      </c>
      <c r="J771" s="17">
        <f t="shared" si="129"/>
        <v>-3.9271785024918602</v>
      </c>
      <c r="K771" s="15">
        <f t="shared" si="130"/>
        <v>-5.8713622870243398E-5</v>
      </c>
      <c r="L771" s="15">
        <f t="shared" si="131"/>
        <v>2.0652692708602598E-3</v>
      </c>
      <c r="M771" s="15">
        <f t="shared" si="132"/>
        <v>0.124136985622299</v>
      </c>
      <c r="N771" s="15">
        <f t="shared" si="133"/>
        <v>0.15559946577769199</v>
      </c>
      <c r="O771" s="17">
        <v>8.2275755999999998</v>
      </c>
      <c r="P771" s="17">
        <v>-7.5261665999999998</v>
      </c>
      <c r="Q771" s="17">
        <v>4.4918003999999998</v>
      </c>
      <c r="R771" s="17">
        <v>-9.9590713999999991</v>
      </c>
      <c r="S771" s="17">
        <f t="shared" si="134"/>
        <v>0.97978209595528709</v>
      </c>
      <c r="T771" s="17">
        <f t="shared" si="135"/>
        <v>-23.272701190251922</v>
      </c>
    </row>
    <row r="772" spans="1:20" x14ac:dyDescent="0.35">
      <c r="A772" s="16">
        <v>3.0750000000000002</v>
      </c>
      <c r="B772" s="16">
        <v>15.683199999999999</v>
      </c>
      <c r="C772" s="16">
        <v>-6.7526945000000005E-2</v>
      </c>
      <c r="D772" s="16">
        <v>-6.6912161999999997E-2</v>
      </c>
      <c r="E772" s="16">
        <v>0.93257880999999998</v>
      </c>
      <c r="F772" s="16">
        <v>-7.1073991000000003E-2</v>
      </c>
      <c r="G772" s="16">
        <f t="shared" si="126"/>
        <v>3.1226256021488501</v>
      </c>
      <c r="H772" s="16">
        <f t="shared" si="127"/>
        <v>-3.7031688135882801</v>
      </c>
      <c r="I772" s="16">
        <f t="shared" si="128"/>
        <v>3.12268280635254</v>
      </c>
      <c r="J772" s="16">
        <f t="shared" si="129"/>
        <v>-3.70524949902978</v>
      </c>
      <c r="K772" s="15">
        <f t="shared" si="130"/>
        <v>-5.7204203689931197E-5</v>
      </c>
      <c r="L772" s="15">
        <f t="shared" si="131"/>
        <v>2.0806854414998602E-3</v>
      </c>
      <c r="M772" s="15">
        <f t="shared" si="132"/>
        <v>0.13299318196481799</v>
      </c>
      <c r="N772" s="15">
        <f t="shared" si="133"/>
        <v>0.15780434690550599</v>
      </c>
      <c r="O772" s="16">
        <v>8.2498245000000008</v>
      </c>
      <c r="P772" s="16">
        <v>-7.9773177999999998</v>
      </c>
      <c r="Q772" s="16">
        <v>4.3418903000000002</v>
      </c>
      <c r="R772" s="16">
        <v>-10.38748</v>
      </c>
      <c r="S772" s="16">
        <f t="shared" si="134"/>
        <v>0.98104450386067743</v>
      </c>
      <c r="T772" s="16">
        <f t="shared" si="135"/>
        <v>-23.277523671356889</v>
      </c>
    </row>
    <row r="773" spans="1:20" x14ac:dyDescent="0.35">
      <c r="A773" s="17">
        <v>3.0750000000000002</v>
      </c>
      <c r="B773" s="17">
        <v>15.731999999999999</v>
      </c>
      <c r="C773" s="17">
        <v>-7.1718399000000002E-2</v>
      </c>
      <c r="D773" s="17">
        <v>-6.7060004000000006E-2</v>
      </c>
      <c r="E773" s="17">
        <v>0.92841625999999999</v>
      </c>
      <c r="F773" s="17">
        <v>-7.1233599999999994E-2</v>
      </c>
      <c r="G773" s="17">
        <f t="shared" si="126"/>
        <v>3.1131735539609302</v>
      </c>
      <c r="H773" s="17">
        <f t="shared" si="127"/>
        <v>-3.4858813132505602</v>
      </c>
      <c r="I773" s="17">
        <f t="shared" si="128"/>
        <v>3.1132452327554301</v>
      </c>
      <c r="J773" s="17">
        <f t="shared" si="129"/>
        <v>-3.48796782118787</v>
      </c>
      <c r="K773" s="15">
        <f t="shared" si="130"/>
        <v>-7.1678794499874203E-5</v>
      </c>
      <c r="L773" s="15">
        <f t="shared" si="131"/>
        <v>2.0865079373098001E-3</v>
      </c>
      <c r="M773" s="15">
        <f t="shared" si="132"/>
        <v>0.142429067316488</v>
      </c>
      <c r="N773" s="15">
        <f t="shared" si="133"/>
        <v>0.15957239679510299</v>
      </c>
      <c r="O773" s="17">
        <v>8.2454882999999999</v>
      </c>
      <c r="P773" s="17">
        <v>-8.4501983000000003</v>
      </c>
      <c r="Q773" s="17">
        <v>4.1582648999999998</v>
      </c>
      <c r="R773" s="17">
        <v>-10.825684000000001</v>
      </c>
      <c r="S773" s="17">
        <f t="shared" si="134"/>
        <v>0.98223991775257236</v>
      </c>
      <c r="T773" s="17">
        <f t="shared" si="135"/>
        <v>-23.285182772309575</v>
      </c>
    </row>
    <row r="774" spans="1:20" x14ac:dyDescent="0.35">
      <c r="A774" s="16">
        <v>3.0750000000000002</v>
      </c>
      <c r="B774" s="16">
        <v>15.780799999999999</v>
      </c>
      <c r="C774" s="16">
        <v>-7.6088954E-2</v>
      </c>
      <c r="D774" s="16">
        <v>-6.6963279000000001E-2</v>
      </c>
      <c r="E774" s="16">
        <v>0.92404459000000005</v>
      </c>
      <c r="F774" s="16">
        <v>-7.1168026999999995E-2</v>
      </c>
      <c r="G774" s="16">
        <f t="shared" si="126"/>
        <v>3.1031038455117099</v>
      </c>
      <c r="H774" s="16">
        <f t="shared" si="127"/>
        <v>-3.27237747117865</v>
      </c>
      <c r="I774" s="16">
        <f t="shared" si="128"/>
        <v>3.1031750321251401</v>
      </c>
      <c r="J774" s="16">
        <f t="shared" si="129"/>
        <v>-3.27447955515742</v>
      </c>
      <c r="K774" s="15">
        <f t="shared" si="130"/>
        <v>-7.1186613430196402E-5</v>
      </c>
      <c r="L774" s="15">
        <f t="shared" si="131"/>
        <v>2.1020839787699898E-3</v>
      </c>
      <c r="M774" s="15">
        <f t="shared" si="132"/>
        <v>0.152475850301003</v>
      </c>
      <c r="N774" s="15">
        <f t="shared" si="133"/>
        <v>0.16089297229359201</v>
      </c>
      <c r="O774" s="16">
        <v>8.2169285999999992</v>
      </c>
      <c r="P774" s="16">
        <v>-8.9461864999999996</v>
      </c>
      <c r="Q774" s="16">
        <v>3.9419966</v>
      </c>
      <c r="R774" s="16">
        <v>-11.270959</v>
      </c>
      <c r="S774" s="16">
        <f t="shared" si="134"/>
        <v>0.98298557878808468</v>
      </c>
      <c r="T774" s="16">
        <f t="shared" si="135"/>
        <v>-23.289787407940949</v>
      </c>
    </row>
    <row r="775" spans="1:20" x14ac:dyDescent="0.35">
      <c r="A775" s="17">
        <v>3.0750000000000002</v>
      </c>
      <c r="B775" s="17">
        <v>15.829599999999999</v>
      </c>
      <c r="C775" s="17">
        <v>-8.0650500999999999E-2</v>
      </c>
      <c r="D775" s="17">
        <v>-6.6582430999999997E-2</v>
      </c>
      <c r="E775" s="17">
        <v>0.91948070999999998</v>
      </c>
      <c r="F775" s="17">
        <v>-7.0817816000000006E-2</v>
      </c>
      <c r="G775" s="17">
        <f t="shared" si="126"/>
        <v>3.0931314255006299</v>
      </c>
      <c r="H775" s="17">
        <f t="shared" si="127"/>
        <v>-3.06218259807358</v>
      </c>
      <c r="I775" s="17">
        <f t="shared" si="128"/>
        <v>3.09320151041572</v>
      </c>
      <c r="J775" s="17">
        <f t="shared" si="129"/>
        <v>-3.0643000032418599</v>
      </c>
      <c r="K775" s="15">
        <f t="shared" si="130"/>
        <v>-7.0084915090085103E-5</v>
      </c>
      <c r="L775" s="15">
        <f t="shared" si="131"/>
        <v>2.11740516827996E-3</v>
      </c>
      <c r="M775" s="15">
        <f t="shared" si="132"/>
        <v>0.16316221292699501</v>
      </c>
      <c r="N775" s="15">
        <f t="shared" si="133"/>
        <v>0.16163769735582001</v>
      </c>
      <c r="O775" s="17">
        <v>8.1510979999999993</v>
      </c>
      <c r="P775" s="17">
        <v>-9.4578909000000007</v>
      </c>
      <c r="Q775" s="17">
        <v>3.6873440999999998</v>
      </c>
      <c r="R775" s="17">
        <v>-11.722258999999999</v>
      </c>
      <c r="S775" s="17">
        <f t="shared" si="134"/>
        <v>0.98420989740771891</v>
      </c>
      <c r="T775" s="17">
        <f t="shared" si="135"/>
        <v>-23.294316395756017</v>
      </c>
    </row>
    <row r="776" spans="1:20" x14ac:dyDescent="0.35">
      <c r="A776" s="16">
        <v>3.0750000000000002</v>
      </c>
      <c r="B776" s="16">
        <v>15.878399999999999</v>
      </c>
      <c r="C776" s="16">
        <v>-8.5373023000000006E-2</v>
      </c>
      <c r="D776" s="16">
        <v>-6.5881516000000001E-2</v>
      </c>
      <c r="E776" s="16">
        <v>0.91475525999999996</v>
      </c>
      <c r="F776" s="16">
        <v>-7.0147859000000007E-2</v>
      </c>
      <c r="G776" s="16">
        <f t="shared" si="126"/>
        <v>3.0832875152313601</v>
      </c>
      <c r="H776" s="16">
        <f t="shared" si="127"/>
        <v>-2.85582854908627</v>
      </c>
      <c r="I776" s="16">
        <f t="shared" si="128"/>
        <v>3.0833562021419501</v>
      </c>
      <c r="J776" s="16">
        <f t="shared" si="129"/>
        <v>-2.8579614372586599</v>
      </c>
      <c r="K776" s="15">
        <f t="shared" si="130"/>
        <v>-6.8686910589921296E-5</v>
      </c>
      <c r="L776" s="15">
        <f t="shared" si="131"/>
        <v>2.13288817238988E-3</v>
      </c>
      <c r="M776" s="15">
        <f t="shared" si="132"/>
        <v>0.17444702320387301</v>
      </c>
      <c r="N776" s="15">
        <f t="shared" si="133"/>
        <v>0.161694865100209</v>
      </c>
      <c r="O776" s="16">
        <v>8.0482803000000001</v>
      </c>
      <c r="P776" s="16">
        <v>-9.9858983000000006</v>
      </c>
      <c r="Q776" s="16">
        <v>3.3921302</v>
      </c>
      <c r="R776" s="16">
        <v>-12.174554000000001</v>
      </c>
      <c r="S776" s="16">
        <f t="shared" si="134"/>
        <v>0.98540451429022735</v>
      </c>
      <c r="T776" s="16">
        <f t="shared" si="135"/>
        <v>-23.298439233689553</v>
      </c>
    </row>
    <row r="777" spans="1:20" x14ac:dyDescent="0.35">
      <c r="A777" s="17">
        <v>3.0750000000000002</v>
      </c>
      <c r="B777" s="17">
        <v>15.927199999999999</v>
      </c>
      <c r="C777" s="17">
        <v>-9.0231203999999995E-2</v>
      </c>
      <c r="D777" s="17">
        <v>-6.4825352000000003E-2</v>
      </c>
      <c r="E777" s="17">
        <v>0.90989348000000003</v>
      </c>
      <c r="F777" s="17">
        <v>-6.9122876E-2</v>
      </c>
      <c r="G777" s="17">
        <f t="shared" si="126"/>
        <v>3.0735706441428801</v>
      </c>
      <c r="H777" s="17">
        <f t="shared" si="127"/>
        <v>-2.6532674508712302</v>
      </c>
      <c r="I777" s="17">
        <f t="shared" si="128"/>
        <v>3.07363759855</v>
      </c>
      <c r="J777" s="17">
        <f t="shared" si="129"/>
        <v>-2.6554159350613502</v>
      </c>
      <c r="K777" s="15">
        <f t="shared" si="130"/>
        <v>-6.6954407119901305E-5</v>
      </c>
      <c r="L777" s="15">
        <f t="shared" si="131"/>
        <v>2.1484841901200399E-3</v>
      </c>
      <c r="M777" s="15">
        <f t="shared" si="132"/>
        <v>0.186298207420727</v>
      </c>
      <c r="N777" s="15">
        <f t="shared" si="133"/>
        <v>0.160949107627958</v>
      </c>
      <c r="O777" s="17">
        <v>7.9005751000000002</v>
      </c>
      <c r="P777" s="17">
        <v>-10.521748000000001</v>
      </c>
      <c r="Q777" s="17">
        <v>3.0538509</v>
      </c>
      <c r="R777" s="17">
        <v>-12.624053</v>
      </c>
      <c r="S777" s="17">
        <f t="shared" si="134"/>
        <v>0.98711257899200622</v>
      </c>
      <c r="T777" s="17">
        <f t="shared" si="135"/>
        <v>-23.303151907291056</v>
      </c>
    </row>
    <row r="778" spans="1:20" x14ac:dyDescent="0.35">
      <c r="A778" s="16">
        <v>3.0750000000000002</v>
      </c>
      <c r="B778" s="16">
        <v>15.976000000000001</v>
      </c>
      <c r="C778" s="16">
        <v>-9.5185945999999994E-2</v>
      </c>
      <c r="D778" s="16">
        <v>-6.3382527999999994E-2</v>
      </c>
      <c r="E778" s="16">
        <v>0.90493612000000001</v>
      </c>
      <c r="F778" s="16">
        <v>-6.7710551999999993E-2</v>
      </c>
      <c r="G778" s="16">
        <f t="shared" si="126"/>
        <v>3.0640066571160798</v>
      </c>
      <c r="H778" s="16">
        <f t="shared" si="127"/>
        <v>-2.4547464848076599</v>
      </c>
      <c r="I778" s="16">
        <f t="shared" si="128"/>
        <v>3.06407236845995</v>
      </c>
      <c r="J778" s="16">
        <f t="shared" si="129"/>
        <v>-2.4569102225481201</v>
      </c>
      <c r="K778" s="15">
        <f t="shared" si="130"/>
        <v>-6.5711343870233905E-5</v>
      </c>
      <c r="L778" s="15">
        <f t="shared" si="131"/>
        <v>2.1637377404601899E-3</v>
      </c>
      <c r="M778" s="15">
        <f t="shared" si="132"/>
        <v>0.19864394378345401</v>
      </c>
      <c r="N778" s="15">
        <f t="shared" si="133"/>
        <v>0.15928159568050401</v>
      </c>
      <c r="O778" s="16">
        <v>7.7129724</v>
      </c>
      <c r="P778" s="16">
        <v>-11.071303</v>
      </c>
      <c r="Q778" s="16">
        <v>2.6714167999999998</v>
      </c>
      <c r="R778" s="16">
        <v>-13.064844000000001</v>
      </c>
      <c r="S778" s="16">
        <f t="shared" si="134"/>
        <v>0.98829525053617173</v>
      </c>
      <c r="T778" s="16">
        <f t="shared" si="135"/>
        <v>-23.307333909097423</v>
      </c>
    </row>
    <row r="779" spans="1:20" x14ac:dyDescent="0.35">
      <c r="A779" s="17">
        <v>3.0750000000000002</v>
      </c>
      <c r="B779" s="17">
        <v>16.024799999999999</v>
      </c>
      <c r="C779" s="17">
        <v>-0.10021484999999999</v>
      </c>
      <c r="D779" s="17">
        <v>-6.1515712E-2</v>
      </c>
      <c r="E779" s="17">
        <v>0.89990270999999999</v>
      </c>
      <c r="F779" s="17">
        <v>-6.5875606000000003E-2</v>
      </c>
      <c r="G779" s="17">
        <f t="shared" si="126"/>
        <v>3.0545324647583598</v>
      </c>
      <c r="H779" s="17">
        <f t="shared" si="127"/>
        <v>-2.2594851903934901</v>
      </c>
      <c r="I779" s="17">
        <f t="shared" si="128"/>
        <v>3.0545959926119202</v>
      </c>
      <c r="J779" s="17">
        <f t="shared" si="129"/>
        <v>-2.2616648707845202</v>
      </c>
      <c r="K779" s="15">
        <f t="shared" si="130"/>
        <v>-6.3527853560341199E-5</v>
      </c>
      <c r="L779" s="15">
        <f t="shared" si="131"/>
        <v>2.17968039103011E-3</v>
      </c>
      <c r="M779" s="15">
        <f t="shared" si="132"/>
        <v>0.21145387451514</v>
      </c>
      <c r="N779" s="15">
        <f t="shared" si="133"/>
        <v>0.15656335598516899</v>
      </c>
      <c r="O779" s="17">
        <v>7.4832983000000004</v>
      </c>
      <c r="P779" s="17">
        <v>-11.636369</v>
      </c>
      <c r="Q779" s="17">
        <v>2.2418743000000001</v>
      </c>
      <c r="R779" s="17">
        <v>-13.492817000000001</v>
      </c>
      <c r="S779" s="17">
        <f t="shared" si="134"/>
        <v>0.98864341170516024</v>
      </c>
      <c r="T779" s="17">
        <f t="shared" si="135"/>
        <v>-23.311200957950327</v>
      </c>
    </row>
    <row r="780" spans="1:20" x14ac:dyDescent="0.35">
      <c r="A780" s="16">
        <v>3.0750000000000002</v>
      </c>
      <c r="B780" s="16">
        <v>16.073599999999999</v>
      </c>
      <c r="C780" s="16">
        <v>-0.10525693999999999</v>
      </c>
      <c r="D780" s="16">
        <v>-5.9203022000000001E-2</v>
      </c>
      <c r="E780" s="16">
        <v>0.89485526999999998</v>
      </c>
      <c r="F780" s="16">
        <v>-6.3594733000000001E-2</v>
      </c>
      <c r="G780" s="16">
        <f t="shared" si="126"/>
        <v>3.04517971173272</v>
      </c>
      <c r="H780" s="16">
        <f t="shared" si="127"/>
        <v>-2.0680105412863399</v>
      </c>
      <c r="I780" s="16">
        <f t="shared" si="128"/>
        <v>3.04524063453177</v>
      </c>
      <c r="J780" s="16">
        <f t="shared" si="129"/>
        <v>-2.0702061398246201</v>
      </c>
      <c r="K780" s="15">
        <f t="shared" si="130"/>
        <v>-6.09227990500116E-5</v>
      </c>
      <c r="L780" s="15">
        <f t="shared" si="131"/>
        <v>2.1955985382802199E-3</v>
      </c>
      <c r="M780" s="15">
        <f t="shared" si="132"/>
        <v>0.224587789571566</v>
      </c>
      <c r="N780" s="15">
        <f t="shared" si="133"/>
        <v>0.15267858166229401</v>
      </c>
      <c r="O780" s="16">
        <v>7.1923627000000003</v>
      </c>
      <c r="P780" s="16">
        <v>-12.183517999999999</v>
      </c>
      <c r="Q780" s="16">
        <v>1.7657571999999999</v>
      </c>
      <c r="R780" s="16">
        <v>-13.900923000000001</v>
      </c>
      <c r="S780" s="16">
        <f t="shared" si="134"/>
        <v>0.990425595227583</v>
      </c>
      <c r="T780" s="16">
        <f t="shared" si="135"/>
        <v>-23.315664075183367</v>
      </c>
    </row>
    <row r="781" spans="1:20" x14ac:dyDescent="0.35">
      <c r="A781" s="17">
        <v>3.0750000000000002</v>
      </c>
      <c r="B781" s="17">
        <v>16.122399999999999</v>
      </c>
      <c r="C781" s="17">
        <v>-0.11025979</v>
      </c>
      <c r="D781" s="17">
        <v>-5.6423689999999999E-2</v>
      </c>
      <c r="E781" s="17">
        <v>0.88984638000000005</v>
      </c>
      <c r="F781" s="17">
        <v>-6.0847182E-2</v>
      </c>
      <c r="G781" s="17">
        <f t="shared" si="126"/>
        <v>3.0359472131026699</v>
      </c>
      <c r="H781" s="17">
        <f t="shared" si="127"/>
        <v>-1.8802090586970699</v>
      </c>
      <c r="I781" s="17">
        <f t="shared" si="128"/>
        <v>3.0360051863023001</v>
      </c>
      <c r="J781" s="17">
        <f t="shared" si="129"/>
        <v>-1.88242055907758</v>
      </c>
      <c r="K781" s="15">
        <f t="shared" si="130"/>
        <v>-5.7973199630190202E-5</v>
      </c>
      <c r="L781" s="15">
        <f t="shared" si="131"/>
        <v>2.2115003805100999E-3</v>
      </c>
      <c r="M781" s="15">
        <f t="shared" si="132"/>
        <v>0.23791587846562301</v>
      </c>
      <c r="N781" s="15">
        <f t="shared" si="133"/>
        <v>0.14751547295614501</v>
      </c>
      <c r="O781" s="17">
        <v>6.8578726999999997</v>
      </c>
      <c r="P781" s="17">
        <v>-12.738443</v>
      </c>
      <c r="Q781" s="17">
        <v>1.2436989000000001</v>
      </c>
      <c r="R781" s="17">
        <v>-14.282088</v>
      </c>
      <c r="S781" s="17">
        <f t="shared" si="134"/>
        <v>0.99094429759518232</v>
      </c>
      <c r="T781" s="17">
        <f t="shared" si="135"/>
        <v>-23.319440508975116</v>
      </c>
    </row>
    <row r="782" spans="1:20" x14ac:dyDescent="0.35">
      <c r="A782" s="16">
        <v>3.0750000000000002</v>
      </c>
      <c r="B782" s="16">
        <v>16.171199999999999</v>
      </c>
      <c r="C782" s="16">
        <v>-0.1151631</v>
      </c>
      <c r="D782" s="16">
        <v>-5.3165867999999998E-2</v>
      </c>
      <c r="E782" s="16">
        <v>0.88493646000000004</v>
      </c>
      <c r="F782" s="16">
        <v>-5.7621045000000003E-2</v>
      </c>
      <c r="G782" s="16">
        <f t="shared" si="126"/>
        <v>3.0268343338159598</v>
      </c>
      <c r="H782" s="16">
        <f t="shared" si="127"/>
        <v>-1.6960405727818999</v>
      </c>
      <c r="I782" s="16">
        <f t="shared" si="128"/>
        <v>3.0268890727229798</v>
      </c>
      <c r="J782" s="16">
        <f t="shared" si="129"/>
        <v>-1.6982679284683799</v>
      </c>
      <c r="K782" s="15">
        <f t="shared" si="130"/>
        <v>-5.4738907020013299E-5</v>
      </c>
      <c r="L782" s="15">
        <f t="shared" si="131"/>
        <v>2.2273556864800298E-3</v>
      </c>
      <c r="M782" s="15">
        <f t="shared" si="132"/>
        <v>0.251273949899534</v>
      </c>
      <c r="N782" s="15">
        <f t="shared" si="133"/>
        <v>0.14097989061424901</v>
      </c>
      <c r="O782" s="16">
        <v>6.4643515000000003</v>
      </c>
      <c r="P782" s="16">
        <v>-13.269313</v>
      </c>
      <c r="Q782" s="16">
        <v>0.67718005000000003</v>
      </c>
      <c r="R782" s="16">
        <v>-14.630941</v>
      </c>
      <c r="S782" s="16">
        <f t="shared" si="134"/>
        <v>0.99230616393912896</v>
      </c>
      <c r="T782" s="16">
        <f t="shared" si="135"/>
        <v>-23.323753442574496</v>
      </c>
    </row>
    <row r="783" spans="1:20" x14ac:dyDescent="0.35">
      <c r="A783" s="17">
        <v>3.0750000000000002</v>
      </c>
      <c r="B783" s="17">
        <v>16.22</v>
      </c>
      <c r="C783" s="17">
        <v>-0.11990525</v>
      </c>
      <c r="D783" s="17">
        <v>-4.9426940000000003E-2</v>
      </c>
      <c r="E783" s="17">
        <v>0.88023693000000003</v>
      </c>
      <c r="F783" s="17">
        <v>-5.396828E-2</v>
      </c>
      <c r="G783" s="17">
        <f t="shared" si="126"/>
        <v>3.01769460997714</v>
      </c>
      <c r="H783" s="17">
        <f t="shared" si="127"/>
        <v>-1.5164485892794699</v>
      </c>
      <c r="I783" s="17">
        <f t="shared" si="128"/>
        <v>3.01777084973993</v>
      </c>
      <c r="J783" s="17">
        <f t="shared" si="129"/>
        <v>-1.51871892476597</v>
      </c>
      <c r="K783" s="15">
        <f t="shared" si="130"/>
        <v>-7.6239762790031293E-5</v>
      </c>
      <c r="L783" s="15">
        <f t="shared" si="131"/>
        <v>2.2703354865001302E-3</v>
      </c>
      <c r="M783" s="15">
        <f t="shared" si="132"/>
        <v>0.26440483455820102</v>
      </c>
      <c r="N783" s="15">
        <f t="shared" si="133"/>
        <v>0.133063988631795</v>
      </c>
      <c r="O783" s="17">
        <v>6.0201228999999996</v>
      </c>
      <c r="P783" s="17">
        <v>-13.782651</v>
      </c>
      <c r="Q783" s="17">
        <v>6.9672690999999995E-2</v>
      </c>
      <c r="R783" s="17">
        <v>-14.940293</v>
      </c>
      <c r="S783" s="17">
        <f t="shared" si="134"/>
        <v>0.99337750784257384</v>
      </c>
      <c r="T783" s="17">
        <f t="shared" si="135"/>
        <v>-23.328028313121976</v>
      </c>
    </row>
    <row r="784" spans="1:20" x14ac:dyDescent="0.35">
      <c r="A784" s="16">
        <v>3.0750000000000002</v>
      </c>
      <c r="B784" s="16">
        <v>16.268799999999999</v>
      </c>
      <c r="C784" s="16">
        <v>-0.12440892000000001</v>
      </c>
      <c r="D784" s="16">
        <v>-4.5220753000000002E-2</v>
      </c>
      <c r="E784" s="16">
        <v>0.87573051999999996</v>
      </c>
      <c r="F784" s="16">
        <v>-4.9794919E-2</v>
      </c>
      <c r="G784" s="16">
        <f t="shared" si="126"/>
        <v>3.0089532675131698</v>
      </c>
      <c r="H784" s="16">
        <f t="shared" si="127"/>
        <v>-1.3395806803427199</v>
      </c>
      <c r="I784" s="16">
        <f t="shared" si="128"/>
        <v>3.0090282122800098</v>
      </c>
      <c r="J784" s="16">
        <f t="shared" si="129"/>
        <v>-1.34186743250546</v>
      </c>
      <c r="K784" s="15">
        <f t="shared" si="130"/>
        <v>-7.4944766840001606E-5</v>
      </c>
      <c r="L784" s="15">
        <f t="shared" si="131"/>
        <v>2.2867521627401E-3</v>
      </c>
      <c r="M784" s="15">
        <f t="shared" si="132"/>
        <v>0.27720564729657499</v>
      </c>
      <c r="N784" s="15">
        <f t="shared" si="133"/>
        <v>0.12361905704168</v>
      </c>
      <c r="O784" s="16">
        <v>5.5254387999999999</v>
      </c>
      <c r="P784" s="16">
        <v>-14.270649000000001</v>
      </c>
      <c r="Q784" s="16">
        <v>-0.57489274000000001</v>
      </c>
      <c r="R784" s="16">
        <v>-15.202074</v>
      </c>
      <c r="S784" s="16">
        <f t="shared" si="134"/>
        <v>0.99411471907965954</v>
      </c>
      <c r="T784" s="16">
        <f t="shared" si="135"/>
        <v>-23.33156396830044</v>
      </c>
    </row>
    <row r="785" spans="1:20" x14ac:dyDescent="0.35">
      <c r="A785" s="17">
        <v>3.0750000000000002</v>
      </c>
      <c r="B785" s="17">
        <v>16.317599999999999</v>
      </c>
      <c r="C785" s="17">
        <v>-0.12861454</v>
      </c>
      <c r="D785" s="17">
        <v>-4.0564954E-2</v>
      </c>
      <c r="E785" s="17">
        <v>0.87152059000000004</v>
      </c>
      <c r="F785" s="17">
        <v>-4.5172339999999998E-2</v>
      </c>
      <c r="G785" s="17">
        <f t="shared" si="126"/>
        <v>3.0003081705719299</v>
      </c>
      <c r="H785" s="17">
        <f t="shared" si="127"/>
        <v>-1.1661650661521401</v>
      </c>
      <c r="I785" s="17">
        <f t="shared" si="128"/>
        <v>3.00038103690494</v>
      </c>
      <c r="J785" s="17">
        <f t="shared" si="129"/>
        <v>-1.1684684356633199</v>
      </c>
      <c r="K785" s="15">
        <f t="shared" si="130"/>
        <v>-7.2866333010068702E-5</v>
      </c>
      <c r="L785" s="15">
        <f t="shared" si="131"/>
        <v>2.3033695111798198E-3</v>
      </c>
      <c r="M785" s="15">
        <f t="shared" si="132"/>
        <v>0.28939963277974701</v>
      </c>
      <c r="N785" s="15">
        <f t="shared" si="133"/>
        <v>0.112703797296531</v>
      </c>
      <c r="O785" s="17">
        <v>4.9799582999999998</v>
      </c>
      <c r="P785" s="17">
        <v>-14.718491999999999</v>
      </c>
      <c r="Q785" s="17">
        <v>-1.2513664</v>
      </c>
      <c r="R785" s="17">
        <v>-15.411837</v>
      </c>
      <c r="S785" s="17">
        <f t="shared" si="134"/>
        <v>0.99513517601876178</v>
      </c>
      <c r="T785" s="17">
        <f t="shared" si="135"/>
        <v>-23.335053229363531</v>
      </c>
    </row>
    <row r="786" spans="1:20" x14ac:dyDescent="0.35">
      <c r="A786" s="16">
        <v>3.0750000000000002</v>
      </c>
      <c r="B786" s="16">
        <v>16.366399999999999</v>
      </c>
      <c r="C786" s="16">
        <v>-0.13245399999999999</v>
      </c>
      <c r="D786" s="16">
        <v>-3.5498011000000003E-2</v>
      </c>
      <c r="E786" s="16">
        <v>0.86767563999999997</v>
      </c>
      <c r="F786" s="16">
        <v>-4.0138747000000002E-2</v>
      </c>
      <c r="G786" s="16">
        <f t="shared" si="126"/>
        <v>2.9917702665733299</v>
      </c>
      <c r="H786" s="16">
        <f t="shared" si="127"/>
        <v>-0.99631135757290201</v>
      </c>
      <c r="I786" s="16">
        <f t="shared" si="128"/>
        <v>2.99184046540379</v>
      </c>
      <c r="J786" s="16">
        <f t="shared" si="129"/>
        <v>-0.99863141229983299</v>
      </c>
      <c r="K786" s="15">
        <f t="shared" si="130"/>
        <v>-7.0198830460110897E-5</v>
      </c>
      <c r="L786" s="15">
        <f t="shared" si="131"/>
        <v>2.32005472693098E-3</v>
      </c>
      <c r="M786" s="15">
        <f t="shared" si="132"/>
        <v>0.30073662740622797</v>
      </c>
      <c r="N786" s="15">
        <f t="shared" si="133"/>
        <v>0.10038136940448</v>
      </c>
      <c r="O786" s="16">
        <v>4.3894757000000002</v>
      </c>
      <c r="P786" s="16">
        <v>-15.120288</v>
      </c>
      <c r="Q786" s="16">
        <v>-1.9525505999999999</v>
      </c>
      <c r="R786" s="16">
        <v>-15.564342999999999</v>
      </c>
      <c r="S786" s="16">
        <f t="shared" si="134"/>
        <v>0.99630327485381731</v>
      </c>
      <c r="T786" s="16">
        <f t="shared" si="135"/>
        <v>-23.338624126724838</v>
      </c>
    </row>
    <row r="787" spans="1:20" x14ac:dyDescent="0.35">
      <c r="A787" s="17">
        <v>3.0750000000000002</v>
      </c>
      <c r="B787" s="17">
        <v>16.415199999999999</v>
      </c>
      <c r="C787" s="17">
        <v>-0.13586820999999999</v>
      </c>
      <c r="D787" s="17">
        <v>-3.0068192000000001E-2</v>
      </c>
      <c r="E787" s="17">
        <v>0.86425503000000004</v>
      </c>
      <c r="F787" s="17">
        <v>-3.4742324999999998E-2</v>
      </c>
      <c r="G787" s="17">
        <f t="shared" si="126"/>
        <v>2.9833423652006101</v>
      </c>
      <c r="H787" s="17">
        <f t="shared" si="127"/>
        <v>-0.83001143404800903</v>
      </c>
      <c r="I787" s="17">
        <f t="shared" si="128"/>
        <v>2.9834094422442599</v>
      </c>
      <c r="J787" s="17">
        <f t="shared" si="129"/>
        <v>-0.83234819979299202</v>
      </c>
      <c r="K787" s="15">
        <f t="shared" si="130"/>
        <v>-6.7077043649721406E-5</v>
      </c>
      <c r="L787" s="15">
        <f t="shared" si="131"/>
        <v>2.33676574498298E-3</v>
      </c>
      <c r="M787" s="15">
        <f t="shared" si="132"/>
        <v>0.31098122952983598</v>
      </c>
      <c r="N787" s="15">
        <f t="shared" si="133"/>
        <v>8.6761361985184096E-2</v>
      </c>
      <c r="O787" s="17">
        <v>3.7614912999999999</v>
      </c>
      <c r="P787" s="17">
        <v>-15.475386</v>
      </c>
      <c r="Q787" s="17">
        <v>-2.6705428000000002</v>
      </c>
      <c r="R787" s="17">
        <v>-15.655529</v>
      </c>
      <c r="S787" s="17">
        <f t="shared" si="134"/>
        <v>0.99721853039998465</v>
      </c>
      <c r="T787" s="17">
        <f t="shared" si="135"/>
        <v>-23.341968844432849</v>
      </c>
    </row>
    <row r="788" spans="1:20" x14ac:dyDescent="0.35">
      <c r="A788" s="16">
        <v>3.0750000000000002</v>
      </c>
      <c r="B788" s="16">
        <v>16.463999999999999</v>
      </c>
      <c r="C788" s="16">
        <v>-0.13881112000000001</v>
      </c>
      <c r="D788" s="16">
        <v>-2.4327385E-2</v>
      </c>
      <c r="E788" s="16">
        <v>0.86126455999999996</v>
      </c>
      <c r="F788" s="16">
        <v>-2.9015563000000001E-2</v>
      </c>
      <c r="G788" s="16">
        <f t="shared" si="126"/>
        <v>2.9746281519096498</v>
      </c>
      <c r="H788" s="16">
        <f t="shared" si="127"/>
        <v>-0.66663695654467403</v>
      </c>
      <c r="I788" s="16">
        <f t="shared" si="128"/>
        <v>2.9746714845771698</v>
      </c>
      <c r="J788" s="16">
        <f t="shared" si="129"/>
        <v>-0.668980855275917</v>
      </c>
      <c r="K788" s="15">
        <f t="shared" si="130"/>
        <v>-4.3332667519990798E-5</v>
      </c>
      <c r="L788" s="15">
        <f t="shared" si="131"/>
        <v>2.3438987312429699E-3</v>
      </c>
      <c r="M788" s="15">
        <f t="shared" si="132"/>
        <v>0.31998769608727601</v>
      </c>
      <c r="N788" s="15">
        <f t="shared" si="133"/>
        <v>7.1962784366645396E-2</v>
      </c>
      <c r="O788" s="16">
        <v>3.1004982000000001</v>
      </c>
      <c r="P788" s="16">
        <v>-15.771957</v>
      </c>
      <c r="Q788" s="16">
        <v>-3.3976799</v>
      </c>
      <c r="R788" s="16">
        <v>-15.683787000000001</v>
      </c>
      <c r="S788" s="16">
        <f t="shared" si="134"/>
        <v>0.99836860235580094</v>
      </c>
      <c r="T788" s="16">
        <f t="shared" si="135"/>
        <v>-23.345027073962473</v>
      </c>
    </row>
    <row r="789" spans="1:20" x14ac:dyDescent="0.35">
      <c r="A789" s="17">
        <v>3.0750000000000002</v>
      </c>
      <c r="B789" s="17">
        <v>16.512799999999999</v>
      </c>
      <c r="C789" s="17">
        <v>-0.14123489</v>
      </c>
      <c r="D789" s="17">
        <v>-1.8359087E-2</v>
      </c>
      <c r="E789" s="17">
        <v>0.85883166</v>
      </c>
      <c r="F789" s="17">
        <v>-2.3075979E-2</v>
      </c>
      <c r="G789" s="17">
        <f t="shared" si="126"/>
        <v>2.9663928367201202</v>
      </c>
      <c r="H789" s="17">
        <f t="shared" si="127"/>
        <v>-0.50742347450426994</v>
      </c>
      <c r="I789" s="17">
        <f t="shared" si="128"/>
        <v>2.9664316722943198</v>
      </c>
      <c r="J789" s="17">
        <f t="shared" si="129"/>
        <v>-0.50978175044103302</v>
      </c>
      <c r="K789" s="15">
        <f t="shared" si="130"/>
        <v>-3.8835574199591598E-5</v>
      </c>
      <c r="L789" s="15">
        <f t="shared" si="131"/>
        <v>2.3582759367630798E-3</v>
      </c>
      <c r="M789" s="15">
        <f t="shared" si="132"/>
        <v>0.32743537671070799</v>
      </c>
      <c r="N789" s="15">
        <f t="shared" si="133"/>
        <v>5.6269821096807303E-2</v>
      </c>
      <c r="O789" s="17">
        <v>2.4174893000000002</v>
      </c>
      <c r="P789" s="17">
        <v>-16.012626000000001</v>
      </c>
      <c r="Q789" s="17">
        <v>-4.1234893000000001</v>
      </c>
      <c r="R789" s="17">
        <v>-15.647646999999999</v>
      </c>
      <c r="S789" s="17">
        <f t="shared" si="134"/>
        <v>0.99924389406256442</v>
      </c>
      <c r="T789" s="17">
        <f t="shared" si="135"/>
        <v>-23.34837036601839</v>
      </c>
    </row>
    <row r="790" spans="1:20" x14ac:dyDescent="0.35">
      <c r="A790" s="16">
        <v>3.0750000000000002</v>
      </c>
      <c r="B790" s="16">
        <v>16.561599999999999</v>
      </c>
      <c r="C790" s="16">
        <v>-0.14311809</v>
      </c>
      <c r="D790" s="16">
        <v>-1.2232688E-2</v>
      </c>
      <c r="E790" s="16">
        <v>0.85693896999999997</v>
      </c>
      <c r="F790" s="16">
        <v>-1.6977880000000001E-2</v>
      </c>
      <c r="G790" s="16">
        <f t="shared" si="126"/>
        <v>2.95826789762237</v>
      </c>
      <c r="H790" s="16">
        <f t="shared" si="127"/>
        <v>-0.35180412894957502</v>
      </c>
      <c r="I790" s="16">
        <f t="shared" si="128"/>
        <v>2.9583020555067598</v>
      </c>
      <c r="J790" s="16">
        <f t="shared" si="129"/>
        <v>-0.35417657622079501</v>
      </c>
      <c r="K790" s="15">
        <f t="shared" si="130"/>
        <v>-3.4157884389873799E-5</v>
      </c>
      <c r="L790" s="15">
        <f t="shared" si="131"/>
        <v>2.3724472712199898E-3</v>
      </c>
      <c r="M790" s="15">
        <f t="shared" si="132"/>
        <v>0.33325500604200398</v>
      </c>
      <c r="N790" s="15">
        <f t="shared" si="133"/>
        <v>3.9898264218384098E-2</v>
      </c>
      <c r="O790" s="16">
        <v>1.7195239</v>
      </c>
      <c r="P790" s="16">
        <v>-16.190809000000002</v>
      </c>
      <c r="Q790" s="16">
        <v>-4.8395425000000003</v>
      </c>
      <c r="R790" s="16">
        <v>-15.548295</v>
      </c>
      <c r="S790" s="16">
        <f t="shared" si="134"/>
        <v>1.0001350168253043</v>
      </c>
      <c r="T790" s="16">
        <f t="shared" si="135"/>
        <v>-23.351508926444261</v>
      </c>
    </row>
    <row r="791" spans="1:20" x14ac:dyDescent="0.35">
      <c r="A791" s="17">
        <v>3.0750000000000002</v>
      </c>
      <c r="B791" s="17">
        <v>16.610399999999998</v>
      </c>
      <c r="C791" s="17">
        <v>-0.14444957</v>
      </c>
      <c r="D791" s="17">
        <v>-6.0283250999999998E-3</v>
      </c>
      <c r="E791" s="17">
        <v>0.85559801000000002</v>
      </c>
      <c r="F791" s="17">
        <v>-1.0800939000000001E-2</v>
      </c>
      <c r="G791" s="17">
        <f t="shared" si="126"/>
        <v>2.9502589725701198</v>
      </c>
      <c r="H791" s="17">
        <f t="shared" si="127"/>
        <v>-0.19982908062740701</v>
      </c>
      <c r="I791" s="17">
        <f t="shared" si="128"/>
        <v>2.9502884560262199</v>
      </c>
      <c r="J791" s="17">
        <f t="shared" si="129"/>
        <v>-0.20221526045361299</v>
      </c>
      <c r="K791" s="15">
        <f t="shared" si="130"/>
        <v>-2.9483456100098901E-5</v>
      </c>
      <c r="L791" s="15">
        <f t="shared" si="131"/>
        <v>2.3861798262059799E-3</v>
      </c>
      <c r="M791" s="15">
        <f t="shared" si="132"/>
        <v>0.33736501841410899</v>
      </c>
      <c r="N791" s="15">
        <f t="shared" si="133"/>
        <v>2.312328305634E-2</v>
      </c>
      <c r="O791" s="17">
        <v>1.0157578</v>
      </c>
      <c r="P791" s="17">
        <v>-16.305534999999999</v>
      </c>
      <c r="Q791" s="17">
        <v>-5.5371192999999996</v>
      </c>
      <c r="R791" s="17">
        <v>-15.388488000000001</v>
      </c>
      <c r="S791" s="17">
        <f t="shared" si="134"/>
        <v>1.0010541704925155</v>
      </c>
      <c r="T791" s="17">
        <f t="shared" si="135"/>
        <v>-23.35450646305198</v>
      </c>
    </row>
    <row r="792" spans="1:20" x14ac:dyDescent="0.35">
      <c r="A792" s="16">
        <v>3.0750000000000002</v>
      </c>
      <c r="B792" s="16">
        <v>16.659199999999998</v>
      </c>
      <c r="C792" s="16">
        <v>-0.14523357000000001</v>
      </c>
      <c r="D792" s="16">
        <v>1.7776161E-4</v>
      </c>
      <c r="E792" s="16">
        <v>0.85480469000000003</v>
      </c>
      <c r="F792" s="16">
        <v>-4.6214610000000003E-3</v>
      </c>
      <c r="G792" s="16">
        <f t="shared" si="126"/>
        <v>2.94236542967545</v>
      </c>
      <c r="H792" s="16">
        <f t="shared" si="127"/>
        <v>-5.1470258681361902E-2</v>
      </c>
      <c r="I792" s="16">
        <f t="shared" si="128"/>
        <v>2.9423903170803101</v>
      </c>
      <c r="J792" s="16">
        <f t="shared" si="129"/>
        <v>-5.3869764363720103E-2</v>
      </c>
      <c r="K792" s="15">
        <f t="shared" si="130"/>
        <v>-2.48874048600634E-5</v>
      </c>
      <c r="L792" s="15">
        <f t="shared" si="131"/>
        <v>2.3995056823582E-3</v>
      </c>
      <c r="M792" s="15">
        <f t="shared" si="132"/>
        <v>0.33974585820355802</v>
      </c>
      <c r="N792" s="15">
        <f t="shared" si="133"/>
        <v>6.2201228772178502E-3</v>
      </c>
      <c r="O792" s="16">
        <v>0.31489166000000002</v>
      </c>
      <c r="P792" s="16">
        <v>-16.358339000000001</v>
      </c>
      <c r="Q792" s="16">
        <v>-6.2086049000000001</v>
      </c>
      <c r="R792" s="16">
        <v>-15.172352999999999</v>
      </c>
      <c r="S792" s="16">
        <f t="shared" si="134"/>
        <v>1.0019642284300794</v>
      </c>
      <c r="T792" s="16">
        <f t="shared" si="135"/>
        <v>-23.357415555772558</v>
      </c>
    </row>
    <row r="793" spans="1:20" x14ac:dyDescent="0.35">
      <c r="A793" s="17">
        <v>3.0750000000000002</v>
      </c>
      <c r="B793" s="17">
        <v>16.707999999999998</v>
      </c>
      <c r="C793" s="17">
        <v>-0.14548827</v>
      </c>
      <c r="D793" s="17">
        <v>6.3154552999999999E-3</v>
      </c>
      <c r="E793" s="17">
        <v>0.85453553999999998</v>
      </c>
      <c r="F793" s="17">
        <v>1.4871591999999999E-3</v>
      </c>
      <c r="G793" s="17">
        <f t="shared" si="126"/>
        <v>2.9345055320484001</v>
      </c>
      <c r="H793" s="17">
        <f t="shared" si="127"/>
        <v>9.3312006110763304E-2</v>
      </c>
      <c r="I793" s="17">
        <f t="shared" si="128"/>
        <v>2.9345232647753701</v>
      </c>
      <c r="J793" s="17">
        <f t="shared" si="129"/>
        <v>9.0897929609772304E-2</v>
      </c>
      <c r="K793" s="15">
        <f t="shared" si="130"/>
        <v>-1.77327269699212E-5</v>
      </c>
      <c r="L793" s="15">
        <f t="shared" si="131"/>
        <v>2.4140765009909998E-3</v>
      </c>
      <c r="M793" s="15">
        <f t="shared" si="132"/>
        <v>0.34044420722559599</v>
      </c>
      <c r="N793" s="15">
        <f t="shared" si="133"/>
        <v>-1.0545383625307801E-2</v>
      </c>
      <c r="O793" s="17">
        <v>-0.37524809999999997</v>
      </c>
      <c r="P793" s="17">
        <v>-16.351538000000001</v>
      </c>
      <c r="Q793" s="17">
        <v>-6.8475973999999997</v>
      </c>
      <c r="R793" s="17">
        <v>-14.904946000000001</v>
      </c>
      <c r="S793" s="17">
        <f t="shared" si="134"/>
        <v>1.0028619258540394</v>
      </c>
      <c r="T793" s="17">
        <f t="shared" si="135"/>
        <v>-23.360253593004987</v>
      </c>
    </row>
    <row r="794" spans="1:20" x14ac:dyDescent="0.35">
      <c r="A794" s="16">
        <v>3.0750000000000002</v>
      </c>
      <c r="B794" s="16">
        <v>16.756799999999998</v>
      </c>
      <c r="C794" s="16">
        <v>-0.14524412</v>
      </c>
      <c r="D794" s="16">
        <v>1.2287922999999999E-2</v>
      </c>
      <c r="E794" s="16">
        <v>0.85473759000000005</v>
      </c>
      <c r="F794" s="16">
        <v>7.4243913000000003E-3</v>
      </c>
      <c r="G794" s="16">
        <f t="shared" si="126"/>
        <v>2.92648846377294</v>
      </c>
      <c r="H794" s="16">
        <f t="shared" si="127"/>
        <v>0.23372008882016301</v>
      </c>
      <c r="I794" s="16">
        <f t="shared" si="128"/>
        <v>2.9264852323017299</v>
      </c>
      <c r="J794" s="16">
        <f t="shared" si="129"/>
        <v>0.23128829287320801</v>
      </c>
      <c r="K794" s="15">
        <f t="shared" si="130"/>
        <v>3.23147121017442E-6</v>
      </c>
      <c r="L794" s="15">
        <f t="shared" si="131"/>
        <v>2.4317959469550001E-3</v>
      </c>
      <c r="M794" s="15">
        <f t="shared" si="132"/>
        <v>0.33958571864274301</v>
      </c>
      <c r="N794" s="15">
        <f t="shared" si="133"/>
        <v>-2.6838406796683801E-2</v>
      </c>
      <c r="O794" s="16">
        <v>-1.0443019</v>
      </c>
      <c r="P794" s="16">
        <v>-16.289401000000002</v>
      </c>
      <c r="Q794" s="16">
        <v>-7.4462649000000001</v>
      </c>
      <c r="R794" s="16">
        <v>-14.593984000000001</v>
      </c>
      <c r="S794" s="16">
        <f t="shared" si="134"/>
        <v>1.0037389096932325</v>
      </c>
      <c r="T794" s="16">
        <f t="shared" si="135"/>
        <v>-23.363793432710406</v>
      </c>
    </row>
    <row r="795" spans="1:20" x14ac:dyDescent="0.35">
      <c r="A795" s="17">
        <v>3.0750000000000002</v>
      </c>
      <c r="B795" s="17">
        <v>16.805599999999998</v>
      </c>
      <c r="C795" s="17">
        <v>-0.14454196999999999</v>
      </c>
      <c r="D795" s="17">
        <v>1.8060941E-2</v>
      </c>
      <c r="E795" s="17">
        <v>0.85545594999999996</v>
      </c>
      <c r="F795" s="17">
        <v>1.3130299E-2</v>
      </c>
      <c r="G795" s="17">
        <f t="shared" si="126"/>
        <v>2.9193686718662799</v>
      </c>
      <c r="H795" s="17">
        <f t="shared" si="127"/>
        <v>0.37016930446328999</v>
      </c>
      <c r="I795" s="17">
        <f t="shared" si="128"/>
        <v>2.9193737096548502</v>
      </c>
      <c r="J795" s="17">
        <f t="shared" si="129"/>
        <v>0.36770399331913201</v>
      </c>
      <c r="K795" s="15">
        <f t="shared" si="130"/>
        <v>-5.0377885703056799E-6</v>
      </c>
      <c r="L795" s="15">
        <f t="shared" si="131"/>
        <v>2.4653111441579902E-3</v>
      </c>
      <c r="M795" s="15">
        <f t="shared" si="132"/>
        <v>0.33718998362752001</v>
      </c>
      <c r="N795" s="15">
        <f t="shared" si="133"/>
        <v>-4.2470103459865197E-2</v>
      </c>
      <c r="O795" s="17">
        <v>-1.6876727</v>
      </c>
      <c r="P795" s="17">
        <v>-16.177085000000002</v>
      </c>
      <c r="Q795" s="17">
        <v>-8.0018361999999996</v>
      </c>
      <c r="R795" s="17">
        <v>-14.246055999999999</v>
      </c>
      <c r="S795" s="17">
        <f t="shared" si="134"/>
        <v>1.0045882450307253</v>
      </c>
      <c r="T795" s="17">
        <f t="shared" si="135"/>
        <v>-23.366560394770392</v>
      </c>
    </row>
    <row r="796" spans="1:20" x14ac:dyDescent="0.35">
      <c r="A796" s="16">
        <v>3.0750000000000002</v>
      </c>
      <c r="B796" s="16">
        <v>16.854399999999998</v>
      </c>
      <c r="C796" s="16">
        <v>-0.14343554999999999</v>
      </c>
      <c r="D796" s="16">
        <v>2.3565302E-2</v>
      </c>
      <c r="E796" s="16">
        <v>0.85655767000000005</v>
      </c>
      <c r="F796" s="16">
        <v>1.8621479E-2</v>
      </c>
      <c r="G796" s="16">
        <f t="shared" si="126"/>
        <v>2.91201709523967</v>
      </c>
      <c r="H796" s="16">
        <f t="shared" si="127"/>
        <v>0.50298978767380598</v>
      </c>
      <c r="I796" s="16">
        <f t="shared" si="128"/>
        <v>2.9120198155994501</v>
      </c>
      <c r="J796" s="16">
        <f t="shared" si="129"/>
        <v>0.50051787451850904</v>
      </c>
      <c r="K796" s="15">
        <f t="shared" si="130"/>
        <v>-2.7203597801062099E-6</v>
      </c>
      <c r="L796" s="15">
        <f t="shared" si="131"/>
        <v>2.4719131552969299E-3</v>
      </c>
      <c r="M796" s="15">
        <f t="shared" si="132"/>
        <v>0.333550273078492</v>
      </c>
      <c r="N796" s="15">
        <f t="shared" si="133"/>
        <v>-5.7330610469059802E-2</v>
      </c>
      <c r="O796" s="16">
        <v>-2.2985402000000001</v>
      </c>
      <c r="P796" s="16">
        <v>-16.019625000000001</v>
      </c>
      <c r="Q796" s="16">
        <v>-8.5103337000000003</v>
      </c>
      <c r="R796" s="16">
        <v>-13.869088</v>
      </c>
      <c r="S796" s="16">
        <f t="shared" si="134"/>
        <v>1.0054558722350815</v>
      </c>
      <c r="T796" s="16">
        <f t="shared" si="135"/>
        <v>-23.368834286836567</v>
      </c>
    </row>
    <row r="797" spans="1:20" x14ac:dyDescent="0.35">
      <c r="A797" s="17">
        <v>3.0750000000000002</v>
      </c>
      <c r="B797" s="17">
        <v>16.903200000000002</v>
      </c>
      <c r="C797" s="17">
        <v>-0.14197649000000001</v>
      </c>
      <c r="D797" s="17">
        <v>2.8774587000000001E-2</v>
      </c>
      <c r="E797" s="17">
        <v>0.85800469999999995</v>
      </c>
      <c r="F797" s="17">
        <v>2.3793445E-2</v>
      </c>
      <c r="G797" s="17">
        <f t="shared" si="126"/>
        <v>2.9048013262362899</v>
      </c>
      <c r="H797" s="17">
        <f t="shared" si="127"/>
        <v>0.63153192547860004</v>
      </c>
      <c r="I797" s="17">
        <f t="shared" si="128"/>
        <v>2.9047981242282899</v>
      </c>
      <c r="J797" s="17">
        <f t="shared" si="129"/>
        <v>0.62904132307965699</v>
      </c>
      <c r="K797" s="15">
        <f t="shared" si="130"/>
        <v>3.2020080000805302E-6</v>
      </c>
      <c r="L797" s="15">
        <f t="shared" si="131"/>
        <v>2.4906023989430502E-3</v>
      </c>
      <c r="M797" s="15">
        <f t="shared" si="132"/>
        <v>0.32883718619415397</v>
      </c>
      <c r="N797" s="15">
        <f t="shared" si="133"/>
        <v>-7.1210517851844402E-2</v>
      </c>
      <c r="O797" s="17">
        <v>-2.874317</v>
      </c>
      <c r="P797" s="17">
        <v>-15.825156</v>
      </c>
      <c r="Q797" s="17">
        <v>-8.9717766000000001</v>
      </c>
      <c r="R797" s="17">
        <v>-13.470006</v>
      </c>
      <c r="S797" s="17">
        <f t="shared" si="134"/>
        <v>1.0062360844844465</v>
      </c>
      <c r="T797" s="17">
        <f t="shared" si="135"/>
        <v>-23.371444949590984</v>
      </c>
    </row>
    <row r="798" spans="1:20" x14ac:dyDescent="0.35">
      <c r="A798" s="16">
        <v>3.0750000000000002</v>
      </c>
      <c r="B798" s="16">
        <v>16.952000000000002</v>
      </c>
      <c r="C798" s="16">
        <v>-0.14026090999999999</v>
      </c>
      <c r="D798" s="16">
        <v>3.3587287E-2</v>
      </c>
      <c r="E798" s="16">
        <v>0.85969242000000001</v>
      </c>
      <c r="F798" s="16">
        <v>2.8631476999999999E-2</v>
      </c>
      <c r="G798" s="16">
        <f t="shared" si="126"/>
        <v>2.89713890610884</v>
      </c>
      <c r="H798" s="16">
        <f t="shared" si="127"/>
        <v>0.75458535655735304</v>
      </c>
      <c r="I798" s="16">
        <f t="shared" si="128"/>
        <v>2.8971217109696301</v>
      </c>
      <c r="J798" s="16">
        <f t="shared" si="129"/>
        <v>0.75210735112517402</v>
      </c>
      <c r="K798" s="15">
        <f t="shared" si="130"/>
        <v>1.71951392098357E-5</v>
      </c>
      <c r="L798" s="15">
        <f t="shared" si="131"/>
        <v>2.4780054321790201E-3</v>
      </c>
      <c r="M798" s="15">
        <f t="shared" si="132"/>
        <v>0.32337630129903899</v>
      </c>
      <c r="N798" s="15">
        <f t="shared" si="133"/>
        <v>-8.3950112439451302E-2</v>
      </c>
      <c r="O798" s="16">
        <v>-3.4039047999999998</v>
      </c>
      <c r="P798" s="16">
        <v>-15.602729</v>
      </c>
      <c r="Q798" s="16">
        <v>-9.3798530000000007</v>
      </c>
      <c r="R798" s="16">
        <v>-13.062892</v>
      </c>
      <c r="S798" s="16">
        <f t="shared" si="134"/>
        <v>1.0070119324251541</v>
      </c>
      <c r="T798" s="16">
        <f t="shared" si="135"/>
        <v>-23.373493240386487</v>
      </c>
    </row>
    <row r="799" spans="1:20" x14ac:dyDescent="0.35">
      <c r="A799" s="17">
        <v>3.0750000000000002</v>
      </c>
      <c r="B799" s="17">
        <v>17</v>
      </c>
      <c r="C799" s="17">
        <v>-0.14054398000000001</v>
      </c>
      <c r="D799" s="17">
        <v>3.5046857000000001E-2</v>
      </c>
      <c r="E799" s="17">
        <v>0.85944619</v>
      </c>
      <c r="F799" s="17">
        <v>3.0355071000000001E-2</v>
      </c>
      <c r="G799" s="17">
        <f t="shared" si="126"/>
        <v>2.8747912068916901</v>
      </c>
      <c r="H799" s="17">
        <f t="shared" si="127"/>
        <v>0.78637254622220298</v>
      </c>
      <c r="I799" s="17">
        <f t="shared" si="128"/>
        <v>2.8747917951323601</v>
      </c>
      <c r="J799" s="17">
        <f t="shared" si="129"/>
        <v>0.78402664307203895</v>
      </c>
      <c r="K799" s="15">
        <f t="shared" si="130"/>
        <v>-5.8824066995199999E-7</v>
      </c>
      <c r="L799" s="15">
        <f t="shared" si="131"/>
        <v>2.34590315016403E-3</v>
      </c>
      <c r="M799" s="15">
        <f t="shared" si="132"/>
        <v>0.323769694326907</v>
      </c>
      <c r="N799" s="15">
        <f t="shared" si="133"/>
        <v>-8.8299982976644598E-2</v>
      </c>
      <c r="O799" s="17">
        <v>-3.6615087000000002</v>
      </c>
      <c r="P799" s="17">
        <v>-16.078835000000002</v>
      </c>
      <c r="Q799" s="17">
        <v>-9.5012380000000007</v>
      </c>
      <c r="R799" s="17">
        <v>-13.016202</v>
      </c>
      <c r="S799" s="17">
        <f t="shared" si="134"/>
        <v>0.97723453866076593</v>
      </c>
      <c r="T799" s="17">
        <f t="shared" si="135"/>
        <v>-23.298996255474343</v>
      </c>
    </row>
    <row r="800" spans="1:20" x14ac:dyDescent="0.35">
      <c r="A800" s="16">
        <v>3.2125000000000004</v>
      </c>
      <c r="B800" s="16">
        <v>15</v>
      </c>
      <c r="C800" s="16">
        <v>-3.0436376000000001E-2</v>
      </c>
      <c r="D800" s="16">
        <v>-5.6614014999999997E-2</v>
      </c>
      <c r="E800" s="16">
        <v>0.96957013999999997</v>
      </c>
      <c r="F800" s="16">
        <v>-6.0531741E-2</v>
      </c>
      <c r="G800" s="16">
        <f t="shared" si="126"/>
        <v>2.9924706766457199</v>
      </c>
      <c r="H800" s="16">
        <f t="shared" si="127"/>
        <v>-6.7207855536065102</v>
      </c>
      <c r="I800" s="16">
        <f t="shared" si="128"/>
        <v>2.99247777172712</v>
      </c>
      <c r="J800" s="16">
        <f t="shared" si="129"/>
        <v>-6.7227443963262896</v>
      </c>
      <c r="K800" s="15">
        <f t="shared" si="130"/>
        <v>-7.0950814001768896E-6</v>
      </c>
      <c r="L800" s="15">
        <f t="shared" si="131"/>
        <v>1.9588427197794198E-3</v>
      </c>
      <c r="M800" s="15">
        <f t="shared" si="132"/>
        <v>5.5262527541572702E-2</v>
      </c>
      <c r="N800" s="15">
        <f t="shared" si="133"/>
        <v>0.12414991044111</v>
      </c>
      <c r="O800" s="16">
        <v>6.9635401000000003</v>
      </c>
      <c r="P800" s="16">
        <v>-3.5774911</v>
      </c>
      <c r="Q800" s="16">
        <v>4.8307658</v>
      </c>
      <c r="R800" s="16">
        <v>-5.8366183999999999</v>
      </c>
      <c r="S800" s="16">
        <f t="shared" si="134"/>
        <v>0.96777104522087931</v>
      </c>
      <c r="T800" s="16">
        <f t="shared" si="135"/>
        <v>-23.194973982763482</v>
      </c>
    </row>
    <row r="801" spans="1:20" x14ac:dyDescent="0.35">
      <c r="A801" s="17">
        <v>3.2125000000000004</v>
      </c>
      <c r="B801" s="17">
        <v>15.0488</v>
      </c>
      <c r="C801" s="17">
        <v>-3.2320305000000001E-2</v>
      </c>
      <c r="D801" s="17">
        <v>-5.8036368999999997E-2</v>
      </c>
      <c r="E801" s="17">
        <v>0.96768458000000002</v>
      </c>
      <c r="F801" s="17">
        <v>-6.1929784000000002E-2</v>
      </c>
      <c r="G801" s="17">
        <f t="shared" si="126"/>
        <v>2.98071452003621</v>
      </c>
      <c r="H801" s="17">
        <f t="shared" si="127"/>
        <v>-6.4593596126951196</v>
      </c>
      <c r="I801" s="17">
        <f t="shared" si="128"/>
        <v>2.9807207521582102</v>
      </c>
      <c r="J801" s="17">
        <f t="shared" si="129"/>
        <v>-6.4613063033082199</v>
      </c>
      <c r="K801" s="15">
        <f t="shared" si="130"/>
        <v>-6.2321220002381503E-6</v>
      </c>
      <c r="L801" s="15">
        <f t="shared" si="131"/>
        <v>1.94669061310027E-3</v>
      </c>
      <c r="M801" s="15">
        <f t="shared" si="132"/>
        <v>5.8868927964723698E-2</v>
      </c>
      <c r="N801" s="15">
        <f t="shared" si="133"/>
        <v>0.12761013424422901</v>
      </c>
      <c r="O801" s="17">
        <v>7.1026787000000002</v>
      </c>
      <c r="P801" s="17">
        <v>-3.7861818</v>
      </c>
      <c r="Q801" s="17">
        <v>4.8844022000000002</v>
      </c>
      <c r="R801" s="17">
        <v>-6.0867946999999996</v>
      </c>
      <c r="S801" s="17">
        <f t="shared" si="134"/>
        <v>0.96961740675900199</v>
      </c>
      <c r="T801" s="17">
        <f t="shared" si="135"/>
        <v>-23.193923596329643</v>
      </c>
    </row>
    <row r="802" spans="1:20" x14ac:dyDescent="0.35">
      <c r="A802" s="16">
        <v>3.2125000000000004</v>
      </c>
      <c r="B802" s="16">
        <v>15.0976</v>
      </c>
      <c r="C802" s="16">
        <v>-3.4325854000000003E-2</v>
      </c>
      <c r="D802" s="16">
        <v>-5.9423953000000002E-2</v>
      </c>
      <c r="E802" s="16">
        <v>0.96567882999999999</v>
      </c>
      <c r="F802" s="16">
        <v>-6.3335040999999995E-2</v>
      </c>
      <c r="G802" s="16">
        <f t="shared" si="126"/>
        <v>2.9701406697030301</v>
      </c>
      <c r="H802" s="16">
        <f t="shared" si="127"/>
        <v>-6.2045549936266298</v>
      </c>
      <c r="I802" s="16">
        <f t="shared" si="128"/>
        <v>2.97014683580838</v>
      </c>
      <c r="J802" s="16">
        <f t="shared" si="129"/>
        <v>-6.2065105209886804</v>
      </c>
      <c r="K802" s="15">
        <f t="shared" si="130"/>
        <v>-6.1661053498696097E-6</v>
      </c>
      <c r="L802" s="15">
        <f t="shared" si="131"/>
        <v>1.9555273620506198E-3</v>
      </c>
      <c r="M802" s="15">
        <f t="shared" si="132"/>
        <v>6.2737371453163396E-2</v>
      </c>
      <c r="N802" s="15">
        <f t="shared" si="133"/>
        <v>0.13109794818519699</v>
      </c>
      <c r="O802" s="16">
        <v>7.2392700000000003</v>
      </c>
      <c r="P802" s="16">
        <v>-4.0070034999999997</v>
      </c>
      <c r="Q802" s="16">
        <v>4.9313852999999996</v>
      </c>
      <c r="R802" s="16">
        <v>-6.3489769999999996</v>
      </c>
      <c r="S802" s="16">
        <f t="shared" si="134"/>
        <v>0.97158833123495325</v>
      </c>
      <c r="T802" s="16">
        <f t="shared" si="135"/>
        <v>-23.197816424788329</v>
      </c>
    </row>
    <row r="803" spans="1:20" x14ac:dyDescent="0.35">
      <c r="A803" s="17">
        <v>3.2125000000000004</v>
      </c>
      <c r="B803" s="17">
        <v>15.1464</v>
      </c>
      <c r="C803" s="17">
        <v>-3.6458769000000002E-2</v>
      </c>
      <c r="D803" s="17">
        <v>-6.0793509000000003E-2</v>
      </c>
      <c r="E803" s="17">
        <v>0.96354594999999998</v>
      </c>
      <c r="F803" s="17">
        <v>-6.4725342000000005E-2</v>
      </c>
      <c r="G803" s="17">
        <f t="shared" si="126"/>
        <v>2.9602937607948201</v>
      </c>
      <c r="H803" s="17">
        <f t="shared" si="127"/>
        <v>-5.9558912125987504</v>
      </c>
      <c r="I803" s="17">
        <f t="shared" si="128"/>
        <v>2.9602999850746401</v>
      </c>
      <c r="J803" s="17">
        <f t="shared" si="129"/>
        <v>-5.9578571122237696</v>
      </c>
      <c r="K803" s="15">
        <f t="shared" si="130"/>
        <v>-6.2242798199996196E-6</v>
      </c>
      <c r="L803" s="15">
        <f t="shared" si="131"/>
        <v>1.9658996250191399E-3</v>
      </c>
      <c r="M803" s="15">
        <f t="shared" si="132"/>
        <v>6.6885169828066707E-2</v>
      </c>
      <c r="N803" s="15">
        <f t="shared" si="133"/>
        <v>0.134612129436739</v>
      </c>
      <c r="O803" s="17">
        <v>7.3757400999999998</v>
      </c>
      <c r="P803" s="17">
        <v>-4.2423864</v>
      </c>
      <c r="Q803" s="17">
        <v>4.9710912</v>
      </c>
      <c r="R803" s="17">
        <v>-6.6232160999999996</v>
      </c>
      <c r="S803" s="17">
        <f t="shared" si="134"/>
        <v>0.97325649715133311</v>
      </c>
      <c r="T803" s="17">
        <f t="shared" si="135"/>
        <v>-23.20303855778257</v>
      </c>
    </row>
    <row r="804" spans="1:20" x14ac:dyDescent="0.35">
      <c r="A804" s="16">
        <v>3.2125000000000004</v>
      </c>
      <c r="B804" s="16">
        <v>15.1952</v>
      </c>
      <c r="C804" s="16">
        <v>-3.8731296999999998E-2</v>
      </c>
      <c r="D804" s="16">
        <v>-6.2146452999999997E-2</v>
      </c>
      <c r="E804" s="16">
        <v>0.96127298000000005</v>
      </c>
      <c r="F804" s="16">
        <v>-6.6099862999999995E-2</v>
      </c>
      <c r="G804" s="16">
        <f t="shared" si="126"/>
        <v>2.95073128230251</v>
      </c>
      <c r="H804" s="16">
        <f t="shared" si="127"/>
        <v>-5.7123292085404804</v>
      </c>
      <c r="I804" s="16">
        <f t="shared" si="128"/>
        <v>2.9507373281202498</v>
      </c>
      <c r="J804" s="16">
        <f t="shared" si="129"/>
        <v>-5.7143058973625296</v>
      </c>
      <c r="K804" s="15">
        <f t="shared" si="130"/>
        <v>-6.0458177397748597E-6</v>
      </c>
      <c r="L804" s="15">
        <f t="shared" si="131"/>
        <v>1.97668882204916E-3</v>
      </c>
      <c r="M804" s="15">
        <f t="shared" si="132"/>
        <v>7.1342532635636696E-2</v>
      </c>
      <c r="N804" s="15">
        <f t="shared" si="133"/>
        <v>0.138159724041686</v>
      </c>
      <c r="O804" s="16">
        <v>7.5106969000000001</v>
      </c>
      <c r="P804" s="16">
        <v>-4.4931431999999996</v>
      </c>
      <c r="Q804" s="16">
        <v>5.0028397</v>
      </c>
      <c r="R804" s="16">
        <v>-6.9105512999999998</v>
      </c>
      <c r="S804" s="16">
        <f t="shared" si="134"/>
        <v>0.97478099567859211</v>
      </c>
      <c r="T804" s="16">
        <f t="shared" si="135"/>
        <v>-23.208398256535467</v>
      </c>
    </row>
    <row r="805" spans="1:20" x14ac:dyDescent="0.35">
      <c r="A805" s="17">
        <v>3.2125000000000004</v>
      </c>
      <c r="B805" s="17">
        <v>15.244</v>
      </c>
      <c r="C805" s="17">
        <v>-4.1154907999999997E-2</v>
      </c>
      <c r="D805" s="17">
        <v>-6.3477130000000007E-2</v>
      </c>
      <c r="E805" s="17">
        <v>0.95884849999999999</v>
      </c>
      <c r="F805" s="17">
        <v>-6.745263E-2</v>
      </c>
      <c r="G805" s="17">
        <f t="shared" ref="G805:G868" si="136">IMREAL(IMDIV(IMSUM(IMPRODUCT(COMPLEX(1 + C805,D805),COMPLEX(1 - C805, - D805)),IMPRODUCT(COMPLEX(E805,F805),COMPLEX(E805,F805))),IMSUB(IMPRODUCT(COMPLEX(1 - C805, - D805),COMPLEX(1 - C805, - D805)),IMPRODUCT(COMPLEX(E805,F805),COMPLEX(E805,F805)))))</f>
        <v>2.9413397698489998</v>
      </c>
      <c r="H805" s="17">
        <f t="shared" ref="H805:H868" si="137">IMAGINARY(IMDIV(IMSUM(IMPRODUCT(COMPLEX(1 + C805,D805),COMPLEX(1 - C805, - D805)),IMPRODUCT(COMPLEX(E805,F805),COMPLEX(E805,F805))),IMSUB(IMPRODUCT(COMPLEX(1 - C805, - D805),COMPLEX(1 - C805, - D805)),IMPRODUCT(COMPLEX(E805,F805),COMPLEX(E805,F805)))))</f>
        <v>-5.4733570523052704</v>
      </c>
      <c r="I805" s="17">
        <f t="shared" ref="I805:I868" si="138">IMREAL(IMDIV(IMPRODUCT(COMPLEX(2,0),COMPLEX(E805,F805)),IMSUB(IMPRODUCT(COMPLEX(1 - C805, - D805),COMPLEX(1 - C805, - D805)),IMPRODUCT(COMPLEX(E805,F805),COMPLEX(E805,F805)))))</f>
        <v>2.9413454249603501</v>
      </c>
      <c r="J805" s="17">
        <f t="shared" ref="J805:J868" si="139">IMAGINARY(IMDIV(IMPRODUCT(COMPLEX(2,0),COMPLEX(E805,F805)),IMSUB(IMPRODUCT(COMPLEX(1 - C805, - D805),COMPLEX(1 - C805, - D805)),IMPRODUCT(COMPLEX(E805,F805),COMPLEX(E805,F805)))))</f>
        <v>-5.4753447876772201</v>
      </c>
      <c r="K805" s="15">
        <f t="shared" ref="K805:K868" si="140">IMREAL(IMSUB(COMPLEX(G805,H805),COMPLEX(I805,J805)))</f>
        <v>-5.6551113503111603E-6</v>
      </c>
      <c r="L805" s="15">
        <f t="shared" ref="L805:L868" si="141">IMAGINARY(IMSUB(COMPLEX(G805,H805),COMPLEX(I805,J805)))</f>
        <v>1.9877353719497401E-3</v>
      </c>
      <c r="M805" s="15">
        <f t="shared" ref="M805:M868" si="142">IMREAL(IMDIV(IMSUB(IMPRODUCT(COMPLEX(1 - C805, - D805),COMPLEX(1 - C805, - D805)),IMPRODUCT(COMPLEX(E805,F805),COMPLEX(E805,F805))),IMPRODUCT(COMPLEX(2,0),COMPLEX(E805,F805))))</f>
        <v>7.6139680946144497E-2</v>
      </c>
      <c r="N805" s="15">
        <f t="shared" ref="N805:N868" si="143">IMAGINARY(IMDIV(IMSUB(IMPRODUCT(COMPLEX(1 - C805, - D805),COMPLEX(1 - C805, - D805)),IMPRODUCT(COMPLEX(E805,F805),COMPLEX(E805,F805))),IMPRODUCT(COMPLEX(2,0),COMPLEX(E805,F805))))</f>
        <v>0.14173479988651699</v>
      </c>
      <c r="O805" s="17">
        <v>7.6428459000000002</v>
      </c>
      <c r="P805" s="17">
        <v>-4.7601874999999998</v>
      </c>
      <c r="Q805" s="17">
        <v>5.0254975999999996</v>
      </c>
      <c r="R805" s="17">
        <v>-7.2117991000000004</v>
      </c>
      <c r="S805" s="17">
        <f t="shared" ref="S805:S868" si="144">IMABS(COMPLEX(Q805,R805))/IMABS(COMPLEX(O805,P805))</f>
        <v>0.97623993439546763</v>
      </c>
      <c r="T805" s="17">
        <f t="shared" ref="T805:T868" si="145">IMARGUMENT(IMDIV(COMPLEX(Q805,R805),COMPLEX(O805/B805,P805/B805)))/PI()*180</f>
        <v>-23.213671051301475</v>
      </c>
    </row>
    <row r="806" spans="1:20" x14ac:dyDescent="0.35">
      <c r="A806" s="16">
        <v>3.2125000000000004</v>
      </c>
      <c r="B806" s="16">
        <v>15.2928</v>
      </c>
      <c r="C806" s="16">
        <v>-4.3740052000000001E-2</v>
      </c>
      <c r="D806" s="16">
        <v>-6.4776545000000005E-2</v>
      </c>
      <c r="E806" s="16">
        <v>0.95626211000000005</v>
      </c>
      <c r="F806" s="16">
        <v>-6.8774602000000004E-2</v>
      </c>
      <c r="G806" s="16">
        <f t="shared" si="136"/>
        <v>2.9320798184713701</v>
      </c>
      <c r="H806" s="16">
        <f t="shared" si="137"/>
        <v>-5.2387046378673396</v>
      </c>
      <c r="I806" s="16">
        <f t="shared" si="138"/>
        <v>2.9320848955562302</v>
      </c>
      <c r="J806" s="16">
        <f t="shared" si="139"/>
        <v>-5.2407036540571896</v>
      </c>
      <c r="K806" s="15">
        <f t="shared" si="140"/>
        <v>-5.0770848600834003E-6</v>
      </c>
      <c r="L806" s="15">
        <f t="shared" si="141"/>
        <v>1.9990161898499901E-3</v>
      </c>
      <c r="M806" s="15">
        <f t="shared" si="142"/>
        <v>8.1306556468282803E-2</v>
      </c>
      <c r="N806" s="15">
        <f t="shared" si="143"/>
        <v>0.14532443048559901</v>
      </c>
      <c r="O806" s="16">
        <v>7.7709199</v>
      </c>
      <c r="P806" s="16">
        <v>-5.0444694999999999</v>
      </c>
      <c r="Q806" s="16">
        <v>5.0376747999999996</v>
      </c>
      <c r="R806" s="16">
        <v>-7.5275514000000001</v>
      </c>
      <c r="S806" s="16">
        <f t="shared" si="144"/>
        <v>0.97766326814465276</v>
      </c>
      <c r="T806" s="16">
        <f t="shared" si="145"/>
        <v>-23.218816238161214</v>
      </c>
    </row>
    <row r="807" spans="1:20" x14ac:dyDescent="0.35">
      <c r="A807" s="17">
        <v>3.2125000000000004</v>
      </c>
      <c r="B807" s="17">
        <v>15.3416</v>
      </c>
      <c r="C807" s="17">
        <v>-4.6496559E-2</v>
      </c>
      <c r="D807" s="17">
        <v>-6.6033317999999994E-2</v>
      </c>
      <c r="E807" s="17">
        <v>0.95350402999999995</v>
      </c>
      <c r="F807" s="17">
        <v>-7.0054394000000006E-2</v>
      </c>
      <c r="G807" s="17">
        <f t="shared" si="136"/>
        <v>2.92293375912885</v>
      </c>
      <c r="H807" s="17">
        <f t="shared" si="137"/>
        <v>-5.0082091715393098</v>
      </c>
      <c r="I807" s="17">
        <f t="shared" si="138"/>
        <v>2.9229380958719098</v>
      </c>
      <c r="J807" s="17">
        <f t="shared" si="139"/>
        <v>-5.0102197002280198</v>
      </c>
      <c r="K807" s="15">
        <f t="shared" si="140"/>
        <v>-4.33674305977405E-6</v>
      </c>
      <c r="L807" s="15">
        <f t="shared" si="141"/>
        <v>2.0105286887099898E-3</v>
      </c>
      <c r="M807" s="15">
        <f t="shared" si="142"/>
        <v>8.6873610973452697E-2</v>
      </c>
      <c r="N807" s="15">
        <f t="shared" si="143"/>
        <v>0.14891039866490999</v>
      </c>
      <c r="O807" s="17">
        <v>7.8935453999999998</v>
      </c>
      <c r="P807" s="17">
        <v>-5.3469271999999997</v>
      </c>
      <c r="Q807" s="17">
        <v>5.0377764999999997</v>
      </c>
      <c r="R807" s="17">
        <v>-7.8582333999999996</v>
      </c>
      <c r="S807" s="17">
        <f t="shared" si="144"/>
        <v>0.97906153300447907</v>
      </c>
      <c r="T807" s="17">
        <f t="shared" si="145"/>
        <v>-23.223860854464807</v>
      </c>
    </row>
    <row r="808" spans="1:20" x14ac:dyDescent="0.35">
      <c r="A808" s="16">
        <v>3.2125000000000004</v>
      </c>
      <c r="B808" s="16">
        <v>15.3904</v>
      </c>
      <c r="C808" s="16">
        <v>-4.9442720000000003E-2</v>
      </c>
      <c r="D808" s="16">
        <v>-6.7232089999999994E-2</v>
      </c>
      <c r="E808" s="16">
        <v>0.95053695999999999</v>
      </c>
      <c r="F808" s="16">
        <v>-7.1271281000000006E-2</v>
      </c>
      <c r="G808" s="16">
        <f t="shared" si="136"/>
        <v>2.9146047855066</v>
      </c>
      <c r="H808" s="16">
        <f t="shared" si="137"/>
        <v>-4.78065156017189</v>
      </c>
      <c r="I808" s="16">
        <f t="shared" si="138"/>
        <v>2.9145987042770498</v>
      </c>
      <c r="J808" s="16">
        <f t="shared" si="139"/>
        <v>-4.7826711884729303</v>
      </c>
      <c r="K808" s="15">
        <f t="shared" si="140"/>
        <v>6.0812295501477803E-6</v>
      </c>
      <c r="L808" s="15">
        <f t="shared" si="141"/>
        <v>2.0196283010403002E-3</v>
      </c>
      <c r="M808" s="15">
        <f t="shared" si="142"/>
        <v>9.2913850116277494E-2</v>
      </c>
      <c r="N808" s="15">
        <f t="shared" si="143"/>
        <v>0.15246572137327499</v>
      </c>
      <c r="O808" s="16">
        <v>8.0086194000000006</v>
      </c>
      <c r="P808" s="16">
        <v>-5.6695305999999999</v>
      </c>
      <c r="Q808" s="16">
        <v>5.0218173000000004</v>
      </c>
      <c r="R808" s="16">
        <v>-8.2053832999999994</v>
      </c>
      <c r="S808" s="16">
        <f t="shared" si="144"/>
        <v>0.98041404669273824</v>
      </c>
      <c r="T808" s="16">
        <f t="shared" si="145"/>
        <v>-23.236976200793052</v>
      </c>
    </row>
    <row r="809" spans="1:20" x14ac:dyDescent="0.35">
      <c r="A809" s="17">
        <v>3.2125000000000004</v>
      </c>
      <c r="B809" s="17">
        <v>15.4392</v>
      </c>
      <c r="C809" s="17">
        <v>-5.2569435999999997E-2</v>
      </c>
      <c r="D809" s="17">
        <v>-6.8360444000000006E-2</v>
      </c>
      <c r="E809" s="17">
        <v>0.94741061999999998</v>
      </c>
      <c r="F809" s="17">
        <v>-7.2421668999999994E-2</v>
      </c>
      <c r="G809" s="17">
        <f t="shared" si="136"/>
        <v>2.9056277825781902</v>
      </c>
      <c r="H809" s="17">
        <f t="shared" si="137"/>
        <v>-4.5582891836765098</v>
      </c>
      <c r="I809" s="17">
        <f t="shared" si="138"/>
        <v>2.9056219339722298</v>
      </c>
      <c r="J809" s="17">
        <f t="shared" si="139"/>
        <v>-4.5603198283023403</v>
      </c>
      <c r="K809" s="15">
        <f t="shared" si="140"/>
        <v>5.8486059604234697E-6</v>
      </c>
      <c r="L809" s="15">
        <f t="shared" si="141"/>
        <v>2.0306446258304702E-3</v>
      </c>
      <c r="M809" s="15">
        <f t="shared" si="142"/>
        <v>9.9374344384735705E-2</v>
      </c>
      <c r="N809" s="15">
        <f t="shared" si="143"/>
        <v>0.155966193613745</v>
      </c>
      <c r="O809" s="17">
        <v>8.1154629000000007</v>
      </c>
      <c r="P809" s="17">
        <v>-6.0110038000000001</v>
      </c>
      <c r="Q809" s="17">
        <v>4.9922152999999998</v>
      </c>
      <c r="R809" s="17">
        <v>-8.5666355000000003</v>
      </c>
      <c r="S809" s="17">
        <f t="shared" si="144"/>
        <v>0.98177658286705227</v>
      </c>
      <c r="T809" s="17">
        <f t="shared" si="145"/>
        <v>-23.241660963777385</v>
      </c>
    </row>
    <row r="810" spans="1:20" x14ac:dyDescent="0.35">
      <c r="A810" s="16">
        <v>3.2125000000000004</v>
      </c>
      <c r="B810" s="16">
        <v>15.488</v>
      </c>
      <c r="C810" s="16">
        <v>-5.5893345999999997E-2</v>
      </c>
      <c r="D810" s="16">
        <v>-6.9398736000000003E-2</v>
      </c>
      <c r="E810" s="16">
        <v>0.94408687000000002</v>
      </c>
      <c r="F810" s="16">
        <v>-7.3482350000000002E-2</v>
      </c>
      <c r="G810" s="16">
        <f t="shared" si="136"/>
        <v>2.8967557914347601</v>
      </c>
      <c r="H810" s="16">
        <f t="shared" si="137"/>
        <v>-4.3397987259395503</v>
      </c>
      <c r="I810" s="16">
        <f t="shared" si="138"/>
        <v>2.8967500684190801</v>
      </c>
      <c r="J810" s="16">
        <f t="shared" si="139"/>
        <v>-4.3418405648227303</v>
      </c>
      <c r="K810" s="15">
        <f t="shared" si="140"/>
        <v>5.7230156800258703E-6</v>
      </c>
      <c r="L810" s="15">
        <f t="shared" si="141"/>
        <v>2.0418388831799899E-3</v>
      </c>
      <c r="M810" s="15">
        <f t="shared" si="142"/>
        <v>0.106331081992941</v>
      </c>
      <c r="N810" s="15">
        <f t="shared" si="143"/>
        <v>0.15937605737260099</v>
      </c>
      <c r="O810" s="16">
        <v>8.2115554999999993</v>
      </c>
      <c r="P810" s="16">
        <v>-6.373119</v>
      </c>
      <c r="Q810" s="16">
        <v>4.9446652000000002</v>
      </c>
      <c r="R810" s="16">
        <v>-8.9431808999999998</v>
      </c>
      <c r="S810" s="16">
        <f t="shared" si="144"/>
        <v>0.98312360404219334</v>
      </c>
      <c r="T810" s="16">
        <f t="shared" si="145"/>
        <v>-23.246281653331909</v>
      </c>
    </row>
    <row r="811" spans="1:20" x14ac:dyDescent="0.35">
      <c r="A811" s="17">
        <v>3.2125000000000004</v>
      </c>
      <c r="B811" s="17">
        <v>15.536799999999999</v>
      </c>
      <c r="C811" s="17">
        <v>-5.9421120000000001E-2</v>
      </c>
      <c r="D811" s="17">
        <v>-7.0326454999999996E-2</v>
      </c>
      <c r="E811" s="17">
        <v>0.94055906</v>
      </c>
      <c r="F811" s="17">
        <v>-7.4432798999999994E-2</v>
      </c>
      <c r="G811" s="17">
        <f t="shared" si="136"/>
        <v>2.8879856317732102</v>
      </c>
      <c r="H811" s="17">
        <f t="shared" si="137"/>
        <v>-4.1251164284327597</v>
      </c>
      <c r="I811" s="17">
        <f t="shared" si="138"/>
        <v>2.8879799372978199</v>
      </c>
      <c r="J811" s="17">
        <f t="shared" si="139"/>
        <v>-4.1271696324717499</v>
      </c>
      <c r="K811" s="15">
        <f t="shared" si="140"/>
        <v>5.6944753903387396E-6</v>
      </c>
      <c r="L811" s="15">
        <f t="shared" si="141"/>
        <v>2.0532040389902302E-3</v>
      </c>
      <c r="M811" s="15">
        <f t="shared" si="142"/>
        <v>0.113816694175859</v>
      </c>
      <c r="N811" s="15">
        <f t="shared" si="143"/>
        <v>0.16265376286181801</v>
      </c>
      <c r="O811" s="17">
        <v>8.2946568000000003</v>
      </c>
      <c r="P811" s="17">
        <v>-6.756475</v>
      </c>
      <c r="Q811" s="17">
        <v>4.8768440000000002</v>
      </c>
      <c r="R811" s="17">
        <v>-9.3347525000000005</v>
      </c>
      <c r="S811" s="17">
        <f t="shared" si="144"/>
        <v>0.98445748262340138</v>
      </c>
      <c r="T811" s="17">
        <f t="shared" si="145"/>
        <v>-23.250855810163813</v>
      </c>
    </row>
    <row r="812" spans="1:20" x14ac:dyDescent="0.35">
      <c r="A812" s="16">
        <v>3.2125000000000004</v>
      </c>
      <c r="B812" s="16">
        <v>15.585599999999999</v>
      </c>
      <c r="C812" s="16">
        <v>-6.3157827999999999E-2</v>
      </c>
      <c r="D812" s="16">
        <v>-7.1120559999999999E-2</v>
      </c>
      <c r="E812" s="16">
        <v>0.93682215999999996</v>
      </c>
      <c r="F812" s="16">
        <v>-7.5249952999999994E-2</v>
      </c>
      <c r="G812" s="16">
        <f t="shared" si="136"/>
        <v>2.8793147102789201</v>
      </c>
      <c r="H812" s="16">
        <f t="shared" si="137"/>
        <v>-3.9141850500039701</v>
      </c>
      <c r="I812" s="16">
        <f t="shared" si="138"/>
        <v>2.8793089672602301</v>
      </c>
      <c r="J812" s="16">
        <f t="shared" si="139"/>
        <v>-3.9162497790212401</v>
      </c>
      <c r="K812" s="15">
        <f t="shared" si="140"/>
        <v>5.7430186899409802E-6</v>
      </c>
      <c r="L812" s="15">
        <f t="shared" si="141"/>
        <v>2.0647290172699502E-3</v>
      </c>
      <c r="M812" s="15">
        <f t="shared" si="142"/>
        <v>0.121862964672869</v>
      </c>
      <c r="N812" s="15">
        <f t="shared" si="143"/>
        <v>0.16575012056629401</v>
      </c>
      <c r="O812" s="16">
        <v>8.3694371000000007</v>
      </c>
      <c r="P812" s="16">
        <v>-7.1676301000000002</v>
      </c>
      <c r="Q812" s="16">
        <v>4.7862134999999997</v>
      </c>
      <c r="R812" s="16">
        <v>-9.7404837999999998</v>
      </c>
      <c r="S812" s="16">
        <f t="shared" si="144"/>
        <v>0.98490726076967772</v>
      </c>
      <c r="T812" s="16">
        <f t="shared" si="145"/>
        <v>-23.254807273696269</v>
      </c>
    </row>
    <row r="813" spans="1:20" x14ac:dyDescent="0.35">
      <c r="A813" s="17">
        <v>3.2125000000000004</v>
      </c>
      <c r="B813" s="17">
        <v>15.634399999999999</v>
      </c>
      <c r="C813" s="17">
        <v>-6.7106444000000001E-2</v>
      </c>
      <c r="D813" s="17">
        <v>-7.1755422999999999E-2</v>
      </c>
      <c r="E813" s="17">
        <v>0.93287326999999998</v>
      </c>
      <c r="F813" s="17">
        <v>-7.5908159000000003E-2</v>
      </c>
      <c r="G813" s="17">
        <f t="shared" si="136"/>
        <v>2.8707411716648399</v>
      </c>
      <c r="H813" s="17">
        <f t="shared" si="137"/>
        <v>-3.7069519333522898</v>
      </c>
      <c r="I813" s="17">
        <f t="shared" si="138"/>
        <v>2.8707353399786499</v>
      </c>
      <c r="J813" s="17">
        <f t="shared" si="139"/>
        <v>-3.7090283345219599</v>
      </c>
      <c r="K813" s="15">
        <f t="shared" si="140"/>
        <v>5.83168618994989E-6</v>
      </c>
      <c r="L813" s="15">
        <f t="shared" si="141"/>
        <v>2.0764011696701198E-3</v>
      </c>
      <c r="M813" s="15">
        <f t="shared" si="142"/>
        <v>0.13049975900031099</v>
      </c>
      <c r="N813" s="15">
        <f t="shared" si="143"/>
        <v>0.16860742857056399</v>
      </c>
      <c r="O813" s="17">
        <v>8.4142452999999993</v>
      </c>
      <c r="P813" s="17">
        <v>-7.5907020000000003</v>
      </c>
      <c r="Q813" s="17">
        <v>4.6698550000000001</v>
      </c>
      <c r="R813" s="17">
        <v>-10.159421</v>
      </c>
      <c r="S813" s="17">
        <f t="shared" si="144"/>
        <v>0.98668544036410843</v>
      </c>
      <c r="T813" s="17">
        <f t="shared" si="145"/>
        <v>-23.259351889711795</v>
      </c>
    </row>
    <row r="814" spans="1:20" x14ac:dyDescent="0.35">
      <c r="A814" s="16">
        <v>3.2125000000000004</v>
      </c>
      <c r="B814" s="16">
        <v>15.683199999999999</v>
      </c>
      <c r="C814" s="16">
        <v>-7.1267247000000006E-2</v>
      </c>
      <c r="D814" s="16">
        <v>-7.2202856999999995E-2</v>
      </c>
      <c r="E814" s="16">
        <v>0.92871216000000001</v>
      </c>
      <c r="F814" s="16">
        <v>-7.6379205000000006E-2</v>
      </c>
      <c r="G814" s="16">
        <f t="shared" si="136"/>
        <v>2.8622636934938201</v>
      </c>
      <c r="H814" s="16">
        <f t="shared" si="137"/>
        <v>-3.5033670123945</v>
      </c>
      <c r="I814" s="16">
        <f t="shared" si="138"/>
        <v>2.8622577574741501</v>
      </c>
      <c r="J814" s="16">
        <f t="shared" si="139"/>
        <v>-3.5054552202911902</v>
      </c>
      <c r="K814" s="15">
        <f t="shared" si="140"/>
        <v>5.9360196700275497E-6</v>
      </c>
      <c r="L814" s="15">
        <f t="shared" si="141"/>
        <v>2.0882078966901799E-3</v>
      </c>
      <c r="M814" s="15">
        <f t="shared" si="142"/>
        <v>0.13975365872504</v>
      </c>
      <c r="N814" s="15">
        <f t="shared" si="143"/>
        <v>0.17115865657214799</v>
      </c>
      <c r="O814" s="16">
        <v>8.4423209000000003</v>
      </c>
      <c r="P814" s="16">
        <v>-8.0393893999999992</v>
      </c>
      <c r="Q814" s="16">
        <v>4.5257370999999997</v>
      </c>
      <c r="R814" s="16">
        <v>-10.591732</v>
      </c>
      <c r="S814" s="16">
        <f t="shared" si="144"/>
        <v>0.98801734589412293</v>
      </c>
      <c r="T814" s="16">
        <f t="shared" si="145"/>
        <v>-23.263926317976257</v>
      </c>
    </row>
    <row r="815" spans="1:20" x14ac:dyDescent="0.35">
      <c r="A815" s="17">
        <v>3.2125000000000004</v>
      </c>
      <c r="B815" s="17">
        <v>15.731999999999999</v>
      </c>
      <c r="C815" s="17">
        <v>-7.5637166000000006E-2</v>
      </c>
      <c r="D815" s="17">
        <v>-7.2432246000000006E-2</v>
      </c>
      <c r="E815" s="17">
        <v>0.92434196999999996</v>
      </c>
      <c r="F815" s="17">
        <v>-7.6632453000000003E-2</v>
      </c>
      <c r="G815" s="17">
        <f t="shared" si="136"/>
        <v>2.8538812912249201</v>
      </c>
      <c r="H815" s="17">
        <f t="shared" si="137"/>
        <v>-3.3033830496388998</v>
      </c>
      <c r="I815" s="17">
        <f t="shared" si="138"/>
        <v>2.8538752696693699</v>
      </c>
      <c r="J815" s="17">
        <f t="shared" si="139"/>
        <v>-3.3054831876934201</v>
      </c>
      <c r="K815" s="15">
        <f t="shared" si="140"/>
        <v>6.0215555501841297E-6</v>
      </c>
      <c r="L815" s="15">
        <f t="shared" si="141"/>
        <v>2.10013805452025E-3</v>
      </c>
      <c r="M815" s="15">
        <f t="shared" si="142"/>
        <v>0.14964615034613199</v>
      </c>
      <c r="N815" s="15">
        <f t="shared" si="143"/>
        <v>0.17332671799965799</v>
      </c>
      <c r="O815" s="17">
        <v>8.4510950000000005</v>
      </c>
      <c r="P815" s="17">
        <v>-8.5145833</v>
      </c>
      <c r="Q815" s="17">
        <v>4.3503430999999999</v>
      </c>
      <c r="R815" s="17">
        <v>-11.033795</v>
      </c>
      <c r="S815" s="17">
        <f t="shared" si="144"/>
        <v>0.98864791289509169</v>
      </c>
      <c r="T815" s="17">
        <f t="shared" si="145"/>
        <v>-23.267541809911101</v>
      </c>
    </row>
    <row r="816" spans="1:20" x14ac:dyDescent="0.35">
      <c r="A816" s="16">
        <v>3.2125000000000004</v>
      </c>
      <c r="B816" s="16">
        <v>15.780799999999999</v>
      </c>
      <c r="C816" s="16">
        <v>-8.0209049000000004E-2</v>
      </c>
      <c r="D816" s="16">
        <v>-7.2410822999999999E-2</v>
      </c>
      <c r="E816" s="16">
        <v>0.91976992999999996</v>
      </c>
      <c r="F816" s="16">
        <v>-7.6635113000000005E-2</v>
      </c>
      <c r="G816" s="16">
        <f t="shared" si="136"/>
        <v>2.84559314585149</v>
      </c>
      <c r="H816" s="16">
        <f t="shared" si="137"/>
        <v>-3.1069553114225199</v>
      </c>
      <c r="I816" s="16">
        <f t="shared" si="138"/>
        <v>2.8455870965182899</v>
      </c>
      <c r="J816" s="16">
        <f t="shared" si="139"/>
        <v>-3.1090674913996601</v>
      </c>
      <c r="K816" s="15">
        <f t="shared" si="140"/>
        <v>6.0493332001421203E-6</v>
      </c>
      <c r="L816" s="15">
        <f t="shared" si="141"/>
        <v>2.11217997714019E-3</v>
      </c>
      <c r="M816" s="15">
        <f t="shared" si="142"/>
        <v>0.160191426815468</v>
      </c>
      <c r="N816" s="15">
        <f t="shared" si="143"/>
        <v>0.17502397242463</v>
      </c>
      <c r="O816" s="16">
        <v>8.4231558999999994</v>
      </c>
      <c r="P816" s="16">
        <v>-9.0014041000000002</v>
      </c>
      <c r="Q816" s="16">
        <v>4.1406654999999999</v>
      </c>
      <c r="R816" s="16">
        <v>-11.484169</v>
      </c>
      <c r="S816" s="16">
        <f t="shared" si="144"/>
        <v>0.99026820470692623</v>
      </c>
      <c r="T816" s="16">
        <f t="shared" si="145"/>
        <v>-23.272308273814748</v>
      </c>
    </row>
    <row r="817" spans="1:20" x14ac:dyDescent="0.35">
      <c r="A817" s="17">
        <v>3.2125000000000004</v>
      </c>
      <c r="B817" s="17">
        <v>15.829599999999999</v>
      </c>
      <c r="C817" s="17">
        <v>-8.4970898000000003E-2</v>
      </c>
      <c r="D817" s="17">
        <v>-7.2104109E-2</v>
      </c>
      <c r="E817" s="17">
        <v>0.91500811000000004</v>
      </c>
      <c r="F817" s="17">
        <v>-7.6352695999999998E-2</v>
      </c>
      <c r="G817" s="17">
        <f t="shared" si="136"/>
        <v>2.8373986378697902</v>
      </c>
      <c r="H817" s="17">
        <f t="shared" si="137"/>
        <v>-2.91404119739415</v>
      </c>
      <c r="I817" s="17">
        <f t="shared" si="138"/>
        <v>2.8373926545042298</v>
      </c>
      <c r="J817" s="17">
        <f t="shared" si="139"/>
        <v>-2.9161655259015302</v>
      </c>
      <c r="K817" s="15">
        <f t="shared" si="140"/>
        <v>5.9833655603469504E-6</v>
      </c>
      <c r="L817" s="15">
        <f t="shared" si="141"/>
        <v>2.1243285073801999E-3</v>
      </c>
      <c r="M817" s="15">
        <f t="shared" si="142"/>
        <v>0.17139376448156299</v>
      </c>
      <c r="N817" s="15">
        <f t="shared" si="143"/>
        <v>0.17615206923940899</v>
      </c>
      <c r="O817" s="17">
        <v>8.3707668999999996</v>
      </c>
      <c r="P817" s="17">
        <v>-9.5147774999999992</v>
      </c>
      <c r="Q817" s="17">
        <v>3.8945359000000002</v>
      </c>
      <c r="R817" s="17">
        <v>-11.940882999999999</v>
      </c>
      <c r="S817" s="17">
        <f t="shared" si="144"/>
        <v>0.99109164144726336</v>
      </c>
      <c r="T817" s="17">
        <f t="shared" si="145"/>
        <v>-23.27637346114944</v>
      </c>
    </row>
    <row r="818" spans="1:20" x14ac:dyDescent="0.35">
      <c r="A818" s="16">
        <v>3.2125000000000004</v>
      </c>
      <c r="B818" s="16">
        <v>15.878399999999999</v>
      </c>
      <c r="C818" s="16">
        <v>-8.9905105999999999E-2</v>
      </c>
      <c r="D818" s="16">
        <v>-7.1476571000000003E-2</v>
      </c>
      <c r="E818" s="16">
        <v>0.91007420000000006</v>
      </c>
      <c r="F818" s="16">
        <v>-7.5749665999999993E-2</v>
      </c>
      <c r="G818" s="16">
        <f t="shared" si="136"/>
        <v>2.8292973368346899</v>
      </c>
      <c r="H818" s="16">
        <f t="shared" si="137"/>
        <v>-2.72460052767142</v>
      </c>
      <c r="I818" s="16">
        <f t="shared" si="138"/>
        <v>2.8292915546836999</v>
      </c>
      <c r="J818" s="16">
        <f t="shared" si="139"/>
        <v>-2.7267371096324702</v>
      </c>
      <c r="K818" s="15">
        <f t="shared" si="140"/>
        <v>5.7821509900080102E-6</v>
      </c>
      <c r="L818" s="15">
        <f t="shared" si="141"/>
        <v>2.1365819610501499E-3</v>
      </c>
      <c r="M818" s="15">
        <f t="shared" si="142"/>
        <v>0.18324443822885</v>
      </c>
      <c r="N818" s="15">
        <f t="shared" si="143"/>
        <v>0.17660230492160001</v>
      </c>
      <c r="O818" s="16">
        <v>8.2791665999999999</v>
      </c>
      <c r="P818" s="16">
        <v>-10.040791</v>
      </c>
      <c r="Q818" s="16">
        <v>3.6085118</v>
      </c>
      <c r="R818" s="16">
        <v>-12.39897</v>
      </c>
      <c r="S818" s="16">
        <f t="shared" si="144"/>
        <v>0.99227579848592917</v>
      </c>
      <c r="T818" s="16">
        <f t="shared" si="145"/>
        <v>-23.280647417261449</v>
      </c>
    </row>
    <row r="819" spans="1:20" x14ac:dyDescent="0.35">
      <c r="A819" s="17">
        <v>3.2125000000000004</v>
      </c>
      <c r="B819" s="17">
        <v>15.927199999999999</v>
      </c>
      <c r="C819" s="17">
        <v>-9.4991798000000002E-2</v>
      </c>
      <c r="D819" s="17">
        <v>-7.0496039999999996E-2</v>
      </c>
      <c r="E819" s="17">
        <v>0.90505499</v>
      </c>
      <c r="F819" s="17">
        <v>-7.4844480000000005E-2</v>
      </c>
      <c r="G819" s="17">
        <f t="shared" si="136"/>
        <v>2.8205677620297198</v>
      </c>
      <c r="H819" s="17">
        <f t="shared" si="137"/>
        <v>-2.5398374451655399</v>
      </c>
      <c r="I819" s="17">
        <f t="shared" si="138"/>
        <v>2.8205958823609598</v>
      </c>
      <c r="J819" s="17">
        <f t="shared" si="139"/>
        <v>-2.5420115531646701</v>
      </c>
      <c r="K819" s="15">
        <f t="shared" si="140"/>
        <v>-2.81203312400002E-5</v>
      </c>
      <c r="L819" s="15">
        <f t="shared" si="141"/>
        <v>2.1741079991301998E-3</v>
      </c>
      <c r="M819" s="15">
        <f t="shared" si="142"/>
        <v>0.19563582276906399</v>
      </c>
      <c r="N819" s="15">
        <f t="shared" si="143"/>
        <v>0.17631328358728501</v>
      </c>
      <c r="O819" s="17">
        <v>8.1466282999999997</v>
      </c>
      <c r="P819" s="17">
        <v>-10.577287999999999</v>
      </c>
      <c r="Q819" s="17">
        <v>3.2820566000000002</v>
      </c>
      <c r="R819" s="17">
        <v>-12.856047999999999</v>
      </c>
      <c r="S819" s="17">
        <f t="shared" si="144"/>
        <v>0.99381890372787207</v>
      </c>
      <c r="T819" s="17">
        <f t="shared" si="145"/>
        <v>-23.282164893862706</v>
      </c>
    </row>
    <row r="820" spans="1:20" x14ac:dyDescent="0.35">
      <c r="A820" s="16">
        <v>3.2125000000000004</v>
      </c>
      <c r="B820" s="16">
        <v>15.976000000000001</v>
      </c>
      <c r="C820" s="16">
        <v>-0.10019208</v>
      </c>
      <c r="D820" s="16">
        <v>-6.9120631000000002E-2</v>
      </c>
      <c r="E820" s="16">
        <v>0.89985674000000004</v>
      </c>
      <c r="F820" s="16">
        <v>-7.3496043999999996E-2</v>
      </c>
      <c r="G820" s="16">
        <f t="shared" si="136"/>
        <v>2.8127499021006699</v>
      </c>
      <c r="H820" s="16">
        <f t="shared" si="137"/>
        <v>-2.3572292950479299</v>
      </c>
      <c r="I820" s="16">
        <f t="shared" si="138"/>
        <v>2.8127790971911901</v>
      </c>
      <c r="J820" s="16">
        <f t="shared" si="139"/>
        <v>-2.3594168842785899</v>
      </c>
      <c r="K820" s="15">
        <f t="shared" si="140"/>
        <v>-2.91950905202398E-5</v>
      </c>
      <c r="L820" s="15">
        <f t="shared" si="141"/>
        <v>2.18758923065998E-3</v>
      </c>
      <c r="M820" s="15">
        <f t="shared" si="142"/>
        <v>0.20868520943289401</v>
      </c>
      <c r="N820" s="15">
        <f t="shared" si="143"/>
        <v>0.17504944029442801</v>
      </c>
      <c r="O820" s="16">
        <v>7.9742308</v>
      </c>
      <c r="P820" s="16">
        <v>-11.128793</v>
      </c>
      <c r="Q820" s="16">
        <v>2.9101157</v>
      </c>
      <c r="R820" s="16">
        <v>-13.305942</v>
      </c>
      <c r="S820" s="16">
        <f t="shared" si="144"/>
        <v>0.99486104575154344</v>
      </c>
      <c r="T820" s="16">
        <f t="shared" si="145"/>
        <v>-23.286341141318758</v>
      </c>
    </row>
    <row r="821" spans="1:20" x14ac:dyDescent="0.35">
      <c r="A821" s="17">
        <v>3.2125000000000004</v>
      </c>
      <c r="B821" s="17">
        <v>16.024799999999999</v>
      </c>
      <c r="C821" s="17">
        <v>-0.10546779000000001</v>
      </c>
      <c r="D821" s="17">
        <v>-6.7323010000000003E-2</v>
      </c>
      <c r="E821" s="17">
        <v>0.89458353000000002</v>
      </c>
      <c r="F821" s="17">
        <v>-7.1726310000000001E-2</v>
      </c>
      <c r="G821" s="17">
        <f t="shared" si="136"/>
        <v>2.8050240326313198</v>
      </c>
      <c r="H821" s="17">
        <f t="shared" si="137"/>
        <v>-2.1781205085088602</v>
      </c>
      <c r="I821" s="17">
        <f t="shared" si="138"/>
        <v>2.80505453883901</v>
      </c>
      <c r="J821" s="17">
        <f t="shared" si="139"/>
        <v>-2.1803220348536998</v>
      </c>
      <c r="K821" s="15">
        <f t="shared" si="140"/>
        <v>-3.0506207690184101E-5</v>
      </c>
      <c r="L821" s="15">
        <f t="shared" si="141"/>
        <v>2.2015263448396101E-3</v>
      </c>
      <c r="M821" s="15">
        <f t="shared" si="142"/>
        <v>0.22223296671968701</v>
      </c>
      <c r="N821" s="15">
        <f t="shared" si="143"/>
        <v>0.172737972649327</v>
      </c>
      <c r="O821" s="17">
        <v>7.7570940999999998</v>
      </c>
      <c r="P821" s="17">
        <v>-11.687671</v>
      </c>
      <c r="Q821" s="17">
        <v>2.4933160000000001</v>
      </c>
      <c r="R821" s="17">
        <v>-13.744493</v>
      </c>
      <c r="S821" s="17">
        <f t="shared" si="144"/>
        <v>0.9958076093717475</v>
      </c>
      <c r="T821" s="17">
        <f t="shared" si="145"/>
        <v>-23.290271263193983</v>
      </c>
    </row>
    <row r="822" spans="1:20" x14ac:dyDescent="0.35">
      <c r="A822" s="16">
        <v>3.2125000000000004</v>
      </c>
      <c r="B822" s="16">
        <v>16.073599999999999</v>
      </c>
      <c r="C822" s="16">
        <v>-0.11079116</v>
      </c>
      <c r="D822" s="16">
        <v>-6.5066035999999994E-2</v>
      </c>
      <c r="E822" s="16">
        <v>0.88926121999999996</v>
      </c>
      <c r="F822" s="16">
        <v>-6.9496172999999994E-2</v>
      </c>
      <c r="G822" s="16">
        <f t="shared" si="136"/>
        <v>2.7974195293032</v>
      </c>
      <c r="H822" s="16">
        <f t="shared" si="137"/>
        <v>-2.00182787959332</v>
      </c>
      <c r="I822" s="16">
        <f t="shared" si="138"/>
        <v>2.7974506247362001</v>
      </c>
      <c r="J822" s="16">
        <f t="shared" si="139"/>
        <v>-2.0040428212054802</v>
      </c>
      <c r="K822" s="15">
        <f t="shared" si="140"/>
        <v>-3.1095433000061201E-5</v>
      </c>
      <c r="L822" s="15">
        <f t="shared" si="141"/>
        <v>2.21494161216018E-3</v>
      </c>
      <c r="M822" s="15">
        <f t="shared" si="142"/>
        <v>0.236232906935885</v>
      </c>
      <c r="N822" s="15">
        <f t="shared" si="143"/>
        <v>0.169232964146421</v>
      </c>
      <c r="O822" s="16">
        <v>7.4873148</v>
      </c>
      <c r="P822" s="16">
        <v>-12.244332999999999</v>
      </c>
      <c r="Q822" s="16">
        <v>2.0290819999999998</v>
      </c>
      <c r="R822" s="16">
        <v>-14.16628</v>
      </c>
      <c r="S822" s="16">
        <f t="shared" si="144"/>
        <v>0.99712449422583327</v>
      </c>
      <c r="T822" s="16">
        <f t="shared" si="145"/>
        <v>-23.294244589842311</v>
      </c>
    </row>
    <row r="823" spans="1:20" x14ac:dyDescent="0.35">
      <c r="A823" s="17">
        <v>3.2125000000000004</v>
      </c>
      <c r="B823" s="17">
        <v>16.122399999999999</v>
      </c>
      <c r="C823" s="17">
        <v>-0.11608565999999999</v>
      </c>
      <c r="D823" s="17">
        <v>-6.2339863000000002E-2</v>
      </c>
      <c r="E823" s="17">
        <v>0.88396934000000005</v>
      </c>
      <c r="F823" s="17">
        <v>-6.6798830000000003E-2</v>
      </c>
      <c r="G823" s="17">
        <f t="shared" si="136"/>
        <v>2.78985715940482</v>
      </c>
      <c r="H823" s="17">
        <f t="shared" si="137"/>
        <v>-1.82921742001775</v>
      </c>
      <c r="I823" s="17">
        <f t="shared" si="138"/>
        <v>2.7898896288105099</v>
      </c>
      <c r="J823" s="17">
        <f t="shared" si="139"/>
        <v>-1.83144676982063</v>
      </c>
      <c r="K823" s="15">
        <f t="shared" si="140"/>
        <v>-3.2469405689905501E-5</v>
      </c>
      <c r="L823" s="15">
        <f t="shared" si="141"/>
        <v>2.2293498028800301E-3</v>
      </c>
      <c r="M823" s="15">
        <f t="shared" si="142"/>
        <v>0.25049106054488901</v>
      </c>
      <c r="N823" s="15">
        <f t="shared" si="143"/>
        <v>0.164436986670142</v>
      </c>
      <c r="O823" s="17">
        <v>7.1689601999999999</v>
      </c>
      <c r="P823" s="17">
        <v>-12.797991</v>
      </c>
      <c r="Q823" s="17">
        <v>1.5199222999999999</v>
      </c>
      <c r="R823" s="17">
        <v>-14.563623</v>
      </c>
      <c r="S823" s="17">
        <f t="shared" si="144"/>
        <v>0.9982015706521814</v>
      </c>
      <c r="T823" s="17">
        <f t="shared" si="145"/>
        <v>-23.297867882350221</v>
      </c>
    </row>
    <row r="824" spans="1:20" x14ac:dyDescent="0.35">
      <c r="A824" s="16">
        <v>3.2125000000000004</v>
      </c>
      <c r="B824" s="16">
        <v>16.171199999999999</v>
      </c>
      <c r="C824" s="16">
        <v>-0.1213013</v>
      </c>
      <c r="D824" s="16">
        <v>-5.9124899000000002E-2</v>
      </c>
      <c r="E824" s="16">
        <v>0.87875663999999998</v>
      </c>
      <c r="F824" s="16">
        <v>-6.3613436999999995E-2</v>
      </c>
      <c r="G824" s="16">
        <f t="shared" si="136"/>
        <v>2.7823769470965498</v>
      </c>
      <c r="H824" s="16">
        <f t="shared" si="137"/>
        <v>-1.65991459430862</v>
      </c>
      <c r="I824" s="16">
        <f t="shared" si="138"/>
        <v>2.7824109525375702</v>
      </c>
      <c r="J824" s="16">
        <f t="shared" si="139"/>
        <v>-1.66215872197888</v>
      </c>
      <c r="K824" s="15">
        <f t="shared" si="140"/>
        <v>-3.4005441020390499E-5</v>
      </c>
      <c r="L824" s="15">
        <f t="shared" si="141"/>
        <v>2.24412767026005E-3</v>
      </c>
      <c r="M824" s="15">
        <f t="shared" si="142"/>
        <v>0.26487592426118001</v>
      </c>
      <c r="N824" s="15">
        <f t="shared" si="143"/>
        <v>0.15823177642088199</v>
      </c>
      <c r="O824" s="16">
        <v>6.7984229999999997</v>
      </c>
      <c r="P824" s="16">
        <v>-13.340313999999999</v>
      </c>
      <c r="Q824" s="16">
        <v>0.96614946999999995</v>
      </c>
      <c r="R824" s="16">
        <v>-14.930698</v>
      </c>
      <c r="S824" s="16">
        <f t="shared" si="144"/>
        <v>0.99927857444415924</v>
      </c>
      <c r="T824" s="16">
        <f t="shared" si="145"/>
        <v>-23.301682734195555</v>
      </c>
    </row>
    <row r="825" spans="1:20" x14ac:dyDescent="0.35">
      <c r="A825" s="17">
        <v>3.2125000000000004</v>
      </c>
      <c r="B825" s="17">
        <v>16.22</v>
      </c>
      <c r="C825" s="17">
        <v>-0.12639237</v>
      </c>
      <c r="D825" s="17">
        <v>-5.5400401000000002E-2</v>
      </c>
      <c r="E825" s="17">
        <v>0.87366692000000001</v>
      </c>
      <c r="F825" s="17">
        <v>-5.9917837000000002E-2</v>
      </c>
      <c r="G825" s="17">
        <f t="shared" si="136"/>
        <v>2.7749668075980698</v>
      </c>
      <c r="H825" s="17">
        <f t="shared" si="137"/>
        <v>-1.4932410082513901</v>
      </c>
      <c r="I825" s="17">
        <f t="shared" si="138"/>
        <v>2.7750015530465499</v>
      </c>
      <c r="J825" s="17">
        <f t="shared" si="139"/>
        <v>-1.49549958081584</v>
      </c>
      <c r="K825" s="15">
        <f t="shared" si="140"/>
        <v>-3.4745448480144603E-5</v>
      </c>
      <c r="L825" s="15">
        <f t="shared" si="141"/>
        <v>2.2585725644499498E-3</v>
      </c>
      <c r="M825" s="15">
        <f t="shared" si="142"/>
        <v>0.279255201201346</v>
      </c>
      <c r="N825" s="15">
        <f t="shared" si="143"/>
        <v>0.15049578472443101</v>
      </c>
      <c r="O825" s="17">
        <v>6.3741019999999997</v>
      </c>
      <c r="P825" s="17">
        <v>-13.867293</v>
      </c>
      <c r="Q825" s="17">
        <v>0.36780022000000001</v>
      </c>
      <c r="R825" s="17">
        <v>-15.261773</v>
      </c>
      <c r="S825" s="17">
        <f t="shared" si="144"/>
        <v>1.0002704312023298</v>
      </c>
      <c r="T825" s="17">
        <f t="shared" si="145"/>
        <v>-23.305350271048344</v>
      </c>
    </row>
    <row r="826" spans="1:20" x14ac:dyDescent="0.35">
      <c r="A826" s="16">
        <v>3.2125000000000004</v>
      </c>
      <c r="B826" s="16">
        <v>16.268799999999999</v>
      </c>
      <c r="C826" s="16">
        <v>-0.13125566999999999</v>
      </c>
      <c r="D826" s="16">
        <v>-5.1198740999999999E-2</v>
      </c>
      <c r="E826" s="16">
        <v>0.86880665000000001</v>
      </c>
      <c r="F826" s="16">
        <v>-5.5746611000000001E-2</v>
      </c>
      <c r="G826" s="16">
        <f t="shared" si="136"/>
        <v>2.76765474711911</v>
      </c>
      <c r="H826" s="16">
        <f t="shared" si="137"/>
        <v>-1.3304071545084999</v>
      </c>
      <c r="I826" s="16">
        <f t="shared" si="138"/>
        <v>2.7676910764185099</v>
      </c>
      <c r="J826" s="16">
        <f t="shared" si="139"/>
        <v>-1.33268093604701</v>
      </c>
      <c r="K826" s="15">
        <f t="shared" si="140"/>
        <v>-3.6329299399895403E-5</v>
      </c>
      <c r="L826" s="15">
        <f t="shared" si="141"/>
        <v>2.2737815385101001E-3</v>
      </c>
      <c r="M826" s="15">
        <f t="shared" si="142"/>
        <v>0.29330716242912402</v>
      </c>
      <c r="N826" s="15">
        <f t="shared" si="143"/>
        <v>0.141231392154198</v>
      </c>
      <c r="O826" s="16">
        <v>5.8991664000000004</v>
      </c>
      <c r="P826" s="16">
        <v>-14.365634</v>
      </c>
      <c r="Q826" s="16">
        <v>-0.26699650000000003</v>
      </c>
      <c r="R826" s="16">
        <v>-15.548887000000001</v>
      </c>
      <c r="S826" s="16">
        <f t="shared" si="144"/>
        <v>1.0013830573254625</v>
      </c>
      <c r="T826" s="16">
        <f t="shared" si="145"/>
        <v>-23.308980841704454</v>
      </c>
    </row>
    <row r="827" spans="1:20" x14ac:dyDescent="0.35">
      <c r="A827" s="17">
        <v>3.2125000000000004</v>
      </c>
      <c r="B827" s="17">
        <v>16.317599999999999</v>
      </c>
      <c r="C827" s="17">
        <v>-0.13583753000000001</v>
      </c>
      <c r="D827" s="17">
        <v>-4.6528001999999999E-2</v>
      </c>
      <c r="E827" s="17">
        <v>0.86422818999999995</v>
      </c>
      <c r="F827" s="17">
        <v>-5.1106988999999999E-2</v>
      </c>
      <c r="G827" s="17">
        <f t="shared" si="136"/>
        <v>2.7604319037651002</v>
      </c>
      <c r="H827" s="17">
        <f t="shared" si="137"/>
        <v>-1.17088461570463</v>
      </c>
      <c r="I827" s="17">
        <f t="shared" si="138"/>
        <v>2.7604700039216699</v>
      </c>
      <c r="J827" s="17">
        <f t="shared" si="139"/>
        <v>-1.17317394674715</v>
      </c>
      <c r="K827" s="15">
        <f t="shared" si="140"/>
        <v>-3.8100156569687002E-5</v>
      </c>
      <c r="L827" s="15">
        <f t="shared" si="141"/>
        <v>2.2893310425200499E-3</v>
      </c>
      <c r="M827" s="15">
        <f t="shared" si="142"/>
        <v>0.306837132358873</v>
      </c>
      <c r="N827" s="15">
        <f t="shared" si="143"/>
        <v>0.130402912933899</v>
      </c>
      <c r="O827" s="17">
        <v>5.3756621999999998</v>
      </c>
      <c r="P827" s="17">
        <v>-14.831678999999999</v>
      </c>
      <c r="Q827" s="17">
        <v>-0.93499220999999999</v>
      </c>
      <c r="R827" s="17">
        <v>-15.786167000000001</v>
      </c>
      <c r="S827" s="17">
        <f t="shared" si="144"/>
        <v>1.0024096051083347</v>
      </c>
      <c r="T827" s="17">
        <f t="shared" si="145"/>
        <v>-23.312363509224156</v>
      </c>
    </row>
    <row r="828" spans="1:20" x14ac:dyDescent="0.35">
      <c r="A828" s="16">
        <v>3.2125000000000004</v>
      </c>
      <c r="B828" s="16">
        <v>16.366399999999999</v>
      </c>
      <c r="C828" s="16">
        <v>-0.14007195</v>
      </c>
      <c r="D828" s="16">
        <v>-4.1418623000000002E-2</v>
      </c>
      <c r="E828" s="16">
        <v>0.85999740000000002</v>
      </c>
      <c r="F828" s="16">
        <v>-4.6029391000000003E-2</v>
      </c>
      <c r="G828" s="16">
        <f t="shared" si="136"/>
        <v>2.75329746809191</v>
      </c>
      <c r="H828" s="16">
        <f t="shared" si="137"/>
        <v>-1.01463462275362</v>
      </c>
      <c r="I828" s="16">
        <f t="shared" si="138"/>
        <v>2.7533374561039099</v>
      </c>
      <c r="J828" s="16">
        <f t="shared" si="139"/>
        <v>-1.0169398346326799</v>
      </c>
      <c r="K828" s="15">
        <f t="shared" si="140"/>
        <v>-3.9988011999891902E-5</v>
      </c>
      <c r="L828" s="15">
        <f t="shared" si="141"/>
        <v>2.3052118790598498E-3</v>
      </c>
      <c r="M828" s="15">
        <f t="shared" si="142"/>
        <v>0.31959682668574202</v>
      </c>
      <c r="N828" s="15">
        <f t="shared" si="143"/>
        <v>0.118042466374184</v>
      </c>
      <c r="O828" s="16">
        <v>4.8067317000000003</v>
      </c>
      <c r="P828" s="16">
        <v>-15.257215</v>
      </c>
      <c r="Q828" s="16">
        <v>-1.6302099999999999</v>
      </c>
      <c r="R828" s="16">
        <v>-15.968940999999999</v>
      </c>
      <c r="S828" s="16">
        <f t="shared" si="144"/>
        <v>1.0034669687114179</v>
      </c>
      <c r="T828" s="16">
        <f t="shared" si="145"/>
        <v>-23.31577021314191</v>
      </c>
    </row>
    <row r="829" spans="1:20" x14ac:dyDescent="0.35">
      <c r="A829" s="17">
        <v>3.2125000000000004</v>
      </c>
      <c r="B829" s="17">
        <v>16.415199999999999</v>
      </c>
      <c r="C829" s="17">
        <v>-0.14389692000000001</v>
      </c>
      <c r="D829" s="17">
        <v>-3.5914213E-2</v>
      </c>
      <c r="E829" s="17">
        <v>0.85617631000000005</v>
      </c>
      <c r="F829" s="17">
        <v>-4.0557408000000003E-2</v>
      </c>
      <c r="G829" s="17">
        <f t="shared" si="136"/>
        <v>2.7462519837178898</v>
      </c>
      <c r="H829" s="17">
        <f t="shared" si="137"/>
        <v>-0.86164768632442701</v>
      </c>
      <c r="I829" s="17">
        <f t="shared" si="138"/>
        <v>2.7462939865711902</v>
      </c>
      <c r="J829" s="17">
        <f t="shared" si="139"/>
        <v>-0.86396910131209803</v>
      </c>
      <c r="K829" s="15">
        <f t="shared" si="140"/>
        <v>-4.2002853300360203E-5</v>
      </c>
      <c r="L829" s="15">
        <f t="shared" si="141"/>
        <v>2.32141498767102E-3</v>
      </c>
      <c r="M829" s="15">
        <f t="shared" si="142"/>
        <v>0.331334947226958</v>
      </c>
      <c r="N829" s="15">
        <f t="shared" si="143"/>
        <v>0.104236166262146</v>
      </c>
      <c r="O829" s="17">
        <v>4.1979286</v>
      </c>
      <c r="P829" s="17">
        <v>-15.637396000000001</v>
      </c>
      <c r="Q829" s="17">
        <v>-2.3455343000000002</v>
      </c>
      <c r="R829" s="17">
        <v>-16.093422</v>
      </c>
      <c r="S829" s="17">
        <f t="shared" si="144"/>
        <v>1.0044702636399734</v>
      </c>
      <c r="T829" s="17">
        <f t="shared" si="145"/>
        <v>-23.31919066859324</v>
      </c>
    </row>
    <row r="830" spans="1:20" x14ac:dyDescent="0.35">
      <c r="A830" s="16">
        <v>3.2125000000000004</v>
      </c>
      <c r="B830" s="16">
        <v>16.463999999999999</v>
      </c>
      <c r="C830" s="16">
        <v>-0.14725999000000001</v>
      </c>
      <c r="D830" s="16">
        <v>-3.0067581999999999E-2</v>
      </c>
      <c r="E830" s="16">
        <v>0.85274357999999995</v>
      </c>
      <c r="F830" s="16">
        <v>-3.4716381999999997E-2</v>
      </c>
      <c r="G830" s="16">
        <f t="shared" si="136"/>
        <v>2.73868699330191</v>
      </c>
      <c r="H830" s="16">
        <f t="shared" si="137"/>
        <v>-0.71124366383232995</v>
      </c>
      <c r="I830" s="16">
        <f t="shared" si="138"/>
        <v>2.7386941810759602</v>
      </c>
      <c r="J830" s="16">
        <f t="shared" si="139"/>
        <v>-0.71356804297605203</v>
      </c>
      <c r="K830" s="15">
        <f t="shared" si="140"/>
        <v>-7.1877740501769E-6</v>
      </c>
      <c r="L830" s="15">
        <f t="shared" si="141"/>
        <v>2.3243791437220799E-3</v>
      </c>
      <c r="M830" s="15">
        <f t="shared" si="142"/>
        <v>0.34192538641301301</v>
      </c>
      <c r="N830" s="15">
        <f t="shared" si="143"/>
        <v>8.9088818500613995E-2</v>
      </c>
      <c r="O830" s="16">
        <v>3.5544560999999999</v>
      </c>
      <c r="P830" s="16">
        <v>-15.965363999999999</v>
      </c>
      <c r="Q830" s="16">
        <v>-3.0736631000000001</v>
      </c>
      <c r="R830" s="16">
        <v>-16.156105</v>
      </c>
      <c r="S830" s="16">
        <f t="shared" si="144"/>
        <v>1.0054799960542256</v>
      </c>
      <c r="T830" s="16">
        <f t="shared" si="145"/>
        <v>-23.32303664858793</v>
      </c>
    </row>
    <row r="831" spans="1:20" x14ac:dyDescent="0.35">
      <c r="A831" s="17">
        <v>3.2125000000000004</v>
      </c>
      <c r="B831" s="17">
        <v>16.512799999999999</v>
      </c>
      <c r="C831" s="17">
        <v>-0.15011304</v>
      </c>
      <c r="D831" s="17">
        <v>-2.3947743000000001E-2</v>
      </c>
      <c r="E831" s="17">
        <v>0.84989331000000001</v>
      </c>
      <c r="F831" s="17">
        <v>-2.8626314E-2</v>
      </c>
      <c r="G831" s="17">
        <f t="shared" si="136"/>
        <v>2.73178171469818</v>
      </c>
      <c r="H831" s="17">
        <f t="shared" si="137"/>
        <v>-0.56477619811694402</v>
      </c>
      <c r="I831" s="17">
        <f t="shared" si="138"/>
        <v>2.7317903618626902</v>
      </c>
      <c r="J831" s="17">
        <f t="shared" si="139"/>
        <v>-0.56711545596161395</v>
      </c>
      <c r="K831" s="15">
        <f t="shared" si="140"/>
        <v>-8.6471645102115196E-6</v>
      </c>
      <c r="L831" s="15">
        <f t="shared" si="141"/>
        <v>2.3392578446699299E-3</v>
      </c>
      <c r="M831" s="15">
        <f t="shared" si="142"/>
        <v>0.35093597121150499</v>
      </c>
      <c r="N831" s="15">
        <f t="shared" si="143"/>
        <v>7.2853765100496598E-2</v>
      </c>
      <c r="O831" s="17">
        <v>2.8848259999999999</v>
      </c>
      <c r="P831" s="17">
        <v>-16.237120999999998</v>
      </c>
      <c r="Q831" s="17">
        <v>-3.8047947</v>
      </c>
      <c r="R831" s="17">
        <v>-16.156210999999999</v>
      </c>
      <c r="S831" s="17">
        <f t="shared" si="144"/>
        <v>1.0064748739116498</v>
      </c>
      <c r="T831" s="17">
        <f t="shared" si="145"/>
        <v>-23.326252518152064</v>
      </c>
    </row>
    <row r="832" spans="1:20" x14ac:dyDescent="0.35">
      <c r="A832" s="16">
        <v>3.2125000000000004</v>
      </c>
      <c r="B832" s="16">
        <v>16.561599999999999</v>
      </c>
      <c r="C832" s="16">
        <v>-0.15242538</v>
      </c>
      <c r="D832" s="16">
        <v>-1.7627146999999999E-2</v>
      </c>
      <c r="E832" s="16">
        <v>0.84758396000000003</v>
      </c>
      <c r="F832" s="16">
        <v>-2.2336115E-2</v>
      </c>
      <c r="G832" s="16">
        <f t="shared" si="136"/>
        <v>2.72496478975921</v>
      </c>
      <c r="H832" s="16">
        <f t="shared" si="137"/>
        <v>-0.42160100859613497</v>
      </c>
      <c r="I832" s="16">
        <f t="shared" si="138"/>
        <v>2.7249750032239199</v>
      </c>
      <c r="J832" s="16">
        <f t="shared" si="139"/>
        <v>-0.42395545755342001</v>
      </c>
      <c r="K832" s="15">
        <f t="shared" si="140"/>
        <v>-1.02134647099739E-5</v>
      </c>
      <c r="L832" s="15">
        <f t="shared" si="141"/>
        <v>2.3544489572850402E-3</v>
      </c>
      <c r="M832" s="15">
        <f t="shared" si="142"/>
        <v>0.358302915070702</v>
      </c>
      <c r="N832" s="15">
        <f t="shared" si="143"/>
        <v>5.5745273304087399E-2</v>
      </c>
      <c r="O832" s="16">
        <v>2.1966580000000002</v>
      </c>
      <c r="P832" s="16">
        <v>-16.449598000000002</v>
      </c>
      <c r="Q832" s="16">
        <v>-4.5307579000000002</v>
      </c>
      <c r="R832" s="16">
        <v>-16.093665000000001</v>
      </c>
      <c r="S832" s="16">
        <f t="shared" si="144"/>
        <v>1.0074504975365117</v>
      </c>
      <c r="T832" s="16">
        <f t="shared" si="145"/>
        <v>-23.329405788315583</v>
      </c>
    </row>
    <row r="833" spans="1:20" x14ac:dyDescent="0.35">
      <c r="A833" s="17">
        <v>3.2125000000000004</v>
      </c>
      <c r="B833" s="17">
        <v>16.610399999999998</v>
      </c>
      <c r="C833" s="17">
        <v>-0.15417893999999999</v>
      </c>
      <c r="D833" s="17">
        <v>-1.1183904999999999E-2</v>
      </c>
      <c r="E833" s="17">
        <v>0.84583346999999998</v>
      </c>
      <c r="F833" s="17">
        <v>-1.5923799999999998E-2</v>
      </c>
      <c r="G833" s="17">
        <f t="shared" si="136"/>
        <v>2.71823662165527</v>
      </c>
      <c r="H833" s="17">
        <f t="shared" si="137"/>
        <v>-0.28174175701427601</v>
      </c>
      <c r="I833" s="17">
        <f t="shared" si="138"/>
        <v>2.7182484431318099</v>
      </c>
      <c r="J833" s="17">
        <f t="shared" si="139"/>
        <v>-0.284111661792737</v>
      </c>
      <c r="K833" s="15">
        <f t="shared" si="140"/>
        <v>-1.18214765398861E-5</v>
      </c>
      <c r="L833" s="15">
        <f t="shared" si="141"/>
        <v>2.369904778461E-3</v>
      </c>
      <c r="M833" s="15">
        <f t="shared" si="142"/>
        <v>0.36390845746252598</v>
      </c>
      <c r="N833" s="15">
        <f t="shared" si="143"/>
        <v>3.8035756757755702E-2</v>
      </c>
      <c r="O833" s="17">
        <v>1.4983549</v>
      </c>
      <c r="P833" s="17">
        <v>-16.600261</v>
      </c>
      <c r="Q833" s="17">
        <v>-5.2430145000000001</v>
      </c>
      <c r="R833" s="17">
        <v>-15.970383</v>
      </c>
      <c r="S833" s="17">
        <f t="shared" si="144"/>
        <v>1.0084744728622592</v>
      </c>
      <c r="T833" s="17">
        <f t="shared" si="145"/>
        <v>-23.332400594127535</v>
      </c>
    </row>
    <row r="834" spans="1:20" x14ac:dyDescent="0.35">
      <c r="A834" s="16">
        <v>3.2125000000000004</v>
      </c>
      <c r="B834" s="16">
        <v>16.659199999999998</v>
      </c>
      <c r="C834" s="16">
        <v>-0.15537263000000001</v>
      </c>
      <c r="D834" s="16">
        <v>-4.6917075000000004E-3</v>
      </c>
      <c r="E834" s="16">
        <v>0.84456555</v>
      </c>
      <c r="F834" s="16">
        <v>-9.4094392999999991E-3</v>
      </c>
      <c r="G834" s="16">
        <f t="shared" si="136"/>
        <v>2.7108334855194798</v>
      </c>
      <c r="H834" s="16">
        <f t="shared" si="137"/>
        <v>-0.14449368042129801</v>
      </c>
      <c r="I834" s="16">
        <f t="shared" si="138"/>
        <v>2.7108081392973902</v>
      </c>
      <c r="J834" s="16">
        <f t="shared" si="139"/>
        <v>-0.14685267902628399</v>
      </c>
      <c r="K834" s="15">
        <f t="shared" si="140"/>
        <v>2.5346222089606099E-5</v>
      </c>
      <c r="L834" s="15">
        <f t="shared" si="141"/>
        <v>2.3589986049859799E-3</v>
      </c>
      <c r="M834" s="15">
        <f t="shared" si="142"/>
        <v>0.36781425294987002</v>
      </c>
      <c r="N834" s="15">
        <f t="shared" si="143"/>
        <v>1.9925610981727199E-2</v>
      </c>
      <c r="O834" s="16">
        <v>0.79800733000000001</v>
      </c>
      <c r="P834" s="16">
        <v>-16.692292999999999</v>
      </c>
      <c r="Q834" s="16">
        <v>-5.9344976999999997</v>
      </c>
      <c r="R834" s="16">
        <v>-15.789369000000001</v>
      </c>
      <c r="S834" s="16">
        <f t="shared" si="144"/>
        <v>1.0093610360157192</v>
      </c>
      <c r="T834" s="16">
        <f t="shared" si="145"/>
        <v>-23.335983446800515</v>
      </c>
    </row>
    <row r="835" spans="1:20" x14ac:dyDescent="0.35">
      <c r="A835" s="17">
        <v>3.2125000000000004</v>
      </c>
      <c r="B835" s="17">
        <v>16.707999999999998</v>
      </c>
      <c r="C835" s="17">
        <v>-0.15601200000000001</v>
      </c>
      <c r="D835" s="17">
        <v>1.7597534999999999E-3</v>
      </c>
      <c r="E835" s="17">
        <v>0.84392422</v>
      </c>
      <c r="F835" s="17">
        <v>-2.9845221999999999E-3</v>
      </c>
      <c r="G835" s="17">
        <f t="shared" si="136"/>
        <v>2.70419049181967</v>
      </c>
      <c r="H835" s="17">
        <f t="shared" si="137"/>
        <v>-1.13884529394628E-2</v>
      </c>
      <c r="I835" s="17">
        <f t="shared" si="138"/>
        <v>2.7041642283473499</v>
      </c>
      <c r="J835" s="17">
        <f t="shared" si="139"/>
        <v>-1.3760728741914899E-2</v>
      </c>
      <c r="K835" s="15">
        <f t="shared" si="140"/>
        <v>2.62634723200428E-5</v>
      </c>
      <c r="L835" s="15">
        <f t="shared" si="141"/>
        <v>2.3722758024521001E-3</v>
      </c>
      <c r="M835" s="15">
        <f t="shared" si="142"/>
        <v>0.36979044953658402</v>
      </c>
      <c r="N835" s="15">
        <f t="shared" si="143"/>
        <v>1.88175925636499E-3</v>
      </c>
      <c r="O835" s="17">
        <v>0.10515380000000001</v>
      </c>
      <c r="P835" s="17">
        <v>-16.724149000000001</v>
      </c>
      <c r="Q835" s="17">
        <v>-6.5961910000000001</v>
      </c>
      <c r="R835" s="17">
        <v>-15.555737000000001</v>
      </c>
      <c r="S835" s="17">
        <f t="shared" si="144"/>
        <v>1.0102837372328335</v>
      </c>
      <c r="T835" s="17">
        <f t="shared" si="145"/>
        <v>-23.33893306325869</v>
      </c>
    </row>
    <row r="836" spans="1:20" x14ac:dyDescent="0.35">
      <c r="A836" s="16">
        <v>3.2125000000000004</v>
      </c>
      <c r="B836" s="16">
        <v>16.756799999999998</v>
      </c>
      <c r="C836" s="16">
        <v>-0.15612485000000001</v>
      </c>
      <c r="D836" s="16">
        <v>8.0913723E-3</v>
      </c>
      <c r="E836" s="16">
        <v>0.84386412</v>
      </c>
      <c r="F836" s="16">
        <v>3.2380358000000001E-3</v>
      </c>
      <c r="G836" s="16">
        <f t="shared" si="136"/>
        <v>2.6982417289076599</v>
      </c>
      <c r="H836" s="16">
        <f t="shared" si="137"/>
        <v>0.117251587844395</v>
      </c>
      <c r="I836" s="16">
        <f t="shared" si="138"/>
        <v>2.6982421026587899</v>
      </c>
      <c r="J836" s="16">
        <f t="shared" si="139"/>
        <v>0.11482490711821999</v>
      </c>
      <c r="K836" s="15">
        <f t="shared" si="140"/>
        <v>-3.7375113004500799E-7</v>
      </c>
      <c r="L836" s="15">
        <f t="shared" si="141"/>
        <v>2.42668072617501E-3</v>
      </c>
      <c r="M836" s="15">
        <f t="shared" si="142"/>
        <v>0.36994171366423101</v>
      </c>
      <c r="N836" s="15">
        <f t="shared" si="143"/>
        <v>-1.5743036130372801E-2</v>
      </c>
      <c r="O836" s="16">
        <v>-0.57156289999999998</v>
      </c>
      <c r="P836" s="16">
        <v>-16.700510000000001</v>
      </c>
      <c r="Q836" s="16">
        <v>-7.2216316999999997</v>
      </c>
      <c r="R836" s="16">
        <v>-15.276227</v>
      </c>
      <c r="S836" s="16">
        <f t="shared" si="144"/>
        <v>1.0111849393648302</v>
      </c>
      <c r="T836" s="16">
        <f t="shared" si="145"/>
        <v>-23.341674062008959</v>
      </c>
    </row>
    <row r="837" spans="1:20" x14ac:dyDescent="0.35">
      <c r="A837" s="17">
        <v>3.2125000000000004</v>
      </c>
      <c r="B837" s="17">
        <v>16.805599999999998</v>
      </c>
      <c r="C837" s="17">
        <v>-0.15574598000000001</v>
      </c>
      <c r="D837" s="17">
        <v>1.4264089000000001E-2</v>
      </c>
      <c r="E837" s="17">
        <v>0.84424387000000001</v>
      </c>
      <c r="F837" s="17">
        <v>9.3715758000000003E-3</v>
      </c>
      <c r="G837" s="17">
        <f t="shared" si="136"/>
        <v>2.69187431287751</v>
      </c>
      <c r="H837" s="17">
        <f t="shared" si="137"/>
        <v>0.24341116251554301</v>
      </c>
      <c r="I837" s="17">
        <f t="shared" si="138"/>
        <v>2.6918752220784099</v>
      </c>
      <c r="J837" s="17">
        <f t="shared" si="139"/>
        <v>0.240964895724878</v>
      </c>
      <c r="K837" s="15">
        <f t="shared" si="140"/>
        <v>-9.09200899901208E-7</v>
      </c>
      <c r="L837" s="15">
        <f t="shared" si="141"/>
        <v>2.4462667906650099E-3</v>
      </c>
      <c r="M837" s="15">
        <f t="shared" si="142"/>
        <v>0.36853515462604902</v>
      </c>
      <c r="N837" s="15">
        <f t="shared" si="143"/>
        <v>-3.2989655083957299E-2</v>
      </c>
      <c r="O837" s="17">
        <v>-1.2284980999999999</v>
      </c>
      <c r="P837" s="17">
        <v>-16.624410000000001</v>
      </c>
      <c r="Q837" s="17">
        <v>-7.8085705000000001</v>
      </c>
      <c r="R837" s="17">
        <v>-14.955007999999999</v>
      </c>
      <c r="S837" s="17">
        <f t="shared" si="144"/>
        <v>1.0120652188350303</v>
      </c>
      <c r="T837" s="17">
        <f t="shared" si="145"/>
        <v>-23.344431389527021</v>
      </c>
    </row>
    <row r="838" spans="1:20" x14ac:dyDescent="0.35">
      <c r="A838" s="16">
        <v>3.2125000000000004</v>
      </c>
      <c r="B838" s="16">
        <v>16.854399999999998</v>
      </c>
      <c r="C838" s="16">
        <v>-0.15492624999999999</v>
      </c>
      <c r="D838" s="16">
        <v>2.0175325000000001E-2</v>
      </c>
      <c r="E838" s="16">
        <v>0.84499245000000001</v>
      </c>
      <c r="F838" s="16">
        <v>1.5284476E-2</v>
      </c>
      <c r="G838" s="16">
        <f t="shared" si="136"/>
        <v>2.6848241529625199</v>
      </c>
      <c r="H838" s="16">
        <f t="shared" si="137"/>
        <v>0.36559937758280397</v>
      </c>
      <c r="I838" s="16">
        <f t="shared" si="138"/>
        <v>2.6847894821045801</v>
      </c>
      <c r="J838" s="16">
        <f t="shared" si="139"/>
        <v>0.36315376888384499</v>
      </c>
      <c r="K838" s="15">
        <f t="shared" si="140"/>
        <v>3.4670857939733699E-5</v>
      </c>
      <c r="L838" s="15">
        <f t="shared" si="141"/>
        <v>2.4456086989589898E-3</v>
      </c>
      <c r="M838" s="15">
        <f t="shared" si="142"/>
        <v>0.36577636851752399</v>
      </c>
      <c r="N838" s="15">
        <f t="shared" si="143"/>
        <v>-4.9476157323016003E-2</v>
      </c>
      <c r="O838" s="16">
        <v>-1.8551280999999999</v>
      </c>
      <c r="P838" s="16">
        <v>-16.501822000000001</v>
      </c>
      <c r="Q838" s="16">
        <v>-8.3488343</v>
      </c>
      <c r="R838" s="16">
        <v>-14.602226999999999</v>
      </c>
      <c r="S838" s="16">
        <f t="shared" si="144"/>
        <v>1.0129289246831459</v>
      </c>
      <c r="T838" s="16">
        <f t="shared" si="145"/>
        <v>-23.344557906865276</v>
      </c>
    </row>
    <row r="839" spans="1:20" x14ac:dyDescent="0.35">
      <c r="A839" s="17">
        <v>3.2125000000000004</v>
      </c>
      <c r="B839" s="17">
        <v>16.903200000000002</v>
      </c>
      <c r="C839" s="17">
        <v>-0.15370838000000001</v>
      </c>
      <c r="D839" s="17">
        <v>2.5828875000000001E-2</v>
      </c>
      <c r="E839" s="17">
        <v>0.84627463999999997</v>
      </c>
      <c r="F839" s="17">
        <v>2.0905450999999999E-2</v>
      </c>
      <c r="G839" s="17">
        <f t="shared" si="136"/>
        <v>2.67926704999359</v>
      </c>
      <c r="H839" s="17">
        <f t="shared" si="137"/>
        <v>0.48452475245759802</v>
      </c>
      <c r="I839" s="17">
        <f t="shared" si="138"/>
        <v>2.6792646200651</v>
      </c>
      <c r="J839" s="17">
        <f t="shared" si="139"/>
        <v>0.48206301357565001</v>
      </c>
      <c r="K839" s="15">
        <f t="shared" si="140"/>
        <v>2.4299284899775799E-6</v>
      </c>
      <c r="L839" s="15">
        <f t="shared" si="141"/>
        <v>2.4617388819480101E-3</v>
      </c>
      <c r="M839" s="15">
        <f t="shared" si="142"/>
        <v>0.36153301100063301</v>
      </c>
      <c r="N839" s="15">
        <f t="shared" si="143"/>
        <v>-6.5048331353626906E-2</v>
      </c>
      <c r="O839" s="17">
        <v>-2.4512065999999999</v>
      </c>
      <c r="P839" s="17">
        <v>-16.338946</v>
      </c>
      <c r="Q839" s="17">
        <v>-8.8461263999999993</v>
      </c>
      <c r="R839" s="17">
        <v>-14.222925999999999</v>
      </c>
      <c r="S839" s="17">
        <f t="shared" si="144"/>
        <v>1.0137820434802434</v>
      </c>
      <c r="T839" s="17">
        <f t="shared" si="145"/>
        <v>-23.348045917316718</v>
      </c>
    </row>
    <row r="840" spans="1:20" x14ac:dyDescent="0.35">
      <c r="A840" s="16">
        <v>3.2125000000000004</v>
      </c>
      <c r="B840" s="16">
        <v>16.952000000000002</v>
      </c>
      <c r="C840" s="16">
        <v>-0.15216296000000001</v>
      </c>
      <c r="D840" s="16">
        <v>3.1138741000000001E-2</v>
      </c>
      <c r="E840" s="16">
        <v>0.84783032999999997</v>
      </c>
      <c r="F840" s="16">
        <v>2.6145023E-2</v>
      </c>
      <c r="G840" s="16">
        <f t="shared" si="136"/>
        <v>2.6734430898189001</v>
      </c>
      <c r="H840" s="16">
        <f t="shared" si="137"/>
        <v>0.59857789651908999</v>
      </c>
      <c r="I840" s="16">
        <f t="shared" si="138"/>
        <v>2.6734459691364001</v>
      </c>
      <c r="J840" s="16">
        <f t="shared" si="139"/>
        <v>0.59608103633137399</v>
      </c>
      <c r="K840" s="15">
        <f t="shared" si="140"/>
        <v>-2.8793174999819401E-6</v>
      </c>
      <c r="L840" s="15">
        <f t="shared" si="141"/>
        <v>2.4968601877159999E-3</v>
      </c>
      <c r="M840" s="15">
        <f t="shared" si="142"/>
        <v>0.35633470018684299</v>
      </c>
      <c r="N840" s="15">
        <f t="shared" si="143"/>
        <v>-7.9449654049606994E-2</v>
      </c>
      <c r="O840" s="16">
        <v>-3.0093610000000002</v>
      </c>
      <c r="P840" s="16">
        <v>-16.142527999999999</v>
      </c>
      <c r="Q840" s="16">
        <v>-9.2946729999999995</v>
      </c>
      <c r="R840" s="16">
        <v>-13.825737</v>
      </c>
      <c r="S840" s="16">
        <f t="shared" si="144"/>
        <v>1.0145517414539462</v>
      </c>
      <c r="T840" s="16">
        <f t="shared" si="145"/>
        <v>-23.351775448383975</v>
      </c>
    </row>
    <row r="841" spans="1:20" x14ac:dyDescent="0.35">
      <c r="A841" s="17">
        <v>3.2125000000000004</v>
      </c>
      <c r="B841" s="17">
        <v>17</v>
      </c>
      <c r="C841" s="17">
        <v>-0.15229221000000001</v>
      </c>
      <c r="D841" s="17">
        <v>3.3174400999999999E-2</v>
      </c>
      <c r="E841" s="17">
        <v>0.84774958</v>
      </c>
      <c r="F841" s="17">
        <v>2.8175591999999999E-2</v>
      </c>
      <c r="G841" s="17">
        <f t="shared" si="136"/>
        <v>2.6555404564699399</v>
      </c>
      <c r="H841" s="17">
        <f t="shared" si="137"/>
        <v>0.63693475950755796</v>
      </c>
      <c r="I841" s="17">
        <f t="shared" si="138"/>
        <v>2.6555675976256099</v>
      </c>
      <c r="J841" s="17">
        <f t="shared" si="139"/>
        <v>0.63443547506683295</v>
      </c>
      <c r="K841" s="15">
        <f t="shared" si="140"/>
        <v>-2.7141155670040701E-5</v>
      </c>
      <c r="L841" s="15">
        <f t="shared" si="141"/>
        <v>2.499284440725E-3</v>
      </c>
      <c r="M841" s="15">
        <f t="shared" si="142"/>
        <v>0.35623457340824899</v>
      </c>
      <c r="N841" s="15">
        <f t="shared" si="143"/>
        <v>-8.5107172951489202E-2</v>
      </c>
      <c r="O841" s="17">
        <v>-3.3400094999999999</v>
      </c>
      <c r="P841" s="17">
        <v>-16.814757</v>
      </c>
      <c r="Q841" s="17">
        <v>-9.4132309000000003</v>
      </c>
      <c r="R841" s="17">
        <v>-13.714912999999999</v>
      </c>
      <c r="S841" s="17">
        <f t="shared" si="144"/>
        <v>0.97032448945716399</v>
      </c>
      <c r="T841" s="17">
        <f t="shared" si="145"/>
        <v>-23.229011971604184</v>
      </c>
    </row>
    <row r="842" spans="1:20" x14ac:dyDescent="0.35">
      <c r="A842" s="16">
        <v>3.35</v>
      </c>
      <c r="B842" s="16">
        <v>15</v>
      </c>
      <c r="C842" s="16">
        <v>-3.2390138999999998E-2</v>
      </c>
      <c r="D842" s="16">
        <v>-6.0674988999999999E-2</v>
      </c>
      <c r="E842" s="16">
        <v>0.96758518999999998</v>
      </c>
      <c r="F842" s="16">
        <v>-6.4815017000000003E-2</v>
      </c>
      <c r="G842" s="16">
        <f t="shared" si="136"/>
        <v>2.74879204829704</v>
      </c>
      <c r="H842" s="16">
        <f t="shared" si="137"/>
        <v>-6.2900034619004002</v>
      </c>
      <c r="I842" s="16">
        <f t="shared" si="138"/>
        <v>2.7487839977430402</v>
      </c>
      <c r="J842" s="16">
        <f t="shared" si="139"/>
        <v>-6.29207351810033</v>
      </c>
      <c r="K842" s="15">
        <f t="shared" si="140"/>
        <v>8.0505539998831904E-6</v>
      </c>
      <c r="L842" s="15">
        <f t="shared" si="141"/>
        <v>2.0700561999298399E-3</v>
      </c>
      <c r="M842" s="15">
        <f t="shared" si="142"/>
        <v>5.8303649191609797E-2</v>
      </c>
      <c r="N842" s="15">
        <f t="shared" si="143"/>
        <v>0.13345932142662101</v>
      </c>
      <c r="O842" s="16">
        <v>7.1829105999999996</v>
      </c>
      <c r="P842" s="16">
        <v>-3.6797243000000002</v>
      </c>
      <c r="Q842" s="16">
        <v>4.9520904999999997</v>
      </c>
      <c r="R842" s="16">
        <v>-5.9675329000000001</v>
      </c>
      <c r="S842" s="16">
        <f t="shared" si="144"/>
        <v>0.96085221829220624</v>
      </c>
      <c r="T842" s="16">
        <f t="shared" si="145"/>
        <v>-23.187242154728345</v>
      </c>
    </row>
    <row r="843" spans="1:20" x14ac:dyDescent="0.35">
      <c r="A843" s="17">
        <v>3.35</v>
      </c>
      <c r="B843" s="17">
        <v>15.0488</v>
      </c>
      <c r="C843" s="17">
        <v>-3.4442220000000003E-2</v>
      </c>
      <c r="D843" s="17">
        <v>-6.2203436000000001E-2</v>
      </c>
      <c r="E843" s="17">
        <v>0.96557282</v>
      </c>
      <c r="F843" s="17">
        <v>-6.6440636999999997E-2</v>
      </c>
      <c r="G843" s="17">
        <f t="shared" si="136"/>
        <v>2.7344696798128401</v>
      </c>
      <c r="H843" s="17">
        <f t="shared" si="137"/>
        <v>-6.0407550240864802</v>
      </c>
      <c r="I843" s="17">
        <f t="shared" si="138"/>
        <v>2.7344816881029601</v>
      </c>
      <c r="J843" s="17">
        <f t="shared" si="139"/>
        <v>-6.0428735832141198</v>
      </c>
      <c r="K843" s="15">
        <f t="shared" si="140"/>
        <v>-1.2008290120046901E-5</v>
      </c>
      <c r="L843" s="15">
        <f t="shared" si="141"/>
        <v>2.1185591276395902E-3</v>
      </c>
      <c r="M843" s="15">
        <f t="shared" si="142"/>
        <v>6.2156194844700502E-2</v>
      </c>
      <c r="N843" s="15">
        <f t="shared" si="143"/>
        <v>0.13735766799766799</v>
      </c>
      <c r="O843" s="17">
        <v>7.3356687000000003</v>
      </c>
      <c r="P843" s="17">
        <v>-3.9013944</v>
      </c>
      <c r="Q843" s="17">
        <v>5.0086497000000003</v>
      </c>
      <c r="R843" s="17">
        <v>-6.2276085999999999</v>
      </c>
      <c r="S843" s="17">
        <f t="shared" si="144"/>
        <v>0.9618764035206997</v>
      </c>
      <c r="T843" s="17">
        <f t="shared" si="145"/>
        <v>-23.185700580709746</v>
      </c>
    </row>
    <row r="844" spans="1:20" x14ac:dyDescent="0.35">
      <c r="A844" s="16">
        <v>3.35</v>
      </c>
      <c r="B844" s="16">
        <v>15.0976</v>
      </c>
      <c r="C844" s="16">
        <v>-3.6561979000000001E-2</v>
      </c>
      <c r="D844" s="16">
        <v>-6.3663365999999999E-2</v>
      </c>
      <c r="E844" s="16">
        <v>0.96345577000000004</v>
      </c>
      <c r="F844" s="16">
        <v>-6.7929606000000003E-2</v>
      </c>
      <c r="G844" s="16">
        <f t="shared" si="136"/>
        <v>2.72604126542491</v>
      </c>
      <c r="H844" s="16">
        <f t="shared" si="137"/>
        <v>-5.8058990690645897</v>
      </c>
      <c r="I844" s="16">
        <f t="shared" si="138"/>
        <v>2.7260546899052498</v>
      </c>
      <c r="J844" s="16">
        <f t="shared" si="139"/>
        <v>-5.80803214149861</v>
      </c>
      <c r="K844" s="15">
        <f t="shared" si="140"/>
        <v>-1.3424480339807599E-5</v>
      </c>
      <c r="L844" s="15">
        <f t="shared" si="141"/>
        <v>2.13307243402028E-3</v>
      </c>
      <c r="M844" s="15">
        <f t="shared" si="142"/>
        <v>6.6223258003599295E-2</v>
      </c>
      <c r="N844" s="15">
        <f t="shared" si="143"/>
        <v>0.14109284469748801</v>
      </c>
      <c r="O844" s="16">
        <v>7.4775102999999996</v>
      </c>
      <c r="P844" s="16">
        <v>-4.1282452999999997</v>
      </c>
      <c r="Q844" s="16">
        <v>5.0563935000000004</v>
      </c>
      <c r="R844" s="16">
        <v>-6.4937456999999998</v>
      </c>
      <c r="S844" s="16">
        <f t="shared" si="144"/>
        <v>0.96356288086332265</v>
      </c>
      <c r="T844" s="16">
        <f t="shared" si="145"/>
        <v>-23.191109155465625</v>
      </c>
    </row>
    <row r="845" spans="1:20" x14ac:dyDescent="0.35">
      <c r="A845" s="17">
        <v>3.35</v>
      </c>
      <c r="B845" s="17">
        <v>15.1464</v>
      </c>
      <c r="C845" s="17">
        <v>-3.8806260000000002E-2</v>
      </c>
      <c r="D845" s="17">
        <v>-6.5106289999999997E-2</v>
      </c>
      <c r="E845" s="17">
        <v>0.96121190999999995</v>
      </c>
      <c r="F845" s="17">
        <v>-6.9400697999999997E-2</v>
      </c>
      <c r="G845" s="17">
        <f t="shared" si="136"/>
        <v>2.7179381718384001</v>
      </c>
      <c r="H845" s="17">
        <f t="shared" si="137"/>
        <v>-5.57711725874836</v>
      </c>
      <c r="I845" s="17">
        <f t="shared" si="138"/>
        <v>2.71795186709396</v>
      </c>
      <c r="J845" s="17">
        <f t="shared" si="139"/>
        <v>-5.5792644138349399</v>
      </c>
      <c r="K845" s="15">
        <f t="shared" si="140"/>
        <v>-1.36952555598313E-5</v>
      </c>
      <c r="L845" s="15">
        <f t="shared" si="141"/>
        <v>2.1471550865799199E-3</v>
      </c>
      <c r="M845" s="15">
        <f t="shared" si="142"/>
        <v>7.0567826738909906E-2</v>
      </c>
      <c r="N845" s="15">
        <f t="shared" si="143"/>
        <v>0.14485781343399301</v>
      </c>
      <c r="O845" s="17">
        <v>7.6177979000000002</v>
      </c>
      <c r="P845" s="17">
        <v>-4.3683795999999999</v>
      </c>
      <c r="Q845" s="17">
        <v>5.0970579999999996</v>
      </c>
      <c r="R845" s="17">
        <v>-6.7711842000000004</v>
      </c>
      <c r="S845" s="17">
        <f t="shared" si="144"/>
        <v>0.96512656208259862</v>
      </c>
      <c r="T845" s="17">
        <f t="shared" si="145"/>
        <v>-23.197278225682783</v>
      </c>
    </row>
    <row r="846" spans="1:20" x14ac:dyDescent="0.35">
      <c r="A846" s="16">
        <v>3.35</v>
      </c>
      <c r="B846" s="16">
        <v>15.1952</v>
      </c>
      <c r="C846" s="16">
        <v>-4.1192737E-2</v>
      </c>
      <c r="D846" s="16">
        <v>-6.6532716000000006E-2</v>
      </c>
      <c r="E846" s="16">
        <v>0.95882493000000002</v>
      </c>
      <c r="F846" s="16">
        <v>-7.0855146999999993E-2</v>
      </c>
      <c r="G846" s="16">
        <f t="shared" si="136"/>
        <v>2.70997728915806</v>
      </c>
      <c r="H846" s="16">
        <f t="shared" si="137"/>
        <v>-5.3531089201545496</v>
      </c>
      <c r="I846" s="16">
        <f t="shared" si="138"/>
        <v>2.7099907932868699</v>
      </c>
      <c r="J846" s="16">
        <f t="shared" si="139"/>
        <v>-5.3552700873785399</v>
      </c>
      <c r="K846" s="15">
        <f t="shared" si="140"/>
        <v>-1.35041288098492E-5</v>
      </c>
      <c r="L846" s="15">
        <f t="shared" si="141"/>
        <v>2.1611672239902902E-3</v>
      </c>
      <c r="M846" s="15">
        <f t="shared" si="142"/>
        <v>7.5229525998399396E-2</v>
      </c>
      <c r="N846" s="15">
        <f t="shared" si="143"/>
        <v>0.14866265644329299</v>
      </c>
      <c r="O846" s="16">
        <v>7.7566416</v>
      </c>
      <c r="P846" s="16">
        <v>-4.6237684999999997</v>
      </c>
      <c r="Q846" s="16">
        <v>5.1298620000000001</v>
      </c>
      <c r="R846" s="16">
        <v>-7.0613282999999996</v>
      </c>
      <c r="S846" s="16">
        <f t="shared" si="144"/>
        <v>0.96653235702307205</v>
      </c>
      <c r="T846" s="16">
        <f t="shared" si="145"/>
        <v>-23.203262492445834</v>
      </c>
    </row>
    <row r="847" spans="1:20" x14ac:dyDescent="0.35">
      <c r="A847" s="17">
        <v>3.35</v>
      </c>
      <c r="B847" s="17">
        <v>15.244</v>
      </c>
      <c r="C847" s="17">
        <v>-4.3733758999999997E-2</v>
      </c>
      <c r="D847" s="17">
        <v>-6.7936422999999996E-2</v>
      </c>
      <c r="E847" s="17">
        <v>0.95628294000000003</v>
      </c>
      <c r="F847" s="17">
        <v>-7.2287155000000006E-2</v>
      </c>
      <c r="G847" s="17">
        <f t="shared" si="136"/>
        <v>2.7021123220307399</v>
      </c>
      <c r="H847" s="17">
        <f t="shared" si="137"/>
        <v>-5.1333704192086298</v>
      </c>
      <c r="I847" s="17">
        <f t="shared" si="138"/>
        <v>2.7021254035373401</v>
      </c>
      <c r="J847" s="17">
        <f t="shared" si="139"/>
        <v>-5.1355457385887497</v>
      </c>
      <c r="K847" s="15">
        <f t="shared" si="140"/>
        <v>-1.3081506600176601E-5</v>
      </c>
      <c r="L847" s="15">
        <f t="shared" si="141"/>
        <v>2.1753193801199401E-3</v>
      </c>
      <c r="M847" s="15">
        <f t="shared" si="142"/>
        <v>8.0240546107964106E-2</v>
      </c>
      <c r="N847" s="15">
        <f t="shared" si="143"/>
        <v>0.152501802502333</v>
      </c>
      <c r="O847" s="17">
        <v>7.8922153000000002</v>
      </c>
      <c r="P847" s="17">
        <v>-4.8950282999999999</v>
      </c>
      <c r="Q847" s="17">
        <v>5.1536752999999997</v>
      </c>
      <c r="R847" s="17">
        <v>-7.3650111000000003</v>
      </c>
      <c r="S847" s="17">
        <f t="shared" si="144"/>
        <v>0.96792196326313051</v>
      </c>
      <c r="T847" s="17">
        <f t="shared" si="145"/>
        <v>-23.2089100172958</v>
      </c>
    </row>
    <row r="848" spans="1:20" x14ac:dyDescent="0.35">
      <c r="A848" s="16">
        <v>3.35</v>
      </c>
      <c r="B848" s="16">
        <v>15.2928</v>
      </c>
      <c r="C848" s="16">
        <v>-4.6440096E-2</v>
      </c>
      <c r="D848" s="16">
        <v>-6.9308221000000003E-2</v>
      </c>
      <c r="E848" s="16">
        <v>0.95357530999999995</v>
      </c>
      <c r="F848" s="16">
        <v>-7.3687695999999997E-2</v>
      </c>
      <c r="G848" s="16">
        <f t="shared" si="136"/>
        <v>2.6943299468134398</v>
      </c>
      <c r="H848" s="16">
        <f t="shared" si="137"/>
        <v>-4.9176375726640904</v>
      </c>
      <c r="I848" s="16">
        <f t="shared" si="138"/>
        <v>2.6943424445706201</v>
      </c>
      <c r="J848" s="16">
        <f t="shared" si="139"/>
        <v>-4.9198272659300599</v>
      </c>
      <c r="K848" s="15">
        <f t="shared" si="140"/>
        <v>-1.24977571802631E-5</v>
      </c>
      <c r="L848" s="15">
        <f t="shared" si="141"/>
        <v>2.1896932659695202E-3</v>
      </c>
      <c r="M848" s="15">
        <f t="shared" si="142"/>
        <v>8.5632052483426702E-2</v>
      </c>
      <c r="N848" s="15">
        <f t="shared" si="143"/>
        <v>0.15636279178040999</v>
      </c>
      <c r="O848" s="16">
        <v>8.0217991000000008</v>
      </c>
      <c r="P848" s="16">
        <v>-5.1821158</v>
      </c>
      <c r="Q848" s="16">
        <v>5.1671361999999998</v>
      </c>
      <c r="R848" s="16">
        <v>-7.6827699000000003</v>
      </c>
      <c r="S848" s="16">
        <f t="shared" si="144"/>
        <v>0.96949571048808203</v>
      </c>
      <c r="T848" s="16">
        <f t="shared" si="145"/>
        <v>-23.214107751101512</v>
      </c>
    </row>
    <row r="849" spans="1:20" x14ac:dyDescent="0.35">
      <c r="A849" s="17">
        <v>3.35</v>
      </c>
      <c r="B849" s="17">
        <v>15.3416</v>
      </c>
      <c r="C849" s="17">
        <v>-4.9321805000000003E-2</v>
      </c>
      <c r="D849" s="17">
        <v>-7.0636690000000002E-2</v>
      </c>
      <c r="E849" s="17">
        <v>0.95069203999999996</v>
      </c>
      <c r="F849" s="17">
        <v>-7.5045415000000004E-2</v>
      </c>
      <c r="G849" s="17">
        <f t="shared" si="136"/>
        <v>2.68662544213523</v>
      </c>
      <c r="H849" s="17">
        <f t="shared" si="137"/>
        <v>-4.7057443013505704</v>
      </c>
      <c r="I849" s="17">
        <f t="shared" si="138"/>
        <v>2.6866372236768101</v>
      </c>
      <c r="J849" s="17">
        <f t="shared" si="139"/>
        <v>-4.7079486226203597</v>
      </c>
      <c r="K849" s="15">
        <f t="shared" si="140"/>
        <v>-1.1781541580102601E-5</v>
      </c>
      <c r="L849" s="15">
        <f t="shared" si="141"/>
        <v>2.2043212697893098E-3</v>
      </c>
      <c r="M849" s="15">
        <f t="shared" si="142"/>
        <v>9.1435712100883998E-2</v>
      </c>
      <c r="N849" s="15">
        <f t="shared" si="143"/>
        <v>0.160228046812565</v>
      </c>
      <c r="O849" s="17">
        <v>8.1476328999999996</v>
      </c>
      <c r="P849" s="17">
        <v>-5.4882128999999997</v>
      </c>
      <c r="Q849" s="17">
        <v>5.1689151999999998</v>
      </c>
      <c r="R849" s="17">
        <v>-8.0153770000000009</v>
      </c>
      <c r="S849" s="17">
        <f t="shared" si="144"/>
        <v>0.9708700379592633</v>
      </c>
      <c r="T849" s="17">
        <f t="shared" si="145"/>
        <v>-23.218997158842015</v>
      </c>
    </row>
    <row r="850" spans="1:20" x14ac:dyDescent="0.35">
      <c r="A850" s="16">
        <v>3.35</v>
      </c>
      <c r="B850" s="16">
        <v>15.3904</v>
      </c>
      <c r="C850" s="16">
        <v>-5.2389700999999997E-2</v>
      </c>
      <c r="D850" s="16">
        <v>-7.1905224000000004E-2</v>
      </c>
      <c r="E850" s="16">
        <v>0.94763392999999996</v>
      </c>
      <c r="F850" s="16">
        <v>-7.6262474999999996E-2</v>
      </c>
      <c r="G850" s="16">
        <f t="shared" si="136"/>
        <v>2.6814044103420001</v>
      </c>
      <c r="H850" s="16">
        <f t="shared" si="137"/>
        <v>-4.49873534371162</v>
      </c>
      <c r="I850" s="16">
        <f t="shared" si="138"/>
        <v>2.6814209719207001</v>
      </c>
      <c r="J850" s="16">
        <f t="shared" si="139"/>
        <v>-4.5009139073893296</v>
      </c>
      <c r="K850" s="15">
        <f t="shared" si="140"/>
        <v>-1.6561578700002899E-5</v>
      </c>
      <c r="L850" s="15">
        <f t="shared" si="141"/>
        <v>2.1785636777096298E-3</v>
      </c>
      <c r="M850" s="15">
        <f t="shared" si="142"/>
        <v>9.7690071899542305E-2</v>
      </c>
      <c r="N850" s="15">
        <f t="shared" si="143"/>
        <v>0.16397820701445501</v>
      </c>
      <c r="O850" s="16">
        <v>8.2675231</v>
      </c>
      <c r="P850" s="16">
        <v>-5.8142833999999999</v>
      </c>
      <c r="Q850" s="16">
        <v>5.1562678999999996</v>
      </c>
      <c r="R850" s="16">
        <v>-8.3624317000000001</v>
      </c>
      <c r="S850" s="16">
        <f t="shared" si="144"/>
        <v>0.97200140815223735</v>
      </c>
      <c r="T850" s="16">
        <f t="shared" si="145"/>
        <v>-23.224564767683876</v>
      </c>
    </row>
    <row r="851" spans="1:20" x14ac:dyDescent="0.35">
      <c r="A851" s="17">
        <v>3.35</v>
      </c>
      <c r="B851" s="17">
        <v>15.4392</v>
      </c>
      <c r="C851" s="17">
        <v>-5.5650331999999997E-2</v>
      </c>
      <c r="D851" s="17">
        <v>-7.3104146999999994E-2</v>
      </c>
      <c r="E851" s="17">
        <v>0.94437408</v>
      </c>
      <c r="F851" s="17">
        <v>-7.7490585000000001E-2</v>
      </c>
      <c r="G851" s="17">
        <f t="shared" si="136"/>
        <v>2.6737654416946799</v>
      </c>
      <c r="H851" s="17">
        <f t="shared" si="137"/>
        <v>-4.2941023421884301</v>
      </c>
      <c r="I851" s="17">
        <f t="shared" si="138"/>
        <v>2.6737824575560101</v>
      </c>
      <c r="J851" s="17">
        <f t="shared" si="139"/>
        <v>-4.2962954970992797</v>
      </c>
      <c r="K851" s="15">
        <f t="shared" si="140"/>
        <v>-1.7015861330183002E-5</v>
      </c>
      <c r="L851" s="15">
        <f t="shared" si="141"/>
        <v>2.1931549108495899E-3</v>
      </c>
      <c r="M851" s="15">
        <f t="shared" si="142"/>
        <v>0.104414984695837</v>
      </c>
      <c r="N851" s="15">
        <f t="shared" si="143"/>
        <v>0.16777641251654299</v>
      </c>
      <c r="O851" s="17">
        <v>8.3761981999999993</v>
      </c>
      <c r="P851" s="17">
        <v>-6.1577926999999999</v>
      </c>
      <c r="Q851" s="17">
        <v>5.1289441</v>
      </c>
      <c r="R851" s="17">
        <v>-8.7248481000000009</v>
      </c>
      <c r="S851" s="17">
        <f t="shared" si="144"/>
        <v>0.97351059185714095</v>
      </c>
      <c r="T851" s="17">
        <f t="shared" si="145"/>
        <v>-23.229051076497814</v>
      </c>
    </row>
    <row r="852" spans="1:20" x14ac:dyDescent="0.35">
      <c r="A852" s="16">
        <v>3.35</v>
      </c>
      <c r="B852" s="16">
        <v>15.488</v>
      </c>
      <c r="C852" s="16">
        <v>-5.9112881999999999E-2</v>
      </c>
      <c r="D852" s="16">
        <v>-7.4212543000000006E-2</v>
      </c>
      <c r="E852" s="16">
        <v>0.94091223999999996</v>
      </c>
      <c r="F852" s="16">
        <v>-7.8628456999999999E-2</v>
      </c>
      <c r="G852" s="16">
        <f t="shared" si="136"/>
        <v>2.6662130820915699</v>
      </c>
      <c r="H852" s="16">
        <f t="shared" si="137"/>
        <v>-4.0930236154922204</v>
      </c>
      <c r="I852" s="16">
        <f t="shared" si="138"/>
        <v>2.6662305178004302</v>
      </c>
      <c r="J852" s="16">
        <f t="shared" si="139"/>
        <v>-4.0952315062615998</v>
      </c>
      <c r="K852" s="15">
        <f t="shared" si="140"/>
        <v>-1.7435708860258399E-5</v>
      </c>
      <c r="L852" s="15">
        <f t="shared" si="141"/>
        <v>2.20789076937944E-3</v>
      </c>
      <c r="M852" s="15">
        <f t="shared" si="142"/>
        <v>0.11165256759577299</v>
      </c>
      <c r="N852" s="15">
        <f t="shared" si="143"/>
        <v>0.17149421609292301</v>
      </c>
      <c r="O852" s="16">
        <v>8.4760843000000001</v>
      </c>
      <c r="P852" s="16">
        <v>-6.5229527999999997</v>
      </c>
      <c r="Q852" s="16">
        <v>5.0843091999999999</v>
      </c>
      <c r="R852" s="16">
        <v>-9.1029973000000002</v>
      </c>
      <c r="S852" s="16">
        <f t="shared" si="144"/>
        <v>0.97486546532918528</v>
      </c>
      <c r="T852" s="16">
        <f t="shared" si="145"/>
        <v>-23.234418671012797</v>
      </c>
    </row>
    <row r="853" spans="1:20" x14ac:dyDescent="0.35">
      <c r="A853" s="17">
        <v>3.35</v>
      </c>
      <c r="B853" s="17">
        <v>15.536799999999999</v>
      </c>
      <c r="C853" s="17">
        <v>-6.2784298000000002E-2</v>
      </c>
      <c r="D853" s="17">
        <v>-7.5210048000000002E-2</v>
      </c>
      <c r="E853" s="17">
        <v>0.93724145000000003</v>
      </c>
      <c r="F853" s="17">
        <v>-7.9655700999999995E-2</v>
      </c>
      <c r="G853" s="17">
        <f t="shared" si="136"/>
        <v>2.6587461931327199</v>
      </c>
      <c r="H853" s="17">
        <f t="shared" si="137"/>
        <v>-3.8954305770687201</v>
      </c>
      <c r="I853" s="17">
        <f t="shared" si="138"/>
        <v>2.6587640077093999</v>
      </c>
      <c r="J853" s="17">
        <f t="shared" si="139"/>
        <v>-3.89765333535422</v>
      </c>
      <c r="K853" s="15">
        <f t="shared" si="140"/>
        <v>-1.7814576680041901E-5</v>
      </c>
      <c r="L853" s="15">
        <f t="shared" si="141"/>
        <v>2.2227582854998898E-3</v>
      </c>
      <c r="M853" s="15">
        <f t="shared" si="142"/>
        <v>0.11943742625639001</v>
      </c>
      <c r="N853" s="15">
        <f t="shared" si="143"/>
        <v>0.175091012765517</v>
      </c>
      <c r="O853" s="17">
        <v>8.5655233000000006</v>
      </c>
      <c r="P853" s="17">
        <v>-6.9109499999999997</v>
      </c>
      <c r="Q853" s="17">
        <v>5.0199289</v>
      </c>
      <c r="R853" s="17">
        <v>-9.4956299000000008</v>
      </c>
      <c r="S853" s="17">
        <f t="shared" si="144"/>
        <v>0.97592258190999803</v>
      </c>
      <c r="T853" s="17">
        <f t="shared" si="145"/>
        <v>-23.238780832074241</v>
      </c>
    </row>
    <row r="854" spans="1:20" x14ac:dyDescent="0.35">
      <c r="A854" s="16">
        <v>3.35</v>
      </c>
      <c r="B854" s="16">
        <v>15.585599999999999</v>
      </c>
      <c r="C854" s="16">
        <v>-6.6669985000000001E-2</v>
      </c>
      <c r="D854" s="16">
        <v>-7.6073792000000001E-2</v>
      </c>
      <c r="E854" s="16">
        <v>0.93335626999999999</v>
      </c>
      <c r="F854" s="16">
        <v>-8.0549432000000004E-2</v>
      </c>
      <c r="G854" s="16">
        <f t="shared" si="136"/>
        <v>2.65136352151525</v>
      </c>
      <c r="H854" s="16">
        <f t="shared" si="137"/>
        <v>-3.7012618958729999</v>
      </c>
      <c r="I854" s="16">
        <f t="shared" si="138"/>
        <v>2.6513816564589798</v>
      </c>
      <c r="J854" s="16">
        <f t="shared" si="139"/>
        <v>-3.7034996459141998</v>
      </c>
      <c r="K854" s="15">
        <f t="shared" si="140"/>
        <v>-1.81349437298195E-5</v>
      </c>
      <c r="L854" s="15">
        <f t="shared" si="141"/>
        <v>2.2377500411998601E-3</v>
      </c>
      <c r="M854" s="15">
        <f t="shared" si="142"/>
        <v>0.127803702493135</v>
      </c>
      <c r="N854" s="15">
        <f t="shared" si="143"/>
        <v>0.178518609637658</v>
      </c>
      <c r="O854" s="16">
        <v>8.6368889000000006</v>
      </c>
      <c r="P854" s="16">
        <v>-7.3180547000000002</v>
      </c>
      <c r="Q854" s="16">
        <v>4.9332843999999998</v>
      </c>
      <c r="R854" s="16">
        <v>-9.9023968999999994</v>
      </c>
      <c r="S854" s="16">
        <f t="shared" si="144"/>
        <v>0.97728782472247622</v>
      </c>
      <c r="T854" s="16">
        <f t="shared" si="145"/>
        <v>-23.24325144395473</v>
      </c>
    </row>
    <row r="855" spans="1:20" x14ac:dyDescent="0.35">
      <c r="A855" s="17">
        <v>3.35</v>
      </c>
      <c r="B855" s="17">
        <v>15.634399999999999</v>
      </c>
      <c r="C855" s="17">
        <v>-7.0773327999999996E-2</v>
      </c>
      <c r="D855" s="17">
        <v>-7.6778355000000006E-2</v>
      </c>
      <c r="E855" s="17">
        <v>0.92925327999999996</v>
      </c>
      <c r="F855" s="17">
        <v>-8.1284216000000006E-2</v>
      </c>
      <c r="G855" s="17">
        <f t="shared" si="136"/>
        <v>2.6440632835179998</v>
      </c>
      <c r="H855" s="17">
        <f t="shared" si="137"/>
        <v>-3.5104621088954402</v>
      </c>
      <c r="I855" s="17">
        <f t="shared" si="138"/>
        <v>2.64408166280852</v>
      </c>
      <c r="J855" s="17">
        <f t="shared" si="139"/>
        <v>-3.51271496801614</v>
      </c>
      <c r="K855" s="15">
        <f t="shared" si="140"/>
        <v>-1.83792905201763E-5</v>
      </c>
      <c r="L855" s="15">
        <f t="shared" si="141"/>
        <v>2.2528591206998302E-3</v>
      </c>
      <c r="M855" s="15">
        <f t="shared" si="142"/>
        <v>0.13678406300021401</v>
      </c>
      <c r="N855" s="15">
        <f t="shared" si="143"/>
        <v>0.181720342546664</v>
      </c>
      <c r="O855" s="17">
        <v>8.6926045999999992</v>
      </c>
      <c r="P855" s="17">
        <v>-7.7486332000000004</v>
      </c>
      <c r="Q855" s="17">
        <v>4.8222322000000002</v>
      </c>
      <c r="R855" s="17">
        <v>-10.323471</v>
      </c>
      <c r="S855" s="17">
        <f t="shared" si="144"/>
        <v>0.97847557781315719</v>
      </c>
      <c r="T855" s="17">
        <f t="shared" si="145"/>
        <v>-23.248110694668451</v>
      </c>
    </row>
    <row r="856" spans="1:20" x14ac:dyDescent="0.35">
      <c r="A856" s="16">
        <v>3.35</v>
      </c>
      <c r="B856" s="16">
        <v>15.683199999999999</v>
      </c>
      <c r="C856" s="16">
        <v>-7.5095139000000005E-2</v>
      </c>
      <c r="D856" s="16">
        <v>-7.7295769E-2</v>
      </c>
      <c r="E856" s="16">
        <v>0.92493164000000005</v>
      </c>
      <c r="F856" s="16">
        <v>-8.1832083999999999E-2</v>
      </c>
      <c r="G856" s="16">
        <f t="shared" si="136"/>
        <v>2.6368435900701401</v>
      </c>
      <c r="H856" s="16">
        <f t="shared" si="137"/>
        <v>-3.3229804301232999</v>
      </c>
      <c r="I856" s="16">
        <f t="shared" si="138"/>
        <v>2.6368621236962002</v>
      </c>
      <c r="J856" s="16">
        <f t="shared" si="139"/>
        <v>-3.3252485152175799</v>
      </c>
      <c r="K856" s="15">
        <f t="shared" si="140"/>
        <v>-1.8533626060079901E-5</v>
      </c>
      <c r="L856" s="15">
        <f t="shared" si="141"/>
        <v>2.26808509428E-3</v>
      </c>
      <c r="M856" s="15">
        <f t="shared" si="142"/>
        <v>0.14640840306942701</v>
      </c>
      <c r="N856" s="15">
        <f t="shared" si="143"/>
        <v>0.184630178630486</v>
      </c>
      <c r="O856" s="16">
        <v>8.7265982999999991</v>
      </c>
      <c r="P856" s="16">
        <v>-8.1999288999999997</v>
      </c>
      <c r="Q856" s="16">
        <v>4.6836804000000001</v>
      </c>
      <c r="R856" s="16">
        <v>-10.756171999999999</v>
      </c>
      <c r="S856" s="16">
        <f t="shared" si="144"/>
        <v>0.97970848954921474</v>
      </c>
      <c r="T856" s="16">
        <f t="shared" si="145"/>
        <v>-23.25189168816625</v>
      </c>
    </row>
    <row r="857" spans="1:20" x14ac:dyDescent="0.35">
      <c r="A857" s="17">
        <v>3.35</v>
      </c>
      <c r="B857" s="17">
        <v>15.731999999999999</v>
      </c>
      <c r="C857" s="17">
        <v>-7.9633016000000001E-2</v>
      </c>
      <c r="D857" s="17">
        <v>-7.7595643000000006E-2</v>
      </c>
      <c r="E857" s="17">
        <v>0.92039373999999996</v>
      </c>
      <c r="F857" s="17">
        <v>-8.2162636999999997E-2</v>
      </c>
      <c r="G857" s="17">
        <f t="shared" si="136"/>
        <v>2.6297023717382402</v>
      </c>
      <c r="H857" s="17">
        <f t="shared" si="137"/>
        <v>-3.1387705350855599</v>
      </c>
      <c r="I857" s="17">
        <f t="shared" si="138"/>
        <v>2.6297209636813701</v>
      </c>
      <c r="J857" s="17">
        <f t="shared" si="139"/>
        <v>-3.14105395908327</v>
      </c>
      <c r="K857" s="15">
        <f t="shared" si="140"/>
        <v>-1.8591943129919701E-5</v>
      </c>
      <c r="L857" s="15">
        <f t="shared" si="141"/>
        <v>2.28342399771009E-3</v>
      </c>
      <c r="M857" s="15">
        <f t="shared" si="142"/>
        <v>0.156702147883135</v>
      </c>
      <c r="N857" s="15">
        <f t="shared" si="143"/>
        <v>0.18717191245877501</v>
      </c>
      <c r="O857" s="17">
        <v>8.7365063000000003</v>
      </c>
      <c r="P857" s="17">
        <v>-8.6721418000000003</v>
      </c>
      <c r="Q857" s="17">
        <v>4.5150218000000004</v>
      </c>
      <c r="R857" s="17">
        <v>-11.20044</v>
      </c>
      <c r="S857" s="17">
        <f t="shared" si="144"/>
        <v>0.98102094551426999</v>
      </c>
      <c r="T857" s="17">
        <f t="shared" si="145"/>
        <v>-23.256925867060914</v>
      </c>
    </row>
    <row r="858" spans="1:20" x14ac:dyDescent="0.35">
      <c r="A858" s="16">
        <v>3.35</v>
      </c>
      <c r="B858" s="16">
        <v>15.780799999999999</v>
      </c>
      <c r="C858" s="16">
        <v>-8.4380654999999999E-2</v>
      </c>
      <c r="D858" s="16">
        <v>-7.7645394000000006E-2</v>
      </c>
      <c r="E858" s="16">
        <v>0.91564588000000002</v>
      </c>
      <c r="F858" s="16">
        <v>-8.2243288999999997E-2</v>
      </c>
      <c r="G858" s="16">
        <f t="shared" si="136"/>
        <v>2.6226376985279698</v>
      </c>
      <c r="H858" s="16">
        <f t="shared" si="137"/>
        <v>-2.9577895974780999</v>
      </c>
      <c r="I858" s="16">
        <f t="shared" si="138"/>
        <v>2.6226562507732698</v>
      </c>
      <c r="J858" s="16">
        <f t="shared" si="139"/>
        <v>-2.9600884718271598</v>
      </c>
      <c r="K858" s="15">
        <f t="shared" si="140"/>
        <v>-1.8552245300007501E-5</v>
      </c>
      <c r="L858" s="15">
        <f t="shared" si="141"/>
        <v>2.29887434905995E-3</v>
      </c>
      <c r="M858" s="15">
        <f t="shared" si="142"/>
        <v>0.16768419852046099</v>
      </c>
      <c r="N858" s="15">
        <f t="shared" si="143"/>
        <v>0.18925852856303399</v>
      </c>
      <c r="O858" s="16">
        <v>8.7201249000000001</v>
      </c>
      <c r="P858" s="16">
        <v>-9.1655786999999993</v>
      </c>
      <c r="Q858" s="16">
        <v>4.3134560999999998</v>
      </c>
      <c r="R858" s="16">
        <v>-11.652953</v>
      </c>
      <c r="S858" s="16">
        <f t="shared" si="144"/>
        <v>0.98218670365263117</v>
      </c>
      <c r="T858" s="16">
        <f t="shared" si="145"/>
        <v>-23.260777905727718</v>
      </c>
    </row>
    <row r="859" spans="1:20" x14ac:dyDescent="0.35">
      <c r="A859" s="17">
        <v>3.35</v>
      </c>
      <c r="B859" s="17">
        <v>15.829599999999999</v>
      </c>
      <c r="C859" s="17">
        <v>-8.9327114999999999E-2</v>
      </c>
      <c r="D859" s="17">
        <v>-7.7410651999999996E-2</v>
      </c>
      <c r="E859" s="17">
        <v>0.91069898000000005</v>
      </c>
      <c r="F859" s="17">
        <v>-8.2039665999999997E-2</v>
      </c>
      <c r="G859" s="17">
        <f t="shared" si="136"/>
        <v>2.6156477345245301</v>
      </c>
      <c r="H859" s="17">
        <f t="shared" si="137"/>
        <v>-2.77999755065203</v>
      </c>
      <c r="I859" s="17">
        <f t="shared" si="138"/>
        <v>2.61566613855857</v>
      </c>
      <c r="J859" s="17">
        <f t="shared" si="139"/>
        <v>-2.7823119848581799</v>
      </c>
      <c r="K859" s="15">
        <f t="shared" si="140"/>
        <v>-1.8404034039853901E-5</v>
      </c>
      <c r="L859" s="15">
        <f t="shared" si="141"/>
        <v>2.31443420614985E-3</v>
      </c>
      <c r="M859" s="15">
        <f t="shared" si="142"/>
        <v>0.179364440770617</v>
      </c>
      <c r="N859" s="15">
        <f t="shared" si="143"/>
        <v>0.190791869748517</v>
      </c>
      <c r="O859" s="17">
        <v>8.6727869000000002</v>
      </c>
      <c r="P859" s="17">
        <v>-9.6777844999999996</v>
      </c>
      <c r="Q859" s="17">
        <v>4.0761444999999998</v>
      </c>
      <c r="R859" s="17">
        <v>-12.112132000000001</v>
      </c>
      <c r="S859" s="17">
        <f t="shared" si="144"/>
        <v>0.98340638993042162</v>
      </c>
      <c r="T859" s="17">
        <f t="shared" si="145"/>
        <v>-23.265401666578882</v>
      </c>
    </row>
    <row r="860" spans="1:20" x14ac:dyDescent="0.35">
      <c r="A860" s="16">
        <v>3.35</v>
      </c>
      <c r="B860" s="16">
        <v>15.878399999999999</v>
      </c>
      <c r="C860" s="16">
        <v>-9.4460539999999996E-2</v>
      </c>
      <c r="D860" s="16">
        <v>-7.6858652999999999E-2</v>
      </c>
      <c r="E860" s="16">
        <v>0.90564257000000004</v>
      </c>
      <c r="F860" s="16">
        <v>-8.1529378999999999E-2</v>
      </c>
      <c r="G860" s="16">
        <f t="shared" si="136"/>
        <v>2.6086494006804299</v>
      </c>
      <c r="H860" s="16">
        <f t="shared" si="137"/>
        <v>-2.6065152586965601</v>
      </c>
      <c r="I860" s="16">
        <f t="shared" si="138"/>
        <v>2.60870640606981</v>
      </c>
      <c r="J860" s="16">
        <f t="shared" si="139"/>
        <v>-2.6088503681817201</v>
      </c>
      <c r="K860" s="15">
        <f t="shared" si="140"/>
        <v>-5.7005389380027103E-5</v>
      </c>
      <c r="L860" s="15">
        <f t="shared" si="141"/>
        <v>2.3351094851600299E-3</v>
      </c>
      <c r="M860" s="15">
        <f t="shared" si="142"/>
        <v>0.191655299720073</v>
      </c>
      <c r="N860" s="15">
        <f t="shared" si="143"/>
        <v>0.19166587626546</v>
      </c>
      <c r="O860" s="16">
        <v>8.5916791000000003</v>
      </c>
      <c r="P860" s="16">
        <v>-10.206963999999999</v>
      </c>
      <c r="Q860" s="16">
        <v>3.8016192000000002</v>
      </c>
      <c r="R860" s="16">
        <v>-12.574574</v>
      </c>
      <c r="S860" s="16">
        <f t="shared" si="144"/>
        <v>0.98463798009174219</v>
      </c>
      <c r="T860" s="16">
        <f t="shared" si="145"/>
        <v>-23.267462232654754</v>
      </c>
    </row>
    <row r="861" spans="1:20" x14ac:dyDescent="0.35">
      <c r="A861" s="17">
        <v>3.35</v>
      </c>
      <c r="B861" s="17">
        <v>15.927199999999999</v>
      </c>
      <c r="C861" s="17">
        <v>-9.9750130000000006E-2</v>
      </c>
      <c r="D861" s="17">
        <v>-7.5947808000000006E-2</v>
      </c>
      <c r="E861" s="17">
        <v>0.90035677999999997</v>
      </c>
      <c r="F861" s="17">
        <v>-8.0654400000000001E-2</v>
      </c>
      <c r="G861" s="17">
        <f t="shared" si="136"/>
        <v>2.6018260076029098</v>
      </c>
      <c r="H861" s="17">
        <f t="shared" si="137"/>
        <v>-2.43500011979968</v>
      </c>
      <c r="I861" s="17">
        <f t="shared" si="138"/>
        <v>2.6018849968290199</v>
      </c>
      <c r="J861" s="17">
        <f t="shared" si="139"/>
        <v>-2.4373531511992801</v>
      </c>
      <c r="K861" s="15">
        <f t="shared" si="140"/>
        <v>-5.8989226110028901E-5</v>
      </c>
      <c r="L861" s="15">
        <f t="shared" si="141"/>
        <v>2.3530313996000798E-3</v>
      </c>
      <c r="M861" s="15">
        <f t="shared" si="142"/>
        <v>0.204703656971884</v>
      </c>
      <c r="N861" s="15">
        <f t="shared" si="143"/>
        <v>0.19175909157803001</v>
      </c>
      <c r="O861" s="17">
        <v>8.4726657000000003</v>
      </c>
      <c r="P861" s="17">
        <v>-10.751528</v>
      </c>
      <c r="Q861" s="17">
        <v>3.4852671000000002</v>
      </c>
      <c r="R861" s="17">
        <v>-13.036409000000001</v>
      </c>
      <c r="S861" s="17">
        <f t="shared" si="144"/>
        <v>0.98579316984540577</v>
      </c>
      <c r="T861" s="17">
        <f t="shared" si="145"/>
        <v>-23.271732936699429</v>
      </c>
    </row>
    <row r="862" spans="1:20" x14ac:dyDescent="0.35">
      <c r="A862" s="16">
        <v>3.35</v>
      </c>
      <c r="B862" s="16">
        <v>15.976000000000001</v>
      </c>
      <c r="C862" s="16">
        <v>-0.10517072</v>
      </c>
      <c r="D862" s="16">
        <v>-7.4645596999999994E-2</v>
      </c>
      <c r="E862" s="16">
        <v>0.89493951000000005</v>
      </c>
      <c r="F862" s="16">
        <v>-7.9388479999999997E-2</v>
      </c>
      <c r="G862" s="16">
        <f t="shared" si="136"/>
        <v>2.5950798568659699</v>
      </c>
      <c r="H862" s="16">
        <f t="shared" si="137"/>
        <v>-2.2665673663394501</v>
      </c>
      <c r="I862" s="16">
        <f t="shared" si="138"/>
        <v>2.5951405916018899</v>
      </c>
      <c r="J862" s="16">
        <f t="shared" si="139"/>
        <v>-2.2689385331237202</v>
      </c>
      <c r="K862" s="15">
        <f t="shared" si="140"/>
        <v>-6.0734735920053898E-5</v>
      </c>
      <c r="L862" s="15">
        <f t="shared" si="141"/>
        <v>2.37116678427007E-3</v>
      </c>
      <c r="M862" s="15">
        <f t="shared" si="142"/>
        <v>0.218394028682875</v>
      </c>
      <c r="N862" s="15">
        <f t="shared" si="143"/>
        <v>0.19094249794645299</v>
      </c>
      <c r="O862" s="16">
        <v>8.3115017000000009</v>
      </c>
      <c r="P862" s="16">
        <v>-11.306533999999999</v>
      </c>
      <c r="Q862" s="16">
        <v>3.1261209999999999</v>
      </c>
      <c r="R862" s="16">
        <v>-13.492914000000001</v>
      </c>
      <c r="S862" s="16">
        <f t="shared" si="144"/>
        <v>0.9869979365593724</v>
      </c>
      <c r="T862" s="16">
        <f t="shared" si="145"/>
        <v>-23.275346872328466</v>
      </c>
    </row>
    <row r="863" spans="1:20" x14ac:dyDescent="0.35">
      <c r="A863" s="17">
        <v>3.35</v>
      </c>
      <c r="B863" s="17">
        <v>16.024799999999999</v>
      </c>
      <c r="C863" s="17">
        <v>-0.11068606</v>
      </c>
      <c r="D863" s="17">
        <v>-7.2918688999999995E-2</v>
      </c>
      <c r="E863" s="17">
        <v>0.88942701000000002</v>
      </c>
      <c r="F863" s="17">
        <v>-7.7698287000000005E-2</v>
      </c>
      <c r="G863" s="17">
        <f t="shared" si="136"/>
        <v>2.5884088003675099</v>
      </c>
      <c r="H863" s="17">
        <f t="shared" si="137"/>
        <v>-2.1011892195245001</v>
      </c>
      <c r="I863" s="17">
        <f t="shared" si="138"/>
        <v>2.5884710423096098</v>
      </c>
      <c r="J863" s="17">
        <f t="shared" si="139"/>
        <v>-2.1035787346875301</v>
      </c>
      <c r="K863" s="15">
        <f t="shared" si="140"/>
        <v>-6.2241942099916501E-5</v>
      </c>
      <c r="L863" s="15">
        <f t="shared" si="141"/>
        <v>2.3895151630299902E-3</v>
      </c>
      <c r="M863" s="15">
        <f t="shared" si="142"/>
        <v>0.232666831387073</v>
      </c>
      <c r="N863" s="15">
        <f t="shared" si="143"/>
        <v>0.18908189072738099</v>
      </c>
      <c r="O863" s="17">
        <v>8.1067532999999994</v>
      </c>
      <c r="P863" s="17">
        <v>-11.870492</v>
      </c>
      <c r="Q863" s="17">
        <v>2.7225537000000002</v>
      </c>
      <c r="R863" s="17">
        <v>-13.940231000000001</v>
      </c>
      <c r="S863" s="17">
        <f t="shared" si="144"/>
        <v>0.98810684747933497</v>
      </c>
      <c r="T863" s="17">
        <f t="shared" si="145"/>
        <v>-23.279594417206319</v>
      </c>
    </row>
    <row r="864" spans="1:20" x14ac:dyDescent="0.35">
      <c r="A864" s="16">
        <v>3.35</v>
      </c>
      <c r="B864" s="16">
        <v>16.073599999999999</v>
      </c>
      <c r="C864" s="16">
        <v>-0.11625363</v>
      </c>
      <c r="D864" s="16">
        <v>-7.0736069999999998E-2</v>
      </c>
      <c r="E864" s="16">
        <v>0.88386039000000005</v>
      </c>
      <c r="F864" s="16">
        <v>-7.5553876000000006E-2</v>
      </c>
      <c r="G864" s="16">
        <f t="shared" si="136"/>
        <v>2.5818059732685201</v>
      </c>
      <c r="H864" s="16">
        <f t="shared" si="137"/>
        <v>-1.938791122712</v>
      </c>
      <c r="I864" s="16">
        <f t="shared" si="138"/>
        <v>2.5818687818062198</v>
      </c>
      <c r="J864" s="16">
        <f t="shared" si="139"/>
        <v>-1.94119973709722</v>
      </c>
      <c r="K864" s="15">
        <f t="shared" si="140"/>
        <v>-6.2808537699687901E-5</v>
      </c>
      <c r="L864" s="15">
        <f t="shared" si="141"/>
        <v>2.4086143852199999E-3</v>
      </c>
      <c r="M864" s="15">
        <f t="shared" si="142"/>
        <v>0.247440468703786</v>
      </c>
      <c r="N864" s="15">
        <f t="shared" si="143"/>
        <v>0.186040195450588</v>
      </c>
      <c r="O864" s="16">
        <v>7.8531895</v>
      </c>
      <c r="P864" s="16">
        <v>-12.435599</v>
      </c>
      <c r="Q864" s="16">
        <v>2.2735865</v>
      </c>
      <c r="R864" s="16">
        <v>-14.371758</v>
      </c>
      <c r="S864" s="16">
        <f t="shared" si="144"/>
        <v>0.9893101101732934</v>
      </c>
      <c r="T864" s="16">
        <f t="shared" si="145"/>
        <v>-23.283177783175685</v>
      </c>
    </row>
    <row r="865" spans="1:20" x14ac:dyDescent="0.35">
      <c r="A865" s="17">
        <v>3.35</v>
      </c>
      <c r="B865" s="17">
        <v>16.122399999999999</v>
      </c>
      <c r="C865" s="17">
        <v>-0.12182828</v>
      </c>
      <c r="D865" s="17">
        <v>-6.8070145999999998E-2</v>
      </c>
      <c r="E865" s="17">
        <v>0.87828664000000001</v>
      </c>
      <c r="F865" s="17">
        <v>-7.2929518999999998E-2</v>
      </c>
      <c r="G865" s="17">
        <f t="shared" si="136"/>
        <v>2.5752439048465501</v>
      </c>
      <c r="H865" s="17">
        <f t="shared" si="137"/>
        <v>-1.7792316665180801</v>
      </c>
      <c r="I865" s="17">
        <f t="shared" si="138"/>
        <v>2.57530726386923</v>
      </c>
      <c r="J865" s="17">
        <f t="shared" si="139"/>
        <v>-1.7816610594825999</v>
      </c>
      <c r="K865" s="15">
        <f t="shared" si="140"/>
        <v>-6.3359022679954094E-5</v>
      </c>
      <c r="L865" s="15">
        <f t="shared" si="141"/>
        <v>2.4293929645198302E-3</v>
      </c>
      <c r="M865" s="15">
        <f t="shared" si="142"/>
        <v>0.26261164097786499</v>
      </c>
      <c r="N865" s="15">
        <f t="shared" si="143"/>
        <v>0.18168120793249401</v>
      </c>
      <c r="O865" s="17">
        <v>7.5508328999999996</v>
      </c>
      <c r="P865" s="17">
        <v>-13.000916</v>
      </c>
      <c r="Q865" s="17">
        <v>1.7785880000000001</v>
      </c>
      <c r="R865" s="17">
        <v>-14.783275</v>
      </c>
      <c r="S865" s="17">
        <f t="shared" si="144"/>
        <v>0.99037502011911027</v>
      </c>
      <c r="T865" s="17">
        <f t="shared" si="145"/>
        <v>-23.28736432937232</v>
      </c>
    </row>
    <row r="866" spans="1:20" x14ac:dyDescent="0.35">
      <c r="A866" s="16">
        <v>3.35</v>
      </c>
      <c r="B866" s="16">
        <v>16.171199999999999</v>
      </c>
      <c r="C866" s="16">
        <v>-0.12735250000000001</v>
      </c>
      <c r="D866" s="16">
        <v>-6.4900086999999995E-2</v>
      </c>
      <c r="E866" s="16">
        <v>0.87267932999999998</v>
      </c>
      <c r="F866" s="16">
        <v>-6.9858801999999998E-2</v>
      </c>
      <c r="G866" s="16">
        <f t="shared" si="136"/>
        <v>2.5676610297467799</v>
      </c>
      <c r="H866" s="16">
        <f t="shared" si="137"/>
        <v>-1.62200194771229</v>
      </c>
      <c r="I866" s="16">
        <f t="shared" si="138"/>
        <v>2.5676830913758399</v>
      </c>
      <c r="J866" s="16">
        <f t="shared" si="139"/>
        <v>-1.62448121105615</v>
      </c>
      <c r="K866" s="15">
        <f t="shared" si="140"/>
        <v>-2.2061629060043901E-5</v>
      </c>
      <c r="L866" s="15">
        <f t="shared" si="141"/>
        <v>2.4792633438599498E-3</v>
      </c>
      <c r="M866" s="15">
        <f t="shared" si="142"/>
        <v>0.27813052269406602</v>
      </c>
      <c r="N866" s="15">
        <f t="shared" si="143"/>
        <v>0.175963229206622</v>
      </c>
      <c r="O866" s="16">
        <v>7.1948539</v>
      </c>
      <c r="P866" s="16">
        <v>-13.556103</v>
      </c>
      <c r="Q866" s="16">
        <v>1.2376463</v>
      </c>
      <c r="R866" s="16">
        <v>-15.167315</v>
      </c>
      <c r="S866" s="16">
        <f t="shared" si="144"/>
        <v>0.99156940917051772</v>
      </c>
      <c r="T866" s="16">
        <f t="shared" si="145"/>
        <v>-23.291994854939635</v>
      </c>
    </row>
    <row r="867" spans="1:20" x14ac:dyDescent="0.35">
      <c r="A867" s="17">
        <v>3.35</v>
      </c>
      <c r="B867" s="17">
        <v>16.22</v>
      </c>
      <c r="C867" s="17">
        <v>-0.13274542</v>
      </c>
      <c r="D867" s="17">
        <v>-6.1231121999999999E-2</v>
      </c>
      <c r="E867" s="17">
        <v>0.86727662000000005</v>
      </c>
      <c r="F867" s="17">
        <v>-6.6223121999999995E-2</v>
      </c>
      <c r="G867" s="17">
        <f t="shared" si="136"/>
        <v>2.5612702251344999</v>
      </c>
      <c r="H867" s="17">
        <f t="shared" si="137"/>
        <v>-1.4685028364845001</v>
      </c>
      <c r="I867" s="17">
        <f t="shared" si="138"/>
        <v>2.5612874747842902</v>
      </c>
      <c r="J867" s="17">
        <f t="shared" si="139"/>
        <v>-1.4709987659242301</v>
      </c>
      <c r="K867" s="15">
        <f t="shared" si="140"/>
        <v>-1.72496497903296E-5</v>
      </c>
      <c r="L867" s="15">
        <f t="shared" si="141"/>
        <v>2.4959294397299799E-3</v>
      </c>
      <c r="M867" s="15">
        <f t="shared" si="142"/>
        <v>0.29358991328414202</v>
      </c>
      <c r="N867" s="15">
        <f t="shared" si="143"/>
        <v>0.16861457543540601</v>
      </c>
      <c r="O867" s="17">
        <v>6.7892647999999998</v>
      </c>
      <c r="P867" s="17">
        <v>-14.097462999999999</v>
      </c>
      <c r="Q867" s="17">
        <v>0.65574158999999999</v>
      </c>
      <c r="R867" s="17">
        <v>-15.516482</v>
      </c>
      <c r="S867" s="17">
        <f t="shared" si="144"/>
        <v>0.99253569534728592</v>
      </c>
      <c r="T867" s="17">
        <f t="shared" si="145"/>
        <v>-23.295288800458465</v>
      </c>
    </row>
    <row r="868" spans="1:20" x14ac:dyDescent="0.35">
      <c r="A868" s="16">
        <v>3.35</v>
      </c>
      <c r="B868" s="16">
        <v>16.268799999999999</v>
      </c>
      <c r="C868" s="16">
        <v>-0.13794943000000001</v>
      </c>
      <c r="D868" s="16">
        <v>-5.7058428000000001E-2</v>
      </c>
      <c r="E868" s="16">
        <v>0.86206344999999995</v>
      </c>
      <c r="F868" s="16">
        <v>-6.2083077E-2</v>
      </c>
      <c r="G868" s="16">
        <f t="shared" si="136"/>
        <v>2.5549464079875701</v>
      </c>
      <c r="H868" s="16">
        <f t="shared" si="137"/>
        <v>-1.3180268220234801</v>
      </c>
      <c r="I868" s="16">
        <f t="shared" si="138"/>
        <v>2.5549591595587202</v>
      </c>
      <c r="J868" s="16">
        <f t="shared" si="139"/>
        <v>-1.32053909830834</v>
      </c>
      <c r="K868" s="15">
        <f t="shared" si="140"/>
        <v>-1.27515711501047E-5</v>
      </c>
      <c r="L868" s="15">
        <f t="shared" si="141"/>
        <v>2.5122762848599498E-3</v>
      </c>
      <c r="M868" s="15">
        <f t="shared" si="142"/>
        <v>0.30888181981207502</v>
      </c>
      <c r="N868" s="15">
        <f t="shared" si="143"/>
        <v>0.159646590941565</v>
      </c>
      <c r="O868" s="16">
        <v>6.331671</v>
      </c>
      <c r="P868" s="16">
        <v>-14.615126</v>
      </c>
      <c r="Q868" s="16">
        <v>3.4401579000000002E-2</v>
      </c>
      <c r="R868" s="16">
        <v>-15.826089</v>
      </c>
      <c r="S868" s="16">
        <f t="shared" si="144"/>
        <v>0.99362216991880792</v>
      </c>
      <c r="T868" s="16">
        <f t="shared" si="145"/>
        <v>-23.299030773386356</v>
      </c>
    </row>
    <row r="869" spans="1:20" x14ac:dyDescent="0.35">
      <c r="A869" s="17">
        <v>3.35</v>
      </c>
      <c r="B869" s="17">
        <v>16.317599999999999</v>
      </c>
      <c r="C869" s="17">
        <v>-0.14289636</v>
      </c>
      <c r="D869" s="17">
        <v>-5.2394903E-2</v>
      </c>
      <c r="E869" s="17">
        <v>0.85710803000000002</v>
      </c>
      <c r="F869" s="17">
        <v>-5.7451807000000001E-2</v>
      </c>
      <c r="G869" s="17">
        <f t="shared" ref="G869:G932" si="146">IMREAL(IMDIV(IMSUM(IMPRODUCT(COMPLEX(1 + C869,D869),COMPLEX(1 - C869, - D869)),IMPRODUCT(COMPLEX(E869,F869),COMPLEX(E869,F869))),IMSUB(IMPRODUCT(COMPLEX(1 - C869, - D869),COMPLEX(1 - C869, - D869)),IMPRODUCT(COMPLEX(E869,F869),COMPLEX(E869,F869)))))</f>
        <v>2.5486884776122598</v>
      </c>
      <c r="H869" s="17">
        <f t="shared" ref="H869:H932" si="147">IMAGINARY(IMDIV(IMSUM(IMPRODUCT(COMPLEX(1 + C869,D869),COMPLEX(1 - C869, - D869)),IMPRODUCT(COMPLEX(E869,F869),COMPLEX(E869,F869))),IMSUB(IMPRODUCT(COMPLEX(1 - C869, - D869),COMPLEX(1 - C869, - D869)),IMPRODUCT(COMPLEX(E869,F869),COMPLEX(E869,F869)))))</f>
        <v>-1.17054315555851</v>
      </c>
      <c r="I869" s="17">
        <f t="shared" ref="I869:I932" si="148">IMREAL(IMDIV(IMPRODUCT(COMPLEX(2,0),COMPLEX(E869,F869)),IMSUB(IMPRODUCT(COMPLEX(1 - C869, - D869),COMPLEX(1 - C869, - D869)),IMPRODUCT(COMPLEX(E869,F869),COMPLEX(E869,F869)))))</f>
        <v>2.5486970655939798</v>
      </c>
      <c r="J869" s="17">
        <f t="shared" ref="J869:J932" si="149">IMAGINARY(IMDIV(IMPRODUCT(COMPLEX(2,0),COMPLEX(E869,F869)),IMSUB(IMPRODUCT(COMPLEX(1 - C869, - D869),COMPLEX(1 - C869, - D869)),IMPRODUCT(COMPLEX(E869,F869),COMPLEX(E869,F869)))))</f>
        <v>-1.1730715802943099</v>
      </c>
      <c r="K869" s="15">
        <f t="shared" ref="K869:K932" si="150">IMREAL(IMSUB(COMPLEX(G869,H869),COMPLEX(I869,J869)))</f>
        <v>-8.5879817199874304E-6</v>
      </c>
      <c r="L869" s="15">
        <f t="shared" ref="L869:L932" si="151">IMAGINARY(IMSUB(COMPLEX(G869,H869),COMPLEX(I869,J869)))</f>
        <v>2.5284247357999501E-3</v>
      </c>
      <c r="M869" s="15">
        <f t="shared" ref="M869:M932" si="152">IMREAL(IMDIV(IMSUB(IMPRODUCT(COMPLEX(1 - C869, - D869),COMPLEX(1 - C869, - D869)),IMPRODUCT(COMPLEX(E869,F869),COMPLEX(E869,F869))),IMPRODUCT(COMPLEX(2,0),COMPLEX(E869,F869))))</f>
        <v>0.32376931752475702</v>
      </c>
      <c r="N869" s="15">
        <f t="shared" ref="N869:N932" si="153">IMAGINARY(IMDIV(IMSUB(IMPRODUCT(COMPLEX(1 - C869, - D869),COMPLEX(1 - C869, - D869)),IMPRODUCT(COMPLEX(E869,F869),COMPLEX(E869,F869))),IMPRODUCT(COMPLEX(2,0),COMPLEX(E869,F869))))</f>
        <v>0.14901911650730501</v>
      </c>
      <c r="O869" s="17">
        <v>5.8236733000000003</v>
      </c>
      <c r="P869" s="17">
        <v>-15.101289</v>
      </c>
      <c r="Q869" s="17">
        <v>-0.62199143000000001</v>
      </c>
      <c r="R869" s="17">
        <v>-16.089478</v>
      </c>
      <c r="S869" s="17">
        <f t="shared" ref="S869:S932" si="154">IMABS(COMPLEX(Q869,R869))/IMABS(COMPLEX(O869,P869))</f>
        <v>0.99482190792187819</v>
      </c>
      <c r="T869" s="17">
        <f t="shared" ref="T869:T932" si="155">IMARGUMENT(IMDIV(COMPLEX(Q869,R869),COMPLEX(O869/B869,P869/B869)))/PI()*180</f>
        <v>-23.302528177870627</v>
      </c>
    </row>
    <row r="870" spans="1:20" x14ac:dyDescent="0.35">
      <c r="A870" s="16">
        <v>3.35</v>
      </c>
      <c r="B870" s="16">
        <v>16.366399999999999</v>
      </c>
      <c r="C870" s="16">
        <v>-0.14751395</v>
      </c>
      <c r="D870" s="16">
        <v>-4.7270979999999997E-2</v>
      </c>
      <c r="E870" s="16">
        <v>0.85248281000000004</v>
      </c>
      <c r="F870" s="16">
        <v>-5.2360828999999998E-2</v>
      </c>
      <c r="G870" s="16">
        <f t="shared" si="146"/>
        <v>2.5425007446548</v>
      </c>
      <c r="H870" s="16">
        <f t="shared" si="147"/>
        <v>-1.0261787289232001</v>
      </c>
      <c r="I870" s="16">
        <f t="shared" si="148"/>
        <v>2.5425056012824099</v>
      </c>
      <c r="J870" s="16">
        <f t="shared" si="149"/>
        <v>-1.0287236451862101</v>
      </c>
      <c r="K870" s="15">
        <f t="shared" si="150"/>
        <v>-4.8566276098505099E-6</v>
      </c>
      <c r="L870" s="15">
        <f t="shared" si="151"/>
        <v>2.54491626301001E-3</v>
      </c>
      <c r="M870" s="15">
        <f t="shared" si="152"/>
        <v>0.337981975847086</v>
      </c>
      <c r="N870" s="15">
        <f t="shared" si="153"/>
        <v>0.13675094757914499</v>
      </c>
      <c r="O870" s="16">
        <v>5.2705083999999998</v>
      </c>
      <c r="P870" s="16">
        <v>-15.552586</v>
      </c>
      <c r="Q870" s="16">
        <v>-1.3073245</v>
      </c>
      <c r="R870" s="16">
        <v>-16.301197999999999</v>
      </c>
      <c r="S870" s="16">
        <f t="shared" si="154"/>
        <v>0.9958695631083887</v>
      </c>
      <c r="T870" s="16">
        <f t="shared" si="155"/>
        <v>-23.305847720503603</v>
      </c>
    </row>
    <row r="871" spans="1:20" x14ac:dyDescent="0.35">
      <c r="A871" s="17">
        <v>3.35</v>
      </c>
      <c r="B871" s="17">
        <v>16.415199999999999</v>
      </c>
      <c r="C871" s="17">
        <v>-0.15174678</v>
      </c>
      <c r="D871" s="17">
        <v>-4.1714978E-2</v>
      </c>
      <c r="E871" s="17">
        <v>0.84824255999999998</v>
      </c>
      <c r="F871" s="17">
        <v>-4.6836627999999998E-2</v>
      </c>
      <c r="G871" s="17">
        <f t="shared" si="146"/>
        <v>2.5363715631466399</v>
      </c>
      <c r="H871" s="17">
        <f t="shared" si="147"/>
        <v>-0.88462368168236205</v>
      </c>
      <c r="I871" s="17">
        <f t="shared" si="148"/>
        <v>2.53637279100476</v>
      </c>
      <c r="J871" s="17">
        <f t="shared" si="149"/>
        <v>-0.88718451718728297</v>
      </c>
      <c r="K871" s="15">
        <f t="shared" si="150"/>
        <v>-1.2278581200675399E-6</v>
      </c>
      <c r="L871" s="15">
        <f t="shared" si="151"/>
        <v>2.5608355049209202E-3</v>
      </c>
      <c r="M871" s="15">
        <f t="shared" si="152"/>
        <v>0.35128438660175998</v>
      </c>
      <c r="N871" s="15">
        <f t="shared" si="153"/>
        <v>0.122873920595582</v>
      </c>
      <c r="O871" s="17">
        <v>4.6752124999999998</v>
      </c>
      <c r="P871" s="17">
        <v>-15.963938000000001</v>
      </c>
      <c r="Q871" s="17">
        <v>-2.0165804999999999</v>
      </c>
      <c r="R871" s="17">
        <v>-16.457429999999999</v>
      </c>
      <c r="S871" s="17">
        <f t="shared" si="154"/>
        <v>0.99675784982422155</v>
      </c>
      <c r="T871" s="17">
        <f t="shared" si="155"/>
        <v>-23.309049920966221</v>
      </c>
    </row>
    <row r="872" spans="1:20" x14ac:dyDescent="0.35">
      <c r="A872" s="16">
        <v>3.35</v>
      </c>
      <c r="B872" s="16">
        <v>16.463999999999999</v>
      </c>
      <c r="C872" s="16">
        <v>-0.15553232</v>
      </c>
      <c r="D872" s="16">
        <v>-3.5778048E-2</v>
      </c>
      <c r="E872" s="16">
        <v>0.84445619000000005</v>
      </c>
      <c r="F872" s="16">
        <v>-4.0934983000000001E-2</v>
      </c>
      <c r="G872" s="16">
        <f t="shared" si="146"/>
        <v>2.5303579316696201</v>
      </c>
      <c r="H872" s="16">
        <f t="shared" si="147"/>
        <v>-0.74601328241518206</v>
      </c>
      <c r="I872" s="16">
        <f t="shared" si="148"/>
        <v>2.5303588352016599</v>
      </c>
      <c r="J872" s="16">
        <f t="shared" si="149"/>
        <v>-0.74859176239882397</v>
      </c>
      <c r="K872" s="15">
        <f t="shared" si="150"/>
        <v>-9.03532039853161E-7</v>
      </c>
      <c r="L872" s="15">
        <f t="shared" si="151"/>
        <v>2.57847998364191E-3</v>
      </c>
      <c r="M872" s="15">
        <f t="shared" si="152"/>
        <v>0.36339516170633601</v>
      </c>
      <c r="N872" s="15">
        <f t="shared" si="153"/>
        <v>0.107508318885243</v>
      </c>
      <c r="O872" s="16">
        <v>4.0420394999999996</v>
      </c>
      <c r="P872" s="16">
        <v>-16.324701000000001</v>
      </c>
      <c r="Q872" s="16">
        <v>-2.7421834999999999</v>
      </c>
      <c r="R872" s="16">
        <v>-16.554518999999999</v>
      </c>
      <c r="S872" s="16">
        <f t="shared" si="154"/>
        <v>0.99776602502789691</v>
      </c>
      <c r="T872" s="16">
        <f t="shared" si="155"/>
        <v>-23.312285517696395</v>
      </c>
    </row>
    <row r="873" spans="1:20" x14ac:dyDescent="0.35">
      <c r="A873" s="17">
        <v>3.35</v>
      </c>
      <c r="B873" s="17">
        <v>16.512799999999999</v>
      </c>
      <c r="C873" s="17">
        <v>-0.15881940999999999</v>
      </c>
      <c r="D873" s="17">
        <v>-2.9524752000000001E-2</v>
      </c>
      <c r="E873" s="17">
        <v>0.84118287000000003</v>
      </c>
      <c r="F873" s="17">
        <v>-3.4671793999999999E-2</v>
      </c>
      <c r="G873" s="17">
        <f t="shared" si="146"/>
        <v>2.5246978884268199</v>
      </c>
      <c r="H873" s="17">
        <f t="shared" si="147"/>
        <v>-0.61002644026200303</v>
      </c>
      <c r="I873" s="17">
        <f t="shared" si="148"/>
        <v>2.5247056513693402</v>
      </c>
      <c r="J873" s="17">
        <f t="shared" si="149"/>
        <v>-0.61259993835012005</v>
      </c>
      <c r="K873" s="15">
        <f t="shared" si="150"/>
        <v>-7.7629425203618007E-6</v>
      </c>
      <c r="L873" s="15">
        <f t="shared" si="151"/>
        <v>2.5734980881170202E-3</v>
      </c>
      <c r="M873" s="15">
        <f t="shared" si="152"/>
        <v>0.374062757600294</v>
      </c>
      <c r="N873" s="15">
        <f t="shared" si="153"/>
        <v>9.07633815136943E-2</v>
      </c>
      <c r="O873" s="17">
        <v>3.3784206999999999</v>
      </c>
      <c r="P873" s="17">
        <v>-16.629321000000001</v>
      </c>
      <c r="Q873" s="17">
        <v>-3.4759112000000001</v>
      </c>
      <c r="R873" s="17">
        <v>-16.590851000000001</v>
      </c>
      <c r="S873" s="17">
        <f t="shared" si="154"/>
        <v>0.99894065800462029</v>
      </c>
      <c r="T873" s="17">
        <f t="shared" si="155"/>
        <v>-23.316704853274057</v>
      </c>
    </row>
    <row r="874" spans="1:20" x14ac:dyDescent="0.35">
      <c r="A874" s="16">
        <v>3.35</v>
      </c>
      <c r="B874" s="16">
        <v>16.561599999999999</v>
      </c>
      <c r="C874" s="16">
        <v>-0.16156712000000001</v>
      </c>
      <c r="D874" s="16">
        <v>-2.3031979000000001E-2</v>
      </c>
      <c r="E874" s="16">
        <v>0.83843535999999996</v>
      </c>
      <c r="F874" s="16">
        <v>-2.8211201000000002E-2</v>
      </c>
      <c r="G874" s="16">
        <f t="shared" si="146"/>
        <v>2.5187905579105201</v>
      </c>
      <c r="H874" s="16">
        <f t="shared" si="147"/>
        <v>-0.47743447624615398</v>
      </c>
      <c r="I874" s="16">
        <f t="shared" si="148"/>
        <v>2.5187985039241898</v>
      </c>
      <c r="J874" s="16">
        <f t="shared" si="149"/>
        <v>-0.48002406345798099</v>
      </c>
      <c r="K874" s="15">
        <f t="shared" si="150"/>
        <v>-7.9460136697129292E-6</v>
      </c>
      <c r="L874" s="15">
        <f t="shared" si="151"/>
        <v>2.5895872118269999E-3</v>
      </c>
      <c r="M874" s="15">
        <f t="shared" si="152"/>
        <v>0.38310068415463699</v>
      </c>
      <c r="N874" s="15">
        <f t="shared" si="153"/>
        <v>7.3010027135928496E-2</v>
      </c>
      <c r="O874" s="16">
        <v>2.6936958</v>
      </c>
      <c r="P874" s="16">
        <v>-16.881535</v>
      </c>
      <c r="Q874" s="16">
        <v>-4.2081651000000004</v>
      </c>
      <c r="R874" s="16">
        <v>-16.565016</v>
      </c>
      <c r="S874" s="16">
        <f t="shared" si="154"/>
        <v>0.99977103282567636</v>
      </c>
      <c r="T874" s="16">
        <f t="shared" si="155"/>
        <v>-23.319809494508188</v>
      </c>
    </row>
    <row r="875" spans="1:20" x14ac:dyDescent="0.35">
      <c r="A875" s="17">
        <v>3.35</v>
      </c>
      <c r="B875" s="17">
        <v>16.610399999999998</v>
      </c>
      <c r="C875" s="17">
        <v>-0.16374949999999999</v>
      </c>
      <c r="D875" s="17">
        <v>-1.6380891000000002E-2</v>
      </c>
      <c r="E875" s="17">
        <v>0.83625391999999998</v>
      </c>
      <c r="F875" s="17">
        <v>-2.1593300999999999E-2</v>
      </c>
      <c r="G875" s="17">
        <f t="shared" si="146"/>
        <v>2.5129622363650301</v>
      </c>
      <c r="H875" s="17">
        <f t="shared" si="147"/>
        <v>-0.348060306444683</v>
      </c>
      <c r="I875" s="17">
        <f t="shared" si="148"/>
        <v>2.5129707385856399</v>
      </c>
      <c r="J875" s="17">
        <f t="shared" si="149"/>
        <v>-0.35066648482958901</v>
      </c>
      <c r="K875" s="15">
        <f t="shared" si="150"/>
        <v>-8.5022206097740104E-6</v>
      </c>
      <c r="L875" s="15">
        <f t="shared" si="151"/>
        <v>2.6061783849060101E-3</v>
      </c>
      <c r="M875" s="15">
        <f t="shared" si="152"/>
        <v>0.39033474135341201</v>
      </c>
      <c r="N875" s="15">
        <f t="shared" si="153"/>
        <v>5.4468326891186102E-2</v>
      </c>
      <c r="O875" s="17">
        <v>1.9948881000000001</v>
      </c>
      <c r="P875" s="17">
        <v>-17.069548000000001</v>
      </c>
      <c r="Q875" s="17">
        <v>-4.9303356999999997</v>
      </c>
      <c r="R875" s="17">
        <v>-16.478565</v>
      </c>
      <c r="S875" s="17">
        <f t="shared" si="154"/>
        <v>1.0008499329292007</v>
      </c>
      <c r="T875" s="17">
        <f t="shared" si="155"/>
        <v>-23.322839660412242</v>
      </c>
    </row>
    <row r="876" spans="1:20" x14ac:dyDescent="0.35">
      <c r="A876" s="16">
        <v>3.35</v>
      </c>
      <c r="B876" s="16">
        <v>16.659199999999998</v>
      </c>
      <c r="C876" s="16">
        <v>-0.16536159</v>
      </c>
      <c r="D876" s="16">
        <v>-9.6332323000000008E-3</v>
      </c>
      <c r="E876" s="16">
        <v>0.83464340000000004</v>
      </c>
      <c r="F876" s="16">
        <v>-1.4878679000000001E-2</v>
      </c>
      <c r="G876" s="16">
        <f t="shared" si="146"/>
        <v>2.5071980635269999</v>
      </c>
      <c r="H876" s="16">
        <f t="shared" si="147"/>
        <v>-0.22157414765873201</v>
      </c>
      <c r="I876" s="16">
        <f t="shared" si="148"/>
        <v>2.5072074370997499</v>
      </c>
      <c r="J876" s="16">
        <f t="shared" si="149"/>
        <v>-0.224196839880827</v>
      </c>
      <c r="K876" s="15">
        <f t="shared" si="150"/>
        <v>-9.3735727499932898E-6</v>
      </c>
      <c r="L876" s="15">
        <f t="shared" si="151"/>
        <v>2.6226922220949898E-3</v>
      </c>
      <c r="M876" s="15">
        <f t="shared" si="152"/>
        <v>0.39568617726469302</v>
      </c>
      <c r="N876" s="15">
        <f t="shared" si="153"/>
        <v>3.5382628981783598E-2</v>
      </c>
      <c r="O876" s="16">
        <v>1.2895551000000001</v>
      </c>
      <c r="P876" s="16">
        <v>-17.200980000000001</v>
      </c>
      <c r="Q876" s="16">
        <v>-5.6364312999999999</v>
      </c>
      <c r="R876" s="16">
        <v>-16.333901999999998</v>
      </c>
      <c r="S876" s="16">
        <f t="shared" si="154"/>
        <v>1.0017277850598325</v>
      </c>
      <c r="T876" s="16">
        <f t="shared" si="155"/>
        <v>-23.325742150325137</v>
      </c>
    </row>
    <row r="877" spans="1:20" x14ac:dyDescent="0.35">
      <c r="A877" s="17">
        <v>3.35</v>
      </c>
      <c r="B877" s="17">
        <v>16.707999999999998</v>
      </c>
      <c r="C877" s="17">
        <v>-0.16640530000000001</v>
      </c>
      <c r="D877" s="17">
        <v>-2.8792282999999998E-3</v>
      </c>
      <c r="E877" s="17">
        <v>0.83363905000000005</v>
      </c>
      <c r="F877" s="17">
        <v>-8.2021579999999993E-3</v>
      </c>
      <c r="G877" s="17">
        <f t="shared" si="146"/>
        <v>2.5017690086854101</v>
      </c>
      <c r="H877" s="17">
        <f t="shared" si="147"/>
        <v>-9.8631168307768899E-2</v>
      </c>
      <c r="I877" s="17">
        <f t="shared" si="148"/>
        <v>2.5017982660674698</v>
      </c>
      <c r="J877" s="17">
        <f t="shared" si="149"/>
        <v>-0.10129249627532699</v>
      </c>
      <c r="K877" s="15">
        <f t="shared" si="150"/>
        <v>-2.9257382059721901E-5</v>
      </c>
      <c r="L877" s="15">
        <f t="shared" si="151"/>
        <v>2.6613279675580899E-3</v>
      </c>
      <c r="M877" s="15">
        <f t="shared" si="152"/>
        <v>0.39905832068673802</v>
      </c>
      <c r="N877" s="15">
        <f t="shared" si="153"/>
        <v>1.6157023533851001E-2</v>
      </c>
      <c r="O877" s="17">
        <v>0.58671340000000005</v>
      </c>
      <c r="P877" s="17">
        <v>-17.272822000000001</v>
      </c>
      <c r="Q877" s="17">
        <v>-6.3179831999999996</v>
      </c>
      <c r="R877" s="17">
        <v>-16.135331000000001</v>
      </c>
      <c r="S877" s="17">
        <f t="shared" si="154"/>
        <v>1.0026266709516698</v>
      </c>
      <c r="T877" s="17">
        <f t="shared" si="155"/>
        <v>-23.32886800113722</v>
      </c>
    </row>
    <row r="878" spans="1:20" x14ac:dyDescent="0.35">
      <c r="A878" s="16">
        <v>3.35</v>
      </c>
      <c r="B878" s="16">
        <v>16.756799999999998</v>
      </c>
      <c r="C878" s="16">
        <v>-0.16689438000000001</v>
      </c>
      <c r="D878" s="16">
        <v>3.7812039000000002E-3</v>
      </c>
      <c r="E878" s="16">
        <v>0.83314874000000005</v>
      </c>
      <c r="F878" s="16">
        <v>-1.5814480000000001E-3</v>
      </c>
      <c r="G878" s="16">
        <f t="shared" si="146"/>
        <v>2.4961492882489398</v>
      </c>
      <c r="H878" s="16">
        <f t="shared" si="147"/>
        <v>2.1088654842082701E-2</v>
      </c>
      <c r="I878" s="16">
        <f t="shared" si="148"/>
        <v>2.4961780367762798</v>
      </c>
      <c r="J878" s="16">
        <f t="shared" si="149"/>
        <v>1.8407463782734401E-2</v>
      </c>
      <c r="K878" s="15">
        <f t="shared" si="150"/>
        <v>-2.87485273400279E-5</v>
      </c>
      <c r="L878" s="15">
        <f t="shared" si="151"/>
        <v>2.6811910593483E-3</v>
      </c>
      <c r="M878" s="15">
        <f t="shared" si="152"/>
        <v>0.40059066642139202</v>
      </c>
      <c r="N878" s="15">
        <f t="shared" si="153"/>
        <v>-2.9540593960902901E-3</v>
      </c>
      <c r="O878" s="16">
        <v>-0.10361044</v>
      </c>
      <c r="P878" s="16">
        <v>-17.28678</v>
      </c>
      <c r="Q878" s="16">
        <v>-6.9661068999999998</v>
      </c>
      <c r="R878" s="16">
        <v>-15.887968000000001</v>
      </c>
      <c r="S878" s="16">
        <f t="shared" si="154"/>
        <v>1.0035251911359884</v>
      </c>
      <c r="T878" s="16">
        <f t="shared" si="155"/>
        <v>-23.331725613724604</v>
      </c>
    </row>
    <row r="879" spans="1:20" x14ac:dyDescent="0.35">
      <c r="A879" s="17">
        <v>3.35</v>
      </c>
      <c r="B879" s="17">
        <v>16.805599999999998</v>
      </c>
      <c r="C879" s="17">
        <v>-0.16686251999999999</v>
      </c>
      <c r="D879" s="17">
        <v>1.0324903999999999E-2</v>
      </c>
      <c r="E879" s="17">
        <v>0.83312447999999995</v>
      </c>
      <c r="F879" s="17">
        <v>4.8832468000000002E-3</v>
      </c>
      <c r="G879" s="17">
        <f t="shared" si="146"/>
        <v>2.4901524176977001</v>
      </c>
      <c r="H879" s="17">
        <f t="shared" si="147"/>
        <v>0.13761907480711899</v>
      </c>
      <c r="I879" s="17">
        <f t="shared" si="148"/>
        <v>2.49015332065327</v>
      </c>
      <c r="J879" s="17">
        <f t="shared" si="149"/>
        <v>0.13489823097842199</v>
      </c>
      <c r="K879" s="15">
        <f t="shared" si="150"/>
        <v>-9.02955569870301E-7</v>
      </c>
      <c r="L879" s="15">
        <f t="shared" si="151"/>
        <v>2.720843828697E-3</v>
      </c>
      <c r="M879" s="15">
        <f t="shared" si="152"/>
        <v>0.40040663427851397</v>
      </c>
      <c r="N879" s="15">
        <f t="shared" si="153"/>
        <v>-2.1691092748467901E-2</v>
      </c>
      <c r="O879" s="17">
        <v>-0.77872350000000001</v>
      </c>
      <c r="P879" s="17">
        <v>-17.247508</v>
      </c>
      <c r="Q879" s="17">
        <v>-7.5797043000000004</v>
      </c>
      <c r="R879" s="17">
        <v>-15.596912</v>
      </c>
      <c r="S879" s="17">
        <f t="shared" si="154"/>
        <v>1.0044062424663696</v>
      </c>
      <c r="T879" s="17">
        <f t="shared" si="155"/>
        <v>-23.333434451178036</v>
      </c>
    </row>
    <row r="880" spans="1:20" x14ac:dyDescent="0.35">
      <c r="A880" s="16">
        <v>3.35</v>
      </c>
      <c r="B880" s="16">
        <v>16.854399999999998</v>
      </c>
      <c r="C880" s="16">
        <v>-0.16634882000000001</v>
      </c>
      <c r="D880" s="16">
        <v>1.6657119000000001E-2</v>
      </c>
      <c r="E880" s="16">
        <v>0.83363514000000005</v>
      </c>
      <c r="F880" s="16">
        <v>1.1172718E-2</v>
      </c>
      <c r="G880" s="16">
        <f t="shared" si="146"/>
        <v>2.4847050692320898</v>
      </c>
      <c r="H880" s="16">
        <f t="shared" si="147"/>
        <v>0.25102675761684401</v>
      </c>
      <c r="I880" s="16">
        <f t="shared" si="148"/>
        <v>2.4847045689557299</v>
      </c>
      <c r="J880" s="16">
        <f t="shared" si="149"/>
        <v>0.24828453375234999</v>
      </c>
      <c r="K880" s="15">
        <f t="shared" si="150"/>
        <v>5.0027635989380304E-7</v>
      </c>
      <c r="L880" s="15">
        <f t="shared" si="151"/>
        <v>2.74222386449402E-3</v>
      </c>
      <c r="M880" s="15">
        <f t="shared" si="152"/>
        <v>0.39848346058310202</v>
      </c>
      <c r="N880" s="15">
        <f t="shared" si="153"/>
        <v>-3.9818528711636603E-2</v>
      </c>
      <c r="O880" s="16">
        <v>-1.4294389999999999</v>
      </c>
      <c r="P880" s="16">
        <v>-17.159103000000002</v>
      </c>
      <c r="Q880" s="16">
        <v>-8.1523035000000004</v>
      </c>
      <c r="R880" s="16">
        <v>-15.269171999999999</v>
      </c>
      <c r="S880" s="16">
        <f t="shared" si="154"/>
        <v>1.0052640292325958</v>
      </c>
      <c r="T880" s="16">
        <f t="shared" si="155"/>
        <v>-23.33599958977338</v>
      </c>
    </row>
    <row r="881" spans="1:20" x14ac:dyDescent="0.35">
      <c r="A881" s="17">
        <v>3.35</v>
      </c>
      <c r="B881" s="17">
        <v>16.903200000000002</v>
      </c>
      <c r="C881" s="17">
        <v>-0.16542617000000001</v>
      </c>
      <c r="D881" s="17">
        <v>2.2616153999999999E-2</v>
      </c>
      <c r="E881" s="17">
        <v>0.83462259999999999</v>
      </c>
      <c r="F881" s="17">
        <v>1.7119348E-2</v>
      </c>
      <c r="G881" s="17">
        <f t="shared" si="146"/>
        <v>2.4799302712600499</v>
      </c>
      <c r="H881" s="17">
        <f t="shared" si="147"/>
        <v>0.35931965588864301</v>
      </c>
      <c r="I881" s="17">
        <f t="shared" si="148"/>
        <v>2.4799622087748698</v>
      </c>
      <c r="J881" s="17">
        <f t="shared" si="149"/>
        <v>0.35657140768183698</v>
      </c>
      <c r="K881" s="15">
        <f t="shared" si="150"/>
        <v>-3.1937514819890802E-5</v>
      </c>
      <c r="L881" s="15">
        <f t="shared" si="151"/>
        <v>2.7482482068060302E-3</v>
      </c>
      <c r="M881" s="15">
        <f t="shared" si="152"/>
        <v>0.39506478796649103</v>
      </c>
      <c r="N881" s="15">
        <f t="shared" si="153"/>
        <v>-5.6802804120280902E-2</v>
      </c>
      <c r="O881" s="17">
        <v>-2.0394646000000001</v>
      </c>
      <c r="P881" s="17">
        <v>-17.029954</v>
      </c>
      <c r="Q881" s="17">
        <v>-8.6713878999999991</v>
      </c>
      <c r="R881" s="17">
        <v>-14.918453</v>
      </c>
      <c r="S881" s="17">
        <f t="shared" si="154"/>
        <v>1.0060569745796037</v>
      </c>
      <c r="T881" s="17">
        <f t="shared" si="155"/>
        <v>-23.338326451247429</v>
      </c>
    </row>
    <row r="882" spans="1:20" x14ac:dyDescent="0.35">
      <c r="A882" s="16">
        <v>3.35</v>
      </c>
      <c r="B882" s="16">
        <v>16.952000000000002</v>
      </c>
      <c r="C882" s="16">
        <v>-0.16410015999999999</v>
      </c>
      <c r="D882" s="16">
        <v>2.8474487E-2</v>
      </c>
      <c r="E882" s="16">
        <v>0.83589148000000002</v>
      </c>
      <c r="F882" s="16">
        <v>2.3027933E-2</v>
      </c>
      <c r="G882" s="16">
        <f t="shared" si="146"/>
        <v>2.4736185683800098</v>
      </c>
      <c r="H882" s="16">
        <f t="shared" si="147"/>
        <v>0.467981339684717</v>
      </c>
      <c r="I882" s="16">
        <f t="shared" si="148"/>
        <v>2.4736218046381402</v>
      </c>
      <c r="J882" s="16">
        <f t="shared" si="149"/>
        <v>0.465258060114634</v>
      </c>
      <c r="K882" s="15">
        <f t="shared" si="150"/>
        <v>-3.2362581303679899E-6</v>
      </c>
      <c r="L882" s="15">
        <f t="shared" si="151"/>
        <v>2.7232795700829998E-3</v>
      </c>
      <c r="M882" s="15">
        <f t="shared" si="152"/>
        <v>0.39045247411418499</v>
      </c>
      <c r="N882" s="15">
        <f t="shared" si="153"/>
        <v>-7.3439343206266702E-2</v>
      </c>
      <c r="O882" s="16">
        <v>-2.6390308</v>
      </c>
      <c r="P882" s="16">
        <v>-16.857448000000002</v>
      </c>
      <c r="Q882" s="16">
        <v>-9.1645935000000005</v>
      </c>
      <c r="R882" s="16">
        <v>-14.53105</v>
      </c>
      <c r="S882" s="16">
        <f t="shared" si="154"/>
        <v>1.0068515342210111</v>
      </c>
      <c r="T882" s="16">
        <f t="shared" si="155"/>
        <v>-23.341807381564809</v>
      </c>
    </row>
    <row r="883" spans="1:20" x14ac:dyDescent="0.35">
      <c r="A883" s="17">
        <v>3.35</v>
      </c>
      <c r="B883" s="17">
        <v>17</v>
      </c>
      <c r="C883" s="17">
        <v>-0.16427167000000001</v>
      </c>
      <c r="D883" s="17">
        <v>3.0068704000000002E-2</v>
      </c>
      <c r="E883" s="17">
        <v>0.83572519000000001</v>
      </c>
      <c r="F883" s="17">
        <v>2.4664464000000001E-2</v>
      </c>
      <c r="G883" s="17">
        <f t="shared" si="146"/>
        <v>2.4615159285253601</v>
      </c>
      <c r="H883" s="17">
        <f t="shared" si="147"/>
        <v>0.494715967921527</v>
      </c>
      <c r="I883" s="17">
        <f t="shared" si="148"/>
        <v>2.4615216599564702</v>
      </c>
      <c r="J883" s="17">
        <f t="shared" si="149"/>
        <v>0.49201385916623003</v>
      </c>
      <c r="K883" s="15">
        <f t="shared" si="150"/>
        <v>-5.7314311101563897E-6</v>
      </c>
      <c r="L883" s="15">
        <f t="shared" si="151"/>
        <v>2.7021087552969699E-3</v>
      </c>
      <c r="M883" s="15">
        <f t="shared" si="152"/>
        <v>0.39064539115501801</v>
      </c>
      <c r="N883" s="15">
        <f t="shared" si="153"/>
        <v>-7.8082979969016905E-2</v>
      </c>
      <c r="O883" s="17">
        <v>-2.8478593000000001</v>
      </c>
      <c r="P883" s="17">
        <v>-17.205362999999998</v>
      </c>
      <c r="Q883" s="17">
        <v>-9.2884773999999997</v>
      </c>
      <c r="R883" s="17">
        <v>-14.484954999999999</v>
      </c>
      <c r="S883" s="17">
        <f t="shared" si="154"/>
        <v>0.98668517594963745</v>
      </c>
      <c r="T883" s="17">
        <f t="shared" si="155"/>
        <v>-23.271546449311799</v>
      </c>
    </row>
    <row r="884" spans="1:20" x14ac:dyDescent="0.35">
      <c r="A884" s="16">
        <v>3.4875000000000003</v>
      </c>
      <c r="B884" s="16">
        <v>15</v>
      </c>
      <c r="C884" s="16">
        <v>-3.4351570999999997E-2</v>
      </c>
      <c r="D884" s="16">
        <v>-6.4720412000000005E-2</v>
      </c>
      <c r="E884" s="16">
        <v>0.96565561</v>
      </c>
      <c r="F884" s="16">
        <v>-6.9063078999999999E-2</v>
      </c>
      <c r="G884" s="16">
        <f t="shared" si="146"/>
        <v>2.5373342456799901</v>
      </c>
      <c r="H884" s="16">
        <f t="shared" si="147"/>
        <v>-5.9140471771001897</v>
      </c>
      <c r="I884" s="16">
        <f t="shared" si="148"/>
        <v>2.5373425507832601</v>
      </c>
      <c r="J884" s="16">
        <f t="shared" si="149"/>
        <v>-5.9162184847709698</v>
      </c>
      <c r="K884" s="15">
        <f t="shared" si="150"/>
        <v>-8.3051032699898997E-6</v>
      </c>
      <c r="L884" s="15">
        <f t="shared" si="151"/>
        <v>2.1713076707801102E-3</v>
      </c>
      <c r="M884" s="15">
        <f t="shared" si="152"/>
        <v>6.1229680439727999E-2</v>
      </c>
      <c r="N884" s="15">
        <f t="shared" si="153"/>
        <v>0.14276675694510199</v>
      </c>
      <c r="O884" s="16">
        <v>7.4489742000000003</v>
      </c>
      <c r="P884" s="16">
        <v>-3.812846</v>
      </c>
      <c r="Q884" s="16">
        <v>5.0802680999999996</v>
      </c>
      <c r="R884" s="16">
        <v>-6.1083987000000004</v>
      </c>
      <c r="S884" s="16">
        <f t="shared" si="154"/>
        <v>0.94942925039796056</v>
      </c>
      <c r="T884" s="16">
        <f t="shared" si="155"/>
        <v>-23.144009177024888</v>
      </c>
    </row>
    <row r="885" spans="1:20" x14ac:dyDescent="0.35">
      <c r="A885" s="17">
        <v>3.4875000000000003</v>
      </c>
      <c r="B885" s="17">
        <v>15.0488</v>
      </c>
      <c r="C885" s="17">
        <v>-3.6456271999999998E-2</v>
      </c>
      <c r="D885" s="17">
        <v>-6.6290101000000004E-2</v>
      </c>
      <c r="E885" s="17">
        <v>0.96356755999999999</v>
      </c>
      <c r="F885" s="17">
        <v>-7.0654164000000005E-2</v>
      </c>
      <c r="G885" s="17">
        <f t="shared" si="146"/>
        <v>2.5286299742450802</v>
      </c>
      <c r="H885" s="17">
        <f t="shared" si="147"/>
        <v>-5.6891542715922396</v>
      </c>
      <c r="I885" s="17">
        <f t="shared" si="148"/>
        <v>2.5286466511716998</v>
      </c>
      <c r="J885" s="17">
        <f t="shared" si="149"/>
        <v>-5.6913362407023396</v>
      </c>
      <c r="K885" s="15">
        <f t="shared" si="150"/>
        <v>-1.6676926619663101E-5</v>
      </c>
      <c r="L885" s="15">
        <f t="shared" si="151"/>
        <v>2.1819691100999298E-3</v>
      </c>
      <c r="M885" s="15">
        <f t="shared" si="152"/>
        <v>6.5195901619403293E-2</v>
      </c>
      <c r="N885" s="15">
        <f t="shared" si="153"/>
        <v>0.14673928342650799</v>
      </c>
      <c r="O885" s="17">
        <v>7.5854583</v>
      </c>
      <c r="P885" s="17">
        <v>-4.0264902999999999</v>
      </c>
      <c r="Q885" s="17">
        <v>5.1348770999999997</v>
      </c>
      <c r="R885" s="17">
        <v>-6.3638697000000004</v>
      </c>
      <c r="S885" s="17">
        <f t="shared" si="154"/>
        <v>0.95217265816950125</v>
      </c>
      <c r="T885" s="17">
        <f t="shared" si="155"/>
        <v>-23.140522736946515</v>
      </c>
    </row>
    <row r="886" spans="1:20" x14ac:dyDescent="0.35">
      <c r="A886" s="16">
        <v>3.4875000000000003</v>
      </c>
      <c r="B886" s="16">
        <v>15.0976</v>
      </c>
      <c r="C886" s="16">
        <v>-3.8660497000000002E-2</v>
      </c>
      <c r="D886" s="16">
        <v>-6.7820472000000007E-2</v>
      </c>
      <c r="E886" s="16">
        <v>0.96136290000000002</v>
      </c>
      <c r="F886" s="16">
        <v>-7.2213564999999993E-2</v>
      </c>
      <c r="G886" s="16">
        <f t="shared" si="146"/>
        <v>2.52126430594832</v>
      </c>
      <c r="H886" s="16">
        <f t="shared" si="147"/>
        <v>-5.47230598913674</v>
      </c>
      <c r="I886" s="16">
        <f t="shared" si="148"/>
        <v>2.5212808289353799</v>
      </c>
      <c r="J886" s="16">
        <f t="shared" si="149"/>
        <v>-5.4745024736476502</v>
      </c>
      <c r="K886" s="15">
        <f t="shared" si="150"/>
        <v>-1.65229870598971E-5</v>
      </c>
      <c r="L886" s="15">
        <f t="shared" si="151"/>
        <v>2.19648451091015E-3</v>
      </c>
      <c r="M886" s="15">
        <f t="shared" si="152"/>
        <v>6.9405082850468799E-2</v>
      </c>
      <c r="N886" s="15">
        <f t="shared" si="153"/>
        <v>0.150700506420401</v>
      </c>
      <c r="O886" s="16">
        <v>7.7297340999999999</v>
      </c>
      <c r="P886" s="16">
        <v>-4.2562550999999997</v>
      </c>
      <c r="Q886" s="16">
        <v>5.1833583000000001</v>
      </c>
      <c r="R886" s="16">
        <v>-6.6306843000000004</v>
      </c>
      <c r="S886" s="16">
        <f t="shared" si="154"/>
        <v>0.95378090133425131</v>
      </c>
      <c r="T886" s="16">
        <f t="shared" si="155"/>
        <v>-23.14576359480921</v>
      </c>
    </row>
    <row r="887" spans="1:20" x14ac:dyDescent="0.35">
      <c r="A887" s="17">
        <v>3.4875000000000003</v>
      </c>
      <c r="B887" s="17">
        <v>15.1464</v>
      </c>
      <c r="C887" s="17">
        <v>-4.0994970999999998E-2</v>
      </c>
      <c r="D887" s="17">
        <v>-6.9333740000000005E-2</v>
      </c>
      <c r="E887" s="17">
        <v>0.95902637999999996</v>
      </c>
      <c r="F887" s="17">
        <v>-7.3756585999999999E-2</v>
      </c>
      <c r="G887" s="17">
        <f t="shared" si="146"/>
        <v>2.5142424739875899</v>
      </c>
      <c r="H887" s="17">
        <f t="shared" si="147"/>
        <v>-5.2607884970685701</v>
      </c>
      <c r="I887" s="17">
        <f t="shared" si="148"/>
        <v>2.51425803958477</v>
      </c>
      <c r="J887" s="17">
        <f t="shared" si="149"/>
        <v>-5.2629998620390204</v>
      </c>
      <c r="K887" s="15">
        <f t="shared" si="150"/>
        <v>-1.5565597180078301E-5</v>
      </c>
      <c r="L887" s="15">
        <f t="shared" si="151"/>
        <v>2.21136497045027E-3</v>
      </c>
      <c r="M887" s="15">
        <f t="shared" si="152"/>
        <v>7.3903856154289696E-2</v>
      </c>
      <c r="N887" s="15">
        <f t="shared" si="153"/>
        <v>0.154700105804739</v>
      </c>
      <c r="O887" s="17">
        <v>7.8728733000000002</v>
      </c>
      <c r="P887" s="17">
        <v>-4.4996717999999998</v>
      </c>
      <c r="Q887" s="17">
        <v>5.2251273999999999</v>
      </c>
      <c r="R887" s="17">
        <v>-6.9091132999999996</v>
      </c>
      <c r="S887" s="17">
        <f t="shared" si="154"/>
        <v>0.9552720571785136</v>
      </c>
      <c r="T887" s="17">
        <f t="shared" si="155"/>
        <v>-23.151275527472894</v>
      </c>
    </row>
    <row r="888" spans="1:20" x14ac:dyDescent="0.35">
      <c r="A888" s="16">
        <v>3.4875000000000003</v>
      </c>
      <c r="B888" s="16">
        <v>15.1952</v>
      </c>
      <c r="C888" s="16">
        <v>-4.3476369000000001E-2</v>
      </c>
      <c r="D888" s="16">
        <v>-7.0829451000000002E-2</v>
      </c>
      <c r="E888" s="16">
        <v>0.95654302999999996</v>
      </c>
      <c r="F888" s="16">
        <v>-7.5282714000000001E-2</v>
      </c>
      <c r="G888" s="16">
        <f t="shared" si="146"/>
        <v>2.5074245943299101</v>
      </c>
      <c r="H888" s="16">
        <f t="shared" si="147"/>
        <v>-5.0535917807750304</v>
      </c>
      <c r="I888" s="16">
        <f t="shared" si="148"/>
        <v>2.5074392514548198</v>
      </c>
      <c r="J888" s="16">
        <f t="shared" si="149"/>
        <v>-5.0558183580423401</v>
      </c>
      <c r="K888" s="15">
        <f t="shared" si="150"/>
        <v>-1.46571249097782E-5</v>
      </c>
      <c r="L888" s="15">
        <f t="shared" si="151"/>
        <v>2.2265772673097902E-3</v>
      </c>
      <c r="M888" s="15">
        <f t="shared" si="152"/>
        <v>7.8730089219708893E-2</v>
      </c>
      <c r="N888" s="15">
        <f t="shared" si="153"/>
        <v>0.158745632691348</v>
      </c>
      <c r="O888" s="16">
        <v>8.0139461999999995</v>
      </c>
      <c r="P888" s="16">
        <v>-4.7580206</v>
      </c>
      <c r="Q888" s="16">
        <v>5.2593192000000002</v>
      </c>
      <c r="R888" s="16">
        <v>-7.2004111000000002</v>
      </c>
      <c r="S888" s="16">
        <f t="shared" si="154"/>
        <v>0.9567220522922828</v>
      </c>
      <c r="T888" s="16">
        <f t="shared" si="155"/>
        <v>-23.156538430880328</v>
      </c>
    </row>
    <row r="889" spans="1:20" x14ac:dyDescent="0.35">
      <c r="A889" s="17">
        <v>3.4875000000000003</v>
      </c>
      <c r="B889" s="17">
        <v>15.244</v>
      </c>
      <c r="C889" s="17">
        <v>-4.6116638000000001E-2</v>
      </c>
      <c r="D889" s="17">
        <v>-7.2301956000000001E-2</v>
      </c>
      <c r="E889" s="17">
        <v>0.95390089</v>
      </c>
      <c r="F889" s="17">
        <v>-7.6786260999999995E-2</v>
      </c>
      <c r="G889" s="17">
        <f t="shared" si="146"/>
        <v>2.5007293671521502</v>
      </c>
      <c r="H889" s="17">
        <f t="shared" si="147"/>
        <v>-4.8502674460097399</v>
      </c>
      <c r="I889" s="17">
        <f t="shared" si="148"/>
        <v>2.50074315816574</v>
      </c>
      <c r="J889" s="17">
        <f t="shared" si="149"/>
        <v>-4.8525095479384097</v>
      </c>
      <c r="K889" s="15">
        <f t="shared" si="150"/>
        <v>-1.3791013589781201E-5</v>
      </c>
      <c r="L889" s="15">
        <f t="shared" si="151"/>
        <v>2.2421019286698002E-3</v>
      </c>
      <c r="M889" s="15">
        <f t="shared" si="152"/>
        <v>8.3915963898260601E-2</v>
      </c>
      <c r="N889" s="15">
        <f t="shared" si="153"/>
        <v>0.16283280220566199</v>
      </c>
      <c r="O889" s="17">
        <v>8.1520740000000007</v>
      </c>
      <c r="P889" s="17">
        <v>-5.0323897999999998</v>
      </c>
      <c r="Q889" s="17">
        <v>5.2846612999999998</v>
      </c>
      <c r="R889" s="17">
        <v>-7.5052721</v>
      </c>
      <c r="S889" s="17">
        <f t="shared" si="154"/>
        <v>0.95813203451023976</v>
      </c>
      <c r="T889" s="17">
        <f t="shared" si="155"/>
        <v>-23.161990692743331</v>
      </c>
    </row>
    <row r="890" spans="1:20" x14ac:dyDescent="0.35">
      <c r="A890" s="16">
        <v>3.4875000000000003</v>
      </c>
      <c r="B890" s="16">
        <v>15.2928</v>
      </c>
      <c r="C890" s="16">
        <v>-4.8926445999999998E-2</v>
      </c>
      <c r="D890" s="16">
        <v>-7.3742467000000006E-2</v>
      </c>
      <c r="E890" s="16">
        <v>0.95108921000000002</v>
      </c>
      <c r="F890" s="16">
        <v>-7.8258409000000001E-2</v>
      </c>
      <c r="G890" s="16">
        <f t="shared" si="146"/>
        <v>2.4941196581482901</v>
      </c>
      <c r="H890" s="16">
        <f t="shared" si="147"/>
        <v>-4.6505743350909698</v>
      </c>
      <c r="I890" s="16">
        <f t="shared" si="148"/>
        <v>2.4941325843743298</v>
      </c>
      <c r="J890" s="16">
        <f t="shared" si="149"/>
        <v>-4.65283225922889</v>
      </c>
      <c r="K890" s="15">
        <f t="shared" si="150"/>
        <v>-1.29262260397667E-5</v>
      </c>
      <c r="L890" s="15">
        <f t="shared" si="151"/>
        <v>2.2579241379201398E-3</v>
      </c>
      <c r="M890" s="15">
        <f t="shared" si="152"/>
        <v>8.9493120547218794E-2</v>
      </c>
      <c r="N890" s="15">
        <f t="shared" si="153"/>
        <v>0.166950418301686</v>
      </c>
      <c r="O890" s="16">
        <v>8.2862197000000002</v>
      </c>
      <c r="P890" s="16">
        <v>-5.3237841000000001</v>
      </c>
      <c r="Q890" s="16">
        <v>5.2999219999999996</v>
      </c>
      <c r="R890" s="16">
        <v>-7.8242754000000003</v>
      </c>
      <c r="S890" s="16">
        <f t="shared" si="154"/>
        <v>0.95951378936901899</v>
      </c>
      <c r="T890" s="16">
        <f t="shared" si="155"/>
        <v>-23.167306308029847</v>
      </c>
    </row>
    <row r="891" spans="1:20" x14ac:dyDescent="0.35">
      <c r="A891" s="17">
        <v>3.4875000000000003</v>
      </c>
      <c r="B891" s="17">
        <v>15.3416</v>
      </c>
      <c r="C891" s="17">
        <v>-5.1915845000000002E-2</v>
      </c>
      <c r="D891" s="17">
        <v>-7.5139787E-2</v>
      </c>
      <c r="E891" s="17">
        <v>0.94809790999999999</v>
      </c>
      <c r="F891" s="17">
        <v>-7.9687942999999997E-2</v>
      </c>
      <c r="G891" s="17">
        <f t="shared" si="146"/>
        <v>2.48757853890553</v>
      </c>
      <c r="H891" s="17">
        <f t="shared" si="147"/>
        <v>-4.4543642031495203</v>
      </c>
      <c r="I891" s="17">
        <f t="shared" si="148"/>
        <v>2.48759058765553</v>
      </c>
      <c r="J891" s="17">
        <f t="shared" si="149"/>
        <v>-4.45663823811004</v>
      </c>
      <c r="K891" s="15">
        <f t="shared" si="150"/>
        <v>-1.2048749999937799E-5</v>
      </c>
      <c r="L891" s="15">
        <f t="shared" si="151"/>
        <v>2.2740349605197001E-3</v>
      </c>
      <c r="M891" s="15">
        <f t="shared" si="152"/>
        <v>9.5493905766899007E-2</v>
      </c>
      <c r="N891" s="15">
        <f t="shared" si="153"/>
        <v>0.17108192725087201</v>
      </c>
      <c r="O891" s="17">
        <v>8.4157341999999993</v>
      </c>
      <c r="P891" s="17">
        <v>-5.6335290000000002</v>
      </c>
      <c r="Q891" s="17">
        <v>5.3038271000000003</v>
      </c>
      <c r="R891" s="17">
        <v>-8.1583529000000006</v>
      </c>
      <c r="S891" s="17">
        <f t="shared" si="154"/>
        <v>0.96085720127686924</v>
      </c>
      <c r="T891" s="17">
        <f t="shared" si="155"/>
        <v>-23.173176835769976</v>
      </c>
    </row>
    <row r="892" spans="1:20" x14ac:dyDescent="0.35">
      <c r="A892" s="16">
        <v>3.4875000000000003</v>
      </c>
      <c r="B892" s="16">
        <v>15.3904</v>
      </c>
      <c r="C892" s="16">
        <v>-5.5094385000000003E-2</v>
      </c>
      <c r="D892" s="16">
        <v>-7.6480530000000005E-2</v>
      </c>
      <c r="E892" s="16">
        <v>0.94491742999999995</v>
      </c>
      <c r="F892" s="16">
        <v>-8.1061474999999994E-2</v>
      </c>
      <c r="G892" s="16">
        <f t="shared" si="146"/>
        <v>2.4810980853720301</v>
      </c>
      <c r="H892" s="16">
        <f t="shared" si="147"/>
        <v>-4.2615342887455103</v>
      </c>
      <c r="I892" s="16">
        <f t="shared" si="148"/>
        <v>2.4811092389809102</v>
      </c>
      <c r="J892" s="16">
        <f t="shared" si="149"/>
        <v>-4.2638247221677403</v>
      </c>
      <c r="K892" s="15">
        <f t="shared" si="150"/>
        <v>-1.11536088800435E-5</v>
      </c>
      <c r="L892" s="15">
        <f t="shared" si="151"/>
        <v>2.2904334222300102E-3</v>
      </c>
      <c r="M892" s="15">
        <f t="shared" si="152"/>
        <v>0.101951783516763</v>
      </c>
      <c r="N892" s="15">
        <f t="shared" si="153"/>
        <v>0.17520572177886801</v>
      </c>
      <c r="O892" s="16">
        <v>8.5381094999999991</v>
      </c>
      <c r="P892" s="16">
        <v>-5.9618228000000002</v>
      </c>
      <c r="Q892" s="16">
        <v>5.2944424000000003</v>
      </c>
      <c r="R892" s="16">
        <v>-8.5069999999999997</v>
      </c>
      <c r="S892" s="16">
        <f t="shared" si="154"/>
        <v>0.96220403072821858</v>
      </c>
      <c r="T892" s="16">
        <f t="shared" si="155"/>
        <v>-23.178324662326553</v>
      </c>
    </row>
    <row r="893" spans="1:20" x14ac:dyDescent="0.35">
      <c r="A893" s="17">
        <v>3.4875000000000003</v>
      </c>
      <c r="B893" s="17">
        <v>15.4392</v>
      </c>
      <c r="C893" s="17">
        <v>-5.8471021999999997E-2</v>
      </c>
      <c r="D893" s="17">
        <v>-7.7749130999999999E-2</v>
      </c>
      <c r="E893" s="17">
        <v>0.94153883999999999</v>
      </c>
      <c r="F893" s="17">
        <v>-8.2363437999999997E-2</v>
      </c>
      <c r="G893" s="17">
        <f t="shared" si="146"/>
        <v>2.4746743736024501</v>
      </c>
      <c r="H893" s="17">
        <f t="shared" si="147"/>
        <v>-4.0720072133858602</v>
      </c>
      <c r="I893" s="17">
        <f t="shared" si="148"/>
        <v>2.4746846274283198</v>
      </c>
      <c r="J893" s="17">
        <f t="shared" si="149"/>
        <v>-4.0743143318522996</v>
      </c>
      <c r="K893" s="15">
        <f t="shared" si="150"/>
        <v>-1.0253825869721601E-5</v>
      </c>
      <c r="L893" s="15">
        <f t="shared" si="151"/>
        <v>2.3071184664393801E-3</v>
      </c>
      <c r="M893" s="15">
        <f t="shared" si="152"/>
        <v>0.10890132009796701</v>
      </c>
      <c r="N893" s="15">
        <f t="shared" si="153"/>
        <v>0.179294850064944</v>
      </c>
      <c r="O893" s="17">
        <v>8.6527007999999999</v>
      </c>
      <c r="P893" s="17">
        <v>-6.3101760000000002</v>
      </c>
      <c r="Q893" s="17">
        <v>5.2696319000000003</v>
      </c>
      <c r="R893" s="17">
        <v>-8.8696254000000003</v>
      </c>
      <c r="S893" s="17">
        <f t="shared" si="154"/>
        <v>0.96336932153853816</v>
      </c>
      <c r="T893" s="17">
        <f t="shared" si="155"/>
        <v>-23.182318704229839</v>
      </c>
    </row>
    <row r="894" spans="1:20" x14ac:dyDescent="0.35">
      <c r="A894" s="16">
        <v>3.4875000000000003</v>
      </c>
      <c r="B894" s="16">
        <v>15.488</v>
      </c>
      <c r="C894" s="16">
        <v>-6.2053912000000003E-2</v>
      </c>
      <c r="D894" s="16">
        <v>-7.8927770999999994E-2</v>
      </c>
      <c r="E894" s="16">
        <v>0.93795399000000002</v>
      </c>
      <c r="F894" s="16">
        <v>-8.3576017000000002E-2</v>
      </c>
      <c r="G894" s="16">
        <f t="shared" si="146"/>
        <v>2.4683055837205798</v>
      </c>
      <c r="H894" s="16">
        <f t="shared" si="147"/>
        <v>-3.8857192140419499</v>
      </c>
      <c r="I894" s="16">
        <f t="shared" si="148"/>
        <v>2.4683149361594898</v>
      </c>
      <c r="J894" s="16">
        <f t="shared" si="149"/>
        <v>-3.88804330612325</v>
      </c>
      <c r="K894" s="15">
        <f t="shared" si="150"/>
        <v>-9.3524389099819399E-6</v>
      </c>
      <c r="L894" s="15">
        <f t="shared" si="151"/>
        <v>2.3240920813001301E-3</v>
      </c>
      <c r="M894" s="15">
        <f t="shared" si="152"/>
        <v>0.116378022305636</v>
      </c>
      <c r="N894" s="15">
        <f t="shared" si="153"/>
        <v>0.18331647391370501</v>
      </c>
      <c r="O894" s="16">
        <v>8.7587566999999993</v>
      </c>
      <c r="P894" s="16">
        <v>-6.6801585000000001</v>
      </c>
      <c r="Q894" s="16">
        <v>5.2284122000000002</v>
      </c>
      <c r="R894" s="16">
        <v>-9.2486566999999997</v>
      </c>
      <c r="S894" s="16">
        <f t="shared" si="154"/>
        <v>0.96448228302841299</v>
      </c>
      <c r="T894" s="16">
        <f t="shared" si="155"/>
        <v>-23.18767058003564</v>
      </c>
    </row>
    <row r="895" spans="1:20" x14ac:dyDescent="0.35">
      <c r="A895" s="17">
        <v>3.4875000000000003</v>
      </c>
      <c r="B895" s="17">
        <v>15.536799999999999</v>
      </c>
      <c r="C895" s="17">
        <v>-6.5850118999999999E-2</v>
      </c>
      <c r="D895" s="17">
        <v>-7.9996275000000006E-2</v>
      </c>
      <c r="E895" s="17">
        <v>0.93415583000000002</v>
      </c>
      <c r="F895" s="17">
        <v>-8.4679035E-2</v>
      </c>
      <c r="G895" s="17">
        <f t="shared" si="146"/>
        <v>2.46199103991755</v>
      </c>
      <c r="H895" s="17">
        <f t="shared" si="147"/>
        <v>-3.7026155141542301</v>
      </c>
      <c r="I895" s="17">
        <f t="shared" si="148"/>
        <v>2.46199949639003</v>
      </c>
      <c r="J895" s="17">
        <f t="shared" si="149"/>
        <v>-3.7049568673900599</v>
      </c>
      <c r="K895" s="15">
        <f t="shared" si="150"/>
        <v>-8.4564724800451108E-6</v>
      </c>
      <c r="L895" s="15">
        <f t="shared" si="151"/>
        <v>2.34135323582985E-3</v>
      </c>
      <c r="M895" s="15">
        <f t="shared" si="152"/>
        <v>0.124417890551178</v>
      </c>
      <c r="N895" s="15">
        <f t="shared" si="153"/>
        <v>0.18723111791845301</v>
      </c>
      <c r="O895" s="17">
        <v>8.850365</v>
      </c>
      <c r="P895" s="17">
        <v>-7.0695394</v>
      </c>
      <c r="Q895" s="17">
        <v>5.1677448999999998</v>
      </c>
      <c r="R895" s="17">
        <v>-9.6417670999999991</v>
      </c>
      <c r="S895" s="17">
        <f t="shared" si="154"/>
        <v>0.96575182788711467</v>
      </c>
      <c r="T895" s="17">
        <f t="shared" si="155"/>
        <v>-23.192472345493876</v>
      </c>
    </row>
    <row r="896" spans="1:20" x14ac:dyDescent="0.35">
      <c r="A896" s="16">
        <v>3.4875000000000003</v>
      </c>
      <c r="B896" s="16">
        <v>15.585599999999999</v>
      </c>
      <c r="C896" s="16">
        <v>-6.9865233999999998E-2</v>
      </c>
      <c r="D896" s="16">
        <v>-8.0932022000000006E-2</v>
      </c>
      <c r="E896" s="16">
        <v>0.93013878999999999</v>
      </c>
      <c r="F896" s="16">
        <v>-8.5649871000000002E-2</v>
      </c>
      <c r="G896" s="16">
        <f t="shared" si="146"/>
        <v>2.4557304700304701</v>
      </c>
      <c r="H896" s="16">
        <f t="shared" si="147"/>
        <v>-3.52264749155017</v>
      </c>
      <c r="I896" s="16">
        <f t="shared" si="148"/>
        <v>2.4557380464866698</v>
      </c>
      <c r="J896" s="16">
        <f t="shared" si="149"/>
        <v>-3.5250063934317701</v>
      </c>
      <c r="K896" s="15">
        <f t="shared" si="150"/>
        <v>-7.57645619975378E-6</v>
      </c>
      <c r="L896" s="15">
        <f t="shared" si="151"/>
        <v>2.3589018816001501E-3</v>
      </c>
      <c r="M896" s="15">
        <f t="shared" si="152"/>
        <v>0.13305675902717901</v>
      </c>
      <c r="N896" s="15">
        <f t="shared" si="153"/>
        <v>0.190991839268498</v>
      </c>
      <c r="O896" s="16">
        <v>8.9232551000000004</v>
      </c>
      <c r="P896" s="16">
        <v>-7.4768812000000002</v>
      </c>
      <c r="Q896" s="16">
        <v>5.0857245000000004</v>
      </c>
      <c r="R896" s="16">
        <v>-10.049061</v>
      </c>
      <c r="S896" s="16">
        <f t="shared" si="154"/>
        <v>0.9674472625413757</v>
      </c>
      <c r="T896" s="16">
        <f t="shared" si="155"/>
        <v>-23.196541020563043</v>
      </c>
    </row>
    <row r="897" spans="1:20" x14ac:dyDescent="0.35">
      <c r="A897" s="17">
        <v>3.4875000000000003</v>
      </c>
      <c r="B897" s="17">
        <v>15.634399999999999</v>
      </c>
      <c r="C897" s="17">
        <v>-7.4102923000000001E-2</v>
      </c>
      <c r="D897" s="17">
        <v>-8.1709889999999993E-2</v>
      </c>
      <c r="E897" s="17">
        <v>0.92589918000000004</v>
      </c>
      <c r="F897" s="17">
        <v>-8.6463395999999998E-2</v>
      </c>
      <c r="G897" s="17">
        <f t="shared" si="146"/>
        <v>2.4495242295765798</v>
      </c>
      <c r="H897" s="17">
        <f t="shared" si="147"/>
        <v>-3.3457699159384799</v>
      </c>
      <c r="I897" s="17">
        <f t="shared" si="148"/>
        <v>2.4495309299805599</v>
      </c>
      <c r="J897" s="17">
        <f t="shared" si="149"/>
        <v>-3.3481466505141402</v>
      </c>
      <c r="K897" s="15">
        <f t="shared" si="150"/>
        <v>-6.70040398009775E-6</v>
      </c>
      <c r="L897" s="15">
        <f t="shared" si="151"/>
        <v>2.3767345756602301E-3</v>
      </c>
      <c r="M897" s="15">
        <f t="shared" si="152"/>
        <v>0.142329457977485</v>
      </c>
      <c r="N897" s="15">
        <f t="shared" si="153"/>
        <v>0.194543327526218</v>
      </c>
      <c r="O897" s="17">
        <v>8.9900678000000003</v>
      </c>
      <c r="P897" s="17">
        <v>-7.9152809</v>
      </c>
      <c r="Q897" s="17">
        <v>4.9798853000000003</v>
      </c>
      <c r="R897" s="17">
        <v>-10.470589</v>
      </c>
      <c r="S897" s="17">
        <f t="shared" si="154"/>
        <v>0.96798148012706153</v>
      </c>
      <c r="T897" s="17">
        <f t="shared" si="155"/>
        <v>-23.201695590030852</v>
      </c>
    </row>
    <row r="898" spans="1:20" x14ac:dyDescent="0.35">
      <c r="A898" s="16">
        <v>3.4875000000000003</v>
      </c>
      <c r="B898" s="16">
        <v>15.683199999999999</v>
      </c>
      <c r="C898" s="16">
        <v>-7.8571262000000003E-2</v>
      </c>
      <c r="D898" s="16">
        <v>-8.2299349999999993E-2</v>
      </c>
      <c r="E898" s="16">
        <v>0.92146764999999997</v>
      </c>
      <c r="F898" s="16">
        <v>-8.7039195999999999E-2</v>
      </c>
      <c r="G898" s="16">
        <f t="shared" si="146"/>
        <v>2.4443687580934199</v>
      </c>
      <c r="H898" s="16">
        <f t="shared" si="147"/>
        <v>-3.1724992659728399</v>
      </c>
      <c r="I898" s="16">
        <f t="shared" si="148"/>
        <v>2.4443938298905601</v>
      </c>
      <c r="J898" s="16">
        <f t="shared" si="149"/>
        <v>-3.1748690834474398</v>
      </c>
      <c r="K898" s="15">
        <f t="shared" si="150"/>
        <v>-2.5071797140174799E-5</v>
      </c>
      <c r="L898" s="15">
        <f t="shared" si="151"/>
        <v>2.36981747459986E-3</v>
      </c>
      <c r="M898" s="15">
        <f t="shared" si="152"/>
        <v>0.15225262677469201</v>
      </c>
      <c r="N898" s="15">
        <f t="shared" si="153"/>
        <v>0.19775134092949001</v>
      </c>
      <c r="O898" s="16">
        <v>9.0300087999999992</v>
      </c>
      <c r="P898" s="16">
        <v>-8.3703903000000004</v>
      </c>
      <c r="Q898" s="16">
        <v>4.8469673999999996</v>
      </c>
      <c r="R898" s="16">
        <v>-10.905360999999999</v>
      </c>
      <c r="S898" s="16">
        <f t="shared" si="154"/>
        <v>0.96923578888481865</v>
      </c>
      <c r="T898" s="16">
        <f t="shared" si="155"/>
        <v>-23.207838176321349</v>
      </c>
    </row>
    <row r="899" spans="1:20" x14ac:dyDescent="0.35">
      <c r="A899" s="17">
        <v>3.4875000000000003</v>
      </c>
      <c r="B899" s="17">
        <v>15.731999999999999</v>
      </c>
      <c r="C899" s="17">
        <v>-8.3255286999999997E-2</v>
      </c>
      <c r="D899" s="17">
        <v>-8.2675758000000002E-2</v>
      </c>
      <c r="E899" s="17">
        <v>0.91678559000000004</v>
      </c>
      <c r="F899" s="17">
        <v>-8.7450599000000004E-2</v>
      </c>
      <c r="G899" s="17">
        <f t="shared" si="146"/>
        <v>2.4382852876215702</v>
      </c>
      <c r="H899" s="17">
        <f t="shared" si="147"/>
        <v>-3.00164712751431</v>
      </c>
      <c r="I899" s="17">
        <f t="shared" si="148"/>
        <v>2.43831142509854</v>
      </c>
      <c r="J899" s="17">
        <f t="shared" si="149"/>
        <v>-3.0040344368201399</v>
      </c>
      <c r="K899" s="15">
        <f t="shared" si="150"/>
        <v>-2.6137476969889699E-5</v>
      </c>
      <c r="L899" s="15">
        <f t="shared" si="151"/>
        <v>2.38730930582998E-3</v>
      </c>
      <c r="M899" s="15">
        <f t="shared" si="152"/>
        <v>0.16288436473742399</v>
      </c>
      <c r="N899" s="15">
        <f t="shared" si="153"/>
        <v>0.200675859471486</v>
      </c>
      <c r="O899" s="17">
        <v>9.0417631000000007</v>
      </c>
      <c r="P899" s="17">
        <v>-8.8409139000000003</v>
      </c>
      <c r="Q899" s="17">
        <v>4.6854531000000001</v>
      </c>
      <c r="R899" s="17">
        <v>-11.350246</v>
      </c>
      <c r="S899" s="17">
        <f t="shared" si="154"/>
        <v>0.97102225532045605</v>
      </c>
      <c r="T899" s="17">
        <f t="shared" si="155"/>
        <v>-23.212346421929126</v>
      </c>
    </row>
    <row r="900" spans="1:20" x14ac:dyDescent="0.35">
      <c r="A900" s="16">
        <v>3.4875000000000003</v>
      </c>
      <c r="B900" s="16">
        <v>15.780799999999999</v>
      </c>
      <c r="C900" s="16">
        <v>-8.8155817999999997E-2</v>
      </c>
      <c r="D900" s="16">
        <v>-8.2804367000000004E-2</v>
      </c>
      <c r="E900" s="16">
        <v>0.91188754000000005</v>
      </c>
      <c r="F900" s="16">
        <v>-8.7614672000000005E-2</v>
      </c>
      <c r="G900" s="16">
        <f t="shared" si="146"/>
        <v>2.4322608918141202</v>
      </c>
      <c r="H900" s="16">
        <f t="shared" si="147"/>
        <v>-2.8337682957955899</v>
      </c>
      <c r="I900" s="16">
        <f t="shared" si="148"/>
        <v>2.4322883546930401</v>
      </c>
      <c r="J900" s="16">
        <f t="shared" si="149"/>
        <v>-2.8361733301044398</v>
      </c>
      <c r="K900" s="15">
        <f t="shared" si="150"/>
        <v>-2.7462878919859401E-5</v>
      </c>
      <c r="L900" s="15">
        <f t="shared" si="151"/>
        <v>2.4050343088499698E-3</v>
      </c>
      <c r="M900" s="15">
        <f t="shared" si="152"/>
        <v>0.174233865883762</v>
      </c>
      <c r="N900" s="15">
        <f t="shared" si="153"/>
        <v>0.20316564961019401</v>
      </c>
      <c r="O900" s="16">
        <v>9.0369040999999992</v>
      </c>
      <c r="P900" s="16">
        <v>-9.3413772999999996</v>
      </c>
      <c r="Q900" s="16">
        <v>4.4920928</v>
      </c>
      <c r="R900" s="16">
        <v>-11.804425999999999</v>
      </c>
      <c r="S900" s="16">
        <f t="shared" si="154"/>
        <v>0.97176816749553818</v>
      </c>
      <c r="T900" s="16">
        <f t="shared" si="155"/>
        <v>-23.216890187752231</v>
      </c>
    </row>
    <row r="901" spans="1:20" x14ac:dyDescent="0.35">
      <c r="A901" s="17">
        <v>3.4875000000000003</v>
      </c>
      <c r="B901" s="17">
        <v>15.829599999999999</v>
      </c>
      <c r="C901" s="17">
        <v>-9.3262909000000005E-2</v>
      </c>
      <c r="D901" s="17">
        <v>-8.2651146999999994E-2</v>
      </c>
      <c r="E901" s="17">
        <v>0.90678345999999999</v>
      </c>
      <c r="F901" s="17">
        <v>-8.7497376000000002E-2</v>
      </c>
      <c r="G901" s="17">
        <f t="shared" si="146"/>
        <v>2.4262960630950898</v>
      </c>
      <c r="H901" s="17">
        <f t="shared" si="147"/>
        <v>-2.6688276309907</v>
      </c>
      <c r="I901" s="17">
        <f t="shared" si="148"/>
        <v>2.4263251180986298</v>
      </c>
      <c r="J901" s="17">
        <f t="shared" si="149"/>
        <v>-2.6712506189113401</v>
      </c>
      <c r="K901" s="15">
        <f t="shared" si="150"/>
        <v>-2.9055003540001699E-5</v>
      </c>
      <c r="L901" s="15">
        <f t="shared" si="151"/>
        <v>2.4229879206401099E-3</v>
      </c>
      <c r="M901" s="15">
        <f t="shared" si="152"/>
        <v>0.18631601110739501</v>
      </c>
      <c r="N901" s="15">
        <f t="shared" si="153"/>
        <v>0.20512368943109199</v>
      </c>
      <c r="O901" s="17">
        <v>8.9978631999999994</v>
      </c>
      <c r="P901" s="17">
        <v>-9.8567175000000002</v>
      </c>
      <c r="Q901" s="17">
        <v>4.2641780999999996</v>
      </c>
      <c r="R901" s="17">
        <v>-12.265093</v>
      </c>
      <c r="S901" s="17">
        <f t="shared" si="154"/>
        <v>0.97296462590031307</v>
      </c>
      <c r="T901" s="17">
        <f t="shared" si="155"/>
        <v>-23.220976507053464</v>
      </c>
    </row>
    <row r="902" spans="1:20" x14ac:dyDescent="0.35">
      <c r="A902" s="16">
        <v>3.4875000000000003</v>
      </c>
      <c r="B902" s="16">
        <v>15.878399999999999</v>
      </c>
      <c r="C902" s="16">
        <v>-9.8561488000000003E-2</v>
      </c>
      <c r="D902" s="16">
        <v>-8.2180769000000001E-2</v>
      </c>
      <c r="E902" s="16">
        <v>0.90148841000000002</v>
      </c>
      <c r="F902" s="16">
        <v>-8.7063379999999996E-2</v>
      </c>
      <c r="G902" s="16">
        <f t="shared" si="146"/>
        <v>2.4203912993663899</v>
      </c>
      <c r="H902" s="16">
        <f t="shared" si="147"/>
        <v>-2.5067919796639302</v>
      </c>
      <c r="I902" s="16">
        <f t="shared" si="148"/>
        <v>2.4204222072349202</v>
      </c>
      <c r="J902" s="16">
        <f t="shared" si="149"/>
        <v>-2.5092331488036601</v>
      </c>
      <c r="K902" s="15">
        <f t="shared" si="150"/>
        <v>-3.0907868530327703E-5</v>
      </c>
      <c r="L902" s="15">
        <f t="shared" si="151"/>
        <v>2.4411691397299199E-3</v>
      </c>
      <c r="M902" s="15">
        <f t="shared" si="152"/>
        <v>0.19913476032688199</v>
      </c>
      <c r="N902" s="15">
        <f t="shared" si="153"/>
        <v>0.20644147958884901</v>
      </c>
      <c r="O902" s="16">
        <v>8.9236410999999993</v>
      </c>
      <c r="P902" s="16">
        <v>-10.387235</v>
      </c>
      <c r="Q902" s="16">
        <v>3.9992621000000002</v>
      </c>
      <c r="R902" s="16">
        <v>-12.730352999999999</v>
      </c>
      <c r="S902" s="16">
        <f t="shared" si="154"/>
        <v>0.97442298139431505</v>
      </c>
      <c r="T902" s="16">
        <f t="shared" si="155"/>
        <v>-23.225571953052459</v>
      </c>
    </row>
    <row r="903" spans="1:20" x14ac:dyDescent="0.35">
      <c r="A903" s="17">
        <v>3.4875000000000003</v>
      </c>
      <c r="B903" s="17">
        <v>15.927199999999999</v>
      </c>
      <c r="C903" s="17">
        <v>-0.10403068</v>
      </c>
      <c r="D903" s="17">
        <v>-8.1357356000000006E-2</v>
      </c>
      <c r="E903" s="17">
        <v>0.89602324</v>
      </c>
      <c r="F903" s="17">
        <v>-8.6276804999999998E-2</v>
      </c>
      <c r="G903" s="17">
        <f t="shared" si="146"/>
        <v>2.41454667708466</v>
      </c>
      <c r="H903" s="17">
        <f t="shared" si="147"/>
        <v>-2.3476302024026801</v>
      </c>
      <c r="I903" s="17">
        <f t="shared" si="148"/>
        <v>2.4145796860765301</v>
      </c>
      <c r="J903" s="17">
        <f t="shared" si="149"/>
        <v>-2.3500897793994602</v>
      </c>
      <c r="K903" s="15">
        <f t="shared" si="150"/>
        <v>-3.3008991870087101E-5</v>
      </c>
      <c r="L903" s="15">
        <f t="shared" si="151"/>
        <v>2.45957699678012E-3</v>
      </c>
      <c r="M903" s="15">
        <f t="shared" si="152"/>
        <v>0.212679890407625</v>
      </c>
      <c r="N903" s="15">
        <f t="shared" si="153"/>
        <v>0.206999520294529</v>
      </c>
      <c r="O903" s="17">
        <v>8.8182849999999995</v>
      </c>
      <c r="P903" s="17">
        <v>-10.939610999999999</v>
      </c>
      <c r="Q903" s="17">
        <v>3.6947553000000002</v>
      </c>
      <c r="R903" s="17">
        <v>-13.195479000000001</v>
      </c>
      <c r="S903" s="17">
        <f t="shared" si="154"/>
        <v>0.97521583770235976</v>
      </c>
      <c r="T903" s="17">
        <f t="shared" si="155"/>
        <v>-23.229525705728637</v>
      </c>
    </row>
    <row r="904" spans="1:20" x14ac:dyDescent="0.35">
      <c r="A904" s="16">
        <v>3.4875000000000003</v>
      </c>
      <c r="B904" s="16">
        <v>15.976000000000001</v>
      </c>
      <c r="C904" s="16">
        <v>-0.10964317</v>
      </c>
      <c r="D904" s="16">
        <v>-8.0145435000000001E-2</v>
      </c>
      <c r="E904" s="16">
        <v>0.89041524000000005</v>
      </c>
      <c r="F904" s="16">
        <v>-8.5102183999999997E-2</v>
      </c>
      <c r="G904" s="16">
        <f t="shared" si="146"/>
        <v>2.4087621332404998</v>
      </c>
      <c r="H904" s="16">
        <f t="shared" si="147"/>
        <v>-2.19131426478907</v>
      </c>
      <c r="I904" s="16">
        <f t="shared" si="148"/>
        <v>2.4087974791518998</v>
      </c>
      <c r="J904" s="16">
        <f t="shared" si="149"/>
        <v>-2.1937924793124099</v>
      </c>
      <c r="K904" s="15">
        <f t="shared" si="150"/>
        <v>-3.5345911399975402E-5</v>
      </c>
      <c r="L904" s="15">
        <f t="shared" si="151"/>
        <v>2.4782145233399602E-3</v>
      </c>
      <c r="M904" s="15">
        <f t="shared" si="152"/>
        <v>0.22692326933745399</v>
      </c>
      <c r="N904" s="15">
        <f t="shared" si="153"/>
        <v>0.206668499930831</v>
      </c>
      <c r="O904" s="16">
        <v>8.6685890000000008</v>
      </c>
      <c r="P904" s="16">
        <v>-11.49921</v>
      </c>
      <c r="Q904" s="16">
        <v>3.3487708999999999</v>
      </c>
      <c r="R904" s="16">
        <v>-13.65752</v>
      </c>
      <c r="S904" s="16">
        <f t="shared" si="154"/>
        <v>0.97649509677295576</v>
      </c>
      <c r="T904" s="16">
        <f t="shared" si="155"/>
        <v>-23.233625649505015</v>
      </c>
    </row>
    <row r="905" spans="1:20" x14ac:dyDescent="0.35">
      <c r="A905" s="17">
        <v>3.4875000000000003</v>
      </c>
      <c r="B905" s="17">
        <v>16.024799999999999</v>
      </c>
      <c r="C905" s="17">
        <v>-0.11536664000000001</v>
      </c>
      <c r="D905" s="17">
        <v>-7.8512174000000004E-2</v>
      </c>
      <c r="E905" s="17">
        <v>0.88473058000000004</v>
      </c>
      <c r="F905" s="17">
        <v>-8.3556695E-2</v>
      </c>
      <c r="G905" s="17">
        <f t="shared" si="146"/>
        <v>2.40254061800806</v>
      </c>
      <c r="H905" s="17">
        <f t="shared" si="147"/>
        <v>-2.0383850536614201</v>
      </c>
      <c r="I905" s="17">
        <f t="shared" si="148"/>
        <v>2.4025955864751598</v>
      </c>
      <c r="J905" s="17">
        <f t="shared" si="149"/>
        <v>-2.0409070529222402</v>
      </c>
      <c r="K905" s="15">
        <f t="shared" si="150"/>
        <v>-5.4968467099847401E-5</v>
      </c>
      <c r="L905" s="15">
        <f t="shared" si="151"/>
        <v>2.52199926082008E-3</v>
      </c>
      <c r="M905" s="15">
        <f t="shared" si="152"/>
        <v>0.24176412568465899</v>
      </c>
      <c r="N905" s="15">
        <f t="shared" si="153"/>
        <v>0.205368773684169</v>
      </c>
      <c r="O905" s="17">
        <v>8.4762955000000009</v>
      </c>
      <c r="P905" s="17">
        <v>-12.069042</v>
      </c>
      <c r="Q905" s="17">
        <v>2.9591082000000002</v>
      </c>
      <c r="R905" s="17">
        <v>-14.112019999999999</v>
      </c>
      <c r="S905" s="17">
        <f t="shared" si="154"/>
        <v>0.97767371777924283</v>
      </c>
      <c r="T905" s="17">
        <f t="shared" si="155"/>
        <v>-23.238420820048912</v>
      </c>
    </row>
    <row r="906" spans="1:20" x14ac:dyDescent="0.35">
      <c r="A906" s="16">
        <v>3.4875000000000003</v>
      </c>
      <c r="B906" s="16">
        <v>16.073599999999999</v>
      </c>
      <c r="C906" s="16">
        <v>-0.12115652</v>
      </c>
      <c r="D906" s="16">
        <v>-7.6424376000000002E-2</v>
      </c>
      <c r="E906" s="16">
        <v>0.87894532999999997</v>
      </c>
      <c r="F906" s="16">
        <v>-8.1512188999999999E-2</v>
      </c>
      <c r="G906" s="16">
        <f t="shared" si="146"/>
        <v>2.3968802285213999</v>
      </c>
      <c r="H906" s="16">
        <f t="shared" si="147"/>
        <v>-1.8876906421272901</v>
      </c>
      <c r="I906" s="16">
        <f t="shared" si="148"/>
        <v>2.396937621358</v>
      </c>
      <c r="J906" s="16">
        <f t="shared" si="149"/>
        <v>-1.8902342730908701</v>
      </c>
      <c r="K906" s="15">
        <f t="shared" si="150"/>
        <v>-5.7392836600111997E-5</v>
      </c>
      <c r="L906" s="15">
        <f t="shared" si="151"/>
        <v>2.5436309635800099E-3</v>
      </c>
      <c r="M906" s="15">
        <f t="shared" si="152"/>
        <v>0.25722919002786798</v>
      </c>
      <c r="N906" s="15">
        <f t="shared" si="153"/>
        <v>0.20285193352449701</v>
      </c>
      <c r="O906" s="16">
        <v>8.2395543999999994</v>
      </c>
      <c r="P906" s="16">
        <v>-12.645331000000001</v>
      </c>
      <c r="Q906" s="16">
        <v>2.5256056</v>
      </c>
      <c r="R906" s="16">
        <v>-14.552827000000001</v>
      </c>
      <c r="S906" s="16">
        <f t="shared" si="154"/>
        <v>0.97863161360942974</v>
      </c>
      <c r="T906" s="16">
        <f t="shared" si="155"/>
        <v>-23.242337806790204</v>
      </c>
    </row>
    <row r="907" spans="1:20" x14ac:dyDescent="0.35">
      <c r="A907" s="17">
        <v>3.4875000000000003</v>
      </c>
      <c r="B907" s="17">
        <v>16.122399999999999</v>
      </c>
      <c r="C907" s="17">
        <v>-0.12696536999999999</v>
      </c>
      <c r="D907" s="17">
        <v>-7.3857254999999997E-2</v>
      </c>
      <c r="E907" s="17">
        <v>0.87313823999999995</v>
      </c>
      <c r="F907" s="17">
        <v>-7.8984968000000003E-2</v>
      </c>
      <c r="G907" s="17">
        <f t="shared" si="146"/>
        <v>2.39130405679661</v>
      </c>
      <c r="H907" s="17">
        <f t="shared" si="147"/>
        <v>-1.7397369940051599</v>
      </c>
      <c r="I907" s="17">
        <f t="shared" si="148"/>
        <v>2.3913624314084601</v>
      </c>
      <c r="J907" s="17">
        <f t="shared" si="149"/>
        <v>-1.74230056803508</v>
      </c>
      <c r="K907" s="15">
        <f t="shared" si="150"/>
        <v>-5.8374611850098297E-5</v>
      </c>
      <c r="L907" s="15">
        <f t="shared" si="151"/>
        <v>2.5635740299201301E-3</v>
      </c>
      <c r="M907" s="15">
        <f t="shared" si="152"/>
        <v>0.27316664602379698</v>
      </c>
      <c r="N907" s="15">
        <f t="shared" si="153"/>
        <v>0.19902395232293699</v>
      </c>
      <c r="O907" s="17">
        <v>7.9534475000000002</v>
      </c>
      <c r="P907" s="17">
        <v>-13.219961</v>
      </c>
      <c r="Q907" s="17">
        <v>2.0476046000000001</v>
      </c>
      <c r="R907" s="17">
        <v>-14.974914999999999</v>
      </c>
      <c r="S907" s="17">
        <f t="shared" si="154"/>
        <v>0.97966093913383345</v>
      </c>
      <c r="T907" s="17">
        <f t="shared" si="155"/>
        <v>-23.24604061263765</v>
      </c>
    </row>
    <row r="908" spans="1:20" x14ac:dyDescent="0.35">
      <c r="A908" s="16">
        <v>3.4875000000000003</v>
      </c>
      <c r="B908" s="16">
        <v>16.171199999999999</v>
      </c>
      <c r="C908" s="16">
        <v>-0.13273852</v>
      </c>
      <c r="D908" s="16">
        <v>-7.0790303999999998E-2</v>
      </c>
      <c r="E908" s="16">
        <v>0.86736966000000004</v>
      </c>
      <c r="F908" s="16">
        <v>-7.5962300999999996E-2</v>
      </c>
      <c r="G908" s="16">
        <f t="shared" si="146"/>
        <v>2.3857638270838599</v>
      </c>
      <c r="H908" s="16">
        <f t="shared" si="147"/>
        <v>-1.5945907746478001</v>
      </c>
      <c r="I908" s="16">
        <f t="shared" si="148"/>
        <v>2.3858246004167798</v>
      </c>
      <c r="J908" s="16">
        <f t="shared" si="149"/>
        <v>-1.5971764761274601</v>
      </c>
      <c r="K908" s="15">
        <f t="shared" si="150"/>
        <v>-6.0773332919872303E-5</v>
      </c>
      <c r="L908" s="15">
        <f t="shared" si="151"/>
        <v>2.5857014796599699E-3</v>
      </c>
      <c r="M908" s="15">
        <f t="shared" si="152"/>
        <v>0.28943181808825102</v>
      </c>
      <c r="N908" s="15">
        <f t="shared" si="153"/>
        <v>0.19375845618014201</v>
      </c>
      <c r="O908" s="16">
        <v>7.6157203000000004</v>
      </c>
      <c r="P908" s="16">
        <v>-13.786212000000001</v>
      </c>
      <c r="Q908" s="16">
        <v>1.5254833999999999</v>
      </c>
      <c r="R908" s="16">
        <v>-15.372426000000001</v>
      </c>
      <c r="S908" s="16">
        <f t="shared" si="154"/>
        <v>0.98082827514425375</v>
      </c>
      <c r="T908" s="16">
        <f t="shared" si="155"/>
        <v>-23.249755702668164</v>
      </c>
    </row>
    <row r="909" spans="1:20" x14ac:dyDescent="0.35">
      <c r="A909" s="17">
        <v>3.4875000000000003</v>
      </c>
      <c r="B909" s="17">
        <v>16.22</v>
      </c>
      <c r="C909" s="17">
        <v>-0.13841686</v>
      </c>
      <c r="D909" s="17">
        <v>-6.7209462999999997E-2</v>
      </c>
      <c r="E909" s="17">
        <v>0.86168937999999995</v>
      </c>
      <c r="F909" s="17">
        <v>-7.2419628999999999E-2</v>
      </c>
      <c r="G909" s="17">
        <f t="shared" si="146"/>
        <v>2.3803162515750702</v>
      </c>
      <c r="H909" s="17">
        <f t="shared" si="147"/>
        <v>-1.45204125248602</v>
      </c>
      <c r="I909" s="17">
        <f t="shared" si="148"/>
        <v>2.38037615408349</v>
      </c>
      <c r="J909" s="17">
        <f t="shared" si="149"/>
        <v>-1.4546460410686399</v>
      </c>
      <c r="K909" s="15">
        <f t="shared" si="150"/>
        <v>-5.9902508419806801E-5</v>
      </c>
      <c r="L909" s="15">
        <f t="shared" si="151"/>
        <v>2.60478858261992E-3</v>
      </c>
      <c r="M909" s="15">
        <f t="shared" si="152"/>
        <v>0.30587501168628001</v>
      </c>
      <c r="N909" s="15">
        <f t="shared" si="153"/>
        <v>0.18691998491414299</v>
      </c>
      <c r="O909" s="17">
        <v>7.2264879999999998</v>
      </c>
      <c r="P909" s="17">
        <v>-14.339892000000001</v>
      </c>
      <c r="Q909" s="17">
        <v>0.96048246999999998</v>
      </c>
      <c r="R909" s="17">
        <v>-15.739477000000001</v>
      </c>
      <c r="S909" s="17">
        <f t="shared" si="154"/>
        <v>0.98199655083045057</v>
      </c>
      <c r="T909" s="17">
        <f t="shared" si="155"/>
        <v>-23.253424218348467</v>
      </c>
    </row>
    <row r="910" spans="1:20" x14ac:dyDescent="0.35">
      <c r="A910" s="16">
        <v>3.4875000000000003</v>
      </c>
      <c r="B910" s="16">
        <v>16.268799999999999</v>
      </c>
      <c r="C910" s="16">
        <v>-0.14397968999999999</v>
      </c>
      <c r="D910" s="16">
        <v>-6.3072543999999994E-2</v>
      </c>
      <c r="E910" s="16">
        <v>0.8561086</v>
      </c>
      <c r="F910" s="16">
        <v>-6.8351021999999997E-2</v>
      </c>
      <c r="G910" s="16">
        <f t="shared" si="146"/>
        <v>2.3746057224136199</v>
      </c>
      <c r="H910" s="16">
        <f t="shared" si="147"/>
        <v>-1.3110536703717699</v>
      </c>
      <c r="I910" s="16">
        <f t="shared" si="148"/>
        <v>2.3746568300765101</v>
      </c>
      <c r="J910" s="16">
        <f t="shared" si="149"/>
        <v>-1.3136926579883299</v>
      </c>
      <c r="K910" s="15">
        <f t="shared" si="150"/>
        <v>-5.1107662890181898E-5</v>
      </c>
      <c r="L910" s="15">
        <f t="shared" si="151"/>
        <v>2.6389876165600098E-3</v>
      </c>
      <c r="M910" s="15">
        <f t="shared" si="152"/>
        <v>0.32243403256635</v>
      </c>
      <c r="N910" s="15">
        <f t="shared" si="153"/>
        <v>0.17837491965284799</v>
      </c>
      <c r="O910" s="16">
        <v>6.7835399000000001</v>
      </c>
      <c r="P910" s="16">
        <v>-14.880782999999999</v>
      </c>
      <c r="Q910" s="16">
        <v>0.35045463999999998</v>
      </c>
      <c r="R910" s="16">
        <v>-16.072126999999998</v>
      </c>
      <c r="S910" s="16">
        <f t="shared" si="154"/>
        <v>0.9829964135678354</v>
      </c>
      <c r="T910" s="16">
        <f t="shared" si="155"/>
        <v>-23.257157414569562</v>
      </c>
    </row>
    <row r="911" spans="1:20" x14ac:dyDescent="0.35">
      <c r="A911" s="17">
        <v>3.4875000000000003</v>
      </c>
      <c r="B911" s="17">
        <v>16.317599999999999</v>
      </c>
      <c r="C911" s="17">
        <v>-0.14928496999999999</v>
      </c>
      <c r="D911" s="17">
        <v>-5.8446974999999998E-2</v>
      </c>
      <c r="E911" s="17">
        <v>0.85071834999999996</v>
      </c>
      <c r="F911" s="17">
        <v>-6.3705577999999999E-2</v>
      </c>
      <c r="G911" s="17">
        <f t="shared" si="146"/>
        <v>2.3690830678470101</v>
      </c>
      <c r="H911" s="17">
        <f t="shared" si="147"/>
        <v>-1.17251499282755</v>
      </c>
      <c r="I911" s="17">
        <f t="shared" si="148"/>
        <v>2.36909164098841</v>
      </c>
      <c r="J911" s="17">
        <f t="shared" si="149"/>
        <v>-1.17514426742158</v>
      </c>
      <c r="K911" s="15">
        <f t="shared" si="150"/>
        <v>-8.5731413999035106E-6</v>
      </c>
      <c r="L911" s="15">
        <f t="shared" si="151"/>
        <v>2.6292745940299498E-3</v>
      </c>
      <c r="M911" s="15">
        <f t="shared" si="152"/>
        <v>0.33875335224893299</v>
      </c>
      <c r="N911" s="15">
        <f t="shared" si="153"/>
        <v>0.16803236019991599</v>
      </c>
      <c r="O911" s="17">
        <v>6.2922864000000001</v>
      </c>
      <c r="P911" s="17">
        <v>-15.392877</v>
      </c>
      <c r="Q911" s="17">
        <v>-0.29245344000000001</v>
      </c>
      <c r="R911" s="17">
        <v>-16.359202</v>
      </c>
      <c r="S911" s="17">
        <f t="shared" si="154"/>
        <v>0.98391504692843945</v>
      </c>
      <c r="T911" s="17">
        <f t="shared" si="155"/>
        <v>-23.257885352481317</v>
      </c>
    </row>
    <row r="912" spans="1:20" x14ac:dyDescent="0.35">
      <c r="A912" s="16">
        <v>3.4875000000000003</v>
      </c>
      <c r="B912" s="16">
        <v>16.366399999999999</v>
      </c>
      <c r="C912" s="16">
        <v>-0.15427705</v>
      </c>
      <c r="D912" s="16">
        <v>-5.3346167999999999E-2</v>
      </c>
      <c r="E912" s="16">
        <v>0.84572431999999997</v>
      </c>
      <c r="F912" s="16">
        <v>-5.8646322000000001E-2</v>
      </c>
      <c r="G912" s="16">
        <f t="shared" si="146"/>
        <v>2.3636715086817701</v>
      </c>
      <c r="H912" s="16">
        <f t="shared" si="147"/>
        <v>-1.0380763560072099</v>
      </c>
      <c r="I912" s="16">
        <f t="shared" si="148"/>
        <v>2.3636792165256502</v>
      </c>
      <c r="J912" s="16">
        <f t="shared" si="149"/>
        <v>-1.0407264107655401</v>
      </c>
      <c r="K912" s="15">
        <f t="shared" si="150"/>
        <v>-7.7078438800448606E-6</v>
      </c>
      <c r="L912" s="15">
        <f t="shared" si="151"/>
        <v>2.6500547583301298E-3</v>
      </c>
      <c r="M912" s="15">
        <f t="shared" si="152"/>
        <v>0.35436986567567003</v>
      </c>
      <c r="N912" s="15">
        <f t="shared" si="153"/>
        <v>0.156028819735617</v>
      </c>
      <c r="O912" s="16">
        <v>5.7535316999999999</v>
      </c>
      <c r="P912" s="16">
        <v>-15.869303</v>
      </c>
      <c r="Q912" s="16">
        <v>-0.96658889999999997</v>
      </c>
      <c r="R912" s="16">
        <v>-16.598675</v>
      </c>
      <c r="S912" s="16">
        <f t="shared" si="154"/>
        <v>0.98499363514412741</v>
      </c>
      <c r="T912" s="16">
        <f t="shared" si="155"/>
        <v>-23.261217848965803</v>
      </c>
    </row>
    <row r="913" spans="1:20" x14ac:dyDescent="0.35">
      <c r="A913" s="17">
        <v>3.4875000000000003</v>
      </c>
      <c r="B913" s="17">
        <v>16.415199999999999</v>
      </c>
      <c r="C913" s="17">
        <v>-0.15890028</v>
      </c>
      <c r="D913" s="17">
        <v>-4.7794903999999999E-2</v>
      </c>
      <c r="E913" s="17">
        <v>0.84109845999999999</v>
      </c>
      <c r="F913" s="17">
        <v>-5.3136008999999998E-2</v>
      </c>
      <c r="G913" s="17">
        <f t="shared" si="146"/>
        <v>2.3583111668095702</v>
      </c>
      <c r="H913" s="17">
        <f t="shared" si="147"/>
        <v>-0.90643890299435603</v>
      </c>
      <c r="I913" s="17">
        <f t="shared" si="148"/>
        <v>2.3583176686224498</v>
      </c>
      <c r="J913" s="17">
        <f t="shared" si="149"/>
        <v>-0.90910943981336401</v>
      </c>
      <c r="K913" s="15">
        <f t="shared" si="150"/>
        <v>-6.5018128796445802E-6</v>
      </c>
      <c r="L913" s="15">
        <f t="shared" si="151"/>
        <v>2.6705368190079702E-3</v>
      </c>
      <c r="M913" s="15">
        <f t="shared" si="152"/>
        <v>0.36917112908588601</v>
      </c>
      <c r="N913" s="15">
        <f t="shared" si="153"/>
        <v>0.142312023025541</v>
      </c>
      <c r="O913" s="17">
        <v>5.1713852999999999</v>
      </c>
      <c r="P913" s="17">
        <v>-16.306453000000001</v>
      </c>
      <c r="Q913" s="17">
        <v>-1.6661250000000001</v>
      </c>
      <c r="R913" s="17">
        <v>-16.785340999999999</v>
      </c>
      <c r="S913" s="17">
        <f t="shared" si="154"/>
        <v>0.98602889140188443</v>
      </c>
      <c r="T913" s="17">
        <f t="shared" si="155"/>
        <v>-23.26441753051142</v>
      </c>
    </row>
    <row r="914" spans="1:20" x14ac:dyDescent="0.35">
      <c r="A914" s="16">
        <v>3.4875000000000003</v>
      </c>
      <c r="B914" s="16">
        <v>16.463999999999999</v>
      </c>
      <c r="C914" s="16">
        <v>-0.16309509999999999</v>
      </c>
      <c r="D914" s="16">
        <v>-4.1836825000000001E-2</v>
      </c>
      <c r="E914" s="16">
        <v>0.83690050000000005</v>
      </c>
      <c r="F914" s="16">
        <v>-4.7218609000000002E-2</v>
      </c>
      <c r="G914" s="16">
        <f t="shared" si="146"/>
        <v>2.3530001433751799</v>
      </c>
      <c r="H914" s="16">
        <f t="shared" si="147"/>
        <v>-0.77756196594513804</v>
      </c>
      <c r="I914" s="16">
        <f t="shared" si="148"/>
        <v>2.35300518426545</v>
      </c>
      <c r="J914" s="16">
        <f t="shared" si="149"/>
        <v>-0.78025285030059</v>
      </c>
      <c r="K914" s="15">
        <f t="shared" si="150"/>
        <v>-5.0408902700915803E-6</v>
      </c>
      <c r="L914" s="15">
        <f t="shared" si="151"/>
        <v>2.6908843554519501E-3</v>
      </c>
      <c r="M914" s="15">
        <f t="shared" si="152"/>
        <v>0.38288711862721397</v>
      </c>
      <c r="N914" s="15">
        <f t="shared" si="153"/>
        <v>0.126964771539815</v>
      </c>
      <c r="O914" s="16">
        <v>4.5506489999999999</v>
      </c>
      <c r="P914" s="16">
        <v>-16.698979999999999</v>
      </c>
      <c r="Q914" s="16">
        <v>-2.3845846000000002</v>
      </c>
      <c r="R914" s="16">
        <v>-16.915614999999999</v>
      </c>
      <c r="S914" s="16">
        <f t="shared" si="154"/>
        <v>0.98699658678215729</v>
      </c>
      <c r="T914" s="16">
        <f t="shared" si="155"/>
        <v>-23.267642526500019</v>
      </c>
    </row>
    <row r="915" spans="1:20" x14ac:dyDescent="0.35">
      <c r="A915" s="17">
        <v>3.4875000000000003</v>
      </c>
      <c r="B915" s="17">
        <v>16.512799999999999</v>
      </c>
      <c r="C915" s="17">
        <v>-0.16681668999999999</v>
      </c>
      <c r="D915" s="17">
        <v>-3.5509553999999999E-2</v>
      </c>
      <c r="E915" s="17">
        <v>0.83317631999999997</v>
      </c>
      <c r="F915" s="17">
        <v>-4.0932095000000002E-2</v>
      </c>
      <c r="G915" s="17">
        <f t="shared" si="146"/>
        <v>2.3477497363387401</v>
      </c>
      <c r="H915" s="17">
        <f t="shared" si="147"/>
        <v>-0.65110387775128797</v>
      </c>
      <c r="I915" s="17">
        <f t="shared" si="148"/>
        <v>2.3477535923372899</v>
      </c>
      <c r="J915" s="17">
        <f t="shared" si="149"/>
        <v>-0.65381514727251799</v>
      </c>
      <c r="K915" s="15">
        <f t="shared" si="150"/>
        <v>-3.8559985497954602E-6</v>
      </c>
      <c r="L915" s="15">
        <f t="shared" si="151"/>
        <v>2.7112695212300202E-3</v>
      </c>
      <c r="M915" s="15">
        <f t="shared" si="152"/>
        <v>0.395283230860137</v>
      </c>
      <c r="N915" s="15">
        <f t="shared" si="153"/>
        <v>0.110080616910861</v>
      </c>
      <c r="O915" s="17">
        <v>3.8948835000000002</v>
      </c>
      <c r="P915" s="17">
        <v>-17.041177000000001</v>
      </c>
      <c r="Q915" s="17">
        <v>-3.1166909999999999</v>
      </c>
      <c r="R915" s="17">
        <v>-16.986995</v>
      </c>
      <c r="S915" s="17">
        <f t="shared" si="154"/>
        <v>0.98798286283054104</v>
      </c>
      <c r="T915" s="17">
        <f t="shared" si="155"/>
        <v>-23.270943560092856</v>
      </c>
    </row>
    <row r="916" spans="1:20" x14ac:dyDescent="0.35">
      <c r="A916" s="16">
        <v>3.4875000000000003</v>
      </c>
      <c r="B916" s="16">
        <v>16.561599999999999</v>
      </c>
      <c r="C916" s="16">
        <v>-0.17000277999999999</v>
      </c>
      <c r="D916" s="16">
        <v>-2.8918091E-2</v>
      </c>
      <c r="E916" s="16">
        <v>0.82999573000000004</v>
      </c>
      <c r="F916" s="16">
        <v>-3.4459859000000002E-2</v>
      </c>
      <c r="G916" s="16">
        <f t="shared" si="146"/>
        <v>2.3423524934586002</v>
      </c>
      <c r="H916" s="16">
        <f t="shared" si="147"/>
        <v>-0.52843503325051999</v>
      </c>
      <c r="I916" s="16">
        <f t="shared" si="148"/>
        <v>2.3423594262143999</v>
      </c>
      <c r="J916" s="16">
        <f t="shared" si="149"/>
        <v>-0.53120590010495405</v>
      </c>
      <c r="K916" s="15">
        <f t="shared" si="150"/>
        <v>-6.9327557996601303E-6</v>
      </c>
      <c r="L916" s="15">
        <f t="shared" si="151"/>
        <v>2.7708668544340598E-3</v>
      </c>
      <c r="M916" s="15">
        <f t="shared" si="152"/>
        <v>0.40603735697184901</v>
      </c>
      <c r="N916" s="15">
        <f t="shared" si="153"/>
        <v>9.2082127649834505E-2</v>
      </c>
      <c r="O916" s="16">
        <v>3.2149955000000001</v>
      </c>
      <c r="P916" s="16">
        <v>-17.328296999999999</v>
      </c>
      <c r="Q916" s="16">
        <v>-3.8511977000000002</v>
      </c>
      <c r="R916" s="16">
        <v>-16.998049000000002</v>
      </c>
      <c r="S916" s="16">
        <f t="shared" si="154"/>
        <v>0.98892686784795836</v>
      </c>
      <c r="T916" s="16">
        <f t="shared" si="155"/>
        <v>-23.276635295921967</v>
      </c>
    </row>
    <row r="917" spans="1:20" x14ac:dyDescent="0.35">
      <c r="A917" s="17">
        <v>3.4875000000000003</v>
      </c>
      <c r="B917" s="17">
        <v>16.610399999999998</v>
      </c>
      <c r="C917" s="17">
        <v>-0.17262459999999999</v>
      </c>
      <c r="D917" s="17">
        <v>-2.2129277999999999E-2</v>
      </c>
      <c r="E917" s="17">
        <v>0.82736105999999998</v>
      </c>
      <c r="F917" s="17">
        <v>-2.7633014000000001E-2</v>
      </c>
      <c r="G917" s="17">
        <f t="shared" si="146"/>
        <v>2.3373967963639801</v>
      </c>
      <c r="H917" s="17">
        <f t="shared" si="147"/>
        <v>-0.40757363162343102</v>
      </c>
      <c r="I917" s="17">
        <f t="shared" si="148"/>
        <v>2.3373971991956002</v>
      </c>
      <c r="J917" s="17">
        <f t="shared" si="149"/>
        <v>-0.41032551824591801</v>
      </c>
      <c r="K917" s="15">
        <f t="shared" si="150"/>
        <v>-4.0283162006105002E-7</v>
      </c>
      <c r="L917" s="15">
        <f t="shared" si="151"/>
        <v>2.7518866224869902E-3</v>
      </c>
      <c r="M917" s="15">
        <f t="shared" si="152"/>
        <v>0.41503608613598703</v>
      </c>
      <c r="N917" s="15">
        <f t="shared" si="153"/>
        <v>7.28587752193397E-2</v>
      </c>
      <c r="O917" s="17">
        <v>2.5188739999999998</v>
      </c>
      <c r="P917" s="17">
        <v>-17.556547999999999</v>
      </c>
      <c r="Q917" s="17">
        <v>-4.5771385000000002</v>
      </c>
      <c r="R917" s="17">
        <v>-16.949162000000001</v>
      </c>
      <c r="S917" s="17">
        <f t="shared" si="154"/>
        <v>0.98985111138513915</v>
      </c>
      <c r="T917" s="17">
        <f t="shared" si="155"/>
        <v>-23.276926283730685</v>
      </c>
    </row>
    <row r="918" spans="1:20" x14ac:dyDescent="0.35">
      <c r="A918" s="16">
        <v>3.4875000000000003</v>
      </c>
      <c r="B918" s="16">
        <v>16.659199999999998</v>
      </c>
      <c r="C918" s="16">
        <v>-0.17467768</v>
      </c>
      <c r="D918" s="16">
        <v>-1.5202461E-2</v>
      </c>
      <c r="E918" s="16">
        <v>0.82530817000000001</v>
      </c>
      <c r="F918" s="16">
        <v>-2.0835548999999998E-2</v>
      </c>
      <c r="G918" s="16">
        <f t="shared" si="146"/>
        <v>2.3321636556882201</v>
      </c>
      <c r="H918" s="16">
        <f t="shared" si="147"/>
        <v>-0.29073386297437098</v>
      </c>
      <c r="I918" s="16">
        <f t="shared" si="148"/>
        <v>2.3321645136637201</v>
      </c>
      <c r="J918" s="16">
        <f t="shared" si="149"/>
        <v>-0.293550424485018</v>
      </c>
      <c r="K918" s="15">
        <f t="shared" si="150"/>
        <v>-8.5797549997934705E-7</v>
      </c>
      <c r="L918" s="15">
        <f t="shared" si="151"/>
        <v>2.8165615106470199E-3</v>
      </c>
      <c r="M918" s="15">
        <f t="shared" si="152"/>
        <v>0.42209875829774601</v>
      </c>
      <c r="N918" s="15">
        <f t="shared" si="153"/>
        <v>5.3129729462459703E-2</v>
      </c>
      <c r="O918" s="16">
        <v>1.8111246999999999</v>
      </c>
      <c r="P918" s="16">
        <v>-17.727758999999999</v>
      </c>
      <c r="Q918" s="16">
        <v>-5.2940433999999996</v>
      </c>
      <c r="R918" s="16">
        <v>-16.842251999999998</v>
      </c>
      <c r="S918" s="16">
        <f t="shared" si="154"/>
        <v>0.99072188161469799</v>
      </c>
      <c r="T918" s="16">
        <f t="shared" si="155"/>
        <v>-23.282836533676736</v>
      </c>
    </row>
    <row r="919" spans="1:20" x14ac:dyDescent="0.35">
      <c r="A919" s="17">
        <v>3.4875000000000003</v>
      </c>
      <c r="B919" s="17">
        <v>16.707999999999998</v>
      </c>
      <c r="C919" s="17">
        <v>-0.17615038</v>
      </c>
      <c r="D919" s="17">
        <v>-8.2280102999999997E-3</v>
      </c>
      <c r="E919" s="17">
        <v>0.82382880999999997</v>
      </c>
      <c r="F919" s="17">
        <v>-1.3907467E-2</v>
      </c>
      <c r="G919" s="17">
        <f t="shared" si="146"/>
        <v>2.3271577004467399</v>
      </c>
      <c r="H919" s="17">
        <f t="shared" si="147"/>
        <v>-0.17620324535392601</v>
      </c>
      <c r="I919" s="17">
        <f t="shared" si="148"/>
        <v>2.3271553595822798</v>
      </c>
      <c r="J919" s="17">
        <f t="shared" si="149"/>
        <v>-0.179043009899096</v>
      </c>
      <c r="K919" s="15">
        <f t="shared" si="150"/>
        <v>2.3408644600486601E-6</v>
      </c>
      <c r="L919" s="15">
        <f t="shared" si="151"/>
        <v>2.8397645451699901E-3</v>
      </c>
      <c r="M919" s="15">
        <f t="shared" si="152"/>
        <v>0.42718059779961098</v>
      </c>
      <c r="N919" s="15">
        <f t="shared" si="153"/>
        <v>3.2865747310599103E-2</v>
      </c>
      <c r="O919" s="17">
        <v>1.1019653</v>
      </c>
      <c r="P919" s="17">
        <v>-17.838778000000001</v>
      </c>
      <c r="Q919" s="17">
        <v>-5.9891888</v>
      </c>
      <c r="R919" s="17">
        <v>-16.680402999999998</v>
      </c>
      <c r="S919" s="17">
        <f t="shared" si="154"/>
        <v>0.99162192464867915</v>
      </c>
      <c r="T919" s="17">
        <f t="shared" si="155"/>
        <v>-23.285823889674987</v>
      </c>
    </row>
    <row r="920" spans="1:20" x14ac:dyDescent="0.35">
      <c r="A920" s="16">
        <v>3.4875000000000003</v>
      </c>
      <c r="B920" s="16">
        <v>16.756799999999998</v>
      </c>
      <c r="C920" s="16">
        <v>-0.17706263</v>
      </c>
      <c r="D920" s="16">
        <v>-1.269453E-3</v>
      </c>
      <c r="E920" s="16">
        <v>0.82296528999999996</v>
      </c>
      <c r="F920" s="16">
        <v>-6.9706029000000001E-3</v>
      </c>
      <c r="G920" s="16">
        <f t="shared" si="146"/>
        <v>2.3225427006274799</v>
      </c>
      <c r="H920" s="16">
        <f t="shared" si="147"/>
        <v>-6.4257269802203698E-2</v>
      </c>
      <c r="I920" s="16">
        <f t="shared" si="148"/>
        <v>2.3225647858038201</v>
      </c>
      <c r="J920" s="16">
        <f t="shared" si="149"/>
        <v>-6.71077420041611E-2</v>
      </c>
      <c r="K920" s="15">
        <f t="shared" si="150"/>
        <v>-2.20851763401697E-5</v>
      </c>
      <c r="L920" s="15">
        <f t="shared" si="151"/>
        <v>2.8504722019574002E-3</v>
      </c>
      <c r="M920" s="15">
        <f t="shared" si="152"/>
        <v>0.43019934269990201</v>
      </c>
      <c r="N920" s="15">
        <f t="shared" si="153"/>
        <v>1.24300973978098E-2</v>
      </c>
      <c r="O920" s="16">
        <v>0.39666501999999998</v>
      </c>
      <c r="P920" s="16">
        <v>-17.892393999999999</v>
      </c>
      <c r="Q920" s="16">
        <v>-6.6590090999999996</v>
      </c>
      <c r="R920" s="16">
        <v>-16.468205000000001</v>
      </c>
      <c r="S920" s="16">
        <f t="shared" si="154"/>
        <v>0.99255580640992236</v>
      </c>
      <c r="T920" s="16">
        <f t="shared" si="155"/>
        <v>-23.28622563372085</v>
      </c>
    </row>
    <row r="921" spans="1:20" x14ac:dyDescent="0.35">
      <c r="A921" s="17">
        <v>3.4875000000000003</v>
      </c>
      <c r="B921" s="17">
        <v>16.805599999999998</v>
      </c>
      <c r="C921" s="17">
        <v>-0.17742162</v>
      </c>
      <c r="D921" s="17">
        <v>5.5755661000000001E-3</v>
      </c>
      <c r="E921" s="17">
        <v>0.82260564999999997</v>
      </c>
      <c r="F921" s="17">
        <v>-1.6736092999999999E-4</v>
      </c>
      <c r="G921" s="17">
        <f t="shared" si="146"/>
        <v>2.31769686172502</v>
      </c>
      <c r="H921" s="17">
        <f t="shared" si="147"/>
        <v>4.4383978445441397E-2</v>
      </c>
      <c r="I921" s="17">
        <f t="shared" si="148"/>
        <v>2.3177187414365901</v>
      </c>
      <c r="J921" s="17">
        <f t="shared" si="149"/>
        <v>4.1512616908249499E-2</v>
      </c>
      <c r="K921" s="15">
        <f t="shared" si="150"/>
        <v>-2.1879711570083101E-5</v>
      </c>
      <c r="L921" s="15">
        <f t="shared" si="151"/>
        <v>2.8713615371919001E-3</v>
      </c>
      <c r="M921" s="15">
        <f t="shared" si="152"/>
        <v>0.43132036763569698</v>
      </c>
      <c r="N921" s="15">
        <f t="shared" si="153"/>
        <v>-7.7253710151594501E-3</v>
      </c>
      <c r="O921" s="17">
        <v>-0.29371693999999998</v>
      </c>
      <c r="P921" s="17">
        <v>-17.891269999999999</v>
      </c>
      <c r="Q921" s="17">
        <v>-7.2950140000000001</v>
      </c>
      <c r="R921" s="17">
        <v>-16.209969999999998</v>
      </c>
      <c r="S921" s="17">
        <f t="shared" si="154"/>
        <v>0.99341418529814873</v>
      </c>
      <c r="T921" s="17">
        <f t="shared" si="155"/>
        <v>-23.288768432814013</v>
      </c>
    </row>
    <row r="922" spans="1:20" x14ac:dyDescent="0.35">
      <c r="A922" s="16">
        <v>3.4875000000000003</v>
      </c>
      <c r="B922" s="16">
        <v>16.854399999999998</v>
      </c>
      <c r="C922" s="16">
        <v>-0.17727198999999999</v>
      </c>
      <c r="D922" s="16">
        <v>1.2239681000000001E-2</v>
      </c>
      <c r="E922" s="16">
        <v>0.82274256999999995</v>
      </c>
      <c r="F922" s="16">
        <v>6.5133077999999997E-3</v>
      </c>
      <c r="G922" s="16">
        <f t="shared" si="146"/>
        <v>2.3127627197165399</v>
      </c>
      <c r="H922" s="16">
        <f t="shared" si="147"/>
        <v>0.15021428488771499</v>
      </c>
      <c r="I922" s="16">
        <f t="shared" si="148"/>
        <v>2.31277819725481</v>
      </c>
      <c r="J922" s="16">
        <f t="shared" si="149"/>
        <v>0.14735116344631899</v>
      </c>
      <c r="K922" s="15">
        <f t="shared" si="150"/>
        <v>-1.5477538270136601E-5</v>
      </c>
      <c r="L922" s="15">
        <f t="shared" si="151"/>
        <v>2.8631214413960002E-3</v>
      </c>
      <c r="M922" s="15">
        <f t="shared" si="152"/>
        <v>0.43063239853459301</v>
      </c>
      <c r="N922" s="15">
        <f t="shared" si="153"/>
        <v>-2.74363469082636E-2</v>
      </c>
      <c r="O922" s="16">
        <v>-0.96259737999999995</v>
      </c>
      <c r="P922" s="16">
        <v>-17.839307000000002</v>
      </c>
      <c r="Q922" s="16">
        <v>-7.8921735000000002</v>
      </c>
      <c r="R922" s="16">
        <v>-15.912735</v>
      </c>
      <c r="S922" s="16">
        <f t="shared" si="154"/>
        <v>0.99424045662111238</v>
      </c>
      <c r="T922" s="16">
        <f t="shared" si="155"/>
        <v>-23.291194579774629</v>
      </c>
    </row>
    <row r="923" spans="1:20" x14ac:dyDescent="0.35">
      <c r="A923" s="17">
        <v>3.4875000000000003</v>
      </c>
      <c r="B923" s="17">
        <v>16.903200000000002</v>
      </c>
      <c r="C923" s="17">
        <v>-0.17665550999999999</v>
      </c>
      <c r="D923" s="17">
        <v>1.8671987000000001E-2</v>
      </c>
      <c r="E923" s="17">
        <v>0.82336045000000002</v>
      </c>
      <c r="F923" s="17">
        <v>1.2846082E-2</v>
      </c>
      <c r="G923" s="17">
        <f t="shared" si="146"/>
        <v>2.3081377568508099</v>
      </c>
      <c r="H923" s="17">
        <f t="shared" si="147"/>
        <v>0.25197604613943098</v>
      </c>
      <c r="I923" s="17">
        <f t="shared" si="148"/>
        <v>2.3081542218042701</v>
      </c>
      <c r="J923" s="17">
        <f t="shared" si="149"/>
        <v>0.249063164845851</v>
      </c>
      <c r="K923" s="15">
        <f t="shared" si="150"/>
        <v>-1.6464953460193499E-5</v>
      </c>
      <c r="L923" s="15">
        <f t="shared" si="151"/>
        <v>2.9128812935799702E-3</v>
      </c>
      <c r="M923" s="15">
        <f t="shared" si="152"/>
        <v>0.428260100291743</v>
      </c>
      <c r="N923" s="15">
        <f t="shared" si="153"/>
        <v>-4.6211737044366402E-2</v>
      </c>
      <c r="O923" s="17">
        <v>-1.6061433000000001</v>
      </c>
      <c r="P923" s="17">
        <v>-17.741925999999999</v>
      </c>
      <c r="Q923" s="17">
        <v>-8.4491692999999994</v>
      </c>
      <c r="R923" s="17">
        <v>-15.582996</v>
      </c>
      <c r="S923" s="17">
        <f t="shared" si="154"/>
        <v>0.9950446743346596</v>
      </c>
      <c r="T923" s="17">
        <f t="shared" si="155"/>
        <v>-23.293965533486599</v>
      </c>
    </row>
    <row r="924" spans="1:20" x14ac:dyDescent="0.35">
      <c r="A924" s="16">
        <v>3.4875000000000003</v>
      </c>
      <c r="B924" s="16">
        <v>16.952000000000002</v>
      </c>
      <c r="C924" s="16">
        <v>-0.17563216000000001</v>
      </c>
      <c r="D924" s="16">
        <v>2.4803097E-2</v>
      </c>
      <c r="E924" s="16">
        <v>0.82437890999999996</v>
      </c>
      <c r="F924" s="16">
        <v>1.8937160000000001E-2</v>
      </c>
      <c r="G924" s="16">
        <f t="shared" si="146"/>
        <v>2.3034687622985501</v>
      </c>
      <c r="H924" s="16">
        <f t="shared" si="147"/>
        <v>0.35057284326730098</v>
      </c>
      <c r="I924" s="16">
        <f t="shared" si="148"/>
        <v>2.3034828993552998</v>
      </c>
      <c r="J924" s="16">
        <f t="shared" si="149"/>
        <v>0.34763993246450398</v>
      </c>
      <c r="K924" s="15">
        <f t="shared" si="150"/>
        <v>-1.4137056749685701E-5</v>
      </c>
      <c r="L924" s="15">
        <f t="shared" si="151"/>
        <v>2.9329108027970098E-3</v>
      </c>
      <c r="M924" s="15">
        <f t="shared" si="152"/>
        <v>0.42445750270585603</v>
      </c>
      <c r="N924" s="15">
        <f t="shared" si="153"/>
        <v>-6.4058811817537101E-2</v>
      </c>
      <c r="O924" s="16">
        <v>-2.2166747</v>
      </c>
      <c r="P924" s="16">
        <v>-17.604627000000001</v>
      </c>
      <c r="Q924" s="16">
        <v>-8.9606426999999993</v>
      </c>
      <c r="R924" s="16">
        <v>-15.228631</v>
      </c>
      <c r="S924" s="16">
        <f t="shared" si="154"/>
        <v>0.99581093150718025</v>
      </c>
      <c r="T924" s="16">
        <f t="shared" si="155"/>
        <v>-23.296288762654449</v>
      </c>
    </row>
    <row r="925" spans="1:20" x14ac:dyDescent="0.35">
      <c r="A925" s="17">
        <v>3.4875000000000003</v>
      </c>
      <c r="B925" s="17">
        <v>17</v>
      </c>
      <c r="C925" s="17">
        <v>-0.17592419000000001</v>
      </c>
      <c r="D925" s="17">
        <v>2.7205735000000002E-2</v>
      </c>
      <c r="E925" s="17">
        <v>0.82401566000000004</v>
      </c>
      <c r="F925" s="17">
        <v>2.1509164000000001E-2</v>
      </c>
      <c r="G925" s="17">
        <f t="shared" si="146"/>
        <v>2.2882278327024199</v>
      </c>
      <c r="H925" s="17">
        <f t="shared" si="147"/>
        <v>0.38739866967812803</v>
      </c>
      <c r="I925" s="17">
        <f t="shared" si="148"/>
        <v>2.2882058701943699</v>
      </c>
      <c r="J925" s="17">
        <f t="shared" si="149"/>
        <v>0.38455023595599103</v>
      </c>
      <c r="K925" s="15">
        <f t="shared" si="150"/>
        <v>2.1962508049977499E-5</v>
      </c>
      <c r="L925" s="15">
        <f t="shared" si="151"/>
        <v>2.848433722137E-3</v>
      </c>
      <c r="M925" s="15">
        <f t="shared" si="152"/>
        <v>0.42501964241365398</v>
      </c>
      <c r="N925" s="15">
        <f t="shared" si="153"/>
        <v>-7.1427753029152996E-2</v>
      </c>
      <c r="O925" s="17">
        <v>-2.4960138999999999</v>
      </c>
      <c r="P925" s="17">
        <v>-17.974454999999999</v>
      </c>
      <c r="Q925" s="17">
        <v>-9.1534978999999996</v>
      </c>
      <c r="R925" s="17">
        <v>-15.138579999999999</v>
      </c>
      <c r="S925" s="17">
        <f t="shared" si="154"/>
        <v>0.97486255770625985</v>
      </c>
      <c r="T925" s="17">
        <f t="shared" si="155"/>
        <v>-23.253340029501068</v>
      </c>
    </row>
    <row r="926" spans="1:20" x14ac:dyDescent="0.35">
      <c r="A926" s="16">
        <v>3.6250000000000004</v>
      </c>
      <c r="B926" s="16">
        <v>15</v>
      </c>
      <c r="C926" s="16">
        <v>-3.6262885000000002E-2</v>
      </c>
      <c r="D926" s="16">
        <v>-6.8888649999999996E-2</v>
      </c>
      <c r="E926" s="16">
        <v>0.96366653999999996</v>
      </c>
      <c r="F926" s="16">
        <v>-7.3398594999999997E-2</v>
      </c>
      <c r="G926" s="16">
        <f t="shared" si="146"/>
        <v>2.3451577447593399</v>
      </c>
      <c r="H926" s="16">
        <f t="shared" si="147"/>
        <v>-5.5752896592286101</v>
      </c>
      <c r="I926" s="16">
        <f t="shared" si="148"/>
        <v>2.3451275414275399</v>
      </c>
      <c r="J926" s="16">
        <f t="shared" si="149"/>
        <v>-5.5775447794138397</v>
      </c>
      <c r="K926" s="15">
        <f t="shared" si="150"/>
        <v>3.02033318000383E-5</v>
      </c>
      <c r="L926" s="15">
        <f t="shared" si="151"/>
        <v>2.25512018522966E-3</v>
      </c>
      <c r="M926" s="15">
        <f t="shared" si="152"/>
        <v>6.4059420103030104E-2</v>
      </c>
      <c r="N926" s="15">
        <f t="shared" si="153"/>
        <v>0.15235601384410799</v>
      </c>
      <c r="O926" s="16">
        <v>7.5016609000000001</v>
      </c>
      <c r="P926" s="16">
        <v>-3.8293567999999998</v>
      </c>
      <c r="Q926" s="16">
        <v>5.1989122999999999</v>
      </c>
      <c r="R926" s="16">
        <v>-6.2336188000000003</v>
      </c>
      <c r="S926" s="16">
        <f t="shared" si="154"/>
        <v>0.96373284296960016</v>
      </c>
      <c r="T926" s="16">
        <f t="shared" si="155"/>
        <v>-23.12864047347345</v>
      </c>
    </row>
    <row r="927" spans="1:20" x14ac:dyDescent="0.35">
      <c r="A927" s="17">
        <v>3.6250000000000004</v>
      </c>
      <c r="B927" s="17">
        <v>15.0488</v>
      </c>
      <c r="C927" s="17">
        <v>-3.8503860000000001E-2</v>
      </c>
      <c r="D927" s="17">
        <v>-7.0524263000000004E-2</v>
      </c>
      <c r="E927" s="17">
        <v>0.96145420000000004</v>
      </c>
      <c r="F927" s="17">
        <v>-7.5078871000000005E-2</v>
      </c>
      <c r="G927" s="17">
        <f t="shared" si="146"/>
        <v>2.3393003478117702</v>
      </c>
      <c r="H927" s="17">
        <f t="shared" si="147"/>
        <v>-5.3643603869598397</v>
      </c>
      <c r="I927" s="17">
        <f t="shared" si="148"/>
        <v>2.33928456378491</v>
      </c>
      <c r="J927" s="17">
        <f t="shared" si="149"/>
        <v>-5.3666377746617098</v>
      </c>
      <c r="K927" s="15">
        <f t="shared" si="150"/>
        <v>1.5784026860199401E-5</v>
      </c>
      <c r="L927" s="15">
        <f t="shared" si="151"/>
        <v>2.2773877018700301E-3</v>
      </c>
      <c r="M927" s="15">
        <f t="shared" si="152"/>
        <v>6.82543380372157E-2</v>
      </c>
      <c r="N927" s="15">
        <f t="shared" si="153"/>
        <v>0.15658475863338001</v>
      </c>
      <c r="O927" s="17">
        <v>7.6472388999999996</v>
      </c>
      <c r="P927" s="17">
        <v>-4.0492379999999999</v>
      </c>
      <c r="Q927" s="17">
        <v>5.2552547000000001</v>
      </c>
      <c r="R927" s="17">
        <v>-6.4956075000000002</v>
      </c>
      <c r="S927" s="17">
        <f t="shared" si="154"/>
        <v>0.96557877657848801</v>
      </c>
      <c r="T927" s="17">
        <f t="shared" si="155"/>
        <v>-23.124131956076791</v>
      </c>
    </row>
    <row r="928" spans="1:20" x14ac:dyDescent="0.35">
      <c r="A928" s="16">
        <v>3.6250000000000004</v>
      </c>
      <c r="B928" s="16">
        <v>15.0976</v>
      </c>
      <c r="C928" s="16">
        <v>-4.0810576000000001E-2</v>
      </c>
      <c r="D928" s="16">
        <v>-7.2129091000000006E-2</v>
      </c>
      <c r="E928" s="16">
        <v>0.95914871000000002</v>
      </c>
      <c r="F928" s="16">
        <v>-7.6716597999999997E-2</v>
      </c>
      <c r="G928" s="16">
        <f t="shared" si="146"/>
        <v>2.33315760976188</v>
      </c>
      <c r="H928" s="16">
        <f t="shared" si="147"/>
        <v>-5.1628567192075803</v>
      </c>
      <c r="I928" s="16">
        <f t="shared" si="148"/>
        <v>2.3331425139462301</v>
      </c>
      <c r="J928" s="16">
        <f t="shared" si="149"/>
        <v>-5.1651505540292701</v>
      </c>
      <c r="K928" s="15">
        <f t="shared" si="150"/>
        <v>1.5095815649957E-5</v>
      </c>
      <c r="L928" s="15">
        <f t="shared" si="151"/>
        <v>2.29383482168988E-3</v>
      </c>
      <c r="M928" s="15">
        <f t="shared" si="152"/>
        <v>7.26330314849577E-2</v>
      </c>
      <c r="N928" s="15">
        <f t="shared" si="153"/>
        <v>0.16079623965225101</v>
      </c>
      <c r="O928" s="16">
        <v>7.7924432000000001</v>
      </c>
      <c r="P928" s="16">
        <v>-4.2786609000000002</v>
      </c>
      <c r="Q928" s="16">
        <v>5.3052106999999999</v>
      </c>
      <c r="R928" s="16">
        <v>-6.7654680000000003</v>
      </c>
      <c r="S928" s="16">
        <f t="shared" si="154"/>
        <v>0.96711492388887188</v>
      </c>
      <c r="T928" s="16">
        <f t="shared" si="155"/>
        <v>-23.127639869197758</v>
      </c>
    </row>
    <row r="929" spans="1:20" x14ac:dyDescent="0.35">
      <c r="A929" s="17">
        <v>3.6250000000000004</v>
      </c>
      <c r="B929" s="17">
        <v>15.1464</v>
      </c>
      <c r="C929" s="17">
        <v>-4.3247452999999998E-2</v>
      </c>
      <c r="D929" s="17">
        <v>-7.3714902999999998E-2</v>
      </c>
      <c r="E929" s="17">
        <v>0.95671015999999998</v>
      </c>
      <c r="F929" s="17">
        <v>-7.8334880999999995E-2</v>
      </c>
      <c r="G929" s="17">
        <f t="shared" si="146"/>
        <v>2.3272996716646199</v>
      </c>
      <c r="H929" s="17">
        <f t="shared" si="147"/>
        <v>-4.9665194057730302</v>
      </c>
      <c r="I929" s="17">
        <f t="shared" si="148"/>
        <v>2.3272838140754399</v>
      </c>
      <c r="J929" s="17">
        <f t="shared" si="149"/>
        <v>-4.9688294803624604</v>
      </c>
      <c r="K929" s="15">
        <f t="shared" si="150"/>
        <v>1.58575891799906E-5</v>
      </c>
      <c r="L929" s="15">
        <f t="shared" si="151"/>
        <v>2.31007458943022E-3</v>
      </c>
      <c r="M929" s="15">
        <f t="shared" si="152"/>
        <v>7.73042317740536E-2</v>
      </c>
      <c r="N929" s="15">
        <f t="shared" si="153"/>
        <v>0.16504714357251099</v>
      </c>
      <c r="O929" s="17">
        <v>7.9318011999999998</v>
      </c>
      <c r="P929" s="17">
        <v>-4.5185421000000003</v>
      </c>
      <c r="Q929" s="17">
        <v>5.3481947999999999</v>
      </c>
      <c r="R929" s="17">
        <v>-7.0464088</v>
      </c>
      <c r="S929" s="17">
        <f t="shared" si="154"/>
        <v>0.96906683435663998</v>
      </c>
      <c r="T929" s="17">
        <f t="shared" si="155"/>
        <v>-23.132607257311975</v>
      </c>
    </row>
    <row r="930" spans="1:20" x14ac:dyDescent="0.35">
      <c r="A930" s="16">
        <v>3.6250000000000004</v>
      </c>
      <c r="B930" s="16">
        <v>15.1952</v>
      </c>
      <c r="C930" s="16">
        <v>-4.5833713999999998E-2</v>
      </c>
      <c r="D930" s="16">
        <v>-7.5282615999999997E-2</v>
      </c>
      <c r="E930" s="16">
        <v>0.95412145000000004</v>
      </c>
      <c r="F930" s="16">
        <v>-7.9935500000000007E-2</v>
      </c>
      <c r="G930" s="16">
        <f t="shared" si="146"/>
        <v>2.3215941578282</v>
      </c>
      <c r="H930" s="16">
        <f t="shared" si="147"/>
        <v>-4.7742199849138496</v>
      </c>
      <c r="I930" s="16">
        <f t="shared" si="148"/>
        <v>2.32157715199273</v>
      </c>
      <c r="J930" s="16">
        <f t="shared" si="149"/>
        <v>-4.7765465186331797</v>
      </c>
      <c r="K930" s="15">
        <f t="shared" si="150"/>
        <v>1.7005835470040902E-5</v>
      </c>
      <c r="L930" s="15">
        <f t="shared" si="151"/>
        <v>2.3265337193301098E-3</v>
      </c>
      <c r="M930" s="15">
        <f t="shared" si="152"/>
        <v>8.2310495018898394E-2</v>
      </c>
      <c r="N930" s="15">
        <f t="shared" si="153"/>
        <v>0.169350352234481</v>
      </c>
      <c r="O930" s="16">
        <v>8.0725329000000006</v>
      </c>
      <c r="P930" s="16">
        <v>-4.7747418000000001</v>
      </c>
      <c r="Q930" s="16">
        <v>5.3835072000000004</v>
      </c>
      <c r="R930" s="16">
        <v>-7.3398797</v>
      </c>
      <c r="S930" s="16">
        <f t="shared" si="154"/>
        <v>0.97053138871712286</v>
      </c>
      <c r="T930" s="16">
        <f t="shared" si="155"/>
        <v>-23.137981995469197</v>
      </c>
    </row>
    <row r="931" spans="1:20" x14ac:dyDescent="0.35">
      <c r="A931" s="17">
        <v>3.6250000000000004</v>
      </c>
      <c r="B931" s="17">
        <v>15.244</v>
      </c>
      <c r="C931" s="17">
        <v>-4.8582306999999998E-2</v>
      </c>
      <c r="D931" s="17">
        <v>-7.6826754999999997E-2</v>
      </c>
      <c r="E931" s="17">
        <v>0.95137013999999998</v>
      </c>
      <c r="F931" s="17">
        <v>-8.1513081000000001E-2</v>
      </c>
      <c r="G931" s="17">
        <f t="shared" si="146"/>
        <v>2.3159811676534399</v>
      </c>
      <c r="H931" s="17">
        <f t="shared" si="147"/>
        <v>-4.5855026745162704</v>
      </c>
      <c r="I931" s="17">
        <f t="shared" si="148"/>
        <v>2.31596288136245</v>
      </c>
      <c r="J931" s="17">
        <f t="shared" si="149"/>
        <v>-4.5878459360785797</v>
      </c>
      <c r="K931" s="15">
        <f t="shared" si="150"/>
        <v>1.8286290989877299E-5</v>
      </c>
      <c r="L931" s="15">
        <f t="shared" si="151"/>
        <v>2.3432615623093498E-3</v>
      </c>
      <c r="M931" s="15">
        <f t="shared" si="152"/>
        <v>8.7685961630822595E-2</v>
      </c>
      <c r="N931" s="15">
        <f t="shared" si="153"/>
        <v>0.173702992373717</v>
      </c>
      <c r="O931" s="17">
        <v>8.2105218000000004</v>
      </c>
      <c r="P931" s="17">
        <v>-5.0465837999999996</v>
      </c>
      <c r="Q931" s="17">
        <v>5.4100682999999998</v>
      </c>
      <c r="R931" s="17">
        <v>-7.6466351000000001</v>
      </c>
      <c r="S931" s="17">
        <f t="shared" si="154"/>
        <v>0.97193182364077135</v>
      </c>
      <c r="T931" s="17">
        <f t="shared" si="155"/>
        <v>-23.14332871929259</v>
      </c>
    </row>
    <row r="932" spans="1:20" x14ac:dyDescent="0.35">
      <c r="A932" s="16">
        <v>3.6250000000000004</v>
      </c>
      <c r="B932" s="16">
        <v>15.2928</v>
      </c>
      <c r="C932" s="16">
        <v>-5.1504200999999999E-2</v>
      </c>
      <c r="D932" s="16">
        <v>-7.8338488999999997E-2</v>
      </c>
      <c r="E932" s="16">
        <v>0.94844541999999998</v>
      </c>
      <c r="F932" s="16">
        <v>-8.3058780999999998E-2</v>
      </c>
      <c r="G932" s="16">
        <f t="shared" si="146"/>
        <v>2.3104336961444898</v>
      </c>
      <c r="H932" s="16">
        <f t="shared" si="147"/>
        <v>-4.4001405418904698</v>
      </c>
      <c r="I932" s="16">
        <f t="shared" si="148"/>
        <v>2.3104140766890402</v>
      </c>
      <c r="J932" s="16">
        <f t="shared" si="149"/>
        <v>-4.4025007936488203</v>
      </c>
      <c r="K932" s="15">
        <f t="shared" si="150"/>
        <v>1.96194554495932E-5</v>
      </c>
      <c r="L932" s="15">
        <f t="shared" si="151"/>
        <v>2.3602517583505298E-3</v>
      </c>
      <c r="M932" s="15">
        <f t="shared" si="152"/>
        <v>9.3463252635987704E-2</v>
      </c>
      <c r="N932" s="15">
        <f t="shared" si="153"/>
        <v>0.17809450178584399</v>
      </c>
      <c r="O932" s="16">
        <v>8.3446394000000002</v>
      </c>
      <c r="P932" s="16">
        <v>-5.3349647999999998</v>
      </c>
      <c r="Q932" s="16">
        <v>5.4266512000000002</v>
      </c>
      <c r="R932" s="16">
        <v>-7.9672422000000003</v>
      </c>
      <c r="S932" s="16">
        <f t="shared" si="154"/>
        <v>0.97329460522194178</v>
      </c>
      <c r="T932" s="16">
        <f t="shared" si="155"/>
        <v>-23.148488668109675</v>
      </c>
    </row>
    <row r="933" spans="1:20" x14ac:dyDescent="0.35">
      <c r="A933" s="17">
        <v>3.6250000000000004</v>
      </c>
      <c r="B933" s="17">
        <v>15.3416</v>
      </c>
      <c r="C933" s="17">
        <v>-5.4609549E-2</v>
      </c>
      <c r="D933" s="17">
        <v>-7.9806585999999999E-2</v>
      </c>
      <c r="E933" s="17">
        <v>0.94533730000000005</v>
      </c>
      <c r="F933" s="17">
        <v>-8.4561381000000005E-2</v>
      </c>
      <c r="G933" s="17">
        <f t="shared" ref="G933:G996" si="156">IMREAL(IMDIV(IMSUM(IMPRODUCT(COMPLEX(1 + C933,D933),COMPLEX(1 - C933, - D933)),IMPRODUCT(COMPLEX(E933,F933),COMPLEX(E933,F933))),IMSUB(IMPRODUCT(COMPLEX(1 - C933, - D933),COMPLEX(1 - C933, - D933)),IMPRODUCT(COMPLEX(E933,F933),COMPLEX(E933,F933)))))</f>
        <v>2.3049374176906401</v>
      </c>
      <c r="H933" s="17">
        <f t="shared" ref="H933:H996" si="157">IMAGINARY(IMDIV(IMSUM(IMPRODUCT(COMPLEX(1 + C933,D933),COMPLEX(1 - C933, - D933)),IMPRODUCT(COMPLEX(E933,F933),COMPLEX(E933,F933))),IMSUB(IMPRODUCT(COMPLEX(1 - C933, - D933),COMPLEX(1 - C933, - D933)),IMPRODUCT(COMPLEX(E933,F933),COMPLEX(E933,F933)))))</f>
        <v>-4.2179990580559004</v>
      </c>
      <c r="I933" s="17">
        <f t="shared" ref="I933:I996" si="158">IMREAL(IMDIV(IMPRODUCT(COMPLEX(2,0),COMPLEX(E933,F933)),IMSUB(IMPRODUCT(COMPLEX(1 - C933, - D933),COMPLEX(1 - C933, - D933)),IMPRODUCT(COMPLEX(E933,F933),COMPLEX(E933,F933)))))</f>
        <v>2.3049164939219402</v>
      </c>
      <c r="J933" s="17">
        <f t="shared" ref="J933:J996" si="159">IMAGINARY(IMDIV(IMPRODUCT(COMPLEX(2,0),COMPLEX(E933,F933)),IMSUB(IMPRODUCT(COMPLEX(1 - C933, - D933),COMPLEX(1 - C933, - D933)),IMPRODUCT(COMPLEX(E933,F933),COMPLEX(E933,F933)))))</f>
        <v>-4.2203765684835499</v>
      </c>
      <c r="K933" s="15">
        <f t="shared" ref="K933:K996" si="160">IMREAL(IMSUB(COMPLEX(G933,H933),COMPLEX(I933,J933)))</f>
        <v>2.0923768699887499E-5</v>
      </c>
      <c r="L933" s="15">
        <f t="shared" ref="L933:L996" si="161">IMAGINARY(IMSUB(COMPLEX(G933,H933),COMPLEX(I933,J933)))</f>
        <v>2.3775104276495501E-3</v>
      </c>
      <c r="M933" s="15">
        <f t="shared" ref="M933:M996" si="162">IMREAL(IMDIV(IMSUB(IMPRODUCT(COMPLEX(1 - C933, - D933),COMPLEX(1 - C933, - D933)),IMPRODUCT(COMPLEX(E933,F933),COMPLEX(E933,F933))),IMPRODUCT(COMPLEX(2,0),COMPLEX(E933,F933))))</f>
        <v>9.9675433421516593E-2</v>
      </c>
      <c r="N933" s="15">
        <f t="shared" ref="N933:N996" si="163">IMAGINARY(IMDIV(IMSUB(IMPRODUCT(COMPLEX(1 - C933, - D933),COMPLEX(1 - C933, - D933)),IMPRODUCT(COMPLEX(E933,F933),COMPLEX(E933,F933))),IMPRODUCT(COMPLEX(2,0),COMPLEX(E933,F933))))</f>
        <v>0.18250893894633999</v>
      </c>
      <c r="O933" s="17">
        <v>8.4776022999999991</v>
      </c>
      <c r="P933" s="17">
        <v>-5.6433755999999997</v>
      </c>
      <c r="Q933" s="17">
        <v>5.4317985999999996</v>
      </c>
      <c r="R933" s="17">
        <v>-8.3020472000000005</v>
      </c>
      <c r="S933" s="17">
        <f t="shared" ref="S933:S996" si="164">IMABS(COMPLEX(Q933,R933))/IMABS(COMPLEX(O933,P933))</f>
        <v>0.97416919873519325</v>
      </c>
      <c r="T933" s="17">
        <f t="shared" ref="T933:T996" si="165">IMARGUMENT(IMDIV(COMPLEX(Q933,R933),COMPLEX(O933/B933,P933/B933)))/PI()*180</f>
        <v>-23.153454890690618</v>
      </c>
    </row>
    <row r="934" spans="1:20" x14ac:dyDescent="0.35">
      <c r="A934" s="16">
        <v>3.6250000000000004</v>
      </c>
      <c r="B934" s="16">
        <v>15.3904</v>
      </c>
      <c r="C934" s="16">
        <v>-5.7910523999999998E-2</v>
      </c>
      <c r="D934" s="16">
        <v>-8.1217729000000002E-2</v>
      </c>
      <c r="E934" s="16">
        <v>0.94202251999999997</v>
      </c>
      <c r="F934" s="16">
        <v>-8.6004912000000003E-2</v>
      </c>
      <c r="G934" s="16">
        <f t="shared" si="156"/>
        <v>2.29968456703019</v>
      </c>
      <c r="H934" s="16">
        <f t="shared" si="157"/>
        <v>-4.0386373756809197</v>
      </c>
      <c r="I934" s="16">
        <f t="shared" si="158"/>
        <v>2.2996568177322798</v>
      </c>
      <c r="J934" s="16">
        <f t="shared" si="159"/>
        <v>-4.0410311137389696</v>
      </c>
      <c r="K934" s="15">
        <f t="shared" si="160"/>
        <v>2.77492979101623E-5</v>
      </c>
      <c r="L934" s="15">
        <f t="shared" si="161"/>
        <v>2.3937380580498799E-3</v>
      </c>
      <c r="M934" s="15">
        <f t="shared" si="162"/>
        <v>0.10637520432637999</v>
      </c>
      <c r="N934" s="15">
        <f t="shared" si="163"/>
        <v>0.186925939165627</v>
      </c>
      <c r="O934" s="16">
        <v>8.6003343999999995</v>
      </c>
      <c r="P934" s="16">
        <v>-5.9679203000000003</v>
      </c>
      <c r="Q934" s="16">
        <v>5.4239872</v>
      </c>
      <c r="R934" s="16">
        <v>-8.6522831999999994</v>
      </c>
      <c r="S934" s="16">
        <f t="shared" si="164"/>
        <v>0.9755166052253641</v>
      </c>
      <c r="T934" s="16">
        <f t="shared" si="165"/>
        <v>-23.159567303943149</v>
      </c>
    </row>
    <row r="935" spans="1:20" x14ac:dyDescent="0.35">
      <c r="A935" s="17">
        <v>3.6250000000000004</v>
      </c>
      <c r="B935" s="17">
        <v>15.4392</v>
      </c>
      <c r="C935" s="17">
        <v>-6.1411140000000003E-2</v>
      </c>
      <c r="D935" s="17">
        <v>-8.2556274999999998E-2</v>
      </c>
      <c r="E935" s="17">
        <v>0.93851883999999997</v>
      </c>
      <c r="F935" s="17">
        <v>-8.7378203000000002E-2</v>
      </c>
      <c r="G935" s="17">
        <f t="shared" si="156"/>
        <v>2.2942760270237099</v>
      </c>
      <c r="H935" s="17">
        <f t="shared" si="157"/>
        <v>-3.8626765322737699</v>
      </c>
      <c r="I935" s="17">
        <f t="shared" si="158"/>
        <v>2.2942468291221298</v>
      </c>
      <c r="J935" s="17">
        <f t="shared" si="159"/>
        <v>-3.8650876510821202</v>
      </c>
      <c r="K935" s="15">
        <f t="shared" si="160"/>
        <v>2.9197901580069199E-5</v>
      </c>
      <c r="L935" s="15">
        <f t="shared" si="161"/>
        <v>2.41111880835021E-3</v>
      </c>
      <c r="M935" s="15">
        <f t="shared" si="162"/>
        <v>0.113562683590174</v>
      </c>
      <c r="N935" s="15">
        <f t="shared" si="163"/>
        <v>0.19131756897145999</v>
      </c>
      <c r="O935" s="17">
        <v>8.7150481000000006</v>
      </c>
      <c r="P935" s="17">
        <v>-6.3112428999999999</v>
      </c>
      <c r="Q935" s="17">
        <v>5.4016551000000002</v>
      </c>
      <c r="R935" s="17">
        <v>-9.0168827999999994</v>
      </c>
      <c r="S935" s="17">
        <f t="shared" si="164"/>
        <v>0.97683649023890617</v>
      </c>
      <c r="T935" s="17">
        <f t="shared" si="165"/>
        <v>-23.164640069655096</v>
      </c>
    </row>
    <row r="936" spans="1:20" x14ac:dyDescent="0.35">
      <c r="A936" s="16">
        <v>3.6250000000000004</v>
      </c>
      <c r="B936" s="16">
        <v>15.488</v>
      </c>
      <c r="C936" s="16">
        <v>-6.5121577999999999E-2</v>
      </c>
      <c r="D936" s="16">
        <v>-8.3803866000000005E-2</v>
      </c>
      <c r="E936" s="16">
        <v>0.93480616000000005</v>
      </c>
      <c r="F936" s="16">
        <v>-8.8652102999999996E-2</v>
      </c>
      <c r="G936" s="16">
        <f t="shared" si="156"/>
        <v>2.28911140772979</v>
      </c>
      <c r="H936" s="16">
        <f t="shared" si="157"/>
        <v>-3.6898039272453902</v>
      </c>
      <c r="I936" s="16">
        <f t="shared" si="158"/>
        <v>2.2890811523772601</v>
      </c>
      <c r="J936" s="16">
        <f t="shared" si="159"/>
        <v>-3.69222820667959</v>
      </c>
      <c r="K936" s="15">
        <f t="shared" si="160"/>
        <v>3.0255352529984199E-5</v>
      </c>
      <c r="L936" s="15">
        <f t="shared" si="161"/>
        <v>2.42427943419976E-3</v>
      </c>
      <c r="M936" s="15">
        <f t="shared" si="162"/>
        <v>0.121292262789425</v>
      </c>
      <c r="N936" s="15">
        <f t="shared" si="163"/>
        <v>0.19564125695501</v>
      </c>
      <c r="O936" s="16">
        <v>8.8199348999999998</v>
      </c>
      <c r="P936" s="16">
        <v>-6.6743348999999998</v>
      </c>
      <c r="Q936" s="16">
        <v>5.3626338999999996</v>
      </c>
      <c r="R936" s="16">
        <v>-9.3962894000000006</v>
      </c>
      <c r="S936" s="16">
        <f t="shared" si="164"/>
        <v>0.97814106850254334</v>
      </c>
      <c r="T936" s="16">
        <f t="shared" si="165"/>
        <v>-23.169816710066378</v>
      </c>
    </row>
    <row r="937" spans="1:20" x14ac:dyDescent="0.35">
      <c r="A937" s="17">
        <v>3.6250000000000004</v>
      </c>
      <c r="B937" s="17">
        <v>15.536799999999999</v>
      </c>
      <c r="C937" s="17">
        <v>-6.9050729000000005E-2</v>
      </c>
      <c r="D937" s="17">
        <v>-8.4940073000000005E-2</v>
      </c>
      <c r="E937" s="17">
        <v>0.93085700999999998</v>
      </c>
      <c r="F937" s="17">
        <v>-8.9819065000000003E-2</v>
      </c>
      <c r="G937" s="17">
        <f t="shared" si="156"/>
        <v>2.2840362545949402</v>
      </c>
      <c r="H937" s="17">
        <f t="shared" si="157"/>
        <v>-3.5194341139324701</v>
      </c>
      <c r="I937" s="17">
        <f t="shared" si="158"/>
        <v>2.2839960738957901</v>
      </c>
      <c r="J937" s="17">
        <f t="shared" si="159"/>
        <v>-3.5218738204980098</v>
      </c>
      <c r="K937" s="15">
        <f t="shared" si="160"/>
        <v>4.01806991501275E-5</v>
      </c>
      <c r="L937" s="15">
        <f t="shared" si="161"/>
        <v>2.4397065655397099E-3</v>
      </c>
      <c r="M937" s="15">
        <f t="shared" si="162"/>
        <v>0.129623486732447</v>
      </c>
      <c r="N937" s="15">
        <f t="shared" si="163"/>
        <v>0.19987668528081101</v>
      </c>
      <c r="O937" s="17">
        <v>8.9130005000000008</v>
      </c>
      <c r="P937" s="17">
        <v>-7.0578482999999999</v>
      </c>
      <c r="Q937" s="17">
        <v>5.3047699000000001</v>
      </c>
      <c r="R937" s="17">
        <v>-9.7901668999999991</v>
      </c>
      <c r="S937" s="17">
        <f t="shared" si="164"/>
        <v>0.97941421206558565</v>
      </c>
      <c r="T937" s="17">
        <f t="shared" si="165"/>
        <v>-23.174802431872049</v>
      </c>
    </row>
    <row r="938" spans="1:20" x14ac:dyDescent="0.35">
      <c r="A938" s="16">
        <v>3.6250000000000004</v>
      </c>
      <c r="B938" s="16">
        <v>15.585599999999999</v>
      </c>
      <c r="C938" s="16">
        <v>-7.3202506000000001E-2</v>
      </c>
      <c r="D938" s="16">
        <v>-8.5945455000000004E-2</v>
      </c>
      <c r="E938" s="16">
        <v>0.92670306000000002</v>
      </c>
      <c r="F938" s="16">
        <v>-9.0858592000000002E-2</v>
      </c>
      <c r="G938" s="16">
        <f t="shared" si="156"/>
        <v>2.2787489494256299</v>
      </c>
      <c r="H938" s="16">
        <f t="shared" si="157"/>
        <v>-3.3523025081242901</v>
      </c>
      <c r="I938" s="16">
        <f t="shared" si="158"/>
        <v>2.2787077657433499</v>
      </c>
      <c r="J938" s="16">
        <f t="shared" si="159"/>
        <v>-3.35475929379687</v>
      </c>
      <c r="K938" s="15">
        <f t="shared" si="160"/>
        <v>4.1183682280010499E-5</v>
      </c>
      <c r="L938" s="15">
        <f t="shared" si="161"/>
        <v>2.4567856725799002E-3</v>
      </c>
      <c r="M938" s="15">
        <f t="shared" si="162"/>
        <v>0.13854921797865</v>
      </c>
      <c r="N938" s="15">
        <f t="shared" si="163"/>
        <v>0.20397493862515401</v>
      </c>
      <c r="O938" s="16">
        <v>8.9923772</v>
      </c>
      <c r="P938" s="16">
        <v>-7.4620715999999998</v>
      </c>
      <c r="Q938" s="16">
        <v>5.2263890000000002</v>
      </c>
      <c r="R938" s="16">
        <v>-10.198479000000001</v>
      </c>
      <c r="S938" s="16">
        <f t="shared" si="164"/>
        <v>0.98069456628967466</v>
      </c>
      <c r="T938" s="16">
        <f t="shared" si="165"/>
        <v>-23.17970447413769</v>
      </c>
    </row>
    <row r="939" spans="1:20" x14ac:dyDescent="0.35">
      <c r="A939" s="17">
        <v>3.6250000000000004</v>
      </c>
      <c r="B939" s="17">
        <v>15.634399999999999</v>
      </c>
      <c r="C939" s="17">
        <v>-7.7581544000000002E-2</v>
      </c>
      <c r="D939" s="17">
        <v>-8.6793281999999999E-2</v>
      </c>
      <c r="E939" s="17">
        <v>0.92232212000000002</v>
      </c>
      <c r="F939" s="17">
        <v>-9.174032E-2</v>
      </c>
      <c r="G939" s="17">
        <f t="shared" si="156"/>
        <v>2.2735143589500901</v>
      </c>
      <c r="H939" s="17">
        <f t="shared" si="157"/>
        <v>-3.1880172313136002</v>
      </c>
      <c r="I939" s="17">
        <f t="shared" si="158"/>
        <v>2.2734723077728298</v>
      </c>
      <c r="J939" s="17">
        <f t="shared" si="159"/>
        <v>-3.1904909734831901</v>
      </c>
      <c r="K939" s="15">
        <f t="shared" si="160"/>
        <v>4.2051177260304899E-5</v>
      </c>
      <c r="L939" s="15">
        <f t="shared" si="161"/>
        <v>2.4737421695899499E-3</v>
      </c>
      <c r="M939" s="15">
        <f t="shared" si="162"/>
        <v>0.14812912363721001</v>
      </c>
      <c r="N939" s="15">
        <f t="shared" si="163"/>
        <v>0.20787789244614799</v>
      </c>
      <c r="O939" s="17">
        <v>9.0509006999999997</v>
      </c>
      <c r="P939" s="17">
        <v>-7.8833792000000003</v>
      </c>
      <c r="Q939" s="17">
        <v>5.1250551</v>
      </c>
      <c r="R939" s="17">
        <v>-10.621325000000001</v>
      </c>
      <c r="S939" s="17">
        <f t="shared" si="164"/>
        <v>0.98253698241921361</v>
      </c>
      <c r="T939" s="17">
        <f t="shared" si="165"/>
        <v>-23.185502180590227</v>
      </c>
    </row>
    <row r="940" spans="1:20" x14ac:dyDescent="0.35">
      <c r="A940" s="16">
        <v>3.6250000000000004</v>
      </c>
      <c r="B940" s="16">
        <v>15.683199999999999</v>
      </c>
      <c r="C940" s="16">
        <v>-8.2189420999999999E-2</v>
      </c>
      <c r="D940" s="16">
        <v>-8.7456223E-2</v>
      </c>
      <c r="E940" s="16">
        <v>0.91771278000000001</v>
      </c>
      <c r="F940" s="16">
        <v>-9.2436744000000001E-2</v>
      </c>
      <c r="G940" s="16">
        <f t="shared" si="156"/>
        <v>2.2683338080921902</v>
      </c>
      <c r="H940" s="16">
        <f t="shared" si="157"/>
        <v>-3.0265399699045701</v>
      </c>
      <c r="I940" s="16">
        <f t="shared" si="158"/>
        <v>2.26829110846962</v>
      </c>
      <c r="J940" s="16">
        <f t="shared" si="159"/>
        <v>-3.0290304585213899</v>
      </c>
      <c r="K940" s="15">
        <f t="shared" si="160"/>
        <v>4.2699622570197E-5</v>
      </c>
      <c r="L940" s="15">
        <f t="shared" si="161"/>
        <v>2.4904886168197701E-3</v>
      </c>
      <c r="M940" s="15">
        <f t="shared" si="162"/>
        <v>0.15839833585481</v>
      </c>
      <c r="N940" s="15">
        <f t="shared" si="163"/>
        <v>0.21152196122085501</v>
      </c>
      <c r="O940" s="16">
        <v>9.1001425999999999</v>
      </c>
      <c r="P940" s="16">
        <v>-8.3341743000000008</v>
      </c>
      <c r="Q940" s="16">
        <v>4.9975676</v>
      </c>
      <c r="R940" s="16">
        <v>-11.055227</v>
      </c>
      <c r="S940" s="16">
        <f t="shared" si="164"/>
        <v>0.98318664051906002</v>
      </c>
      <c r="T940" s="16">
        <f t="shared" si="165"/>
        <v>-23.190072729873691</v>
      </c>
    </row>
    <row r="941" spans="1:20" x14ac:dyDescent="0.35">
      <c r="A941" s="17">
        <v>3.6250000000000004</v>
      </c>
      <c r="B941" s="17">
        <v>15.731999999999999</v>
      </c>
      <c r="C941" s="17">
        <v>-8.7024791000000004E-2</v>
      </c>
      <c r="D941" s="17">
        <v>-8.7904589000000005E-2</v>
      </c>
      <c r="E941" s="17">
        <v>0.91287664000000002</v>
      </c>
      <c r="F941" s="17">
        <v>-9.2918018000000005E-2</v>
      </c>
      <c r="G941" s="17">
        <f t="shared" si="156"/>
        <v>2.2632079561529901</v>
      </c>
      <c r="H941" s="17">
        <f t="shared" si="157"/>
        <v>-2.86783572234221</v>
      </c>
      <c r="I941" s="17">
        <f t="shared" si="158"/>
        <v>2.26316495373114</v>
      </c>
      <c r="J941" s="17">
        <f t="shared" si="159"/>
        <v>-2.8703426681905699</v>
      </c>
      <c r="K941" s="15">
        <f t="shared" si="160"/>
        <v>4.3002421850069097E-5</v>
      </c>
      <c r="L941" s="15">
        <f t="shared" si="161"/>
        <v>2.5069458483599799E-3</v>
      </c>
      <c r="M941" s="15">
        <f t="shared" si="162"/>
        <v>0.16938865144385401</v>
      </c>
      <c r="N941" s="15">
        <f t="shared" si="163"/>
        <v>0.21483342296591301</v>
      </c>
      <c r="O941" s="17">
        <v>9.1224580999999993</v>
      </c>
      <c r="P941" s="17">
        <v>-8.8012803000000002</v>
      </c>
      <c r="Q941" s="17">
        <v>4.8420905999999997</v>
      </c>
      <c r="R941" s="17">
        <v>-11.500715</v>
      </c>
      <c r="S941" s="17">
        <f t="shared" si="164"/>
        <v>0.98441478761224355</v>
      </c>
      <c r="T941" s="17">
        <f t="shared" si="165"/>
        <v>-23.194262512481821</v>
      </c>
    </row>
    <row r="942" spans="1:20" x14ac:dyDescent="0.35">
      <c r="A942" s="16">
        <v>3.6250000000000004</v>
      </c>
      <c r="B942" s="16">
        <v>15.780799999999999</v>
      </c>
      <c r="C942" s="16">
        <v>-9.2082754000000003E-2</v>
      </c>
      <c r="D942" s="16">
        <v>-8.8106513999999997E-2</v>
      </c>
      <c r="E942" s="16">
        <v>0.90781898999999999</v>
      </c>
      <c r="F942" s="16">
        <v>-9.3152209999999999E-2</v>
      </c>
      <c r="G942" s="16">
        <f t="shared" si="156"/>
        <v>2.2581364408559499</v>
      </c>
      <c r="H942" s="16">
        <f t="shared" si="157"/>
        <v>-2.7118731822428499</v>
      </c>
      <c r="I942" s="16">
        <f t="shared" si="158"/>
        <v>2.2580936761019501</v>
      </c>
      <c r="J942" s="16">
        <f t="shared" si="159"/>
        <v>-2.7143962620856898</v>
      </c>
      <c r="K942" s="15">
        <f t="shared" si="160"/>
        <v>4.2764753999779997E-5</v>
      </c>
      <c r="L942" s="15">
        <f t="shared" si="161"/>
        <v>2.5230798428399499E-3</v>
      </c>
      <c r="M942" s="15">
        <f t="shared" si="162"/>
        <v>0.181126623016342</v>
      </c>
      <c r="N942" s="15">
        <f t="shared" si="163"/>
        <v>0.21772764951384899</v>
      </c>
      <c r="O942" s="16">
        <v>9.1165787999999992</v>
      </c>
      <c r="P942" s="16">
        <v>-9.2851016000000008</v>
      </c>
      <c r="Q942" s="16">
        <v>4.6556737999999998</v>
      </c>
      <c r="R942" s="16">
        <v>-11.956092</v>
      </c>
      <c r="S942" s="16">
        <f t="shared" si="164"/>
        <v>0.98601865568480163</v>
      </c>
      <c r="T942" s="16">
        <f t="shared" si="165"/>
        <v>-23.19947894746409</v>
      </c>
    </row>
    <row r="943" spans="1:20" x14ac:dyDescent="0.35">
      <c r="A943" s="17">
        <v>3.6250000000000004</v>
      </c>
      <c r="B943" s="17">
        <v>15.829599999999999</v>
      </c>
      <c r="C943" s="17">
        <v>-9.7354189999999993E-2</v>
      </c>
      <c r="D943" s="17">
        <v>-8.8028308E-2</v>
      </c>
      <c r="E943" s="17">
        <v>0.90254942999999999</v>
      </c>
      <c r="F943" s="17">
        <v>-9.3105729999999998E-2</v>
      </c>
      <c r="G943" s="17">
        <f t="shared" si="156"/>
        <v>2.2531168410414701</v>
      </c>
      <c r="H943" s="17">
        <f t="shared" si="157"/>
        <v>-2.5586237775957601</v>
      </c>
      <c r="I943" s="17">
        <f t="shared" si="158"/>
        <v>2.2530750946629299</v>
      </c>
      <c r="J943" s="17">
        <f t="shared" si="159"/>
        <v>-2.5611627169292301</v>
      </c>
      <c r="K943" s="15">
        <f t="shared" si="160"/>
        <v>4.1746378540263903E-5</v>
      </c>
      <c r="L943" s="15">
        <f t="shared" si="161"/>
        <v>2.5389393334700498E-3</v>
      </c>
      <c r="M943" s="15">
        <f t="shared" si="162"/>
        <v>0.19363132524823901</v>
      </c>
      <c r="N943" s="15">
        <f t="shared" si="163"/>
        <v>0.220108656045297</v>
      </c>
      <c r="O943" s="17">
        <v>9.0897889000000003</v>
      </c>
      <c r="P943" s="17">
        <v>-9.7952749000000008</v>
      </c>
      <c r="Q943" s="17">
        <v>4.4357533</v>
      </c>
      <c r="R943" s="17">
        <v>-12.417888</v>
      </c>
      <c r="S943" s="17">
        <f t="shared" si="164"/>
        <v>0.98677546974985464</v>
      </c>
      <c r="T943" s="17">
        <f t="shared" si="165"/>
        <v>-23.203536291356897</v>
      </c>
    </row>
    <row r="944" spans="1:20" x14ac:dyDescent="0.35">
      <c r="A944" s="16">
        <v>3.6250000000000004</v>
      </c>
      <c r="B944" s="16">
        <v>15.878399999999999</v>
      </c>
      <c r="C944" s="16">
        <v>-0.10282709</v>
      </c>
      <c r="D944" s="16">
        <v>-8.7633354999999996E-2</v>
      </c>
      <c r="E944" s="16">
        <v>0.89706558000000003</v>
      </c>
      <c r="F944" s="16">
        <v>-9.2751928999999997E-2</v>
      </c>
      <c r="G944" s="16">
        <f t="shared" si="156"/>
        <v>2.2480299246087698</v>
      </c>
      <c r="H944" s="16">
        <f t="shared" si="157"/>
        <v>-2.4078195230752</v>
      </c>
      <c r="I944" s="16">
        <f t="shared" si="158"/>
        <v>2.2479828076903399</v>
      </c>
      <c r="J944" s="16">
        <f t="shared" si="159"/>
        <v>-2.4103790680189001</v>
      </c>
      <c r="K944" s="15">
        <f t="shared" si="160"/>
        <v>4.7116918429956897E-5</v>
      </c>
      <c r="L944" s="15">
        <f t="shared" si="161"/>
        <v>2.5595449437001401E-3</v>
      </c>
      <c r="M944" s="15">
        <f t="shared" si="162"/>
        <v>0.20693266710795</v>
      </c>
      <c r="N944" s="15">
        <f t="shared" si="163"/>
        <v>0.22188166545579399</v>
      </c>
      <c r="O944" s="16">
        <v>9.0252411000000006</v>
      </c>
      <c r="P944" s="16">
        <v>-10.316511999999999</v>
      </c>
      <c r="Q944" s="16">
        <v>4.1794779999999996</v>
      </c>
      <c r="R944" s="16">
        <v>-12.884740000000001</v>
      </c>
      <c r="S944" s="16">
        <f t="shared" si="164"/>
        <v>0.98821911632505055</v>
      </c>
      <c r="T944" s="16">
        <f t="shared" si="165"/>
        <v>-23.20882716340061</v>
      </c>
    </row>
    <row r="945" spans="1:20" x14ac:dyDescent="0.35">
      <c r="A945" s="17">
        <v>3.6250000000000004</v>
      </c>
      <c r="B945" s="17">
        <v>15.927199999999999</v>
      </c>
      <c r="C945" s="17">
        <v>-0.10847821000000001</v>
      </c>
      <c r="D945" s="17">
        <v>-8.6889346000000006E-2</v>
      </c>
      <c r="E945" s="17">
        <v>0.89141840000000006</v>
      </c>
      <c r="F945" s="17">
        <v>-9.2044200000000007E-2</v>
      </c>
      <c r="G945" s="17">
        <f t="shared" si="156"/>
        <v>2.2430257362342698</v>
      </c>
      <c r="H945" s="17">
        <f t="shared" si="157"/>
        <v>-2.2599095428362799</v>
      </c>
      <c r="I945" s="17">
        <f t="shared" si="158"/>
        <v>2.2429806826779202</v>
      </c>
      <c r="J945" s="17">
        <f t="shared" si="159"/>
        <v>-2.2624872192115202</v>
      </c>
      <c r="K945" s="15">
        <f t="shared" si="160"/>
        <v>4.5053556349650103E-5</v>
      </c>
      <c r="L945" s="15">
        <f t="shared" si="161"/>
        <v>2.5776763752403098E-3</v>
      </c>
      <c r="M945" s="15">
        <f t="shared" si="162"/>
        <v>0.22098743865509901</v>
      </c>
      <c r="N945" s="15">
        <f t="shared" si="163"/>
        <v>0.22290930074641499</v>
      </c>
      <c r="O945" s="17">
        <v>8.9314254000000002</v>
      </c>
      <c r="P945" s="17">
        <v>-10.85901</v>
      </c>
      <c r="Q945" s="17">
        <v>3.8853830999999999</v>
      </c>
      <c r="R945" s="17">
        <v>-13.352755999999999</v>
      </c>
      <c r="S945" s="17">
        <f t="shared" si="164"/>
        <v>0.9890743206830217</v>
      </c>
      <c r="T945" s="17">
        <f t="shared" si="165"/>
        <v>-23.213017387565422</v>
      </c>
    </row>
    <row r="946" spans="1:20" x14ac:dyDescent="0.35">
      <c r="A946" s="16">
        <v>3.6250000000000004</v>
      </c>
      <c r="B946" s="16">
        <v>15.976000000000001</v>
      </c>
      <c r="C946" s="16">
        <v>-0.11428109</v>
      </c>
      <c r="D946" s="16">
        <v>-8.5759488999999994E-2</v>
      </c>
      <c r="E946" s="16">
        <v>0.88561000000000001</v>
      </c>
      <c r="F946" s="16">
        <v>-9.0947983999999996E-2</v>
      </c>
      <c r="G946" s="16">
        <f t="shared" si="156"/>
        <v>2.2380751869446902</v>
      </c>
      <c r="H946" s="16">
        <f t="shared" si="157"/>
        <v>-2.1145545128447099</v>
      </c>
      <c r="I946" s="16">
        <f t="shared" si="158"/>
        <v>2.2380274601535501</v>
      </c>
      <c r="J946" s="16">
        <f t="shared" si="159"/>
        <v>-2.1171490254440002</v>
      </c>
      <c r="K946" s="15">
        <f t="shared" si="160"/>
        <v>4.77267911400681E-5</v>
      </c>
      <c r="L946" s="15">
        <f t="shared" si="161"/>
        <v>2.5945125992903298E-3</v>
      </c>
      <c r="M946" s="15">
        <f t="shared" si="162"/>
        <v>0.235803073111363</v>
      </c>
      <c r="N946" s="15">
        <f t="shared" si="163"/>
        <v>0.22306707818507701</v>
      </c>
      <c r="O946" s="16">
        <v>8.7953328000000006</v>
      </c>
      <c r="P946" s="16">
        <v>-11.408768999999999</v>
      </c>
      <c r="Q946" s="16">
        <v>3.5513526999999998</v>
      </c>
      <c r="R946" s="16">
        <v>-13.8188</v>
      </c>
      <c r="S946" s="16">
        <f t="shared" si="164"/>
        <v>0.99044541640104466</v>
      </c>
      <c r="T946" s="16">
        <f t="shared" si="165"/>
        <v>-23.216826312719437</v>
      </c>
    </row>
    <row r="947" spans="1:20" x14ac:dyDescent="0.35">
      <c r="A947" s="17">
        <v>3.6250000000000004</v>
      </c>
      <c r="B947" s="17">
        <v>16.024799999999999</v>
      </c>
      <c r="C947" s="17">
        <v>-0.12021198</v>
      </c>
      <c r="D947" s="17">
        <v>-8.4206266000000002E-2</v>
      </c>
      <c r="E947" s="17">
        <v>0.87968067999999999</v>
      </c>
      <c r="F947" s="17">
        <v>-8.9431225000000003E-2</v>
      </c>
      <c r="G947" s="17">
        <f t="shared" si="156"/>
        <v>2.2331695202553301</v>
      </c>
      <c r="H947" s="17">
        <f t="shared" si="157"/>
        <v>-1.97172845142325</v>
      </c>
      <c r="I947" s="17">
        <f t="shared" si="158"/>
        <v>2.2331226734762799</v>
      </c>
      <c r="J947" s="17">
        <f t="shared" si="159"/>
        <v>-1.9743411935353801</v>
      </c>
      <c r="K947" s="15">
        <f t="shared" si="160"/>
        <v>4.68467790502025E-5</v>
      </c>
      <c r="L947" s="15">
        <f t="shared" si="161"/>
        <v>2.61274211213003E-3</v>
      </c>
      <c r="M947" s="15">
        <f t="shared" si="162"/>
        <v>0.251340220062436</v>
      </c>
      <c r="N947" s="15">
        <f t="shared" si="163"/>
        <v>0.22221410223247501</v>
      </c>
      <c r="O947" s="17">
        <v>8.6215057999999996</v>
      </c>
      <c r="P947" s="17">
        <v>-11.973418000000001</v>
      </c>
      <c r="Q947" s="17">
        <v>3.1746780999999999</v>
      </c>
      <c r="R947" s="17">
        <v>-14.278371</v>
      </c>
      <c r="S947" s="17">
        <f t="shared" si="164"/>
        <v>0.99136659059176291</v>
      </c>
      <c r="T947" s="17">
        <f t="shared" si="165"/>
        <v>-23.220585318263577</v>
      </c>
    </row>
    <row r="948" spans="1:20" x14ac:dyDescent="0.35">
      <c r="A948" s="16">
        <v>3.6250000000000004</v>
      </c>
      <c r="B948" s="16">
        <v>16.073599999999999</v>
      </c>
      <c r="C948" s="16">
        <v>-0.12622781999999999</v>
      </c>
      <c r="D948" s="16">
        <v>-8.2200259999999997E-2</v>
      </c>
      <c r="E948" s="16">
        <v>0.87366832999999999</v>
      </c>
      <c r="F948" s="16">
        <v>-8.7461771999999993E-2</v>
      </c>
      <c r="G948" s="16">
        <f t="shared" si="156"/>
        <v>2.2282864612649398</v>
      </c>
      <c r="H948" s="16">
        <f t="shared" si="157"/>
        <v>-1.83145192290934</v>
      </c>
      <c r="I948" s="16">
        <f t="shared" si="158"/>
        <v>2.2282414554760299</v>
      </c>
      <c r="J948" s="16">
        <f t="shared" si="159"/>
        <v>-1.83408293392384</v>
      </c>
      <c r="K948" s="15">
        <f t="shared" si="160"/>
        <v>4.50057889098687E-5</v>
      </c>
      <c r="L948" s="15">
        <f t="shared" si="161"/>
        <v>2.63101101450003E-3</v>
      </c>
      <c r="M948" s="15">
        <f t="shared" si="162"/>
        <v>0.26753065271364801</v>
      </c>
      <c r="N948" s="15">
        <f t="shared" si="163"/>
        <v>0.22020656838501401</v>
      </c>
      <c r="O948" s="16">
        <v>8.4005559000000005</v>
      </c>
      <c r="P948" s="16">
        <v>-12.539618000000001</v>
      </c>
      <c r="Q948" s="16">
        <v>2.7544260999999999</v>
      </c>
      <c r="R948" s="16">
        <v>-14.726805000000001</v>
      </c>
      <c r="S948" s="16">
        <f t="shared" si="164"/>
        <v>0.99262967952067238</v>
      </c>
      <c r="T948" s="16">
        <f t="shared" si="165"/>
        <v>-23.225060518668545</v>
      </c>
    </row>
    <row r="949" spans="1:20" x14ac:dyDescent="0.35">
      <c r="A949" s="17">
        <v>3.6250000000000004</v>
      </c>
      <c r="B949" s="17">
        <v>16.122399999999999</v>
      </c>
      <c r="C949" s="17">
        <v>-0.13227644999999999</v>
      </c>
      <c r="D949" s="17">
        <v>-7.9714657999999994E-2</v>
      </c>
      <c r="E949" s="17">
        <v>0.86762472000000002</v>
      </c>
      <c r="F949" s="17">
        <v>-8.5014116000000001E-2</v>
      </c>
      <c r="G949" s="17">
        <f t="shared" si="156"/>
        <v>2.2234450689741099</v>
      </c>
      <c r="H949" s="17">
        <f t="shared" si="157"/>
        <v>-1.69383217530309</v>
      </c>
      <c r="I949" s="17">
        <f t="shared" si="158"/>
        <v>2.2234026735875601</v>
      </c>
      <c r="J949" s="17">
        <f t="shared" si="159"/>
        <v>-1.6964821475877601</v>
      </c>
      <c r="K949" s="15">
        <f t="shared" si="160"/>
        <v>4.2395386549820598E-5</v>
      </c>
      <c r="L949" s="15">
        <f t="shared" si="161"/>
        <v>2.6499722846700098E-3</v>
      </c>
      <c r="M949" s="15">
        <f t="shared" si="162"/>
        <v>0.28426548039646099</v>
      </c>
      <c r="N949" s="15">
        <f t="shared" si="163"/>
        <v>0.21689787387451601</v>
      </c>
      <c r="O949" s="17">
        <v>8.1350555</v>
      </c>
      <c r="P949" s="17">
        <v>-13.10896</v>
      </c>
      <c r="Q949" s="17">
        <v>2.2908235000000001</v>
      </c>
      <c r="R949" s="17">
        <v>-15.158512999999999</v>
      </c>
      <c r="S949" s="17">
        <f t="shared" si="164"/>
        <v>0.99368749199036144</v>
      </c>
      <c r="T949" s="17">
        <f t="shared" si="165"/>
        <v>-23.228816692958635</v>
      </c>
    </row>
    <row r="950" spans="1:20" x14ac:dyDescent="0.35">
      <c r="A950" s="16">
        <v>3.6250000000000004</v>
      </c>
      <c r="B950" s="16">
        <v>16.171199999999999</v>
      </c>
      <c r="C950" s="16">
        <v>-0.13830257000000001</v>
      </c>
      <c r="D950" s="16">
        <v>-7.6729275E-2</v>
      </c>
      <c r="E950" s="16">
        <v>0.86160460999999999</v>
      </c>
      <c r="F950" s="16">
        <v>-8.2068574000000005E-2</v>
      </c>
      <c r="G950" s="16">
        <f t="shared" si="156"/>
        <v>2.2186479505781702</v>
      </c>
      <c r="H950" s="16">
        <f t="shared" si="157"/>
        <v>-1.55889458917873</v>
      </c>
      <c r="I950" s="16">
        <f t="shared" si="158"/>
        <v>2.2186086663942199</v>
      </c>
      <c r="J950" s="16">
        <f t="shared" si="159"/>
        <v>-1.56156446746278</v>
      </c>
      <c r="K950" s="15">
        <f t="shared" si="160"/>
        <v>3.9284183950272202E-5</v>
      </c>
      <c r="L950" s="15">
        <f t="shared" si="161"/>
        <v>2.6698782840499599E-3</v>
      </c>
      <c r="M950" s="15">
        <f t="shared" si="162"/>
        <v>0.30141240030181299</v>
      </c>
      <c r="N950" s="15">
        <f t="shared" si="163"/>
        <v>0.21214867745420901</v>
      </c>
      <c r="O950" s="16">
        <v>7.8219574999999999</v>
      </c>
      <c r="P950" s="16">
        <v>-13.674227</v>
      </c>
      <c r="Q950" s="16">
        <v>1.7840955999999999</v>
      </c>
      <c r="R950" s="16">
        <v>-15.567708</v>
      </c>
      <c r="S950" s="16">
        <f t="shared" si="164"/>
        <v>0.99468507357352609</v>
      </c>
      <c r="T950" s="16">
        <f t="shared" si="165"/>
        <v>-23.232794580799116</v>
      </c>
    </row>
    <row r="951" spans="1:20" x14ac:dyDescent="0.35">
      <c r="A951" s="17">
        <v>3.6250000000000004</v>
      </c>
      <c r="B951" s="17">
        <v>16.22</v>
      </c>
      <c r="C951" s="17">
        <v>-0.14425230999999999</v>
      </c>
      <c r="D951" s="17">
        <v>-7.3229601000000005E-2</v>
      </c>
      <c r="E951" s="17">
        <v>0.85566101000000006</v>
      </c>
      <c r="F951" s="17">
        <v>-7.8609792999999997E-2</v>
      </c>
      <c r="G951" s="17">
        <f t="shared" si="156"/>
        <v>2.2138690964280801</v>
      </c>
      <c r="H951" s="17">
        <f t="shared" si="157"/>
        <v>-1.4265201271618599</v>
      </c>
      <c r="I951" s="17">
        <f t="shared" si="158"/>
        <v>2.2138329920547402</v>
      </c>
      <c r="J951" s="17">
        <f t="shared" si="159"/>
        <v>-1.4292104368841201</v>
      </c>
      <c r="K951" s="15">
        <f t="shared" si="160"/>
        <v>3.6104373339895801E-5</v>
      </c>
      <c r="L951" s="15">
        <f t="shared" si="161"/>
        <v>2.6903097222601398E-3</v>
      </c>
      <c r="M951" s="15">
        <f t="shared" si="162"/>
        <v>0.31882617540993802</v>
      </c>
      <c r="N951" s="15">
        <f t="shared" si="163"/>
        <v>0.20582839766282701</v>
      </c>
      <c r="O951" s="17">
        <v>7.4589382999999998</v>
      </c>
      <c r="P951" s="17">
        <v>-14.228186000000001</v>
      </c>
      <c r="Q951" s="17">
        <v>1.2351497</v>
      </c>
      <c r="R951" s="17">
        <v>-15.948893</v>
      </c>
      <c r="S951" s="17">
        <f t="shared" si="164"/>
        <v>0.99575921972288794</v>
      </c>
      <c r="T951" s="17">
        <f t="shared" si="165"/>
        <v>-23.236792746869199</v>
      </c>
    </row>
    <row r="952" spans="1:20" x14ac:dyDescent="0.35">
      <c r="A952" s="16">
        <v>3.6250000000000004</v>
      </c>
      <c r="B952" s="16">
        <v>16.268799999999999</v>
      </c>
      <c r="C952" s="16">
        <v>-0.15006436000000001</v>
      </c>
      <c r="D952" s="16">
        <v>-6.9206293000000002E-2</v>
      </c>
      <c r="E952" s="16">
        <v>0.84985434999999998</v>
      </c>
      <c r="F952" s="16">
        <v>-7.4627430999999994E-2</v>
      </c>
      <c r="G952" s="16">
        <f t="shared" si="156"/>
        <v>2.2091463129871798</v>
      </c>
      <c r="H952" s="16">
        <f t="shared" si="157"/>
        <v>-1.29661668598317</v>
      </c>
      <c r="I952" s="16">
        <f t="shared" si="158"/>
        <v>2.2091130143613702</v>
      </c>
      <c r="J952" s="16">
        <f t="shared" si="159"/>
        <v>-1.29932745542062</v>
      </c>
      <c r="K952" s="15">
        <f t="shared" si="160"/>
        <v>3.3298625809585799E-5</v>
      </c>
      <c r="L952" s="15">
        <f t="shared" si="161"/>
        <v>2.7107694374499699E-3</v>
      </c>
      <c r="M952" s="15">
        <f t="shared" si="162"/>
        <v>0.33632272740985403</v>
      </c>
      <c r="N952" s="15">
        <f t="shared" si="163"/>
        <v>0.19781394195982299</v>
      </c>
      <c r="O952" s="16">
        <v>7.0462949999999998</v>
      </c>
      <c r="P952" s="16">
        <v>-14.766162</v>
      </c>
      <c r="Q952" s="16">
        <v>0.64587525000000001</v>
      </c>
      <c r="R952" s="16">
        <v>-16.296372000000002</v>
      </c>
      <c r="S952" s="16">
        <f t="shared" si="164"/>
        <v>0.9968179050806858</v>
      </c>
      <c r="T952" s="16">
        <f t="shared" si="165"/>
        <v>-23.240485302719211</v>
      </c>
    </row>
    <row r="953" spans="1:20" x14ac:dyDescent="0.35">
      <c r="A953" s="17">
        <v>3.6250000000000004</v>
      </c>
      <c r="B953" s="17">
        <v>16.317599999999999</v>
      </c>
      <c r="C953" s="17">
        <v>-0.15566988000000001</v>
      </c>
      <c r="D953" s="17">
        <v>-6.4665879999999995E-2</v>
      </c>
      <c r="E953" s="17">
        <v>0.84425300000000003</v>
      </c>
      <c r="F953" s="17">
        <v>-7.0127210999999995E-2</v>
      </c>
      <c r="G953" s="17">
        <f t="shared" si="156"/>
        <v>2.2044690920177898</v>
      </c>
      <c r="H953" s="17">
        <f t="shared" si="157"/>
        <v>-1.16922510696407</v>
      </c>
      <c r="I953" s="17">
        <f t="shared" si="158"/>
        <v>2.2044379878719602</v>
      </c>
      <c r="J953" s="17">
        <f t="shared" si="159"/>
        <v>-1.17195596270089</v>
      </c>
      <c r="K953" s="15">
        <f t="shared" si="160"/>
        <v>3.1104145829630197E-5</v>
      </c>
      <c r="L953" s="15">
        <f t="shared" si="161"/>
        <v>2.73085573681997E-3</v>
      </c>
      <c r="M953" s="15">
        <f t="shared" si="162"/>
        <v>0.35367049882567703</v>
      </c>
      <c r="N953" s="15">
        <f t="shared" si="163"/>
        <v>0.188023547140136</v>
      </c>
      <c r="O953" s="17">
        <v>6.5849824000000003</v>
      </c>
      <c r="P953" s="17">
        <v>-15.281561</v>
      </c>
      <c r="Q953" s="17">
        <v>1.9627677E-2</v>
      </c>
      <c r="R953" s="17">
        <v>-16.604337999999998</v>
      </c>
      <c r="S953" s="17">
        <f t="shared" si="164"/>
        <v>0.99786025134194001</v>
      </c>
      <c r="T953" s="17">
        <f t="shared" si="165"/>
        <v>-23.243980693364822</v>
      </c>
    </row>
    <row r="954" spans="1:20" x14ac:dyDescent="0.35">
      <c r="A954" s="16">
        <v>3.6250000000000004</v>
      </c>
      <c r="B954" s="16">
        <v>16.366399999999999</v>
      </c>
      <c r="C954" s="16">
        <v>-0.16100047000000001</v>
      </c>
      <c r="D954" s="16">
        <v>-5.9624905999999998E-2</v>
      </c>
      <c r="E954" s="16">
        <v>0.83892549000000005</v>
      </c>
      <c r="F954" s="16">
        <v>-6.5125270999999998E-2</v>
      </c>
      <c r="G954" s="16">
        <f t="shared" si="156"/>
        <v>2.19983661204542</v>
      </c>
      <c r="H954" s="16">
        <f t="shared" si="157"/>
        <v>-1.0443541622080199</v>
      </c>
      <c r="I954" s="16">
        <f t="shared" si="158"/>
        <v>2.1998071549615199</v>
      </c>
      <c r="J954" s="16">
        <f t="shared" si="159"/>
        <v>-1.0471045275388999</v>
      </c>
      <c r="K954" s="15">
        <f t="shared" si="160"/>
        <v>2.9457083900119599E-5</v>
      </c>
      <c r="L954" s="15">
        <f t="shared" si="161"/>
        <v>2.7503653308800198E-3</v>
      </c>
      <c r="M954" s="15">
        <f t="shared" si="162"/>
        <v>0.37061371818704503</v>
      </c>
      <c r="N954" s="15">
        <f t="shared" si="163"/>
        <v>0.176411510166431</v>
      </c>
      <c r="O954" s="16">
        <v>6.0769454999999999</v>
      </c>
      <c r="P954" s="16">
        <v>-15.767893000000001</v>
      </c>
      <c r="Q954" s="16">
        <v>-0.63933143000000003</v>
      </c>
      <c r="R954" s="16">
        <v>-16.867453000000001</v>
      </c>
      <c r="S954" s="16">
        <f t="shared" si="164"/>
        <v>0.99888575963461546</v>
      </c>
      <c r="T954" s="16">
        <f t="shared" si="165"/>
        <v>-23.247318863772673</v>
      </c>
    </row>
    <row r="955" spans="1:20" x14ac:dyDescent="0.35">
      <c r="A955" s="17">
        <v>3.6250000000000004</v>
      </c>
      <c r="B955" s="17">
        <v>16.415199999999999</v>
      </c>
      <c r="C955" s="17">
        <v>-0.16598916</v>
      </c>
      <c r="D955" s="17">
        <v>-5.4111896999999999E-2</v>
      </c>
      <c r="E955" s="17">
        <v>0.83393910000000004</v>
      </c>
      <c r="F955" s="17">
        <v>-5.9650577000000003E-2</v>
      </c>
      <c r="G955" s="17">
        <f t="shared" si="156"/>
        <v>2.1952443786635301</v>
      </c>
      <c r="H955" s="17">
        <f t="shared" si="157"/>
        <v>-0.92201837039743095</v>
      </c>
      <c r="I955" s="17">
        <f t="shared" si="158"/>
        <v>2.1952161773873899</v>
      </c>
      <c r="J955" s="17">
        <f t="shared" si="159"/>
        <v>-0.92478788783894506</v>
      </c>
      <c r="K955" s="15">
        <f t="shared" si="160"/>
        <v>2.8201276140116198E-5</v>
      </c>
      <c r="L955" s="15">
        <f t="shared" si="161"/>
        <v>2.7695174415141E-3</v>
      </c>
      <c r="M955" s="15">
        <f t="shared" si="162"/>
        <v>0.38687631457687799</v>
      </c>
      <c r="N955" s="15">
        <f t="shared" si="163"/>
        <v>0.16298100091366499</v>
      </c>
      <c r="O955" s="17">
        <v>5.5252746000000004</v>
      </c>
      <c r="P955" s="17">
        <v>-16.218861</v>
      </c>
      <c r="Q955" s="17">
        <v>-1.3257224000000001</v>
      </c>
      <c r="R955" s="17">
        <v>-17.080884000000001</v>
      </c>
      <c r="S955" s="17">
        <f t="shared" si="164"/>
        <v>0.99988763348805787</v>
      </c>
      <c r="T955" s="17">
        <f t="shared" si="165"/>
        <v>-23.25050102883031</v>
      </c>
    </row>
    <row r="956" spans="1:20" x14ac:dyDescent="0.35">
      <c r="A956" s="16">
        <v>3.6250000000000004</v>
      </c>
      <c r="B956" s="16">
        <v>16.463999999999999</v>
      </c>
      <c r="C956" s="16">
        <v>-0.17057291999999999</v>
      </c>
      <c r="D956" s="16">
        <v>-4.8167399E-2</v>
      </c>
      <c r="E956" s="16">
        <v>0.82935705999999998</v>
      </c>
      <c r="F956" s="16">
        <v>-5.3744429000000003E-2</v>
      </c>
      <c r="G956" s="16">
        <f t="shared" si="156"/>
        <v>2.1906873314423101</v>
      </c>
      <c r="H956" s="16">
        <f t="shared" si="157"/>
        <v>-0.80223616912666296</v>
      </c>
      <c r="I956" s="16">
        <f t="shared" si="158"/>
        <v>2.1906600967887502</v>
      </c>
      <c r="J956" s="16">
        <f t="shared" si="159"/>
        <v>-0.80502485770288801</v>
      </c>
      <c r="K956" s="15">
        <f t="shared" si="160"/>
        <v>2.72346535599155E-5</v>
      </c>
      <c r="L956" s="15">
        <f t="shared" si="161"/>
        <v>2.78868857622505E-3</v>
      </c>
      <c r="M956" s="15">
        <f t="shared" si="162"/>
        <v>0.40217317810494402</v>
      </c>
      <c r="N956" s="15">
        <f t="shared" si="163"/>
        <v>0.147790798741642</v>
      </c>
      <c r="O956" s="16">
        <v>4.934374</v>
      </c>
      <c r="P956" s="16">
        <v>-16.629204000000001</v>
      </c>
      <c r="Q956" s="16">
        <v>-2.0333906000000002</v>
      </c>
      <c r="R956" s="16">
        <v>-17.241137999999999</v>
      </c>
      <c r="S956" s="16">
        <f t="shared" si="164"/>
        <v>1.0008522143487963</v>
      </c>
      <c r="T956" s="16">
        <f t="shared" si="165"/>
        <v>-23.253467491325953</v>
      </c>
    </row>
    <row r="957" spans="1:20" x14ac:dyDescent="0.35">
      <c r="A957" s="17">
        <v>3.6250000000000004</v>
      </c>
      <c r="B957" s="17">
        <v>16.512799999999999</v>
      </c>
      <c r="C957" s="17">
        <v>-0.17469882</v>
      </c>
      <c r="D957" s="17">
        <v>-4.1842468000000001E-2</v>
      </c>
      <c r="E957" s="17">
        <v>0.82528190999999995</v>
      </c>
      <c r="F957" s="17">
        <v>-4.7510261999999998E-2</v>
      </c>
      <c r="G957" s="17">
        <f t="shared" si="156"/>
        <v>2.1862509584204202</v>
      </c>
      <c r="H957" s="17">
        <f t="shared" si="157"/>
        <v>-0.68550967842445998</v>
      </c>
      <c r="I957" s="17">
        <f t="shared" si="158"/>
        <v>2.1862493544674302</v>
      </c>
      <c r="J957" s="17">
        <f t="shared" si="159"/>
        <v>-0.68834360727480104</v>
      </c>
      <c r="K957" s="15">
        <f t="shared" si="160"/>
        <v>1.60395298998139E-6</v>
      </c>
      <c r="L957" s="15">
        <f t="shared" si="161"/>
        <v>2.83392885034106E-3</v>
      </c>
      <c r="M957" s="15">
        <f t="shared" si="162"/>
        <v>0.41615076401851703</v>
      </c>
      <c r="N957" s="15">
        <f t="shared" si="163"/>
        <v>0.13102563872200701</v>
      </c>
      <c r="O957" s="17">
        <v>4.3089221999999996</v>
      </c>
      <c r="P957" s="17">
        <v>-16.992284000000001</v>
      </c>
      <c r="Q957" s="17">
        <v>-2.7560083999999998</v>
      </c>
      <c r="R957" s="17">
        <v>-17.345196999999999</v>
      </c>
      <c r="S957" s="17">
        <f t="shared" si="164"/>
        <v>1.0018643511233152</v>
      </c>
      <c r="T957" s="17">
        <f t="shared" si="165"/>
        <v>-23.257545147408553</v>
      </c>
    </row>
    <row r="958" spans="1:20" x14ac:dyDescent="0.35">
      <c r="A958" s="16">
        <v>3.6250000000000004</v>
      </c>
      <c r="B958" s="16">
        <v>16.561599999999999</v>
      </c>
      <c r="C958" s="16">
        <v>-0.17830624</v>
      </c>
      <c r="D958" s="16">
        <v>-3.5202470999999999E-2</v>
      </c>
      <c r="E958" s="16">
        <v>0.82162610000000003</v>
      </c>
      <c r="F958" s="16">
        <v>-4.0859913999999997E-2</v>
      </c>
      <c r="G958" s="16">
        <f t="shared" si="156"/>
        <v>2.18169329254961</v>
      </c>
      <c r="H958" s="16">
        <f t="shared" si="157"/>
        <v>-0.57045649046998304</v>
      </c>
      <c r="I958" s="16">
        <f t="shared" si="158"/>
        <v>2.1816674638185298</v>
      </c>
      <c r="J958" s="16">
        <f t="shared" si="159"/>
        <v>-0.573285380733628</v>
      </c>
      <c r="K958" s="15">
        <f t="shared" si="160"/>
        <v>2.58287310801464E-5</v>
      </c>
      <c r="L958" s="15">
        <f t="shared" si="161"/>
        <v>2.8288902636449701E-3</v>
      </c>
      <c r="M958" s="15">
        <f t="shared" si="162"/>
        <v>0.42875911565246599</v>
      </c>
      <c r="N958" s="15">
        <f t="shared" si="163"/>
        <v>0.112666727141641</v>
      </c>
      <c r="O958" s="16">
        <v>3.6561423999999998</v>
      </c>
      <c r="P958" s="16">
        <v>-17.30462</v>
      </c>
      <c r="Q958" s="16">
        <v>-3.4843956999999999</v>
      </c>
      <c r="R958" s="16">
        <v>-17.390964</v>
      </c>
      <c r="S958" s="16">
        <f t="shared" si="164"/>
        <v>1.0028241675300502</v>
      </c>
      <c r="T958" s="16">
        <f t="shared" si="165"/>
        <v>-23.259653644191573</v>
      </c>
    </row>
    <row r="959" spans="1:20" x14ac:dyDescent="0.35">
      <c r="A959" s="17">
        <v>3.6250000000000004</v>
      </c>
      <c r="B959" s="17">
        <v>16.610399999999998</v>
      </c>
      <c r="C959" s="17">
        <v>-0.18137780000000001</v>
      </c>
      <c r="D959" s="17">
        <v>-2.8311237E-2</v>
      </c>
      <c r="E959" s="17">
        <v>0.81860725000000001</v>
      </c>
      <c r="F959" s="17">
        <v>-3.4076429999999998E-2</v>
      </c>
      <c r="G959" s="17">
        <f t="shared" si="156"/>
        <v>2.17737787802464</v>
      </c>
      <c r="H959" s="17">
        <f t="shared" si="157"/>
        <v>-0.45900231285384901</v>
      </c>
      <c r="I959" s="17">
        <f t="shared" si="158"/>
        <v>2.1773787124486299</v>
      </c>
      <c r="J959" s="17">
        <f t="shared" si="159"/>
        <v>-0.46188492849609297</v>
      </c>
      <c r="K959" s="15">
        <f t="shared" si="160"/>
        <v>-8.3442398990385403E-7</v>
      </c>
      <c r="L959" s="15">
        <f t="shared" si="161"/>
        <v>2.8826156422439601E-3</v>
      </c>
      <c r="M959" s="15">
        <f t="shared" si="162"/>
        <v>0.43949130913255002</v>
      </c>
      <c r="N959" s="15">
        <f t="shared" si="163"/>
        <v>9.3228803392249093E-2</v>
      </c>
      <c r="O959" s="17">
        <v>2.9820758999999999</v>
      </c>
      <c r="P959" s="17">
        <v>-17.564933</v>
      </c>
      <c r="Q959" s="17">
        <v>-4.2133623</v>
      </c>
      <c r="R959" s="17">
        <v>-17.378658000000001</v>
      </c>
      <c r="S959" s="17">
        <f t="shared" si="164"/>
        <v>1.0036957263936166</v>
      </c>
      <c r="T959" s="17">
        <f t="shared" si="165"/>
        <v>-23.263579903355538</v>
      </c>
    </row>
    <row r="960" spans="1:20" x14ac:dyDescent="0.35">
      <c r="A960" s="16">
        <v>3.6250000000000004</v>
      </c>
      <c r="B960" s="16">
        <v>16.659199999999998</v>
      </c>
      <c r="C960" s="16">
        <v>-0.18387602</v>
      </c>
      <c r="D960" s="16">
        <v>-2.1249621999999999E-2</v>
      </c>
      <c r="E960" s="16">
        <v>0.81611087999999998</v>
      </c>
      <c r="F960" s="16">
        <v>-2.7063309000000001E-2</v>
      </c>
      <c r="G960" s="16">
        <f t="shared" si="156"/>
        <v>2.1729956548281302</v>
      </c>
      <c r="H960" s="16">
        <f t="shared" si="157"/>
        <v>-0.34969540666154297</v>
      </c>
      <c r="I960" s="16">
        <f t="shared" si="158"/>
        <v>2.1729975546189899</v>
      </c>
      <c r="J960" s="16">
        <f t="shared" si="159"/>
        <v>-0.352602263679062</v>
      </c>
      <c r="K960" s="15">
        <f t="shared" si="160"/>
        <v>-1.89979085973846E-6</v>
      </c>
      <c r="L960" s="15">
        <f t="shared" si="161"/>
        <v>2.9068570175190302E-3</v>
      </c>
      <c r="M960" s="15">
        <f t="shared" si="162"/>
        <v>0.44838772688481598</v>
      </c>
      <c r="N960" s="15">
        <f t="shared" si="163"/>
        <v>7.2757802773144906E-2</v>
      </c>
      <c r="O960" s="16">
        <v>2.2943251</v>
      </c>
      <c r="P960" s="16">
        <v>-17.768259</v>
      </c>
      <c r="Q960" s="16">
        <v>-4.9335579000000003</v>
      </c>
      <c r="R960" s="16">
        <v>-17.309107000000001</v>
      </c>
      <c r="S960" s="16">
        <f t="shared" si="164"/>
        <v>1.0046162220222716</v>
      </c>
      <c r="T960" s="16">
        <f t="shared" si="165"/>
        <v>-23.266569303721866</v>
      </c>
    </row>
    <row r="961" spans="1:20" x14ac:dyDescent="0.35">
      <c r="A961" s="17">
        <v>3.6250000000000004</v>
      </c>
      <c r="B961" s="17">
        <v>16.707999999999998</v>
      </c>
      <c r="C961" s="17">
        <v>-0.18579198</v>
      </c>
      <c r="D961" s="17">
        <v>-1.4093044000000001E-2</v>
      </c>
      <c r="E961" s="17">
        <v>0.81421982999999998</v>
      </c>
      <c r="F961" s="17">
        <v>-1.9927302000000001E-2</v>
      </c>
      <c r="G961" s="17">
        <f t="shared" si="156"/>
        <v>2.1688872416929801</v>
      </c>
      <c r="H961" s="17">
        <f t="shared" si="157"/>
        <v>-0.24289969432216199</v>
      </c>
      <c r="I961" s="17">
        <f t="shared" si="158"/>
        <v>2.1689016560765499</v>
      </c>
      <c r="J961" s="17">
        <f t="shared" si="159"/>
        <v>-0.24581676404824901</v>
      </c>
      <c r="K961" s="15">
        <f t="shared" si="160"/>
        <v>-1.4414383569860699E-5</v>
      </c>
      <c r="L961" s="15">
        <f t="shared" si="161"/>
        <v>2.9170697260870199E-3</v>
      </c>
      <c r="M961" s="15">
        <f t="shared" si="162"/>
        <v>0.45521549330740002</v>
      </c>
      <c r="N961" s="15">
        <f t="shared" si="163"/>
        <v>5.1592749351242501E-2</v>
      </c>
      <c r="O961" s="17">
        <v>1.6005111999999999</v>
      </c>
      <c r="P961" s="17">
        <v>-17.914937999999999</v>
      </c>
      <c r="Q961" s="17">
        <v>-5.6377126999999998</v>
      </c>
      <c r="R961" s="17">
        <v>-17.184688000000001</v>
      </c>
      <c r="S961" s="17">
        <f t="shared" si="164"/>
        <v>1.0055342883073517</v>
      </c>
      <c r="T961" s="17">
        <f t="shared" si="165"/>
        <v>-23.268128435109663</v>
      </c>
    </row>
    <row r="962" spans="1:20" x14ac:dyDescent="0.35">
      <c r="A962" s="16">
        <v>3.6250000000000004</v>
      </c>
      <c r="B962" s="16">
        <v>16.756799999999998</v>
      </c>
      <c r="C962" s="16">
        <v>-0.18713226999999999</v>
      </c>
      <c r="D962" s="16">
        <v>-6.9197216000000004E-3</v>
      </c>
      <c r="E962" s="16">
        <v>0.81288448999999996</v>
      </c>
      <c r="F962" s="16">
        <v>-1.2801409E-2</v>
      </c>
      <c r="G962" s="16">
        <f t="shared" si="156"/>
        <v>2.1646188772960202</v>
      </c>
      <c r="H962" s="16">
        <f t="shared" si="157"/>
        <v>-0.13894317998384201</v>
      </c>
      <c r="I962" s="16">
        <f t="shared" si="158"/>
        <v>2.1646359054952602</v>
      </c>
      <c r="J962" s="16">
        <f t="shared" si="159"/>
        <v>-0.141883948962926</v>
      </c>
      <c r="K962" s="15">
        <f t="shared" si="160"/>
        <v>-1.7028199239987901E-5</v>
      </c>
      <c r="L962" s="15">
        <f t="shared" si="161"/>
        <v>2.94076897908399E-3</v>
      </c>
      <c r="M962" s="15">
        <f t="shared" si="162"/>
        <v>0.45999516821029002</v>
      </c>
      <c r="N962" s="15">
        <f t="shared" si="163"/>
        <v>3.0150997127902101E-2</v>
      </c>
      <c r="O962" s="16">
        <v>0.90802013999999998</v>
      </c>
      <c r="P962" s="16">
        <v>-18.005687999999999</v>
      </c>
      <c r="Q962" s="16">
        <v>-6.3198733000000002</v>
      </c>
      <c r="R962" s="16">
        <v>-17.008441999999999</v>
      </c>
      <c r="S962" s="16">
        <f t="shared" si="164"/>
        <v>1.0064380730995466</v>
      </c>
      <c r="T962" s="16">
        <f t="shared" si="165"/>
        <v>-23.270652572423412</v>
      </c>
    </row>
    <row r="963" spans="1:20" x14ac:dyDescent="0.35">
      <c r="A963" s="17">
        <v>3.6250000000000004</v>
      </c>
      <c r="B963" s="17">
        <v>16.805599999999998</v>
      </c>
      <c r="C963" s="17">
        <v>-0.18791094999999999</v>
      </c>
      <c r="D963" s="17">
        <v>1.9088121000000001E-4</v>
      </c>
      <c r="E963" s="17">
        <v>0.81207320999999999</v>
      </c>
      <c r="F963" s="17">
        <v>-5.7231006999999999E-3</v>
      </c>
      <c r="G963" s="17">
        <f t="shared" si="156"/>
        <v>2.1601458983133499</v>
      </c>
      <c r="H963" s="17">
        <f t="shared" si="157"/>
        <v>-3.7678054688587002E-2</v>
      </c>
      <c r="I963" s="17">
        <f t="shared" si="158"/>
        <v>2.1601467221774202</v>
      </c>
      <c r="J963" s="17">
        <f t="shared" si="159"/>
        <v>-4.0635066626962799E-2</v>
      </c>
      <c r="K963" s="15">
        <f t="shared" si="160"/>
        <v>-8.2386407029844101E-7</v>
      </c>
      <c r="L963" s="15">
        <f t="shared" si="161"/>
        <v>2.9570119383758001E-3</v>
      </c>
      <c r="M963" s="15">
        <f t="shared" si="162"/>
        <v>0.46276776094438399</v>
      </c>
      <c r="N963" s="15">
        <f t="shared" si="163"/>
        <v>8.7052414568536598E-3</v>
      </c>
      <c r="O963" s="17">
        <v>0.22452301999999999</v>
      </c>
      <c r="P963" s="17">
        <v>-18.043268000000001</v>
      </c>
      <c r="Q963" s="17">
        <v>-6.9731639999999997</v>
      </c>
      <c r="R963" s="17">
        <v>-16.784998999999999</v>
      </c>
      <c r="S963" s="17">
        <f t="shared" si="164"/>
        <v>1.0072695412376831</v>
      </c>
      <c r="T963" s="17">
        <f t="shared" si="165"/>
        <v>-23.27289297553795</v>
      </c>
    </row>
    <row r="964" spans="1:20" x14ac:dyDescent="0.35">
      <c r="A964" s="16">
        <v>3.6250000000000004</v>
      </c>
      <c r="B964" s="16">
        <v>16.854399999999998</v>
      </c>
      <c r="C964" s="16">
        <v>-0.18815723000000001</v>
      </c>
      <c r="D964" s="16">
        <v>7.1546422999999998E-3</v>
      </c>
      <c r="E964" s="16">
        <v>0.81183121999999996</v>
      </c>
      <c r="F964" s="16">
        <v>1.1933352000000001E-3</v>
      </c>
      <c r="G964" s="16">
        <f t="shared" si="156"/>
        <v>2.15596199110619</v>
      </c>
      <c r="H964" s="16">
        <f t="shared" si="157"/>
        <v>6.0407129830921301E-2</v>
      </c>
      <c r="I964" s="16">
        <f t="shared" si="158"/>
        <v>2.1559651004434102</v>
      </c>
      <c r="J964" s="16">
        <f t="shared" si="159"/>
        <v>5.7426468335458003E-2</v>
      </c>
      <c r="K964" s="15">
        <f t="shared" si="160"/>
        <v>-3.1093372201418398E-6</v>
      </c>
      <c r="L964" s="15">
        <f t="shared" si="161"/>
        <v>2.9806614954633001E-3</v>
      </c>
      <c r="M964" s="15">
        <f t="shared" si="162"/>
        <v>0.46350055564897102</v>
      </c>
      <c r="N964" s="15">
        <f t="shared" si="163"/>
        <v>-1.2345839910381001E-2</v>
      </c>
      <c r="O964" s="16">
        <v>-0.44212671999999997</v>
      </c>
      <c r="P964" s="16">
        <v>-18.030044</v>
      </c>
      <c r="Q964" s="16">
        <v>-7.5918517999999997</v>
      </c>
      <c r="R964" s="16">
        <v>-16.520865000000001</v>
      </c>
      <c r="S964" s="16">
        <f t="shared" si="164"/>
        <v>1.0081097387342199</v>
      </c>
      <c r="T964" s="16">
        <f t="shared" si="165"/>
        <v>-23.275547363556907</v>
      </c>
    </row>
    <row r="965" spans="1:20" x14ac:dyDescent="0.35">
      <c r="A965" s="17">
        <v>3.6250000000000004</v>
      </c>
      <c r="B965" s="17">
        <v>16.903200000000002</v>
      </c>
      <c r="C965" s="17">
        <v>-0.18791107000000001</v>
      </c>
      <c r="D965" s="17">
        <v>1.392239E-2</v>
      </c>
      <c r="E965" s="17">
        <v>0.81209036999999995</v>
      </c>
      <c r="F965" s="17">
        <v>7.9161787999999997E-3</v>
      </c>
      <c r="G965" s="17">
        <f t="shared" si="156"/>
        <v>2.1518839340962299</v>
      </c>
      <c r="H965" s="17">
        <f t="shared" si="157"/>
        <v>0.15560016998734499</v>
      </c>
      <c r="I965" s="17">
        <f t="shared" si="158"/>
        <v>2.1518936726381401</v>
      </c>
      <c r="J965" s="17">
        <f t="shared" si="159"/>
        <v>0.15259709579542899</v>
      </c>
      <c r="K965" s="15">
        <f t="shared" si="160"/>
        <v>-9.7385419102202792E-6</v>
      </c>
      <c r="L965" s="15">
        <f t="shared" si="161"/>
        <v>3.0030741919160101E-3</v>
      </c>
      <c r="M965" s="15">
        <f t="shared" si="162"/>
        <v>0.46238182167782699</v>
      </c>
      <c r="N965" s="15">
        <f t="shared" si="163"/>
        <v>-3.2788851992921503E-2</v>
      </c>
      <c r="O965" s="17">
        <v>-1.0873603000000001</v>
      </c>
      <c r="P965" s="17">
        <v>-17.970718999999999</v>
      </c>
      <c r="Q965" s="17">
        <v>-8.1731306999999997</v>
      </c>
      <c r="R965" s="17">
        <v>-16.221350000000001</v>
      </c>
      <c r="S965" s="17">
        <f t="shared" si="164"/>
        <v>1.0089122246800903</v>
      </c>
      <c r="T965" s="17">
        <f t="shared" si="165"/>
        <v>-23.278666822505969</v>
      </c>
    </row>
    <row r="966" spans="1:20" x14ac:dyDescent="0.35">
      <c r="A966" s="16">
        <v>3.6250000000000004</v>
      </c>
      <c r="B966" s="16">
        <v>16.952000000000002</v>
      </c>
      <c r="C966" s="16">
        <v>-0.18725098000000001</v>
      </c>
      <c r="D966" s="16">
        <v>2.0247101999999999E-2</v>
      </c>
      <c r="E966" s="16">
        <v>0.81275078999999995</v>
      </c>
      <c r="F966" s="16">
        <v>1.4177959E-2</v>
      </c>
      <c r="G966" s="16">
        <f t="shared" si="156"/>
        <v>2.14784680474714</v>
      </c>
      <c r="H966" s="16">
        <f t="shared" si="157"/>
        <v>0.24491490663972099</v>
      </c>
      <c r="I966" s="16">
        <f t="shared" si="158"/>
        <v>2.1478568982613</v>
      </c>
      <c r="J966" s="16">
        <f t="shared" si="159"/>
        <v>0.24188036845477701</v>
      </c>
      <c r="K966" s="15">
        <f t="shared" si="160"/>
        <v>-1.00935141600367E-5</v>
      </c>
      <c r="L966" s="15">
        <f t="shared" si="161"/>
        <v>3.0345381849439801E-3</v>
      </c>
      <c r="M966" s="15">
        <f t="shared" si="162"/>
        <v>0.45974978119743198</v>
      </c>
      <c r="N966" s="15">
        <f t="shared" si="163"/>
        <v>-5.17746068479044E-2</v>
      </c>
      <c r="O966" s="16">
        <v>-1.6887700000000001</v>
      </c>
      <c r="P966" s="16">
        <v>-17.872854</v>
      </c>
      <c r="Q966" s="16">
        <v>-8.6989892999999991</v>
      </c>
      <c r="R966" s="16">
        <v>-15.902348999999999</v>
      </c>
      <c r="S966" s="16">
        <f t="shared" si="164"/>
        <v>1.0096746436409383</v>
      </c>
      <c r="T966" s="16">
        <f t="shared" si="165"/>
        <v>-23.282043490084671</v>
      </c>
    </row>
    <row r="967" spans="1:20" x14ac:dyDescent="0.35">
      <c r="A967" s="17">
        <v>3.6250000000000004</v>
      </c>
      <c r="B967" s="17">
        <v>17</v>
      </c>
      <c r="C967" s="17">
        <v>-0.18750700000000001</v>
      </c>
      <c r="D967" s="17">
        <v>2.3108645000000001E-2</v>
      </c>
      <c r="E967" s="17">
        <v>0.81251527000000001</v>
      </c>
      <c r="F967" s="17">
        <v>1.6974908E-2</v>
      </c>
      <c r="G967" s="17">
        <f t="shared" si="156"/>
        <v>2.13658977391996</v>
      </c>
      <c r="H967" s="17">
        <f t="shared" si="157"/>
        <v>0.28336439460099599</v>
      </c>
      <c r="I967" s="17">
        <f t="shared" si="158"/>
        <v>2.1366103140757202</v>
      </c>
      <c r="J967" s="17">
        <f t="shared" si="159"/>
        <v>0.28029762324345198</v>
      </c>
      <c r="K967" s="15">
        <f t="shared" si="160"/>
        <v>-2.05401557602514E-5</v>
      </c>
      <c r="L967" s="15">
        <f t="shared" si="161"/>
        <v>3.0667713575440198E-3</v>
      </c>
      <c r="M967" s="15">
        <f t="shared" si="162"/>
        <v>0.46011239683241301</v>
      </c>
      <c r="N967" s="15">
        <f t="shared" si="163"/>
        <v>-6.0361222824464399E-2</v>
      </c>
      <c r="O967" s="17">
        <v>-1.9785489999999999</v>
      </c>
      <c r="P967" s="17">
        <v>-18.206634999999999</v>
      </c>
      <c r="Q967" s="17">
        <v>-8.9173866000000004</v>
      </c>
      <c r="R967" s="17">
        <v>-15.796764</v>
      </c>
      <c r="S967" s="17">
        <f t="shared" si="164"/>
        <v>0.99050538970620894</v>
      </c>
      <c r="T967" s="17">
        <f t="shared" si="165"/>
        <v>-23.242938659185125</v>
      </c>
    </row>
    <row r="968" spans="1:20" x14ac:dyDescent="0.35">
      <c r="A968" s="16">
        <v>3.7625000000000002</v>
      </c>
      <c r="B968" s="16">
        <v>15</v>
      </c>
      <c r="C968" s="16">
        <v>-3.8495913E-2</v>
      </c>
      <c r="D968" s="16">
        <v>-7.3146167999999998E-2</v>
      </c>
      <c r="E968" s="16">
        <v>0.96141151000000002</v>
      </c>
      <c r="F968" s="16">
        <v>-7.7868899000000005E-2</v>
      </c>
      <c r="G968" s="16">
        <f t="shared" si="156"/>
        <v>2.1814449603555301</v>
      </c>
      <c r="H968" s="16">
        <f t="shared" si="157"/>
        <v>-5.2519638246243803</v>
      </c>
      <c r="I968" s="16">
        <f t="shared" si="158"/>
        <v>2.1814042465031198</v>
      </c>
      <c r="J968" s="16">
        <f t="shared" si="159"/>
        <v>-5.2543253955782401</v>
      </c>
      <c r="K968" s="15">
        <f t="shared" si="160"/>
        <v>4.0713852410334498E-5</v>
      </c>
      <c r="L968" s="15">
        <f t="shared" si="161"/>
        <v>2.3615709538598001E-3</v>
      </c>
      <c r="M968" s="15">
        <f t="shared" si="162"/>
        <v>6.7397060310617596E-2</v>
      </c>
      <c r="N968" s="15">
        <f t="shared" si="163"/>
        <v>0.162338588157181</v>
      </c>
      <c r="O968" s="16">
        <v>7.6601676000000003</v>
      </c>
      <c r="P968" s="16">
        <v>-3.9209489</v>
      </c>
      <c r="Q968" s="16">
        <v>5.3122169000000001</v>
      </c>
      <c r="R968" s="16">
        <v>-6.3818726999999997</v>
      </c>
      <c r="S968" s="16">
        <f t="shared" si="164"/>
        <v>0.96492209656313799</v>
      </c>
      <c r="T968" s="16">
        <f t="shared" si="165"/>
        <v>-23.120106454535623</v>
      </c>
    </row>
    <row r="969" spans="1:20" x14ac:dyDescent="0.35">
      <c r="A969" s="17">
        <v>3.7625000000000002</v>
      </c>
      <c r="B969" s="17">
        <v>15.0488</v>
      </c>
      <c r="C969" s="17">
        <v>-4.0769114000000002E-2</v>
      </c>
      <c r="D969" s="17">
        <v>-7.4845673000000001E-2</v>
      </c>
      <c r="E969" s="17">
        <v>0.95913015999999995</v>
      </c>
      <c r="F969" s="17">
        <v>-7.9595923999999998E-2</v>
      </c>
      <c r="G969" s="17">
        <f t="shared" si="156"/>
        <v>2.1752072667175901</v>
      </c>
      <c r="H969" s="17">
        <f t="shared" si="157"/>
        <v>-5.0596296027254599</v>
      </c>
      <c r="I969" s="17">
        <f t="shared" si="158"/>
        <v>2.1751625432227599</v>
      </c>
      <c r="J969" s="17">
        <f t="shared" si="159"/>
        <v>-5.0620049540791898</v>
      </c>
      <c r="K969" s="15">
        <f t="shared" si="160"/>
        <v>4.4723494830201098E-5</v>
      </c>
      <c r="L969" s="15">
        <f t="shared" si="161"/>
        <v>2.3753513537298999E-3</v>
      </c>
      <c r="M969" s="15">
        <f t="shared" si="162"/>
        <v>7.1656937283162497E-2</v>
      </c>
      <c r="N969" s="15">
        <f t="shared" si="163"/>
        <v>0.16675892689108501</v>
      </c>
      <c r="O969" s="17">
        <v>7.7913151999999997</v>
      </c>
      <c r="P969" s="17">
        <v>-4.1309399000000004</v>
      </c>
      <c r="Q969" s="17">
        <v>5.3705258999999996</v>
      </c>
      <c r="R969" s="17">
        <v>-6.6411983000000001</v>
      </c>
      <c r="S969" s="17">
        <f t="shared" si="164"/>
        <v>0.96850732174753829</v>
      </c>
      <c r="T969" s="17">
        <f t="shared" si="165"/>
        <v>-23.106186732310722</v>
      </c>
    </row>
    <row r="970" spans="1:20" x14ac:dyDescent="0.35">
      <c r="A970" s="16">
        <v>3.7625000000000002</v>
      </c>
      <c r="B970" s="16">
        <v>15.0976</v>
      </c>
      <c r="C970" s="16">
        <v>-4.3171856000000002E-2</v>
      </c>
      <c r="D970" s="16">
        <v>-7.6521792000000005E-2</v>
      </c>
      <c r="E970" s="16">
        <v>0.95672601999999995</v>
      </c>
      <c r="F970" s="16">
        <v>-8.1302884000000006E-2</v>
      </c>
      <c r="G970" s="16">
        <f t="shared" si="156"/>
        <v>2.1696274444712502</v>
      </c>
      <c r="H970" s="16">
        <f t="shared" si="157"/>
        <v>-4.8727178892507004</v>
      </c>
      <c r="I970" s="16">
        <f t="shared" si="158"/>
        <v>2.1695820954167999</v>
      </c>
      <c r="J970" s="16">
        <f t="shared" si="159"/>
        <v>-4.8751086657375202</v>
      </c>
      <c r="K970" s="15">
        <f t="shared" si="160"/>
        <v>4.53490544503055E-5</v>
      </c>
      <c r="L970" s="15">
        <f t="shared" si="161"/>
        <v>2.3907764868198499E-3</v>
      </c>
      <c r="M970" s="15">
        <f t="shared" si="162"/>
        <v>7.6195811843405306E-2</v>
      </c>
      <c r="N970" s="15">
        <f t="shared" si="163"/>
        <v>0.17121401554492899</v>
      </c>
      <c r="O970" s="16">
        <v>7.9370345000000002</v>
      </c>
      <c r="P970" s="16">
        <v>-4.3611281000000002</v>
      </c>
      <c r="Q970" s="16">
        <v>5.4211653999999996</v>
      </c>
      <c r="R970" s="16">
        <v>-6.9134089999999997</v>
      </c>
      <c r="S970" s="16">
        <f t="shared" si="164"/>
        <v>0.97009707378144949</v>
      </c>
      <c r="T970" s="16">
        <f t="shared" si="165"/>
        <v>-23.110866421805042</v>
      </c>
    </row>
    <row r="971" spans="1:20" x14ac:dyDescent="0.35">
      <c r="A971" s="17">
        <v>3.7625000000000002</v>
      </c>
      <c r="B971" s="17">
        <v>15.1464</v>
      </c>
      <c r="C971" s="17">
        <v>-4.5713991000000002E-2</v>
      </c>
      <c r="D971" s="17">
        <v>-7.8177222000000005E-2</v>
      </c>
      <c r="E971" s="17">
        <v>0.95418234999999996</v>
      </c>
      <c r="F971" s="17">
        <v>-8.2991754000000001E-2</v>
      </c>
      <c r="G971" s="17">
        <f t="shared" si="156"/>
        <v>2.1644296709174902</v>
      </c>
      <c r="H971" s="17">
        <f t="shared" si="157"/>
        <v>-4.6902853034262204</v>
      </c>
      <c r="I971" s="17">
        <f t="shared" si="158"/>
        <v>2.1643836345281899</v>
      </c>
      <c r="J971" s="17">
        <f t="shared" si="159"/>
        <v>-4.69269280502765</v>
      </c>
      <c r="K971" s="15">
        <f t="shared" si="160"/>
        <v>4.60363893002302E-5</v>
      </c>
      <c r="L971" s="15">
        <f t="shared" si="161"/>
        <v>2.4075016014295501E-3</v>
      </c>
      <c r="M971" s="15">
        <f t="shared" si="162"/>
        <v>8.1045081006904302E-2</v>
      </c>
      <c r="N971" s="15">
        <f t="shared" si="163"/>
        <v>0.17571730928694099</v>
      </c>
      <c r="O971" s="17">
        <v>8.0805396999999992</v>
      </c>
      <c r="P971" s="17">
        <v>-4.6041255000000003</v>
      </c>
      <c r="Q971" s="17">
        <v>5.4646786000000001</v>
      </c>
      <c r="R971" s="17">
        <v>-7.1968249000000002</v>
      </c>
      <c r="S971" s="17">
        <f t="shared" si="164"/>
        <v>0.97164136925653999</v>
      </c>
      <c r="T971" s="17">
        <f t="shared" si="165"/>
        <v>-23.116342010493725</v>
      </c>
    </row>
    <row r="972" spans="1:20" x14ac:dyDescent="0.35">
      <c r="A972" s="16">
        <v>3.7625000000000002</v>
      </c>
      <c r="B972" s="16">
        <v>15.1952</v>
      </c>
      <c r="C972" s="16">
        <v>-4.8410375999999998E-2</v>
      </c>
      <c r="D972" s="16">
        <v>-7.9812934000000002E-2</v>
      </c>
      <c r="E972" s="16">
        <v>0.95148423000000004</v>
      </c>
      <c r="F972" s="16">
        <v>-8.4662243999999998E-2</v>
      </c>
      <c r="G972" s="16">
        <f t="shared" si="156"/>
        <v>2.15941318279501</v>
      </c>
      <c r="H972" s="16">
        <f t="shared" si="157"/>
        <v>-4.5115390054901603</v>
      </c>
      <c r="I972" s="16">
        <f t="shared" si="158"/>
        <v>2.15936636286468</v>
      </c>
      <c r="J972" s="16">
        <f t="shared" si="159"/>
        <v>-4.5139639017970801</v>
      </c>
      <c r="K972" s="15">
        <f t="shared" si="160"/>
        <v>4.6819930330066497E-5</v>
      </c>
      <c r="L972" s="15">
        <f t="shared" si="161"/>
        <v>2.4248963069197801E-3</v>
      </c>
      <c r="M972" s="15">
        <f t="shared" si="162"/>
        <v>8.6241038872806E-2</v>
      </c>
      <c r="N972" s="15">
        <f t="shared" si="163"/>
        <v>0.18027924442098001</v>
      </c>
      <c r="O972" s="16">
        <v>8.2217889999999993</v>
      </c>
      <c r="P972" s="16">
        <v>-4.8613814</v>
      </c>
      <c r="Q972" s="16">
        <v>5.5004159000000001</v>
      </c>
      <c r="R972" s="16">
        <v>-7.4925296000000001</v>
      </c>
      <c r="S972" s="16">
        <f t="shared" si="164"/>
        <v>0.9731221633894549</v>
      </c>
      <c r="T972" s="16">
        <f t="shared" si="165"/>
        <v>-23.121876485095118</v>
      </c>
    </row>
    <row r="973" spans="1:20" x14ac:dyDescent="0.35">
      <c r="A973" s="17">
        <v>3.7625000000000002</v>
      </c>
      <c r="B973" s="17">
        <v>15.244</v>
      </c>
      <c r="C973" s="17">
        <v>-5.1273285000000002E-2</v>
      </c>
      <c r="D973" s="17">
        <v>-8.1423587000000006E-2</v>
      </c>
      <c r="E973" s="17">
        <v>0.94861951</v>
      </c>
      <c r="F973" s="17">
        <v>-8.6308557999999994E-2</v>
      </c>
      <c r="G973" s="17">
        <f t="shared" si="156"/>
        <v>2.1545056179283599</v>
      </c>
      <c r="H973" s="17">
        <f t="shared" si="157"/>
        <v>-4.33609526845507</v>
      </c>
      <c r="I973" s="17">
        <f t="shared" si="158"/>
        <v>2.15445797921423</v>
      </c>
      <c r="J973" s="17">
        <f t="shared" si="159"/>
        <v>-4.3385380012485104</v>
      </c>
      <c r="K973" s="15">
        <f t="shared" si="160"/>
        <v>4.7638714129938398E-5</v>
      </c>
      <c r="L973" s="15">
        <f t="shared" si="161"/>
        <v>2.4427327934404301E-3</v>
      </c>
      <c r="M973" s="15">
        <f t="shared" si="162"/>
        <v>9.1817370488329206E-2</v>
      </c>
      <c r="N973" s="15">
        <f t="shared" si="163"/>
        <v>0.184897155053178</v>
      </c>
      <c r="O973" s="17">
        <v>8.3601822000000006</v>
      </c>
      <c r="P973" s="17">
        <v>-5.1340244999999998</v>
      </c>
      <c r="Q973" s="17">
        <v>5.5275568000000002</v>
      </c>
      <c r="R973" s="17">
        <v>-7.8015521999999997</v>
      </c>
      <c r="S973" s="17">
        <f t="shared" si="164"/>
        <v>0.97457171306640877</v>
      </c>
      <c r="T973" s="17">
        <f t="shared" si="165"/>
        <v>-23.127392290580023</v>
      </c>
    </row>
    <row r="974" spans="1:20" x14ac:dyDescent="0.35">
      <c r="A974" s="16">
        <v>3.7625000000000002</v>
      </c>
      <c r="B974" s="16">
        <v>15.2928</v>
      </c>
      <c r="C974" s="16">
        <v>-5.4313662999999998E-2</v>
      </c>
      <c r="D974" s="16">
        <v>-8.3000491999999995E-2</v>
      </c>
      <c r="E974" s="16">
        <v>0.94557732000000005</v>
      </c>
      <c r="F974" s="16">
        <v>-8.7921791999999999E-2</v>
      </c>
      <c r="G974" s="16">
        <f t="shared" si="156"/>
        <v>2.1496731251338699</v>
      </c>
      <c r="H974" s="16">
        <f t="shared" si="157"/>
        <v>-4.1637435471189397</v>
      </c>
      <c r="I974" s="16">
        <f t="shared" si="158"/>
        <v>2.1496246694145098</v>
      </c>
      <c r="J974" s="16">
        <f t="shared" si="159"/>
        <v>-4.1662044504916702</v>
      </c>
      <c r="K974" s="15">
        <f t="shared" si="160"/>
        <v>4.8455719360074298E-5</v>
      </c>
      <c r="L974" s="15">
        <f t="shared" si="161"/>
        <v>2.46090337273053E-3</v>
      </c>
      <c r="M974" s="15">
        <f t="shared" si="162"/>
        <v>9.7807371676620694E-2</v>
      </c>
      <c r="N974" s="15">
        <f t="shared" si="163"/>
        <v>0.18956123502295699</v>
      </c>
      <c r="O974" s="16">
        <v>8.4947862000000001</v>
      </c>
      <c r="P974" s="16">
        <v>-5.4230093999999998</v>
      </c>
      <c r="Q974" s="16">
        <v>5.5448331</v>
      </c>
      <c r="R974" s="16">
        <v>-8.1243286000000001</v>
      </c>
      <c r="S974" s="16">
        <f t="shared" si="164"/>
        <v>0.97598154748061294</v>
      </c>
      <c r="T974" s="16">
        <f t="shared" si="165"/>
        <v>-23.132702084810024</v>
      </c>
    </row>
    <row r="975" spans="1:20" x14ac:dyDescent="0.35">
      <c r="A975" s="17">
        <v>3.7625000000000002</v>
      </c>
      <c r="B975" s="17">
        <v>15.3416</v>
      </c>
      <c r="C975" s="17">
        <v>-5.7541729999999999E-2</v>
      </c>
      <c r="D975" s="17">
        <v>-8.4532500999999996E-2</v>
      </c>
      <c r="E975" s="17">
        <v>0.94234746999999996</v>
      </c>
      <c r="F975" s="17">
        <v>-8.9490684000000001E-2</v>
      </c>
      <c r="G975" s="17">
        <f t="shared" si="156"/>
        <v>2.14489822870337</v>
      </c>
      <c r="H975" s="17">
        <f t="shared" si="157"/>
        <v>-3.99435288182121</v>
      </c>
      <c r="I975" s="17">
        <f t="shared" si="158"/>
        <v>2.1448489725124902</v>
      </c>
      <c r="J975" s="17">
        <f t="shared" si="159"/>
        <v>-3.9968322327878698</v>
      </c>
      <c r="K975" s="15">
        <f t="shared" si="160"/>
        <v>4.9256190879809501E-5</v>
      </c>
      <c r="L975" s="15">
        <f t="shared" si="161"/>
        <v>2.4793509666598502E-3</v>
      </c>
      <c r="M975" s="15">
        <f t="shared" si="162"/>
        <v>0.104245165503541</v>
      </c>
      <c r="N975" s="15">
        <f t="shared" si="163"/>
        <v>0.19425630565903801</v>
      </c>
      <c r="O975" s="17">
        <v>8.6244545000000006</v>
      </c>
      <c r="P975" s="17">
        <v>-5.7292059000000002</v>
      </c>
      <c r="Q975" s="17">
        <v>5.5508226000000001</v>
      </c>
      <c r="R975" s="17">
        <v>-8.4611512999999992</v>
      </c>
      <c r="S975" s="17">
        <f t="shared" si="164"/>
        <v>0.9773456374584929</v>
      </c>
      <c r="T975" s="17">
        <f t="shared" si="165"/>
        <v>-23.137670798215854</v>
      </c>
    </row>
    <row r="976" spans="1:20" x14ac:dyDescent="0.35">
      <c r="A976" s="16">
        <v>3.7625000000000002</v>
      </c>
      <c r="B976" s="16">
        <v>15.3904</v>
      </c>
      <c r="C976" s="16">
        <v>-6.0967148999999998E-2</v>
      </c>
      <c r="D976" s="16">
        <v>-8.6006277000000006E-2</v>
      </c>
      <c r="E976" s="16">
        <v>0.93892032000000003</v>
      </c>
      <c r="F976" s="16">
        <v>-9.1001831000000005E-2</v>
      </c>
      <c r="G976" s="16">
        <f t="shared" si="156"/>
        <v>2.14017125385638</v>
      </c>
      <c r="H976" s="16">
        <f t="shared" si="157"/>
        <v>-3.8278327707234499</v>
      </c>
      <c r="I976" s="16">
        <f t="shared" si="158"/>
        <v>2.1401212250946302</v>
      </c>
      <c r="J976" s="16">
        <f t="shared" si="159"/>
        <v>-3.83033081323775</v>
      </c>
      <c r="K976" s="15">
        <f t="shared" si="160"/>
        <v>5.0028761749754098E-5</v>
      </c>
      <c r="L976" s="15">
        <f t="shared" si="161"/>
        <v>2.4980425143001899E-3</v>
      </c>
      <c r="M976" s="15">
        <f t="shared" si="162"/>
        <v>0.11116616022795101</v>
      </c>
      <c r="N976" s="15">
        <f t="shared" si="163"/>
        <v>0.19896217275805</v>
      </c>
      <c r="O976" s="16">
        <v>8.7478554000000006</v>
      </c>
      <c r="P976" s="16">
        <v>-6.0534243999999999</v>
      </c>
      <c r="Q976" s="16">
        <v>5.5441545000000003</v>
      </c>
      <c r="R976" s="16">
        <v>-8.8127332999999997</v>
      </c>
      <c r="S976" s="16">
        <f t="shared" si="164"/>
        <v>0.97871195703373015</v>
      </c>
      <c r="T976" s="16">
        <f t="shared" si="165"/>
        <v>-23.142875093249593</v>
      </c>
    </row>
    <row r="977" spans="1:20" x14ac:dyDescent="0.35">
      <c r="A977" s="17">
        <v>3.7625000000000002</v>
      </c>
      <c r="B977" s="17">
        <v>15.4392</v>
      </c>
      <c r="C977" s="17">
        <v>-6.4598964999999994E-2</v>
      </c>
      <c r="D977" s="17">
        <v>-8.7406329000000005E-2</v>
      </c>
      <c r="E977" s="17">
        <v>0.93528683999999995</v>
      </c>
      <c r="F977" s="17">
        <v>-9.2439706999999996E-2</v>
      </c>
      <c r="G977" s="17">
        <f t="shared" si="156"/>
        <v>2.1354865789289801</v>
      </c>
      <c r="H977" s="17">
        <f t="shared" si="157"/>
        <v>-3.6641151196505799</v>
      </c>
      <c r="I977" s="17">
        <f t="shared" si="158"/>
        <v>2.1354358129371001</v>
      </c>
      <c r="J977" s="17">
        <f t="shared" si="159"/>
        <v>-3.6666320801249399</v>
      </c>
      <c r="K977" s="15">
        <f t="shared" si="160"/>
        <v>5.0765991880030698E-5</v>
      </c>
      <c r="L977" s="15">
        <f t="shared" si="161"/>
        <v>2.51696047436001E-3</v>
      </c>
      <c r="M977" s="15">
        <f t="shared" si="162"/>
        <v>0.118607141079179</v>
      </c>
      <c r="N977" s="15">
        <f t="shared" si="163"/>
        <v>0.203653392800729</v>
      </c>
      <c r="O977" s="17">
        <v>8.8634760999999997</v>
      </c>
      <c r="P977" s="17">
        <v>-6.3964102</v>
      </c>
      <c r="Q977" s="17">
        <v>5.5229910999999996</v>
      </c>
      <c r="R977" s="17">
        <v>-9.1788185999999996</v>
      </c>
      <c r="S977" s="17">
        <f t="shared" si="164"/>
        <v>0.98004308854522915</v>
      </c>
      <c r="T977" s="17">
        <f t="shared" si="165"/>
        <v>-23.147786153589088</v>
      </c>
    </row>
    <row r="978" spans="1:20" x14ac:dyDescent="0.35">
      <c r="A978" s="16">
        <v>3.7625000000000002</v>
      </c>
      <c r="B978" s="16">
        <v>15.488</v>
      </c>
      <c r="C978" s="16">
        <v>-6.8445435999999998E-2</v>
      </c>
      <c r="D978" s="16">
        <v>-8.8714966000000006E-2</v>
      </c>
      <c r="E978" s="16">
        <v>0.93143878000000002</v>
      </c>
      <c r="F978" s="16">
        <v>-9.3786601999999997E-2</v>
      </c>
      <c r="G978" s="16">
        <f t="shared" si="156"/>
        <v>2.13084079814349</v>
      </c>
      <c r="H978" s="16">
        <f t="shared" si="157"/>
        <v>-3.5031447211463398</v>
      </c>
      <c r="I978" s="16">
        <f t="shared" si="158"/>
        <v>2.1307893342403199</v>
      </c>
      <c r="J978" s="16">
        <f t="shared" si="159"/>
        <v>-3.50568081646907</v>
      </c>
      <c r="K978" s="15">
        <f t="shared" si="160"/>
        <v>5.1463903170123601E-5</v>
      </c>
      <c r="L978" s="15">
        <f t="shared" si="161"/>
        <v>2.53609532273025E-3</v>
      </c>
      <c r="M978" s="15">
        <f t="shared" si="162"/>
        <v>0.12660615503574901</v>
      </c>
      <c r="N978" s="15">
        <f t="shared" si="163"/>
        <v>0.20829875662672001</v>
      </c>
      <c r="O978" s="16">
        <v>8.9696139000000006</v>
      </c>
      <c r="P978" s="16">
        <v>-6.7588283000000002</v>
      </c>
      <c r="Q978" s="16">
        <v>5.4855383</v>
      </c>
      <c r="R978" s="16">
        <v>-9.5595586000000008</v>
      </c>
      <c r="S978" s="16">
        <f t="shared" si="164"/>
        <v>0.98135625113493774</v>
      </c>
      <c r="T978" s="16">
        <f t="shared" si="165"/>
        <v>-23.152669357790685</v>
      </c>
    </row>
    <row r="979" spans="1:20" x14ac:dyDescent="0.35">
      <c r="A979" s="17">
        <v>3.7625000000000002</v>
      </c>
      <c r="B979" s="17">
        <v>15.536799999999999</v>
      </c>
      <c r="C979" s="17">
        <v>-7.2513762999999995E-2</v>
      </c>
      <c r="D979" s="17">
        <v>-8.9912213000000005E-2</v>
      </c>
      <c r="E979" s="17">
        <v>0.92736896999999996</v>
      </c>
      <c r="F979" s="17">
        <v>-9.5022536000000005E-2</v>
      </c>
      <c r="G979" s="17">
        <f t="shared" si="156"/>
        <v>2.1262316029376001</v>
      </c>
      <c r="H979" s="17">
        <f t="shared" si="157"/>
        <v>-3.3448751370609302</v>
      </c>
      <c r="I979" s="17">
        <f t="shared" si="158"/>
        <v>2.1261794959557201</v>
      </c>
      <c r="J979" s="17">
        <f t="shared" si="159"/>
        <v>-3.34743058153733</v>
      </c>
      <c r="K979" s="15">
        <f t="shared" si="160"/>
        <v>5.2106981879962399E-5</v>
      </c>
      <c r="L979" s="15">
        <f t="shared" si="161"/>
        <v>2.5554444763997699E-3</v>
      </c>
      <c r="M979" s="15">
        <f t="shared" si="162"/>
        <v>0.135202140345792</v>
      </c>
      <c r="N979" s="15">
        <f t="shared" si="163"/>
        <v>0.21286056993009</v>
      </c>
      <c r="O979" s="17">
        <v>9.0643686999999993</v>
      </c>
      <c r="P979" s="17">
        <v>-7.1412386000000003</v>
      </c>
      <c r="Q979" s="17">
        <v>5.4298400999999998</v>
      </c>
      <c r="R979" s="17">
        <v>-9.9547553000000004</v>
      </c>
      <c r="S979" s="17">
        <f t="shared" si="164"/>
        <v>0.98265312621026624</v>
      </c>
      <c r="T979" s="17">
        <f t="shared" si="165"/>
        <v>-23.157334802533743</v>
      </c>
    </row>
    <row r="980" spans="1:20" x14ac:dyDescent="0.35">
      <c r="A980" s="16">
        <v>3.7625000000000002</v>
      </c>
      <c r="B980" s="16">
        <v>15.585599999999999</v>
      </c>
      <c r="C980" s="16">
        <v>-7.6809754999999993E-2</v>
      </c>
      <c r="D980" s="16">
        <v>-9.0975736000000001E-2</v>
      </c>
      <c r="E980" s="16">
        <v>0.92307161000000004</v>
      </c>
      <c r="F980" s="16">
        <v>-9.6125178000000006E-2</v>
      </c>
      <c r="G980" s="16">
        <f t="shared" si="156"/>
        <v>2.1216576214804599</v>
      </c>
      <c r="H980" s="16">
        <f t="shared" si="157"/>
        <v>-3.1892648981207499</v>
      </c>
      <c r="I980" s="16">
        <f t="shared" si="158"/>
        <v>2.1216049307857801</v>
      </c>
      <c r="J980" s="16">
        <f t="shared" si="159"/>
        <v>-3.1918399075277102</v>
      </c>
      <c r="K980" s="15">
        <f t="shared" si="160"/>
        <v>5.26906946798356E-5</v>
      </c>
      <c r="L980" s="15">
        <f t="shared" si="161"/>
        <v>2.5750094069603201E-3</v>
      </c>
      <c r="M980" s="15">
        <f t="shared" si="162"/>
        <v>0.144434460107039</v>
      </c>
      <c r="N980" s="15">
        <f t="shared" si="163"/>
        <v>0.21729383595518001</v>
      </c>
      <c r="O980" s="16">
        <v>9.1456309999999998</v>
      </c>
      <c r="P980" s="16">
        <v>-7.5440595999999998</v>
      </c>
      <c r="Q980" s="16">
        <v>5.3537290000000004</v>
      </c>
      <c r="R980" s="16">
        <v>-10.364032999999999</v>
      </c>
      <c r="S980" s="16">
        <f t="shared" si="164"/>
        <v>0.98393486448295076</v>
      </c>
      <c r="T980" s="16">
        <f t="shared" si="165"/>
        <v>-23.161982824780413</v>
      </c>
    </row>
    <row r="981" spans="1:20" x14ac:dyDescent="0.35">
      <c r="A981" s="17">
        <v>3.7625000000000002</v>
      </c>
      <c r="B981" s="17">
        <v>15.634399999999999</v>
      </c>
      <c r="C981" s="17">
        <v>-8.1337408E-2</v>
      </c>
      <c r="D981" s="17">
        <v>-9.1880798999999999E-2</v>
      </c>
      <c r="E981" s="17">
        <v>0.91854272000000003</v>
      </c>
      <c r="F981" s="17">
        <v>-9.7069799999999998E-2</v>
      </c>
      <c r="G981" s="17">
        <f t="shared" si="156"/>
        <v>2.11711776005885</v>
      </c>
      <c r="H981" s="17">
        <f t="shared" si="157"/>
        <v>-3.0362767876346402</v>
      </c>
      <c r="I981" s="17">
        <f t="shared" si="158"/>
        <v>2.1170645530643402</v>
      </c>
      <c r="J981" s="17">
        <f t="shared" si="159"/>
        <v>-3.0388715817017902</v>
      </c>
      <c r="K981" s="15">
        <f t="shared" si="160"/>
        <v>5.3206994509835701E-5</v>
      </c>
      <c r="L981" s="15">
        <f t="shared" si="161"/>
        <v>2.59479406715002E-3</v>
      </c>
      <c r="M981" s="15">
        <f t="shared" si="162"/>
        <v>0.15434208804357599</v>
      </c>
      <c r="N981" s="15">
        <f t="shared" si="163"/>
        <v>0.22154533953027</v>
      </c>
      <c r="O981" s="17">
        <v>9.2110876000000008</v>
      </c>
      <c r="P981" s="17">
        <v>-7.9675361000000002</v>
      </c>
      <c r="Q981" s="17">
        <v>5.2549169999999998</v>
      </c>
      <c r="R981" s="17">
        <v>-10.786759</v>
      </c>
      <c r="S981" s="17">
        <f t="shared" si="164"/>
        <v>0.98520174339620414</v>
      </c>
      <c r="T981" s="17">
        <f t="shared" si="165"/>
        <v>-23.166728003899816</v>
      </c>
    </row>
    <row r="982" spans="1:20" x14ac:dyDescent="0.35">
      <c r="A982" s="16">
        <v>3.7625000000000002</v>
      </c>
      <c r="B982" s="16">
        <v>15.683199999999999</v>
      </c>
      <c r="C982" s="16">
        <v>-8.6098434000000001E-2</v>
      </c>
      <c r="D982" s="16">
        <v>-9.2600265000000001E-2</v>
      </c>
      <c r="E982" s="16">
        <v>0.91378060999999999</v>
      </c>
      <c r="F982" s="16">
        <v>-9.7829280000000005E-2</v>
      </c>
      <c r="G982" s="16">
        <f t="shared" si="156"/>
        <v>2.1126112541128101</v>
      </c>
      <c r="H982" s="16">
        <f t="shared" si="157"/>
        <v>-2.8858765984238799</v>
      </c>
      <c r="I982" s="16">
        <f t="shared" si="158"/>
        <v>2.1125576092981002</v>
      </c>
      <c r="J982" s="16">
        <f t="shared" si="159"/>
        <v>-2.8884914043168801</v>
      </c>
      <c r="K982" s="15">
        <f t="shared" si="160"/>
        <v>5.3644814709930002E-5</v>
      </c>
      <c r="L982" s="15">
        <f t="shared" si="161"/>
        <v>2.6148058930002302E-3</v>
      </c>
      <c r="M982" s="15">
        <f t="shared" si="162"/>
        <v>0.164962599512776</v>
      </c>
      <c r="N982" s="15">
        <f t="shared" si="163"/>
        <v>0.225552689606764</v>
      </c>
      <c r="O982" s="16">
        <v>9.2582097999999995</v>
      </c>
      <c r="P982" s="16">
        <v>-8.4116845999999992</v>
      </c>
      <c r="Q982" s="16">
        <v>5.1308484999999999</v>
      </c>
      <c r="R982" s="16">
        <v>-11.221434</v>
      </c>
      <c r="S982" s="16">
        <f t="shared" si="164"/>
        <v>0.98640767150480357</v>
      </c>
      <c r="T982" s="16">
        <f t="shared" si="165"/>
        <v>-23.171209709682429</v>
      </c>
    </row>
    <row r="983" spans="1:20" x14ac:dyDescent="0.35">
      <c r="A983" s="17">
        <v>3.7625000000000002</v>
      </c>
      <c r="B983" s="17">
        <v>15.731999999999999</v>
      </c>
      <c r="C983" s="17">
        <v>-9.1091709000000007E-2</v>
      </c>
      <c r="D983" s="17">
        <v>-9.3104678999999996E-2</v>
      </c>
      <c r="E983" s="17">
        <v>0.90878641999999998</v>
      </c>
      <c r="F983" s="17">
        <v>-9.8374182000000004E-2</v>
      </c>
      <c r="G983" s="17">
        <f t="shared" si="156"/>
        <v>2.1081375174902601</v>
      </c>
      <c r="H983" s="17">
        <f t="shared" si="157"/>
        <v>-2.7380326823965402</v>
      </c>
      <c r="I983" s="17">
        <f t="shared" si="158"/>
        <v>2.10808352141335</v>
      </c>
      <c r="J983" s="17">
        <f t="shared" si="159"/>
        <v>-2.7406677367311398</v>
      </c>
      <c r="K983" s="15">
        <f t="shared" si="160"/>
        <v>5.3996076910145498E-5</v>
      </c>
      <c r="L983" s="15">
        <f t="shared" si="161"/>
        <v>2.63505433459965E-3</v>
      </c>
      <c r="M983" s="15">
        <f t="shared" si="162"/>
        <v>0.17633081501744799</v>
      </c>
      <c r="N983" s="15">
        <f t="shared" si="163"/>
        <v>0.22924337238110301</v>
      </c>
      <c r="O983" s="17">
        <v>9.2918514999999999</v>
      </c>
      <c r="P983" s="17">
        <v>-8.8834932999999996</v>
      </c>
      <c r="Q983" s="17">
        <v>4.9791990000000004</v>
      </c>
      <c r="R983" s="17">
        <v>-11.666819</v>
      </c>
      <c r="S983" s="17">
        <f t="shared" si="164"/>
        <v>0.98675728095582993</v>
      </c>
      <c r="T983" s="17">
        <f t="shared" si="165"/>
        <v>-23.175126565448327</v>
      </c>
    </row>
    <row r="984" spans="1:20" x14ac:dyDescent="0.35">
      <c r="A984" s="16">
        <v>3.7625000000000002</v>
      </c>
      <c r="B984" s="16">
        <v>15.780799999999999</v>
      </c>
      <c r="C984" s="16">
        <v>-9.6312678999999998E-2</v>
      </c>
      <c r="D984" s="16">
        <v>-9.3362448000000001E-2</v>
      </c>
      <c r="E984" s="16">
        <v>0.90356471000000005</v>
      </c>
      <c r="F984" s="16">
        <v>-9.8672932000000005E-2</v>
      </c>
      <c r="G984" s="16">
        <f t="shared" si="156"/>
        <v>2.1036961527266902</v>
      </c>
      <c r="H984" s="16">
        <f t="shared" si="157"/>
        <v>-2.5927154883219798</v>
      </c>
      <c r="I984" s="16">
        <f t="shared" si="158"/>
        <v>2.10364189502529</v>
      </c>
      <c r="J984" s="16">
        <f t="shared" si="159"/>
        <v>-2.5953710371890599</v>
      </c>
      <c r="K984" s="15">
        <f t="shared" si="160"/>
        <v>5.4257701400217697E-5</v>
      </c>
      <c r="L984" s="15">
        <f t="shared" si="161"/>
        <v>2.6555488670800798E-3</v>
      </c>
      <c r="M984" s="15">
        <f t="shared" si="162"/>
        <v>0.188477097288821</v>
      </c>
      <c r="N984" s="15">
        <f t="shared" si="163"/>
        <v>0.23253387405606499</v>
      </c>
      <c r="O984" s="16">
        <v>9.2939077000000001</v>
      </c>
      <c r="P984" s="16">
        <v>-9.3682435999999996</v>
      </c>
      <c r="Q984" s="16">
        <v>4.7982022999999998</v>
      </c>
      <c r="R984" s="16">
        <v>-12.123414</v>
      </c>
      <c r="S984" s="16">
        <f t="shared" si="164"/>
        <v>0.98803924508984153</v>
      </c>
      <c r="T984" s="16">
        <f t="shared" si="165"/>
        <v>-23.179119769764721</v>
      </c>
    </row>
    <row r="985" spans="1:20" x14ac:dyDescent="0.35">
      <c r="A985" s="17">
        <v>3.7625000000000002</v>
      </c>
      <c r="B985" s="17">
        <v>15.829599999999999</v>
      </c>
      <c r="C985" s="17">
        <v>-0.10174858000000001</v>
      </c>
      <c r="D985" s="17">
        <v>-9.3339750999999999E-2</v>
      </c>
      <c r="E985" s="17">
        <v>0.89812828</v>
      </c>
      <c r="F985" s="17">
        <v>-9.8691985999999995E-2</v>
      </c>
      <c r="G985" s="17">
        <f t="shared" si="156"/>
        <v>2.0992998655603601</v>
      </c>
      <c r="H985" s="17">
        <f t="shared" si="157"/>
        <v>-2.4500030514172</v>
      </c>
      <c r="I985" s="17">
        <f t="shared" si="158"/>
        <v>2.0992454546458101</v>
      </c>
      <c r="J985" s="17">
        <f t="shared" si="159"/>
        <v>-2.4526794793148601</v>
      </c>
      <c r="K985" s="15">
        <f t="shared" si="160"/>
        <v>5.4410914549940501E-5</v>
      </c>
      <c r="L985" s="15">
        <f t="shared" si="161"/>
        <v>2.6764278976600898E-3</v>
      </c>
      <c r="M985" s="15">
        <f t="shared" si="162"/>
        <v>0.201415387706017</v>
      </c>
      <c r="N985" s="15">
        <f t="shared" si="163"/>
        <v>0.23532616786260699</v>
      </c>
      <c r="O985" s="17">
        <v>9.2620950999999998</v>
      </c>
      <c r="P985" s="17">
        <v>-9.8642365999999999</v>
      </c>
      <c r="Q985" s="17">
        <v>4.5846008999999999</v>
      </c>
      <c r="R985" s="17">
        <v>-12.587319000000001</v>
      </c>
      <c r="S985" s="17">
        <f t="shared" si="164"/>
        <v>0.99003607515488601</v>
      </c>
      <c r="T985" s="17">
        <f t="shared" si="165"/>
        <v>-23.183964223775742</v>
      </c>
    </row>
    <row r="986" spans="1:20" x14ac:dyDescent="0.35">
      <c r="A986" s="16">
        <v>3.7625000000000002</v>
      </c>
      <c r="B986" s="16">
        <v>15.878399999999999</v>
      </c>
      <c r="C986" s="16">
        <v>-0.10739576000000001</v>
      </c>
      <c r="D986" s="16">
        <v>-9.3002707000000004E-2</v>
      </c>
      <c r="E986" s="16">
        <v>0.89248066000000004</v>
      </c>
      <c r="F986" s="16">
        <v>-9.8396822999999994E-2</v>
      </c>
      <c r="G986" s="16">
        <f t="shared" si="156"/>
        <v>2.0949220054171098</v>
      </c>
      <c r="H986" s="16">
        <f t="shared" si="157"/>
        <v>-2.30961799273279</v>
      </c>
      <c r="I986" s="16">
        <f t="shared" si="158"/>
        <v>2.0948674870163702</v>
      </c>
      <c r="J986" s="16">
        <f t="shared" si="159"/>
        <v>-2.3123153644426799</v>
      </c>
      <c r="K986" s="15">
        <f t="shared" si="160"/>
        <v>5.4518400739667099E-5</v>
      </c>
      <c r="L986" s="15">
        <f t="shared" si="161"/>
        <v>2.6973717098899299E-3</v>
      </c>
      <c r="M986" s="15">
        <f t="shared" si="162"/>
        <v>0.21518324895708099</v>
      </c>
      <c r="N986" s="15">
        <f t="shared" si="163"/>
        <v>0.23751933514554799</v>
      </c>
      <c r="O986" s="16">
        <v>9.2146706999999992</v>
      </c>
      <c r="P986" s="16">
        <v>-10.393776000000001</v>
      </c>
      <c r="Q986" s="16">
        <v>4.335464</v>
      </c>
      <c r="R986" s="16">
        <v>-13.055121</v>
      </c>
      <c r="S986" s="16">
        <f t="shared" si="164"/>
        <v>0.99034342114110141</v>
      </c>
      <c r="T986" s="16">
        <f t="shared" si="165"/>
        <v>-23.188037193273683</v>
      </c>
    </row>
    <row r="987" spans="1:20" x14ac:dyDescent="0.35">
      <c r="A987" s="17">
        <v>3.7625000000000002</v>
      </c>
      <c r="B987" s="17">
        <v>15.927199999999999</v>
      </c>
      <c r="C987" s="17">
        <v>-0.11324015</v>
      </c>
      <c r="D987" s="17">
        <v>-9.2310795000000001E-2</v>
      </c>
      <c r="E987" s="17">
        <v>0.88666792000000005</v>
      </c>
      <c r="F987" s="17">
        <v>-9.7774073000000003E-2</v>
      </c>
      <c r="G987" s="17">
        <f t="shared" si="156"/>
        <v>2.0903862233427399</v>
      </c>
      <c r="H987" s="17">
        <f t="shared" si="157"/>
        <v>-2.1718463947730702</v>
      </c>
      <c r="I987" s="17">
        <f t="shared" si="158"/>
        <v>2.0903477190548401</v>
      </c>
      <c r="J987" s="17">
        <f t="shared" si="159"/>
        <v>-2.1745782645232801</v>
      </c>
      <c r="K987" s="15">
        <f t="shared" si="160"/>
        <v>3.8504287899865402E-5</v>
      </c>
      <c r="L987" s="15">
        <f t="shared" si="161"/>
        <v>2.7318697502098899E-3</v>
      </c>
      <c r="M987" s="15">
        <f t="shared" si="162"/>
        <v>0.229750344638181</v>
      </c>
      <c r="N987" s="15">
        <f t="shared" si="163"/>
        <v>0.23900813303100599</v>
      </c>
      <c r="O987" s="17">
        <v>9.1258584000000003</v>
      </c>
      <c r="P987" s="17">
        <v>-10.931615000000001</v>
      </c>
      <c r="Q987" s="17">
        <v>4.0477775999999999</v>
      </c>
      <c r="R987" s="17">
        <v>-13.526808000000001</v>
      </c>
      <c r="S987" s="17">
        <f t="shared" si="164"/>
        <v>0.99152530240995507</v>
      </c>
      <c r="T987" s="17">
        <f t="shared" si="165"/>
        <v>-23.196233547461418</v>
      </c>
    </row>
    <row r="988" spans="1:20" x14ac:dyDescent="0.35">
      <c r="A988" s="16">
        <v>3.7625000000000002</v>
      </c>
      <c r="B988" s="16">
        <v>15.976000000000001</v>
      </c>
      <c r="C988" s="16">
        <v>-0.11923562</v>
      </c>
      <c r="D988" s="16">
        <v>-9.1236834000000003E-2</v>
      </c>
      <c r="E988" s="16">
        <v>0.88067276000000005</v>
      </c>
      <c r="F988" s="16">
        <v>-9.6743625E-2</v>
      </c>
      <c r="G988" s="16">
        <f t="shared" si="156"/>
        <v>2.0860974629962099</v>
      </c>
      <c r="H988" s="16">
        <f t="shared" si="157"/>
        <v>-2.0363762335768101</v>
      </c>
      <c r="I988" s="16">
        <f t="shared" si="158"/>
        <v>2.0860592330688301</v>
      </c>
      <c r="J988" s="16">
        <f t="shared" si="159"/>
        <v>-2.0391298604825598</v>
      </c>
      <c r="K988" s="15">
        <f t="shared" si="160"/>
        <v>3.8229927379784798E-5</v>
      </c>
      <c r="L988" s="15">
        <f t="shared" si="161"/>
        <v>2.7536269057497598E-3</v>
      </c>
      <c r="M988" s="15">
        <f t="shared" si="162"/>
        <v>0.24513916760367899</v>
      </c>
      <c r="N988" s="15">
        <f t="shared" si="163"/>
        <v>0.239624354241914</v>
      </c>
      <c r="O988" s="16">
        <v>8.9937231999999998</v>
      </c>
      <c r="P988" s="16">
        <v>-11.472583999999999</v>
      </c>
      <c r="Q988" s="16">
        <v>3.7223408999999998</v>
      </c>
      <c r="R988" s="16">
        <v>-13.996473999999999</v>
      </c>
      <c r="S988" s="16">
        <f t="shared" si="164"/>
        <v>0.99350824450101427</v>
      </c>
      <c r="T988" s="16">
        <f t="shared" si="165"/>
        <v>-23.201032427620561</v>
      </c>
    </row>
    <row r="989" spans="1:20" x14ac:dyDescent="0.35">
      <c r="A989" s="17">
        <v>3.7625000000000002</v>
      </c>
      <c r="B989" s="17">
        <v>16.024799999999999</v>
      </c>
      <c r="C989" s="17">
        <v>-0.12536533</v>
      </c>
      <c r="D989" s="17">
        <v>-8.9747096999999998E-2</v>
      </c>
      <c r="E989" s="17">
        <v>0.87462222999999994</v>
      </c>
      <c r="F989" s="17">
        <v>-9.5277641999999996E-2</v>
      </c>
      <c r="G989" s="17">
        <f t="shared" si="156"/>
        <v>2.0821511448936101</v>
      </c>
      <c r="H989" s="17">
        <f t="shared" si="157"/>
        <v>-1.9040016872879399</v>
      </c>
      <c r="I989" s="17">
        <f t="shared" si="158"/>
        <v>2.08215257167114</v>
      </c>
      <c r="J989" s="17">
        <f t="shared" si="159"/>
        <v>-1.90676697304259</v>
      </c>
      <c r="K989" s="15">
        <f t="shared" si="160"/>
        <v>-1.42677752990039E-6</v>
      </c>
      <c r="L989" s="15">
        <f t="shared" si="161"/>
        <v>2.76528575465007E-3</v>
      </c>
      <c r="M989" s="15">
        <f t="shared" si="162"/>
        <v>0.261212059361489</v>
      </c>
      <c r="N989" s="15">
        <f t="shared" si="163"/>
        <v>0.239209428995482</v>
      </c>
      <c r="O989" s="17">
        <v>8.8367948999999992</v>
      </c>
      <c r="P989" s="17">
        <v>-12.041871</v>
      </c>
      <c r="Q989" s="17">
        <v>3.3570462999999999</v>
      </c>
      <c r="R989" s="17">
        <v>-14.459880999999999</v>
      </c>
      <c r="S989" s="17">
        <f t="shared" si="164"/>
        <v>0.99384538832705349</v>
      </c>
      <c r="T989" s="17">
        <f t="shared" si="165"/>
        <v>-23.202273247412545</v>
      </c>
    </row>
    <row r="990" spans="1:20" x14ac:dyDescent="0.35">
      <c r="A990" s="16">
        <v>3.7625000000000002</v>
      </c>
      <c r="B990" s="16">
        <v>16.073599999999999</v>
      </c>
      <c r="C990" s="16">
        <v>-0.13159351999999999</v>
      </c>
      <c r="D990" s="16">
        <v>-8.7797085999999996E-2</v>
      </c>
      <c r="E990" s="16">
        <v>0.86839593999999998</v>
      </c>
      <c r="F990" s="16">
        <v>-9.3372593000000004E-2</v>
      </c>
      <c r="G990" s="16">
        <f t="shared" si="156"/>
        <v>2.0779555599320099</v>
      </c>
      <c r="H990" s="16">
        <f t="shared" si="157"/>
        <v>-1.77311942561751</v>
      </c>
      <c r="I990" s="16">
        <f t="shared" si="158"/>
        <v>2.07795806153629</v>
      </c>
      <c r="J990" s="16">
        <f t="shared" si="159"/>
        <v>-1.7759071868351499</v>
      </c>
      <c r="K990" s="15">
        <f t="shared" si="160"/>
        <v>-2.5016042801695402E-6</v>
      </c>
      <c r="L990" s="15">
        <f t="shared" si="161"/>
        <v>2.7877612176399101E-3</v>
      </c>
      <c r="M990" s="15">
        <f t="shared" si="162"/>
        <v>0.27810839244797098</v>
      </c>
      <c r="N990" s="15">
        <f t="shared" si="163"/>
        <v>0.237682704963917</v>
      </c>
      <c r="O990" s="16">
        <v>8.6295862000000003</v>
      </c>
      <c r="P990" s="16">
        <v>-12.60933</v>
      </c>
      <c r="Q990" s="16">
        <v>2.9477386000000001</v>
      </c>
      <c r="R990" s="16">
        <v>-14.91348</v>
      </c>
      <c r="S990" s="16">
        <f t="shared" si="164"/>
        <v>0.99492444861967644</v>
      </c>
      <c r="T990" s="16">
        <f t="shared" si="165"/>
        <v>-23.206260272872107</v>
      </c>
    </row>
    <row r="991" spans="1:20" x14ac:dyDescent="0.35">
      <c r="A991" s="17">
        <v>3.7625000000000002</v>
      </c>
      <c r="B991" s="17">
        <v>16.122399999999999</v>
      </c>
      <c r="C991" s="17">
        <v>-0.13786370000000001</v>
      </c>
      <c r="D991" s="17">
        <v>-8.5368482999999995E-2</v>
      </c>
      <c r="E991" s="17">
        <v>0.86212860000000002</v>
      </c>
      <c r="F991" s="17">
        <v>-9.0989387000000005E-2</v>
      </c>
      <c r="G991" s="17">
        <f t="shared" si="156"/>
        <v>2.0737877392191901</v>
      </c>
      <c r="H991" s="17">
        <f t="shared" si="157"/>
        <v>-1.6447692385633499</v>
      </c>
      <c r="I991" s="17">
        <f t="shared" si="158"/>
        <v>2.0737917878736498</v>
      </c>
      <c r="J991" s="17">
        <f t="shared" si="159"/>
        <v>-1.6475796900050399</v>
      </c>
      <c r="K991" s="15">
        <f t="shared" si="160"/>
        <v>-4.0486544596873799E-6</v>
      </c>
      <c r="L991" s="15">
        <f t="shared" si="161"/>
        <v>2.8104514416900099E-3</v>
      </c>
      <c r="M991" s="15">
        <f t="shared" si="162"/>
        <v>0.29561696346118899</v>
      </c>
      <c r="N991" s="15">
        <f t="shared" si="163"/>
        <v>0.23486085144498201</v>
      </c>
      <c r="O991" s="17">
        <v>8.3732009999999999</v>
      </c>
      <c r="P991" s="17">
        <v>-13.171060000000001</v>
      </c>
      <c r="Q991" s="17">
        <v>2.4961964000000001</v>
      </c>
      <c r="R991" s="17">
        <v>-15.352710999999999</v>
      </c>
      <c r="S991" s="17">
        <f t="shared" si="164"/>
        <v>0.99660616430091375</v>
      </c>
      <c r="T991" s="17">
        <f t="shared" si="165"/>
        <v>-23.210323007637047</v>
      </c>
    </row>
    <row r="992" spans="1:20" x14ac:dyDescent="0.35">
      <c r="A992" s="16">
        <v>3.7625000000000002</v>
      </c>
      <c r="B992" s="16">
        <v>16.171199999999999</v>
      </c>
      <c r="C992" s="16">
        <v>-0.14413010000000001</v>
      </c>
      <c r="D992" s="16">
        <v>-8.2436344999999994E-2</v>
      </c>
      <c r="E992" s="16">
        <v>0.85586567999999996</v>
      </c>
      <c r="F992" s="16">
        <v>-8.8103574000000004E-2</v>
      </c>
      <c r="G992" s="16">
        <f t="shared" si="156"/>
        <v>2.0696512012260202</v>
      </c>
      <c r="H992" s="16">
        <f t="shared" si="157"/>
        <v>-1.5188145623173299</v>
      </c>
      <c r="I992" s="16">
        <f t="shared" si="158"/>
        <v>2.0696571205790502</v>
      </c>
      <c r="J992" s="16">
        <f t="shared" si="159"/>
        <v>-1.5216481660230701</v>
      </c>
      <c r="K992" s="15">
        <f t="shared" si="160"/>
        <v>-5.9193530299594997E-6</v>
      </c>
      <c r="L992" s="15">
        <f t="shared" si="161"/>
        <v>2.83360370574015E-3</v>
      </c>
      <c r="M992" s="15">
        <f t="shared" si="162"/>
        <v>0.313636982617918</v>
      </c>
      <c r="N992" s="15">
        <f t="shared" si="163"/>
        <v>0.230591403113207</v>
      </c>
      <c r="O992" s="16">
        <v>8.0761643000000003</v>
      </c>
      <c r="P992" s="16">
        <v>-13.738904</v>
      </c>
      <c r="Q992" s="16">
        <v>2.0019472</v>
      </c>
      <c r="R992" s="16">
        <v>-15.770771</v>
      </c>
      <c r="S992" s="16">
        <f t="shared" si="164"/>
        <v>0.99752253757642728</v>
      </c>
      <c r="T992" s="16">
        <f t="shared" si="165"/>
        <v>-23.213911687507348</v>
      </c>
    </row>
    <row r="993" spans="1:20" x14ac:dyDescent="0.35">
      <c r="A993" s="17">
        <v>3.7625000000000002</v>
      </c>
      <c r="B993" s="17">
        <v>16.22</v>
      </c>
      <c r="C993" s="17">
        <v>-0.15034133999999999</v>
      </c>
      <c r="D993" s="17">
        <v>-7.8979379000000002E-2</v>
      </c>
      <c r="E993" s="17">
        <v>0.84965407999999998</v>
      </c>
      <c r="F993" s="17">
        <v>-8.4692106000000003E-2</v>
      </c>
      <c r="G993" s="17">
        <f t="shared" si="156"/>
        <v>2.0655621175980601</v>
      </c>
      <c r="H993" s="17">
        <f t="shared" si="157"/>
        <v>-1.39507210050746</v>
      </c>
      <c r="I993" s="17">
        <f t="shared" si="158"/>
        <v>2.06556798639475</v>
      </c>
      <c r="J993" s="17">
        <f t="shared" si="159"/>
        <v>-1.39792845378509</v>
      </c>
      <c r="K993" s="15">
        <f t="shared" si="160"/>
        <v>-5.8687966899562102E-6</v>
      </c>
      <c r="L993" s="15">
        <f t="shared" si="161"/>
        <v>2.85635327763001E-3</v>
      </c>
      <c r="M993" s="15">
        <f t="shared" si="162"/>
        <v>0.33204350964458001</v>
      </c>
      <c r="N993" s="15">
        <f t="shared" si="163"/>
        <v>0.22471933777255701</v>
      </c>
      <c r="O993" s="17">
        <v>7.7303534000000003</v>
      </c>
      <c r="P993" s="17">
        <v>-14.298486</v>
      </c>
      <c r="Q993" s="17">
        <v>1.4652502999999999</v>
      </c>
      <c r="R993" s="17">
        <v>-16.163339000000001</v>
      </c>
      <c r="S993" s="17">
        <f t="shared" si="164"/>
        <v>0.9984761969144581</v>
      </c>
      <c r="T993" s="17">
        <f t="shared" si="165"/>
        <v>-23.217632301846493</v>
      </c>
    </row>
    <row r="994" spans="1:20" x14ac:dyDescent="0.35">
      <c r="A994" s="16">
        <v>3.7625000000000002</v>
      </c>
      <c r="B994" s="16">
        <v>16.268799999999999</v>
      </c>
      <c r="C994" s="16">
        <v>-0.15643634000000001</v>
      </c>
      <c r="D994" s="16">
        <v>-7.4987607999999997E-2</v>
      </c>
      <c r="E994" s="16">
        <v>0.84356551000000002</v>
      </c>
      <c r="F994" s="16">
        <v>-8.0752599999999994E-2</v>
      </c>
      <c r="G994" s="16">
        <f t="shared" si="156"/>
        <v>2.0615044176013999</v>
      </c>
      <c r="H994" s="16">
        <f t="shared" si="157"/>
        <v>-1.27362154516413</v>
      </c>
      <c r="I994" s="16">
        <f t="shared" si="158"/>
        <v>2.0615136512916399</v>
      </c>
      <c r="J994" s="16">
        <f t="shared" si="159"/>
        <v>-1.2765040118817701</v>
      </c>
      <c r="K994" s="15">
        <f t="shared" si="160"/>
        <v>-9.2336902399736704E-6</v>
      </c>
      <c r="L994" s="15">
        <f t="shared" si="161"/>
        <v>2.8824667176401402E-3</v>
      </c>
      <c r="M994" s="15">
        <f t="shared" si="162"/>
        <v>0.3506392412789</v>
      </c>
      <c r="N994" s="15">
        <f t="shared" si="163"/>
        <v>0.217118328532658</v>
      </c>
      <c r="O994" s="16">
        <v>7.3354486999999997</v>
      </c>
      <c r="P994" s="16">
        <v>-14.844060000000001</v>
      </c>
      <c r="Q994" s="16">
        <v>0.88796712</v>
      </c>
      <c r="R994" s="16">
        <v>-16.524535</v>
      </c>
      <c r="S994" s="16">
        <f t="shared" si="164"/>
        <v>0.99944143283730646</v>
      </c>
      <c r="T994" s="16">
        <f t="shared" si="165"/>
        <v>-23.22117159867825</v>
      </c>
    </row>
    <row r="995" spans="1:20" x14ac:dyDescent="0.35">
      <c r="A995" s="17">
        <v>3.7625000000000002</v>
      </c>
      <c r="B995" s="17">
        <v>16.317599999999999</v>
      </c>
      <c r="C995" s="17">
        <v>-0.16233188000000001</v>
      </c>
      <c r="D995" s="17">
        <v>-7.0480310000000004E-2</v>
      </c>
      <c r="E995" s="17">
        <v>0.83767389999999997</v>
      </c>
      <c r="F995" s="17">
        <v>-7.6293826999999995E-2</v>
      </c>
      <c r="G995" s="17">
        <f t="shared" si="156"/>
        <v>2.0574548519031799</v>
      </c>
      <c r="H995" s="17">
        <f t="shared" si="157"/>
        <v>-1.15474511512019</v>
      </c>
      <c r="I995" s="17">
        <f t="shared" si="158"/>
        <v>2.0574661909951599</v>
      </c>
      <c r="J995" s="17">
        <f t="shared" si="159"/>
        <v>-1.15765183225977</v>
      </c>
      <c r="K995" s="15">
        <f t="shared" si="160"/>
        <v>-1.13390919800338E-5</v>
      </c>
      <c r="L995" s="15">
        <f t="shared" si="161"/>
        <v>2.9067171395800199E-3</v>
      </c>
      <c r="M995" s="15">
        <f t="shared" si="162"/>
        <v>0.36916315322187299</v>
      </c>
      <c r="N995" s="15">
        <f t="shared" si="163"/>
        <v>0.20771296393618399</v>
      </c>
      <c r="O995" s="17">
        <v>6.8935038999999998</v>
      </c>
      <c r="P995" s="17">
        <v>-15.368897</v>
      </c>
      <c r="Q995" s="17">
        <v>0.27451627000000001</v>
      </c>
      <c r="R995" s="17">
        <v>-16.848343</v>
      </c>
      <c r="S995" s="17">
        <f t="shared" si="164"/>
        <v>1.0003852130590605</v>
      </c>
      <c r="T995" s="17">
        <f t="shared" si="165"/>
        <v>-23.224493884452915</v>
      </c>
    </row>
    <row r="996" spans="1:20" x14ac:dyDescent="0.35">
      <c r="A996" s="16">
        <v>3.7625000000000002</v>
      </c>
      <c r="B996" s="16">
        <v>16.366399999999999</v>
      </c>
      <c r="C996" s="16">
        <v>-0.16797313999999999</v>
      </c>
      <c r="D996" s="16">
        <v>-6.5459631000000004E-2</v>
      </c>
      <c r="E996" s="16">
        <v>0.83203669000000002</v>
      </c>
      <c r="F996" s="16">
        <v>-7.1322698000000004E-2</v>
      </c>
      <c r="G996" s="16">
        <f t="shared" si="156"/>
        <v>2.0534254865308301</v>
      </c>
      <c r="H996" s="16">
        <f t="shared" si="157"/>
        <v>-1.03820830827447</v>
      </c>
      <c r="I996" s="16">
        <f t="shared" si="158"/>
        <v>2.05343899519477</v>
      </c>
      <c r="J996" s="16">
        <f t="shared" si="159"/>
        <v>-1.04113978776515</v>
      </c>
      <c r="K996" s="15">
        <f t="shared" si="160"/>
        <v>-1.3508663939898499E-5</v>
      </c>
      <c r="L996" s="15">
        <f t="shared" si="161"/>
        <v>2.9314794906800702E-3</v>
      </c>
      <c r="M996" s="15">
        <f t="shared" si="162"/>
        <v>0.38739865010486102</v>
      </c>
      <c r="N996" s="15">
        <f t="shared" si="163"/>
        <v>0.19641983486946701</v>
      </c>
      <c r="O996" s="16">
        <v>6.4043264999999998</v>
      </c>
      <c r="P996" s="16">
        <v>-15.865603999999999</v>
      </c>
      <c r="Q996" s="16">
        <v>-0.37255321000000002</v>
      </c>
      <c r="R996" s="16">
        <v>-17.130039</v>
      </c>
      <c r="S996" s="16">
        <f t="shared" si="164"/>
        <v>1.0014409660293746</v>
      </c>
      <c r="T996" s="16">
        <f t="shared" si="165"/>
        <v>-23.227913932541274</v>
      </c>
    </row>
    <row r="997" spans="1:20" x14ac:dyDescent="0.35">
      <c r="A997" s="17">
        <v>3.7625000000000002</v>
      </c>
      <c r="B997" s="17">
        <v>16.415199999999999</v>
      </c>
      <c r="C997" s="17">
        <v>-0.17329220000000001</v>
      </c>
      <c r="D997" s="17">
        <v>-5.9949106000000002E-2</v>
      </c>
      <c r="E997" s="17">
        <v>0.82672237999999998</v>
      </c>
      <c r="F997" s="17">
        <v>-6.5863077000000006E-2</v>
      </c>
      <c r="G997" s="17">
        <f t="shared" ref="G997:G1060" si="166">IMREAL(IMDIV(IMSUM(IMPRODUCT(COMPLEX(1 + C997,D997),COMPLEX(1 - C997, - D997)),IMPRODUCT(COMPLEX(E997,F997),COMPLEX(E997,F997))),IMSUB(IMPRODUCT(COMPLEX(1 - C997, - D997),COMPLEX(1 - C997, - D997)),IMPRODUCT(COMPLEX(E997,F997),COMPLEX(E997,F997)))))</f>
        <v>2.0494365069289899</v>
      </c>
      <c r="H997" s="17">
        <f t="shared" ref="H997:H1060" si="167">IMAGINARY(IMDIV(IMSUM(IMPRODUCT(COMPLEX(1 + C997,D997),COMPLEX(1 - C997, - D997)),IMPRODUCT(COMPLEX(E997,F997),COMPLEX(E997,F997))),IMSUB(IMPRODUCT(COMPLEX(1 - C997, - D997),COMPLEX(1 - C997, - D997)),IMPRODUCT(COMPLEX(E997,F997),COMPLEX(E997,F997)))))</f>
        <v>-0.924023886276236</v>
      </c>
      <c r="I997" s="17">
        <f t="shared" ref="I997:I1060" si="168">IMREAL(IMDIV(IMPRODUCT(COMPLEX(2,0),COMPLEX(E997,F997)),IMSUB(IMPRODUCT(COMPLEX(1 - C997, - D997),COMPLEX(1 - C997, - D997)),IMPRODUCT(COMPLEX(E997,F997),COMPLEX(E997,F997)))))</f>
        <v>2.0494525403714099</v>
      </c>
      <c r="J997" s="17">
        <f t="shared" ref="J997:J1060" si="169">IMAGINARY(IMDIV(IMPRODUCT(COMPLEX(2,0),COMPLEX(E997,F997)),IMSUB(IMPRODUCT(COMPLEX(1 - C997, - D997),COMPLEX(1 - C997, - D997)),IMPRODUCT(COMPLEX(E997,F997),COMPLEX(E997,F997)))))</f>
        <v>-0.926980802809656</v>
      </c>
      <c r="K997" s="15">
        <f t="shared" ref="K997:K1060" si="170">IMREAL(IMSUB(COMPLEX(G997,H997),COMPLEX(I997,J997)))</f>
        <v>-1.6033442419960398E-5</v>
      </c>
      <c r="L997" s="15">
        <f t="shared" ref="L997:L1060" si="171">IMAGINARY(IMSUB(COMPLEX(G997,H997),COMPLEX(I997,J997)))</f>
        <v>2.95691653342001E-3</v>
      </c>
      <c r="M997" s="15">
        <f t="shared" ref="M997:M1060" si="172">IMREAL(IMDIV(IMSUB(IMPRODUCT(COMPLEX(1 - C997, - D997),COMPLEX(1 - C997, - D997)),IMPRODUCT(COMPLEX(E997,F997),COMPLEX(E997,F997))),IMPRODUCT(COMPLEX(2,0),COMPLEX(E997,F997))))</f>
        <v>0.40506624012103598</v>
      </c>
      <c r="N997" s="15">
        <f t="shared" ref="N997:N1060" si="173">IMAGINARY(IMDIV(IMSUB(IMPRODUCT(COMPLEX(1 - C997, - D997),COMPLEX(1 - C997, - D997)),IMPRODUCT(COMPLEX(E997,F997),COMPLEX(E997,F997))),IMPRODUCT(COMPLEX(2,0),COMPLEX(E997,F997))))</f>
        <v>0.183214112579762</v>
      </c>
      <c r="O997" s="17">
        <v>5.8714217</v>
      </c>
      <c r="P997" s="17">
        <v>-16.329934000000002</v>
      </c>
      <c r="Q997" s="17">
        <v>-1.0484794</v>
      </c>
      <c r="R997" s="17">
        <v>-17.365092000000001</v>
      </c>
      <c r="S997" s="17">
        <f t="shared" ref="S997:S1060" si="174">IMABS(COMPLEX(Q997,R997))/IMABS(COMPLEX(O997,P997))</f>
        <v>1.0024963698748777</v>
      </c>
      <c r="T997" s="17">
        <f t="shared" ref="T997:T1060" si="175">IMARGUMENT(IMDIV(COMPLEX(Q997,R997),COMPLEX(O997/B997,P997/B997)))/PI()*180</f>
        <v>-23.231271695197599</v>
      </c>
    </row>
    <row r="998" spans="1:20" x14ac:dyDescent="0.35">
      <c r="A998" s="16">
        <v>3.7625000000000002</v>
      </c>
      <c r="B998" s="16">
        <v>16.463999999999999</v>
      </c>
      <c r="C998" s="16">
        <v>-0.1782222</v>
      </c>
      <c r="D998" s="16">
        <v>-5.3985775999999999E-2</v>
      </c>
      <c r="E998" s="16">
        <v>0.82178956000000003</v>
      </c>
      <c r="F998" s="16">
        <v>-5.9924243000000002E-2</v>
      </c>
      <c r="G998" s="16">
        <f t="shared" si="166"/>
        <v>2.04558152913883</v>
      </c>
      <c r="H998" s="16">
        <f t="shared" si="167"/>
        <v>-0.81204381951697402</v>
      </c>
      <c r="I998" s="16">
        <f t="shared" si="168"/>
        <v>2.0455962252185902</v>
      </c>
      <c r="J998" s="16">
        <f t="shared" si="169"/>
        <v>-0.81501299192214804</v>
      </c>
      <c r="K998" s="15">
        <f t="shared" si="170"/>
        <v>-1.46960797602347E-5</v>
      </c>
      <c r="L998" s="15">
        <f t="shared" si="171"/>
        <v>2.9691724051740301E-3</v>
      </c>
      <c r="M998" s="15">
        <f t="shared" si="172"/>
        <v>0.421884622037067</v>
      </c>
      <c r="N998" s="15">
        <f t="shared" si="173"/>
        <v>0.16808862072261199</v>
      </c>
      <c r="O998" s="16">
        <v>5.2995706</v>
      </c>
      <c r="P998" s="16">
        <v>-16.759252</v>
      </c>
      <c r="Q998" s="16">
        <v>-1.7474422000000001</v>
      </c>
      <c r="R998" s="16">
        <v>-17.548767999999999</v>
      </c>
      <c r="S998" s="16">
        <f t="shared" si="174"/>
        <v>1.0033199193446067</v>
      </c>
      <c r="T998" s="16">
        <f t="shared" si="175"/>
        <v>-23.234430470944432</v>
      </c>
    </row>
    <row r="999" spans="1:20" x14ac:dyDescent="0.35">
      <c r="A999" s="17">
        <v>3.7625000000000002</v>
      </c>
      <c r="B999" s="17">
        <v>16.512799999999999</v>
      </c>
      <c r="C999" s="17">
        <v>-0.18271198999999999</v>
      </c>
      <c r="D999" s="17">
        <v>-4.7608775999999998E-2</v>
      </c>
      <c r="E999" s="17">
        <v>0.81721067000000003</v>
      </c>
      <c r="F999" s="17">
        <v>-5.3570039E-2</v>
      </c>
      <c r="G999" s="17">
        <f t="shared" si="166"/>
        <v>2.0412473794205401</v>
      </c>
      <c r="H999" s="17">
        <f t="shared" si="167"/>
        <v>-0.70197870128626105</v>
      </c>
      <c r="I999" s="17">
        <f t="shared" si="168"/>
        <v>2.0412175930410301</v>
      </c>
      <c r="J999" s="17">
        <f t="shared" si="169"/>
        <v>-0.70495953683739099</v>
      </c>
      <c r="K999" s="15">
        <f t="shared" si="170"/>
        <v>2.9786379510010598E-5</v>
      </c>
      <c r="L999" s="15">
        <f t="shared" si="171"/>
        <v>2.9808355511299301E-3</v>
      </c>
      <c r="M999" s="15">
        <f t="shared" si="172"/>
        <v>0.43769728873390301</v>
      </c>
      <c r="N999" s="15">
        <f t="shared" si="173"/>
        <v>0.15116412821091699</v>
      </c>
      <c r="O999" s="17">
        <v>4.6903277000000001</v>
      </c>
      <c r="P999" s="17">
        <v>-17.141563999999999</v>
      </c>
      <c r="Q999" s="17">
        <v>-2.4647313999999998</v>
      </c>
      <c r="R999" s="17">
        <v>-17.678104000000001</v>
      </c>
      <c r="S999" s="17">
        <f t="shared" si="174"/>
        <v>1.0043565469419091</v>
      </c>
      <c r="T999" s="17">
        <f t="shared" si="175"/>
        <v>-23.240055451542428</v>
      </c>
    </row>
    <row r="1000" spans="1:20" x14ac:dyDescent="0.35">
      <c r="A1000" s="16">
        <v>3.7625000000000002</v>
      </c>
      <c r="B1000" s="16">
        <v>16.561599999999999</v>
      </c>
      <c r="C1000" s="16">
        <v>-0.1867016</v>
      </c>
      <c r="D1000" s="16">
        <v>-4.0895874999999998E-2</v>
      </c>
      <c r="E1000" s="16">
        <v>0.81321887999999998</v>
      </c>
      <c r="F1000" s="16">
        <v>-4.6901376000000002E-2</v>
      </c>
      <c r="G1000" s="16">
        <f t="shared" si="166"/>
        <v>2.0373017662356099</v>
      </c>
      <c r="H1000" s="16">
        <f t="shared" si="167"/>
        <v>-0.59495655692523797</v>
      </c>
      <c r="I1000" s="16">
        <f t="shared" si="168"/>
        <v>2.0372710221595098</v>
      </c>
      <c r="J1000" s="16">
        <f t="shared" si="169"/>
        <v>-0.59795951913980505</v>
      </c>
      <c r="K1000" s="15">
        <f t="shared" si="170"/>
        <v>3.0744076100042198E-5</v>
      </c>
      <c r="L1000" s="15">
        <f t="shared" si="171"/>
        <v>3.0029622145670799E-3</v>
      </c>
      <c r="M1000" s="15">
        <f t="shared" si="172"/>
        <v>0.45192058671718899</v>
      </c>
      <c r="N1000" s="15">
        <f t="shared" si="173"/>
        <v>0.132643233906279</v>
      </c>
      <c r="O1000" s="16">
        <v>4.0530049000000004</v>
      </c>
      <c r="P1000" s="16">
        <v>-17.477834999999999</v>
      </c>
      <c r="Q1000" s="16">
        <v>-3.1900954000000001</v>
      </c>
      <c r="R1000" s="16">
        <v>-17.751916999999999</v>
      </c>
      <c r="S1000" s="16">
        <f t="shared" si="174"/>
        <v>1.0052760540895869</v>
      </c>
      <c r="T1000" s="16">
        <f t="shared" si="175"/>
        <v>-23.243348177074342</v>
      </c>
    </row>
    <row r="1001" spans="1:20" x14ac:dyDescent="0.35">
      <c r="A1001" s="17">
        <v>3.7625000000000002</v>
      </c>
      <c r="B1001" s="17">
        <v>16.610399999999998</v>
      </c>
      <c r="C1001" s="17">
        <v>-0.19015604</v>
      </c>
      <c r="D1001" s="17">
        <v>-3.3905565999999998E-2</v>
      </c>
      <c r="E1001" s="17">
        <v>0.80985193</v>
      </c>
      <c r="F1001" s="17">
        <v>-3.9975992000000002E-2</v>
      </c>
      <c r="G1001" s="17">
        <f t="shared" si="166"/>
        <v>2.0338388833346701</v>
      </c>
      <c r="H1001" s="17">
        <f t="shared" si="167"/>
        <v>-0.49073177218095398</v>
      </c>
      <c r="I1001" s="17">
        <f t="shared" si="168"/>
        <v>2.0338520806417502</v>
      </c>
      <c r="J1001" s="17">
        <f t="shared" si="169"/>
        <v>-0.49376693302919999</v>
      </c>
      <c r="K1001" s="15">
        <f t="shared" si="170"/>
        <v>-1.31973070800484E-5</v>
      </c>
      <c r="L1001" s="15">
        <f t="shared" si="171"/>
        <v>3.0351608482460102E-3</v>
      </c>
      <c r="M1001" s="15">
        <f t="shared" si="172"/>
        <v>0.464311620072554</v>
      </c>
      <c r="N1001" s="15">
        <f t="shared" si="173"/>
        <v>0.112722909790325</v>
      </c>
      <c r="O1001" s="17">
        <v>3.3926902000000001</v>
      </c>
      <c r="P1001" s="17">
        <v>-17.763074</v>
      </c>
      <c r="Q1001" s="17">
        <v>-3.9175072000000002</v>
      </c>
      <c r="R1001" s="17">
        <v>-17.769265000000001</v>
      </c>
      <c r="S1001" s="17">
        <f t="shared" si="174"/>
        <v>1.0061827763093212</v>
      </c>
      <c r="T1001" s="17">
        <f t="shared" si="175"/>
        <v>-23.245926875750527</v>
      </c>
    </row>
    <row r="1002" spans="1:20" x14ac:dyDescent="0.35">
      <c r="A1002" s="16">
        <v>3.7625000000000002</v>
      </c>
      <c r="B1002" s="16">
        <v>16.659199999999998</v>
      </c>
      <c r="C1002" s="16">
        <v>-0.19304315999999999</v>
      </c>
      <c r="D1002" s="16">
        <v>-2.670929E-2</v>
      </c>
      <c r="E1002" s="16">
        <v>0.80696948999999996</v>
      </c>
      <c r="F1002" s="16">
        <v>-3.2827617000000003E-2</v>
      </c>
      <c r="G1002" s="16">
        <f t="shared" si="166"/>
        <v>2.0300048678918299</v>
      </c>
      <c r="H1002" s="16">
        <f t="shared" si="167"/>
        <v>-0.38862689897959102</v>
      </c>
      <c r="I1002" s="16">
        <f t="shared" si="168"/>
        <v>2.0300205510679898</v>
      </c>
      <c r="J1002" s="16">
        <f t="shared" si="169"/>
        <v>-0.39168599515340802</v>
      </c>
      <c r="K1002" s="15">
        <f t="shared" si="170"/>
        <v>-1.56831761599641E-5</v>
      </c>
      <c r="L1002" s="15">
        <f t="shared" si="171"/>
        <v>3.0590961738170002E-3</v>
      </c>
      <c r="M1002" s="15">
        <f t="shared" si="172"/>
        <v>0.47492511388842201</v>
      </c>
      <c r="N1002" s="15">
        <f t="shared" si="173"/>
        <v>9.1635287021536005E-2</v>
      </c>
      <c r="O1002" s="16">
        <v>2.7158959</v>
      </c>
      <c r="P1002" s="16">
        <v>-17.993988000000002</v>
      </c>
      <c r="Q1002" s="16">
        <v>-4.6400608999999999</v>
      </c>
      <c r="R1002" s="16">
        <v>-17.729949000000001</v>
      </c>
      <c r="S1002" s="16">
        <f t="shared" si="174"/>
        <v>1.0071035989608068</v>
      </c>
      <c r="T1002" s="16">
        <f t="shared" si="175"/>
        <v>-23.248884748803256</v>
      </c>
    </row>
    <row r="1003" spans="1:20" x14ac:dyDescent="0.35">
      <c r="A1003" s="17">
        <v>3.7625000000000002</v>
      </c>
      <c r="B1003" s="17">
        <v>16.707999999999998</v>
      </c>
      <c r="C1003" s="17">
        <v>-0.19534497000000001</v>
      </c>
      <c r="D1003" s="17">
        <v>-1.9392802000000001E-2</v>
      </c>
      <c r="E1003" s="17">
        <v>0.80469858999999999</v>
      </c>
      <c r="F1003" s="17">
        <v>-2.5513475000000001E-2</v>
      </c>
      <c r="G1003" s="17">
        <f t="shared" si="166"/>
        <v>2.0264585532102699</v>
      </c>
      <c r="H1003" s="17">
        <f t="shared" si="167"/>
        <v>-0.28889765689993901</v>
      </c>
      <c r="I1003" s="17">
        <f t="shared" si="168"/>
        <v>2.02648969769578</v>
      </c>
      <c r="J1003" s="17">
        <f t="shared" si="169"/>
        <v>-0.29195783143673198</v>
      </c>
      <c r="K1003" s="15">
        <f t="shared" si="170"/>
        <v>-3.1144485510115101E-5</v>
      </c>
      <c r="L1003" s="15">
        <f t="shared" si="171"/>
        <v>3.06017453679297E-3</v>
      </c>
      <c r="M1003" s="15">
        <f t="shared" si="172"/>
        <v>0.48342989108587198</v>
      </c>
      <c r="N1003" s="15">
        <f t="shared" si="173"/>
        <v>6.9648092864035394E-2</v>
      </c>
      <c r="O1003" s="17">
        <v>2.0309596000000001</v>
      </c>
      <c r="P1003" s="17">
        <v>-18.169632</v>
      </c>
      <c r="Q1003" s="17">
        <v>-5.3493038000000004</v>
      </c>
      <c r="R1003" s="17">
        <v>-17.636088999999998</v>
      </c>
      <c r="S1003" s="17">
        <f t="shared" si="174"/>
        <v>1.0080249371937744</v>
      </c>
      <c r="T1003" s="17">
        <f t="shared" si="175"/>
        <v>-23.251293389859612</v>
      </c>
    </row>
    <row r="1004" spans="1:20" x14ac:dyDescent="0.35">
      <c r="A1004" s="16">
        <v>3.7625000000000002</v>
      </c>
      <c r="B1004" s="16">
        <v>16.756799999999998</v>
      </c>
      <c r="C1004" s="16">
        <v>-0.19707124000000001</v>
      </c>
      <c r="D1004" s="16">
        <v>-1.2019718E-2</v>
      </c>
      <c r="E1004" s="16">
        <v>0.80290912000000003</v>
      </c>
      <c r="F1004" s="16">
        <v>-1.8270471E-2</v>
      </c>
      <c r="G1004" s="16">
        <f t="shared" si="166"/>
        <v>2.0221328059541999</v>
      </c>
      <c r="H1004" s="16">
        <f t="shared" si="167"/>
        <v>-0.19225571446290901</v>
      </c>
      <c r="I1004" s="16">
        <f t="shared" si="168"/>
        <v>2.02213275402839</v>
      </c>
      <c r="J1004" s="16">
        <f t="shared" si="169"/>
        <v>-0.19538112181669801</v>
      </c>
      <c r="K1004" s="15">
        <f t="shared" si="170"/>
        <v>5.1925809874120399E-8</v>
      </c>
      <c r="L1004" s="15">
        <f t="shared" si="171"/>
        <v>3.12540735378899E-3</v>
      </c>
      <c r="M1004" s="15">
        <f t="shared" si="172"/>
        <v>0.489953327078266</v>
      </c>
      <c r="N1004" s="15">
        <f t="shared" si="173"/>
        <v>4.7339933786083699E-2</v>
      </c>
      <c r="O1004" s="16">
        <v>1.3433071000000001</v>
      </c>
      <c r="P1004" s="16">
        <v>-18.291996000000001</v>
      </c>
      <c r="Q1004" s="16">
        <v>-6.0410363</v>
      </c>
      <c r="R1004" s="16">
        <v>-17.491163</v>
      </c>
      <c r="S1004" s="16">
        <f t="shared" si="174"/>
        <v>1.0089275726712847</v>
      </c>
      <c r="T1004" s="16">
        <f t="shared" si="175"/>
        <v>-23.253792190025116</v>
      </c>
    </row>
    <row r="1005" spans="1:20" x14ac:dyDescent="0.35">
      <c r="A1005" s="17">
        <v>3.7625000000000002</v>
      </c>
      <c r="B1005" s="17">
        <v>16.805599999999998</v>
      </c>
      <c r="C1005" s="17">
        <v>-0.19822117</v>
      </c>
      <c r="D1005" s="17">
        <v>-4.6735913E-3</v>
      </c>
      <c r="E1005" s="17">
        <v>0.80175695000000002</v>
      </c>
      <c r="F1005" s="17">
        <v>-1.0979684E-2</v>
      </c>
      <c r="G1005" s="17">
        <f t="shared" si="166"/>
        <v>2.0183704618506599</v>
      </c>
      <c r="H1005" s="17">
        <f t="shared" si="167"/>
        <v>-9.7854217062765703E-2</v>
      </c>
      <c r="I1005" s="17">
        <f t="shared" si="168"/>
        <v>2.01836946365971</v>
      </c>
      <c r="J1005" s="17">
        <f t="shared" si="169"/>
        <v>-0.101007301054847</v>
      </c>
      <c r="K1005" s="15">
        <f t="shared" si="170"/>
        <v>9.9819094989683798E-7</v>
      </c>
      <c r="L1005" s="15">
        <f t="shared" si="171"/>
        <v>3.15308399208129E-3</v>
      </c>
      <c r="M1005" s="15">
        <f t="shared" si="172"/>
        <v>0.49421172457102802</v>
      </c>
      <c r="N1005" s="15">
        <f t="shared" si="173"/>
        <v>2.4732336347413699E-2</v>
      </c>
      <c r="O1005" s="17">
        <v>0.66131932000000004</v>
      </c>
      <c r="P1005" s="17">
        <v>-18.360779000000001</v>
      </c>
      <c r="Q1005" s="17">
        <v>-6.7071939</v>
      </c>
      <c r="R1005" s="17">
        <v>-17.297858999999999</v>
      </c>
      <c r="S1005" s="17">
        <f t="shared" si="174"/>
        <v>1.0097975351931716</v>
      </c>
      <c r="T1005" s="17">
        <f t="shared" si="175"/>
        <v>-23.256445840146444</v>
      </c>
    </row>
    <row r="1006" spans="1:20" x14ac:dyDescent="0.35">
      <c r="A1006" s="16">
        <v>3.7625000000000002</v>
      </c>
      <c r="B1006" s="16">
        <v>16.854399999999998</v>
      </c>
      <c r="C1006" s="16">
        <v>-0.19881799999999999</v>
      </c>
      <c r="D1006" s="16">
        <v>2.5696991E-3</v>
      </c>
      <c r="E1006" s="16">
        <v>0.80117028000000001</v>
      </c>
      <c r="F1006" s="16">
        <v>-3.7359298000000001E-3</v>
      </c>
      <c r="G1006" s="16">
        <f t="shared" si="166"/>
        <v>2.0147650472165801</v>
      </c>
      <c r="H1006" s="16">
        <f t="shared" si="167"/>
        <v>-5.7989587521846703E-3</v>
      </c>
      <c r="I1006" s="16">
        <f t="shared" si="168"/>
        <v>2.0147691274971402</v>
      </c>
      <c r="J1006" s="16">
        <f t="shared" si="169"/>
        <v>-8.9517788133426993E-3</v>
      </c>
      <c r="K1006" s="15">
        <f t="shared" si="170"/>
        <v>-4.0802805600925802E-6</v>
      </c>
      <c r="L1006" s="15">
        <f t="shared" si="171"/>
        <v>3.1528200611580298E-3</v>
      </c>
      <c r="M1006" s="15">
        <f t="shared" si="172"/>
        <v>0.49632498621770399</v>
      </c>
      <c r="N1006" s="15">
        <f t="shared" si="173"/>
        <v>2.20521122520653E-3</v>
      </c>
      <c r="O1006" s="16">
        <v>-8.1053762999999997E-3</v>
      </c>
      <c r="P1006" s="16">
        <v>-18.378869000000002</v>
      </c>
      <c r="Q1006" s="16">
        <v>-7.3422277999999999</v>
      </c>
      <c r="R1006" s="16">
        <v>-17.060881999999999</v>
      </c>
      <c r="S1006" s="16">
        <f t="shared" si="174"/>
        <v>1.0106002368224183</v>
      </c>
      <c r="T1006" s="16">
        <f t="shared" si="175"/>
        <v>-23.259577372975802</v>
      </c>
    </row>
    <row r="1007" spans="1:20" x14ac:dyDescent="0.35">
      <c r="A1007" s="17">
        <v>3.7625000000000002</v>
      </c>
      <c r="B1007" s="17">
        <v>16.903200000000002</v>
      </c>
      <c r="C1007" s="17">
        <v>-0.19890169999999999</v>
      </c>
      <c r="D1007" s="17">
        <v>9.6301029999999992E-3</v>
      </c>
      <c r="E1007" s="17">
        <v>0.80108913999999998</v>
      </c>
      <c r="F1007" s="17">
        <v>3.2824706000000002E-3</v>
      </c>
      <c r="G1007" s="17">
        <f t="shared" si="166"/>
        <v>2.0110982758642999</v>
      </c>
      <c r="H1007" s="17">
        <f t="shared" si="167"/>
        <v>8.3094581444128499E-2</v>
      </c>
      <c r="I1007" s="17">
        <f t="shared" si="168"/>
        <v>2.0111037689895301</v>
      </c>
      <c r="J1007" s="17">
        <f t="shared" si="169"/>
        <v>7.9920768142233395E-2</v>
      </c>
      <c r="K1007" s="15">
        <f t="shared" si="170"/>
        <v>-5.4931252302381503E-6</v>
      </c>
      <c r="L1007" s="15">
        <f t="shared" si="171"/>
        <v>3.1738133018950998E-3</v>
      </c>
      <c r="M1007" s="15">
        <f t="shared" si="172"/>
        <v>0.49645535823409298</v>
      </c>
      <c r="N1007" s="15">
        <f t="shared" si="173"/>
        <v>-1.9729013584580998E-2</v>
      </c>
      <c r="O1007" s="17">
        <v>-0.65820460999999997</v>
      </c>
      <c r="P1007" s="17">
        <v>-18.350279</v>
      </c>
      <c r="Q1007" s="17">
        <v>-7.9414781000000003</v>
      </c>
      <c r="R1007" s="17">
        <v>-16.787893</v>
      </c>
      <c r="S1007" s="17">
        <f t="shared" si="174"/>
        <v>1.0114047664793349</v>
      </c>
      <c r="T1007" s="17">
        <f t="shared" si="175"/>
        <v>-23.262136699652448</v>
      </c>
    </row>
    <row r="1008" spans="1:20" x14ac:dyDescent="0.35">
      <c r="A1008" s="16">
        <v>3.7625000000000002</v>
      </c>
      <c r="B1008" s="16">
        <v>16.952000000000002</v>
      </c>
      <c r="C1008" s="16">
        <v>-0.19852159</v>
      </c>
      <c r="D1008" s="16">
        <v>1.6417917000000001E-2</v>
      </c>
      <c r="E1008" s="16">
        <v>0.80149647000000002</v>
      </c>
      <c r="F1008" s="16">
        <v>9.9752856999999993E-3</v>
      </c>
      <c r="G1008" s="16">
        <f t="shared" si="166"/>
        <v>2.0076406878627</v>
      </c>
      <c r="H1008" s="16">
        <f t="shared" si="167"/>
        <v>0.168312721633956</v>
      </c>
      <c r="I1008" s="16">
        <f t="shared" si="168"/>
        <v>2.0076600942669001</v>
      </c>
      <c r="J1008" s="16">
        <f t="shared" si="169"/>
        <v>0.165091497585762</v>
      </c>
      <c r="K1008" s="15">
        <f t="shared" si="170"/>
        <v>-1.94064042000619E-5</v>
      </c>
      <c r="L1008" s="15">
        <f t="shared" si="171"/>
        <v>3.221224048194E-3</v>
      </c>
      <c r="M1008" s="15">
        <f t="shared" si="172"/>
        <v>0.49474685205201302</v>
      </c>
      <c r="N1008" s="15">
        <f t="shared" si="173"/>
        <v>-4.0683429911442998E-2</v>
      </c>
      <c r="O1008" s="16">
        <v>-1.2799252999999999</v>
      </c>
      <c r="P1008" s="16">
        <v>-18.279924999999999</v>
      </c>
      <c r="Q1008" s="16">
        <v>-8.4984520000000003</v>
      </c>
      <c r="R1008" s="16">
        <v>-16.486661999999999</v>
      </c>
      <c r="S1008" s="16">
        <f t="shared" si="174"/>
        <v>1.0121948418717213</v>
      </c>
      <c r="T1008" s="16">
        <f t="shared" si="175"/>
        <v>-23.264742002046688</v>
      </c>
    </row>
    <row r="1009" spans="1:20" x14ac:dyDescent="0.35">
      <c r="A1009" s="17">
        <v>3.7625000000000002</v>
      </c>
      <c r="B1009" s="17">
        <v>17</v>
      </c>
      <c r="C1009" s="17">
        <v>-0.19891358000000001</v>
      </c>
      <c r="D1009" s="17">
        <v>1.8534090999999999E-2</v>
      </c>
      <c r="E1009" s="17">
        <v>0.80109931999999995</v>
      </c>
      <c r="F1009" s="17">
        <v>1.2044294000000001E-2</v>
      </c>
      <c r="G1009" s="17">
        <f t="shared" si="166"/>
        <v>1.9989625736087999</v>
      </c>
      <c r="H1009" s="17">
        <f t="shared" si="167"/>
        <v>0.19370828385528799</v>
      </c>
      <c r="I1009" s="17">
        <f t="shared" si="168"/>
        <v>1.9989795526188701</v>
      </c>
      <c r="J1009" s="17">
        <f t="shared" si="169"/>
        <v>0.190463461379557</v>
      </c>
      <c r="K1009" s="15">
        <f t="shared" si="170"/>
        <v>-1.69790100701395E-5</v>
      </c>
      <c r="L1009" s="15">
        <f t="shared" si="171"/>
        <v>3.2448224757309898E-3</v>
      </c>
      <c r="M1009" s="15">
        <f t="shared" si="172"/>
        <v>0.49575461110754598</v>
      </c>
      <c r="N1009" s="15">
        <f t="shared" si="173"/>
        <v>-4.7235670371272902E-2</v>
      </c>
      <c r="O1009" s="17">
        <v>-1.5178811999999999</v>
      </c>
      <c r="P1009" s="17">
        <v>-19.019262999999999</v>
      </c>
      <c r="Q1009" s="17">
        <v>-8.6534282000000005</v>
      </c>
      <c r="R1009" s="17">
        <v>-16.431218000000001</v>
      </c>
      <c r="S1009" s="17">
        <f t="shared" si="174"/>
        <v>0.97331473001302782</v>
      </c>
      <c r="T1009" s="17">
        <f t="shared" si="175"/>
        <v>-23.210369110565967</v>
      </c>
    </row>
    <row r="1010" spans="1:20" x14ac:dyDescent="0.35">
      <c r="A1010" s="16">
        <v>3.9000000000000004</v>
      </c>
      <c r="B1010" s="16">
        <v>15</v>
      </c>
      <c r="C1010" s="16">
        <v>-4.0440664000000001E-2</v>
      </c>
      <c r="D1010" s="16">
        <v>-7.7076183000000006E-2</v>
      </c>
      <c r="E1010" s="16">
        <v>0.95953911000000003</v>
      </c>
      <c r="F1010" s="16">
        <v>-8.2022821999999995E-2</v>
      </c>
      <c r="G1010" s="16">
        <f t="shared" si="166"/>
        <v>2.0394798211404299</v>
      </c>
      <c r="H1010" s="16">
        <f t="shared" si="167"/>
        <v>-4.9928379101639404</v>
      </c>
      <c r="I1010" s="16">
        <f t="shared" si="168"/>
        <v>2.0394758254956802</v>
      </c>
      <c r="J1010" s="16">
        <f t="shared" si="169"/>
        <v>-4.9953112645594704</v>
      </c>
      <c r="K1010" s="15">
        <f t="shared" si="170"/>
        <v>3.9956447497324598E-6</v>
      </c>
      <c r="L1010" s="15">
        <f t="shared" si="171"/>
        <v>2.47335439552998E-3</v>
      </c>
      <c r="M1010" s="15">
        <f t="shared" si="172"/>
        <v>7.0054755900079396E-2</v>
      </c>
      <c r="N1010" s="15">
        <f t="shared" si="173"/>
        <v>0.171585907961708</v>
      </c>
      <c r="O1010" s="16">
        <v>7.7223563000000004</v>
      </c>
      <c r="P1010" s="16">
        <v>-3.9472426999999999</v>
      </c>
      <c r="Q1010" s="16">
        <v>5.4000655999999996</v>
      </c>
      <c r="R1010" s="16">
        <v>-6.4806765999999998</v>
      </c>
      <c r="S1010" s="16">
        <f t="shared" si="174"/>
        <v>0.97266634467240254</v>
      </c>
      <c r="T1010" s="16">
        <f t="shared" si="175"/>
        <v>-23.123415416038693</v>
      </c>
    </row>
    <row r="1011" spans="1:20" x14ac:dyDescent="0.35">
      <c r="A1011" s="17">
        <v>3.9000000000000004</v>
      </c>
      <c r="B1011" s="17">
        <v>15.0488</v>
      </c>
      <c r="C1011" s="17">
        <v>-4.2806401000000001E-2</v>
      </c>
      <c r="D1011" s="17">
        <v>-7.8862278999999993E-2</v>
      </c>
      <c r="E1011" s="17">
        <v>0.95716685000000001</v>
      </c>
      <c r="F1011" s="17">
        <v>-8.3847277999999997E-2</v>
      </c>
      <c r="G1011" s="17">
        <f t="shared" si="166"/>
        <v>2.0330786459279602</v>
      </c>
      <c r="H1011" s="17">
        <f t="shared" si="167"/>
        <v>-4.8114310081829297</v>
      </c>
      <c r="I1011" s="17">
        <f t="shared" si="168"/>
        <v>2.03307148401352</v>
      </c>
      <c r="J1011" s="17">
        <f t="shared" si="169"/>
        <v>-4.8139235588706297</v>
      </c>
      <c r="K1011" s="15">
        <f t="shared" si="170"/>
        <v>7.1619144401680004E-6</v>
      </c>
      <c r="L1011" s="15">
        <f t="shared" si="171"/>
        <v>2.4925506877000502E-3</v>
      </c>
      <c r="M1011" s="15">
        <f t="shared" si="172"/>
        <v>7.4451739066691905E-2</v>
      </c>
      <c r="N1011" s="15">
        <f t="shared" si="173"/>
        <v>0.17628744660984699</v>
      </c>
      <c r="O1011" s="17">
        <v>7.8640867999999999</v>
      </c>
      <c r="P1011" s="17">
        <v>-4.1623466000000002</v>
      </c>
      <c r="Q1011" s="17">
        <v>5.4589648999999998</v>
      </c>
      <c r="R1011" s="17">
        <v>-6.7443657000000004</v>
      </c>
      <c r="S1011" s="17">
        <f t="shared" si="174"/>
        <v>0.97517322623173308</v>
      </c>
      <c r="T1011" s="17">
        <f t="shared" si="175"/>
        <v>-23.121287990637548</v>
      </c>
    </row>
    <row r="1012" spans="1:20" x14ac:dyDescent="0.35">
      <c r="A1012" s="16">
        <v>3.9000000000000004</v>
      </c>
      <c r="B1012" s="16">
        <v>15.0976</v>
      </c>
      <c r="C1012" s="16">
        <v>-4.5286063000000001E-2</v>
      </c>
      <c r="D1012" s="16">
        <v>-8.0589183999999994E-2</v>
      </c>
      <c r="E1012" s="16">
        <v>0.95469099999999996</v>
      </c>
      <c r="F1012" s="16">
        <v>-8.5614253000000001E-2</v>
      </c>
      <c r="G1012" s="16">
        <f t="shared" si="166"/>
        <v>2.0283981532381099</v>
      </c>
      <c r="H1012" s="16">
        <f t="shared" si="167"/>
        <v>-4.6372750050262299</v>
      </c>
      <c r="I1012" s="16">
        <f t="shared" si="168"/>
        <v>2.02839299761354</v>
      </c>
      <c r="J1012" s="16">
        <f t="shared" si="169"/>
        <v>-4.6397875812953897</v>
      </c>
      <c r="K1012" s="15">
        <f t="shared" si="170"/>
        <v>5.1556245699302403E-6</v>
      </c>
      <c r="L1012" s="15">
        <f t="shared" si="171"/>
        <v>2.5125762691597898E-3</v>
      </c>
      <c r="M1012" s="15">
        <f t="shared" si="172"/>
        <v>7.9104299495198802E-2</v>
      </c>
      <c r="N1012" s="15">
        <f t="shared" si="173"/>
        <v>0.180944790707082</v>
      </c>
      <c r="O1012" s="16">
        <v>8.0108259999999998</v>
      </c>
      <c r="P1012" s="16">
        <v>-4.3914651999999998</v>
      </c>
      <c r="Q1012" s="16">
        <v>5.5097502</v>
      </c>
      <c r="R1012" s="16">
        <v>-7.0157616000000003</v>
      </c>
      <c r="S1012" s="16">
        <f t="shared" si="174"/>
        <v>0.97647796541535181</v>
      </c>
      <c r="T1012" s="16">
        <f t="shared" si="175"/>
        <v>-23.124905299666224</v>
      </c>
    </row>
    <row r="1013" spans="1:20" x14ac:dyDescent="0.35">
      <c r="A1013" s="17">
        <v>3.9000000000000004</v>
      </c>
      <c r="B1013" s="17">
        <v>15.1464</v>
      </c>
      <c r="C1013" s="17">
        <v>-4.7909717999999997E-2</v>
      </c>
      <c r="D1013" s="17">
        <v>-8.2299905000000007E-2</v>
      </c>
      <c r="E1013" s="17">
        <v>0.95206813999999995</v>
      </c>
      <c r="F1013" s="17">
        <v>-8.7365646000000005E-2</v>
      </c>
      <c r="G1013" s="17">
        <f t="shared" si="166"/>
        <v>2.0240084283414799</v>
      </c>
      <c r="H1013" s="17">
        <f t="shared" si="167"/>
        <v>-4.4669079501285003</v>
      </c>
      <c r="I1013" s="17">
        <f t="shared" si="168"/>
        <v>2.0240037728238098</v>
      </c>
      <c r="J1013" s="17">
        <f t="shared" si="169"/>
        <v>-4.4694408604621803</v>
      </c>
      <c r="K1013" s="15">
        <f t="shared" si="170"/>
        <v>4.6555176700380196E-6</v>
      </c>
      <c r="L1013" s="15">
        <f t="shared" si="171"/>
        <v>2.5329103336799701E-3</v>
      </c>
      <c r="M1013" s="15">
        <f t="shared" si="172"/>
        <v>8.4079525253879406E-2</v>
      </c>
      <c r="N1013" s="15">
        <f t="shared" si="173"/>
        <v>0.18566589190378099</v>
      </c>
      <c r="O1013" s="17">
        <v>8.1545550999999996</v>
      </c>
      <c r="P1013" s="17">
        <v>-4.6327882999999996</v>
      </c>
      <c r="Q1013" s="17">
        <v>5.5536820999999996</v>
      </c>
      <c r="R1013" s="17">
        <v>-7.2986800000000001</v>
      </c>
      <c r="S1013" s="17">
        <f t="shared" si="174"/>
        <v>0.97789690601001256</v>
      </c>
      <c r="T1013" s="17">
        <f t="shared" si="175"/>
        <v>-23.130022134436334</v>
      </c>
    </row>
    <row r="1014" spans="1:20" x14ac:dyDescent="0.35">
      <c r="A1014" s="16">
        <v>3.9000000000000004</v>
      </c>
      <c r="B1014" s="16">
        <v>15.1952</v>
      </c>
      <c r="C1014" s="16">
        <v>-5.0691717999999997E-2</v>
      </c>
      <c r="D1014" s="16">
        <v>-8.3993332000000004E-2</v>
      </c>
      <c r="E1014" s="16">
        <v>0.94928595999999998</v>
      </c>
      <c r="F1014" s="16">
        <v>-8.9100067000000005E-2</v>
      </c>
      <c r="G1014" s="16">
        <f t="shared" si="166"/>
        <v>2.0197473194492699</v>
      </c>
      <c r="H1014" s="16">
        <f t="shared" si="167"/>
        <v>-4.2997732074481796</v>
      </c>
      <c r="I1014" s="16">
        <f t="shared" si="168"/>
        <v>2.0197426781860801</v>
      </c>
      <c r="J1014" s="16">
        <f t="shared" si="169"/>
        <v>-4.3023266152976101</v>
      </c>
      <c r="K1014" s="15">
        <f t="shared" si="170"/>
        <v>4.6412631897751996E-6</v>
      </c>
      <c r="L1014" s="15">
        <f t="shared" si="171"/>
        <v>2.5534078494304801E-3</v>
      </c>
      <c r="M1014" s="15">
        <f t="shared" si="172"/>
        <v>8.9411181004002499E-2</v>
      </c>
      <c r="N1014" s="15">
        <f t="shared" si="173"/>
        <v>0.190457976599369</v>
      </c>
      <c r="O1014" s="16">
        <v>8.2957297000000008</v>
      </c>
      <c r="P1014" s="16">
        <v>-4.8879422000000003</v>
      </c>
      <c r="Q1014" s="16">
        <v>5.5900901999999997</v>
      </c>
      <c r="R1014" s="16">
        <v>-7.5940054999999997</v>
      </c>
      <c r="S1014" s="16">
        <f t="shared" si="174"/>
        <v>0.97932991380685142</v>
      </c>
      <c r="T1014" s="16">
        <f t="shared" si="175"/>
        <v>-23.135421135966112</v>
      </c>
    </row>
    <row r="1015" spans="1:20" x14ac:dyDescent="0.35">
      <c r="A1015" s="17">
        <v>3.9000000000000004</v>
      </c>
      <c r="B1015" s="17">
        <v>15.244</v>
      </c>
      <c r="C1015" s="17">
        <v>-5.3643448000000003E-2</v>
      </c>
      <c r="D1015" s="17">
        <v>-8.5663010999999997E-2</v>
      </c>
      <c r="E1015" s="17">
        <v>0.94633376999999996</v>
      </c>
      <c r="F1015" s="17">
        <v>-9.0811173999999995E-2</v>
      </c>
      <c r="G1015" s="17">
        <f t="shared" si="166"/>
        <v>2.0155541603217499</v>
      </c>
      <c r="H1015" s="17">
        <f t="shared" si="167"/>
        <v>-4.1356179975865501</v>
      </c>
      <c r="I1015" s="17">
        <f t="shared" si="168"/>
        <v>2.01554939527009</v>
      </c>
      <c r="J1015" s="17">
        <f t="shared" si="169"/>
        <v>-4.1381921206740202</v>
      </c>
      <c r="K1015" s="15">
        <f t="shared" si="170"/>
        <v>4.7650516599162504E-6</v>
      </c>
      <c r="L1015" s="15">
        <f t="shared" si="171"/>
        <v>2.57412308747007E-3</v>
      </c>
      <c r="M1015" s="15">
        <f t="shared" si="172"/>
        <v>9.5131090450405506E-2</v>
      </c>
      <c r="N1015" s="15">
        <f t="shared" si="173"/>
        <v>0.19531683513032599</v>
      </c>
      <c r="O1015" s="17">
        <v>8.4339466000000005</v>
      </c>
      <c r="P1015" s="17">
        <v>-5.1580328</v>
      </c>
      <c r="Q1015" s="17">
        <v>5.6179834</v>
      </c>
      <c r="R1015" s="17">
        <v>-7.9022721000000002</v>
      </c>
      <c r="S1015" s="17">
        <f t="shared" si="174"/>
        <v>0.98073712529750923</v>
      </c>
      <c r="T1015" s="17">
        <f t="shared" si="175"/>
        <v>-23.140614917905101</v>
      </c>
    </row>
    <row r="1016" spans="1:20" x14ac:dyDescent="0.35">
      <c r="A1016" s="16">
        <v>3.9000000000000004</v>
      </c>
      <c r="B1016" s="16">
        <v>15.2928</v>
      </c>
      <c r="C1016" s="16">
        <v>-5.6775315E-2</v>
      </c>
      <c r="D1016" s="16">
        <v>-8.7299699999999994E-2</v>
      </c>
      <c r="E1016" s="16">
        <v>0.94320084000000004</v>
      </c>
      <c r="F1016" s="16">
        <v>-9.2489641999999997E-2</v>
      </c>
      <c r="G1016" s="16">
        <f t="shared" si="166"/>
        <v>2.0114137925695599</v>
      </c>
      <c r="H1016" s="16">
        <f t="shared" si="167"/>
        <v>-3.9742873834529902</v>
      </c>
      <c r="I1016" s="16">
        <f t="shared" si="168"/>
        <v>2.0114086039974102</v>
      </c>
      <c r="J1016" s="16">
        <f t="shared" si="169"/>
        <v>-3.9768823988562501</v>
      </c>
      <c r="K1016" s="15">
        <f t="shared" si="170"/>
        <v>5.1885721497058099E-6</v>
      </c>
      <c r="L1016" s="15">
        <f t="shared" si="171"/>
        <v>2.5950154032598999E-3</v>
      </c>
      <c r="M1016" s="15">
        <f t="shared" si="172"/>
        <v>0.10127246007565401</v>
      </c>
      <c r="N1016" s="15">
        <f t="shared" si="173"/>
        <v>0.200232147343573</v>
      </c>
      <c r="O1016" s="16">
        <v>8.5745962999999996</v>
      </c>
      <c r="P1016" s="16">
        <v>-5.4479229</v>
      </c>
      <c r="Q1016" s="16">
        <v>5.6360754000000002</v>
      </c>
      <c r="R1016" s="16">
        <v>-8.2236820000000002</v>
      </c>
      <c r="S1016" s="16">
        <f t="shared" si="174"/>
        <v>0.98137133885551298</v>
      </c>
      <c r="T1016" s="16">
        <f t="shared" si="175"/>
        <v>-23.145239524548121</v>
      </c>
    </row>
    <row r="1017" spans="1:20" x14ac:dyDescent="0.35">
      <c r="A1017" s="17">
        <v>3.9000000000000004</v>
      </c>
      <c r="B1017" s="17">
        <v>15.3416</v>
      </c>
      <c r="C1017" s="17">
        <v>-6.0097308000000002E-2</v>
      </c>
      <c r="D1017" s="17">
        <v>-8.8892095000000004E-2</v>
      </c>
      <c r="E1017" s="17">
        <v>0.93987787</v>
      </c>
      <c r="F1017" s="17">
        <v>-9.4124342999999999E-2</v>
      </c>
      <c r="G1017" s="17">
        <f t="shared" si="166"/>
        <v>2.0073047635764598</v>
      </c>
      <c r="H1017" s="17">
        <f t="shared" si="167"/>
        <v>-3.8156909375405799</v>
      </c>
      <c r="I1017" s="17">
        <f t="shared" si="168"/>
        <v>2.0072991967351999</v>
      </c>
      <c r="J1017" s="17">
        <f t="shared" si="169"/>
        <v>-3.8183071085734399</v>
      </c>
      <c r="K1017" s="15">
        <f t="shared" si="170"/>
        <v>5.5668412599629804E-6</v>
      </c>
      <c r="L1017" s="15">
        <f t="shared" si="171"/>
        <v>2.6161710328600498E-3</v>
      </c>
      <c r="M1017" s="15">
        <f t="shared" si="172"/>
        <v>0.10786874533289401</v>
      </c>
      <c r="N1017" s="15">
        <f t="shared" si="173"/>
        <v>0.20518914059617399</v>
      </c>
      <c r="O1017" s="17">
        <v>8.7044142999999998</v>
      </c>
      <c r="P1017" s="17">
        <v>-5.7508360999999999</v>
      </c>
      <c r="Q1017" s="17">
        <v>5.6437764000000001</v>
      </c>
      <c r="R1017" s="17">
        <v>-8.5599067000000009</v>
      </c>
      <c r="S1017" s="17">
        <f t="shared" si="174"/>
        <v>0.98278659097957177</v>
      </c>
      <c r="T1017" s="17">
        <f t="shared" si="175"/>
        <v>-23.15010390341866</v>
      </c>
    </row>
    <row r="1018" spans="1:20" x14ac:dyDescent="0.35">
      <c r="A1018" s="16">
        <v>3.9000000000000004</v>
      </c>
      <c r="B1018" s="16">
        <v>15.3904</v>
      </c>
      <c r="C1018" s="16">
        <v>-6.3618903000000004E-2</v>
      </c>
      <c r="D1018" s="16">
        <v>-9.0426829E-2</v>
      </c>
      <c r="E1018" s="16">
        <v>0.93635520000000005</v>
      </c>
      <c r="F1018" s="16">
        <v>-9.5701871999999993E-2</v>
      </c>
      <c r="G1018" s="16">
        <f t="shared" si="166"/>
        <v>2.0032257455547202</v>
      </c>
      <c r="H1018" s="16">
        <f t="shared" si="167"/>
        <v>-3.6597533637686301</v>
      </c>
      <c r="I1018" s="16">
        <f t="shared" si="168"/>
        <v>2.0032197536285601</v>
      </c>
      <c r="J1018" s="16">
        <f t="shared" si="169"/>
        <v>-3.6623909352250501</v>
      </c>
      <c r="K1018" s="15">
        <f t="shared" si="170"/>
        <v>5.9919261601315597E-6</v>
      </c>
      <c r="L1018" s="15">
        <f t="shared" si="171"/>
        <v>2.63757145641996E-3</v>
      </c>
      <c r="M1018" s="15">
        <f t="shared" si="172"/>
        <v>0.11495582049545899</v>
      </c>
      <c r="N1018" s="15">
        <f t="shared" si="173"/>
        <v>0.210168232502361</v>
      </c>
      <c r="O1018" s="16">
        <v>8.8281881000000002</v>
      </c>
      <c r="P1018" s="16">
        <v>-6.0712425000000003</v>
      </c>
      <c r="Q1018" s="16">
        <v>5.6390219000000004</v>
      </c>
      <c r="R1018" s="16">
        <v>-8.9105235</v>
      </c>
      <c r="S1018" s="16">
        <f t="shared" si="174"/>
        <v>0.9841912829844538</v>
      </c>
      <c r="T1018" s="16">
        <f t="shared" si="175"/>
        <v>-23.15560577552646</v>
      </c>
    </row>
    <row r="1019" spans="1:20" x14ac:dyDescent="0.35">
      <c r="A1019" s="17">
        <v>3.9000000000000004</v>
      </c>
      <c r="B1019" s="17">
        <v>15.4392</v>
      </c>
      <c r="C1019" s="17">
        <v>-6.7349038E-2</v>
      </c>
      <c r="D1019" s="17">
        <v>-9.1888525999999998E-2</v>
      </c>
      <c r="E1019" s="17">
        <v>0.93262389999999995</v>
      </c>
      <c r="F1019" s="17">
        <v>-9.7206865000000003E-2</v>
      </c>
      <c r="G1019" s="17">
        <f t="shared" si="166"/>
        <v>1.99917429308812</v>
      </c>
      <c r="H1019" s="17">
        <f t="shared" si="167"/>
        <v>-3.5064176167553698</v>
      </c>
      <c r="I1019" s="17">
        <f t="shared" si="168"/>
        <v>1.9991678333245</v>
      </c>
      <c r="J1019" s="17">
        <f t="shared" si="169"/>
        <v>-3.5090768394149201</v>
      </c>
      <c r="K1019" s="15">
        <f t="shared" si="170"/>
        <v>6.4597636200147699E-6</v>
      </c>
      <c r="L1019" s="15">
        <f t="shared" si="171"/>
        <v>2.6592226595503199E-3</v>
      </c>
      <c r="M1019" s="15">
        <f t="shared" si="172"/>
        <v>0.122570938502571</v>
      </c>
      <c r="N1019" s="15">
        <f t="shared" si="173"/>
        <v>0.21514493896666601</v>
      </c>
      <c r="O1019" s="17">
        <v>8.9386734000000008</v>
      </c>
      <c r="P1019" s="17">
        <v>-6.4056801999999999</v>
      </c>
      <c r="Q1019" s="17">
        <v>5.6200947000000001</v>
      </c>
      <c r="R1019" s="17">
        <v>-9.2751558999999997</v>
      </c>
      <c r="S1019" s="17">
        <f t="shared" si="174"/>
        <v>0.98618352528555631</v>
      </c>
      <c r="T1019" s="17">
        <f t="shared" si="175"/>
        <v>-23.160728482945544</v>
      </c>
    </row>
    <row r="1020" spans="1:20" x14ac:dyDescent="0.35">
      <c r="A1020" s="16">
        <v>3.9000000000000004</v>
      </c>
      <c r="B1020" s="16">
        <v>15.488</v>
      </c>
      <c r="C1020" s="16">
        <v>-7.1295910000000004E-2</v>
      </c>
      <c r="D1020" s="16">
        <v>-9.3259717000000006E-2</v>
      </c>
      <c r="E1020" s="16">
        <v>0.92867579</v>
      </c>
      <c r="F1020" s="16">
        <v>-9.8621862000000005E-2</v>
      </c>
      <c r="G1020" s="16">
        <f t="shared" si="166"/>
        <v>1.9951489998613801</v>
      </c>
      <c r="H1020" s="16">
        <f t="shared" si="167"/>
        <v>-3.3556364314948199</v>
      </c>
      <c r="I1020" s="16">
        <f t="shared" si="168"/>
        <v>1.9951420380643801</v>
      </c>
      <c r="J1020" s="16">
        <f t="shared" si="169"/>
        <v>-3.3583175605978699</v>
      </c>
      <c r="K1020" s="15">
        <f t="shared" si="170"/>
        <v>6.96179699999355E-6</v>
      </c>
      <c r="L1020" s="15">
        <f t="shared" si="171"/>
        <v>2.68112910304996E-3</v>
      </c>
      <c r="M1020" s="15">
        <f t="shared" si="172"/>
        <v>0.13075277575515401</v>
      </c>
      <c r="N1020" s="15">
        <f t="shared" si="173"/>
        <v>0.22008926409142199</v>
      </c>
      <c r="O1020" s="16">
        <v>9.0458511999999995</v>
      </c>
      <c r="P1020" s="16">
        <v>-6.7629150999999998</v>
      </c>
      <c r="Q1020" s="16">
        <v>5.5852801999999997</v>
      </c>
      <c r="R1020" s="16">
        <v>-9.6538375999999992</v>
      </c>
      <c r="S1020" s="16">
        <f t="shared" si="174"/>
        <v>0.98748678209973906</v>
      </c>
      <c r="T1020" s="16">
        <f t="shared" si="175"/>
        <v>-23.16548710717451</v>
      </c>
    </row>
    <row r="1021" spans="1:20" x14ac:dyDescent="0.35">
      <c r="A1021" s="17">
        <v>3.9000000000000004</v>
      </c>
      <c r="B1021" s="17">
        <v>15.536799999999999</v>
      </c>
      <c r="C1021" s="17">
        <v>-7.5466711000000006E-2</v>
      </c>
      <c r="D1021" s="17">
        <v>-9.4520749000000001E-2</v>
      </c>
      <c r="E1021" s="17">
        <v>0.92450368999999999</v>
      </c>
      <c r="F1021" s="17">
        <v>-9.9927218999999998E-2</v>
      </c>
      <c r="G1021" s="17">
        <f t="shared" si="166"/>
        <v>1.99114903829713</v>
      </c>
      <c r="H1021" s="17">
        <f t="shared" si="167"/>
        <v>-3.2073688514318199</v>
      </c>
      <c r="I1021" s="17">
        <f t="shared" si="168"/>
        <v>1.9911415463286199</v>
      </c>
      <c r="J1021" s="17">
        <f t="shared" si="169"/>
        <v>-3.2100721466917999</v>
      </c>
      <c r="K1021" s="15">
        <f t="shared" si="170"/>
        <v>7.4919685100205396E-6</v>
      </c>
      <c r="L1021" s="15">
        <f t="shared" si="171"/>
        <v>2.7032952599799201E-3</v>
      </c>
      <c r="M1021" s="15">
        <f t="shared" si="172"/>
        <v>0.13954114117824301</v>
      </c>
      <c r="N1021" s="15">
        <f t="shared" si="173"/>
        <v>0.22496498626117201</v>
      </c>
      <c r="O1021" s="17">
        <v>9.1491430999999999</v>
      </c>
      <c r="P1021" s="17">
        <v>-7.1449727999999997</v>
      </c>
      <c r="Q1021" s="17">
        <v>5.5328958999999998</v>
      </c>
      <c r="R1021" s="17">
        <v>-10.046728</v>
      </c>
      <c r="S1021" s="17">
        <f t="shared" si="174"/>
        <v>0.98802628256676439</v>
      </c>
      <c r="T1021" s="17">
        <f t="shared" si="175"/>
        <v>-23.169850131080043</v>
      </c>
    </row>
    <row r="1022" spans="1:20" x14ac:dyDescent="0.35">
      <c r="A1022" s="16">
        <v>3.9000000000000004</v>
      </c>
      <c r="B1022" s="16">
        <v>15.585599999999999</v>
      </c>
      <c r="C1022" s="16">
        <v>-7.9867305999999999E-2</v>
      </c>
      <c r="D1022" s="16">
        <v>-9.5649708E-2</v>
      </c>
      <c r="E1022" s="16">
        <v>0.92010172000000001</v>
      </c>
      <c r="F1022" s="16">
        <v>-0.10110102999999999</v>
      </c>
      <c r="G1022" s="16">
        <f t="shared" si="166"/>
        <v>1.9871739370738599</v>
      </c>
      <c r="H1022" s="16">
        <f t="shared" si="167"/>
        <v>-3.0615778321138301</v>
      </c>
      <c r="I1022" s="16">
        <f t="shared" si="168"/>
        <v>1.98716587935188</v>
      </c>
      <c r="J1022" s="16">
        <f t="shared" si="169"/>
        <v>-3.0643035572897501</v>
      </c>
      <c r="K1022" s="15">
        <f t="shared" si="170"/>
        <v>8.0577219798705408E-6</v>
      </c>
      <c r="L1022" s="15">
        <f t="shared" si="171"/>
        <v>2.7257251759200702E-3</v>
      </c>
      <c r="M1022" s="15">
        <f t="shared" si="172"/>
        <v>0.14897653349777601</v>
      </c>
      <c r="N1022" s="15">
        <f t="shared" si="173"/>
        <v>0.22972884462912699</v>
      </c>
      <c r="O1022" s="16">
        <v>9.2327002</v>
      </c>
      <c r="P1022" s="16">
        <v>-7.5416727000000003</v>
      </c>
      <c r="Q1022" s="16">
        <v>5.4610775</v>
      </c>
      <c r="R1022" s="16">
        <v>-10.453951</v>
      </c>
      <c r="S1022" s="16">
        <f t="shared" si="174"/>
        <v>0.98934966705682248</v>
      </c>
      <c r="T1022" s="16">
        <f t="shared" si="175"/>
        <v>-23.174269235006005</v>
      </c>
    </row>
    <row r="1023" spans="1:20" x14ac:dyDescent="0.35">
      <c r="A1023" s="17">
        <v>3.9000000000000004</v>
      </c>
      <c r="B1023" s="17">
        <v>15.634399999999999</v>
      </c>
      <c r="C1023" s="17">
        <v>-8.4501839999999995E-2</v>
      </c>
      <c r="D1023" s="17">
        <v>-9.6622366000000001E-2</v>
      </c>
      <c r="E1023" s="17">
        <v>0.91546576000000002</v>
      </c>
      <c r="F1023" s="17">
        <v>-0.10211907000000001</v>
      </c>
      <c r="G1023" s="17">
        <f t="shared" si="166"/>
        <v>1.9832233025560699</v>
      </c>
      <c r="H1023" s="17">
        <f t="shared" si="167"/>
        <v>-2.9182303254579498</v>
      </c>
      <c r="I1023" s="17">
        <f t="shared" si="168"/>
        <v>1.9832146560424</v>
      </c>
      <c r="J1023" s="17">
        <f t="shared" si="169"/>
        <v>-2.9209787457460301</v>
      </c>
      <c r="K1023" s="15">
        <f t="shared" si="170"/>
        <v>8.6465136699409601E-6</v>
      </c>
      <c r="L1023" s="15">
        <f t="shared" si="171"/>
        <v>2.7484202880803102E-3</v>
      </c>
      <c r="M1023" s="15">
        <f t="shared" si="172"/>
        <v>0.159099377046172</v>
      </c>
      <c r="N1023" s="15">
        <f t="shared" si="173"/>
        <v>0.23432960088177501</v>
      </c>
      <c r="O1023" s="17">
        <v>9.2947550000000003</v>
      </c>
      <c r="P1023" s="17">
        <v>-7.9528733000000003</v>
      </c>
      <c r="Q1023" s="17">
        <v>5.3672810999999996</v>
      </c>
      <c r="R1023" s="17">
        <v>-10.874466</v>
      </c>
      <c r="S1023" s="17">
        <f t="shared" si="174"/>
        <v>0.99134541597929837</v>
      </c>
      <c r="T1023" s="17">
        <f t="shared" si="175"/>
        <v>-23.179262894936741</v>
      </c>
    </row>
    <row r="1024" spans="1:20" x14ac:dyDescent="0.35">
      <c r="A1024" s="16">
        <v>3.9000000000000004</v>
      </c>
      <c r="B1024" s="16">
        <v>15.683199999999999</v>
      </c>
      <c r="C1024" s="16">
        <v>-8.9372286999999995E-2</v>
      </c>
      <c r="D1024" s="16">
        <v>-9.7412183999999999E-2</v>
      </c>
      <c r="E1024" s="16">
        <v>0.91059382</v>
      </c>
      <c r="F1024" s="16">
        <v>-0.10295482</v>
      </c>
      <c r="G1024" s="16">
        <f t="shared" si="166"/>
        <v>1.9792966620696799</v>
      </c>
      <c r="H1024" s="16">
        <f t="shared" si="167"/>
        <v>-2.77729522870899</v>
      </c>
      <c r="I1024" s="16">
        <f t="shared" si="168"/>
        <v>1.97928739581743</v>
      </c>
      <c r="J1024" s="16">
        <f t="shared" si="169"/>
        <v>-2.7800666193540899</v>
      </c>
      <c r="K1024" s="15">
        <f t="shared" si="170"/>
        <v>9.2662522499509203E-6</v>
      </c>
      <c r="L1024" s="15">
        <f t="shared" si="171"/>
        <v>2.7713906450999E-3</v>
      </c>
      <c r="M1024" s="15">
        <f t="shared" si="172"/>
        <v>0.16994917422262801</v>
      </c>
      <c r="N1024" s="15">
        <f t="shared" si="173"/>
        <v>0.23870713633681001</v>
      </c>
      <c r="O1024" s="16">
        <v>9.3458988999999999</v>
      </c>
      <c r="P1024" s="16">
        <v>-8.3894496000000007</v>
      </c>
      <c r="Q1024" s="16">
        <v>5.2492425999999996</v>
      </c>
      <c r="R1024" s="16">
        <v>-11.306963</v>
      </c>
      <c r="S1024" s="16">
        <f t="shared" si="174"/>
        <v>0.99259685975421408</v>
      </c>
      <c r="T1024" s="16">
        <f t="shared" si="175"/>
        <v>-23.183889854403027</v>
      </c>
    </row>
    <row r="1025" spans="1:20" x14ac:dyDescent="0.35">
      <c r="A1025" s="17">
        <v>3.9000000000000004</v>
      </c>
      <c r="B1025" s="17">
        <v>15.731999999999999</v>
      </c>
      <c r="C1025" s="17">
        <v>-9.4477940999999996E-2</v>
      </c>
      <c r="D1025" s="17">
        <v>-9.7990376000000004E-2</v>
      </c>
      <c r="E1025" s="17">
        <v>0.90548660999999997</v>
      </c>
      <c r="F1025" s="17">
        <v>-0.10357949</v>
      </c>
      <c r="G1025" s="17">
        <f t="shared" si="166"/>
        <v>1.9753939541369401</v>
      </c>
      <c r="H1025" s="17">
        <f t="shared" si="167"/>
        <v>-2.63874403602399</v>
      </c>
      <c r="I1025" s="17">
        <f t="shared" si="168"/>
        <v>1.9753840392258899</v>
      </c>
      <c r="J1025" s="17">
        <f t="shared" si="169"/>
        <v>-2.6415386702652701</v>
      </c>
      <c r="K1025" s="15">
        <f t="shared" si="170"/>
        <v>9.9149110501794996E-6</v>
      </c>
      <c r="L1025" s="15">
        <f t="shared" si="171"/>
        <v>2.7946342412801298E-3</v>
      </c>
      <c r="M1025" s="15">
        <f t="shared" si="172"/>
        <v>0.18156322497691299</v>
      </c>
      <c r="N1025" s="15">
        <f t="shared" si="173"/>
        <v>0.24279141187277101</v>
      </c>
      <c r="O1025" s="17">
        <v>9.3842353999999997</v>
      </c>
      <c r="P1025" s="17">
        <v>-8.8526406000000009</v>
      </c>
      <c r="Q1025" s="17">
        <v>5.1048321999999997</v>
      </c>
      <c r="R1025" s="17">
        <v>-11.750641999999999</v>
      </c>
      <c r="S1025" s="17">
        <f t="shared" si="174"/>
        <v>0.99307771316946047</v>
      </c>
      <c r="T1025" s="17">
        <f t="shared" si="175"/>
        <v>-23.188091654769075</v>
      </c>
    </row>
    <row r="1026" spans="1:20" x14ac:dyDescent="0.35">
      <c r="A1026" s="16">
        <v>3.9000000000000004</v>
      </c>
      <c r="B1026" s="16">
        <v>15.780799999999999</v>
      </c>
      <c r="C1026" s="16">
        <v>-9.9820166000000002E-2</v>
      </c>
      <c r="D1026" s="16">
        <v>-9.8325701000000001E-2</v>
      </c>
      <c r="E1026" s="16">
        <v>0.90014304999999994</v>
      </c>
      <c r="F1026" s="16">
        <v>-0.10396179999999999</v>
      </c>
      <c r="G1026" s="16">
        <f t="shared" si="166"/>
        <v>1.9715263346207399</v>
      </c>
      <c r="H1026" s="16">
        <f t="shared" si="167"/>
        <v>-2.5024223144519402</v>
      </c>
      <c r="I1026" s="16">
        <f t="shared" si="168"/>
        <v>1.97151588406057</v>
      </c>
      <c r="J1026" s="16">
        <f t="shared" si="169"/>
        <v>-2.50524044523319</v>
      </c>
      <c r="K1026" s="15">
        <f t="shared" si="170"/>
        <v>1.04505601699056E-5</v>
      </c>
      <c r="L1026" s="15">
        <f t="shared" si="171"/>
        <v>2.8181307812498199E-3</v>
      </c>
      <c r="M1026" s="15">
        <f t="shared" si="172"/>
        <v>0.19398756261648001</v>
      </c>
      <c r="N1026" s="15">
        <f t="shared" si="173"/>
        <v>0.246503460442869</v>
      </c>
      <c r="O1026" s="16">
        <v>9.3927346000000007</v>
      </c>
      <c r="P1026" s="16">
        <v>-9.3292941000000003</v>
      </c>
      <c r="Q1026" s="16">
        <v>4.9315728999999999</v>
      </c>
      <c r="R1026" s="16">
        <v>-12.204761</v>
      </c>
      <c r="S1026" s="16">
        <f t="shared" si="174"/>
        <v>0.99432774914456412</v>
      </c>
      <c r="T1026" s="16">
        <f t="shared" si="175"/>
        <v>-23.192012376866138</v>
      </c>
    </row>
    <row r="1027" spans="1:20" x14ac:dyDescent="0.35">
      <c r="A1027" s="17">
        <v>3.9000000000000004</v>
      </c>
      <c r="B1027" s="17">
        <v>15.829599999999999</v>
      </c>
      <c r="C1027" s="17">
        <v>-0.10539155</v>
      </c>
      <c r="D1027" s="17">
        <v>-9.8377129999999993E-2</v>
      </c>
      <c r="E1027" s="17">
        <v>0.89460459999999997</v>
      </c>
      <c r="F1027" s="17">
        <v>-0.10402068</v>
      </c>
      <c r="G1027" s="17">
        <f t="shared" si="166"/>
        <v>1.96834351879036</v>
      </c>
      <c r="H1027" s="17">
        <f t="shared" si="167"/>
        <v>-2.3686975785669802</v>
      </c>
      <c r="I1027" s="17">
        <f t="shared" si="168"/>
        <v>1.9683495561833899</v>
      </c>
      <c r="J1027" s="17">
        <f t="shared" si="169"/>
        <v>-2.3715193419627099</v>
      </c>
      <c r="K1027" s="15">
        <f t="shared" si="170"/>
        <v>-6.0373930299562096E-6</v>
      </c>
      <c r="L1027" s="15">
        <f t="shared" si="171"/>
        <v>2.8217633957297E-3</v>
      </c>
      <c r="M1027" s="15">
        <f t="shared" si="172"/>
        <v>0.20722732374623401</v>
      </c>
      <c r="N1027" s="15">
        <f t="shared" si="173"/>
        <v>0.249672932789573</v>
      </c>
      <c r="O1027" s="17">
        <v>9.3681895999999991</v>
      </c>
      <c r="P1027" s="17">
        <v>-9.8180485999999991</v>
      </c>
      <c r="Q1027" s="17">
        <v>4.7248896</v>
      </c>
      <c r="R1027" s="17">
        <v>-12.666983</v>
      </c>
      <c r="S1027" s="17">
        <f t="shared" si="174"/>
        <v>0.99624611253154494</v>
      </c>
      <c r="T1027" s="17">
        <f t="shared" si="175"/>
        <v>-23.200902047106108</v>
      </c>
    </row>
    <row r="1028" spans="1:20" x14ac:dyDescent="0.35">
      <c r="A1028" s="16">
        <v>3.9000000000000004</v>
      </c>
      <c r="B1028" s="16">
        <v>15.878399999999999</v>
      </c>
      <c r="C1028" s="16">
        <v>-0.11116520000000001</v>
      </c>
      <c r="D1028" s="16">
        <v>-9.8127058000000003E-2</v>
      </c>
      <c r="E1028" s="16">
        <v>0.88883109999999999</v>
      </c>
      <c r="F1028" s="16">
        <v>-0.10381745000000001</v>
      </c>
      <c r="G1028" s="16">
        <f t="shared" si="166"/>
        <v>1.9645146956716999</v>
      </c>
      <c r="H1028" s="16">
        <f t="shared" si="167"/>
        <v>-2.23708170543255</v>
      </c>
      <c r="I1028" s="16">
        <f t="shared" si="168"/>
        <v>1.96452094078795</v>
      </c>
      <c r="J1028" s="16">
        <f t="shared" si="169"/>
        <v>-2.2399268889275601</v>
      </c>
      <c r="K1028" s="15">
        <f t="shared" si="170"/>
        <v>-6.2451162501364604E-6</v>
      </c>
      <c r="L1028" s="15">
        <f t="shared" si="171"/>
        <v>2.8451834950100601E-3</v>
      </c>
      <c r="M1028" s="15">
        <f t="shared" si="172"/>
        <v>0.22131419938765101</v>
      </c>
      <c r="N1028" s="15">
        <f t="shared" si="173"/>
        <v>0.25234020967526199</v>
      </c>
      <c r="O1028" s="16">
        <v>9.3225745</v>
      </c>
      <c r="P1028" s="16">
        <v>-10.3299</v>
      </c>
      <c r="Q1028" s="16">
        <v>4.4865687999999997</v>
      </c>
      <c r="R1028" s="16">
        <v>-13.133656</v>
      </c>
      <c r="S1028" s="16">
        <f t="shared" si="174"/>
        <v>0.99742716222564765</v>
      </c>
      <c r="T1028" s="16">
        <f t="shared" si="175"/>
        <v>-23.205157903662187</v>
      </c>
    </row>
    <row r="1029" spans="1:20" x14ac:dyDescent="0.35">
      <c r="A1029" s="17">
        <v>3.9000000000000004</v>
      </c>
      <c r="B1029" s="17">
        <v>15.927199999999999</v>
      </c>
      <c r="C1029" s="17">
        <v>-0.1171328</v>
      </c>
      <c r="D1029" s="17">
        <v>-9.7532544999999998E-2</v>
      </c>
      <c r="E1029" s="17">
        <v>0.88286366999999999</v>
      </c>
      <c r="F1029" s="17">
        <v>-0.10327011</v>
      </c>
      <c r="G1029" s="17">
        <f t="shared" si="166"/>
        <v>1.9607105047703099</v>
      </c>
      <c r="H1029" s="17">
        <f t="shared" si="167"/>
        <v>-2.1077545283772099</v>
      </c>
      <c r="I1029" s="17">
        <f t="shared" si="168"/>
        <v>1.96071696965608</v>
      </c>
      <c r="J1029" s="17">
        <f t="shared" si="169"/>
        <v>-2.1106232973942398</v>
      </c>
      <c r="K1029" s="15">
        <f t="shared" si="170"/>
        <v>-6.46488577005222E-6</v>
      </c>
      <c r="L1029" s="15">
        <f t="shared" si="171"/>
        <v>2.8687690170299302E-3</v>
      </c>
      <c r="M1029" s="15">
        <f t="shared" si="172"/>
        <v>0.23625539018528399</v>
      </c>
      <c r="N1029" s="15">
        <f t="shared" si="173"/>
        <v>0.25431826131820201</v>
      </c>
      <c r="O1029" s="17">
        <v>9.2523166000000003</v>
      </c>
      <c r="P1029" s="17">
        <v>-10.865437</v>
      </c>
      <c r="Q1029" s="17">
        <v>4.2127686000000004</v>
      </c>
      <c r="R1029" s="17">
        <v>-13.60361</v>
      </c>
      <c r="S1029" s="17">
        <f t="shared" si="174"/>
        <v>0.99789268687400245</v>
      </c>
      <c r="T1029" s="17">
        <f t="shared" si="175"/>
        <v>-23.20889019823915</v>
      </c>
    </row>
    <row r="1030" spans="1:20" x14ac:dyDescent="0.35">
      <c r="A1030" s="16">
        <v>3.9000000000000004</v>
      </c>
      <c r="B1030" s="16">
        <v>15.976000000000001</v>
      </c>
      <c r="C1030" s="16">
        <v>-0.12327095</v>
      </c>
      <c r="D1030" s="16">
        <v>-9.6558641000000001E-2</v>
      </c>
      <c r="E1030" s="16">
        <v>0.87672578999999995</v>
      </c>
      <c r="F1030" s="16">
        <v>-0.10234372</v>
      </c>
      <c r="G1030" s="16">
        <f t="shared" si="166"/>
        <v>1.95693089723793</v>
      </c>
      <c r="H1030" s="16">
        <f t="shared" si="167"/>
        <v>-1.98070591718983</v>
      </c>
      <c r="I1030" s="16">
        <f t="shared" si="168"/>
        <v>1.9569376339909399</v>
      </c>
      <c r="J1030" s="16">
        <f t="shared" si="169"/>
        <v>-1.9835984419183199</v>
      </c>
      <c r="K1030" s="15">
        <f t="shared" si="170"/>
        <v>-6.73675300988386E-6</v>
      </c>
      <c r="L1030" s="15">
        <f t="shared" si="171"/>
        <v>2.89252472848989E-3</v>
      </c>
      <c r="M1030" s="15">
        <f t="shared" si="172"/>
        <v>0.25204407087867298</v>
      </c>
      <c r="N1030" s="15">
        <f t="shared" si="173"/>
        <v>0.25547785356352398</v>
      </c>
      <c r="O1030" s="16">
        <v>9.1353995999999995</v>
      </c>
      <c r="P1030" s="16">
        <v>-11.400186</v>
      </c>
      <c r="Q1030" s="16">
        <v>3.9009176999999999</v>
      </c>
      <c r="R1030" s="16">
        <v>-14.072721</v>
      </c>
      <c r="S1030" s="16">
        <f t="shared" si="174"/>
        <v>0.9996224298533386</v>
      </c>
      <c r="T1030" s="16">
        <f t="shared" si="175"/>
        <v>-23.213294420867406</v>
      </c>
    </row>
    <row r="1031" spans="1:20" x14ac:dyDescent="0.35">
      <c r="A1031" s="17">
        <v>3.9000000000000004</v>
      </c>
      <c r="B1031" s="17">
        <v>16.024799999999999</v>
      </c>
      <c r="C1031" s="17">
        <v>-0.12955071000000001</v>
      </c>
      <c r="D1031" s="17">
        <v>-9.5171204999999995E-2</v>
      </c>
      <c r="E1031" s="17">
        <v>0.87044644000000004</v>
      </c>
      <c r="F1031" s="17">
        <v>-0.10100414000000001</v>
      </c>
      <c r="G1031" s="17">
        <f t="shared" si="166"/>
        <v>1.9531756710683099</v>
      </c>
      <c r="H1031" s="17">
        <f t="shared" si="167"/>
        <v>-1.8559147855681899</v>
      </c>
      <c r="I1031" s="17">
        <f t="shared" si="168"/>
        <v>1.9531827518129701</v>
      </c>
      <c r="J1031" s="17">
        <f t="shared" si="169"/>
        <v>-1.8588312365733699</v>
      </c>
      <c r="K1031" s="15">
        <f t="shared" si="170"/>
        <v>-7.0807446601595103E-6</v>
      </c>
      <c r="L1031" s="15">
        <f t="shared" si="171"/>
        <v>2.9164510051800101E-3</v>
      </c>
      <c r="M1031" s="15">
        <f t="shared" si="172"/>
        <v>0.26865685738790002</v>
      </c>
      <c r="N1031" s="15">
        <f t="shared" si="173"/>
        <v>0.25567897216413998</v>
      </c>
      <c r="O1031" s="17">
        <v>8.9914276999999991</v>
      </c>
      <c r="P1031" s="17">
        <v>-11.958536</v>
      </c>
      <c r="Q1031" s="17">
        <v>3.5497472999999999</v>
      </c>
      <c r="R1031" s="17">
        <v>-14.537826000000001</v>
      </c>
      <c r="S1031" s="17">
        <f t="shared" si="174"/>
        <v>1.0002160462056242</v>
      </c>
      <c r="T1031" s="17">
        <f t="shared" si="175"/>
        <v>-23.217305581367391</v>
      </c>
    </row>
    <row r="1032" spans="1:20" x14ac:dyDescent="0.35">
      <c r="A1032" s="16">
        <v>3.9000000000000004</v>
      </c>
      <c r="B1032" s="16">
        <v>16.073599999999999</v>
      </c>
      <c r="C1032" s="16">
        <v>-0.13593663</v>
      </c>
      <c r="D1032" s="16">
        <v>-9.3338051000000005E-2</v>
      </c>
      <c r="E1032" s="16">
        <v>0.86406114000000001</v>
      </c>
      <c r="F1032" s="16">
        <v>-9.9219188999999999E-2</v>
      </c>
      <c r="G1032" s="16">
        <f t="shared" si="166"/>
        <v>1.9494447367166801</v>
      </c>
      <c r="H1032" s="16">
        <f t="shared" si="167"/>
        <v>-1.7333644582735499</v>
      </c>
      <c r="I1032" s="16">
        <f t="shared" si="168"/>
        <v>1.9494522686156399</v>
      </c>
      <c r="J1032" s="16">
        <f t="shared" si="169"/>
        <v>-1.7363050084042</v>
      </c>
      <c r="K1032" s="15">
        <f t="shared" si="170"/>
        <v>-7.5318989598560598E-6</v>
      </c>
      <c r="L1032" s="15">
        <f t="shared" si="171"/>
        <v>2.9405501306500898E-3</v>
      </c>
      <c r="M1032" s="15">
        <f t="shared" si="172"/>
        <v>0.286048153066147</v>
      </c>
      <c r="N1032" s="15">
        <f t="shared" si="173"/>
        <v>0.25477250651857197</v>
      </c>
      <c r="O1032" s="16">
        <v>8.7985234999999999</v>
      </c>
      <c r="P1032" s="16">
        <v>-12.512608</v>
      </c>
      <c r="Q1032" s="16">
        <v>3.1577358000000002</v>
      </c>
      <c r="R1032" s="16">
        <v>-14.994054999999999</v>
      </c>
      <c r="S1032" s="16">
        <f t="shared" si="174"/>
        <v>1.0017371187801032</v>
      </c>
      <c r="T1032" s="16">
        <f t="shared" si="175"/>
        <v>-23.221181364170949</v>
      </c>
    </row>
    <row r="1033" spans="1:20" x14ac:dyDescent="0.35">
      <c r="A1033" s="17">
        <v>3.9000000000000004</v>
      </c>
      <c r="B1033" s="17">
        <v>16.122399999999999</v>
      </c>
      <c r="C1033" s="17">
        <v>-0.14238993</v>
      </c>
      <c r="D1033" s="17">
        <v>-9.1034110000000001E-2</v>
      </c>
      <c r="E1033" s="17">
        <v>0.85765161999999995</v>
      </c>
      <c r="F1033" s="17">
        <v>-9.6997869E-2</v>
      </c>
      <c r="G1033" s="17">
        <f t="shared" si="166"/>
        <v>1.9455197318977699</v>
      </c>
      <c r="H1033" s="17">
        <f t="shared" si="167"/>
        <v>-1.6134611378977199</v>
      </c>
      <c r="I1033" s="17">
        <f t="shared" si="168"/>
        <v>1.94554939743833</v>
      </c>
      <c r="J1033" s="17">
        <f t="shared" si="169"/>
        <v>-1.61644286699323</v>
      </c>
      <c r="K1033" s="15">
        <f t="shared" si="170"/>
        <v>-2.9665540560053199E-5</v>
      </c>
      <c r="L1033" s="15">
        <f t="shared" si="171"/>
        <v>2.9817290955100901E-3</v>
      </c>
      <c r="M1033" s="15">
        <f t="shared" si="172"/>
        <v>0.30408474416424303</v>
      </c>
      <c r="N1033" s="15">
        <f t="shared" si="173"/>
        <v>0.25264617609449902</v>
      </c>
      <c r="O1033" s="17">
        <v>8.5705945000000003</v>
      </c>
      <c r="P1033" s="17">
        <v>-13.080137000000001</v>
      </c>
      <c r="Q1033" s="17">
        <v>2.7250774999999998</v>
      </c>
      <c r="R1033" s="17">
        <v>-15.438795000000001</v>
      </c>
      <c r="S1033" s="17">
        <f t="shared" si="174"/>
        <v>1.0025267389658241</v>
      </c>
      <c r="T1033" s="17">
        <f t="shared" si="175"/>
        <v>-23.224232147896377</v>
      </c>
    </row>
    <row r="1034" spans="1:20" x14ac:dyDescent="0.35">
      <c r="A1034" s="16">
        <v>3.9000000000000004</v>
      </c>
      <c r="B1034" s="16">
        <v>16.171199999999999</v>
      </c>
      <c r="C1034" s="16">
        <v>-0.14885564000000001</v>
      </c>
      <c r="D1034" s="16">
        <v>-8.8227177000000004E-2</v>
      </c>
      <c r="E1034" s="16">
        <v>0.85118828999999996</v>
      </c>
      <c r="F1034" s="16">
        <v>-9.4241634000000005E-2</v>
      </c>
      <c r="G1034" s="16">
        <f t="shared" si="166"/>
        <v>1.9418679757153401</v>
      </c>
      <c r="H1034" s="16">
        <f t="shared" si="167"/>
        <v>-1.4953605825979699</v>
      </c>
      <c r="I1034" s="16">
        <f t="shared" si="168"/>
        <v>1.9418989829784801</v>
      </c>
      <c r="J1034" s="16">
        <f t="shared" si="169"/>
        <v>-1.4983676518017699</v>
      </c>
      <c r="K1034" s="15">
        <f t="shared" si="170"/>
        <v>-3.1007263139981603E-5</v>
      </c>
      <c r="L1034" s="15">
        <f t="shared" si="171"/>
        <v>3.0070692038000101E-3</v>
      </c>
      <c r="M1034" s="15">
        <f t="shared" si="172"/>
        <v>0.32278491325488701</v>
      </c>
      <c r="N1034" s="15">
        <f t="shared" si="173"/>
        <v>0.24906057253757999</v>
      </c>
      <c r="O1034" s="16">
        <v>8.2919353000000005</v>
      </c>
      <c r="P1034" s="16">
        <v>-13.637857</v>
      </c>
      <c r="Q1034" s="16">
        <v>2.2498965000000002</v>
      </c>
      <c r="R1034" s="16">
        <v>-15.864183000000001</v>
      </c>
      <c r="S1034" s="16">
        <f t="shared" si="174"/>
        <v>1.0038923712127112</v>
      </c>
      <c r="T1034" s="16">
        <f t="shared" si="175"/>
        <v>-23.22797076782884</v>
      </c>
    </row>
    <row r="1035" spans="1:20" x14ac:dyDescent="0.35">
      <c r="A1035" s="17">
        <v>3.9000000000000004</v>
      </c>
      <c r="B1035" s="17">
        <v>16.22</v>
      </c>
      <c r="C1035" s="17">
        <v>-0.15528259999999999</v>
      </c>
      <c r="D1035" s="17">
        <v>-8.4903082000000005E-2</v>
      </c>
      <c r="E1035" s="17">
        <v>0.84476388000000002</v>
      </c>
      <c r="F1035" s="17">
        <v>-9.0968888999999997E-2</v>
      </c>
      <c r="G1035" s="17">
        <f t="shared" si="166"/>
        <v>1.9382392217745401</v>
      </c>
      <c r="H1035" s="17">
        <f t="shared" si="167"/>
        <v>-1.37946572001895</v>
      </c>
      <c r="I1035" s="17">
        <f t="shared" si="168"/>
        <v>1.9382716590122</v>
      </c>
      <c r="J1035" s="17">
        <f t="shared" si="169"/>
        <v>-1.3824984546591901</v>
      </c>
      <c r="K1035" s="15">
        <f t="shared" si="170"/>
        <v>-3.2437237659888E-5</v>
      </c>
      <c r="L1035" s="15">
        <f t="shared" si="171"/>
        <v>3.0327346402401201E-3</v>
      </c>
      <c r="M1035" s="15">
        <f t="shared" si="172"/>
        <v>0.34195547096699402</v>
      </c>
      <c r="N1035" s="15">
        <f t="shared" si="173"/>
        <v>0.243904360865005</v>
      </c>
      <c r="O1035" s="17">
        <v>7.9705803</v>
      </c>
      <c r="P1035" s="17">
        <v>-14.194558000000001</v>
      </c>
      <c r="Q1035" s="17">
        <v>1.7337277</v>
      </c>
      <c r="R1035" s="17">
        <v>-16.266334000000001</v>
      </c>
      <c r="S1035" s="17">
        <f t="shared" si="174"/>
        <v>1.0048629945932874</v>
      </c>
      <c r="T1035" s="17">
        <f t="shared" si="175"/>
        <v>-23.231407989052084</v>
      </c>
    </row>
    <row r="1036" spans="1:20" x14ac:dyDescent="0.35">
      <c r="A1036" s="16">
        <v>3.9000000000000004</v>
      </c>
      <c r="B1036" s="16">
        <v>16.268799999999999</v>
      </c>
      <c r="C1036" s="16">
        <v>-0.16161131000000001</v>
      </c>
      <c r="D1036" s="16">
        <v>-8.1051254000000003E-2</v>
      </c>
      <c r="E1036" s="16">
        <v>0.83843794999999999</v>
      </c>
      <c r="F1036" s="16">
        <v>-8.7169106999999996E-2</v>
      </c>
      <c r="G1036" s="16">
        <f t="shared" si="166"/>
        <v>1.93463364525187</v>
      </c>
      <c r="H1036" s="16">
        <f t="shared" si="167"/>
        <v>-1.26577127656888</v>
      </c>
      <c r="I1036" s="16">
        <f t="shared" si="168"/>
        <v>1.93466763089768</v>
      </c>
      <c r="J1036" s="16">
        <f t="shared" si="169"/>
        <v>-1.26883002377234</v>
      </c>
      <c r="K1036" s="15">
        <f t="shared" si="170"/>
        <v>-3.3985645810030698E-5</v>
      </c>
      <c r="L1036" s="15">
        <f t="shared" si="171"/>
        <v>3.0587472034599998E-3</v>
      </c>
      <c r="M1036" s="15">
        <f t="shared" si="172"/>
        <v>0.361426334549726</v>
      </c>
      <c r="N1036" s="15">
        <f t="shared" si="173"/>
        <v>0.23703739977594701</v>
      </c>
      <c r="O1036" s="16">
        <v>7.6024886</v>
      </c>
      <c r="P1036" s="16">
        <v>-14.739659</v>
      </c>
      <c r="Q1036" s="16">
        <v>1.177943</v>
      </c>
      <c r="R1036" s="16">
        <v>-16.640671999999999</v>
      </c>
      <c r="S1036" s="16">
        <f t="shared" si="174"/>
        <v>1.0058799508910177</v>
      </c>
      <c r="T1036" s="16">
        <f t="shared" si="175"/>
        <v>-23.234943603689008</v>
      </c>
    </row>
    <row r="1037" spans="1:20" x14ac:dyDescent="0.35">
      <c r="A1037" s="17">
        <v>3.9000000000000004</v>
      </c>
      <c r="B1037" s="17">
        <v>16.317599999999999</v>
      </c>
      <c r="C1037" s="17">
        <v>-0.16777835999999999</v>
      </c>
      <c r="D1037" s="17">
        <v>-7.6670098000000006E-2</v>
      </c>
      <c r="E1037" s="17">
        <v>0.83227392</v>
      </c>
      <c r="F1037" s="17">
        <v>-8.2840710999999997E-2</v>
      </c>
      <c r="G1037" s="17">
        <f t="shared" si="166"/>
        <v>1.93105172839885</v>
      </c>
      <c r="H1037" s="17">
        <f t="shared" si="167"/>
        <v>-1.15427484885904</v>
      </c>
      <c r="I1037" s="17">
        <f t="shared" si="168"/>
        <v>1.93108738599472</v>
      </c>
      <c r="J1037" s="17">
        <f t="shared" si="169"/>
        <v>-1.1573599646995001</v>
      </c>
      <c r="K1037" s="15">
        <f t="shared" si="170"/>
        <v>-3.5657595869986702E-5</v>
      </c>
      <c r="L1037" s="15">
        <f t="shared" si="171"/>
        <v>3.0851158404601202E-3</v>
      </c>
      <c r="M1037" s="15">
        <f t="shared" si="172"/>
        <v>0.38099175014089798</v>
      </c>
      <c r="N1037" s="15">
        <f t="shared" si="173"/>
        <v>0.22834005425742901</v>
      </c>
      <c r="O1037" s="17">
        <v>7.1880062000000002</v>
      </c>
      <c r="P1037" s="17">
        <v>-15.267801</v>
      </c>
      <c r="Q1037" s="17">
        <v>0.58478293000000003</v>
      </c>
      <c r="R1037" s="17">
        <v>-16.981363999999999</v>
      </c>
      <c r="S1037" s="17">
        <f t="shared" si="174"/>
        <v>1.0068861997288636</v>
      </c>
      <c r="T1037" s="17">
        <f t="shared" si="175"/>
        <v>-23.238526535504302</v>
      </c>
    </row>
    <row r="1038" spans="1:20" x14ac:dyDescent="0.35">
      <c r="A1038" s="16">
        <v>3.9000000000000004</v>
      </c>
      <c r="B1038" s="16">
        <v>16.366399999999999</v>
      </c>
      <c r="C1038" s="16">
        <v>-0.17371949</v>
      </c>
      <c r="D1038" s="16">
        <v>-7.1764302000000002E-2</v>
      </c>
      <c r="E1038" s="16">
        <v>0.82630384000000001</v>
      </c>
      <c r="F1038" s="16">
        <v>-7.7970699000000004E-2</v>
      </c>
      <c r="G1038" s="16">
        <f t="shared" si="166"/>
        <v>1.9274628631837301</v>
      </c>
      <c r="H1038" s="16">
        <f t="shared" si="167"/>
        <v>-1.04468154039676</v>
      </c>
      <c r="I1038" s="16">
        <f t="shared" si="168"/>
        <v>1.9274841574588799</v>
      </c>
      <c r="J1038" s="16">
        <f t="shared" si="169"/>
        <v>-1.04778463661878</v>
      </c>
      <c r="K1038" s="15">
        <f t="shared" si="170"/>
        <v>-2.1294275149852399E-5</v>
      </c>
      <c r="L1038" s="15">
        <f t="shared" si="171"/>
        <v>3.1030962220199901E-3</v>
      </c>
      <c r="M1038" s="15">
        <f t="shared" si="172"/>
        <v>0.40047060173655502</v>
      </c>
      <c r="N1038" s="15">
        <f t="shared" si="173"/>
        <v>0.21769670183449699</v>
      </c>
      <c r="O1038" s="16">
        <v>6.7277896999999998</v>
      </c>
      <c r="P1038" s="16">
        <v>-15.77308</v>
      </c>
      <c r="Q1038" s="16">
        <v>-4.2817332999999999E-2</v>
      </c>
      <c r="R1038" s="16">
        <v>-17.282416999999999</v>
      </c>
      <c r="S1038" s="16">
        <f t="shared" si="174"/>
        <v>1.0078429277168308</v>
      </c>
      <c r="T1038" s="16">
        <f t="shared" si="175"/>
        <v>-23.241953385055709</v>
      </c>
    </row>
    <row r="1039" spans="1:20" x14ac:dyDescent="0.35">
      <c r="A1039" s="17">
        <v>3.9000000000000004</v>
      </c>
      <c r="B1039" s="17">
        <v>16.415199999999999</v>
      </c>
      <c r="C1039" s="17">
        <v>-0.17937412</v>
      </c>
      <c r="D1039" s="17">
        <v>-6.6353128999999997E-2</v>
      </c>
      <c r="E1039" s="17">
        <v>0.82058074000000003</v>
      </c>
      <c r="F1039" s="17">
        <v>-7.2604436999999994E-2</v>
      </c>
      <c r="G1039" s="17">
        <f t="shared" si="166"/>
        <v>1.9235999428377899</v>
      </c>
      <c r="H1039" s="17">
        <f t="shared" si="167"/>
        <v>-0.93707388875095199</v>
      </c>
      <c r="I1039" s="17">
        <f t="shared" si="168"/>
        <v>1.9235871426073801</v>
      </c>
      <c r="J1039" s="17">
        <f t="shared" si="169"/>
        <v>-0.94019965330854705</v>
      </c>
      <c r="K1039" s="15">
        <f t="shared" si="170"/>
        <v>1.28002304098374E-5</v>
      </c>
      <c r="L1039" s="15">
        <f t="shared" si="171"/>
        <v>3.12576455759506E-3</v>
      </c>
      <c r="M1039" s="15">
        <f t="shared" si="172"/>
        <v>0.41961579280284</v>
      </c>
      <c r="N1039" s="15">
        <f t="shared" si="173"/>
        <v>0.20509734868640001</v>
      </c>
      <c r="O1039" s="17">
        <v>6.2239446999999997</v>
      </c>
      <c r="P1039" s="17">
        <v>-16.250164999999999</v>
      </c>
      <c r="Q1039" s="17">
        <v>-0.70116434000000005</v>
      </c>
      <c r="R1039" s="17">
        <v>-17.541073999999998</v>
      </c>
      <c r="S1039" s="17">
        <f t="shared" si="174"/>
        <v>1.0088372123582301</v>
      </c>
      <c r="T1039" s="17">
        <f t="shared" si="175"/>
        <v>-23.246293387543819</v>
      </c>
    </row>
    <row r="1040" spans="1:20" x14ac:dyDescent="0.35">
      <c r="A1040" s="16">
        <v>3.9000000000000004</v>
      </c>
      <c r="B1040" s="16">
        <v>16.463999999999999</v>
      </c>
      <c r="C1040" s="16">
        <v>-0.18466344000000001</v>
      </c>
      <c r="D1040" s="16">
        <v>-6.0477677000000001E-2</v>
      </c>
      <c r="E1040" s="16">
        <v>0.81528789000000002</v>
      </c>
      <c r="F1040" s="16">
        <v>-6.6779449000000005E-2</v>
      </c>
      <c r="G1040" s="16">
        <f t="shared" si="166"/>
        <v>1.9200365628534</v>
      </c>
      <c r="H1040" s="16">
        <f t="shared" si="167"/>
        <v>-0.83217210355184301</v>
      </c>
      <c r="I1040" s="16">
        <f t="shared" si="168"/>
        <v>1.9200221559700399</v>
      </c>
      <c r="J1040" s="16">
        <f t="shared" si="169"/>
        <v>-0.83532311162607198</v>
      </c>
      <c r="K1040" s="15">
        <f t="shared" si="170"/>
        <v>1.44068833600741E-5</v>
      </c>
      <c r="L1040" s="15">
        <f t="shared" si="171"/>
        <v>3.15100807422897E-3</v>
      </c>
      <c r="M1040" s="15">
        <f t="shared" si="172"/>
        <v>0.43793630660072003</v>
      </c>
      <c r="N1040" s="15">
        <f t="shared" si="173"/>
        <v>0.19052817551416401</v>
      </c>
      <c r="O1040" s="16">
        <v>5.6802846999999996</v>
      </c>
      <c r="P1040" s="16">
        <v>-16.692124</v>
      </c>
      <c r="Q1040" s="16">
        <v>-1.3834609</v>
      </c>
      <c r="R1040" s="16">
        <v>-17.751783</v>
      </c>
      <c r="S1040" s="16">
        <f t="shared" si="174"/>
        <v>1.0098378601094118</v>
      </c>
      <c r="T1040" s="16">
        <f t="shared" si="175"/>
        <v>-23.249561457754346</v>
      </c>
    </row>
    <row r="1041" spans="1:20" x14ac:dyDescent="0.35">
      <c r="A1041" s="17">
        <v>3.9000000000000004</v>
      </c>
      <c r="B1041" s="17">
        <v>16.512799999999999</v>
      </c>
      <c r="C1041" s="17">
        <v>-0.18953512</v>
      </c>
      <c r="D1041" s="17">
        <v>-5.4173618E-2</v>
      </c>
      <c r="E1041" s="17">
        <v>0.81041253999999996</v>
      </c>
      <c r="F1041" s="17">
        <v>-6.0525544000000001E-2</v>
      </c>
      <c r="G1041" s="17">
        <f t="shared" si="166"/>
        <v>1.91649726719004</v>
      </c>
      <c r="H1041" s="17">
        <f t="shared" si="167"/>
        <v>-0.72949288346807495</v>
      </c>
      <c r="I1041" s="17">
        <f t="shared" si="168"/>
        <v>1.91648118393633</v>
      </c>
      <c r="J1041" s="17">
        <f t="shared" si="169"/>
        <v>-0.73266898066635799</v>
      </c>
      <c r="K1041" s="15">
        <f t="shared" si="170"/>
        <v>1.6083253709942E-5</v>
      </c>
      <c r="L1041" s="15">
        <f t="shared" si="171"/>
        <v>3.1760971982830498E-3</v>
      </c>
      <c r="M1041" s="15">
        <f t="shared" si="172"/>
        <v>0.45525319606836401</v>
      </c>
      <c r="N1041" s="15">
        <f t="shared" si="173"/>
        <v>0.17404287498582199</v>
      </c>
      <c r="O1041" s="17">
        <v>5.1004259999999997</v>
      </c>
      <c r="P1041" s="17">
        <v>-17.094570000000001</v>
      </c>
      <c r="Q1041" s="17">
        <v>-2.0849399000000002</v>
      </c>
      <c r="R1041" s="17">
        <v>-17.911413</v>
      </c>
      <c r="S1041" s="17">
        <f t="shared" si="174"/>
        <v>1.0108247864201307</v>
      </c>
      <c r="T1041" s="17">
        <f t="shared" si="175"/>
        <v>-23.252789348304361</v>
      </c>
    </row>
    <row r="1042" spans="1:20" x14ac:dyDescent="0.35">
      <c r="A1042" s="16">
        <v>3.9000000000000004</v>
      </c>
      <c r="B1042" s="16">
        <v>16.561599999999999</v>
      </c>
      <c r="C1042" s="16">
        <v>-0.19397909999999999</v>
      </c>
      <c r="D1042" s="16">
        <v>-4.7424969999999997E-2</v>
      </c>
      <c r="E1042" s="16">
        <v>0.80603449000000005</v>
      </c>
      <c r="F1042" s="16">
        <v>-5.3906924000000002E-2</v>
      </c>
      <c r="G1042" s="16">
        <f t="shared" si="166"/>
        <v>1.9130448133415301</v>
      </c>
      <c r="H1042" s="16">
        <f t="shared" si="167"/>
        <v>-0.62867385387355201</v>
      </c>
      <c r="I1042" s="16">
        <f t="shared" si="168"/>
        <v>1.9130621119028299</v>
      </c>
      <c r="J1042" s="16">
        <f t="shared" si="169"/>
        <v>-0.63191475278740405</v>
      </c>
      <c r="K1042" s="15">
        <f t="shared" si="170"/>
        <v>-1.72985612998389E-5</v>
      </c>
      <c r="L1042" s="15">
        <f t="shared" si="171"/>
        <v>3.2408989138520399E-3</v>
      </c>
      <c r="M1042" s="15">
        <f t="shared" si="172"/>
        <v>0.47129938156684598</v>
      </c>
      <c r="N1042" s="15">
        <f t="shared" si="173"/>
        <v>0.15567765956926599</v>
      </c>
      <c r="O1042" s="16">
        <v>4.4839055999999999</v>
      </c>
      <c r="P1042" s="16">
        <v>-17.456063</v>
      </c>
      <c r="Q1042" s="16">
        <v>-2.8058613999999999</v>
      </c>
      <c r="R1042" s="16">
        <v>-18.018941999999999</v>
      </c>
      <c r="S1042" s="16">
        <f t="shared" si="174"/>
        <v>1.0118374476440783</v>
      </c>
      <c r="T1042" s="16">
        <f t="shared" si="175"/>
        <v>-23.256869588240843</v>
      </c>
    </row>
    <row r="1043" spans="1:20" x14ac:dyDescent="0.35">
      <c r="A1043" s="17">
        <v>3.9000000000000004</v>
      </c>
      <c r="B1043" s="17">
        <v>16.610399999999998</v>
      </c>
      <c r="C1043" s="17">
        <v>-0.1978695</v>
      </c>
      <c r="D1043" s="17">
        <v>-4.0403896000000002E-2</v>
      </c>
      <c r="E1043" s="17">
        <v>0.80214498000000001</v>
      </c>
      <c r="F1043" s="17">
        <v>-4.6951537000000002E-2</v>
      </c>
      <c r="G1043" s="17">
        <f t="shared" si="166"/>
        <v>1.9095827468438</v>
      </c>
      <c r="H1043" s="17">
        <f t="shared" si="167"/>
        <v>-0.53027590845641404</v>
      </c>
      <c r="I1043" s="17">
        <f t="shared" si="168"/>
        <v>1.9096007043443799</v>
      </c>
      <c r="J1043" s="17">
        <f t="shared" si="169"/>
        <v>-0.53354964646491698</v>
      </c>
      <c r="K1043" s="15">
        <f t="shared" si="170"/>
        <v>-1.79575005798682E-5</v>
      </c>
      <c r="L1043" s="15">
        <f t="shared" si="171"/>
        <v>3.2737380085029501E-3</v>
      </c>
      <c r="M1043" s="15">
        <f t="shared" si="172"/>
        <v>0.48574897749556301</v>
      </c>
      <c r="N1043" s="15">
        <f t="shared" si="173"/>
        <v>0.13572009825081899</v>
      </c>
      <c r="O1043" s="17">
        <v>3.8453411000000002</v>
      </c>
      <c r="P1043" s="17">
        <v>-17.767590999999999</v>
      </c>
      <c r="Q1043" s="17">
        <v>-3.5282912999999998</v>
      </c>
      <c r="R1043" s="17">
        <v>-18.070402000000001</v>
      </c>
      <c r="S1043" s="17">
        <f t="shared" si="174"/>
        <v>1.0128000779117796</v>
      </c>
      <c r="T1043" s="17">
        <f t="shared" si="175"/>
        <v>-23.260012241033145</v>
      </c>
    </row>
    <row r="1044" spans="1:20" x14ac:dyDescent="0.35">
      <c r="A1044" s="16">
        <v>3.9000000000000004</v>
      </c>
      <c r="B1044" s="16">
        <v>16.659199999999998</v>
      </c>
      <c r="C1044" s="16">
        <v>-0.20119794999999999</v>
      </c>
      <c r="D1044" s="16">
        <v>-3.3161872000000002E-2</v>
      </c>
      <c r="E1044" s="16">
        <v>0.79881491999999998</v>
      </c>
      <c r="F1044" s="16">
        <v>-3.9770819999999998E-2</v>
      </c>
      <c r="G1044" s="16">
        <f t="shared" si="166"/>
        <v>1.90613824142545</v>
      </c>
      <c r="H1044" s="16">
        <f t="shared" si="167"/>
        <v>-0.43446652260681901</v>
      </c>
      <c r="I1044" s="16">
        <f t="shared" si="168"/>
        <v>1.9061555956024201</v>
      </c>
      <c r="J1044" s="16">
        <f t="shared" si="169"/>
        <v>-0.437770917996607</v>
      </c>
      <c r="K1044" s="15">
        <f t="shared" si="170"/>
        <v>-1.7354176970130201E-5</v>
      </c>
      <c r="L1044" s="15">
        <f t="shared" si="171"/>
        <v>3.304395389788E-3</v>
      </c>
      <c r="M1044" s="15">
        <f t="shared" si="172"/>
        <v>0.49833188260081601</v>
      </c>
      <c r="N1044" s="15">
        <f t="shared" si="173"/>
        <v>0.114447742994554</v>
      </c>
      <c r="O1044" s="16">
        <v>3.1899677999999998</v>
      </c>
      <c r="P1044" s="16">
        <v>-18.028625000000002</v>
      </c>
      <c r="Q1044" s="16">
        <v>-4.2471329999999998</v>
      </c>
      <c r="R1044" s="16">
        <v>-18.066818999999999</v>
      </c>
      <c r="S1044" s="16">
        <f t="shared" si="174"/>
        <v>1.0136901130029503</v>
      </c>
      <c r="T1044" s="16">
        <f t="shared" si="175"/>
        <v>-23.262858407677797</v>
      </c>
    </row>
    <row r="1045" spans="1:20" x14ac:dyDescent="0.35">
      <c r="A1045" s="17">
        <v>3.9000000000000004</v>
      </c>
      <c r="B1045" s="17">
        <v>16.707999999999998</v>
      </c>
      <c r="C1045" s="17">
        <v>-0.20395389999999999</v>
      </c>
      <c r="D1045" s="17">
        <v>-2.5736189E-2</v>
      </c>
      <c r="E1045" s="17">
        <v>0.79608053000000001</v>
      </c>
      <c r="F1045" s="17">
        <v>-3.2388542999999999E-2</v>
      </c>
      <c r="G1045" s="17">
        <f t="shared" si="166"/>
        <v>1.9029277925750401</v>
      </c>
      <c r="H1045" s="17">
        <f t="shared" si="167"/>
        <v>-0.34077257143806799</v>
      </c>
      <c r="I1045" s="17">
        <f t="shared" si="168"/>
        <v>1.9029560700383901</v>
      </c>
      <c r="J1045" s="17">
        <f t="shared" si="169"/>
        <v>-0.34409859712468799</v>
      </c>
      <c r="K1045" s="15">
        <f t="shared" si="170"/>
        <v>-2.8277463349990501E-5</v>
      </c>
      <c r="L1045" s="15">
        <f t="shared" si="171"/>
        <v>3.3260256866199898E-3</v>
      </c>
      <c r="M1045" s="15">
        <f t="shared" si="172"/>
        <v>0.5088599960072</v>
      </c>
      <c r="N1045" s="15">
        <f t="shared" si="173"/>
        <v>9.2013690445003099E-2</v>
      </c>
      <c r="O1045" s="17">
        <v>2.5209027000000002</v>
      </c>
      <c r="P1045" s="17">
        <v>-18.237264</v>
      </c>
      <c r="Q1045" s="17">
        <v>-4.9586834</v>
      </c>
      <c r="R1045" s="17">
        <v>-18.009747000000001</v>
      </c>
      <c r="S1045" s="17">
        <f t="shared" si="174"/>
        <v>1.0146248731124765</v>
      </c>
      <c r="T1045" s="17">
        <f t="shared" si="175"/>
        <v>-23.264021267491028</v>
      </c>
    </row>
    <row r="1046" spans="1:20" x14ac:dyDescent="0.35">
      <c r="A1046" s="16">
        <v>3.9000000000000004</v>
      </c>
      <c r="B1046" s="16">
        <v>16.756799999999998</v>
      </c>
      <c r="C1046" s="16">
        <v>-0.20612837000000001</v>
      </c>
      <c r="D1046" s="16">
        <v>-1.8227321000000001E-2</v>
      </c>
      <c r="E1046" s="16">
        <v>0.79391098000000004</v>
      </c>
      <c r="F1046" s="16">
        <v>-2.4942257999999998E-2</v>
      </c>
      <c r="G1046" s="16">
        <f t="shared" si="166"/>
        <v>1.8995717825585501</v>
      </c>
      <c r="H1046" s="16">
        <f t="shared" si="167"/>
        <v>-0.24961878290398401</v>
      </c>
      <c r="I1046" s="16">
        <f t="shared" si="168"/>
        <v>1.89960272897378</v>
      </c>
      <c r="J1046" s="16">
        <f t="shared" si="169"/>
        <v>-0.25297608144752098</v>
      </c>
      <c r="K1046" s="15">
        <f t="shared" si="170"/>
        <v>-3.0946415229937698E-5</v>
      </c>
      <c r="L1046" s="15">
        <f t="shared" si="171"/>
        <v>3.3572985435369701E-3</v>
      </c>
      <c r="M1046" s="15">
        <f t="shared" si="172"/>
        <v>0.51725234392244501</v>
      </c>
      <c r="N1046" s="15">
        <f t="shared" si="173"/>
        <v>6.8884124606272495E-2</v>
      </c>
      <c r="O1046" s="16">
        <v>1.8470587999999999</v>
      </c>
      <c r="P1046" s="16">
        <v>-18.393608</v>
      </c>
      <c r="Q1046" s="16">
        <v>-5.6552328999999997</v>
      </c>
      <c r="R1046" s="16">
        <v>-17.900904000000001</v>
      </c>
      <c r="S1046" s="16">
        <f t="shared" si="174"/>
        <v>1.0155167847557991</v>
      </c>
      <c r="T1046" s="16">
        <f t="shared" si="175"/>
        <v>-23.266642222463595</v>
      </c>
    </row>
    <row r="1047" spans="1:20" x14ac:dyDescent="0.35">
      <c r="A1047" s="17">
        <v>3.9000000000000004</v>
      </c>
      <c r="B1047" s="17">
        <v>16.805599999999998</v>
      </c>
      <c r="C1047" s="17">
        <v>-0.20772371000000001</v>
      </c>
      <c r="D1047" s="17">
        <v>-1.0703908999999999E-2</v>
      </c>
      <c r="E1047" s="17">
        <v>0.79227272000000004</v>
      </c>
      <c r="F1047" s="17">
        <v>-1.7457690000000001E-2</v>
      </c>
      <c r="G1047" s="17">
        <f t="shared" si="166"/>
        <v>1.8960085628218899</v>
      </c>
      <c r="H1047" s="17">
        <f t="shared" si="167"/>
        <v>-0.16072679721980701</v>
      </c>
      <c r="I1047" s="17">
        <f t="shared" si="168"/>
        <v>1.8960181811391801</v>
      </c>
      <c r="J1047" s="17">
        <f t="shared" si="169"/>
        <v>-0.164103661267505</v>
      </c>
      <c r="K1047" s="15">
        <f t="shared" si="170"/>
        <v>-9.6183172901831392E-6</v>
      </c>
      <c r="L1047" s="15">
        <f t="shared" si="171"/>
        <v>3.3768640476979899E-3</v>
      </c>
      <c r="M1047" s="15">
        <f t="shared" si="172"/>
        <v>0.52349946222385202</v>
      </c>
      <c r="N1047" s="15">
        <f t="shared" si="173"/>
        <v>4.5309786201990998E-2</v>
      </c>
      <c r="O1047" s="17">
        <v>1.1749128</v>
      </c>
      <c r="P1047" s="17">
        <v>-18.497836</v>
      </c>
      <c r="Q1047" s="17">
        <v>-6.3305053999999998</v>
      </c>
      <c r="R1047" s="17">
        <v>-17.743760000000002</v>
      </c>
      <c r="S1047" s="17">
        <f t="shared" si="174"/>
        <v>1.0164073138425591</v>
      </c>
      <c r="T1047" s="17">
        <f t="shared" si="175"/>
        <v>-23.269388864119858</v>
      </c>
    </row>
    <row r="1048" spans="1:20" x14ac:dyDescent="0.35">
      <c r="A1048" s="16">
        <v>3.9000000000000004</v>
      </c>
      <c r="B1048" s="16">
        <v>16.854399999999998</v>
      </c>
      <c r="C1048" s="16">
        <v>-0.20875579</v>
      </c>
      <c r="D1048" s="16">
        <v>-3.2501816000000002E-3</v>
      </c>
      <c r="E1048" s="16">
        <v>0.79124459000000003</v>
      </c>
      <c r="F1048" s="16">
        <v>-1.0086268000000001E-2</v>
      </c>
      <c r="G1048" s="16">
        <f t="shared" si="166"/>
        <v>1.89269802387019</v>
      </c>
      <c r="H1048" s="16">
        <f t="shared" si="167"/>
        <v>-7.47205074321841E-2</v>
      </c>
      <c r="I1048" s="16">
        <f t="shared" si="168"/>
        <v>1.8927098967463201</v>
      </c>
      <c r="J1048" s="16">
        <f t="shared" si="169"/>
        <v>-7.8138509400760198E-2</v>
      </c>
      <c r="K1048" s="15">
        <f t="shared" si="170"/>
        <v>-1.1872876130025701E-5</v>
      </c>
      <c r="L1048" s="15">
        <f t="shared" si="171"/>
        <v>3.4180019685760999E-3</v>
      </c>
      <c r="M1048" s="15">
        <f t="shared" si="172"/>
        <v>0.52744403062880296</v>
      </c>
      <c r="N1048" s="15">
        <f t="shared" si="173"/>
        <v>2.1774964254433499E-2</v>
      </c>
      <c r="O1048" s="16">
        <v>0.51135465000000002</v>
      </c>
      <c r="P1048" s="16">
        <v>-18.552806</v>
      </c>
      <c r="Q1048" s="16">
        <v>-6.9788471000000003</v>
      </c>
      <c r="R1048" s="16">
        <v>-17.54271</v>
      </c>
      <c r="S1048" s="16">
        <f t="shared" si="174"/>
        <v>1.0172446304292473</v>
      </c>
      <c r="T1048" s="16">
        <f t="shared" si="175"/>
        <v>-23.272462959665905</v>
      </c>
    </row>
    <row r="1049" spans="1:20" x14ac:dyDescent="0.35">
      <c r="A1049" s="17">
        <v>3.9000000000000004</v>
      </c>
      <c r="B1049" s="17">
        <v>16.903200000000002</v>
      </c>
      <c r="C1049" s="17">
        <v>-0.2092522</v>
      </c>
      <c r="D1049" s="17">
        <v>4.0613055E-3</v>
      </c>
      <c r="E1049" s="17">
        <v>0.79078139999999997</v>
      </c>
      <c r="F1049" s="17">
        <v>-2.8321372999999999E-3</v>
      </c>
      <c r="G1049" s="17">
        <f t="shared" si="166"/>
        <v>1.8896180373742699</v>
      </c>
      <c r="H1049" s="17">
        <f t="shared" si="167"/>
        <v>8.7423147812411006E-3</v>
      </c>
      <c r="I1049" s="17">
        <f t="shared" si="168"/>
        <v>1.8896467162405901</v>
      </c>
      <c r="J1049" s="17">
        <f t="shared" si="169"/>
        <v>5.2957501315895302E-3</v>
      </c>
      <c r="K1049" s="15">
        <f t="shared" si="170"/>
        <v>-2.8678866320186499E-5</v>
      </c>
      <c r="L1049" s="15">
        <f t="shared" si="171"/>
        <v>3.44656464965157E-3</v>
      </c>
      <c r="M1049" s="15">
        <f t="shared" si="172"/>
        <v>0.52919529212306005</v>
      </c>
      <c r="N1049" s="15">
        <f t="shared" si="173"/>
        <v>-1.48307406554424E-3</v>
      </c>
      <c r="O1049" s="17">
        <v>-0.13672335999999999</v>
      </c>
      <c r="P1049" s="17">
        <v>-18.560915000000001</v>
      </c>
      <c r="Q1049" s="17">
        <v>-7.5942514000000001</v>
      </c>
      <c r="R1049" s="17">
        <v>-17.303234</v>
      </c>
      <c r="S1049" s="17">
        <f t="shared" si="174"/>
        <v>1.0180480852272438</v>
      </c>
      <c r="T1049" s="17">
        <f t="shared" si="175"/>
        <v>-23.274242807858904</v>
      </c>
    </row>
    <row r="1050" spans="1:20" x14ac:dyDescent="0.35">
      <c r="A1050" s="16">
        <v>3.9000000000000004</v>
      </c>
      <c r="B1050" s="16">
        <v>16.952000000000002</v>
      </c>
      <c r="C1050" s="16">
        <v>-0.20925551000000001</v>
      </c>
      <c r="D1050" s="16">
        <v>1.1162887E-2</v>
      </c>
      <c r="E1050" s="16">
        <v>0.79077279</v>
      </c>
      <c r="F1050" s="16">
        <v>4.2115455000000003E-3</v>
      </c>
      <c r="G1050" s="16">
        <f t="shared" si="166"/>
        <v>1.8863508933570601</v>
      </c>
      <c r="H1050" s="16">
        <f t="shared" si="167"/>
        <v>8.9409228346330402E-2</v>
      </c>
      <c r="I1050" s="16">
        <f t="shared" si="168"/>
        <v>1.8863771227852799</v>
      </c>
      <c r="J1050" s="16">
        <f t="shared" si="169"/>
        <v>8.5933697939942197E-2</v>
      </c>
      <c r="K1050" s="15">
        <f t="shared" si="170"/>
        <v>-2.62294282198372E-5</v>
      </c>
      <c r="L1050" s="15">
        <f t="shared" si="171"/>
        <v>3.4755304063882101E-3</v>
      </c>
      <c r="M1050" s="15">
        <f t="shared" si="172"/>
        <v>0.52901884670337795</v>
      </c>
      <c r="N1050" s="15">
        <f t="shared" si="173"/>
        <v>-2.4099394139185201E-2</v>
      </c>
      <c r="O1050" s="16">
        <v>-0.76366381000000005</v>
      </c>
      <c r="P1050" s="16">
        <v>-18.525592</v>
      </c>
      <c r="Q1050" s="16">
        <v>-8.1734443999999993</v>
      </c>
      <c r="R1050" s="16">
        <v>-17.030965999999999</v>
      </c>
      <c r="S1050" s="16">
        <f t="shared" si="174"/>
        <v>1.0188436731355808</v>
      </c>
      <c r="T1050" s="16">
        <f t="shared" si="175"/>
        <v>-23.276609116696154</v>
      </c>
    </row>
    <row r="1051" spans="1:20" x14ac:dyDescent="0.35">
      <c r="A1051" s="17">
        <v>3.9000000000000004</v>
      </c>
      <c r="B1051" s="17">
        <v>17</v>
      </c>
      <c r="C1051" s="17">
        <v>-0.20997864999999999</v>
      </c>
      <c r="D1051" s="17">
        <v>1.2541303E-2</v>
      </c>
      <c r="E1051" s="17">
        <v>0.79001980000000005</v>
      </c>
      <c r="F1051" s="17">
        <v>5.6027508000000004E-3</v>
      </c>
      <c r="G1051" s="17">
        <f t="shared" si="166"/>
        <v>1.87674357004601</v>
      </c>
      <c r="H1051" s="17">
        <f t="shared" si="167"/>
        <v>0.10442055054593399</v>
      </c>
      <c r="I1051" s="17">
        <f t="shared" si="168"/>
        <v>1.87675483080519</v>
      </c>
      <c r="J1051" s="17">
        <f t="shared" si="169"/>
        <v>0.100951310823956</v>
      </c>
      <c r="K1051" s="15">
        <f t="shared" si="170"/>
        <v>-1.1260759180009601E-5</v>
      </c>
      <c r="L1051" s="15">
        <f t="shared" si="171"/>
        <v>3.4692397219779898E-3</v>
      </c>
      <c r="M1051" s="15">
        <f t="shared" si="172"/>
        <v>0.53129739102791695</v>
      </c>
      <c r="N1051" s="15">
        <f t="shared" si="173"/>
        <v>-2.85786759044095E-2</v>
      </c>
      <c r="O1051" s="17">
        <v>-0.91083694999999998</v>
      </c>
      <c r="P1051" s="17">
        <v>-19.292672</v>
      </c>
      <c r="Q1051" s="17">
        <v>-8.2973350999999997</v>
      </c>
      <c r="R1051" s="17">
        <v>-17.070473</v>
      </c>
      <c r="S1051" s="17">
        <f t="shared" si="174"/>
        <v>0.98270740487940644</v>
      </c>
      <c r="T1051" s="17">
        <f t="shared" si="175"/>
        <v>-23.219682865511736</v>
      </c>
    </row>
    <row r="1052" spans="1:20" x14ac:dyDescent="0.35">
      <c r="A1052" s="16">
        <v>4.0375000000000005</v>
      </c>
      <c r="B1052" s="16">
        <v>15</v>
      </c>
      <c r="C1052" s="16">
        <v>-4.2301068999999997E-2</v>
      </c>
      <c r="D1052" s="16">
        <v>-8.1105157999999997E-2</v>
      </c>
      <c r="E1052" s="16">
        <v>0.95763098999999996</v>
      </c>
      <c r="F1052" s="16">
        <v>-8.6252626999999998E-2</v>
      </c>
      <c r="G1052" s="16">
        <f t="shared" si="166"/>
        <v>1.90694187501529</v>
      </c>
      <c r="H1052" s="16">
        <f t="shared" si="167"/>
        <v>-4.75621626187242</v>
      </c>
      <c r="I1052" s="16">
        <f t="shared" si="168"/>
        <v>1.9069145281017701</v>
      </c>
      <c r="J1052" s="16">
        <f t="shared" si="169"/>
        <v>-4.7587901541925302</v>
      </c>
      <c r="K1052" s="15">
        <f t="shared" si="170"/>
        <v>2.7346913519910002E-5</v>
      </c>
      <c r="L1052" s="15">
        <f t="shared" si="171"/>
        <v>2.5738923201101801E-3</v>
      </c>
      <c r="M1052" s="15">
        <f t="shared" si="172"/>
        <v>7.2554790978768505E-2</v>
      </c>
      <c r="N1052" s="15">
        <f t="shared" si="173"/>
        <v>0.181063713061624</v>
      </c>
      <c r="O1052" s="16">
        <v>7.8607208000000002</v>
      </c>
      <c r="P1052" s="16">
        <v>-4.0076255999999999</v>
      </c>
      <c r="Q1052" s="16">
        <v>5.5039237999999999</v>
      </c>
      <c r="R1052" s="16">
        <v>-6.5824724000000003</v>
      </c>
      <c r="S1052" s="16">
        <f t="shared" si="174"/>
        <v>0.97245449548947926</v>
      </c>
      <c r="T1052" s="16">
        <f t="shared" si="175"/>
        <v>-23.085553630608494</v>
      </c>
    </row>
    <row r="1053" spans="1:20" x14ac:dyDescent="0.35">
      <c r="A1053" s="17">
        <v>4.0375000000000005</v>
      </c>
      <c r="B1053" s="17">
        <v>15.0488</v>
      </c>
      <c r="C1053" s="17">
        <v>-4.4754849999999999E-2</v>
      </c>
      <c r="D1053" s="17">
        <v>-8.2940844E-2</v>
      </c>
      <c r="E1053" s="17">
        <v>0.95518393000000001</v>
      </c>
      <c r="F1053" s="17">
        <v>-8.8133597999999994E-2</v>
      </c>
      <c r="G1053" s="17">
        <f t="shared" si="166"/>
        <v>1.9020587729424401</v>
      </c>
      <c r="H1053" s="17">
        <f t="shared" si="167"/>
        <v>-4.5864498908223297</v>
      </c>
      <c r="I1053" s="17">
        <f t="shared" si="168"/>
        <v>1.9020349037525901</v>
      </c>
      <c r="J1053" s="17">
        <f t="shared" si="169"/>
        <v>-4.5890464092751699</v>
      </c>
      <c r="K1053" s="15">
        <f t="shared" si="170"/>
        <v>2.3869189849978801E-5</v>
      </c>
      <c r="L1053" s="15">
        <f t="shared" si="171"/>
        <v>2.59651845284026E-3</v>
      </c>
      <c r="M1053" s="15">
        <f t="shared" si="172"/>
        <v>7.7076972514774703E-2</v>
      </c>
      <c r="N1053" s="15">
        <f t="shared" si="173"/>
        <v>0.185963887023777</v>
      </c>
      <c r="O1053" s="17">
        <v>8.0071131999999992</v>
      </c>
      <c r="P1053" s="17">
        <v>-4.2251668999999996</v>
      </c>
      <c r="Q1053" s="17">
        <v>5.5638671000000004</v>
      </c>
      <c r="R1053" s="17">
        <v>-6.8462918000000004</v>
      </c>
      <c r="S1053" s="17">
        <f t="shared" si="174"/>
        <v>0.97443360598611062</v>
      </c>
      <c r="T1053" s="17">
        <f t="shared" si="175"/>
        <v>-23.080249506233308</v>
      </c>
    </row>
    <row r="1054" spans="1:20" x14ac:dyDescent="0.35">
      <c r="A1054" s="16">
        <v>4.0375000000000005</v>
      </c>
      <c r="B1054" s="16">
        <v>15.0976</v>
      </c>
      <c r="C1054" s="16">
        <v>-4.7322754000000002E-2</v>
      </c>
      <c r="D1054" s="16">
        <v>-8.4732619999999995E-2</v>
      </c>
      <c r="E1054" s="16">
        <v>0.95262018000000004</v>
      </c>
      <c r="F1054" s="16">
        <v>-8.9969074999999996E-2</v>
      </c>
      <c r="G1054" s="16">
        <f t="shared" si="166"/>
        <v>1.89819643638182</v>
      </c>
      <c r="H1054" s="16">
        <f t="shared" si="167"/>
        <v>-4.4227214574583096</v>
      </c>
      <c r="I1054" s="16">
        <f t="shared" si="168"/>
        <v>1.89817475822272</v>
      </c>
      <c r="J1054" s="16">
        <f t="shared" si="169"/>
        <v>-4.4253398164262903</v>
      </c>
      <c r="K1054" s="15">
        <f t="shared" si="170"/>
        <v>2.1678159100035899E-5</v>
      </c>
      <c r="L1054" s="15">
        <f t="shared" si="171"/>
        <v>2.6183589679806799E-3</v>
      </c>
      <c r="M1054" s="15">
        <f t="shared" si="172"/>
        <v>8.1864808968691097E-2</v>
      </c>
      <c r="N1054" s="15">
        <f t="shared" si="173"/>
        <v>0.19085682028165099</v>
      </c>
      <c r="O1054" s="16">
        <v>8.1513811999999994</v>
      </c>
      <c r="P1054" s="16">
        <v>-4.4531729000000002</v>
      </c>
      <c r="Q1054" s="16">
        <v>5.6155572999999999</v>
      </c>
      <c r="R1054" s="16">
        <v>-7.1189571999999997</v>
      </c>
      <c r="S1054" s="16">
        <f t="shared" si="174"/>
        <v>0.97617700940203878</v>
      </c>
      <c r="T1054" s="16">
        <f t="shared" si="175"/>
        <v>-23.084831853957692</v>
      </c>
    </row>
    <row r="1055" spans="1:20" x14ac:dyDescent="0.35">
      <c r="A1055" s="17">
        <v>4.0375000000000005</v>
      </c>
      <c r="B1055" s="17">
        <v>15.1464</v>
      </c>
      <c r="C1055" s="17">
        <v>-5.0031434E-2</v>
      </c>
      <c r="D1055" s="17">
        <v>-8.6506575000000002E-2</v>
      </c>
      <c r="E1055" s="17">
        <v>0.94991336000000004</v>
      </c>
      <c r="F1055" s="17">
        <v>-9.1788043999999999E-2</v>
      </c>
      <c r="G1055" s="17">
        <f t="shared" si="166"/>
        <v>1.8944577834751399</v>
      </c>
      <c r="H1055" s="17">
        <f t="shared" si="167"/>
        <v>-4.2628157242312197</v>
      </c>
      <c r="I1055" s="17">
        <f t="shared" si="168"/>
        <v>1.89443715372077</v>
      </c>
      <c r="J1055" s="17">
        <f t="shared" si="169"/>
        <v>-4.2654565861046496</v>
      </c>
      <c r="K1055" s="15">
        <f t="shared" si="170"/>
        <v>2.0629754369894099E-5</v>
      </c>
      <c r="L1055" s="15">
        <f t="shared" si="171"/>
        <v>2.6408618734299299E-3</v>
      </c>
      <c r="M1055" s="15">
        <f t="shared" si="172"/>
        <v>8.6968558444196403E-2</v>
      </c>
      <c r="N1055" s="15">
        <f t="shared" si="173"/>
        <v>0.19581573855392301</v>
      </c>
      <c r="O1055" s="17">
        <v>8.2982022999999998</v>
      </c>
      <c r="P1055" s="17">
        <v>-4.6959217000000004</v>
      </c>
      <c r="Q1055" s="17">
        <v>5.6606645999999996</v>
      </c>
      <c r="R1055" s="17">
        <v>-7.4026183000000003</v>
      </c>
      <c r="S1055" s="17">
        <f t="shared" si="174"/>
        <v>0.97735960015842005</v>
      </c>
      <c r="T1055" s="17">
        <f t="shared" si="175"/>
        <v>-23.090071031306685</v>
      </c>
    </row>
    <row r="1056" spans="1:20" x14ac:dyDescent="0.35">
      <c r="A1056" s="16">
        <v>4.0375000000000005</v>
      </c>
      <c r="B1056" s="16">
        <v>15.1952</v>
      </c>
      <c r="C1056" s="16">
        <v>-5.2898260000000003E-2</v>
      </c>
      <c r="D1056" s="16">
        <v>-8.8263350000000004E-2</v>
      </c>
      <c r="E1056" s="16">
        <v>0.94704712999999996</v>
      </c>
      <c r="F1056" s="16">
        <v>-9.3590310999999995E-2</v>
      </c>
      <c r="G1056" s="16">
        <f t="shared" si="166"/>
        <v>1.89076367336992</v>
      </c>
      <c r="H1056" s="16">
        <f t="shared" si="167"/>
        <v>-4.1060148904354303</v>
      </c>
      <c r="I1056" s="16">
        <f t="shared" si="168"/>
        <v>1.89074346228352</v>
      </c>
      <c r="J1056" s="16">
        <f t="shared" si="169"/>
        <v>-4.1086784974970403</v>
      </c>
      <c r="K1056" s="15">
        <f t="shared" si="170"/>
        <v>2.0211086400045999E-5</v>
      </c>
      <c r="L1056" s="15">
        <f t="shared" si="171"/>
        <v>2.6636070616099499E-3</v>
      </c>
      <c r="M1056" s="15">
        <f t="shared" si="172"/>
        <v>9.2429097237034505E-2</v>
      </c>
      <c r="N1056" s="15">
        <f t="shared" si="173"/>
        <v>0.200852972355232</v>
      </c>
      <c r="O1056" s="16">
        <v>8.4400849999999998</v>
      </c>
      <c r="P1056" s="16">
        <v>-4.9507596999999999</v>
      </c>
      <c r="Q1056" s="16">
        <v>5.6984966999999997</v>
      </c>
      <c r="R1056" s="16">
        <v>-7.6983423999999996</v>
      </c>
      <c r="S1056" s="16">
        <f t="shared" si="174"/>
        <v>0.97884717723548975</v>
      </c>
      <c r="T1056" s="16">
        <f t="shared" si="175"/>
        <v>-23.095366761893047</v>
      </c>
    </row>
    <row r="1057" spans="1:20" x14ac:dyDescent="0.35">
      <c r="A1057" s="17">
        <v>4.0375000000000005</v>
      </c>
      <c r="B1057" s="17">
        <v>15.244</v>
      </c>
      <c r="C1057" s="17">
        <v>-5.5935972E-2</v>
      </c>
      <c r="D1057" s="17">
        <v>-8.9996848000000004E-2</v>
      </c>
      <c r="E1057" s="17">
        <v>0.94400930999999999</v>
      </c>
      <c r="F1057" s="17">
        <v>-9.5369708999999997E-2</v>
      </c>
      <c r="G1057" s="17">
        <f t="shared" si="166"/>
        <v>1.88709962233755</v>
      </c>
      <c r="H1057" s="17">
        <f t="shared" si="167"/>
        <v>-3.9520183547818899</v>
      </c>
      <c r="I1057" s="17">
        <f t="shared" si="168"/>
        <v>1.8870794800381301</v>
      </c>
      <c r="J1057" s="17">
        <f t="shared" si="169"/>
        <v>-3.9547049128943201</v>
      </c>
      <c r="K1057" s="15">
        <f t="shared" si="170"/>
        <v>2.0142299419934099E-5</v>
      </c>
      <c r="L1057" s="15">
        <f t="shared" si="171"/>
        <v>2.6865581124302399E-3</v>
      </c>
      <c r="M1057" s="15">
        <f t="shared" si="172"/>
        <v>9.8281499726148802E-2</v>
      </c>
      <c r="N1057" s="15">
        <f t="shared" si="173"/>
        <v>0.205966062333404</v>
      </c>
      <c r="O1057" s="17">
        <v>8.5779362999999993</v>
      </c>
      <c r="P1057" s="17">
        <v>-5.2194710999999998</v>
      </c>
      <c r="Q1057" s="17">
        <v>5.7276951</v>
      </c>
      <c r="R1057" s="17">
        <v>-8.0065416000000003</v>
      </c>
      <c r="S1057" s="17">
        <f t="shared" si="174"/>
        <v>0.98040451712022791</v>
      </c>
      <c r="T1057" s="17">
        <f t="shared" si="175"/>
        <v>-23.101421592788462</v>
      </c>
    </row>
    <row r="1058" spans="1:20" x14ac:dyDescent="0.35">
      <c r="A1058" s="16">
        <v>4.0375000000000005</v>
      </c>
      <c r="B1058" s="16">
        <v>15.2928</v>
      </c>
      <c r="C1058" s="16">
        <v>-5.9155502999999998E-2</v>
      </c>
      <c r="D1058" s="16">
        <v>-9.1697938000000007E-2</v>
      </c>
      <c r="E1058" s="16">
        <v>0.94078927999999995</v>
      </c>
      <c r="F1058" s="16">
        <v>-9.7117139000000005E-2</v>
      </c>
      <c r="G1058" s="16">
        <f t="shared" si="166"/>
        <v>1.88346121168442</v>
      </c>
      <c r="H1058" s="16">
        <f t="shared" si="167"/>
        <v>-3.8006714855505401</v>
      </c>
      <c r="I1058" s="16">
        <f t="shared" si="168"/>
        <v>1.8834409449112599</v>
      </c>
      <c r="J1058" s="16">
        <f t="shared" si="169"/>
        <v>-3.8033812157769802</v>
      </c>
      <c r="K1058" s="15">
        <f t="shared" si="170"/>
        <v>2.0266773160137999E-5</v>
      </c>
      <c r="L1058" s="15">
        <f t="shared" si="171"/>
        <v>2.7097302264400499E-3</v>
      </c>
      <c r="M1058" s="15">
        <f t="shared" si="172"/>
        <v>0.104559753054666</v>
      </c>
      <c r="N1058" s="15">
        <f t="shared" si="173"/>
        <v>0.21114577644117999</v>
      </c>
      <c r="O1058" s="16">
        <v>8.7134841999999999</v>
      </c>
      <c r="P1058" s="16">
        <v>-5.5044810999999996</v>
      </c>
      <c r="Q1058" s="16">
        <v>5.7478693999999999</v>
      </c>
      <c r="R1058" s="16">
        <v>-8.3282735999999993</v>
      </c>
      <c r="S1058" s="16">
        <f t="shared" si="174"/>
        <v>0.98182587426822243</v>
      </c>
      <c r="T1058" s="16">
        <f t="shared" si="175"/>
        <v>-23.106567674984213</v>
      </c>
    </row>
    <row r="1059" spans="1:20" x14ac:dyDescent="0.35">
      <c r="A1059" s="17">
        <v>4.0375000000000005</v>
      </c>
      <c r="B1059" s="17">
        <v>15.3416</v>
      </c>
      <c r="C1059" s="17">
        <v>-6.2566943999999999E-2</v>
      </c>
      <c r="D1059" s="17">
        <v>-9.3355363999999996E-2</v>
      </c>
      <c r="E1059" s="17">
        <v>0.93737711999999995</v>
      </c>
      <c r="F1059" s="17">
        <v>-9.8821372000000005E-2</v>
      </c>
      <c r="G1059" s="17">
        <f t="shared" si="166"/>
        <v>1.87984630980949</v>
      </c>
      <c r="H1059" s="17">
        <f t="shared" si="167"/>
        <v>-3.6518786531603</v>
      </c>
      <c r="I1059" s="17">
        <f t="shared" si="168"/>
        <v>1.87982581090907</v>
      </c>
      <c r="J1059" s="17">
        <f t="shared" si="169"/>
        <v>-3.65461178962425</v>
      </c>
      <c r="K1059" s="15">
        <f t="shared" si="170"/>
        <v>2.0498900419996199E-5</v>
      </c>
      <c r="L1059" s="15">
        <f t="shared" si="171"/>
        <v>2.7331364639500101E-3</v>
      </c>
      <c r="M1059" s="15">
        <f t="shared" si="172"/>
        <v>0.111298598776449</v>
      </c>
      <c r="N1059" s="15">
        <f t="shared" si="173"/>
        <v>0.21637811806635801</v>
      </c>
      <c r="O1059" s="17">
        <v>8.8471656000000003</v>
      </c>
      <c r="P1059" s="17">
        <v>-5.8076467999999997</v>
      </c>
      <c r="Q1059" s="17">
        <v>5.7576850000000004</v>
      </c>
      <c r="R1059" s="17">
        <v>-8.6638698999999999</v>
      </c>
      <c r="S1059" s="17">
        <f t="shared" si="174"/>
        <v>0.98294616783118538</v>
      </c>
      <c r="T1059" s="17">
        <f t="shared" si="175"/>
        <v>-23.110911863986239</v>
      </c>
    </row>
    <row r="1060" spans="1:20" x14ac:dyDescent="0.35">
      <c r="A1060" s="16">
        <v>4.0375000000000005</v>
      </c>
      <c r="B1060" s="16">
        <v>15.3904</v>
      </c>
      <c r="C1060" s="16">
        <v>-6.6179815000000003E-2</v>
      </c>
      <c r="D1060" s="16">
        <v>-9.4955940000000003E-2</v>
      </c>
      <c r="E1060" s="16">
        <v>0.93376340999999996</v>
      </c>
      <c r="F1060" s="16">
        <v>-0.10046924</v>
      </c>
      <c r="G1060" s="16">
        <f t="shared" si="166"/>
        <v>1.8762536388495401</v>
      </c>
      <c r="H1060" s="16">
        <f t="shared" si="167"/>
        <v>-3.5055720019978298</v>
      </c>
      <c r="I1060" s="16">
        <f t="shared" si="168"/>
        <v>1.87623285025233</v>
      </c>
      <c r="J1060" s="16">
        <f t="shared" si="169"/>
        <v>-3.5083287875629598</v>
      </c>
      <c r="K1060" s="15">
        <f t="shared" si="170"/>
        <v>2.0788597210108499E-5</v>
      </c>
      <c r="L1060" s="15">
        <f t="shared" si="171"/>
        <v>2.7567855651300399E-3</v>
      </c>
      <c r="M1060" s="15">
        <f t="shared" si="172"/>
        <v>0.11853419820022799</v>
      </c>
      <c r="N1060" s="15">
        <f t="shared" si="173"/>
        <v>0.221644632115158</v>
      </c>
      <c r="O1060" s="16">
        <v>8.9725579999999994</v>
      </c>
      <c r="P1060" s="16">
        <v>-6.1263525000000003</v>
      </c>
      <c r="Q1060" s="16">
        <v>5.7552194999999999</v>
      </c>
      <c r="R1060" s="16">
        <v>-9.0133191999999998</v>
      </c>
      <c r="S1060" s="16">
        <f t="shared" si="174"/>
        <v>0.98430349179314947</v>
      </c>
      <c r="T1060" s="16">
        <f t="shared" si="175"/>
        <v>-23.116015146352609</v>
      </c>
    </row>
    <row r="1061" spans="1:20" x14ac:dyDescent="0.35">
      <c r="A1061" s="17">
        <v>4.0375000000000005</v>
      </c>
      <c r="B1061" s="17">
        <v>15.4392</v>
      </c>
      <c r="C1061" s="17">
        <v>-7.0003056999999994E-2</v>
      </c>
      <c r="D1061" s="17">
        <v>-9.6484539999999994E-2</v>
      </c>
      <c r="E1061" s="17">
        <v>0.92993926999999998</v>
      </c>
      <c r="F1061" s="17">
        <v>-0.10204564000000001</v>
      </c>
      <c r="G1061" s="17">
        <f t="shared" ref="G1061:G1124" si="176">IMREAL(IMDIV(IMSUM(IMPRODUCT(COMPLEX(1 + C1061,D1061),COMPLEX(1 - C1061, - D1061)),IMPRODUCT(COMPLEX(E1061,F1061),COMPLEX(E1061,F1061))),IMSUB(IMPRODUCT(COMPLEX(1 - C1061, - D1061),COMPLEX(1 - C1061, - D1061)),IMPRODUCT(COMPLEX(E1061,F1061),COMPLEX(E1061,F1061)))))</f>
        <v>1.8726822785822801</v>
      </c>
      <c r="H1061" s="17">
        <f t="shared" ref="H1061:H1124" si="177">IMAGINARY(IMDIV(IMSUM(IMPRODUCT(COMPLEX(1 + C1061,D1061),COMPLEX(1 - C1061, - D1061)),IMPRODUCT(COMPLEX(E1061,F1061),COMPLEX(E1061,F1061))),IMSUB(IMPRODUCT(COMPLEX(1 - C1061, - D1061),COMPLEX(1 - C1061, - D1061)),IMPRODUCT(COMPLEX(E1061,F1061),COMPLEX(E1061,F1061)))))</f>
        <v>-3.3616983947966501</v>
      </c>
      <c r="I1061" s="17">
        <f t="shared" ref="I1061:I1124" si="178">IMREAL(IMDIV(IMPRODUCT(COMPLEX(2,0),COMPLEX(E1061,F1061)),IMSUB(IMPRODUCT(COMPLEX(1 - C1061, - D1061),COMPLEX(1 - C1061, - D1061)),IMPRODUCT(COMPLEX(E1061,F1061),COMPLEX(E1061,F1061)))))</f>
        <v>1.87266117331812</v>
      </c>
      <c r="J1061" s="17">
        <f t="shared" ref="J1061:J1124" si="179">IMAGINARY(IMDIV(IMPRODUCT(COMPLEX(2,0),COMPLEX(E1061,F1061)),IMSUB(IMPRODUCT(COMPLEX(1 - C1061, - D1061),COMPLEX(1 - C1061, - D1061)),IMPRODUCT(COMPLEX(E1061,F1061),COMPLEX(E1061,F1061)))))</f>
        <v>-3.3644790836662302</v>
      </c>
      <c r="K1061" s="15">
        <f t="shared" ref="K1061:K1124" si="180">IMREAL(IMSUB(COMPLEX(G1061,H1061),COMPLEX(I1061,J1061)))</f>
        <v>2.1105264160103899E-5</v>
      </c>
      <c r="L1061" s="15">
        <f t="shared" ref="L1061:L1124" si="181">IMAGINARY(IMSUB(COMPLEX(G1061,H1061),COMPLEX(I1061,J1061)))</f>
        <v>2.7806888695800498E-3</v>
      </c>
      <c r="M1061" s="15">
        <f t="shared" ref="M1061:M1124" si="182">IMREAL(IMDIV(IMSUB(IMPRODUCT(COMPLEX(1 - C1061, - D1061),COMPLEX(1 - C1061, - D1061)),IMPRODUCT(COMPLEX(E1061,F1061),COMPLEX(E1061,F1061))),IMPRODUCT(COMPLEX(2,0),COMPLEX(E1061,F1061))))</f>
        <v>0.12630432994823601</v>
      </c>
      <c r="N1061" s="15">
        <f t="shared" ref="N1061:N1124" si="183">IMAGINARY(IMDIV(IMSUB(IMPRODUCT(COMPLEX(1 - C1061, - D1061),COMPLEX(1 - C1061, - D1061)),IMPRODUCT(COMPLEX(E1061,F1061),COMPLEX(E1061,F1061))),IMPRODUCT(COMPLEX(2,0),COMPLEX(E1061,F1061))))</f>
        <v>0.22692213751319601</v>
      </c>
      <c r="O1061" s="17">
        <v>9.0908028000000005</v>
      </c>
      <c r="P1061" s="17">
        <v>-6.4628734000000003</v>
      </c>
      <c r="Q1061" s="17">
        <v>5.7388925000000004</v>
      </c>
      <c r="R1061" s="17">
        <v>-9.3765759000000006</v>
      </c>
      <c r="S1061" s="17">
        <f t="shared" ref="S1061:S1124" si="184">IMABS(COMPLEX(Q1061,R1061))/IMABS(COMPLEX(O1061,P1061))</f>
        <v>0.9856036118808742</v>
      </c>
      <c r="T1061" s="17">
        <f t="shared" ref="T1061:T1124" si="185">IMARGUMENT(IMDIV(COMPLEX(Q1061,R1061),COMPLEX(O1061/B1061,P1061/B1061)))/PI()*180</f>
        <v>-23.121515704614648</v>
      </c>
    </row>
    <row r="1062" spans="1:20" x14ac:dyDescent="0.35">
      <c r="A1062" s="16">
        <v>4.0375000000000005</v>
      </c>
      <c r="B1062" s="16">
        <v>15.488</v>
      </c>
      <c r="C1062" s="16">
        <v>-7.4044885000000005E-2</v>
      </c>
      <c r="D1062" s="16">
        <v>-9.7924025999999997E-2</v>
      </c>
      <c r="E1062" s="16">
        <v>0.92589653000000005</v>
      </c>
      <c r="F1062" s="16">
        <v>-0.10353344</v>
      </c>
      <c r="G1062" s="16">
        <f t="shared" si="176"/>
        <v>1.86913176509538</v>
      </c>
      <c r="H1062" s="16">
        <f t="shared" si="177"/>
        <v>-3.2202136626207398</v>
      </c>
      <c r="I1062" s="16">
        <f t="shared" si="178"/>
        <v>1.8691103387480801</v>
      </c>
      <c r="J1062" s="16">
        <f t="shared" si="179"/>
        <v>-3.2230185118764001</v>
      </c>
      <c r="K1062" s="15">
        <f t="shared" si="180"/>
        <v>2.1426347299957599E-5</v>
      </c>
      <c r="L1062" s="15">
        <f t="shared" si="181"/>
        <v>2.8048492556602702E-3</v>
      </c>
      <c r="M1062" s="15">
        <f t="shared" si="182"/>
        <v>0.13464833556106001</v>
      </c>
      <c r="N1062" s="15">
        <f t="shared" si="183"/>
        <v>0.232182161272147</v>
      </c>
      <c r="O1062" s="16">
        <v>9.1995749</v>
      </c>
      <c r="P1062" s="16">
        <v>-6.8172345999999999</v>
      </c>
      <c r="Q1062" s="16">
        <v>5.7078319999999998</v>
      </c>
      <c r="R1062" s="16">
        <v>-9.7545362000000004</v>
      </c>
      <c r="S1062" s="16">
        <f t="shared" si="184"/>
        <v>0.987038940291315</v>
      </c>
      <c r="T1062" s="16">
        <f t="shared" si="185"/>
        <v>-23.126264440870337</v>
      </c>
    </row>
    <row r="1063" spans="1:20" x14ac:dyDescent="0.35">
      <c r="A1063" s="17">
        <v>4.0375000000000005</v>
      </c>
      <c r="B1063" s="17">
        <v>15.536799999999999</v>
      </c>
      <c r="C1063" s="17">
        <v>-7.8312554000000006E-2</v>
      </c>
      <c r="D1063" s="17">
        <v>-9.9255157999999996E-2</v>
      </c>
      <c r="E1063" s="17">
        <v>0.92162796999999996</v>
      </c>
      <c r="F1063" s="17">
        <v>-0.10491341</v>
      </c>
      <c r="G1063" s="17">
        <f t="shared" si="176"/>
        <v>1.8656016882000299</v>
      </c>
      <c r="H1063" s="17">
        <f t="shared" si="177"/>
        <v>-3.0810793663393299</v>
      </c>
      <c r="I1063" s="17">
        <f t="shared" si="178"/>
        <v>1.8655799539196201</v>
      </c>
      <c r="J1063" s="17">
        <f t="shared" si="179"/>
        <v>-3.0839086379652398</v>
      </c>
      <c r="K1063" s="15">
        <f t="shared" si="180"/>
        <v>2.17342804098575E-5</v>
      </c>
      <c r="L1063" s="15">
        <f t="shared" si="181"/>
        <v>2.8292716259099601E-3</v>
      </c>
      <c r="M1063" s="15">
        <f t="shared" si="182"/>
        <v>0.14360688443556499</v>
      </c>
      <c r="N1063" s="15">
        <f t="shared" si="183"/>
        <v>0.237390260573735</v>
      </c>
      <c r="O1063" s="17">
        <v>9.2987631000000004</v>
      </c>
      <c r="P1063" s="17">
        <v>-7.1911224000000002</v>
      </c>
      <c r="Q1063" s="17">
        <v>5.6597153999999996</v>
      </c>
      <c r="R1063" s="17">
        <v>-10.146286999999999</v>
      </c>
      <c r="S1063" s="17">
        <f t="shared" si="184"/>
        <v>0.98835404157691054</v>
      </c>
      <c r="T1063" s="17">
        <f t="shared" si="185"/>
        <v>-23.13043936945418</v>
      </c>
    </row>
    <row r="1064" spans="1:20" x14ac:dyDescent="0.35">
      <c r="A1064" s="16">
        <v>4.0375000000000005</v>
      </c>
      <c r="B1064" s="16">
        <v>15.585599999999999</v>
      </c>
      <c r="C1064" s="16">
        <v>-8.2812062000000006E-2</v>
      </c>
      <c r="D1064" s="16">
        <v>-0.10045651</v>
      </c>
      <c r="E1064" s="16">
        <v>0.91712760000000004</v>
      </c>
      <c r="F1064" s="16">
        <v>-0.10616415</v>
      </c>
      <c r="G1064" s="16">
        <f t="shared" si="176"/>
        <v>1.86209172192601</v>
      </c>
      <c r="H1064" s="16">
        <f t="shared" si="177"/>
        <v>-2.9442606754783398</v>
      </c>
      <c r="I1064" s="16">
        <f t="shared" si="178"/>
        <v>1.86206969697522</v>
      </c>
      <c r="J1064" s="16">
        <f t="shared" si="179"/>
        <v>-2.9471146444349698</v>
      </c>
      <c r="K1064" s="15">
        <f t="shared" si="180"/>
        <v>2.20249507900672E-5</v>
      </c>
      <c r="L1064" s="15">
        <f t="shared" si="181"/>
        <v>2.8539689566300401E-3</v>
      </c>
      <c r="M1064" s="15">
        <f t="shared" si="182"/>
        <v>0.15322160260553699</v>
      </c>
      <c r="N1064" s="15">
        <f t="shared" si="183"/>
        <v>0.242505223953808</v>
      </c>
      <c r="O1064" s="16">
        <v>9.3872052000000004</v>
      </c>
      <c r="P1064" s="16">
        <v>-7.5856089999999998</v>
      </c>
      <c r="Q1064" s="16">
        <v>5.5924487000000003</v>
      </c>
      <c r="R1064" s="16">
        <v>-10.551627</v>
      </c>
      <c r="S1064" s="16">
        <f t="shared" si="184"/>
        <v>0.98947936968490569</v>
      </c>
      <c r="T1064" s="16">
        <f t="shared" si="185"/>
        <v>-23.135073741870254</v>
      </c>
    </row>
    <row r="1065" spans="1:20" x14ac:dyDescent="0.35">
      <c r="A1065" s="17">
        <v>4.0375000000000005</v>
      </c>
      <c r="B1065" s="17">
        <v>15.634399999999999</v>
      </c>
      <c r="C1065" s="17">
        <v>-8.7547780000000006E-2</v>
      </c>
      <c r="D1065" s="17">
        <v>-0.10150444</v>
      </c>
      <c r="E1065" s="17">
        <v>0.91239106000000003</v>
      </c>
      <c r="F1065" s="17">
        <v>-0.10726201</v>
      </c>
      <c r="G1065" s="17">
        <f t="shared" si="176"/>
        <v>1.8586014999623199</v>
      </c>
      <c r="H1065" s="17">
        <f t="shared" si="177"/>
        <v>-2.8097260699645101</v>
      </c>
      <c r="I1065" s="17">
        <f t="shared" si="178"/>
        <v>1.8585792071218701</v>
      </c>
      <c r="J1065" s="17">
        <f t="shared" si="179"/>
        <v>-2.8126050071786999</v>
      </c>
      <c r="K1065" s="15">
        <f t="shared" si="180"/>
        <v>2.2292840449855699E-5</v>
      </c>
      <c r="L1065" s="15">
        <f t="shared" si="181"/>
        <v>2.87893721418975E-3</v>
      </c>
      <c r="M1065" s="15">
        <f t="shared" si="182"/>
        <v>0.16353443088951999</v>
      </c>
      <c r="N1065" s="15">
        <f t="shared" si="183"/>
        <v>0.24747815826383601</v>
      </c>
      <c r="O1065" s="17">
        <v>9.4598376000000002</v>
      </c>
      <c r="P1065" s="17">
        <v>-7.9985780000000002</v>
      </c>
      <c r="Q1065" s="17">
        <v>5.5039056000000004</v>
      </c>
      <c r="R1065" s="17">
        <v>-10.969846</v>
      </c>
      <c r="S1065" s="17">
        <f t="shared" si="184"/>
        <v>0.99071943857149969</v>
      </c>
      <c r="T1065" s="17">
        <f t="shared" si="185"/>
        <v>-23.140159193455585</v>
      </c>
    </row>
    <row r="1066" spans="1:20" x14ac:dyDescent="0.35">
      <c r="A1066" s="16">
        <v>4.0375000000000005</v>
      </c>
      <c r="B1066" s="16">
        <v>15.683199999999999</v>
      </c>
      <c r="C1066" s="16">
        <v>-9.2522037000000001E-2</v>
      </c>
      <c r="D1066" s="16">
        <v>-0.10237304</v>
      </c>
      <c r="E1066" s="16">
        <v>0.90741607999999996</v>
      </c>
      <c r="F1066" s="16">
        <v>-0.1081811</v>
      </c>
      <c r="G1066" s="16">
        <f t="shared" si="176"/>
        <v>1.8551309390377</v>
      </c>
      <c r="H1066" s="16">
        <f t="shared" si="177"/>
        <v>-2.6774471058761899</v>
      </c>
      <c r="I1066" s="16">
        <f t="shared" si="178"/>
        <v>1.85510843068227</v>
      </c>
      <c r="J1066" s="16">
        <f t="shared" si="179"/>
        <v>-2.6803512911009699</v>
      </c>
      <c r="K1066" s="15">
        <f t="shared" si="180"/>
        <v>2.25083554299399E-5</v>
      </c>
      <c r="L1066" s="15">
        <f t="shared" si="181"/>
        <v>2.9041852247799799E-3</v>
      </c>
      <c r="M1066" s="15">
        <f t="shared" si="182"/>
        <v>0.17458676855413499</v>
      </c>
      <c r="N1066" s="15">
        <f t="shared" si="183"/>
        <v>0.252251492561607</v>
      </c>
      <c r="O1066" s="16">
        <v>9.5159555000000005</v>
      </c>
      <c r="P1066" s="16">
        <v>-8.4313053</v>
      </c>
      <c r="Q1066" s="16">
        <v>5.3927281000000002</v>
      </c>
      <c r="R1066" s="16">
        <v>-11.401215000000001</v>
      </c>
      <c r="S1066" s="16">
        <f t="shared" si="184"/>
        <v>0.99201497304204678</v>
      </c>
      <c r="T1066" s="16">
        <f t="shared" si="185"/>
        <v>-23.144529922689593</v>
      </c>
    </row>
    <row r="1067" spans="1:20" x14ac:dyDescent="0.35">
      <c r="A1067" s="17">
        <v>4.0375000000000005</v>
      </c>
      <c r="B1067" s="17">
        <v>15.731999999999999</v>
      </c>
      <c r="C1067" s="17">
        <v>-9.7734635E-2</v>
      </c>
      <c r="D1067" s="17">
        <v>-0.10303421</v>
      </c>
      <c r="E1067" s="17">
        <v>0.90220270999999996</v>
      </c>
      <c r="F1067" s="17">
        <v>-0.10889345</v>
      </c>
      <c r="G1067" s="17">
        <f t="shared" si="176"/>
        <v>1.85167913749962</v>
      </c>
      <c r="H1067" s="17">
        <f t="shared" si="177"/>
        <v>-2.5473948252644001</v>
      </c>
      <c r="I1067" s="17">
        <f t="shared" si="178"/>
        <v>1.85165639242453</v>
      </c>
      <c r="J1067" s="17">
        <f t="shared" si="179"/>
        <v>-2.5503246036814602</v>
      </c>
      <c r="K1067" s="15">
        <f t="shared" si="180"/>
        <v>2.2745075090035999E-5</v>
      </c>
      <c r="L1067" s="15">
        <f t="shared" si="181"/>
        <v>2.9297784170601001E-3</v>
      </c>
      <c r="M1067" s="15">
        <f t="shared" si="182"/>
        <v>0.186418615057342</v>
      </c>
      <c r="N1067" s="15">
        <f t="shared" si="183"/>
        <v>0.25675820984391501</v>
      </c>
      <c r="O1067" s="17">
        <v>9.5535146999999991</v>
      </c>
      <c r="P1067" s="17">
        <v>-8.8840088000000002</v>
      </c>
      <c r="Q1067" s="17">
        <v>5.2559752</v>
      </c>
      <c r="R1067" s="17">
        <v>-11.843202</v>
      </c>
      <c r="S1067" s="17">
        <f t="shared" si="184"/>
        <v>0.9931947913332847</v>
      </c>
      <c r="T1067" s="17">
        <f t="shared" si="185"/>
        <v>-23.148123309096658</v>
      </c>
    </row>
    <row r="1068" spans="1:20" x14ac:dyDescent="0.35">
      <c r="A1068" s="16">
        <v>4.0375000000000005</v>
      </c>
      <c r="B1068" s="16">
        <v>15.780799999999999</v>
      </c>
      <c r="C1068" s="16">
        <v>-0.10318231999999999</v>
      </c>
      <c r="D1068" s="16">
        <v>-0.10345785</v>
      </c>
      <c r="E1068" s="16">
        <v>0.89675433999999998</v>
      </c>
      <c r="F1068" s="16">
        <v>-0.10936882000000001</v>
      </c>
      <c r="G1068" s="16">
        <f t="shared" si="176"/>
        <v>1.8482468826348</v>
      </c>
      <c r="H1068" s="16">
        <f t="shared" si="177"/>
        <v>-2.4195463215991801</v>
      </c>
      <c r="I1068" s="16">
        <f t="shared" si="178"/>
        <v>1.8482239472770099</v>
      </c>
      <c r="J1068" s="16">
        <f t="shared" si="179"/>
        <v>-2.4225019679896098</v>
      </c>
      <c r="K1068" s="15">
        <f t="shared" si="180"/>
        <v>2.2935357790077001E-5</v>
      </c>
      <c r="L1068" s="15">
        <f t="shared" si="181"/>
        <v>2.9556463904296701E-3</v>
      </c>
      <c r="M1068" s="15">
        <f t="shared" si="182"/>
        <v>0.199066658352898</v>
      </c>
      <c r="N1068" s="15">
        <f t="shared" si="183"/>
        <v>0.26092042164668</v>
      </c>
      <c r="O1068" s="16">
        <v>9.5690297999999991</v>
      </c>
      <c r="P1068" s="16">
        <v>-9.3554299000000007</v>
      </c>
      <c r="Q1068" s="16">
        <v>5.0912825000000002</v>
      </c>
      <c r="R1068" s="16">
        <v>-12.295405000000001</v>
      </c>
      <c r="S1068" s="16">
        <f t="shared" si="184"/>
        <v>0.99442228622812534</v>
      </c>
      <c r="T1068" s="16">
        <f t="shared" si="185"/>
        <v>-23.153195973582374</v>
      </c>
    </row>
    <row r="1069" spans="1:20" x14ac:dyDescent="0.35">
      <c r="A1069" s="17">
        <v>4.0375000000000005</v>
      </c>
      <c r="B1069" s="17">
        <v>15.829599999999999</v>
      </c>
      <c r="C1069" s="17">
        <v>-0.10884583</v>
      </c>
      <c r="D1069" s="17">
        <v>-0.10361196</v>
      </c>
      <c r="E1069" s="17">
        <v>0.89108904</v>
      </c>
      <c r="F1069" s="17">
        <v>-0.10957531</v>
      </c>
      <c r="G1069" s="17">
        <f t="shared" si="176"/>
        <v>1.84484029834703</v>
      </c>
      <c r="H1069" s="17">
        <f t="shared" si="177"/>
        <v>-2.2941324582888898</v>
      </c>
      <c r="I1069" s="17">
        <f t="shared" si="178"/>
        <v>1.8448166234618699</v>
      </c>
      <c r="J1069" s="17">
        <f t="shared" si="179"/>
        <v>-2.2971143009834099</v>
      </c>
      <c r="K1069" s="15">
        <f t="shared" si="180"/>
        <v>2.36748851600854E-5</v>
      </c>
      <c r="L1069" s="15">
        <f t="shared" si="181"/>
        <v>2.9818426945200601E-3</v>
      </c>
      <c r="M1069" s="15">
        <f t="shared" si="182"/>
        <v>0.21253445764378501</v>
      </c>
      <c r="N1069" s="15">
        <f t="shared" si="183"/>
        <v>0.26464198983047599</v>
      </c>
      <c r="O1069" s="17">
        <v>9.5609824999999997</v>
      </c>
      <c r="P1069" s="17">
        <v>-9.8449036000000003</v>
      </c>
      <c r="Q1069" s="17">
        <v>4.8973342000000004</v>
      </c>
      <c r="R1069" s="17">
        <v>-12.754948000000001</v>
      </c>
      <c r="S1069" s="17">
        <f t="shared" si="184"/>
        <v>0.99557804057819477</v>
      </c>
      <c r="T1069" s="17">
        <f t="shared" si="185"/>
        <v>-23.157209921318042</v>
      </c>
    </row>
    <row r="1070" spans="1:20" x14ac:dyDescent="0.35">
      <c r="A1070" s="16">
        <v>4.0375000000000005</v>
      </c>
      <c r="B1070" s="16">
        <v>15.878399999999999</v>
      </c>
      <c r="C1070" s="16">
        <v>-0.11476281000000001</v>
      </c>
      <c r="D1070" s="16">
        <v>-0.10345927000000001</v>
      </c>
      <c r="E1070" s="16">
        <v>0.88527124000000001</v>
      </c>
      <c r="F1070" s="16">
        <v>-0.10945768</v>
      </c>
      <c r="G1070" s="16">
        <f t="shared" si="176"/>
        <v>1.8417375062925601</v>
      </c>
      <c r="H1070" s="16">
        <f t="shared" si="177"/>
        <v>-2.1711222168523499</v>
      </c>
      <c r="I1070" s="16">
        <f t="shared" si="178"/>
        <v>1.84176352569303</v>
      </c>
      <c r="J1070" s="16">
        <f t="shared" si="179"/>
        <v>-2.17412129275557</v>
      </c>
      <c r="K1070" s="15">
        <f t="shared" si="180"/>
        <v>-2.6019400469978701E-5</v>
      </c>
      <c r="L1070" s="15">
        <f t="shared" si="181"/>
        <v>2.9990759032201301E-3</v>
      </c>
      <c r="M1070" s="15">
        <f t="shared" si="182"/>
        <v>0.226849002885742</v>
      </c>
      <c r="N1070" s="15">
        <f t="shared" si="183"/>
        <v>0.26778532669044802</v>
      </c>
      <c r="O1070" s="16">
        <v>9.5253899000000004</v>
      </c>
      <c r="P1070" s="16">
        <v>-10.355219999999999</v>
      </c>
      <c r="Q1070" s="16">
        <v>4.6682186000000003</v>
      </c>
      <c r="R1070" s="16">
        <v>-13.223444000000001</v>
      </c>
      <c r="S1070" s="16">
        <f t="shared" si="184"/>
        <v>0.99668101015040278</v>
      </c>
      <c r="T1070" s="16">
        <f t="shared" si="185"/>
        <v>-23.16547012524731</v>
      </c>
    </row>
    <row r="1071" spans="1:20" x14ac:dyDescent="0.35">
      <c r="A1071" s="17">
        <v>4.0375000000000005</v>
      </c>
      <c r="B1071" s="17">
        <v>15.927199999999999</v>
      </c>
      <c r="C1071" s="17">
        <v>-0.12085851</v>
      </c>
      <c r="D1071" s="17">
        <v>-0.10297293</v>
      </c>
      <c r="E1071" s="17">
        <v>0.87917632000000001</v>
      </c>
      <c r="F1071" s="17">
        <v>-0.1090235</v>
      </c>
      <c r="G1071" s="17">
        <f t="shared" si="176"/>
        <v>1.8384068318958799</v>
      </c>
      <c r="H1071" s="17">
        <f t="shared" si="177"/>
        <v>-2.0496800098333998</v>
      </c>
      <c r="I1071" s="17">
        <f t="shared" si="178"/>
        <v>1.8384333983800201</v>
      </c>
      <c r="J1071" s="17">
        <f t="shared" si="179"/>
        <v>-2.05270516177919</v>
      </c>
      <c r="K1071" s="15">
        <f t="shared" si="180"/>
        <v>-2.6566484140122499E-5</v>
      </c>
      <c r="L1071" s="15">
        <f t="shared" si="181"/>
        <v>3.0251519457902302E-3</v>
      </c>
      <c r="M1071" s="15">
        <f t="shared" si="182"/>
        <v>0.24210824148125501</v>
      </c>
      <c r="N1071" s="15">
        <f t="shared" si="183"/>
        <v>0.27032626661144199</v>
      </c>
      <c r="O1071" s="17">
        <v>9.4586167000000003</v>
      </c>
      <c r="P1071" s="17">
        <v>-10.877404</v>
      </c>
      <c r="Q1071" s="17">
        <v>4.4070847999999998</v>
      </c>
      <c r="R1071" s="17">
        <v>-13.693472999999999</v>
      </c>
      <c r="S1071" s="17">
        <f t="shared" si="184"/>
        <v>0.99795311079638238</v>
      </c>
      <c r="T1071" s="17">
        <f t="shared" si="185"/>
        <v>-23.168933927096678</v>
      </c>
    </row>
    <row r="1072" spans="1:20" x14ac:dyDescent="0.35">
      <c r="A1072" s="16">
        <v>4.0375000000000005</v>
      </c>
      <c r="B1072" s="16">
        <v>15.976000000000001</v>
      </c>
      <c r="C1072" s="16">
        <v>-0.12713522999999999</v>
      </c>
      <c r="D1072" s="16">
        <v>-0.10211452</v>
      </c>
      <c r="E1072" s="16">
        <v>0.87289992999999999</v>
      </c>
      <c r="F1072" s="16">
        <v>-0.10821757</v>
      </c>
      <c r="G1072" s="16">
        <f t="shared" si="176"/>
        <v>1.8350946084705699</v>
      </c>
      <c r="H1072" s="16">
        <f t="shared" si="177"/>
        <v>-1.93033883147623</v>
      </c>
      <c r="I1072" s="16">
        <f t="shared" si="178"/>
        <v>1.8351214993885501</v>
      </c>
      <c r="J1072" s="16">
        <f t="shared" si="179"/>
        <v>-1.93339022077449</v>
      </c>
      <c r="K1072" s="15">
        <f t="shared" si="180"/>
        <v>-2.6890917980137999E-5</v>
      </c>
      <c r="L1072" s="15">
        <f t="shared" si="181"/>
        <v>3.0513892982599899E-3</v>
      </c>
      <c r="M1072" s="15">
        <f t="shared" si="182"/>
        <v>0.25826161989026902</v>
      </c>
      <c r="N1072" s="15">
        <f t="shared" si="183"/>
        <v>0.27209124325751499</v>
      </c>
      <c r="O1072" s="16">
        <v>9.3611094999999995</v>
      </c>
      <c r="P1072" s="16">
        <v>-11.415983000000001</v>
      </c>
      <c r="Q1072" s="16">
        <v>4.1092506000000002</v>
      </c>
      <c r="R1072" s="16">
        <v>-14.164312000000001</v>
      </c>
      <c r="S1072" s="16">
        <f t="shared" si="184"/>
        <v>0.99898697531354685</v>
      </c>
      <c r="T1072" s="16">
        <f t="shared" si="185"/>
        <v>-23.173633619188664</v>
      </c>
    </row>
    <row r="1073" spans="1:20" x14ac:dyDescent="0.35">
      <c r="A1073" s="17">
        <v>4.0375000000000005</v>
      </c>
      <c r="B1073" s="17">
        <v>16.024799999999999</v>
      </c>
      <c r="C1073" s="17">
        <v>-0.13356515999999999</v>
      </c>
      <c r="D1073" s="17">
        <v>-0.10084984</v>
      </c>
      <c r="E1073" s="17">
        <v>0.86647116999999996</v>
      </c>
      <c r="F1073" s="17">
        <v>-0.10700596</v>
      </c>
      <c r="G1073" s="17">
        <f t="shared" si="176"/>
        <v>1.8318043318438</v>
      </c>
      <c r="H1073" s="17">
        <f t="shared" si="177"/>
        <v>-1.81311036020094</v>
      </c>
      <c r="I1073" s="17">
        <f t="shared" si="178"/>
        <v>1.8318319703611501</v>
      </c>
      <c r="J1073" s="17">
        <f t="shared" si="179"/>
        <v>-1.8161882792175299</v>
      </c>
      <c r="K1073" s="15">
        <f t="shared" si="180"/>
        <v>-2.7638517350103701E-5</v>
      </c>
      <c r="L1073" s="15">
        <f t="shared" si="181"/>
        <v>3.0779190165899401E-3</v>
      </c>
      <c r="M1073" s="15">
        <f t="shared" si="182"/>
        <v>0.27529172873250302</v>
      </c>
      <c r="N1073" s="15">
        <f t="shared" si="183"/>
        <v>0.27294076049504201</v>
      </c>
      <c r="O1073" s="17">
        <v>9.2253281999999999</v>
      </c>
      <c r="P1073" s="17">
        <v>-11.962738</v>
      </c>
      <c r="Q1073" s="17">
        <v>3.7735234000000002</v>
      </c>
      <c r="R1073" s="17">
        <v>-14.631859</v>
      </c>
      <c r="S1073" s="17">
        <f t="shared" si="184"/>
        <v>1.0002562965315778</v>
      </c>
      <c r="T1073" s="17">
        <f t="shared" si="185"/>
        <v>-23.177067400825504</v>
      </c>
    </row>
    <row r="1074" spans="1:20" x14ac:dyDescent="0.35">
      <c r="A1074" s="16">
        <v>4.0375000000000005</v>
      </c>
      <c r="B1074" s="16">
        <v>16.073599999999999</v>
      </c>
      <c r="C1074" s="16">
        <v>-0.14011385000000001</v>
      </c>
      <c r="D1074" s="16">
        <v>-9.9147367E-2</v>
      </c>
      <c r="E1074" s="16">
        <v>0.85992358999999996</v>
      </c>
      <c r="F1074" s="16">
        <v>-0.10535656</v>
      </c>
      <c r="G1074" s="16">
        <f t="shared" si="176"/>
        <v>1.82853146477741</v>
      </c>
      <c r="H1074" s="16">
        <f t="shared" si="177"/>
        <v>-1.6979955332096801</v>
      </c>
      <c r="I1074" s="16">
        <f t="shared" si="178"/>
        <v>1.8285598223122499</v>
      </c>
      <c r="J1074" s="16">
        <f t="shared" si="179"/>
        <v>-1.7010999835556699</v>
      </c>
      <c r="K1074" s="15">
        <f t="shared" si="180"/>
        <v>-2.83575348398735E-5</v>
      </c>
      <c r="L1074" s="15">
        <f t="shared" si="181"/>
        <v>3.10445034598983E-3</v>
      </c>
      <c r="M1074" s="15">
        <f t="shared" si="182"/>
        <v>0.29316189096625</v>
      </c>
      <c r="N1074" s="15">
        <f t="shared" si="183"/>
        <v>0.27272702911695101</v>
      </c>
      <c r="O1074" s="16">
        <v>9.0539714999999994</v>
      </c>
      <c r="P1074" s="16">
        <v>-12.521227</v>
      </c>
      <c r="Q1074" s="16">
        <v>3.3982809999999999</v>
      </c>
      <c r="R1074" s="16">
        <v>-15.093019999999999</v>
      </c>
      <c r="S1074" s="16">
        <f t="shared" si="184"/>
        <v>1.0012390800166753</v>
      </c>
      <c r="T1074" s="16">
        <f t="shared" si="185"/>
        <v>-23.181428137959276</v>
      </c>
    </row>
    <row r="1075" spans="1:20" x14ac:dyDescent="0.35">
      <c r="A1075" s="17">
        <v>4.0375000000000005</v>
      </c>
      <c r="B1075" s="17">
        <v>16.122399999999999</v>
      </c>
      <c r="C1075" s="17">
        <v>-0.14674279000000001</v>
      </c>
      <c r="D1075" s="17">
        <v>-9.6977231999999997E-2</v>
      </c>
      <c r="E1075" s="17">
        <v>0.85329569999999999</v>
      </c>
      <c r="F1075" s="17">
        <v>-0.10323945</v>
      </c>
      <c r="G1075" s="17">
        <f t="shared" si="176"/>
        <v>1.8252781835087299</v>
      </c>
      <c r="H1075" s="17">
        <f t="shared" si="177"/>
        <v>-1.5849637675080499</v>
      </c>
      <c r="I1075" s="17">
        <f t="shared" si="178"/>
        <v>1.82530723131982</v>
      </c>
      <c r="J1075" s="17">
        <f t="shared" si="179"/>
        <v>-1.5880947253008999</v>
      </c>
      <c r="K1075" s="15">
        <f t="shared" si="180"/>
        <v>-2.9047811090032701E-5</v>
      </c>
      <c r="L1075" s="15">
        <f t="shared" si="181"/>
        <v>3.1309577928499998E-3</v>
      </c>
      <c r="M1075" s="15">
        <f t="shared" si="182"/>
        <v>0.31181624415175202</v>
      </c>
      <c r="N1075" s="15">
        <f t="shared" si="183"/>
        <v>0.27129336042923302</v>
      </c>
      <c r="O1075" s="17">
        <v>8.8406427999999995</v>
      </c>
      <c r="P1075" s="17">
        <v>-13.082841999999999</v>
      </c>
      <c r="Q1075" s="17">
        <v>2.9827436000000001</v>
      </c>
      <c r="R1075" s="17">
        <v>-15.542923999999999</v>
      </c>
      <c r="S1075" s="17">
        <f t="shared" si="184"/>
        <v>1.0023267023438296</v>
      </c>
      <c r="T1075" s="17">
        <f t="shared" si="185"/>
        <v>-23.18539714157064</v>
      </c>
    </row>
    <row r="1076" spans="1:20" x14ac:dyDescent="0.35">
      <c r="A1076" s="16">
        <v>4.0375000000000005</v>
      </c>
      <c r="B1076" s="16">
        <v>16.171199999999999</v>
      </c>
      <c r="C1076" s="16">
        <v>-0.15340653000000001</v>
      </c>
      <c r="D1076" s="16">
        <v>-9.4314057000000007E-2</v>
      </c>
      <c r="E1076" s="16">
        <v>0.84663306000000005</v>
      </c>
      <c r="F1076" s="16">
        <v>-0.10062955</v>
      </c>
      <c r="G1076" s="16">
        <f t="shared" si="176"/>
        <v>1.8220392336694899</v>
      </c>
      <c r="H1076" s="16">
        <f t="shared" si="177"/>
        <v>-1.4740038395800701</v>
      </c>
      <c r="I1076" s="16">
        <f t="shared" si="178"/>
        <v>1.8220689989490699</v>
      </c>
      <c r="J1076" s="16">
        <f t="shared" si="179"/>
        <v>-1.47716142958437</v>
      </c>
      <c r="K1076" s="15">
        <f t="shared" si="180"/>
        <v>-2.9765279579985201E-5</v>
      </c>
      <c r="L1076" s="15">
        <f t="shared" si="181"/>
        <v>3.1575900042999398E-3</v>
      </c>
      <c r="M1076" s="15">
        <f t="shared" si="182"/>
        <v>0.33116838057583797</v>
      </c>
      <c r="N1076" s="15">
        <f t="shared" si="183"/>
        <v>0.26848004041926998</v>
      </c>
      <c r="O1076" s="16">
        <v>8.5828214000000003</v>
      </c>
      <c r="P1076" s="16">
        <v>-13.642289999999999</v>
      </c>
      <c r="Q1076" s="16">
        <v>2.5265732999999999</v>
      </c>
      <c r="R1076" s="16">
        <v>-15.977036999999999</v>
      </c>
      <c r="S1076" s="16">
        <f t="shared" si="184"/>
        <v>1.0035973609270001</v>
      </c>
      <c r="T1076" s="16">
        <f t="shared" si="185"/>
        <v>-23.189159161476347</v>
      </c>
    </row>
    <row r="1077" spans="1:20" x14ac:dyDescent="0.35">
      <c r="A1077" s="17">
        <v>4.0375000000000005</v>
      </c>
      <c r="B1077" s="17">
        <v>16.22</v>
      </c>
      <c r="C1077" s="17">
        <v>-0.16005242</v>
      </c>
      <c r="D1077" s="17">
        <v>-9.1138152E-2</v>
      </c>
      <c r="E1077" s="17">
        <v>0.83998845</v>
      </c>
      <c r="F1077" s="17">
        <v>-9.7507179999999999E-2</v>
      </c>
      <c r="G1077" s="17">
        <f t="shared" si="176"/>
        <v>1.8188182511744899</v>
      </c>
      <c r="H1077" s="17">
        <f t="shared" si="177"/>
        <v>-1.3651256173992199</v>
      </c>
      <c r="I1077" s="17">
        <f t="shared" si="178"/>
        <v>1.8188488261618101</v>
      </c>
      <c r="J1077" s="17">
        <f t="shared" si="179"/>
        <v>-1.36830996896052</v>
      </c>
      <c r="K1077" s="15">
        <f t="shared" si="180"/>
        <v>-3.0574987320175502E-5</v>
      </c>
      <c r="L1077" s="15">
        <f t="shared" si="181"/>
        <v>3.1843515613001498E-3</v>
      </c>
      <c r="M1077" s="15">
        <f t="shared" si="182"/>
        <v>0.35109636450138898</v>
      </c>
      <c r="N1077" s="15">
        <f t="shared" si="183"/>
        <v>0.264127864120967</v>
      </c>
      <c r="O1077" s="17">
        <v>8.2825264000000001</v>
      </c>
      <c r="P1077" s="17">
        <v>-14.200214000000001</v>
      </c>
      <c r="Q1077" s="17">
        <v>2.0301841</v>
      </c>
      <c r="R1077" s="17">
        <v>-16.390729</v>
      </c>
      <c r="S1077" s="17">
        <f t="shared" si="184"/>
        <v>1.0046724474422193</v>
      </c>
      <c r="T1077" s="17">
        <f t="shared" si="185"/>
        <v>-23.192839197917888</v>
      </c>
    </row>
    <row r="1078" spans="1:20" x14ac:dyDescent="0.35">
      <c r="A1078" s="16">
        <v>4.0375000000000005</v>
      </c>
      <c r="B1078" s="16">
        <v>16.268799999999999</v>
      </c>
      <c r="C1078" s="16">
        <v>-0.16662621</v>
      </c>
      <c r="D1078" s="16">
        <v>-8.7439290000000003E-2</v>
      </c>
      <c r="E1078" s="16">
        <v>0.83344826999999999</v>
      </c>
      <c r="F1078" s="16">
        <v>-9.3908516999999997E-2</v>
      </c>
      <c r="G1078" s="16">
        <f t="shared" si="176"/>
        <v>1.81540714500134</v>
      </c>
      <c r="H1078" s="16">
        <f t="shared" si="177"/>
        <v>-1.2586653487494599</v>
      </c>
      <c r="I1078" s="16">
        <f t="shared" si="178"/>
        <v>1.8154548450608201</v>
      </c>
      <c r="J1078" s="16">
        <f t="shared" si="179"/>
        <v>-1.2618996875114299</v>
      </c>
      <c r="K1078" s="15">
        <f t="shared" si="180"/>
        <v>-4.7700059480071402E-5</v>
      </c>
      <c r="L1078" s="15">
        <f t="shared" si="181"/>
        <v>3.2343387619699899E-3</v>
      </c>
      <c r="M1078" s="15">
        <f t="shared" si="182"/>
        <v>0.37139027022362298</v>
      </c>
      <c r="N1078" s="15">
        <f t="shared" si="183"/>
        <v>0.25814867674347203</v>
      </c>
      <c r="O1078" s="16">
        <v>7.9370621000000003</v>
      </c>
      <c r="P1078" s="16">
        <v>-14.749053</v>
      </c>
      <c r="Q1078" s="16">
        <v>1.4946273000000001</v>
      </c>
      <c r="R1078" s="16">
        <v>-16.778974000000002</v>
      </c>
      <c r="S1078" s="16">
        <f t="shared" si="184"/>
        <v>1.0057517234742219</v>
      </c>
      <c r="T1078" s="16">
        <f t="shared" si="185"/>
        <v>-23.196168559717261</v>
      </c>
    </row>
    <row r="1079" spans="1:20" x14ac:dyDescent="0.35">
      <c r="A1079" s="17">
        <v>4.0375000000000005</v>
      </c>
      <c r="B1079" s="17">
        <v>16.317599999999999</v>
      </c>
      <c r="C1079" s="17">
        <v>-0.17306321</v>
      </c>
      <c r="D1079" s="17">
        <v>-8.3206560999999998E-2</v>
      </c>
      <c r="E1079" s="17">
        <v>0.82701431000000003</v>
      </c>
      <c r="F1079" s="17">
        <v>-8.9731548999999994E-2</v>
      </c>
      <c r="G1079" s="17">
        <f t="shared" si="176"/>
        <v>1.8122487195235799</v>
      </c>
      <c r="H1079" s="17">
        <f t="shared" si="177"/>
        <v>-1.15392868926193</v>
      </c>
      <c r="I1079" s="17">
        <f t="shared" si="178"/>
        <v>1.8122981205375599</v>
      </c>
      <c r="J1079" s="17">
        <f t="shared" si="179"/>
        <v>-1.1571908956482999</v>
      </c>
      <c r="K1079" s="15">
        <f t="shared" si="180"/>
        <v>-4.94010139799883E-5</v>
      </c>
      <c r="L1079" s="15">
        <f t="shared" si="181"/>
        <v>3.2622063863698698E-3</v>
      </c>
      <c r="M1079" s="15">
        <f t="shared" si="182"/>
        <v>0.39197407683272101</v>
      </c>
      <c r="N1079" s="15">
        <f t="shared" si="183"/>
        <v>0.25028378493623898</v>
      </c>
      <c r="O1079" s="17">
        <v>7.5465745999999996</v>
      </c>
      <c r="P1079" s="17">
        <v>-15.283872000000001</v>
      </c>
      <c r="Q1079" s="17">
        <v>0.92166298999999996</v>
      </c>
      <c r="R1079" s="17">
        <v>-17.136737</v>
      </c>
      <c r="S1079" s="17">
        <f t="shared" si="184"/>
        <v>1.0068082126848825</v>
      </c>
      <c r="T1079" s="17">
        <f t="shared" si="185"/>
        <v>-23.199781665616911</v>
      </c>
    </row>
    <row r="1080" spans="1:20" x14ac:dyDescent="0.35">
      <c r="A1080" s="16">
        <v>4.0375000000000005</v>
      </c>
      <c r="B1080" s="16">
        <v>16.366399999999999</v>
      </c>
      <c r="C1080" s="16">
        <v>-0.17930442999999999</v>
      </c>
      <c r="D1080" s="16">
        <v>-7.8442052999999998E-2</v>
      </c>
      <c r="E1080" s="16">
        <v>0.82069367000000004</v>
      </c>
      <c r="F1080" s="16">
        <v>-8.4999074999999993E-2</v>
      </c>
      <c r="G1080" s="16">
        <f t="shared" si="176"/>
        <v>1.8089253392072999</v>
      </c>
      <c r="H1080" s="16">
        <f t="shared" si="177"/>
        <v>-1.0506832343561401</v>
      </c>
      <c r="I1080" s="16">
        <f t="shared" si="178"/>
        <v>1.80893513775588</v>
      </c>
      <c r="J1080" s="16">
        <f t="shared" si="179"/>
        <v>-1.05396171634606</v>
      </c>
      <c r="K1080" s="15">
        <f t="shared" si="180"/>
        <v>-9.7985485800755595E-6</v>
      </c>
      <c r="L1080" s="15">
        <f t="shared" si="181"/>
        <v>3.2784819899198698E-3</v>
      </c>
      <c r="M1080" s="15">
        <f t="shared" si="182"/>
        <v>0.41270852098558702</v>
      </c>
      <c r="N1080" s="15">
        <f t="shared" si="183"/>
        <v>0.24046134770107699</v>
      </c>
      <c r="O1080" s="16">
        <v>7.1114040999999997</v>
      </c>
      <c r="P1080" s="16">
        <v>-15.799163999999999</v>
      </c>
      <c r="Q1080" s="16">
        <v>0.31384094000000001</v>
      </c>
      <c r="R1080" s="16">
        <v>-17.458822999999999</v>
      </c>
      <c r="S1080" s="16">
        <f t="shared" si="184"/>
        <v>1.0078366668780578</v>
      </c>
      <c r="T1080" s="16">
        <f t="shared" si="185"/>
        <v>-23.203272382847228</v>
      </c>
    </row>
    <row r="1081" spans="1:20" x14ac:dyDescent="0.35">
      <c r="A1081" s="17">
        <v>4.0375000000000005</v>
      </c>
      <c r="B1081" s="17">
        <v>16.415199999999999</v>
      </c>
      <c r="C1081" s="17">
        <v>-0.18527957</v>
      </c>
      <c r="D1081" s="17">
        <v>-7.3170861000000004E-2</v>
      </c>
      <c r="E1081" s="17">
        <v>0.81471552999999997</v>
      </c>
      <c r="F1081" s="17">
        <v>-7.9780791000000004E-2</v>
      </c>
      <c r="G1081" s="17">
        <f t="shared" si="176"/>
        <v>1.8057615722037199</v>
      </c>
      <c r="H1081" s="17">
        <f t="shared" si="177"/>
        <v>-0.95006073078202702</v>
      </c>
      <c r="I1081" s="17">
        <f t="shared" si="178"/>
        <v>1.8057700449523399</v>
      </c>
      <c r="J1081" s="17">
        <f t="shared" si="179"/>
        <v>-0.95336567587700505</v>
      </c>
      <c r="K1081" s="15">
        <f t="shared" si="180"/>
        <v>-8.4727486200364393E-6</v>
      </c>
      <c r="L1081" s="15">
        <f t="shared" si="181"/>
        <v>3.3049450949780299E-3</v>
      </c>
      <c r="M1081" s="15">
        <f t="shared" si="182"/>
        <v>0.43306833478899398</v>
      </c>
      <c r="N1081" s="15">
        <f t="shared" si="183"/>
        <v>0.22864067706247501</v>
      </c>
      <c r="O1081" s="17">
        <v>6.6350091000000004</v>
      </c>
      <c r="P1081" s="17">
        <v>-16.292701999999998</v>
      </c>
      <c r="Q1081" s="17">
        <v>-0.32474467000000001</v>
      </c>
      <c r="R1081" s="17">
        <v>-17.740860000000001</v>
      </c>
      <c r="S1081" s="17">
        <f t="shared" si="184"/>
        <v>1.0086355947818415</v>
      </c>
      <c r="T1081" s="17">
        <f t="shared" si="185"/>
        <v>-23.206702325667372</v>
      </c>
    </row>
    <row r="1082" spans="1:20" x14ac:dyDescent="0.35">
      <c r="A1082" s="16">
        <v>4.0375000000000005</v>
      </c>
      <c r="B1082" s="16">
        <v>16.463999999999999</v>
      </c>
      <c r="C1082" s="16">
        <v>-0.19092745999999999</v>
      </c>
      <c r="D1082" s="16">
        <v>-6.7413723999999994E-2</v>
      </c>
      <c r="E1082" s="16">
        <v>0.80906414999999998</v>
      </c>
      <c r="F1082" s="16">
        <v>-7.4076804999999996E-2</v>
      </c>
      <c r="G1082" s="16">
        <f t="shared" si="176"/>
        <v>1.8026090079020001</v>
      </c>
      <c r="H1082" s="16">
        <f t="shared" si="177"/>
        <v>-0.85151349111504404</v>
      </c>
      <c r="I1082" s="16">
        <f t="shared" si="178"/>
        <v>1.8026159120630001</v>
      </c>
      <c r="J1082" s="16">
        <f t="shared" si="179"/>
        <v>-0.85484502258932804</v>
      </c>
      <c r="K1082" s="15">
        <f t="shared" si="180"/>
        <v>-6.9041610000208903E-6</v>
      </c>
      <c r="L1082" s="15">
        <f t="shared" si="181"/>
        <v>3.3315314742840001E-3</v>
      </c>
      <c r="M1082" s="15">
        <f t="shared" si="182"/>
        <v>0.45289761706474402</v>
      </c>
      <c r="N1082" s="15">
        <f t="shared" si="183"/>
        <v>0.21477524474267101</v>
      </c>
      <c r="O1082" s="16">
        <v>6.1166827000000001</v>
      </c>
      <c r="P1082" s="16">
        <v>-16.752191</v>
      </c>
      <c r="Q1082" s="16">
        <v>-0.98987910000000001</v>
      </c>
      <c r="R1082" s="16">
        <v>-17.978483000000001</v>
      </c>
      <c r="S1082" s="16">
        <f t="shared" si="184"/>
        <v>1.0096313526269327</v>
      </c>
      <c r="T1082" s="16">
        <f t="shared" si="185"/>
        <v>-23.209991540574105</v>
      </c>
    </row>
    <row r="1083" spans="1:20" x14ac:dyDescent="0.35">
      <c r="A1083" s="17">
        <v>4.0375000000000005</v>
      </c>
      <c r="B1083" s="17">
        <v>16.512799999999999</v>
      </c>
      <c r="C1083" s="17">
        <v>-0.19618629000000001</v>
      </c>
      <c r="D1083" s="17">
        <v>-6.1214884999999997E-2</v>
      </c>
      <c r="E1083" s="17">
        <v>0.80375468999999999</v>
      </c>
      <c r="F1083" s="17">
        <v>-6.7968495000000004E-2</v>
      </c>
      <c r="G1083" s="17">
        <f t="shared" si="176"/>
        <v>1.7990864233161901</v>
      </c>
      <c r="H1083" s="17">
        <f t="shared" si="177"/>
        <v>-0.755137892710529</v>
      </c>
      <c r="I1083" s="17">
        <f t="shared" si="178"/>
        <v>1.7990683161368399</v>
      </c>
      <c r="J1083" s="17">
        <f t="shared" si="179"/>
        <v>-0.75851485850920397</v>
      </c>
      <c r="K1083" s="15">
        <f t="shared" si="180"/>
        <v>1.81071793501353E-5</v>
      </c>
      <c r="L1083" s="15">
        <f t="shared" si="181"/>
        <v>3.3769657986749699E-3</v>
      </c>
      <c r="M1083" s="15">
        <f t="shared" si="182"/>
        <v>0.471949706733645</v>
      </c>
      <c r="N1083" s="15">
        <f t="shared" si="183"/>
        <v>0.19898125147088699</v>
      </c>
      <c r="O1083" s="17">
        <v>5.5614609000000002</v>
      </c>
      <c r="P1083" s="17">
        <v>-17.173587000000001</v>
      </c>
      <c r="Q1083" s="17">
        <v>-1.6759415</v>
      </c>
      <c r="R1083" s="17">
        <v>-18.168306999999999</v>
      </c>
      <c r="S1083" s="17">
        <f t="shared" si="184"/>
        <v>1.0107356272184047</v>
      </c>
      <c r="T1083" s="17">
        <f t="shared" si="185"/>
        <v>-23.214279426455114</v>
      </c>
    </row>
    <row r="1084" spans="1:20" x14ac:dyDescent="0.35">
      <c r="A1084" s="16">
        <v>4.0375000000000005</v>
      </c>
      <c r="B1084" s="16">
        <v>16.561599999999999</v>
      </c>
      <c r="C1084" s="16">
        <v>-0.20100293</v>
      </c>
      <c r="D1084" s="16">
        <v>-5.4607314999999997E-2</v>
      </c>
      <c r="E1084" s="16">
        <v>0.79892996999999999</v>
      </c>
      <c r="F1084" s="16">
        <v>-6.1416086000000002E-2</v>
      </c>
      <c r="G1084" s="16">
        <f t="shared" si="176"/>
        <v>1.79594267696447</v>
      </c>
      <c r="H1084" s="16">
        <f t="shared" si="177"/>
        <v>-0.66081877343994</v>
      </c>
      <c r="I1084" s="16">
        <f t="shared" si="178"/>
        <v>1.7959207167117099</v>
      </c>
      <c r="J1084" s="16">
        <f t="shared" si="179"/>
        <v>-0.66422334792457804</v>
      </c>
      <c r="K1084" s="15">
        <f t="shared" si="180"/>
        <v>2.19602527600227E-5</v>
      </c>
      <c r="L1084" s="15">
        <f t="shared" si="181"/>
        <v>3.4045744846380498E-3</v>
      </c>
      <c r="M1084" s="15">
        <f t="shared" si="182"/>
        <v>0.48981563386307397</v>
      </c>
      <c r="N1084" s="15">
        <f t="shared" si="183"/>
        <v>0.181158876983185</v>
      </c>
      <c r="O1084" s="16">
        <v>4.9740301000000002</v>
      </c>
      <c r="P1084" s="16">
        <v>-17.558008000000001</v>
      </c>
      <c r="Q1084" s="16">
        <v>-2.3779034999999999</v>
      </c>
      <c r="R1084" s="16">
        <v>-18.30772</v>
      </c>
      <c r="S1084" s="16">
        <f t="shared" si="184"/>
        <v>1.0116466514201183</v>
      </c>
      <c r="T1084" s="16">
        <f t="shared" si="185"/>
        <v>-23.217410903142721</v>
      </c>
    </row>
    <row r="1085" spans="1:20" x14ac:dyDescent="0.35">
      <c r="A1085" s="17">
        <v>4.0375000000000005</v>
      </c>
      <c r="B1085" s="17">
        <v>16.610399999999998</v>
      </c>
      <c r="C1085" s="17">
        <v>-0.20532734</v>
      </c>
      <c r="D1085" s="17">
        <v>-4.7656784000000001E-2</v>
      </c>
      <c r="E1085" s="17">
        <v>0.79468379</v>
      </c>
      <c r="F1085" s="17">
        <v>-5.4562289999999999E-2</v>
      </c>
      <c r="G1085" s="17">
        <f t="shared" si="176"/>
        <v>1.79310461766342</v>
      </c>
      <c r="H1085" s="17">
        <f t="shared" si="177"/>
        <v>-0.56908483105990804</v>
      </c>
      <c r="I1085" s="17">
        <f t="shared" si="178"/>
        <v>1.7931221037945799</v>
      </c>
      <c r="J1085" s="17">
        <f t="shared" si="179"/>
        <v>-0.57253750447048801</v>
      </c>
      <c r="K1085" s="15">
        <f t="shared" si="180"/>
        <v>-1.7486131159927301E-5</v>
      </c>
      <c r="L1085" s="15">
        <f t="shared" si="181"/>
        <v>3.45267341057998E-3</v>
      </c>
      <c r="M1085" s="15">
        <f t="shared" si="182"/>
        <v>0.50609047219799796</v>
      </c>
      <c r="N1085" s="15">
        <f t="shared" si="183"/>
        <v>0.161592886159484</v>
      </c>
      <c r="O1085" s="17">
        <v>4.3588570999999998</v>
      </c>
      <c r="P1085" s="17">
        <v>-17.898201</v>
      </c>
      <c r="Q1085" s="17">
        <v>-3.0893123999999998</v>
      </c>
      <c r="R1085" s="17">
        <v>-18.39499</v>
      </c>
      <c r="S1085" s="17">
        <f t="shared" si="184"/>
        <v>1.0125547450552406</v>
      </c>
      <c r="T1085" s="17">
        <f t="shared" si="185"/>
        <v>-23.220612634703414</v>
      </c>
    </row>
    <row r="1086" spans="1:20" x14ac:dyDescent="0.35">
      <c r="A1086" s="16">
        <v>4.0375000000000005</v>
      </c>
      <c r="B1086" s="16">
        <v>16.659199999999998</v>
      </c>
      <c r="C1086" s="16">
        <v>-0.20912273000000001</v>
      </c>
      <c r="D1086" s="16">
        <v>-4.0421833999999997E-2</v>
      </c>
      <c r="E1086" s="16">
        <v>0.79088778999999998</v>
      </c>
      <c r="F1086" s="16">
        <v>-4.7388668000000002E-2</v>
      </c>
      <c r="G1086" s="16">
        <f t="shared" si="176"/>
        <v>1.79004391244084</v>
      </c>
      <c r="H1086" s="16">
        <f t="shared" si="177"/>
        <v>-0.47906624536388398</v>
      </c>
      <c r="I1086" s="16">
        <f t="shared" si="178"/>
        <v>1.7900613062684601</v>
      </c>
      <c r="J1086" s="16">
        <f t="shared" si="179"/>
        <v>-0.48254958345157101</v>
      </c>
      <c r="K1086" s="15">
        <f t="shared" si="180"/>
        <v>-1.7393827620004699E-5</v>
      </c>
      <c r="L1086" s="15">
        <f t="shared" si="181"/>
        <v>3.4833380876870298E-3</v>
      </c>
      <c r="M1086" s="15">
        <f t="shared" si="182"/>
        <v>0.52079456106773803</v>
      </c>
      <c r="N1086" s="15">
        <f t="shared" si="183"/>
        <v>0.14039139197470099</v>
      </c>
      <c r="O1086" s="16">
        <v>3.7219929</v>
      </c>
      <c r="P1086" s="16">
        <v>-18.191533</v>
      </c>
      <c r="Q1086" s="16">
        <v>-3.8032623999999999</v>
      </c>
      <c r="R1086" s="16">
        <v>-18.429341000000001</v>
      </c>
      <c r="S1086" s="16">
        <f t="shared" si="184"/>
        <v>1.0134259868831283</v>
      </c>
      <c r="T1086" s="16">
        <f t="shared" si="185"/>
        <v>-23.223579633075797</v>
      </c>
    </row>
    <row r="1087" spans="1:20" x14ac:dyDescent="0.35">
      <c r="A1087" s="17">
        <v>4.0375000000000005</v>
      </c>
      <c r="B1087" s="17">
        <v>16.707999999999998</v>
      </c>
      <c r="C1087" s="17">
        <v>-0.21235949000000001</v>
      </c>
      <c r="D1087" s="17">
        <v>-3.2978239999999999E-2</v>
      </c>
      <c r="E1087" s="17">
        <v>0.78765141999999999</v>
      </c>
      <c r="F1087" s="17">
        <v>-4.0006352000000002E-2</v>
      </c>
      <c r="G1087" s="17">
        <f t="shared" si="176"/>
        <v>1.7870111229707899</v>
      </c>
      <c r="H1087" s="17">
        <f t="shared" si="177"/>
        <v>-0.39125938147170403</v>
      </c>
      <c r="I1087" s="17">
        <f t="shared" si="178"/>
        <v>1.7870289261760399</v>
      </c>
      <c r="J1087" s="17">
        <f t="shared" si="179"/>
        <v>-0.39477335574151401</v>
      </c>
      <c r="K1087" s="15">
        <f t="shared" si="180"/>
        <v>-1.7803205250022099E-5</v>
      </c>
      <c r="L1087" s="15">
        <f t="shared" si="181"/>
        <v>3.5139742698099799E-3</v>
      </c>
      <c r="M1087" s="15">
        <f t="shared" si="182"/>
        <v>0.53355003034929205</v>
      </c>
      <c r="N1087" s="15">
        <f t="shared" si="183"/>
        <v>0.117866774763235</v>
      </c>
      <c r="O1087" s="17">
        <v>3.0695907</v>
      </c>
      <c r="P1087" s="17">
        <v>-18.434888000000001</v>
      </c>
      <c r="Q1087" s="17">
        <v>-4.5129874000000001</v>
      </c>
      <c r="R1087" s="17">
        <v>-18.411301999999999</v>
      </c>
      <c r="S1087" s="17">
        <f t="shared" si="184"/>
        <v>1.0143213713280992</v>
      </c>
      <c r="T1087" s="17">
        <f t="shared" si="185"/>
        <v>-23.226393933613309</v>
      </c>
    </row>
    <row r="1088" spans="1:20" x14ac:dyDescent="0.35">
      <c r="A1088" s="16">
        <v>4.0375000000000005</v>
      </c>
      <c r="B1088" s="16">
        <v>16.756799999999998</v>
      </c>
      <c r="C1088" s="16">
        <v>-0.21502217000000001</v>
      </c>
      <c r="D1088" s="16">
        <v>-2.5399947999999999E-2</v>
      </c>
      <c r="E1088" s="16">
        <v>0.78496851999999995</v>
      </c>
      <c r="F1088" s="16">
        <v>-3.2446640999999998E-2</v>
      </c>
      <c r="G1088" s="16">
        <f t="shared" si="176"/>
        <v>1.7839636047007299</v>
      </c>
      <c r="H1088" s="16">
        <f t="shared" si="177"/>
        <v>-0.30545518375986902</v>
      </c>
      <c r="I1088" s="16">
        <f t="shared" si="178"/>
        <v>1.7839713636688701</v>
      </c>
      <c r="J1088" s="16">
        <f t="shared" si="179"/>
        <v>-0.30897851932346299</v>
      </c>
      <c r="K1088" s="15">
        <f t="shared" si="180"/>
        <v>-7.7589681402034893E-6</v>
      </c>
      <c r="L1088" s="15">
        <f t="shared" si="181"/>
        <v>3.5233355635939699E-3</v>
      </c>
      <c r="M1088" s="15">
        <f t="shared" si="182"/>
        <v>0.54422197520104598</v>
      </c>
      <c r="N1088" s="15">
        <f t="shared" si="183"/>
        <v>9.4257622911104399E-2</v>
      </c>
      <c r="O1088" s="16">
        <v>2.408722</v>
      </c>
      <c r="P1088" s="16">
        <v>-18.62754</v>
      </c>
      <c r="Q1088" s="16">
        <v>-5.2113604000000002</v>
      </c>
      <c r="R1088" s="16">
        <v>-18.342513</v>
      </c>
      <c r="S1088" s="16">
        <f t="shared" si="184"/>
        <v>1.0152176374201343</v>
      </c>
      <c r="T1088" s="16">
        <f t="shared" si="185"/>
        <v>-23.228593843891129</v>
      </c>
    </row>
    <row r="1089" spans="1:20" x14ac:dyDescent="0.35">
      <c r="A1089" s="17">
        <v>4.0375000000000005</v>
      </c>
      <c r="B1089" s="17">
        <v>16.805599999999998</v>
      </c>
      <c r="C1089" s="17">
        <v>-0.21710957</v>
      </c>
      <c r="D1089" s="17">
        <v>-1.7748842000000001E-2</v>
      </c>
      <c r="E1089" s="17">
        <v>0.78291785000000003</v>
      </c>
      <c r="F1089" s="17">
        <v>-2.4920841999999999E-2</v>
      </c>
      <c r="G1089" s="17">
        <f t="shared" si="176"/>
        <v>1.7810864886425799</v>
      </c>
      <c r="H1089" s="17">
        <f t="shared" si="177"/>
        <v>-0.22237948730288501</v>
      </c>
      <c r="I1089" s="17">
        <f t="shared" si="178"/>
        <v>1.78111305715637</v>
      </c>
      <c r="J1089" s="17">
        <f t="shared" si="179"/>
        <v>-0.225965342866114</v>
      </c>
      <c r="K1089" s="15">
        <f t="shared" si="180"/>
        <v>-2.65685137901261E-5</v>
      </c>
      <c r="L1089" s="15">
        <f t="shared" si="181"/>
        <v>3.5858555632289901E-3</v>
      </c>
      <c r="M1089" s="15">
        <f t="shared" si="182"/>
        <v>0.55255313133011796</v>
      </c>
      <c r="N1089" s="15">
        <f t="shared" si="183"/>
        <v>7.0101028831991499E-2</v>
      </c>
      <c r="O1089" s="17">
        <v>1.7438431999999999</v>
      </c>
      <c r="P1089" s="17">
        <v>-18.771169</v>
      </c>
      <c r="Q1089" s="17">
        <v>-5.8949106999999996</v>
      </c>
      <c r="R1089" s="17">
        <v>-18.224829</v>
      </c>
      <c r="S1089" s="17">
        <f t="shared" si="184"/>
        <v>1.0160455269914828</v>
      </c>
      <c r="T1089" s="17">
        <f t="shared" si="185"/>
        <v>-23.231605274106911</v>
      </c>
    </row>
    <row r="1090" spans="1:20" x14ac:dyDescent="0.35">
      <c r="A1090" s="16">
        <v>4.0375000000000005</v>
      </c>
      <c r="B1090" s="16">
        <v>16.854399999999998</v>
      </c>
      <c r="C1090" s="16">
        <v>-0.21862809999999999</v>
      </c>
      <c r="D1090" s="16">
        <v>-1.0113016000000001E-2</v>
      </c>
      <c r="E1090" s="16">
        <v>0.78139057999999995</v>
      </c>
      <c r="F1090" s="16">
        <v>-1.7320002000000001E-2</v>
      </c>
      <c r="G1090" s="16">
        <f t="shared" si="176"/>
        <v>1.7781074140972899</v>
      </c>
      <c r="H1090" s="16">
        <f t="shared" si="177"/>
        <v>-0.141131304754296</v>
      </c>
      <c r="I1090" s="16">
        <f t="shared" si="178"/>
        <v>1.7781297386394099</v>
      </c>
      <c r="J1090" s="16">
        <f t="shared" si="179"/>
        <v>-0.14473468365240599</v>
      </c>
      <c r="K1090" s="15">
        <f t="shared" si="180"/>
        <v>-2.2324542120033501E-5</v>
      </c>
      <c r="L1090" s="15">
        <f t="shared" si="181"/>
        <v>3.60337889810999E-3</v>
      </c>
      <c r="M1090" s="15">
        <f t="shared" si="182"/>
        <v>0.55868708087228902</v>
      </c>
      <c r="N1090" s="15">
        <f t="shared" si="183"/>
        <v>4.5475533170380597E-2</v>
      </c>
      <c r="O1090" s="16">
        <v>1.0832553</v>
      </c>
      <c r="P1090" s="16">
        <v>-18.865029</v>
      </c>
      <c r="Q1090" s="16">
        <v>-6.5555168000000004</v>
      </c>
      <c r="R1090" s="16">
        <v>-18.062315999999999</v>
      </c>
      <c r="S1090" s="16">
        <f t="shared" si="184"/>
        <v>1.0168842968608576</v>
      </c>
      <c r="T1090" s="16">
        <f t="shared" si="185"/>
        <v>-23.234194916171642</v>
      </c>
    </row>
    <row r="1091" spans="1:20" x14ac:dyDescent="0.35">
      <c r="A1091" s="17">
        <v>4.0375000000000005</v>
      </c>
      <c r="B1091" s="17">
        <v>16.903200000000002</v>
      </c>
      <c r="C1091" s="17">
        <v>-0.21959537000000001</v>
      </c>
      <c r="D1091" s="17">
        <v>-2.5953538000000002E-3</v>
      </c>
      <c r="E1091" s="17">
        <v>0.78042597000000002</v>
      </c>
      <c r="F1091" s="17">
        <v>-9.8514912999999992E-3</v>
      </c>
      <c r="G1091" s="17">
        <f t="shared" si="176"/>
        <v>1.7751861916971201</v>
      </c>
      <c r="H1091" s="17">
        <f t="shared" si="177"/>
        <v>-6.2669205818654303E-2</v>
      </c>
      <c r="I1091" s="17">
        <f t="shared" si="178"/>
        <v>1.77521002387154</v>
      </c>
      <c r="J1091" s="17">
        <f t="shared" si="179"/>
        <v>-6.6297149393728994E-2</v>
      </c>
      <c r="K1091" s="15">
        <f t="shared" si="180"/>
        <v>-2.3832174419924401E-5</v>
      </c>
      <c r="L1091" s="15">
        <f t="shared" si="181"/>
        <v>3.6279435750746899E-3</v>
      </c>
      <c r="M1091" s="15">
        <f t="shared" si="182"/>
        <v>0.56252905225954897</v>
      </c>
      <c r="N1091" s="15">
        <f t="shared" si="183"/>
        <v>2.1008259369012499E-2</v>
      </c>
      <c r="O1091" s="17">
        <v>0.43527075999999998</v>
      </c>
      <c r="P1091" s="17">
        <v>-18.911801000000001</v>
      </c>
      <c r="Q1091" s="17">
        <v>-7.1863261999999999</v>
      </c>
      <c r="R1091" s="17">
        <v>-17.860088000000001</v>
      </c>
      <c r="S1091" s="17">
        <f t="shared" si="184"/>
        <v>1.0177006912241413</v>
      </c>
      <c r="T1091" s="17">
        <f t="shared" si="185"/>
        <v>-23.236748684333374</v>
      </c>
    </row>
    <row r="1092" spans="1:20" x14ac:dyDescent="0.35">
      <c r="A1092" s="16">
        <v>4.0375000000000005</v>
      </c>
      <c r="B1092" s="16">
        <v>16.952000000000002</v>
      </c>
      <c r="C1092" s="16">
        <v>-0.22006560999999999</v>
      </c>
      <c r="D1092" s="16">
        <v>4.5441672999999997E-3</v>
      </c>
      <c r="E1092" s="16">
        <v>0.77993743000000004</v>
      </c>
      <c r="F1092" s="16">
        <v>-2.7694339999999999E-3</v>
      </c>
      <c r="G1092" s="16">
        <f t="shared" si="176"/>
        <v>1.7720209906953599</v>
      </c>
      <c r="H1092" s="16">
        <f t="shared" si="177"/>
        <v>1.09898935016672E-2</v>
      </c>
      <c r="I1092" s="16">
        <f t="shared" si="178"/>
        <v>1.7720358826442599</v>
      </c>
      <c r="J1092" s="16">
        <f t="shared" si="179"/>
        <v>7.3331528668014101E-3</v>
      </c>
      <c r="K1092" s="15">
        <f t="shared" si="180"/>
        <v>-1.4891948900030999E-5</v>
      </c>
      <c r="L1092" s="15">
        <f t="shared" si="181"/>
        <v>3.6567406348657901E-3</v>
      </c>
      <c r="M1092" s="15">
        <f t="shared" si="182"/>
        <v>0.56431299436752902</v>
      </c>
      <c r="N1092" s="15">
        <f t="shared" si="183"/>
        <v>-2.3352763298700599E-3</v>
      </c>
      <c r="O1092" s="16">
        <v>-0.17891457999999999</v>
      </c>
      <c r="P1092" s="16">
        <v>-18.915700999999999</v>
      </c>
      <c r="Q1092" s="16">
        <v>-7.7687667999999999</v>
      </c>
      <c r="R1092" s="16">
        <v>-17.630454</v>
      </c>
      <c r="S1092" s="16">
        <f t="shared" si="184"/>
        <v>1.0184842213871712</v>
      </c>
      <c r="T1092" s="16">
        <f t="shared" si="185"/>
        <v>-23.238518965019363</v>
      </c>
    </row>
    <row r="1093" spans="1:20" x14ac:dyDescent="0.35">
      <c r="A1093" s="17">
        <v>4.0375000000000005</v>
      </c>
      <c r="B1093" s="17">
        <v>17</v>
      </c>
      <c r="C1093" s="17">
        <v>-0.22074600999999999</v>
      </c>
      <c r="D1093" s="17">
        <v>6.9615221999999996E-3</v>
      </c>
      <c r="E1093" s="17">
        <v>0.77926185999999997</v>
      </c>
      <c r="F1093" s="17">
        <v>-3.3522781999999998E-4</v>
      </c>
      <c r="G1093" s="17">
        <f t="shared" si="176"/>
        <v>1.7645682068056501</v>
      </c>
      <c r="H1093" s="17">
        <f t="shared" si="177"/>
        <v>3.5813483973721201E-2</v>
      </c>
      <c r="I1093" s="17">
        <f t="shared" si="178"/>
        <v>1.76458545209608</v>
      </c>
      <c r="J1093" s="17">
        <f t="shared" si="179"/>
        <v>3.2165186237059502E-2</v>
      </c>
      <c r="K1093" s="15">
        <f t="shared" si="180"/>
        <v>-1.72452904299014E-5</v>
      </c>
      <c r="L1093" s="15">
        <f t="shared" si="181"/>
        <v>3.6482977366617E-3</v>
      </c>
      <c r="M1093" s="15">
        <f t="shared" si="182"/>
        <v>0.56651710605897099</v>
      </c>
      <c r="N1093" s="15">
        <f t="shared" si="183"/>
        <v>-1.0326577384632401E-2</v>
      </c>
      <c r="O1093" s="17">
        <v>-0.38903146</v>
      </c>
      <c r="P1093" s="17">
        <v>-19.554870000000001</v>
      </c>
      <c r="Q1093" s="17">
        <v>-7.9608485</v>
      </c>
      <c r="R1093" s="17">
        <v>-17.603805999999999</v>
      </c>
      <c r="S1093" s="17">
        <f t="shared" si="184"/>
        <v>0.98780258155374667</v>
      </c>
      <c r="T1093" s="17">
        <f t="shared" si="185"/>
        <v>-23.193871743410817</v>
      </c>
    </row>
    <row r="1094" spans="1:20" x14ac:dyDescent="0.35">
      <c r="A1094" s="16">
        <v>4.1749999999999998</v>
      </c>
      <c r="B1094" s="16">
        <v>15</v>
      </c>
      <c r="C1094" s="16">
        <v>-4.4298082000000003E-2</v>
      </c>
      <c r="D1094" s="16">
        <v>-8.5068303999999997E-2</v>
      </c>
      <c r="E1094" s="16">
        <v>0.95565403999999998</v>
      </c>
      <c r="F1094" s="16">
        <v>-9.0462862000000005E-2</v>
      </c>
      <c r="G1094" s="16">
        <f t="shared" si="176"/>
        <v>1.7923909097573201</v>
      </c>
      <c r="H1094" s="16">
        <f t="shared" si="177"/>
        <v>-4.5379816175315497</v>
      </c>
      <c r="I1094" s="16">
        <f t="shared" si="178"/>
        <v>1.79237424596781</v>
      </c>
      <c r="J1094" s="16">
        <f t="shared" si="179"/>
        <v>-4.5406790060512199</v>
      </c>
      <c r="K1094" s="15">
        <f t="shared" si="180"/>
        <v>1.6663789510040799E-5</v>
      </c>
      <c r="L1094" s="15">
        <f t="shared" si="181"/>
        <v>2.69738851967016E-3</v>
      </c>
      <c r="M1094" s="15">
        <f t="shared" si="182"/>
        <v>7.5213861563006204E-2</v>
      </c>
      <c r="N1094" s="15">
        <f t="shared" si="183"/>
        <v>0.190541681198268</v>
      </c>
      <c r="O1094" s="16">
        <v>8.1044742999999997</v>
      </c>
      <c r="P1094" s="16">
        <v>-4.1340889000000001</v>
      </c>
      <c r="Q1094" s="16">
        <v>5.5861217999999999</v>
      </c>
      <c r="R1094" s="16">
        <v>-6.6822971999999998</v>
      </c>
      <c r="S1094" s="16">
        <f t="shared" si="184"/>
        <v>0.95731621169347192</v>
      </c>
      <c r="T1094" s="16">
        <f t="shared" si="185"/>
        <v>-23.079674057688202</v>
      </c>
    </row>
    <row r="1095" spans="1:20" x14ac:dyDescent="0.35">
      <c r="A1095" s="17">
        <v>4.1749999999999998</v>
      </c>
      <c r="B1095" s="17">
        <v>15.0488</v>
      </c>
      <c r="C1095" s="17">
        <v>-4.6790313E-2</v>
      </c>
      <c r="D1095" s="17">
        <v>-8.6941784999999994E-2</v>
      </c>
      <c r="E1095" s="17">
        <v>0.95315563999999997</v>
      </c>
      <c r="F1095" s="17">
        <v>-9.2395946000000007E-2</v>
      </c>
      <c r="G1095" s="17">
        <f t="shared" si="176"/>
        <v>1.78771751167291</v>
      </c>
      <c r="H1095" s="17">
        <f t="shared" si="177"/>
        <v>-4.3802644646110798</v>
      </c>
      <c r="I1095" s="17">
        <f t="shared" si="178"/>
        <v>1.78769792495831</v>
      </c>
      <c r="J1095" s="17">
        <f t="shared" si="179"/>
        <v>-4.3829916722243301</v>
      </c>
      <c r="K1095" s="15">
        <f t="shared" si="180"/>
        <v>1.9586714600006202E-5</v>
      </c>
      <c r="L1095" s="15">
        <f t="shared" si="181"/>
        <v>2.7272076132502901E-3</v>
      </c>
      <c r="M1095" s="15">
        <f t="shared" si="182"/>
        <v>7.9784862921584904E-2</v>
      </c>
      <c r="N1095" s="15">
        <f t="shared" si="183"/>
        <v>0.19561268426432901</v>
      </c>
      <c r="O1095" s="17">
        <v>8.2535600999999996</v>
      </c>
      <c r="P1095" s="17">
        <v>-4.3532466000000003</v>
      </c>
      <c r="Q1095" s="17">
        <v>5.6450106</v>
      </c>
      <c r="R1095" s="17">
        <v>-6.9417182999999998</v>
      </c>
      <c r="S1095" s="17">
        <f t="shared" si="184"/>
        <v>0.9588510348558128</v>
      </c>
      <c r="T1095" s="17">
        <f t="shared" si="185"/>
        <v>-23.07306766479401</v>
      </c>
    </row>
    <row r="1096" spans="1:20" x14ac:dyDescent="0.35">
      <c r="A1096" s="16">
        <v>4.1749999999999998</v>
      </c>
      <c r="B1096" s="16">
        <v>15.0976</v>
      </c>
      <c r="C1096" s="16">
        <v>-4.9410084E-2</v>
      </c>
      <c r="D1096" s="16">
        <v>-8.8779902999999993E-2</v>
      </c>
      <c r="E1096" s="16">
        <v>0.95053164000000001</v>
      </c>
      <c r="F1096" s="16">
        <v>-9.4282047999999993E-2</v>
      </c>
      <c r="G1096" s="16">
        <f t="shared" si="176"/>
        <v>1.78417769787994</v>
      </c>
      <c r="H1096" s="16">
        <f t="shared" si="177"/>
        <v>-4.2274940503165901</v>
      </c>
      <c r="I1096" s="16">
        <f t="shared" si="178"/>
        <v>1.7841561280351299</v>
      </c>
      <c r="J1096" s="16">
        <f t="shared" si="179"/>
        <v>-4.2302452623216098</v>
      </c>
      <c r="K1096" s="15">
        <f t="shared" si="180"/>
        <v>2.1569844810054299E-5</v>
      </c>
      <c r="L1096" s="15">
        <f t="shared" si="181"/>
        <v>2.7512120050197102E-3</v>
      </c>
      <c r="M1096" s="15">
        <f t="shared" si="182"/>
        <v>8.4644663109965906E-2</v>
      </c>
      <c r="N1096" s="15">
        <f t="shared" si="183"/>
        <v>0.20069302202609299</v>
      </c>
      <c r="O1096" s="16">
        <v>8.3953504999999993</v>
      </c>
      <c r="P1096" s="16">
        <v>-4.5807830000000003</v>
      </c>
      <c r="Q1096" s="16">
        <v>5.6967100000000004</v>
      </c>
      <c r="R1096" s="16">
        <v>-7.2123743999999999</v>
      </c>
      <c r="S1096" s="16">
        <f t="shared" si="184"/>
        <v>0.9610031574295882</v>
      </c>
      <c r="T1096" s="16">
        <f t="shared" si="185"/>
        <v>-23.078124365578226</v>
      </c>
    </row>
    <row r="1097" spans="1:20" x14ac:dyDescent="0.35">
      <c r="A1097" s="17">
        <v>4.1749999999999998</v>
      </c>
      <c r="B1097" s="17">
        <v>15.1464</v>
      </c>
      <c r="C1097" s="17">
        <v>-5.2184334999999998E-2</v>
      </c>
      <c r="D1097" s="17">
        <v>-9.0603655000000005E-2</v>
      </c>
      <c r="E1097" s="17">
        <v>0.94775662000000005</v>
      </c>
      <c r="F1097" s="17">
        <v>-9.6153874E-2</v>
      </c>
      <c r="G1097" s="17">
        <f t="shared" si="176"/>
        <v>1.7809126360466601</v>
      </c>
      <c r="H1097" s="17">
        <f t="shared" si="177"/>
        <v>-4.0777552539078803</v>
      </c>
      <c r="I1097" s="17">
        <f t="shared" si="178"/>
        <v>1.7808908145305899</v>
      </c>
      <c r="J1097" s="17">
        <f t="shared" si="179"/>
        <v>-4.0805305058973396</v>
      </c>
      <c r="K1097" s="15">
        <f t="shared" si="180"/>
        <v>2.1821516070108498E-5</v>
      </c>
      <c r="L1097" s="15">
        <f t="shared" si="181"/>
        <v>2.77525198945927E-3</v>
      </c>
      <c r="M1097" s="15">
        <f t="shared" si="182"/>
        <v>8.9842788045785493E-2</v>
      </c>
      <c r="N1097" s="15">
        <f t="shared" si="183"/>
        <v>0.20585553834322301</v>
      </c>
      <c r="O1097" s="17">
        <v>8.5410892</v>
      </c>
      <c r="P1097" s="17">
        <v>-4.8242076000000003</v>
      </c>
      <c r="Q1097" s="17">
        <v>5.7419181999999998</v>
      </c>
      <c r="R1097" s="17">
        <v>-7.4945386999999997</v>
      </c>
      <c r="S1097" s="17">
        <f t="shared" si="184"/>
        <v>0.96247827631734362</v>
      </c>
      <c r="T1097" s="17">
        <f t="shared" si="185"/>
        <v>-23.083797714579301</v>
      </c>
    </row>
    <row r="1098" spans="1:20" x14ac:dyDescent="0.35">
      <c r="A1098" s="16">
        <v>4.1749999999999998</v>
      </c>
      <c r="B1098" s="16">
        <v>15.1952</v>
      </c>
      <c r="C1098" s="16">
        <v>-5.5123445E-2</v>
      </c>
      <c r="D1098" s="16">
        <v>-9.2411913999999998E-2</v>
      </c>
      <c r="E1098" s="16">
        <v>0.94481731000000002</v>
      </c>
      <c r="F1098" s="16">
        <v>-9.8010625000000004E-2</v>
      </c>
      <c r="G1098" s="16">
        <f t="shared" si="176"/>
        <v>1.7777367866931499</v>
      </c>
      <c r="H1098" s="16">
        <f t="shared" si="177"/>
        <v>-3.93066031013963</v>
      </c>
      <c r="I1098" s="16">
        <f t="shared" si="178"/>
        <v>1.77771500034186</v>
      </c>
      <c r="J1098" s="16">
        <f t="shared" si="179"/>
        <v>-3.9334598095555302</v>
      </c>
      <c r="K1098" s="15">
        <f t="shared" si="180"/>
        <v>2.1786351289909699E-5</v>
      </c>
      <c r="L1098" s="15">
        <f t="shared" si="181"/>
        <v>2.7994994159001902E-3</v>
      </c>
      <c r="M1098" s="15">
        <f t="shared" si="182"/>
        <v>9.5409996768678895E-2</v>
      </c>
      <c r="N1098" s="15">
        <f t="shared" si="183"/>
        <v>0.211108860333209</v>
      </c>
      <c r="O1098" s="16">
        <v>8.6852005000000005</v>
      </c>
      <c r="P1098" s="16">
        <v>-5.0817081000000002</v>
      </c>
      <c r="Q1098" s="16">
        <v>5.7800457999999999</v>
      </c>
      <c r="R1098" s="16">
        <v>-7.7888903000000003</v>
      </c>
      <c r="S1098" s="16">
        <f t="shared" si="184"/>
        <v>0.9638899331949401</v>
      </c>
      <c r="T1098" s="16">
        <f t="shared" si="185"/>
        <v>-23.089426147295967</v>
      </c>
    </row>
    <row r="1099" spans="1:20" x14ac:dyDescent="0.35">
      <c r="A1099" s="17">
        <v>4.1749999999999998</v>
      </c>
      <c r="B1099" s="17">
        <v>15.244</v>
      </c>
      <c r="C1099" s="17">
        <v>-5.8237497999999999E-2</v>
      </c>
      <c r="D1099" s="17">
        <v>-9.4197996000000006E-2</v>
      </c>
      <c r="E1099" s="17">
        <v>0.94170299000000002</v>
      </c>
      <c r="F1099" s="17">
        <v>-9.9845613999999999E-2</v>
      </c>
      <c r="G1099" s="17">
        <f t="shared" si="176"/>
        <v>1.7745999436782101</v>
      </c>
      <c r="H1099" s="17">
        <f t="shared" si="177"/>
        <v>-3.78604530547118</v>
      </c>
      <c r="I1099" s="17">
        <f t="shared" si="178"/>
        <v>1.77457816133829</v>
      </c>
      <c r="J1099" s="17">
        <f t="shared" si="179"/>
        <v>-3.7888692600099398</v>
      </c>
      <c r="K1099" s="15">
        <f t="shared" si="180"/>
        <v>2.1782339920006801E-5</v>
      </c>
      <c r="L1099" s="15">
        <f t="shared" si="181"/>
        <v>2.8239545387598302E-3</v>
      </c>
      <c r="M1099" s="15">
        <f t="shared" si="182"/>
        <v>0.101377483035292</v>
      </c>
      <c r="N1099" s="15">
        <f t="shared" si="183"/>
        <v>0.216449203251731</v>
      </c>
      <c r="O1099" s="17">
        <v>8.8267863999999996</v>
      </c>
      <c r="P1099" s="17">
        <v>-5.3540074999999998</v>
      </c>
      <c r="Q1099" s="17">
        <v>5.8102235000000002</v>
      </c>
      <c r="R1099" s="17">
        <v>-8.0960262000000007</v>
      </c>
      <c r="S1099" s="17">
        <f t="shared" si="184"/>
        <v>0.96527538930534251</v>
      </c>
      <c r="T1099" s="17">
        <f t="shared" si="185"/>
        <v>-23.094895688096813</v>
      </c>
    </row>
    <row r="1100" spans="1:20" x14ac:dyDescent="0.35">
      <c r="A1100" s="16">
        <v>4.1749999999999998</v>
      </c>
      <c r="B1100" s="16">
        <v>15.2928</v>
      </c>
      <c r="C1100" s="16">
        <v>-6.1536266999999999E-2</v>
      </c>
      <c r="D1100" s="16">
        <v>-9.5952522999999998E-2</v>
      </c>
      <c r="E1100" s="16">
        <v>0.93840374000000004</v>
      </c>
      <c r="F1100" s="16">
        <v>-0.10164948</v>
      </c>
      <c r="G1100" s="16">
        <f t="shared" si="176"/>
        <v>1.7714863517855901</v>
      </c>
      <c r="H1100" s="16">
        <f t="shared" si="177"/>
        <v>-3.6438195698746401</v>
      </c>
      <c r="I1100" s="16">
        <f t="shared" si="178"/>
        <v>1.7714644688798999</v>
      </c>
      <c r="J1100" s="16">
        <f t="shared" si="179"/>
        <v>-3.64666819615644</v>
      </c>
      <c r="K1100" s="15">
        <f t="shared" si="180"/>
        <v>2.1882905690162598E-5</v>
      </c>
      <c r="L1100" s="15">
        <f t="shared" si="181"/>
        <v>2.8486262817999401E-3</v>
      </c>
      <c r="M1100" s="15">
        <f t="shared" si="182"/>
        <v>0.10777773168377899</v>
      </c>
      <c r="N1100" s="15">
        <f t="shared" si="183"/>
        <v>0.22186706721452601</v>
      </c>
      <c r="O1100" s="16">
        <v>8.9717123999999995</v>
      </c>
      <c r="P1100" s="16">
        <v>-5.6461421999999999</v>
      </c>
      <c r="Q1100" s="16">
        <v>5.8313001</v>
      </c>
      <c r="R1100" s="16">
        <v>-8.4163163999999995</v>
      </c>
      <c r="S1100" s="16">
        <f t="shared" si="184"/>
        <v>0.96590416004870328</v>
      </c>
      <c r="T1100" s="16">
        <f t="shared" si="185"/>
        <v>-23.100271387558923</v>
      </c>
    </row>
    <row r="1101" spans="1:20" x14ac:dyDescent="0.35">
      <c r="A1101" s="17">
        <v>4.1749999999999998</v>
      </c>
      <c r="B1101" s="17">
        <v>15.3416</v>
      </c>
      <c r="C1101" s="17">
        <v>-6.5029212000000003E-2</v>
      </c>
      <c r="D1101" s="17">
        <v>-9.7664147000000007E-2</v>
      </c>
      <c r="E1101" s="17">
        <v>0.93491009000000003</v>
      </c>
      <c r="F1101" s="17">
        <v>-0.1034109</v>
      </c>
      <c r="G1101" s="17">
        <f t="shared" si="176"/>
        <v>1.76839007910922</v>
      </c>
      <c r="H1101" s="17">
        <f t="shared" si="177"/>
        <v>-3.5039236599194301</v>
      </c>
      <c r="I1101" s="17">
        <f t="shared" si="178"/>
        <v>1.7683679861642101</v>
      </c>
      <c r="J1101" s="17">
        <f t="shared" si="179"/>
        <v>-3.5067971871094499</v>
      </c>
      <c r="K1101" s="15">
        <f t="shared" si="180"/>
        <v>2.20929450098772E-5</v>
      </c>
      <c r="L1101" s="15">
        <f t="shared" si="181"/>
        <v>2.8735271900197602E-3</v>
      </c>
      <c r="M1101" s="15">
        <f t="shared" si="182"/>
        <v>0.114644825655444</v>
      </c>
      <c r="N1101" s="15">
        <f t="shared" si="183"/>
        <v>0.227348693976996</v>
      </c>
      <c r="O1101" s="17">
        <v>9.1054706999999997</v>
      </c>
      <c r="P1101" s="17">
        <v>-5.9505312000000004</v>
      </c>
      <c r="Q1101" s="17">
        <v>5.8420768000000001</v>
      </c>
      <c r="R1101" s="17">
        <v>-8.7500739999999997</v>
      </c>
      <c r="S1101" s="17">
        <f t="shared" si="184"/>
        <v>0.96724209478891354</v>
      </c>
      <c r="T1101" s="17">
        <f t="shared" si="185"/>
        <v>-23.105454036652176</v>
      </c>
    </row>
    <row r="1102" spans="1:20" x14ac:dyDescent="0.35">
      <c r="A1102" s="16">
        <v>4.1749999999999998</v>
      </c>
      <c r="B1102" s="16">
        <v>15.3904</v>
      </c>
      <c r="C1102" s="16">
        <v>-6.8725437E-2</v>
      </c>
      <c r="D1102" s="16">
        <v>-9.9319706999999993E-2</v>
      </c>
      <c r="E1102" s="16">
        <v>0.93121293999999999</v>
      </c>
      <c r="F1102" s="16">
        <v>-0.10511674999999999</v>
      </c>
      <c r="G1102" s="16">
        <f t="shared" si="176"/>
        <v>1.76530848751782</v>
      </c>
      <c r="H1102" s="16">
        <f t="shared" si="177"/>
        <v>-3.3663125787455899</v>
      </c>
      <c r="I1102" s="16">
        <f t="shared" si="178"/>
        <v>1.7652860772013701</v>
      </c>
      <c r="J1102" s="16">
        <f t="shared" si="179"/>
        <v>-3.36921125451493</v>
      </c>
      <c r="K1102" s="15">
        <f t="shared" si="180"/>
        <v>2.2410316449894599E-5</v>
      </c>
      <c r="L1102" s="15">
        <f t="shared" si="181"/>
        <v>2.8986757693401101E-3</v>
      </c>
      <c r="M1102" s="15">
        <f t="shared" si="182"/>
        <v>0.12201466074065299</v>
      </c>
      <c r="N1102" s="15">
        <f t="shared" si="183"/>
        <v>0.232876230936441</v>
      </c>
      <c r="O1102" s="16">
        <v>9.2335414</v>
      </c>
      <c r="P1102" s="16">
        <v>-6.2719215000000004</v>
      </c>
      <c r="Q1102" s="16">
        <v>5.8412053000000004</v>
      </c>
      <c r="R1102" s="16">
        <v>-9.0975602999999996</v>
      </c>
      <c r="S1102" s="16">
        <f t="shared" si="184"/>
        <v>0.96856575546153068</v>
      </c>
      <c r="T1102" s="16">
        <f t="shared" si="185"/>
        <v>-23.110517072698791</v>
      </c>
    </row>
    <row r="1103" spans="1:20" x14ac:dyDescent="0.35">
      <c r="A1103" s="17">
        <v>4.1749999999999998</v>
      </c>
      <c r="B1103" s="17">
        <v>15.4392</v>
      </c>
      <c r="C1103" s="17">
        <v>-7.2633577000000005E-2</v>
      </c>
      <c r="D1103" s="17">
        <v>-0.10090420999999999</v>
      </c>
      <c r="E1103" s="17">
        <v>0.92730367999999996</v>
      </c>
      <c r="F1103" s="17">
        <v>-0.10675208999999999</v>
      </c>
      <c r="G1103" s="17">
        <f t="shared" si="176"/>
        <v>1.7622399026130999</v>
      </c>
      <c r="H1103" s="17">
        <f t="shared" si="177"/>
        <v>-3.2309492301134899</v>
      </c>
      <c r="I1103" s="17">
        <f t="shared" si="178"/>
        <v>1.7622170802856001</v>
      </c>
      <c r="J1103" s="17">
        <f t="shared" si="179"/>
        <v>-3.2338733285779702</v>
      </c>
      <c r="K1103" s="15">
        <f t="shared" si="180"/>
        <v>2.28223274998385E-5</v>
      </c>
      <c r="L1103" s="15">
        <f t="shared" si="181"/>
        <v>2.9240984644802702E-3</v>
      </c>
      <c r="M1103" s="15">
        <f t="shared" si="182"/>
        <v>0.12992495462641501</v>
      </c>
      <c r="N1103" s="15">
        <f t="shared" si="183"/>
        <v>0.23842740499085999</v>
      </c>
      <c r="O1103" s="17">
        <v>9.3473925999999992</v>
      </c>
      <c r="P1103" s="17">
        <v>-6.6058690000000002</v>
      </c>
      <c r="Q1103" s="17">
        <v>5.8272193000000003</v>
      </c>
      <c r="R1103" s="17">
        <v>-9.4588368999999997</v>
      </c>
      <c r="S1103" s="17">
        <f t="shared" si="184"/>
        <v>0.97061984666146717</v>
      </c>
      <c r="T1103" s="17">
        <f t="shared" si="185"/>
        <v>-23.115281214862673</v>
      </c>
    </row>
    <row r="1104" spans="1:20" x14ac:dyDescent="0.35">
      <c r="A1104" s="16">
        <v>4.1749999999999998</v>
      </c>
      <c r="B1104" s="16">
        <v>15.488</v>
      </c>
      <c r="C1104" s="16">
        <v>-7.6761609999999994E-2</v>
      </c>
      <c r="D1104" s="16">
        <v>-0.10240077</v>
      </c>
      <c r="E1104" s="16">
        <v>0.92317433999999998</v>
      </c>
      <c r="F1104" s="16">
        <v>-0.10830004</v>
      </c>
      <c r="G1104" s="16">
        <f t="shared" si="176"/>
        <v>1.75918351467926</v>
      </c>
      <c r="H1104" s="16">
        <f t="shared" si="177"/>
        <v>-3.0978010967996599</v>
      </c>
      <c r="I1104" s="16">
        <f t="shared" si="178"/>
        <v>1.7591601897605</v>
      </c>
      <c r="J1104" s="16">
        <f t="shared" si="179"/>
        <v>-3.10075089506695</v>
      </c>
      <c r="K1104" s="15">
        <f t="shared" si="180"/>
        <v>2.3324918760003798E-5</v>
      </c>
      <c r="L1104" s="15">
        <f t="shared" si="181"/>
        <v>2.9497982672901401E-3</v>
      </c>
      <c r="M1104" s="15">
        <f t="shared" si="182"/>
        <v>0.13841518374253001</v>
      </c>
      <c r="N1104" s="15">
        <f t="shared" si="183"/>
        <v>0.24397494178113299</v>
      </c>
      <c r="O1104" s="16">
        <v>9.4598525999999996</v>
      </c>
      <c r="P1104" s="16">
        <v>-6.9628771</v>
      </c>
      <c r="Q1104" s="16">
        <v>5.7983848</v>
      </c>
      <c r="R1104" s="16">
        <v>-9.8336126999999998</v>
      </c>
      <c r="S1104" s="16">
        <f t="shared" si="184"/>
        <v>0.97188409223612193</v>
      </c>
      <c r="T1104" s="16">
        <f t="shared" si="185"/>
        <v>-23.119553912467182</v>
      </c>
    </row>
    <row r="1105" spans="1:20" x14ac:dyDescent="0.35">
      <c r="A1105" s="17">
        <v>4.1749999999999998</v>
      </c>
      <c r="B1105" s="17">
        <v>15.536799999999999</v>
      </c>
      <c r="C1105" s="17">
        <v>-8.1116621999999999E-2</v>
      </c>
      <c r="D1105" s="17">
        <v>-0.10379048</v>
      </c>
      <c r="E1105" s="17">
        <v>0.91881784</v>
      </c>
      <c r="F1105" s="17">
        <v>-0.10974175999999999</v>
      </c>
      <c r="G1105" s="17">
        <f t="shared" si="176"/>
        <v>1.7561385707447901</v>
      </c>
      <c r="H1105" s="17">
        <f t="shared" si="177"/>
        <v>-2.9668385583088202</v>
      </c>
      <c r="I1105" s="17">
        <f t="shared" si="178"/>
        <v>1.75611465589646</v>
      </c>
      <c r="J1105" s="17">
        <f t="shared" si="179"/>
        <v>-2.9698143669850698</v>
      </c>
      <c r="K1105" s="15">
        <f t="shared" si="180"/>
        <v>2.39148483300866E-5</v>
      </c>
      <c r="L1105" s="15">
        <f t="shared" si="181"/>
        <v>2.9758086762496899E-3</v>
      </c>
      <c r="M1105" s="15">
        <f t="shared" si="182"/>
        <v>0.14752634359428199</v>
      </c>
      <c r="N1105" s="15">
        <f t="shared" si="183"/>
        <v>0.24948590528755801</v>
      </c>
      <c r="O1105" s="17">
        <v>9.5701742000000003</v>
      </c>
      <c r="P1105" s="17">
        <v>-7.3447630000000004</v>
      </c>
      <c r="Q1105" s="17">
        <v>5.7530273000000003</v>
      </c>
      <c r="R1105" s="17">
        <v>-10.222284999999999</v>
      </c>
      <c r="S1105" s="17">
        <f t="shared" si="184"/>
        <v>0.97233378209014831</v>
      </c>
      <c r="T1105" s="17">
        <f t="shared" si="185"/>
        <v>-23.124572528422693</v>
      </c>
    </row>
    <row r="1106" spans="1:20" x14ac:dyDescent="0.35">
      <c r="A1106" s="16">
        <v>4.1749999999999998</v>
      </c>
      <c r="B1106" s="16">
        <v>15.585599999999999</v>
      </c>
      <c r="C1106" s="16">
        <v>-8.5704508999999998E-2</v>
      </c>
      <c r="D1106" s="16">
        <v>-0.10505239</v>
      </c>
      <c r="E1106" s="16">
        <v>0.91422831000000004</v>
      </c>
      <c r="F1106" s="16">
        <v>-0.11105632</v>
      </c>
      <c r="G1106" s="16">
        <f t="shared" si="176"/>
        <v>1.75310413055963</v>
      </c>
      <c r="H1106" s="16">
        <f t="shared" si="177"/>
        <v>-2.83803452825491</v>
      </c>
      <c r="I1106" s="16">
        <f t="shared" si="178"/>
        <v>1.75307955155211</v>
      </c>
      <c r="J1106" s="16">
        <f t="shared" si="179"/>
        <v>-2.8410366678836101</v>
      </c>
      <c r="K1106" s="15">
        <f t="shared" si="180"/>
        <v>2.4579007519953701E-5</v>
      </c>
      <c r="L1106" s="15">
        <f t="shared" si="181"/>
        <v>3.0021396287001098E-3</v>
      </c>
      <c r="M1106" s="15">
        <f t="shared" si="182"/>
        <v>0.15730054628168499</v>
      </c>
      <c r="N1106" s="15">
        <f t="shared" si="183"/>
        <v>0.25492090160353797</v>
      </c>
      <c r="O1106" s="16">
        <v>9.6607140999999999</v>
      </c>
      <c r="P1106" s="16">
        <v>-7.7400412999999997</v>
      </c>
      <c r="Q1106" s="16">
        <v>5.6897190999999996</v>
      </c>
      <c r="R1106" s="16">
        <v>-10.624953</v>
      </c>
      <c r="S1106" s="16">
        <f t="shared" si="184"/>
        <v>0.9736302964699084</v>
      </c>
      <c r="T1106" s="16">
        <f t="shared" si="185"/>
        <v>-23.129448909872838</v>
      </c>
    </row>
    <row r="1107" spans="1:20" x14ac:dyDescent="0.35">
      <c r="A1107" s="17">
        <v>4.1749999999999998</v>
      </c>
      <c r="B1107" s="17">
        <v>15.634399999999999</v>
      </c>
      <c r="C1107" s="17">
        <v>-9.0529630999999999E-2</v>
      </c>
      <c r="D1107" s="17">
        <v>-0.10616339</v>
      </c>
      <c r="E1107" s="17">
        <v>0.90940140000000003</v>
      </c>
      <c r="F1107" s="17">
        <v>-0.11222066</v>
      </c>
      <c r="G1107" s="17">
        <f t="shared" si="176"/>
        <v>1.7500799232550901</v>
      </c>
      <c r="H1107" s="17">
        <f t="shared" si="177"/>
        <v>-2.7113636444806199</v>
      </c>
      <c r="I1107" s="17">
        <f t="shared" si="178"/>
        <v>1.75005461106069</v>
      </c>
      <c r="J1107" s="17">
        <f t="shared" si="179"/>
        <v>-2.71439246058923</v>
      </c>
      <c r="K1107" s="15">
        <f t="shared" si="180"/>
        <v>2.5312194400051199E-5</v>
      </c>
      <c r="L1107" s="15">
        <f t="shared" si="181"/>
        <v>3.0288161086100599E-3</v>
      </c>
      <c r="M1107" s="15">
        <f t="shared" si="182"/>
        <v>0.16778053638859899</v>
      </c>
      <c r="N1107" s="15">
        <f t="shared" si="183"/>
        <v>0.26023314937058101</v>
      </c>
      <c r="O1107" s="17">
        <v>9.7373396000000003</v>
      </c>
      <c r="P1107" s="17">
        <v>-8.1547538999999993</v>
      </c>
      <c r="Q1107" s="17">
        <v>5.6060619000000003</v>
      </c>
      <c r="R1107" s="17">
        <v>-11.040182</v>
      </c>
      <c r="S1107" s="17">
        <f t="shared" si="184"/>
        <v>0.97488148746683623</v>
      </c>
      <c r="T1107" s="17">
        <f t="shared" si="185"/>
        <v>-23.133880748252157</v>
      </c>
    </row>
    <row r="1108" spans="1:20" x14ac:dyDescent="0.35">
      <c r="A1108" s="16">
        <v>4.1749999999999998</v>
      </c>
      <c r="B1108" s="16">
        <v>15.683199999999999</v>
      </c>
      <c r="C1108" s="16">
        <v>-9.5594411000000004E-2</v>
      </c>
      <c r="D1108" s="16">
        <v>-0.10709826</v>
      </c>
      <c r="E1108" s="16">
        <v>0.90433470000000005</v>
      </c>
      <c r="F1108" s="16">
        <v>-0.11320957</v>
      </c>
      <c r="G1108" s="16">
        <f t="shared" si="176"/>
        <v>1.74706557265825</v>
      </c>
      <c r="H1108" s="16">
        <f t="shared" si="177"/>
        <v>-2.58680216487438</v>
      </c>
      <c r="I1108" s="16">
        <f t="shared" si="178"/>
        <v>1.74703946483508</v>
      </c>
      <c r="J1108" s="16">
        <f t="shared" si="179"/>
        <v>-2.5898580079636999</v>
      </c>
      <c r="K1108" s="15">
        <f t="shared" si="180"/>
        <v>2.61078231700296E-5</v>
      </c>
      <c r="L1108" s="15">
        <f t="shared" si="181"/>
        <v>3.0558430893199398E-3</v>
      </c>
      <c r="M1108" s="15">
        <f t="shared" si="182"/>
        <v>0.17900890674397399</v>
      </c>
      <c r="N1108" s="15">
        <f t="shared" si="183"/>
        <v>0.26536758897514301</v>
      </c>
      <c r="O1108" s="16">
        <v>9.7918900999999998</v>
      </c>
      <c r="P1108" s="16">
        <v>-8.5837161000000002</v>
      </c>
      <c r="Q1108" s="16">
        <v>5.5000270000000002</v>
      </c>
      <c r="R1108" s="16">
        <v>-11.467247</v>
      </c>
      <c r="S1108" s="16">
        <f t="shared" si="184"/>
        <v>0.97668870869786895</v>
      </c>
      <c r="T1108" s="16">
        <f t="shared" si="185"/>
        <v>-23.137975922677214</v>
      </c>
    </row>
    <row r="1109" spans="1:20" x14ac:dyDescent="0.35">
      <c r="A1109" s="17">
        <v>4.1749999999999998</v>
      </c>
      <c r="B1109" s="17">
        <v>15.731999999999999</v>
      </c>
      <c r="C1109" s="17">
        <v>-0.10090267999999999</v>
      </c>
      <c r="D1109" s="17">
        <v>-0.10782645</v>
      </c>
      <c r="E1109" s="17">
        <v>0.899092</v>
      </c>
      <c r="F1109" s="17">
        <v>-0.11390569</v>
      </c>
      <c r="G1109" s="17">
        <f t="shared" si="176"/>
        <v>1.7450143469761701</v>
      </c>
      <c r="H1109" s="17">
        <f t="shared" si="177"/>
        <v>-2.4651116195445102</v>
      </c>
      <c r="I1109" s="17">
        <f t="shared" si="178"/>
        <v>1.7450209262472101</v>
      </c>
      <c r="J1109" s="17">
        <f t="shared" si="179"/>
        <v>-2.4681512276313899</v>
      </c>
      <c r="K1109" s="15">
        <f t="shared" si="180"/>
        <v>-6.5792710399747997E-6</v>
      </c>
      <c r="L1109" s="15">
        <f t="shared" si="181"/>
        <v>3.03960808687975E-3</v>
      </c>
      <c r="M1109" s="15">
        <f t="shared" si="182"/>
        <v>0.19098676130526601</v>
      </c>
      <c r="N1109" s="15">
        <f t="shared" si="183"/>
        <v>0.27013097796522201</v>
      </c>
      <c r="O1109" s="17">
        <v>9.8331259000000006</v>
      </c>
      <c r="P1109" s="17">
        <v>-9.0367995000000008</v>
      </c>
      <c r="Q1109" s="17">
        <v>5.3690696999999998</v>
      </c>
      <c r="R1109" s="17">
        <v>-11.904581</v>
      </c>
      <c r="S1109" s="17">
        <f t="shared" si="184"/>
        <v>0.97786556894302001</v>
      </c>
      <c r="T1109" s="17">
        <f t="shared" si="185"/>
        <v>-23.140705949271801</v>
      </c>
    </row>
    <row r="1110" spans="1:20" x14ac:dyDescent="0.35">
      <c r="A1110" s="16">
        <v>4.1749999999999998</v>
      </c>
      <c r="B1110" s="16">
        <v>15.780799999999999</v>
      </c>
      <c r="C1110" s="16">
        <v>-0.10644455999999999</v>
      </c>
      <c r="D1110" s="16">
        <v>-0.10832474</v>
      </c>
      <c r="E1110" s="16">
        <v>0.89355101999999997</v>
      </c>
      <c r="F1110" s="16">
        <v>-0.11445804</v>
      </c>
      <c r="G1110" s="16">
        <f t="shared" si="176"/>
        <v>1.74202354310019</v>
      </c>
      <c r="H1110" s="16">
        <f t="shared" si="177"/>
        <v>-2.3446395122250898</v>
      </c>
      <c r="I1110" s="16">
        <f t="shared" si="178"/>
        <v>1.7420307374114401</v>
      </c>
      <c r="J1110" s="16">
        <f t="shared" si="179"/>
        <v>-2.3477061469399301</v>
      </c>
      <c r="K1110" s="15">
        <f t="shared" si="180"/>
        <v>-7.1943112500694201E-6</v>
      </c>
      <c r="L1110" s="15">
        <f t="shared" si="181"/>
        <v>3.0666347148402598E-3</v>
      </c>
      <c r="M1110" s="15">
        <f t="shared" si="182"/>
        <v>0.20383222259082401</v>
      </c>
      <c r="N1110" s="15">
        <f t="shared" si="183"/>
        <v>0.274701330834142</v>
      </c>
      <c r="O1110" s="16">
        <v>9.86083</v>
      </c>
      <c r="P1110" s="16">
        <v>-9.5154105999999992</v>
      </c>
      <c r="Q1110" s="16">
        <v>5.2122352000000003</v>
      </c>
      <c r="R1110" s="16">
        <v>-12.353522</v>
      </c>
      <c r="S1110" s="16">
        <f t="shared" si="184"/>
        <v>0.97846078894303201</v>
      </c>
      <c r="T1110" s="16">
        <f t="shared" si="185"/>
        <v>-23.145300827205496</v>
      </c>
    </row>
    <row r="1111" spans="1:20" x14ac:dyDescent="0.35">
      <c r="A1111" s="17">
        <v>4.1749999999999998</v>
      </c>
      <c r="B1111" s="17">
        <v>15.829599999999999</v>
      </c>
      <c r="C1111" s="17">
        <v>-0.11221713</v>
      </c>
      <c r="D1111" s="17">
        <v>-0.10855917</v>
      </c>
      <c r="E1111" s="17">
        <v>0.88777934000000003</v>
      </c>
      <c r="F1111" s="17">
        <v>-0.11474682999999999</v>
      </c>
      <c r="G1111" s="17">
        <f t="shared" si="176"/>
        <v>1.7390474900414601</v>
      </c>
      <c r="H1111" s="17">
        <f t="shared" si="177"/>
        <v>-2.2262134481489699</v>
      </c>
      <c r="I1111" s="17">
        <f t="shared" si="178"/>
        <v>1.7390552967814801</v>
      </c>
      <c r="J1111" s="17">
        <f t="shared" si="179"/>
        <v>-2.22930725945682</v>
      </c>
      <c r="K1111" s="15">
        <f t="shared" si="180"/>
        <v>-7.8067400199888192E-6</v>
      </c>
      <c r="L1111" s="15">
        <f t="shared" si="181"/>
        <v>3.0938113078500299E-3</v>
      </c>
      <c r="M1111" s="15">
        <f t="shared" si="182"/>
        <v>0.217541691512038</v>
      </c>
      <c r="N1111" s="15">
        <f t="shared" si="183"/>
        <v>0.27886822979110798</v>
      </c>
      <c r="O1111" s="17">
        <v>9.8586004000000003</v>
      </c>
      <c r="P1111" s="17">
        <v>-10.006451</v>
      </c>
      <c r="Q1111" s="17">
        <v>5.0265823000000003</v>
      </c>
      <c r="R1111" s="17">
        <v>-12.810445</v>
      </c>
      <c r="S1111" s="17">
        <f t="shared" si="184"/>
        <v>0.97965574075183826</v>
      </c>
      <c r="T1111" s="17">
        <f t="shared" si="185"/>
        <v>-23.149443267061766</v>
      </c>
    </row>
    <row r="1112" spans="1:20" x14ac:dyDescent="0.35">
      <c r="A1112" s="16">
        <v>4.1749999999999998</v>
      </c>
      <c r="B1112" s="16">
        <v>15.878399999999999</v>
      </c>
      <c r="C1112" s="16">
        <v>-0.11820509</v>
      </c>
      <c r="D1112" s="16">
        <v>-0.10849755</v>
      </c>
      <c r="E1112" s="16">
        <v>0.88179118000000001</v>
      </c>
      <c r="F1112" s="16">
        <v>-0.11474015999999999</v>
      </c>
      <c r="G1112" s="16">
        <f t="shared" si="176"/>
        <v>1.7360831306351701</v>
      </c>
      <c r="H1112" s="16">
        <f t="shared" si="177"/>
        <v>-2.10990122784639</v>
      </c>
      <c r="I1112" s="16">
        <f t="shared" si="178"/>
        <v>1.73609100813619</v>
      </c>
      <c r="J1112" s="16">
        <f t="shared" si="179"/>
        <v>-2.11302251407951</v>
      </c>
      <c r="K1112" s="15">
        <f t="shared" si="180"/>
        <v>-7.8775010199372292E-6</v>
      </c>
      <c r="L1112" s="15">
        <f t="shared" si="181"/>
        <v>3.1212862331200198E-3</v>
      </c>
      <c r="M1112" s="15">
        <f t="shared" si="182"/>
        <v>0.232132606174726</v>
      </c>
      <c r="N1112" s="15">
        <f t="shared" si="183"/>
        <v>0.282532091232783</v>
      </c>
      <c r="O1112" s="16">
        <v>9.8253693000000002</v>
      </c>
      <c r="P1112" s="16">
        <v>-10.509235</v>
      </c>
      <c r="Q1112" s="16">
        <v>4.8101060000000002</v>
      </c>
      <c r="R1112" s="16">
        <v>-13.272748</v>
      </c>
      <c r="S1112" s="16">
        <f t="shared" si="184"/>
        <v>0.98127489196157314</v>
      </c>
      <c r="T1112" s="16">
        <f t="shared" si="185"/>
        <v>-23.153078961961945</v>
      </c>
    </row>
    <row r="1113" spans="1:20" x14ac:dyDescent="0.35">
      <c r="A1113" s="17">
        <v>4.1749999999999998</v>
      </c>
      <c r="B1113" s="17">
        <v>15.927199999999999</v>
      </c>
      <c r="C1113" s="17">
        <v>-0.12440675</v>
      </c>
      <c r="D1113" s="17">
        <v>-0.10810559</v>
      </c>
      <c r="E1113" s="17">
        <v>0.87559054999999997</v>
      </c>
      <c r="F1113" s="17">
        <v>-0.11440353</v>
      </c>
      <c r="G1113" s="17">
        <f t="shared" si="176"/>
        <v>1.7331372050600899</v>
      </c>
      <c r="H1113" s="17">
        <f t="shared" si="177"/>
        <v>-1.99545926989747</v>
      </c>
      <c r="I1113" s="17">
        <f t="shared" si="178"/>
        <v>1.7331457710121601</v>
      </c>
      <c r="J1113" s="17">
        <f t="shared" si="179"/>
        <v>-1.99860821717462</v>
      </c>
      <c r="K1113" s="15">
        <f t="shared" si="180"/>
        <v>-8.5659520701053504E-6</v>
      </c>
      <c r="L1113" s="15">
        <f t="shared" si="181"/>
        <v>3.1489472771499801E-3</v>
      </c>
      <c r="M1113" s="15">
        <f t="shared" si="182"/>
        <v>0.247654907240238</v>
      </c>
      <c r="N1113" s="15">
        <f t="shared" si="183"/>
        <v>0.28558771045836401</v>
      </c>
      <c r="O1113" s="17">
        <v>9.7731072999999995</v>
      </c>
      <c r="P1113" s="17">
        <v>-11.039251</v>
      </c>
      <c r="Q1113" s="17">
        <v>4.5605225000000003</v>
      </c>
      <c r="R1113" s="17">
        <v>-13.740748999999999</v>
      </c>
      <c r="S1113" s="17">
        <f t="shared" si="184"/>
        <v>0.98196032475888617</v>
      </c>
      <c r="T1113" s="17">
        <f t="shared" si="185"/>
        <v>-23.157751188893567</v>
      </c>
    </row>
    <row r="1114" spans="1:20" x14ac:dyDescent="0.35">
      <c r="A1114" s="16">
        <v>4.1749999999999998</v>
      </c>
      <c r="B1114" s="16">
        <v>15.976000000000001</v>
      </c>
      <c r="C1114" s="16">
        <v>-0.13079278</v>
      </c>
      <c r="D1114" s="16">
        <v>-0.10735032</v>
      </c>
      <c r="E1114" s="16">
        <v>0.86920549999999996</v>
      </c>
      <c r="F1114" s="16">
        <v>-0.11370371999999999</v>
      </c>
      <c r="G1114" s="16">
        <f t="shared" si="176"/>
        <v>1.7302029856775401</v>
      </c>
      <c r="H1114" s="16">
        <f t="shared" si="177"/>
        <v>-1.8830461161541401</v>
      </c>
      <c r="I1114" s="16">
        <f t="shared" si="178"/>
        <v>1.7302122170238901</v>
      </c>
      <c r="J1114" s="16">
        <f t="shared" si="179"/>
        <v>-1.8862227895608601</v>
      </c>
      <c r="K1114" s="15">
        <f t="shared" si="180"/>
        <v>-9.2313463500026705E-6</v>
      </c>
      <c r="L1114" s="15">
        <f t="shared" si="181"/>
        <v>3.1766734067200102E-3</v>
      </c>
      <c r="M1114" s="15">
        <f t="shared" si="182"/>
        <v>0.26409523737665602</v>
      </c>
      <c r="N1114" s="15">
        <f t="shared" si="183"/>
        <v>0.28790829844629201</v>
      </c>
      <c r="O1114" s="16">
        <v>9.6801007000000006</v>
      </c>
      <c r="P1114" s="16">
        <v>-11.573097000000001</v>
      </c>
      <c r="Q1114" s="16">
        <v>4.2760863999999996</v>
      </c>
      <c r="R1114" s="16">
        <v>-14.208888</v>
      </c>
      <c r="S1114" s="16">
        <f t="shared" si="184"/>
        <v>0.98347021773241139</v>
      </c>
      <c r="T1114" s="16">
        <f t="shared" si="185"/>
        <v>-23.16128853132188</v>
      </c>
    </row>
    <row r="1115" spans="1:20" x14ac:dyDescent="0.35">
      <c r="A1115" s="17">
        <v>4.1749999999999998</v>
      </c>
      <c r="B1115" s="17">
        <v>16.024799999999999</v>
      </c>
      <c r="C1115" s="17">
        <v>-0.13733913</v>
      </c>
      <c r="D1115" s="17">
        <v>-0.10619834</v>
      </c>
      <c r="E1115" s="17">
        <v>0.86266019999999999</v>
      </c>
      <c r="F1115" s="17">
        <v>-0.1126075</v>
      </c>
      <c r="G1115" s="17">
        <f t="shared" si="176"/>
        <v>1.72728082988549</v>
      </c>
      <c r="H1115" s="17">
        <f t="shared" si="177"/>
        <v>-1.7726260571046799</v>
      </c>
      <c r="I1115" s="17">
        <f t="shared" si="178"/>
        <v>1.72729076412322</v>
      </c>
      <c r="J1115" s="17">
        <f t="shared" si="179"/>
        <v>-1.7758306063431399</v>
      </c>
      <c r="K1115" s="15">
        <f t="shared" si="180"/>
        <v>-9.9342377299915796E-6</v>
      </c>
      <c r="L1115" s="15">
        <f t="shared" si="181"/>
        <v>3.20454923846003E-3</v>
      </c>
      <c r="M1115" s="15">
        <f t="shared" si="182"/>
        <v>0.28145029241299302</v>
      </c>
      <c r="N1115" s="15">
        <f t="shared" si="183"/>
        <v>0.28935952985594998</v>
      </c>
      <c r="O1115" s="17">
        <v>9.5606176999999999</v>
      </c>
      <c r="P1115" s="17">
        <v>-12.128194000000001</v>
      </c>
      <c r="Q1115" s="17">
        <v>3.9551964000000002</v>
      </c>
      <c r="R1115" s="17">
        <v>-14.675794</v>
      </c>
      <c r="S1115" s="17">
        <f t="shared" si="184"/>
        <v>0.9842021757638042</v>
      </c>
      <c r="T1115" s="17">
        <f t="shared" si="185"/>
        <v>-23.165478015746253</v>
      </c>
    </row>
    <row r="1116" spans="1:20" x14ac:dyDescent="0.35">
      <c r="A1116" s="16">
        <v>4.1749999999999998</v>
      </c>
      <c r="B1116" s="16">
        <v>16.073599999999999</v>
      </c>
      <c r="C1116" s="16">
        <v>-0.14402497</v>
      </c>
      <c r="D1116" s="16">
        <v>-0.10462007</v>
      </c>
      <c r="E1116" s="16">
        <v>0.85602290999999997</v>
      </c>
      <c r="F1116" s="16">
        <v>-0.11115522999999999</v>
      </c>
      <c r="G1116" s="16">
        <f t="shared" si="176"/>
        <v>1.72386527017984</v>
      </c>
      <c r="H1116" s="16">
        <f t="shared" si="177"/>
        <v>-1.6645312297324599</v>
      </c>
      <c r="I1116" s="16">
        <f t="shared" si="178"/>
        <v>1.7238998858050101</v>
      </c>
      <c r="J1116" s="16">
        <f t="shared" si="179"/>
        <v>-1.6677986184018501</v>
      </c>
      <c r="K1116" s="15">
        <f t="shared" si="180"/>
        <v>-3.4615625170042497E-5</v>
      </c>
      <c r="L1116" s="15">
        <f t="shared" si="181"/>
        <v>3.2673886693901401E-3</v>
      </c>
      <c r="M1116" s="15">
        <f t="shared" si="182"/>
        <v>0.29963238523771002</v>
      </c>
      <c r="N1116" s="15">
        <f t="shared" si="183"/>
        <v>0.28988138014438602</v>
      </c>
      <c r="O1116" s="16">
        <v>9.4004580999999998</v>
      </c>
      <c r="P1116" s="16">
        <v>-12.687823</v>
      </c>
      <c r="Q1116" s="16">
        <v>3.5966160999999999</v>
      </c>
      <c r="R1116" s="16">
        <v>-15.138313999999999</v>
      </c>
      <c r="S1116" s="16">
        <f t="shared" si="184"/>
        <v>0.98536456355603919</v>
      </c>
      <c r="T1116" s="16">
        <f t="shared" si="185"/>
        <v>-23.170136801928663</v>
      </c>
    </row>
    <row r="1117" spans="1:20" x14ac:dyDescent="0.35">
      <c r="A1117" s="17">
        <v>4.1749999999999998</v>
      </c>
      <c r="B1117" s="17">
        <v>16.122399999999999</v>
      </c>
      <c r="C1117" s="17">
        <v>-0.15078454999999999</v>
      </c>
      <c r="D1117" s="17">
        <v>-0.10258326</v>
      </c>
      <c r="E1117" s="17">
        <v>0.84926462999999996</v>
      </c>
      <c r="F1117" s="17">
        <v>-0.10917983000000001</v>
      </c>
      <c r="G1117" s="17">
        <f t="shared" si="176"/>
        <v>1.72099474590186</v>
      </c>
      <c r="H1117" s="17">
        <f t="shared" si="177"/>
        <v>-1.5582096404491701</v>
      </c>
      <c r="I1117" s="17">
        <f t="shared" si="178"/>
        <v>1.7210302130603401</v>
      </c>
      <c r="J1117" s="17">
        <f t="shared" si="179"/>
        <v>-1.5615077273684199</v>
      </c>
      <c r="K1117" s="15">
        <f t="shared" si="180"/>
        <v>-3.5467158480129198E-5</v>
      </c>
      <c r="L1117" s="15">
        <f t="shared" si="181"/>
        <v>3.2980869192498199E-3</v>
      </c>
      <c r="M1117" s="15">
        <f t="shared" si="182"/>
        <v>0.31869446308053101</v>
      </c>
      <c r="N1117" s="15">
        <f t="shared" si="183"/>
        <v>0.28915463714310102</v>
      </c>
      <c r="O1117" s="17">
        <v>9.1977873999999993</v>
      </c>
      <c r="P1117" s="17">
        <v>-13.24757</v>
      </c>
      <c r="Q1117" s="17">
        <v>3.1996311999999998</v>
      </c>
      <c r="R1117" s="17">
        <v>-15.589573</v>
      </c>
      <c r="S1117" s="17">
        <f t="shared" si="184"/>
        <v>0.98679274198709088</v>
      </c>
      <c r="T1117" s="17">
        <f t="shared" si="185"/>
        <v>-23.173828173754735</v>
      </c>
    </row>
    <row r="1118" spans="1:20" x14ac:dyDescent="0.35">
      <c r="A1118" s="16">
        <v>4.1749999999999998</v>
      </c>
      <c r="B1118" s="16">
        <v>16.171199999999999</v>
      </c>
      <c r="C1118" s="16">
        <v>-0.15760070000000001</v>
      </c>
      <c r="D1118" s="16">
        <v>-0.10006153</v>
      </c>
      <c r="E1118" s="16">
        <v>0.84245064000000003</v>
      </c>
      <c r="F1118" s="16">
        <v>-0.10672033</v>
      </c>
      <c r="G1118" s="16">
        <f t="shared" si="176"/>
        <v>1.7181251721170201</v>
      </c>
      <c r="H1118" s="16">
        <f t="shared" si="177"/>
        <v>-1.4537431825374001</v>
      </c>
      <c r="I1118" s="16">
        <f t="shared" si="178"/>
        <v>1.7181619253859901</v>
      </c>
      <c r="J1118" s="16">
        <f t="shared" si="179"/>
        <v>-1.4570723747106999</v>
      </c>
      <c r="K1118" s="15">
        <f t="shared" si="180"/>
        <v>-3.6753268970013402E-5</v>
      </c>
      <c r="L1118" s="15">
        <f t="shared" si="181"/>
        <v>3.3291921732998601E-3</v>
      </c>
      <c r="M1118" s="15">
        <f t="shared" si="182"/>
        <v>0.33854471432428401</v>
      </c>
      <c r="N1118" s="15">
        <f t="shared" si="183"/>
        <v>0.28709991972114302</v>
      </c>
      <c r="O1118" s="16">
        <v>8.9598706999999997</v>
      </c>
      <c r="P1118" s="16">
        <v>-13.818792</v>
      </c>
      <c r="Q1118" s="16">
        <v>2.7630167000000001</v>
      </c>
      <c r="R1118" s="16">
        <v>-16.027432000000001</v>
      </c>
      <c r="S1118" s="16">
        <f t="shared" si="184"/>
        <v>0.98752448915858038</v>
      </c>
      <c r="T1118" s="16">
        <f t="shared" si="185"/>
        <v>-23.177443391382184</v>
      </c>
    </row>
    <row r="1119" spans="1:20" x14ac:dyDescent="0.35">
      <c r="A1119" s="17">
        <v>4.1749999999999998</v>
      </c>
      <c r="B1119" s="17">
        <v>16.22</v>
      </c>
      <c r="C1119" s="17">
        <v>-0.16441964000000001</v>
      </c>
      <c r="D1119" s="17">
        <v>-9.7034378000000004E-2</v>
      </c>
      <c r="E1119" s="17">
        <v>0.83563361999999997</v>
      </c>
      <c r="F1119" s="17">
        <v>-0.10375616999999999</v>
      </c>
      <c r="G1119" s="17">
        <f t="shared" si="176"/>
        <v>1.71526512382728</v>
      </c>
      <c r="H1119" s="17">
        <f t="shared" si="177"/>
        <v>-1.3511998880397</v>
      </c>
      <c r="I1119" s="17">
        <f t="shared" si="178"/>
        <v>1.7153030477101401</v>
      </c>
      <c r="J1119" s="17">
        <f t="shared" si="179"/>
        <v>-1.3545605670865899</v>
      </c>
      <c r="K1119" s="15">
        <f t="shared" si="180"/>
        <v>-3.79238828600581E-5</v>
      </c>
      <c r="L1119" s="15">
        <f t="shared" si="181"/>
        <v>3.3606790468898601E-3</v>
      </c>
      <c r="M1119" s="15">
        <f t="shared" si="182"/>
        <v>0.359067939026117</v>
      </c>
      <c r="N1119" s="15">
        <f t="shared" si="183"/>
        <v>0.28355296853178702</v>
      </c>
      <c r="O1119" s="17">
        <v>8.6759471000000001</v>
      </c>
      <c r="P1119" s="17">
        <v>-14.383457</v>
      </c>
      <c r="Q1119" s="17">
        <v>2.2872205000000001</v>
      </c>
      <c r="R1119" s="17">
        <v>-16.447703000000001</v>
      </c>
      <c r="S1119" s="17">
        <f t="shared" si="184"/>
        <v>0.98859803474537389</v>
      </c>
      <c r="T1119" s="17">
        <f t="shared" si="185"/>
        <v>-23.181138691646748</v>
      </c>
    </row>
    <row r="1120" spans="1:20" x14ac:dyDescent="0.35">
      <c r="A1120" s="16">
        <v>4.1749999999999998</v>
      </c>
      <c r="B1120" s="16">
        <v>16.268799999999999</v>
      </c>
      <c r="C1120" s="16">
        <v>-0.17118638999999999</v>
      </c>
      <c r="D1120" s="16">
        <v>-9.3487078000000001E-2</v>
      </c>
      <c r="E1120" s="16">
        <v>0.82886873999999999</v>
      </c>
      <c r="F1120" s="16">
        <v>-0.10027276</v>
      </c>
      <c r="G1120" s="16">
        <f t="shared" si="176"/>
        <v>1.7124174511831201</v>
      </c>
      <c r="H1120" s="16">
        <f t="shared" si="177"/>
        <v>-1.2505950437701101</v>
      </c>
      <c r="I1120" s="16">
        <f t="shared" si="178"/>
        <v>1.7124565257089901</v>
      </c>
      <c r="J1120" s="16">
        <f t="shared" si="179"/>
        <v>-1.25398765867902</v>
      </c>
      <c r="K1120" s="15">
        <f t="shared" si="180"/>
        <v>-3.9074525870042003E-5</v>
      </c>
      <c r="L1120" s="15">
        <f t="shared" si="181"/>
        <v>3.3926149089098501E-3</v>
      </c>
      <c r="M1120" s="15">
        <f t="shared" si="182"/>
        <v>0.38012417634603102</v>
      </c>
      <c r="N1120" s="15">
        <f t="shared" si="183"/>
        <v>0.27835511077053599</v>
      </c>
      <c r="O1120" s="16">
        <v>8.3460867000000007</v>
      </c>
      <c r="P1120" s="16">
        <v>-14.937647999999999</v>
      </c>
      <c r="Q1120" s="16">
        <v>1.7730661999999999</v>
      </c>
      <c r="R1120" s="16">
        <v>-16.844756</v>
      </c>
      <c r="S1120" s="16">
        <f t="shared" si="184"/>
        <v>0.98987166922920711</v>
      </c>
      <c r="T1120" s="16">
        <f t="shared" si="185"/>
        <v>-23.18454424368166</v>
      </c>
    </row>
    <row r="1121" spans="1:20" x14ac:dyDescent="0.35">
      <c r="A1121" s="17">
        <v>4.1749999999999998</v>
      </c>
      <c r="B1121" s="17">
        <v>16.317599999999999</v>
      </c>
      <c r="C1121" s="17">
        <v>-0.17787220000000001</v>
      </c>
      <c r="D1121" s="17">
        <v>-8.9389826000000006E-2</v>
      </c>
      <c r="E1121" s="17">
        <v>0.82209206000000001</v>
      </c>
      <c r="F1121" s="17">
        <v>-9.6270795000000006E-2</v>
      </c>
      <c r="G1121" s="17">
        <f t="shared" si="176"/>
        <v>1.7091400699019199</v>
      </c>
      <c r="H1121" s="17">
        <f t="shared" si="177"/>
        <v>-1.1510977385099801</v>
      </c>
      <c r="I1121" s="17">
        <f t="shared" si="178"/>
        <v>1.70913403701065</v>
      </c>
      <c r="J1121" s="17">
        <f t="shared" si="179"/>
        <v>-1.1545383052489799</v>
      </c>
      <c r="K1121" s="15">
        <f t="shared" si="180"/>
        <v>6.0328912698803796E-6</v>
      </c>
      <c r="L1121" s="15">
        <f t="shared" si="181"/>
        <v>3.44056673899984E-3</v>
      </c>
      <c r="M1121" s="15">
        <f t="shared" si="182"/>
        <v>0.40176180599608702</v>
      </c>
      <c r="N1121" s="15">
        <f t="shared" si="183"/>
        <v>0.27139439304583901</v>
      </c>
      <c r="O1121" s="17">
        <v>7.9739177999999997</v>
      </c>
      <c r="P1121" s="17">
        <v>-15.489837</v>
      </c>
      <c r="Q1121" s="17">
        <v>1.2183493000000001</v>
      </c>
      <c r="R1121" s="17">
        <v>-17.215712</v>
      </c>
      <c r="S1121" s="17">
        <f t="shared" si="184"/>
        <v>0.99064328079353137</v>
      </c>
      <c r="T1121" s="17">
        <f t="shared" si="185"/>
        <v>-23.190626608881303</v>
      </c>
    </row>
    <row r="1122" spans="1:20" x14ac:dyDescent="0.35">
      <c r="A1122" s="16">
        <v>4.1749999999999998</v>
      </c>
      <c r="B1122" s="16">
        <v>16.366399999999999</v>
      </c>
      <c r="C1122" s="16">
        <v>-0.18436072000000001</v>
      </c>
      <c r="D1122" s="16">
        <v>-8.4782738999999996E-2</v>
      </c>
      <c r="E1122" s="16">
        <v>0.81559877000000003</v>
      </c>
      <c r="F1122" s="16">
        <v>-9.1728071999999994E-2</v>
      </c>
      <c r="G1122" s="16">
        <f t="shared" si="176"/>
        <v>1.7062908523093501</v>
      </c>
      <c r="H1122" s="16">
        <f t="shared" si="177"/>
        <v>-1.05432014474823</v>
      </c>
      <c r="I1122" s="16">
        <f t="shared" si="178"/>
        <v>1.7062826568990801</v>
      </c>
      <c r="J1122" s="16">
        <f t="shared" si="179"/>
        <v>-1.05779291004902</v>
      </c>
      <c r="K1122" s="15">
        <f t="shared" si="180"/>
        <v>8.19541026997328E-6</v>
      </c>
      <c r="L1122" s="15">
        <f t="shared" si="181"/>
        <v>3.4727653007899902E-3</v>
      </c>
      <c r="M1122" s="15">
        <f t="shared" si="182"/>
        <v>0.42336091683586202</v>
      </c>
      <c r="N1122" s="15">
        <f t="shared" si="183"/>
        <v>0.262458376641237</v>
      </c>
      <c r="O1122" s="16">
        <v>7.5562996</v>
      </c>
      <c r="P1122" s="16">
        <v>-16.016760000000001</v>
      </c>
      <c r="Q1122" s="16">
        <v>0.63224455999999996</v>
      </c>
      <c r="R1122" s="16">
        <v>-17.552925999999999</v>
      </c>
      <c r="S1122" s="16">
        <f t="shared" si="184"/>
        <v>0.99178905836410736</v>
      </c>
      <c r="T1122" s="16">
        <f t="shared" si="185"/>
        <v>-23.193881752813201</v>
      </c>
    </row>
    <row r="1123" spans="1:20" x14ac:dyDescent="0.35">
      <c r="A1123" s="17">
        <v>4.1749999999999998</v>
      </c>
      <c r="B1123" s="17">
        <v>16.415199999999999</v>
      </c>
      <c r="C1123" s="17">
        <v>-0.19060998000000001</v>
      </c>
      <c r="D1123" s="17">
        <v>-7.9663764999999997E-2</v>
      </c>
      <c r="E1123" s="17">
        <v>0.80934360000000005</v>
      </c>
      <c r="F1123" s="17">
        <v>-8.6673713999999999E-2</v>
      </c>
      <c r="G1123" s="17">
        <f t="shared" si="176"/>
        <v>1.7034471294385201</v>
      </c>
      <c r="H1123" s="17">
        <f t="shared" si="177"/>
        <v>-0.95955679261567395</v>
      </c>
      <c r="I1123" s="17">
        <f t="shared" si="178"/>
        <v>1.70343620445055</v>
      </c>
      <c r="J1123" s="17">
        <f t="shared" si="179"/>
        <v>-0.96306188676071403</v>
      </c>
      <c r="K1123" s="15">
        <f t="shared" si="180"/>
        <v>1.09249879700624E-5</v>
      </c>
      <c r="L1123" s="15">
        <f t="shared" si="181"/>
        <v>3.50509414504008E-3</v>
      </c>
      <c r="M1123" s="15">
        <f t="shared" si="182"/>
        <v>0.44485629435913498</v>
      </c>
      <c r="N1123" s="15">
        <f t="shared" si="183"/>
        <v>0.251505833364085</v>
      </c>
      <c r="O1123" s="17">
        <v>7.0975067999999997</v>
      </c>
      <c r="P1123" s="17">
        <v>-16.523274000000001</v>
      </c>
      <c r="Q1123" s="17">
        <v>1.5039883E-2</v>
      </c>
      <c r="R1123" s="17">
        <v>-17.852964</v>
      </c>
      <c r="S1123" s="17">
        <f t="shared" si="184"/>
        <v>0.99276178346973121</v>
      </c>
      <c r="T1123" s="17">
        <f t="shared" si="185"/>
        <v>-23.19748194020195</v>
      </c>
    </row>
    <row r="1124" spans="1:20" x14ac:dyDescent="0.35">
      <c r="A1124" s="16">
        <v>4.1749999999999998</v>
      </c>
      <c r="B1124" s="16">
        <v>16.463999999999999</v>
      </c>
      <c r="C1124" s="16">
        <v>-0.19655913999999999</v>
      </c>
      <c r="D1124" s="16">
        <v>-7.4051767000000004E-2</v>
      </c>
      <c r="E1124" s="16">
        <v>0.80338916999999999</v>
      </c>
      <c r="F1124" s="16">
        <v>-8.1127369000000005E-2</v>
      </c>
      <c r="G1124" s="16">
        <f t="shared" si="176"/>
        <v>1.7006276819189801</v>
      </c>
      <c r="H1124" s="16">
        <f t="shared" si="177"/>
        <v>-0.86678787385223299</v>
      </c>
      <c r="I1124" s="16">
        <f t="shared" si="178"/>
        <v>1.7006143531007301</v>
      </c>
      <c r="J1124" s="16">
        <f t="shared" si="179"/>
        <v>-0.87032581344498905</v>
      </c>
      <c r="K1124" s="15">
        <f t="shared" si="180"/>
        <v>1.3328818250002401E-5</v>
      </c>
      <c r="L1124" s="15">
        <f t="shared" si="181"/>
        <v>3.5379395927560599E-3</v>
      </c>
      <c r="M1124" s="15">
        <f t="shared" si="182"/>
        <v>0.46597839850335299</v>
      </c>
      <c r="N1124" s="15">
        <f t="shared" si="183"/>
        <v>0.238474424248966</v>
      </c>
      <c r="O1124" s="16">
        <v>6.5983844999999999</v>
      </c>
      <c r="P1124" s="16">
        <v>-17.002262000000002</v>
      </c>
      <c r="Q1124" s="16">
        <v>-0.62932697000000004</v>
      </c>
      <c r="R1124" s="16">
        <v>-18.112079999999999</v>
      </c>
      <c r="S1124" s="16">
        <f t="shared" si="184"/>
        <v>0.99370855945807424</v>
      </c>
      <c r="T1124" s="16">
        <f t="shared" si="185"/>
        <v>-23.20067971044443</v>
      </c>
    </row>
    <row r="1125" spans="1:20" x14ac:dyDescent="0.35">
      <c r="A1125" s="17">
        <v>4.1749999999999998</v>
      </c>
      <c r="B1125" s="17">
        <v>16.512799999999999</v>
      </c>
      <c r="C1125" s="17">
        <v>-0.20214919000000001</v>
      </c>
      <c r="D1125" s="17">
        <v>-6.7972882999999998E-2</v>
      </c>
      <c r="E1125" s="17">
        <v>0.79781380999999996</v>
      </c>
      <c r="F1125" s="17">
        <v>-7.5016809000000004E-2</v>
      </c>
      <c r="G1125" s="17">
        <f t="shared" ref="G1125:G1188" si="186">IMREAL(IMDIV(IMSUM(IMPRODUCT(COMPLEX(1 + C1125,D1125),COMPLEX(1 - C1125, - D1125)),IMPRODUCT(COMPLEX(E1125,F1125),COMPLEX(E1125,F1125))),IMSUB(IMPRODUCT(COMPLEX(1 - C1125, - D1125),COMPLEX(1 - C1125, - D1125)),IMPRODUCT(COMPLEX(E1125,F1125),COMPLEX(E1125,F1125)))))</f>
        <v>1.69827658695058</v>
      </c>
      <c r="H1125" s="17">
        <f t="shared" ref="H1125:H1188" si="187">IMAGINARY(IMDIV(IMSUM(IMPRODUCT(COMPLEX(1 + C1125,D1125),COMPLEX(1 - C1125, - D1125)),IMPRODUCT(COMPLEX(E1125,F1125),COMPLEX(E1125,F1125))),IMSUB(IMPRODUCT(COMPLEX(1 - C1125, - D1125),COMPLEX(1 - C1125, - D1125)),IMPRODUCT(COMPLEX(E1125,F1125),COMPLEX(E1125,F1125)))))</f>
        <v>-0.77563930136164105</v>
      </c>
      <c r="I1125" s="17">
        <f t="shared" ref="I1125:I1188" si="188">IMREAL(IMDIV(IMPRODUCT(COMPLEX(2,0),COMPLEX(E1125,F1125)),IMSUB(IMPRODUCT(COMPLEX(1 - C1125, - D1125),COMPLEX(1 - C1125, - D1125)),IMPRODUCT(COMPLEX(E1125,F1125),COMPLEX(E1125,F1125)))))</f>
        <v>1.6982704913662801</v>
      </c>
      <c r="J1125" s="17">
        <f t="shared" ref="J1125:J1188" si="189">IMAGINARY(IMDIV(IMPRODUCT(COMPLEX(2,0),COMPLEX(E1125,F1125)),IMSUB(IMPRODUCT(COMPLEX(1 - C1125, - D1125),COMPLEX(1 - C1125, - D1125)),IMPRODUCT(COMPLEX(E1125,F1125),COMPLEX(E1125,F1125)))))</f>
        <v>-0.77916135098798101</v>
      </c>
      <c r="K1125" s="15">
        <f t="shared" ref="K1125:K1188" si="190">IMREAL(IMSUB(COMPLEX(G1125,H1125),COMPLEX(I1125,J1125)))</f>
        <v>6.0955842999810298E-6</v>
      </c>
      <c r="L1125" s="15">
        <f t="shared" ref="L1125:L1188" si="191">IMAGINARY(IMSUB(COMPLEX(G1125,H1125),COMPLEX(I1125,J1125)))</f>
        <v>3.5220496263399501E-3</v>
      </c>
      <c r="M1125" s="15">
        <f t="shared" ref="M1125:M1188" si="192">IMREAL(IMDIV(IMSUB(IMPRODUCT(COMPLEX(1 - C1125, - D1125),COMPLEX(1 - C1125, - D1125)),IMPRODUCT(COMPLEX(E1125,F1125),COMPLEX(E1125,F1125))),IMPRODUCT(COMPLEX(2,0),COMPLEX(E1125,F1125))))</f>
        <v>0.48644109743823499</v>
      </c>
      <c r="N1125" s="15">
        <f t="shared" ref="N1125:N1188" si="193">IMAGINARY(IMDIV(IMSUB(IMPRODUCT(COMPLEX(1 - C1125, - D1125),COMPLEX(1 - C1125, - D1125)),IMPRODUCT(COMPLEX(E1125,F1125),COMPLEX(E1125,F1125))),IMPRODUCT(COMPLEX(2,0),COMPLEX(E1125,F1125))))</f>
        <v>0.22317770024439901</v>
      </c>
      <c r="O1125" s="17">
        <v>6.0615183999999998</v>
      </c>
      <c r="P1125" s="17">
        <v>-17.449252000000001</v>
      </c>
      <c r="Q1125" s="17">
        <v>-1.2963838999999999</v>
      </c>
      <c r="R1125" s="17">
        <v>-18.325897000000001</v>
      </c>
      <c r="S1125" s="17">
        <f t="shared" ref="S1125:S1188" si="194">IMABS(COMPLEX(Q1125,R1125))/IMABS(COMPLEX(O1125,P1125))</f>
        <v>0.99456452276280993</v>
      </c>
      <c r="T1125" s="17">
        <f t="shared" ref="T1125:T1188" si="195">IMARGUMENT(IMDIV(COMPLEX(Q1125,R1125),COMPLEX(O1125/B1125,P1125/B1125)))/PI()*180</f>
        <v>-23.202590185034847</v>
      </c>
    </row>
    <row r="1126" spans="1:20" x14ac:dyDescent="0.35">
      <c r="A1126" s="16">
        <v>4.1749999999999998</v>
      </c>
      <c r="B1126" s="16">
        <v>16.561599999999999</v>
      </c>
      <c r="C1126" s="16">
        <v>-0.20732666</v>
      </c>
      <c r="D1126" s="16">
        <v>-6.1476424000000002E-2</v>
      </c>
      <c r="E1126" s="16">
        <v>0.79263477999999998</v>
      </c>
      <c r="F1126" s="16">
        <v>-6.8581013999999996E-2</v>
      </c>
      <c r="G1126" s="16">
        <f t="shared" si="186"/>
        <v>1.6954843547501799</v>
      </c>
      <c r="H1126" s="16">
        <f t="shared" si="187"/>
        <v>-0.68677993921236602</v>
      </c>
      <c r="I1126" s="16">
        <f t="shared" si="188"/>
        <v>1.69547769374888</v>
      </c>
      <c r="J1126" s="16">
        <f t="shared" si="189"/>
        <v>-0.69033232636423203</v>
      </c>
      <c r="K1126" s="15">
        <f t="shared" si="190"/>
        <v>6.6610012998680199E-6</v>
      </c>
      <c r="L1126" s="15">
        <f t="shared" si="191"/>
        <v>3.55238715186601E-3</v>
      </c>
      <c r="M1126" s="15">
        <f t="shared" si="192"/>
        <v>0.50593101234840898</v>
      </c>
      <c r="N1126" s="15">
        <f t="shared" si="193"/>
        <v>0.20599535695573601</v>
      </c>
      <c r="O1126" s="16">
        <v>5.4905919000000001</v>
      </c>
      <c r="P1126" s="16">
        <v>-17.857859999999999</v>
      </c>
      <c r="Q1126" s="16">
        <v>-1.9812491999999999</v>
      </c>
      <c r="R1126" s="16">
        <v>-18.493072999999999</v>
      </c>
      <c r="S1126" s="16">
        <f t="shared" si="194"/>
        <v>0.99550534389778866</v>
      </c>
      <c r="T1126" s="16">
        <f t="shared" si="195"/>
        <v>-23.205650472312527</v>
      </c>
    </row>
    <row r="1127" spans="1:20" x14ac:dyDescent="0.35">
      <c r="A1127" s="17">
        <v>4.1749999999999998</v>
      </c>
      <c r="B1127" s="17">
        <v>16.610399999999998</v>
      </c>
      <c r="C1127" s="17">
        <v>-0.21203948</v>
      </c>
      <c r="D1127" s="17">
        <v>-5.4610776E-2</v>
      </c>
      <c r="E1127" s="17">
        <v>0.78792085000000001</v>
      </c>
      <c r="F1127" s="17">
        <v>-6.1776348000000002E-2</v>
      </c>
      <c r="G1127" s="17">
        <f t="shared" si="186"/>
        <v>1.69270841030985</v>
      </c>
      <c r="H1127" s="17">
        <f t="shared" si="187"/>
        <v>-0.59993317164604698</v>
      </c>
      <c r="I1127" s="17">
        <f t="shared" si="188"/>
        <v>1.692701411871</v>
      </c>
      <c r="J1127" s="17">
        <f t="shared" si="189"/>
        <v>-0.60351605378642204</v>
      </c>
      <c r="K1127" s="15">
        <f t="shared" si="190"/>
        <v>6.9984388499921801E-6</v>
      </c>
      <c r="L1127" s="15">
        <f t="shared" si="191"/>
        <v>3.58288214037505E-3</v>
      </c>
      <c r="M1127" s="15">
        <f t="shared" si="192"/>
        <v>0.52414221860671395</v>
      </c>
      <c r="N1127" s="15">
        <f t="shared" si="193"/>
        <v>0.18687775716257901</v>
      </c>
      <c r="O1127" s="17">
        <v>4.8904943999999997</v>
      </c>
      <c r="P1127" s="17">
        <v>-18.225186000000001</v>
      </c>
      <c r="Q1127" s="17">
        <v>-2.6778246999999999</v>
      </c>
      <c r="R1127" s="17">
        <v>-18.61083</v>
      </c>
      <c r="S1127" s="17">
        <f t="shared" si="194"/>
        <v>0.99642609763000434</v>
      </c>
      <c r="T1127" s="17">
        <f t="shared" si="195"/>
        <v>-23.208561533203952</v>
      </c>
    </row>
    <row r="1128" spans="1:20" x14ac:dyDescent="0.35">
      <c r="A1128" s="16">
        <v>4.1749999999999998</v>
      </c>
      <c r="B1128" s="16">
        <v>16.659199999999998</v>
      </c>
      <c r="C1128" s="16">
        <v>-0.21625543</v>
      </c>
      <c r="D1128" s="16">
        <v>-4.7425783999999999E-2</v>
      </c>
      <c r="E1128" s="16">
        <v>0.78381900000000004</v>
      </c>
      <c r="F1128" s="16">
        <v>-5.4682073999999997E-2</v>
      </c>
      <c r="G1128" s="16">
        <f t="shared" si="186"/>
        <v>1.69033284469152</v>
      </c>
      <c r="H1128" s="16">
        <f t="shared" si="187"/>
        <v>-0.51537832882152201</v>
      </c>
      <c r="I1128" s="16">
        <f t="shared" si="188"/>
        <v>1.69038322009999</v>
      </c>
      <c r="J1128" s="16">
        <f t="shared" si="189"/>
        <v>-0.51900615604264599</v>
      </c>
      <c r="K1128" s="15">
        <f t="shared" si="190"/>
        <v>-5.0375408469971502E-5</v>
      </c>
      <c r="L1128" s="15">
        <f t="shared" si="191"/>
        <v>3.6278272211239799E-3</v>
      </c>
      <c r="M1128" s="15">
        <f t="shared" si="192"/>
        <v>0.54061766656940602</v>
      </c>
      <c r="N1128" s="15">
        <f t="shared" si="193"/>
        <v>0.16598833547243499</v>
      </c>
      <c r="O1128" s="16">
        <v>4.2657388999999997</v>
      </c>
      <c r="P1128" s="16">
        <v>-18.548836000000001</v>
      </c>
      <c r="Q1128" s="16">
        <v>-3.3806794999999998</v>
      </c>
      <c r="R1128" s="16">
        <v>-18.678557999999999</v>
      </c>
      <c r="S1128" s="16">
        <f t="shared" si="194"/>
        <v>0.9973210614713145</v>
      </c>
      <c r="T1128" s="16">
        <f t="shared" si="195"/>
        <v>-23.210364419500671</v>
      </c>
    </row>
    <row r="1129" spans="1:20" x14ac:dyDescent="0.35">
      <c r="A1129" s="17">
        <v>4.1749999999999998</v>
      </c>
      <c r="B1129" s="17">
        <v>16.707999999999998</v>
      </c>
      <c r="C1129" s="17">
        <v>-0.21992374000000001</v>
      </c>
      <c r="D1129" s="17">
        <v>-4.0005908999999999E-2</v>
      </c>
      <c r="E1129" s="17">
        <v>0.78015948999999996</v>
      </c>
      <c r="F1129" s="17">
        <v>-4.7327681000000003E-2</v>
      </c>
      <c r="G1129" s="17">
        <f t="shared" si="186"/>
        <v>1.6876393601811499</v>
      </c>
      <c r="H1129" s="17">
        <f t="shared" si="187"/>
        <v>-0.43262251444800898</v>
      </c>
      <c r="I1129" s="17">
        <f t="shared" si="188"/>
        <v>1.6876943736831</v>
      </c>
      <c r="J1129" s="17">
        <f t="shared" si="189"/>
        <v>-0.43628304671679902</v>
      </c>
      <c r="K1129" s="15">
        <f t="shared" si="190"/>
        <v>-5.5013501950140798E-5</v>
      </c>
      <c r="L1129" s="15">
        <f t="shared" si="191"/>
        <v>3.6605322687900399E-3</v>
      </c>
      <c r="M1129" s="15">
        <f t="shared" si="192"/>
        <v>0.55540831878786101</v>
      </c>
      <c r="N1129" s="15">
        <f t="shared" si="193"/>
        <v>0.14357767453108899</v>
      </c>
      <c r="O1129" s="17">
        <v>3.6234698000000001</v>
      </c>
      <c r="P1129" s="17">
        <v>-18.824572</v>
      </c>
      <c r="Q1129" s="17">
        <v>-4.0822763999999996</v>
      </c>
      <c r="R1129" s="17">
        <v>-18.695325</v>
      </c>
      <c r="S1129" s="17">
        <f t="shared" si="194"/>
        <v>0.99821076911419371</v>
      </c>
      <c r="T1129" s="17">
        <f t="shared" si="195"/>
        <v>-23.213047070241654</v>
      </c>
    </row>
    <row r="1130" spans="1:20" x14ac:dyDescent="0.35">
      <c r="A1130" s="16">
        <v>4.1749999999999998</v>
      </c>
      <c r="B1130" s="16">
        <v>16.756799999999998</v>
      </c>
      <c r="C1130" s="16">
        <v>-0.22303192999999999</v>
      </c>
      <c r="D1130" s="16">
        <v>-3.2416826000000003E-2</v>
      </c>
      <c r="E1130" s="16">
        <v>0.77706165000000005</v>
      </c>
      <c r="F1130" s="16">
        <v>-3.9803631999999999E-2</v>
      </c>
      <c r="G1130" s="16">
        <f t="shared" si="186"/>
        <v>1.68497092243866</v>
      </c>
      <c r="H1130" s="16">
        <f t="shared" si="187"/>
        <v>-0.35199273161792299</v>
      </c>
      <c r="I1130" s="16">
        <f t="shared" si="188"/>
        <v>1.6850313493745099</v>
      </c>
      <c r="J1130" s="16">
        <f t="shared" si="189"/>
        <v>-0.35568573864109898</v>
      </c>
      <c r="K1130" s="15">
        <f t="shared" si="190"/>
        <v>-6.0426935849955399E-5</v>
      </c>
      <c r="L1130" s="15">
        <f t="shared" si="191"/>
        <v>3.6930070231759901E-3</v>
      </c>
      <c r="M1130" s="15">
        <f t="shared" si="192"/>
        <v>0.56814583689174403</v>
      </c>
      <c r="N1130" s="15">
        <f t="shared" si="193"/>
        <v>0.119927366173762</v>
      </c>
      <c r="O1130" s="16">
        <v>2.9695174</v>
      </c>
      <c r="P1130" s="16">
        <v>-19.052128</v>
      </c>
      <c r="Q1130" s="16">
        <v>-4.7766384999999998</v>
      </c>
      <c r="R1130" s="16">
        <v>-18.662554</v>
      </c>
      <c r="S1130" s="16">
        <f t="shared" si="194"/>
        <v>0.99906570833371178</v>
      </c>
      <c r="T1130" s="16">
        <f t="shared" si="195"/>
        <v>-23.215526194655531</v>
      </c>
    </row>
    <row r="1131" spans="1:20" x14ac:dyDescent="0.35">
      <c r="A1131" s="17">
        <v>4.1749999999999998</v>
      </c>
      <c r="B1131" s="17">
        <v>16.805599999999998</v>
      </c>
      <c r="C1131" s="17">
        <v>-0.22557582000000001</v>
      </c>
      <c r="D1131" s="17">
        <v>-2.4718790000000001E-2</v>
      </c>
      <c r="E1131" s="17">
        <v>0.77441263000000005</v>
      </c>
      <c r="F1131" s="17">
        <v>-3.2202255999999999E-2</v>
      </c>
      <c r="G1131" s="17">
        <f t="shared" si="186"/>
        <v>1.68176025124374</v>
      </c>
      <c r="H1131" s="17">
        <f t="shared" si="187"/>
        <v>-0.27339164282563899</v>
      </c>
      <c r="I1131" s="17">
        <f t="shared" si="188"/>
        <v>1.6817684768227801</v>
      </c>
      <c r="J1131" s="17">
        <f t="shared" si="189"/>
        <v>-0.277133366656174</v>
      </c>
      <c r="K1131" s="15">
        <f t="shared" si="190"/>
        <v>-8.2255790401219997E-6</v>
      </c>
      <c r="L1131" s="15">
        <f t="shared" si="191"/>
        <v>3.7417238305349999E-3</v>
      </c>
      <c r="M1131" s="15">
        <f t="shared" si="192"/>
        <v>0.57889250794417801</v>
      </c>
      <c r="N1131" s="15">
        <f t="shared" si="193"/>
        <v>9.5393885585067797E-2</v>
      </c>
      <c r="O1131" s="17">
        <v>2.3091268999999999</v>
      </c>
      <c r="P1131" s="17">
        <v>-19.231221000000001</v>
      </c>
      <c r="Q1131" s="17">
        <v>-5.4596098</v>
      </c>
      <c r="R1131" s="17">
        <v>-18.582497</v>
      </c>
      <c r="S1131" s="17">
        <f t="shared" si="194"/>
        <v>0.99992617209789181</v>
      </c>
      <c r="T1131" s="17">
        <f t="shared" si="195"/>
        <v>-23.219820541830632</v>
      </c>
    </row>
    <row r="1132" spans="1:20" x14ac:dyDescent="0.35">
      <c r="A1132" s="16">
        <v>4.1749999999999998</v>
      </c>
      <c r="B1132" s="16">
        <v>16.854399999999998</v>
      </c>
      <c r="C1132" s="16">
        <v>-0.22754832</v>
      </c>
      <c r="D1132" s="16">
        <v>-1.7012856999999999E-2</v>
      </c>
      <c r="E1132" s="16">
        <v>0.77244005999999998</v>
      </c>
      <c r="F1132" s="16">
        <v>-2.4565565000000001E-2</v>
      </c>
      <c r="G1132" s="16">
        <f t="shared" si="186"/>
        <v>1.6790872864766899</v>
      </c>
      <c r="H1132" s="16">
        <f t="shared" si="187"/>
        <v>-0.19719234227703</v>
      </c>
      <c r="I1132" s="16">
        <f t="shared" si="188"/>
        <v>1.67909573733767</v>
      </c>
      <c r="J1132" s="16">
        <f t="shared" si="189"/>
        <v>-0.20096868630414699</v>
      </c>
      <c r="K1132" s="15">
        <f t="shared" si="190"/>
        <v>-8.4508609801137203E-6</v>
      </c>
      <c r="L1132" s="15">
        <f t="shared" si="191"/>
        <v>3.7763440271169901E-3</v>
      </c>
      <c r="M1132" s="15">
        <f t="shared" si="192"/>
        <v>0.587147549329748</v>
      </c>
      <c r="N1132" s="15">
        <f t="shared" si="193"/>
        <v>7.0274892033609399E-2</v>
      </c>
      <c r="O1132" s="16">
        <v>1.6506445999999999</v>
      </c>
      <c r="P1132" s="16">
        <v>-19.361488000000001</v>
      </c>
      <c r="Q1132" s="16">
        <v>-6.1218678000000004</v>
      </c>
      <c r="R1132" s="16">
        <v>-18.457391999999999</v>
      </c>
      <c r="S1132" s="16">
        <f t="shared" si="194"/>
        <v>1.0007422453819648</v>
      </c>
      <c r="T1132" s="16">
        <f t="shared" si="195"/>
        <v>-23.222339024841958</v>
      </c>
    </row>
    <row r="1133" spans="1:20" x14ac:dyDescent="0.35">
      <c r="A1133" s="17">
        <v>4.1749999999999998</v>
      </c>
      <c r="B1133" s="17">
        <v>16.903200000000002</v>
      </c>
      <c r="C1133" s="17">
        <v>-0.22896702999999999</v>
      </c>
      <c r="D1133" s="17">
        <v>-9.3807039000000005E-3</v>
      </c>
      <c r="E1133" s="17">
        <v>0.77102353000000001</v>
      </c>
      <c r="F1133" s="17">
        <v>-1.7003556E-2</v>
      </c>
      <c r="G1133" s="17">
        <f t="shared" si="186"/>
        <v>1.6764459753560299</v>
      </c>
      <c r="H1133" s="17">
        <f t="shared" si="187"/>
        <v>-0.123489778091221</v>
      </c>
      <c r="I1133" s="17">
        <f t="shared" si="188"/>
        <v>1.6764557822969499</v>
      </c>
      <c r="J1133" s="17">
        <f t="shared" si="189"/>
        <v>-0.12730118475263</v>
      </c>
      <c r="K1133" s="15">
        <f t="shared" si="190"/>
        <v>-9.8069409200096692E-6</v>
      </c>
      <c r="L1133" s="15">
        <f t="shared" si="191"/>
        <v>3.8114066614089999E-3</v>
      </c>
      <c r="M1133" s="15">
        <f t="shared" si="192"/>
        <v>0.59307676783919605</v>
      </c>
      <c r="N1133" s="15">
        <f t="shared" si="193"/>
        <v>4.5035112761367797E-2</v>
      </c>
      <c r="O1133" s="17">
        <v>1.0009646000000001</v>
      </c>
      <c r="P1133" s="17">
        <v>-19.444835999999999</v>
      </c>
      <c r="Q1133" s="17">
        <v>-6.7583723999999998</v>
      </c>
      <c r="R1133" s="17">
        <v>-18.291976999999999</v>
      </c>
      <c r="S1133" s="17">
        <f t="shared" si="194"/>
        <v>1.0015398745921555</v>
      </c>
      <c r="T1133" s="17">
        <f t="shared" si="195"/>
        <v>-23.224679172745819</v>
      </c>
    </row>
    <row r="1134" spans="1:20" x14ac:dyDescent="0.35">
      <c r="A1134" s="16">
        <v>4.1749999999999998</v>
      </c>
      <c r="B1134" s="16">
        <v>16.952000000000002</v>
      </c>
      <c r="C1134" s="16">
        <v>-0.22987056</v>
      </c>
      <c r="D1134" s="16">
        <v>-1.9007455000000001E-3</v>
      </c>
      <c r="E1134" s="16">
        <v>0.77022022000000001</v>
      </c>
      <c r="F1134" s="16">
        <v>-9.5427637999999995E-3</v>
      </c>
      <c r="G1134" s="16">
        <f t="shared" si="186"/>
        <v>1.6741891476984501</v>
      </c>
      <c r="H1134" s="16">
        <f t="shared" si="187"/>
        <v>-5.22193139497657E-2</v>
      </c>
      <c r="I1134" s="16">
        <f t="shared" si="188"/>
        <v>1.6742491335481899</v>
      </c>
      <c r="J1134" s="16">
        <f t="shared" si="189"/>
        <v>-5.6039920475954602E-2</v>
      </c>
      <c r="K1134" s="15">
        <f t="shared" si="190"/>
        <v>-5.9985849739874197E-5</v>
      </c>
      <c r="L1134" s="15">
        <f t="shared" si="191"/>
        <v>3.8206065261889E-3</v>
      </c>
      <c r="M1134" s="15">
        <f t="shared" si="192"/>
        <v>0.59661425581114802</v>
      </c>
      <c r="N1134" s="15">
        <f t="shared" si="193"/>
        <v>1.9969677618779099E-2</v>
      </c>
      <c r="O1134" s="16">
        <v>0.36577207</v>
      </c>
      <c r="P1134" s="16">
        <v>-19.484300000000001</v>
      </c>
      <c r="Q1134" s="16">
        <v>-7.3641566999999997</v>
      </c>
      <c r="R1134" s="16">
        <v>-18.090377</v>
      </c>
      <c r="S1134" s="16">
        <f t="shared" si="194"/>
        <v>1.0022630216168404</v>
      </c>
      <c r="T1134" s="16">
        <f t="shared" si="195"/>
        <v>-23.22552201583682</v>
      </c>
    </row>
    <row r="1135" spans="1:20" x14ac:dyDescent="0.35">
      <c r="A1135" s="17">
        <v>4.1749999999999998</v>
      </c>
      <c r="B1135" s="17">
        <v>17</v>
      </c>
      <c r="C1135" s="17">
        <v>-0.23094163000000001</v>
      </c>
      <c r="D1135" s="17">
        <v>6.0499508E-4</v>
      </c>
      <c r="E1135" s="17">
        <v>0.76905341999999999</v>
      </c>
      <c r="F1135" s="17">
        <v>-7.1099405000000001E-3</v>
      </c>
      <c r="G1135" s="17">
        <f t="shared" si="186"/>
        <v>1.6645905034005</v>
      </c>
      <c r="H1135" s="17">
        <f t="shared" si="187"/>
        <v>-2.8556114969631102E-2</v>
      </c>
      <c r="I1135" s="17">
        <f t="shared" si="188"/>
        <v>1.6646029083411999</v>
      </c>
      <c r="J1135" s="17">
        <f t="shared" si="189"/>
        <v>-3.2413544455110001E-2</v>
      </c>
      <c r="K1135" s="15">
        <f t="shared" si="190"/>
        <v>-1.2404940699983801E-5</v>
      </c>
      <c r="L1135" s="15">
        <f t="shared" si="191"/>
        <v>3.8574294854789E-3</v>
      </c>
      <c r="M1135" s="15">
        <f t="shared" si="192"/>
        <v>0.60051617754702102</v>
      </c>
      <c r="N1135" s="15">
        <f t="shared" si="193"/>
        <v>1.1693394093808301E-2</v>
      </c>
      <c r="O1135" s="17">
        <v>0.16751492000000001</v>
      </c>
      <c r="P1135" s="17">
        <v>-20.069853999999999</v>
      </c>
      <c r="Q1135" s="17">
        <v>-7.5749814999999998</v>
      </c>
      <c r="R1135" s="17">
        <v>-18.108522000000001</v>
      </c>
      <c r="S1135" s="17">
        <f t="shared" si="194"/>
        <v>0.97800156998604082</v>
      </c>
      <c r="T1135" s="17">
        <f t="shared" si="195"/>
        <v>-23.178274511518666</v>
      </c>
    </row>
    <row r="1136" spans="1:20" x14ac:dyDescent="0.35">
      <c r="A1136" s="16">
        <v>4.3125</v>
      </c>
      <c r="B1136" s="16">
        <v>15</v>
      </c>
      <c r="C1136" s="16">
        <v>-4.6143788999999998E-2</v>
      </c>
      <c r="D1136" s="16">
        <v>-8.9176548999999994E-2</v>
      </c>
      <c r="E1136" s="16">
        <v>0.95372877</v>
      </c>
      <c r="F1136" s="16">
        <v>-9.4728648999999998E-2</v>
      </c>
      <c r="G1136" s="16">
        <f t="shared" si="186"/>
        <v>1.68160031362302</v>
      </c>
      <c r="H1136" s="16">
        <f t="shared" si="187"/>
        <v>-4.3399244124621097</v>
      </c>
      <c r="I1136" s="16">
        <f t="shared" si="188"/>
        <v>1.6815442969300201</v>
      </c>
      <c r="J1136" s="16">
        <f t="shared" si="189"/>
        <v>-4.3427007948797298</v>
      </c>
      <c r="K1136" s="15">
        <f t="shared" si="190"/>
        <v>5.60166929999273E-5</v>
      </c>
      <c r="L1136" s="15">
        <f t="shared" si="191"/>
        <v>2.7763824176201299E-3</v>
      </c>
      <c r="M1136" s="15">
        <f t="shared" si="192"/>
        <v>7.7538253371930793E-2</v>
      </c>
      <c r="N1136" s="15">
        <f t="shared" si="193"/>
        <v>0.20024773368541501</v>
      </c>
      <c r="O1136" s="16">
        <v>8.0749878000000006</v>
      </c>
      <c r="P1136" s="16">
        <v>-4.1072913</v>
      </c>
      <c r="Q1136" s="16">
        <v>5.6681518000000004</v>
      </c>
      <c r="R1136" s="16">
        <v>-6.7579735999999997</v>
      </c>
      <c r="S1136" s="16">
        <f t="shared" si="194"/>
        <v>0.97359532763115353</v>
      </c>
      <c r="T1136" s="16">
        <f t="shared" si="195"/>
        <v>-23.052372303902935</v>
      </c>
    </row>
    <row r="1137" spans="1:20" x14ac:dyDescent="0.35">
      <c r="A1137" s="17">
        <v>4.3125</v>
      </c>
      <c r="B1137" s="17">
        <v>15.0488</v>
      </c>
      <c r="C1137" s="17">
        <v>-4.8720290999999999E-2</v>
      </c>
      <c r="D1137" s="17">
        <v>-9.1112119000000005E-2</v>
      </c>
      <c r="E1137" s="17">
        <v>0.95113636000000001</v>
      </c>
      <c r="F1137" s="17">
        <v>-9.6708350999999998E-2</v>
      </c>
      <c r="G1137" s="17">
        <f t="shared" si="186"/>
        <v>1.6782858747753699</v>
      </c>
      <c r="H1137" s="17">
        <f t="shared" si="187"/>
        <v>-4.1911012652092001</v>
      </c>
      <c r="I1137" s="17">
        <f t="shared" si="188"/>
        <v>1.67822202621334</v>
      </c>
      <c r="J1137" s="17">
        <f t="shared" si="189"/>
        <v>-4.1938997604456203</v>
      </c>
      <c r="K1137" s="15">
        <f t="shared" si="190"/>
        <v>6.3848562029900094E-5</v>
      </c>
      <c r="L1137" s="15">
        <f t="shared" si="191"/>
        <v>2.7984952364201701E-3</v>
      </c>
      <c r="M1137" s="15">
        <f t="shared" si="192"/>
        <v>8.22447230076115E-2</v>
      </c>
      <c r="N1137" s="15">
        <f t="shared" si="193"/>
        <v>0.20553068588773801</v>
      </c>
      <c r="O1137" s="17">
        <v>8.2328098999999995</v>
      </c>
      <c r="P1137" s="17">
        <v>-4.3292263999999996</v>
      </c>
      <c r="Q1137" s="17">
        <v>5.7277890999999999</v>
      </c>
      <c r="R1137" s="17">
        <v>-7.0196322000000002</v>
      </c>
      <c r="S1137" s="17">
        <f t="shared" si="194"/>
        <v>0.97401226030875565</v>
      </c>
      <c r="T1137" s="17">
        <f t="shared" si="195"/>
        <v>-23.049029625000777</v>
      </c>
    </row>
    <row r="1138" spans="1:20" x14ac:dyDescent="0.35">
      <c r="A1138" s="16">
        <v>4.3125</v>
      </c>
      <c r="B1138" s="16">
        <v>15.0976</v>
      </c>
      <c r="C1138" s="16">
        <v>-5.1437882999999997E-2</v>
      </c>
      <c r="D1138" s="16">
        <v>-9.3023629999999996E-2</v>
      </c>
      <c r="E1138" s="16">
        <v>0.94841814999999996</v>
      </c>
      <c r="F1138" s="16">
        <v>-9.8666931999999999E-2</v>
      </c>
      <c r="G1138" s="16">
        <f t="shared" si="186"/>
        <v>1.6753561401627699</v>
      </c>
      <c r="H1138" s="16">
        <f t="shared" si="187"/>
        <v>-4.0462514293095904</v>
      </c>
      <c r="I1138" s="16">
        <f t="shared" si="188"/>
        <v>1.67529211485131</v>
      </c>
      <c r="J1138" s="16">
        <f t="shared" si="189"/>
        <v>-4.04907346410661</v>
      </c>
      <c r="K1138" s="15">
        <f t="shared" si="190"/>
        <v>6.4025311459880996E-5</v>
      </c>
      <c r="L1138" s="15">
        <f t="shared" si="191"/>
        <v>2.8220347970195898E-3</v>
      </c>
      <c r="M1138" s="15">
        <f t="shared" si="192"/>
        <v>8.7247528894124002E-2</v>
      </c>
      <c r="N1138" s="15">
        <f t="shared" si="193"/>
        <v>0.21087167480963501</v>
      </c>
      <c r="O1138" s="16">
        <v>8.3795131999999999</v>
      </c>
      <c r="P1138" s="16">
        <v>-4.5574304999999997</v>
      </c>
      <c r="Q1138" s="16">
        <v>5.7802192000000003</v>
      </c>
      <c r="R1138" s="16">
        <v>-7.2911051999999996</v>
      </c>
      <c r="S1138" s="16">
        <f t="shared" si="194"/>
        <v>0.97543495811953473</v>
      </c>
      <c r="T1138" s="16">
        <f t="shared" si="195"/>
        <v>-23.052650608252208</v>
      </c>
    </row>
    <row r="1139" spans="1:20" x14ac:dyDescent="0.35">
      <c r="A1139" s="17">
        <v>4.3125</v>
      </c>
      <c r="B1139" s="17">
        <v>15.1464</v>
      </c>
      <c r="C1139" s="17">
        <v>-5.4301677999999999E-2</v>
      </c>
      <c r="D1139" s="17">
        <v>-9.4916334000000005E-2</v>
      </c>
      <c r="E1139" s="17">
        <v>0.94555411</v>
      </c>
      <c r="F1139" s="17">
        <v>-0.10060784</v>
      </c>
      <c r="G1139" s="17">
        <f t="shared" si="186"/>
        <v>1.6725615962774301</v>
      </c>
      <c r="H1139" s="17">
        <f t="shared" si="187"/>
        <v>-3.9047061566010499</v>
      </c>
      <c r="I1139" s="17">
        <f t="shared" si="188"/>
        <v>1.67249758507437</v>
      </c>
      <c r="J1139" s="17">
        <f t="shared" si="189"/>
        <v>-3.9075522969849201</v>
      </c>
      <c r="K1139" s="15">
        <f t="shared" si="190"/>
        <v>6.4011203060099206E-5</v>
      </c>
      <c r="L1139" s="15">
        <f t="shared" si="191"/>
        <v>2.84614038387021E-3</v>
      </c>
      <c r="M1139" s="15">
        <f t="shared" si="192"/>
        <v>9.2575991074210301E-2</v>
      </c>
      <c r="N1139" s="15">
        <f t="shared" si="193"/>
        <v>0.21629061219338</v>
      </c>
      <c r="O1139" s="17">
        <v>8.5237110999999999</v>
      </c>
      <c r="P1139" s="17">
        <v>-4.7971537</v>
      </c>
      <c r="Q1139" s="17">
        <v>5.8262615999999996</v>
      </c>
      <c r="R1139" s="17">
        <v>-7.5732613999999998</v>
      </c>
      <c r="S1139" s="17">
        <f t="shared" si="194"/>
        <v>0.97691077538578808</v>
      </c>
      <c r="T1139" s="17">
        <f t="shared" si="195"/>
        <v>-23.057339868829132</v>
      </c>
    </row>
    <row r="1140" spans="1:20" x14ac:dyDescent="0.35">
      <c r="A1140" s="16">
        <v>4.3125</v>
      </c>
      <c r="B1140" s="16">
        <v>15.1952</v>
      </c>
      <c r="C1140" s="16">
        <v>-5.7328544000000002E-2</v>
      </c>
      <c r="D1140" s="16">
        <v>-9.6791458999999996E-2</v>
      </c>
      <c r="E1140" s="16">
        <v>0.94252634999999996</v>
      </c>
      <c r="F1140" s="16">
        <v>-0.10253212</v>
      </c>
      <c r="G1140" s="16">
        <f t="shared" si="186"/>
        <v>1.66981905175001</v>
      </c>
      <c r="H1140" s="16">
        <f t="shared" si="187"/>
        <v>-3.7658244273977299</v>
      </c>
      <c r="I1140" s="16">
        <f t="shared" si="188"/>
        <v>1.66975473400847</v>
      </c>
      <c r="J1140" s="16">
        <f t="shared" si="189"/>
        <v>-3.76869515079049</v>
      </c>
      <c r="K1140" s="15">
        <f t="shared" si="190"/>
        <v>6.4317741540032003E-5</v>
      </c>
      <c r="L1140" s="15">
        <f t="shared" si="191"/>
        <v>2.8707233927600701E-3</v>
      </c>
      <c r="M1140" s="15">
        <f t="shared" si="192"/>
        <v>9.8272060603718597E-2</v>
      </c>
      <c r="N1140" s="15">
        <f t="shared" si="193"/>
        <v>0.22180349647300099</v>
      </c>
      <c r="O1140" s="16">
        <v>8.6661564999999996</v>
      </c>
      <c r="P1140" s="16">
        <v>-5.0501950999999998</v>
      </c>
      <c r="Q1140" s="16">
        <v>5.8653734999999996</v>
      </c>
      <c r="R1140" s="16">
        <v>-7.8672171000000004</v>
      </c>
      <c r="S1140" s="16">
        <f t="shared" si="194"/>
        <v>0.97834028387495853</v>
      </c>
      <c r="T1140" s="16">
        <f t="shared" si="195"/>
        <v>-23.062314694057694</v>
      </c>
    </row>
    <row r="1141" spans="1:20" x14ac:dyDescent="0.35">
      <c r="A1141" s="17">
        <v>4.3125</v>
      </c>
      <c r="B1141" s="17">
        <v>15.244</v>
      </c>
      <c r="C1141" s="17">
        <v>-6.0530715999999998E-2</v>
      </c>
      <c r="D1141" s="17">
        <v>-9.8643257999999998E-2</v>
      </c>
      <c r="E1141" s="17">
        <v>0.93932274999999998</v>
      </c>
      <c r="F1141" s="17">
        <v>-0.10443384999999999</v>
      </c>
      <c r="G1141" s="17">
        <f t="shared" si="186"/>
        <v>1.6671041267138</v>
      </c>
      <c r="H1141" s="17">
        <f t="shared" si="187"/>
        <v>-3.62935848173412</v>
      </c>
      <c r="I1141" s="17">
        <f t="shared" si="188"/>
        <v>1.6670392388567901</v>
      </c>
      <c r="J1141" s="17">
        <f t="shared" si="189"/>
        <v>-3.6322541777626398</v>
      </c>
      <c r="K1141" s="15">
        <f t="shared" si="190"/>
        <v>6.4887857009976498E-5</v>
      </c>
      <c r="L1141" s="15">
        <f t="shared" si="191"/>
        <v>2.8956960285197999E-3</v>
      </c>
      <c r="M1141" s="15">
        <f t="shared" si="192"/>
        <v>0.104370707910394</v>
      </c>
      <c r="N1141" s="15">
        <f t="shared" si="193"/>
        <v>0.22740972798189699</v>
      </c>
      <c r="O1141" s="17">
        <v>8.8058520999999992</v>
      </c>
      <c r="P1141" s="17">
        <v>-5.3172575000000002</v>
      </c>
      <c r="Q1141" s="17">
        <v>5.8965974000000001</v>
      </c>
      <c r="R1141" s="17">
        <v>-8.1735343999999994</v>
      </c>
      <c r="S1141" s="17">
        <f t="shared" si="194"/>
        <v>0.97976173942270339</v>
      </c>
      <c r="T1141" s="17">
        <f t="shared" si="195"/>
        <v>-23.067419546137817</v>
      </c>
    </row>
    <row r="1142" spans="1:20" x14ac:dyDescent="0.35">
      <c r="A1142" s="16">
        <v>4.3125</v>
      </c>
      <c r="B1142" s="16">
        <v>15.2928</v>
      </c>
      <c r="C1142" s="16">
        <v>-6.3918760000000005E-2</v>
      </c>
      <c r="D1142" s="16">
        <v>-0.10046288</v>
      </c>
      <c r="E1142" s="16">
        <v>0.93593291999999995</v>
      </c>
      <c r="F1142" s="16">
        <v>-0.10630406000000001</v>
      </c>
      <c r="G1142" s="16">
        <f t="shared" si="186"/>
        <v>1.66440742975087</v>
      </c>
      <c r="H1142" s="16">
        <f t="shared" si="187"/>
        <v>-3.4951850337400798</v>
      </c>
      <c r="I1142" s="16">
        <f t="shared" si="188"/>
        <v>1.66434179592192</v>
      </c>
      <c r="J1142" s="16">
        <f t="shared" si="189"/>
        <v>-3.4981060320508202</v>
      </c>
      <c r="K1142" s="15">
        <f t="shared" si="190"/>
        <v>6.5633828949973605E-5</v>
      </c>
      <c r="L1142" s="15">
        <f t="shared" si="191"/>
        <v>2.9209983107403299E-3</v>
      </c>
      <c r="M1142" s="15">
        <f t="shared" si="192"/>
        <v>0.110905994469115</v>
      </c>
      <c r="N1142" s="15">
        <f t="shared" si="193"/>
        <v>0.233101715761519</v>
      </c>
      <c r="O1142" s="16">
        <v>8.9423689999999993</v>
      </c>
      <c r="P1142" s="16">
        <v>-5.5993541000000002</v>
      </c>
      <c r="Q1142" s="16">
        <v>5.9190177999999998</v>
      </c>
      <c r="R1142" s="16">
        <v>-8.492839</v>
      </c>
      <c r="S1142" s="16">
        <f t="shared" si="194"/>
        <v>0.98115695099778799</v>
      </c>
      <c r="T1142" s="16">
        <f t="shared" si="195"/>
        <v>-23.072578986982393</v>
      </c>
    </row>
    <row r="1143" spans="1:20" x14ac:dyDescent="0.35">
      <c r="A1143" s="17">
        <v>4.3125</v>
      </c>
      <c r="B1143" s="17">
        <v>15.3416</v>
      </c>
      <c r="C1143" s="17">
        <v>-6.7502461999999999E-2</v>
      </c>
      <c r="D1143" s="17">
        <v>-0.10223934</v>
      </c>
      <c r="E1143" s="17">
        <v>0.93234718999999999</v>
      </c>
      <c r="F1143" s="17">
        <v>-0.10813173</v>
      </c>
      <c r="G1143" s="17">
        <f t="shared" si="186"/>
        <v>1.66172435905271</v>
      </c>
      <c r="H1143" s="17">
        <f t="shared" si="187"/>
        <v>-3.3632291218398098</v>
      </c>
      <c r="I1143" s="17">
        <f t="shared" si="188"/>
        <v>1.6616578613486099</v>
      </c>
      <c r="J1143" s="17">
        <f t="shared" si="189"/>
        <v>-3.36617573426367</v>
      </c>
      <c r="K1143" s="15">
        <f t="shared" si="190"/>
        <v>6.6497704100054706E-5</v>
      </c>
      <c r="L1143" s="15">
        <f t="shared" si="191"/>
        <v>2.94661242386018E-3</v>
      </c>
      <c r="M1143" s="15">
        <f t="shared" si="192"/>
        <v>0.11791291966737</v>
      </c>
      <c r="N1143" s="15">
        <f t="shared" si="193"/>
        <v>0.23886722903254201</v>
      </c>
      <c r="O1143" s="17">
        <v>9.0746812000000006</v>
      </c>
      <c r="P1143" s="17">
        <v>-5.8971802000000002</v>
      </c>
      <c r="Q1143" s="17">
        <v>5.9313567999999997</v>
      </c>
      <c r="R1143" s="17">
        <v>-8.8253275999999996</v>
      </c>
      <c r="S1143" s="17">
        <f t="shared" si="194"/>
        <v>0.98251906356124885</v>
      </c>
      <c r="T1143" s="17">
        <f t="shared" si="195"/>
        <v>-23.077785411674007</v>
      </c>
    </row>
    <row r="1144" spans="1:20" x14ac:dyDescent="0.35">
      <c r="A1144" s="16">
        <v>4.3125</v>
      </c>
      <c r="B1144" s="16">
        <v>15.3904</v>
      </c>
      <c r="C1144" s="16">
        <v>-7.1291068999999999E-2</v>
      </c>
      <c r="D1144" s="16">
        <v>-0.1039598</v>
      </c>
      <c r="E1144" s="16">
        <v>0.92855639999999995</v>
      </c>
      <c r="F1144" s="16">
        <v>-0.10990395999999999</v>
      </c>
      <c r="G1144" s="16">
        <f t="shared" si="186"/>
        <v>1.6590526221984501</v>
      </c>
      <c r="H1144" s="16">
        <f t="shared" si="187"/>
        <v>-3.2334384075984599</v>
      </c>
      <c r="I1144" s="16">
        <f t="shared" si="188"/>
        <v>1.6589851860843701</v>
      </c>
      <c r="J1144" s="16">
        <f t="shared" si="189"/>
        <v>-3.2364109147237201</v>
      </c>
      <c r="K1144" s="15">
        <f t="shared" si="190"/>
        <v>6.7436114079999498E-5</v>
      </c>
      <c r="L1144" s="15">
        <f t="shared" si="191"/>
        <v>2.9725071252601999E-3</v>
      </c>
      <c r="M1144" s="15">
        <f t="shared" si="192"/>
        <v>0.12542805856228401</v>
      </c>
      <c r="N1144" s="15">
        <f t="shared" si="193"/>
        <v>0.244689790571124</v>
      </c>
      <c r="O1144" s="16">
        <v>9.2016471000000006</v>
      </c>
      <c r="P1144" s="16">
        <v>-6.2113952000000001</v>
      </c>
      <c r="Q1144" s="16">
        <v>5.9324512</v>
      </c>
      <c r="R1144" s="16">
        <v>-9.1713944999999999</v>
      </c>
      <c r="S1144" s="16">
        <f t="shared" si="194"/>
        <v>0.98387308623695025</v>
      </c>
      <c r="T1144" s="16">
        <f t="shared" si="195"/>
        <v>-23.082916991274185</v>
      </c>
    </row>
    <row r="1145" spans="1:20" x14ac:dyDescent="0.35">
      <c r="A1145" s="17">
        <v>4.3125</v>
      </c>
      <c r="B1145" s="17">
        <v>15.4392</v>
      </c>
      <c r="C1145" s="17">
        <v>-7.5293278000000005E-2</v>
      </c>
      <c r="D1145" s="17">
        <v>-0.10560957</v>
      </c>
      <c r="E1145" s="17">
        <v>0.92455189999999998</v>
      </c>
      <c r="F1145" s="17">
        <v>-0.11160607</v>
      </c>
      <c r="G1145" s="17">
        <f t="shared" si="186"/>
        <v>1.65639055354898</v>
      </c>
      <c r="H1145" s="17">
        <f t="shared" si="187"/>
        <v>-3.1057717245332999</v>
      </c>
      <c r="I1145" s="17">
        <f t="shared" si="188"/>
        <v>1.6563221280662499</v>
      </c>
      <c r="J1145" s="17">
        <f t="shared" si="189"/>
        <v>-3.1087704118213799</v>
      </c>
      <c r="K1145" s="15">
        <f t="shared" si="190"/>
        <v>6.84254827301167E-5</v>
      </c>
      <c r="L1145" s="15">
        <f t="shared" si="191"/>
        <v>2.9986872880800601E-3</v>
      </c>
      <c r="M1145" s="15">
        <f t="shared" si="192"/>
        <v>0.13348978791729901</v>
      </c>
      <c r="N1145" s="15">
        <f t="shared" si="193"/>
        <v>0.250548547245522</v>
      </c>
      <c r="O1145" s="17">
        <v>9.3209364000000008</v>
      </c>
      <c r="P1145" s="17">
        <v>-6.5418716000000003</v>
      </c>
      <c r="Q1145" s="17">
        <v>5.9209326000000004</v>
      </c>
      <c r="R1145" s="17">
        <v>-9.5313017999999996</v>
      </c>
      <c r="S1145" s="17">
        <f t="shared" si="194"/>
        <v>0.98534566077393004</v>
      </c>
      <c r="T1145" s="17">
        <f t="shared" si="195"/>
        <v>-23.088084709893899</v>
      </c>
    </row>
    <row r="1146" spans="1:20" x14ac:dyDescent="0.35">
      <c r="A1146" s="16">
        <v>4.3125</v>
      </c>
      <c r="B1146" s="16">
        <v>15.488</v>
      </c>
      <c r="C1146" s="16">
        <v>-7.9517109000000002E-2</v>
      </c>
      <c r="D1146" s="16">
        <v>-0.10717209</v>
      </c>
      <c r="E1146" s="16">
        <v>0.92032570000000002</v>
      </c>
      <c r="F1146" s="16">
        <v>-0.11322148</v>
      </c>
      <c r="G1146" s="16">
        <f t="shared" si="186"/>
        <v>1.6537371240316401</v>
      </c>
      <c r="H1146" s="16">
        <f t="shared" si="187"/>
        <v>-2.9801945654903501</v>
      </c>
      <c r="I1146" s="16">
        <f t="shared" si="188"/>
        <v>1.65366767320752</v>
      </c>
      <c r="J1146" s="16">
        <f t="shared" si="189"/>
        <v>-2.9832197083205299</v>
      </c>
      <c r="K1146" s="15">
        <f t="shared" si="190"/>
        <v>6.9450824120131899E-5</v>
      </c>
      <c r="L1146" s="15">
        <f t="shared" si="191"/>
        <v>3.0251428301797398E-3</v>
      </c>
      <c r="M1146" s="15">
        <f t="shared" si="192"/>
        <v>0.14213829171712</v>
      </c>
      <c r="N1146" s="15">
        <f t="shared" si="193"/>
        <v>0.25641775553068702</v>
      </c>
      <c r="O1146" s="16">
        <v>9.4332484999999995</v>
      </c>
      <c r="P1146" s="16">
        <v>-6.8906101</v>
      </c>
      <c r="Q1146" s="16">
        <v>5.8950243999999996</v>
      </c>
      <c r="R1146" s="16">
        <v>-9.9045892999999996</v>
      </c>
      <c r="S1146" s="16">
        <f t="shared" si="194"/>
        <v>0.98666803288995508</v>
      </c>
      <c r="T1146" s="16">
        <f t="shared" si="195"/>
        <v>-23.093059993678864</v>
      </c>
    </row>
    <row r="1147" spans="1:20" x14ac:dyDescent="0.35">
      <c r="A1147" s="17">
        <v>4.3125</v>
      </c>
      <c r="B1147" s="17">
        <v>15.536799999999999</v>
      </c>
      <c r="C1147" s="17">
        <v>-8.3969692999999998E-2</v>
      </c>
      <c r="D1147" s="17">
        <v>-0.10862883</v>
      </c>
      <c r="E1147" s="17">
        <v>0.91587070999999998</v>
      </c>
      <c r="F1147" s="17">
        <v>-0.11473166</v>
      </c>
      <c r="G1147" s="17">
        <f t="shared" si="186"/>
        <v>1.6510916288858399</v>
      </c>
      <c r="H1147" s="17">
        <f t="shared" si="187"/>
        <v>-2.8566770051041099</v>
      </c>
      <c r="I1147" s="17">
        <f t="shared" si="188"/>
        <v>1.6510211372937</v>
      </c>
      <c r="J1147" s="17">
        <f t="shared" si="189"/>
        <v>-2.8597288787381601</v>
      </c>
      <c r="K1147" s="15">
        <f t="shared" si="190"/>
        <v>7.0491592139898502E-5</v>
      </c>
      <c r="L1147" s="15">
        <f t="shared" si="191"/>
        <v>3.0518736340501302E-3</v>
      </c>
      <c r="M1147" s="15">
        <f t="shared" si="192"/>
        <v>0.151415374366554</v>
      </c>
      <c r="N1147" s="15">
        <f t="shared" si="193"/>
        <v>0.262266126689785</v>
      </c>
      <c r="O1147" s="17">
        <v>9.5359928000000007</v>
      </c>
      <c r="P1147" s="17">
        <v>-7.2573898999999997</v>
      </c>
      <c r="Q1147" s="17">
        <v>5.8531832000000001</v>
      </c>
      <c r="R1147" s="17">
        <v>-10.291308000000001</v>
      </c>
      <c r="S1147" s="17">
        <f t="shared" si="194"/>
        <v>0.98797090765712647</v>
      </c>
      <c r="T1147" s="17">
        <f t="shared" si="195"/>
        <v>-23.097903286875891</v>
      </c>
    </row>
    <row r="1148" spans="1:20" x14ac:dyDescent="0.35">
      <c r="A1148" s="16">
        <v>4.3125</v>
      </c>
      <c r="B1148" s="16">
        <v>15.585599999999999</v>
      </c>
      <c r="C1148" s="16">
        <v>-8.8657001999999999E-2</v>
      </c>
      <c r="D1148" s="16">
        <v>-0.10995923000000001</v>
      </c>
      <c r="E1148" s="16">
        <v>0.91118098000000003</v>
      </c>
      <c r="F1148" s="16">
        <v>-0.11611608</v>
      </c>
      <c r="G1148" s="16">
        <f t="shared" si="186"/>
        <v>1.64845342374436</v>
      </c>
      <c r="H1148" s="16">
        <f t="shared" si="187"/>
        <v>-2.7351918698755302</v>
      </c>
      <c r="I1148" s="16">
        <f t="shared" si="188"/>
        <v>1.6483818870954901</v>
      </c>
      <c r="J1148" s="16">
        <f t="shared" si="189"/>
        <v>-2.7382707645139299</v>
      </c>
      <c r="K1148" s="15">
        <f t="shared" si="190"/>
        <v>7.1536648869940906E-5</v>
      </c>
      <c r="L1148" s="15">
        <f t="shared" si="191"/>
        <v>3.0788946383997198E-3</v>
      </c>
      <c r="M1148" s="15">
        <f t="shared" si="192"/>
        <v>0.16136418520932799</v>
      </c>
      <c r="N1148" s="15">
        <f t="shared" si="193"/>
        <v>0.268056106571812</v>
      </c>
      <c r="O1148" s="16">
        <v>9.6274721999999997</v>
      </c>
      <c r="P1148" s="16">
        <v>-7.6425989000000003</v>
      </c>
      <c r="Q1148" s="16">
        <v>5.7936907</v>
      </c>
      <c r="R1148" s="16">
        <v>-10.691259000000001</v>
      </c>
      <c r="S1148" s="16">
        <f t="shared" si="194"/>
        <v>0.98926160034108845</v>
      </c>
      <c r="T1148" s="16">
        <f t="shared" si="195"/>
        <v>-23.102649077412739</v>
      </c>
    </row>
    <row r="1149" spans="1:20" x14ac:dyDescent="0.35">
      <c r="A1149" s="17">
        <v>4.3125</v>
      </c>
      <c r="B1149" s="17">
        <v>15.634399999999999</v>
      </c>
      <c r="C1149" s="17">
        <v>-9.3583529999999998E-2</v>
      </c>
      <c r="D1149" s="17">
        <v>-0.11114068000000001</v>
      </c>
      <c r="E1149" s="17">
        <v>0.90625202999999999</v>
      </c>
      <c r="F1149" s="17">
        <v>-0.11735212</v>
      </c>
      <c r="G1149" s="17">
        <f t="shared" si="186"/>
        <v>1.64582208526903</v>
      </c>
      <c r="H1149" s="17">
        <f t="shared" si="187"/>
        <v>-2.6157141754072799</v>
      </c>
      <c r="I1149" s="17">
        <f t="shared" si="188"/>
        <v>1.6457495062915299</v>
      </c>
      <c r="J1149" s="17">
        <f t="shared" si="189"/>
        <v>-2.61882037620909</v>
      </c>
      <c r="K1149" s="15">
        <f t="shared" si="190"/>
        <v>7.2578977500015198E-5</v>
      </c>
      <c r="L1149" s="15">
        <f t="shared" si="191"/>
        <v>3.10620080181012E-3</v>
      </c>
      <c r="M1149" s="15">
        <f t="shared" si="192"/>
        <v>0.17202875711637</v>
      </c>
      <c r="N1149" s="15">
        <f t="shared" si="193"/>
        <v>0.273743004453601</v>
      </c>
      <c r="O1149" s="17">
        <v>9.7058327000000002</v>
      </c>
      <c r="P1149" s="17">
        <v>-8.0464953999999995</v>
      </c>
      <c r="Q1149" s="17">
        <v>5.7145802000000003</v>
      </c>
      <c r="R1149" s="17">
        <v>-11.103704</v>
      </c>
      <c r="S1149" s="17">
        <f t="shared" si="194"/>
        <v>0.99051614527871679</v>
      </c>
      <c r="T1149" s="17">
        <f t="shared" si="195"/>
        <v>-23.107152754665023</v>
      </c>
    </row>
    <row r="1150" spans="1:20" x14ac:dyDescent="0.35">
      <c r="A1150" s="16">
        <v>4.3125</v>
      </c>
      <c r="B1150" s="16">
        <v>15.683199999999999</v>
      </c>
      <c r="C1150" s="16">
        <v>-9.8751913999999996E-2</v>
      </c>
      <c r="D1150" s="16">
        <v>-0.11214847</v>
      </c>
      <c r="E1150" s="16">
        <v>0.90108124999999994</v>
      </c>
      <c r="F1150" s="16">
        <v>-0.1184151</v>
      </c>
      <c r="G1150" s="16">
        <f t="shared" si="186"/>
        <v>1.6431973372101101</v>
      </c>
      <c r="H1150" s="16">
        <f t="shared" si="187"/>
        <v>-2.4982210466686698</v>
      </c>
      <c r="I1150" s="16">
        <f t="shared" si="188"/>
        <v>1.6431237322747501</v>
      </c>
      <c r="J1150" s="16">
        <f t="shared" si="189"/>
        <v>-2.5013548537120398</v>
      </c>
      <c r="K1150" s="15">
        <f t="shared" si="190"/>
        <v>7.3604935360016595E-5</v>
      </c>
      <c r="L1150" s="15">
        <f t="shared" si="191"/>
        <v>3.1338070433699601E-3</v>
      </c>
      <c r="M1150" s="15">
        <f t="shared" si="192"/>
        <v>0.183453309974351</v>
      </c>
      <c r="N1150" s="15">
        <f t="shared" si="193"/>
        <v>0.27927405485075901</v>
      </c>
      <c r="O1150" s="16">
        <v>9.7703282999999992</v>
      </c>
      <c r="P1150" s="16">
        <v>-8.4702756000000008</v>
      </c>
      <c r="Q1150" s="16">
        <v>5.6140071000000002</v>
      </c>
      <c r="R1150" s="16">
        <v>-11.528105999999999</v>
      </c>
      <c r="S1150" s="16">
        <f t="shared" si="194"/>
        <v>0.99162009597701872</v>
      </c>
      <c r="T1150" s="16">
        <f t="shared" si="195"/>
        <v>-23.111360601595521</v>
      </c>
    </row>
    <row r="1151" spans="1:20" x14ac:dyDescent="0.35">
      <c r="A1151" s="17">
        <v>4.3125</v>
      </c>
      <c r="B1151" s="17">
        <v>15.731999999999999</v>
      </c>
      <c r="C1151" s="17">
        <v>-0.10416251999999999</v>
      </c>
      <c r="D1151" s="17">
        <v>-0.11295587</v>
      </c>
      <c r="E1151" s="17">
        <v>0.89566827000000004</v>
      </c>
      <c r="F1151" s="17">
        <v>-0.1192783</v>
      </c>
      <c r="G1151" s="17">
        <f t="shared" si="186"/>
        <v>1.6405790529325599</v>
      </c>
      <c r="H1151" s="17">
        <f t="shared" si="187"/>
        <v>-2.3826908194484102</v>
      </c>
      <c r="I1151" s="17">
        <f t="shared" si="188"/>
        <v>1.64050443649119</v>
      </c>
      <c r="J1151" s="17">
        <f t="shared" si="189"/>
        <v>-2.3858525378242099</v>
      </c>
      <c r="K1151" s="15">
        <f t="shared" si="190"/>
        <v>7.4616441369856901E-5</v>
      </c>
      <c r="L1151" s="15">
        <f t="shared" si="191"/>
        <v>3.1617183757996999E-3</v>
      </c>
      <c r="M1151" s="15">
        <f t="shared" si="192"/>
        <v>0.19568142331771299</v>
      </c>
      <c r="N1151" s="15">
        <f t="shared" si="193"/>
        <v>0.28458747812116902</v>
      </c>
      <c r="O1151" s="17">
        <v>9.8166227999999993</v>
      </c>
      <c r="P1151" s="17">
        <v>-8.9120425000000001</v>
      </c>
      <c r="Q1151" s="17">
        <v>5.4899781000000001</v>
      </c>
      <c r="R1151" s="17">
        <v>-11.964065</v>
      </c>
      <c r="S1151" s="17">
        <f t="shared" si="194"/>
        <v>0.99282978779512121</v>
      </c>
      <c r="T1151" s="17">
        <f t="shared" si="195"/>
        <v>-23.11611421178393</v>
      </c>
    </row>
    <row r="1152" spans="1:20" x14ac:dyDescent="0.35">
      <c r="A1152" s="16">
        <v>4.3125</v>
      </c>
      <c r="B1152" s="16">
        <v>15.780799999999999</v>
      </c>
      <c r="C1152" s="16">
        <v>-0.10981719</v>
      </c>
      <c r="D1152" s="16">
        <v>-0.11353869</v>
      </c>
      <c r="E1152" s="16">
        <v>0.89009680999999996</v>
      </c>
      <c r="F1152" s="16">
        <v>-0.11987722000000001</v>
      </c>
      <c r="G1152" s="16">
        <f t="shared" si="186"/>
        <v>1.63820556600157</v>
      </c>
      <c r="H1152" s="16">
        <f t="shared" si="187"/>
        <v>-2.2698811515677</v>
      </c>
      <c r="I1152" s="16">
        <f t="shared" si="188"/>
        <v>1.63817260958804</v>
      </c>
      <c r="J1152" s="16">
        <f t="shared" si="189"/>
        <v>-2.2730506573040499</v>
      </c>
      <c r="K1152" s="15">
        <f t="shared" si="190"/>
        <v>3.2956413529960899E-5</v>
      </c>
      <c r="L1152" s="15">
        <f t="shared" si="191"/>
        <v>3.1695057363498899E-3</v>
      </c>
      <c r="M1152" s="15">
        <f t="shared" si="192"/>
        <v>0.20867460542546301</v>
      </c>
      <c r="N1152" s="15">
        <f t="shared" si="193"/>
        <v>0.28954699049955102</v>
      </c>
      <c r="O1152" s="16">
        <v>9.8434720000000002</v>
      </c>
      <c r="P1152" s="16">
        <v>-9.3721136000000005</v>
      </c>
      <c r="Q1152" s="16">
        <v>5.3408724000000003</v>
      </c>
      <c r="R1152" s="16">
        <v>-12.409951</v>
      </c>
      <c r="S1152" s="16">
        <f t="shared" si="194"/>
        <v>0.9940312120572603</v>
      </c>
      <c r="T1152" s="16">
        <f t="shared" si="195"/>
        <v>-23.119583223596692</v>
      </c>
    </row>
    <row r="1153" spans="1:20" x14ac:dyDescent="0.35">
      <c r="A1153" s="17">
        <v>4.3125</v>
      </c>
      <c r="B1153" s="17">
        <v>15.829599999999999</v>
      </c>
      <c r="C1153" s="17">
        <v>-0.11570233000000001</v>
      </c>
      <c r="D1153" s="17">
        <v>-0.11385758</v>
      </c>
      <c r="E1153" s="17">
        <v>0.88421187999999995</v>
      </c>
      <c r="F1153" s="17">
        <v>-0.12025300999999999</v>
      </c>
      <c r="G1153" s="17">
        <f t="shared" si="186"/>
        <v>1.63562383997093</v>
      </c>
      <c r="H1153" s="17">
        <f t="shared" si="187"/>
        <v>-2.1581805416017001</v>
      </c>
      <c r="I1153" s="17">
        <f t="shared" si="188"/>
        <v>1.63559116972348</v>
      </c>
      <c r="J1153" s="17">
        <f t="shared" si="189"/>
        <v>-2.1613784982481898</v>
      </c>
      <c r="K1153" s="15">
        <f t="shared" si="190"/>
        <v>3.2670247450017302E-5</v>
      </c>
      <c r="L1153" s="15">
        <f t="shared" si="191"/>
        <v>3.1979566464896999E-3</v>
      </c>
      <c r="M1153" s="15">
        <f t="shared" si="192"/>
        <v>0.22262889757749199</v>
      </c>
      <c r="N1153" s="15">
        <f t="shared" si="193"/>
        <v>0.29419657015759099</v>
      </c>
      <c r="O1153" s="17">
        <v>9.8486247000000002</v>
      </c>
      <c r="P1153" s="17">
        <v>-9.8506473000000003</v>
      </c>
      <c r="Q1153" s="17">
        <v>5.1634928999999996</v>
      </c>
      <c r="R1153" s="17">
        <v>-12.864243</v>
      </c>
      <c r="S1153" s="17">
        <f t="shared" si="194"/>
        <v>0.99514295532790664</v>
      </c>
      <c r="T1153" s="17">
        <f t="shared" si="195"/>
        <v>-23.124412853177311</v>
      </c>
    </row>
    <row r="1154" spans="1:20" x14ac:dyDescent="0.35">
      <c r="A1154" s="16">
        <v>4.3125</v>
      </c>
      <c r="B1154" s="16">
        <v>15.878399999999999</v>
      </c>
      <c r="C1154" s="16">
        <v>-0.12181225</v>
      </c>
      <c r="D1154" s="16">
        <v>-0.11388547</v>
      </c>
      <c r="E1154" s="16">
        <v>0.87810231000000005</v>
      </c>
      <c r="F1154" s="16">
        <v>-0.12033776</v>
      </c>
      <c r="G1154" s="16">
        <f t="shared" si="186"/>
        <v>1.6330503329495401</v>
      </c>
      <c r="H1154" s="16">
        <f t="shared" si="187"/>
        <v>-2.0483899969622601</v>
      </c>
      <c r="I1154" s="16">
        <f t="shared" si="188"/>
        <v>1.63301802036167</v>
      </c>
      <c r="J1154" s="16">
        <f t="shared" si="189"/>
        <v>-2.0516163840386001</v>
      </c>
      <c r="K1154" s="15">
        <f t="shared" si="190"/>
        <v>3.2312587870064699E-5</v>
      </c>
      <c r="L1154" s="15">
        <f t="shared" si="191"/>
        <v>3.22638707634004E-3</v>
      </c>
      <c r="M1154" s="15">
        <f t="shared" si="192"/>
        <v>0.23749957538035801</v>
      </c>
      <c r="N1154" s="15">
        <f t="shared" si="193"/>
        <v>0.29837883843108898</v>
      </c>
      <c r="O1154" s="16">
        <v>9.8279589000000005</v>
      </c>
      <c r="P1154" s="16">
        <v>-10.344832</v>
      </c>
      <c r="Q1154" s="16">
        <v>4.9567424999999998</v>
      </c>
      <c r="R1154" s="16">
        <v>-13.325456000000001</v>
      </c>
      <c r="S1154" s="16">
        <f t="shared" si="194"/>
        <v>0.99639029183141448</v>
      </c>
      <c r="T1154" s="16">
        <f t="shared" si="195"/>
        <v>-23.12830660987558</v>
      </c>
    </row>
    <row r="1155" spans="1:20" x14ac:dyDescent="0.35">
      <c r="A1155" s="17">
        <v>4.3125</v>
      </c>
      <c r="B1155" s="17">
        <v>15.927199999999999</v>
      </c>
      <c r="C1155" s="17">
        <v>-0.12813545000000001</v>
      </c>
      <c r="D1155" s="17">
        <v>-0.11358876</v>
      </c>
      <c r="E1155" s="17">
        <v>0.87178025999999997</v>
      </c>
      <c r="F1155" s="17">
        <v>-0.12009924</v>
      </c>
      <c r="G1155" s="17">
        <f t="shared" si="186"/>
        <v>1.6304845928756999</v>
      </c>
      <c r="H1155" s="17">
        <f t="shared" si="187"/>
        <v>-1.9404628306871501</v>
      </c>
      <c r="I1155" s="17">
        <f t="shared" si="188"/>
        <v>1.63045304391447</v>
      </c>
      <c r="J1155" s="17">
        <f t="shared" si="189"/>
        <v>-1.9437183105888001</v>
      </c>
      <c r="K1155" s="15">
        <f t="shared" si="190"/>
        <v>3.1548961229921299E-5</v>
      </c>
      <c r="L1155" s="15">
        <f t="shared" si="191"/>
        <v>3.2554799016499799E-3</v>
      </c>
      <c r="M1155" s="15">
        <f t="shared" si="192"/>
        <v>0.25331683617886003</v>
      </c>
      <c r="N1155" s="15">
        <f t="shared" si="193"/>
        <v>0.301987582346531</v>
      </c>
      <c r="O1155" s="17">
        <v>9.7816784999999999</v>
      </c>
      <c r="P1155" s="17">
        <v>-10.856527</v>
      </c>
      <c r="Q1155" s="17">
        <v>4.7179755999999999</v>
      </c>
      <c r="R1155" s="17">
        <v>-13.791141</v>
      </c>
      <c r="S1155" s="17">
        <f t="shared" si="194"/>
        <v>0.99744329599344084</v>
      </c>
      <c r="T1155" s="17">
        <f t="shared" si="195"/>
        <v>-23.132784374951108</v>
      </c>
    </row>
    <row r="1156" spans="1:20" x14ac:dyDescent="0.35">
      <c r="A1156" s="16">
        <v>4.3125</v>
      </c>
      <c r="B1156" s="16">
        <v>15.976000000000001</v>
      </c>
      <c r="C1156" s="16">
        <v>-0.13465083</v>
      </c>
      <c r="D1156" s="16">
        <v>-0.11293493</v>
      </c>
      <c r="E1156" s="16">
        <v>0.86526625000000001</v>
      </c>
      <c r="F1156" s="16">
        <v>-0.11950404000000001</v>
      </c>
      <c r="G1156" s="16">
        <f t="shared" si="186"/>
        <v>1.6279240847194001</v>
      </c>
      <c r="H1156" s="16">
        <f t="shared" si="187"/>
        <v>-1.8344275000318799</v>
      </c>
      <c r="I1156" s="16">
        <f t="shared" si="188"/>
        <v>1.6278934125275</v>
      </c>
      <c r="J1156" s="16">
        <f t="shared" si="189"/>
        <v>-1.83771229196385</v>
      </c>
      <c r="K1156" s="15">
        <f t="shared" si="190"/>
        <v>3.0672191900116302E-5</v>
      </c>
      <c r="L1156" s="15">
        <f t="shared" si="191"/>
        <v>3.2847919319700701E-3</v>
      </c>
      <c r="M1156" s="15">
        <f t="shared" si="192"/>
        <v>0.27009010554788299</v>
      </c>
      <c r="N1156" s="15">
        <f t="shared" si="193"/>
        <v>0.304901969062286</v>
      </c>
      <c r="O1156" s="16">
        <v>9.7050353000000005</v>
      </c>
      <c r="P1156" s="16">
        <v>-11.381622</v>
      </c>
      <c r="Q1156" s="16">
        <v>4.4457157</v>
      </c>
      <c r="R1156" s="16">
        <v>-14.258521999999999</v>
      </c>
      <c r="S1156" s="16">
        <f t="shared" si="194"/>
        <v>0.99852572084264313</v>
      </c>
      <c r="T1156" s="16">
        <f t="shared" si="195"/>
        <v>-23.136868858800621</v>
      </c>
    </row>
    <row r="1157" spans="1:20" x14ac:dyDescent="0.35">
      <c r="A1157" s="17">
        <v>4.3125</v>
      </c>
      <c r="B1157" s="17">
        <v>16.024799999999999</v>
      </c>
      <c r="C1157" s="17">
        <v>-0.14134954</v>
      </c>
      <c r="D1157" s="17">
        <v>-0.11188489</v>
      </c>
      <c r="E1157" s="17">
        <v>0.85856657000000003</v>
      </c>
      <c r="F1157" s="17">
        <v>-0.11851356</v>
      </c>
      <c r="G1157" s="17">
        <f t="shared" si="186"/>
        <v>1.6254097353730099</v>
      </c>
      <c r="H1157" s="17">
        <f t="shared" si="187"/>
        <v>-1.7300153863032299</v>
      </c>
      <c r="I1157" s="17">
        <f t="shared" si="188"/>
        <v>1.6253787746917501</v>
      </c>
      <c r="J1157" s="17">
        <f t="shared" si="189"/>
        <v>-1.7333299629472201</v>
      </c>
      <c r="K1157" s="15">
        <f t="shared" si="190"/>
        <v>3.0960681259850597E-5</v>
      </c>
      <c r="L1157" s="15">
        <f t="shared" si="191"/>
        <v>3.3145766439901499E-3</v>
      </c>
      <c r="M1157" s="15">
        <f t="shared" si="192"/>
        <v>0.28786673817805403</v>
      </c>
      <c r="N1157" s="15">
        <f t="shared" si="193"/>
        <v>0.30698570104960898</v>
      </c>
      <c r="O1157" s="17">
        <v>9.5948916000000004</v>
      </c>
      <c r="P1157" s="17">
        <v>-11.919105999999999</v>
      </c>
      <c r="Q1157" s="17">
        <v>4.1375206000000002</v>
      </c>
      <c r="R1157" s="17">
        <v>-14.726341</v>
      </c>
      <c r="S1157" s="17">
        <f t="shared" si="194"/>
        <v>0.99969491245450537</v>
      </c>
      <c r="T1157" s="17">
        <f t="shared" si="195"/>
        <v>-23.140830703456388</v>
      </c>
    </row>
    <row r="1158" spans="1:20" x14ac:dyDescent="0.35">
      <c r="A1158" s="16">
        <v>4.3125</v>
      </c>
      <c r="B1158" s="16">
        <v>16.073599999999999</v>
      </c>
      <c r="C1158" s="16">
        <v>-0.14817981999999999</v>
      </c>
      <c r="D1158" s="16">
        <v>-0.11041686000000001</v>
      </c>
      <c r="E1158" s="16">
        <v>0.85173690999999996</v>
      </c>
      <c r="F1158" s="16">
        <v>-0.11710462000000001</v>
      </c>
      <c r="G1158" s="16">
        <f t="shared" si="186"/>
        <v>1.6228562553475001</v>
      </c>
      <c r="H1158" s="16">
        <f t="shared" si="187"/>
        <v>-1.62761950384403</v>
      </c>
      <c r="I1158" s="16">
        <f t="shared" si="188"/>
        <v>1.6228258014190999</v>
      </c>
      <c r="J1158" s="16">
        <f t="shared" si="189"/>
        <v>-1.6309636249107899</v>
      </c>
      <c r="K1158" s="15">
        <f t="shared" si="190"/>
        <v>3.0453928400175901E-5</v>
      </c>
      <c r="L1158" s="15">
        <f t="shared" si="191"/>
        <v>3.3441210667599598E-3</v>
      </c>
      <c r="M1158" s="15">
        <f t="shared" si="192"/>
        <v>0.30656339433547097</v>
      </c>
      <c r="N1158" s="15">
        <f t="shared" si="193"/>
        <v>0.30810068736466301</v>
      </c>
      <c r="O1158" s="16">
        <v>9.4490849000000008</v>
      </c>
      <c r="P1158" s="16">
        <v>-12.463799</v>
      </c>
      <c r="Q1158" s="16">
        <v>3.7931919999999999</v>
      </c>
      <c r="R1158" s="16">
        <v>-15.188667000000001</v>
      </c>
      <c r="S1158" s="16">
        <f t="shared" si="194"/>
        <v>1.0009242694835163</v>
      </c>
      <c r="T1158" s="16">
        <f t="shared" si="195"/>
        <v>-23.144449341958261</v>
      </c>
    </row>
    <row r="1159" spans="1:20" x14ac:dyDescent="0.35">
      <c r="A1159" s="17">
        <v>4.3125</v>
      </c>
      <c r="B1159" s="17">
        <v>16.122399999999999</v>
      </c>
      <c r="C1159" s="17">
        <v>-0.15511304000000001</v>
      </c>
      <c r="D1159" s="17">
        <v>-0.10849687</v>
      </c>
      <c r="E1159" s="17">
        <v>0.84480509000000004</v>
      </c>
      <c r="F1159" s="17">
        <v>-0.11524450999999999</v>
      </c>
      <c r="G1159" s="17">
        <f t="shared" si="186"/>
        <v>1.62031094477823</v>
      </c>
      <c r="H1159" s="17">
        <f t="shared" si="187"/>
        <v>-1.52711038258811</v>
      </c>
      <c r="I1159" s="17">
        <f t="shared" si="188"/>
        <v>1.6202813920322501</v>
      </c>
      <c r="J1159" s="17">
        <f t="shared" si="189"/>
        <v>-1.53048444041082</v>
      </c>
      <c r="K1159" s="15">
        <f t="shared" si="190"/>
        <v>2.95527459799327E-5</v>
      </c>
      <c r="L1159" s="15">
        <f t="shared" si="191"/>
        <v>3.3740578227099399E-3</v>
      </c>
      <c r="M1159" s="15">
        <f t="shared" si="192"/>
        <v>0.32616366019099702</v>
      </c>
      <c r="N1159" s="15">
        <f t="shared" si="193"/>
        <v>0.30808747752367199</v>
      </c>
      <c r="O1159" s="17">
        <v>9.2689483999999993</v>
      </c>
      <c r="P1159" s="17">
        <v>-13.018382000000001</v>
      </c>
      <c r="Q1159" s="17">
        <v>3.4113684000000002</v>
      </c>
      <c r="R1159" s="17">
        <v>-15.64357</v>
      </c>
      <c r="S1159" s="17">
        <f t="shared" si="194"/>
        <v>1.0018914646865484</v>
      </c>
      <c r="T1159" s="17">
        <f t="shared" si="195"/>
        <v>-23.148645408994888</v>
      </c>
    </row>
    <row r="1160" spans="1:20" x14ac:dyDescent="0.35">
      <c r="A1160" s="16">
        <v>4.3125</v>
      </c>
      <c r="B1160" s="16">
        <v>16.171199999999999</v>
      </c>
      <c r="C1160" s="16">
        <v>-0.16210953</v>
      </c>
      <c r="D1160" s="16">
        <v>-0.10609833</v>
      </c>
      <c r="E1160" s="16">
        <v>0.83781066999999998</v>
      </c>
      <c r="F1160" s="16">
        <v>-0.1129067</v>
      </c>
      <c r="G1160" s="16">
        <f t="shared" si="186"/>
        <v>1.6177742593694799</v>
      </c>
      <c r="H1160" s="16">
        <f t="shared" si="187"/>
        <v>-1.42846043515314</v>
      </c>
      <c r="I1160" s="16">
        <f t="shared" si="188"/>
        <v>1.61774594750585</v>
      </c>
      <c r="J1160" s="16">
        <f t="shared" si="189"/>
        <v>-1.4318648523682</v>
      </c>
      <c r="K1160" s="15">
        <f t="shared" si="190"/>
        <v>2.8311863629948399E-5</v>
      </c>
      <c r="L1160" s="15">
        <f t="shared" si="191"/>
        <v>3.40441721506002E-3</v>
      </c>
      <c r="M1160" s="15">
        <f t="shared" si="192"/>
        <v>0.34660991628118898</v>
      </c>
      <c r="N1160" s="15">
        <f t="shared" si="193"/>
        <v>0.30678399001430601</v>
      </c>
      <c r="O1160" s="16">
        <v>9.0485395999999998</v>
      </c>
      <c r="P1160" s="16">
        <v>-13.574309</v>
      </c>
      <c r="Q1160" s="16">
        <v>2.9914567000000001</v>
      </c>
      <c r="R1160" s="16">
        <v>-16.086213999999998</v>
      </c>
      <c r="S1160" s="16">
        <f t="shared" si="194"/>
        <v>1.0029586737120384</v>
      </c>
      <c r="T1160" s="16">
        <f t="shared" si="195"/>
        <v>-23.152531791454585</v>
      </c>
    </row>
    <row r="1161" spans="1:20" x14ac:dyDescent="0.35">
      <c r="A1161" s="17">
        <v>4.3125</v>
      </c>
      <c r="B1161" s="17">
        <v>16.22</v>
      </c>
      <c r="C1161" s="17">
        <v>-0.16912546000000001</v>
      </c>
      <c r="D1161" s="17">
        <v>-0.10319853</v>
      </c>
      <c r="E1161" s="17">
        <v>0.83081751000000004</v>
      </c>
      <c r="F1161" s="17">
        <v>-0.11003757</v>
      </c>
      <c r="G1161" s="17">
        <f t="shared" si="186"/>
        <v>1.61546566134501</v>
      </c>
      <c r="H1161" s="17">
        <f t="shared" si="187"/>
        <v>-1.33166661372527</v>
      </c>
      <c r="I1161" s="17">
        <f t="shared" si="188"/>
        <v>1.6154488395125099</v>
      </c>
      <c r="J1161" s="17">
        <f t="shared" si="189"/>
        <v>-1.3350862887599</v>
      </c>
      <c r="K1161" s="15">
        <f t="shared" si="190"/>
        <v>1.6821832500069099E-5</v>
      </c>
      <c r="L1161" s="15">
        <f t="shared" si="191"/>
        <v>3.4196750346300298E-3</v>
      </c>
      <c r="M1161" s="15">
        <f t="shared" si="192"/>
        <v>0.36780530408314299</v>
      </c>
      <c r="N1161" s="15">
        <f t="shared" si="193"/>
        <v>0.30397237374768898</v>
      </c>
      <c r="O1161" s="17">
        <v>8.7871883999999998</v>
      </c>
      <c r="P1161" s="17">
        <v>-14.129177</v>
      </c>
      <c r="Q1161" s="17">
        <v>2.5335779999999999</v>
      </c>
      <c r="R1161" s="17">
        <v>-16.512286</v>
      </c>
      <c r="S1161" s="17">
        <f t="shared" si="194"/>
        <v>1.0040127134535195</v>
      </c>
      <c r="T1161" s="17">
        <f t="shared" si="195"/>
        <v>-23.155020821401326</v>
      </c>
    </row>
    <row r="1162" spans="1:20" x14ac:dyDescent="0.35">
      <c r="A1162" s="16">
        <v>4.3125</v>
      </c>
      <c r="B1162" s="16">
        <v>16.268799999999999</v>
      </c>
      <c r="C1162" s="16">
        <v>-0.17610526000000001</v>
      </c>
      <c r="D1162" s="16">
        <v>-9.9782277000000003E-2</v>
      </c>
      <c r="E1162" s="16">
        <v>0.82384312999999998</v>
      </c>
      <c r="F1162" s="16">
        <v>-0.10668168</v>
      </c>
      <c r="G1162" s="16">
        <f t="shared" si="186"/>
        <v>1.6129546322169901</v>
      </c>
      <c r="H1162" s="16">
        <f t="shared" si="187"/>
        <v>-1.23669244610075</v>
      </c>
      <c r="I1162" s="16">
        <f t="shared" si="188"/>
        <v>1.6129407277712</v>
      </c>
      <c r="J1162" s="16">
        <f t="shared" si="189"/>
        <v>-1.2401422845900201</v>
      </c>
      <c r="K1162" s="15">
        <f t="shared" si="190"/>
        <v>1.39044457900805E-5</v>
      </c>
      <c r="L1162" s="15">
        <f t="shared" si="191"/>
        <v>3.44983848927005E-3</v>
      </c>
      <c r="M1162" s="15">
        <f t="shared" si="192"/>
        <v>0.38964338073490601</v>
      </c>
      <c r="N1162" s="15">
        <f t="shared" si="193"/>
        <v>0.29958523834144901</v>
      </c>
      <c r="O1162" s="16">
        <v>8.4842822000000009</v>
      </c>
      <c r="P1162" s="16">
        <v>-14.678915999999999</v>
      </c>
      <c r="Q1162" s="16">
        <v>2.0379860000000001</v>
      </c>
      <c r="R1162" s="16">
        <v>-16.917857999999999</v>
      </c>
      <c r="S1162" s="16">
        <f t="shared" si="194"/>
        <v>1.0050553209661486</v>
      </c>
      <c r="T1162" s="16">
        <f t="shared" si="195"/>
        <v>-23.158571295311688</v>
      </c>
    </row>
    <row r="1163" spans="1:20" x14ac:dyDescent="0.35">
      <c r="A1163" s="17">
        <v>4.3125</v>
      </c>
      <c r="B1163" s="17">
        <v>16.317599999999999</v>
      </c>
      <c r="C1163" s="17">
        <v>-0.18300037</v>
      </c>
      <c r="D1163" s="17">
        <v>-9.5831606999999999E-2</v>
      </c>
      <c r="E1163" s="17">
        <v>0.81688654000000005</v>
      </c>
      <c r="F1163" s="17">
        <v>-0.10285699</v>
      </c>
      <c r="G1163" s="17">
        <f t="shared" si="186"/>
        <v>1.60998767087422</v>
      </c>
      <c r="H1163" s="17">
        <f t="shared" si="187"/>
        <v>-1.1433138459031</v>
      </c>
      <c r="I1163" s="17">
        <f t="shared" si="188"/>
        <v>1.6099434636193499</v>
      </c>
      <c r="J1163" s="17">
        <f t="shared" si="189"/>
        <v>-1.1468268913346999</v>
      </c>
      <c r="K1163" s="15">
        <f t="shared" si="190"/>
        <v>4.4207254870087802E-5</v>
      </c>
      <c r="L1163" s="15">
        <f t="shared" si="191"/>
        <v>3.5130454315999101E-3</v>
      </c>
      <c r="M1163" s="15">
        <f t="shared" si="192"/>
        <v>0.41205271266465499</v>
      </c>
      <c r="N1163" s="15">
        <f t="shared" si="193"/>
        <v>0.29352156905490201</v>
      </c>
      <c r="O1163" s="17">
        <v>8.1383539000000003</v>
      </c>
      <c r="P1163" s="17">
        <v>-15.219187</v>
      </c>
      <c r="Q1163" s="17">
        <v>1.5052973999999999</v>
      </c>
      <c r="R1163" s="17">
        <v>-17.297561999999999</v>
      </c>
      <c r="S1163" s="17">
        <f t="shared" si="194"/>
        <v>1.006050248351483</v>
      </c>
      <c r="T1163" s="17">
        <f t="shared" si="195"/>
        <v>-23.161772908776324</v>
      </c>
    </row>
    <row r="1164" spans="1:20" x14ac:dyDescent="0.35">
      <c r="A1164" s="16">
        <v>4.3125</v>
      </c>
      <c r="B1164" s="16">
        <v>16.366399999999999</v>
      </c>
      <c r="C1164" s="16">
        <v>-0.18974166000000001</v>
      </c>
      <c r="D1164" s="16">
        <v>-9.1359352000000005E-2</v>
      </c>
      <c r="E1164" s="16">
        <v>0.81014216999999999</v>
      </c>
      <c r="F1164" s="16">
        <v>-9.8445785999999993E-2</v>
      </c>
      <c r="G1164" s="16">
        <f t="shared" si="186"/>
        <v>1.6074832039351701</v>
      </c>
      <c r="H1164" s="16">
        <f t="shared" si="187"/>
        <v>-1.0519883677562101</v>
      </c>
      <c r="I1164" s="16">
        <f t="shared" si="188"/>
        <v>1.6074376719780701</v>
      </c>
      <c r="J1164" s="16">
        <f t="shared" si="189"/>
        <v>-1.0555319519149</v>
      </c>
      <c r="K1164" s="15">
        <f t="shared" si="190"/>
        <v>4.5531957099997897E-5</v>
      </c>
      <c r="L1164" s="15">
        <f t="shared" si="191"/>
        <v>3.5435841586899399E-3</v>
      </c>
      <c r="M1164" s="15">
        <f t="shared" si="192"/>
        <v>0.43467715517295902</v>
      </c>
      <c r="N1164" s="15">
        <f t="shared" si="193"/>
        <v>0.285432918520518</v>
      </c>
      <c r="O1164" s="16">
        <v>7.7509153</v>
      </c>
      <c r="P1164" s="16">
        <v>-15.744643</v>
      </c>
      <c r="Q1164" s="16">
        <v>0.93891780000000002</v>
      </c>
      <c r="R1164" s="16">
        <v>-17.648229000000001</v>
      </c>
      <c r="S1164" s="16">
        <f t="shared" si="194"/>
        <v>1.0070715894837259</v>
      </c>
      <c r="T1164" s="16">
        <f t="shared" si="195"/>
        <v>-23.165149785178102</v>
      </c>
    </row>
    <row r="1165" spans="1:20" x14ac:dyDescent="0.35">
      <c r="A1165" s="17">
        <v>4.3125</v>
      </c>
      <c r="B1165" s="17">
        <v>16.415199999999999</v>
      </c>
      <c r="C1165" s="17">
        <v>-0.19625675000000001</v>
      </c>
      <c r="D1165" s="17">
        <v>-8.6380828000000007E-2</v>
      </c>
      <c r="E1165" s="17">
        <v>0.80362454000000005</v>
      </c>
      <c r="F1165" s="17">
        <v>-9.3527697000000007E-2</v>
      </c>
      <c r="G1165" s="17">
        <f t="shared" si="186"/>
        <v>1.6049836316311199</v>
      </c>
      <c r="H1165" s="17">
        <f t="shared" si="187"/>
        <v>-0.96272975808837702</v>
      </c>
      <c r="I1165" s="17">
        <f t="shared" si="188"/>
        <v>1.60493704465298</v>
      </c>
      <c r="J1165" s="17">
        <f t="shared" si="189"/>
        <v>-0.96630357118756904</v>
      </c>
      <c r="K1165" s="15">
        <f t="shared" si="190"/>
        <v>4.6586978139861998E-5</v>
      </c>
      <c r="L1165" s="15">
        <f t="shared" si="191"/>
        <v>3.57381309919202E-3</v>
      </c>
      <c r="M1165" s="15">
        <f t="shared" si="192"/>
        <v>0.457303629335924</v>
      </c>
      <c r="N1165" s="15">
        <f t="shared" si="193"/>
        <v>0.27533424542511398</v>
      </c>
      <c r="O1165" s="17">
        <v>7.3233923000000001</v>
      </c>
      <c r="P1165" s="17">
        <v>-16.249400000000001</v>
      </c>
      <c r="Q1165" s="17">
        <v>0.34243666</v>
      </c>
      <c r="R1165" s="17">
        <v>-17.964144999999998</v>
      </c>
      <c r="S1165" s="17">
        <f t="shared" si="194"/>
        <v>1.0080773835855428</v>
      </c>
      <c r="T1165" s="17">
        <f t="shared" si="195"/>
        <v>-23.168414442874525</v>
      </c>
    </row>
    <row r="1166" spans="1:20" x14ac:dyDescent="0.35">
      <c r="A1166" s="16">
        <v>4.3125</v>
      </c>
      <c r="B1166" s="16">
        <v>16.463999999999999</v>
      </c>
      <c r="C1166" s="16">
        <v>-0.20251505</v>
      </c>
      <c r="D1166" s="16">
        <v>-8.0886740999999998E-2</v>
      </c>
      <c r="E1166" s="16">
        <v>0.79736375999999998</v>
      </c>
      <c r="F1166" s="16">
        <v>-8.8095483000000002E-2</v>
      </c>
      <c r="G1166" s="16">
        <f t="shared" si="186"/>
        <v>1.60249348626748</v>
      </c>
      <c r="H1166" s="16">
        <f t="shared" si="187"/>
        <v>-0.87510462145777101</v>
      </c>
      <c r="I1166" s="16">
        <f t="shared" si="188"/>
        <v>1.60244588127893</v>
      </c>
      <c r="J1166" s="16">
        <f t="shared" si="189"/>
        <v>-0.87870938247430697</v>
      </c>
      <c r="K1166" s="15">
        <f t="shared" si="190"/>
        <v>4.7604988550053997E-5</v>
      </c>
      <c r="L1166" s="15">
        <f t="shared" si="191"/>
        <v>3.6047610165359499E-3</v>
      </c>
      <c r="M1166" s="15">
        <f t="shared" si="192"/>
        <v>0.47977953356436398</v>
      </c>
      <c r="N1166" s="15">
        <f t="shared" si="193"/>
        <v>0.26308955739939199</v>
      </c>
      <c r="O1166" s="16">
        <v>6.8539572</v>
      </c>
      <c r="P1166" s="16">
        <v>-16.727589999999999</v>
      </c>
      <c r="Q1166" s="16">
        <v>-0.28355067</v>
      </c>
      <c r="R1166" s="16">
        <v>-18.242538</v>
      </c>
      <c r="S1166" s="16">
        <f t="shared" si="194"/>
        <v>1.0092621884496673</v>
      </c>
      <c r="T1166" s="16">
        <f t="shared" si="195"/>
        <v>-23.171356950739746</v>
      </c>
    </row>
    <row r="1167" spans="1:20" x14ac:dyDescent="0.35">
      <c r="A1167" s="17">
        <v>4.3125</v>
      </c>
      <c r="B1167" s="17">
        <v>16.512799999999999</v>
      </c>
      <c r="C1167" s="17">
        <v>-0.20845842000000001</v>
      </c>
      <c r="D1167" s="17">
        <v>-7.4894478E-2</v>
      </c>
      <c r="E1167" s="17">
        <v>0.79141888000000005</v>
      </c>
      <c r="F1167" s="17">
        <v>-8.2168277999999997E-2</v>
      </c>
      <c r="G1167" s="17">
        <f t="shared" si="186"/>
        <v>1.60001951410254</v>
      </c>
      <c r="H1167" s="17">
        <f t="shared" si="187"/>
        <v>-0.78906816528736501</v>
      </c>
      <c r="I1167" s="17">
        <f t="shared" si="188"/>
        <v>1.59997138963983</v>
      </c>
      <c r="J1167" s="17">
        <f t="shared" si="189"/>
        <v>-0.79270546345946802</v>
      </c>
      <c r="K1167" s="15">
        <f t="shared" si="190"/>
        <v>4.8124462709964198E-5</v>
      </c>
      <c r="L1167" s="15">
        <f t="shared" si="191"/>
        <v>3.63729817210301E-3</v>
      </c>
      <c r="M1167" s="15">
        <f t="shared" si="192"/>
        <v>0.50182737115431997</v>
      </c>
      <c r="N1167" s="15">
        <f t="shared" si="193"/>
        <v>0.248630257642969</v>
      </c>
      <c r="O1167" s="17">
        <v>6.3476018999999999</v>
      </c>
      <c r="P1167" s="17">
        <v>-17.182274</v>
      </c>
      <c r="Q1167" s="17">
        <v>-0.93580843999999996</v>
      </c>
      <c r="R1167" s="17">
        <v>-18.480055</v>
      </c>
      <c r="S1167" s="17">
        <f t="shared" si="194"/>
        <v>1.0101793650906943</v>
      </c>
      <c r="T1167" s="17">
        <f t="shared" si="195"/>
        <v>-23.174523908574027</v>
      </c>
    </row>
    <row r="1168" spans="1:20" x14ac:dyDescent="0.35">
      <c r="A1168" s="16">
        <v>4.3125</v>
      </c>
      <c r="B1168" s="16">
        <v>16.561599999999999</v>
      </c>
      <c r="C1168" s="16">
        <v>-0.21400211</v>
      </c>
      <c r="D1168" s="16">
        <v>-6.8469362000000006E-2</v>
      </c>
      <c r="E1168" s="16">
        <v>0.78585894999999995</v>
      </c>
      <c r="F1168" s="16">
        <v>-7.5750891000000001E-2</v>
      </c>
      <c r="G1168" s="16">
        <f t="shared" si="186"/>
        <v>1.5976786517183801</v>
      </c>
      <c r="H1168" s="16">
        <f t="shared" si="187"/>
        <v>-0.70477409908643396</v>
      </c>
      <c r="I1168" s="16">
        <f t="shared" si="188"/>
        <v>1.5976224346452499</v>
      </c>
      <c r="J1168" s="16">
        <f t="shared" si="189"/>
        <v>-0.70841532121525996</v>
      </c>
      <c r="K1168" s="15">
        <f t="shared" si="190"/>
        <v>5.6217073130193599E-5</v>
      </c>
      <c r="L1168" s="15">
        <f t="shared" si="191"/>
        <v>3.6412221288260002E-3</v>
      </c>
      <c r="M1168" s="15">
        <f t="shared" si="192"/>
        <v>0.52308179939703403</v>
      </c>
      <c r="N1168" s="15">
        <f t="shared" si="193"/>
        <v>0.23194413955759799</v>
      </c>
      <c r="O1168" s="16">
        <v>5.8085339999999999</v>
      </c>
      <c r="P1168" s="16">
        <v>-17.604467</v>
      </c>
      <c r="Q1168" s="16">
        <v>-1.6070182</v>
      </c>
      <c r="R1168" s="16">
        <v>-18.672429000000001</v>
      </c>
      <c r="S1168" s="16">
        <f t="shared" si="194"/>
        <v>1.0109766358862915</v>
      </c>
      <c r="T1168" s="16">
        <f t="shared" si="195"/>
        <v>-23.179096104434496</v>
      </c>
    </row>
    <row r="1169" spans="1:20" x14ac:dyDescent="0.35">
      <c r="A1169" s="17">
        <v>4.3125</v>
      </c>
      <c r="B1169" s="17">
        <v>16.610399999999998</v>
      </c>
      <c r="C1169" s="17">
        <v>-0.21909676</v>
      </c>
      <c r="D1169" s="17">
        <v>-6.1664402E-2</v>
      </c>
      <c r="E1169" s="17">
        <v>0.78076407000000003</v>
      </c>
      <c r="F1169" s="17">
        <v>-6.9003387999999999E-2</v>
      </c>
      <c r="G1169" s="17">
        <f t="shared" si="186"/>
        <v>1.59521227488689</v>
      </c>
      <c r="H1169" s="17">
        <f t="shared" si="187"/>
        <v>-0.62274333314304198</v>
      </c>
      <c r="I1169" s="17">
        <f t="shared" si="188"/>
        <v>1.5951561528533</v>
      </c>
      <c r="J1169" s="17">
        <f t="shared" si="189"/>
        <v>-0.62641328745622105</v>
      </c>
      <c r="K1169" s="15">
        <f t="shared" si="190"/>
        <v>5.6122033589955899E-5</v>
      </c>
      <c r="L1169" s="15">
        <f t="shared" si="191"/>
        <v>3.6699543131790699E-3</v>
      </c>
      <c r="M1169" s="15">
        <f t="shared" si="192"/>
        <v>0.54313972234139796</v>
      </c>
      <c r="N1169" s="15">
        <f t="shared" si="193"/>
        <v>0.213289425246147</v>
      </c>
      <c r="O1169" s="17">
        <v>5.2394331000000003</v>
      </c>
      <c r="P1169" s="17">
        <v>-17.985182999999999</v>
      </c>
      <c r="Q1169" s="17">
        <v>-2.2905654000000002</v>
      </c>
      <c r="R1169" s="17">
        <v>-18.817518</v>
      </c>
      <c r="S1169" s="17">
        <f t="shared" si="194"/>
        <v>1.0119361217309011</v>
      </c>
      <c r="T1169" s="17">
        <f t="shared" si="195"/>
        <v>-23.182061817503602</v>
      </c>
    </row>
    <row r="1170" spans="1:20" x14ac:dyDescent="0.35">
      <c r="A1170" s="16">
        <v>4.3125</v>
      </c>
      <c r="B1170" s="16">
        <v>16.659199999999998</v>
      </c>
      <c r="C1170" s="16">
        <v>-0.22370364000000001</v>
      </c>
      <c r="D1170" s="16">
        <v>-5.4526255000000003E-2</v>
      </c>
      <c r="E1170" s="16">
        <v>0.77615619000000002</v>
      </c>
      <c r="F1170" s="16">
        <v>-6.1922274999999999E-2</v>
      </c>
      <c r="G1170" s="16">
        <f t="shared" si="186"/>
        <v>1.59275047419666</v>
      </c>
      <c r="H1170" s="16">
        <f t="shared" si="187"/>
        <v>-0.54266158744591997</v>
      </c>
      <c r="I1170" s="16">
        <f t="shared" si="188"/>
        <v>1.59269406225098</v>
      </c>
      <c r="J1170" s="16">
        <f t="shared" si="189"/>
        <v>-0.54636006526567504</v>
      </c>
      <c r="K1170" s="15">
        <f t="shared" si="190"/>
        <v>5.6411945680068202E-5</v>
      </c>
      <c r="L1170" s="15">
        <f t="shared" si="191"/>
        <v>3.6984778197550702E-3</v>
      </c>
      <c r="M1170" s="15">
        <f t="shared" si="192"/>
        <v>0.56176044748790299</v>
      </c>
      <c r="N1170" s="15">
        <f t="shared" si="193"/>
        <v>0.19270711307819199</v>
      </c>
      <c r="O1170" s="16">
        <v>4.6457895000000002</v>
      </c>
      <c r="P1170" s="16">
        <v>-18.325568000000001</v>
      </c>
      <c r="Q1170" s="16">
        <v>-2.9819295000000001</v>
      </c>
      <c r="R1170" s="16">
        <v>-18.914227</v>
      </c>
      <c r="S1170" s="16">
        <f t="shared" si="194"/>
        <v>1.0128301596434237</v>
      </c>
      <c r="T1170" s="16">
        <f t="shared" si="195"/>
        <v>-23.184829639380084</v>
      </c>
    </row>
    <row r="1171" spans="1:20" x14ac:dyDescent="0.35">
      <c r="A1171" s="17">
        <v>4.3125</v>
      </c>
      <c r="B1171" s="17">
        <v>16.707999999999998</v>
      </c>
      <c r="C1171" s="17">
        <v>-0.22779495</v>
      </c>
      <c r="D1171" s="17">
        <v>-4.7114154999999998E-2</v>
      </c>
      <c r="E1171" s="17">
        <v>0.77214616000000003</v>
      </c>
      <c r="F1171" s="17">
        <v>-5.4659011E-2</v>
      </c>
      <c r="G1171" s="17">
        <f t="shared" si="186"/>
        <v>1.59039284595569</v>
      </c>
      <c r="H1171" s="17">
        <f t="shared" si="187"/>
        <v>-0.46501963593226397</v>
      </c>
      <c r="I1171" s="17">
        <f t="shared" si="188"/>
        <v>1.5903776323562999</v>
      </c>
      <c r="J1171" s="17">
        <f t="shared" si="189"/>
        <v>-0.46879223240857498</v>
      </c>
      <c r="K1171" s="15">
        <f t="shared" si="190"/>
        <v>1.52135993900515E-5</v>
      </c>
      <c r="L1171" s="15">
        <f t="shared" si="191"/>
        <v>3.7725964763110102E-3</v>
      </c>
      <c r="M1171" s="15">
        <f t="shared" si="192"/>
        <v>0.57851537762574901</v>
      </c>
      <c r="N1171" s="15">
        <f t="shared" si="193"/>
        <v>0.17052774752500199</v>
      </c>
      <c r="O1171" s="17">
        <v>4.0320698000000004</v>
      </c>
      <c r="P1171" s="17">
        <v>-18.623044</v>
      </c>
      <c r="Q1171" s="17">
        <v>-3.6763767000000001</v>
      </c>
      <c r="R1171" s="17">
        <v>-18.962349</v>
      </c>
      <c r="S1171" s="17">
        <f t="shared" si="194"/>
        <v>1.0136927457974443</v>
      </c>
      <c r="T1171" s="17">
        <f t="shared" si="195"/>
        <v>-23.188781242238736</v>
      </c>
    </row>
    <row r="1172" spans="1:20" x14ac:dyDescent="0.35">
      <c r="A1172" s="16">
        <v>4.3125</v>
      </c>
      <c r="B1172" s="16">
        <v>16.756799999999998</v>
      </c>
      <c r="C1172" s="16">
        <v>-0.23132802999999999</v>
      </c>
      <c r="D1172" s="16">
        <v>-3.9514486000000001E-2</v>
      </c>
      <c r="E1172" s="16">
        <v>0.76861818000000004</v>
      </c>
      <c r="F1172" s="16">
        <v>-4.7126915999999998E-2</v>
      </c>
      <c r="G1172" s="16">
        <f t="shared" si="186"/>
        <v>1.5879797886042499</v>
      </c>
      <c r="H1172" s="16">
        <f t="shared" si="187"/>
        <v>-0.38906528040209498</v>
      </c>
      <c r="I1172" s="16">
        <f t="shared" si="188"/>
        <v>1.5879673811125801</v>
      </c>
      <c r="J1172" s="16">
        <f t="shared" si="189"/>
        <v>-0.392871644999853</v>
      </c>
      <c r="K1172" s="15">
        <f t="shared" si="190"/>
        <v>1.24074916698635E-5</v>
      </c>
      <c r="L1172" s="15">
        <f t="shared" si="191"/>
        <v>3.8063645977580202E-3</v>
      </c>
      <c r="M1172" s="15">
        <f t="shared" si="192"/>
        <v>0.59341337288107399</v>
      </c>
      <c r="N1172" s="15">
        <f t="shared" si="193"/>
        <v>0.146813650419794</v>
      </c>
      <c r="O1172" s="16">
        <v>3.4056112000000001</v>
      </c>
      <c r="P1172" s="16">
        <v>-18.873137</v>
      </c>
      <c r="Q1172" s="16">
        <v>-4.3647694000000001</v>
      </c>
      <c r="R1172" s="16">
        <v>-18.962213999999999</v>
      </c>
      <c r="S1172" s="16">
        <f t="shared" si="194"/>
        <v>1.0146071216901569</v>
      </c>
      <c r="T1172" s="16">
        <f t="shared" si="195"/>
        <v>-23.191503392321327</v>
      </c>
    </row>
    <row r="1173" spans="1:20" x14ac:dyDescent="0.35">
      <c r="A1173" s="17">
        <v>4.3125</v>
      </c>
      <c r="B1173" s="17">
        <v>16.805599999999998</v>
      </c>
      <c r="C1173" s="17">
        <v>-0.23432589000000001</v>
      </c>
      <c r="D1173" s="17">
        <v>-3.1702967999999998E-2</v>
      </c>
      <c r="E1173" s="17">
        <v>0.76565645999999998</v>
      </c>
      <c r="F1173" s="17">
        <v>-3.9371464000000002E-2</v>
      </c>
      <c r="G1173" s="17">
        <f t="shared" si="186"/>
        <v>1.58572909234621</v>
      </c>
      <c r="H1173" s="17">
        <f t="shared" si="187"/>
        <v>-0.31438730560941203</v>
      </c>
      <c r="I1173" s="17">
        <f t="shared" si="188"/>
        <v>1.58573496889915</v>
      </c>
      <c r="J1173" s="17">
        <f t="shared" si="189"/>
        <v>-0.31822156491459003</v>
      </c>
      <c r="K1173" s="15">
        <f t="shared" si="190"/>
        <v>-5.8765529400428596E-6</v>
      </c>
      <c r="L1173" s="15">
        <f t="shared" si="191"/>
        <v>3.8342593051780001E-3</v>
      </c>
      <c r="M1173" s="15">
        <f t="shared" si="192"/>
        <v>0.60620943073645595</v>
      </c>
      <c r="N1173" s="15">
        <f t="shared" si="193"/>
        <v>0.121652683139642</v>
      </c>
      <c r="O1173" s="17">
        <v>2.7658265000000002</v>
      </c>
      <c r="P1173" s="17">
        <v>-19.079632</v>
      </c>
      <c r="Q1173" s="17">
        <v>-5.0482246999999996</v>
      </c>
      <c r="R1173" s="17">
        <v>-18.914646999999999</v>
      </c>
      <c r="S1173" s="17">
        <f t="shared" si="194"/>
        <v>1.01544018378229</v>
      </c>
      <c r="T1173" s="17">
        <f t="shared" si="195"/>
        <v>-23.191899620813281</v>
      </c>
    </row>
    <row r="1174" spans="1:20" x14ac:dyDescent="0.35">
      <c r="A1174" s="16">
        <v>4.3125</v>
      </c>
      <c r="B1174" s="16">
        <v>16.854399999999998</v>
      </c>
      <c r="C1174" s="16">
        <v>-0.23674107999999999</v>
      </c>
      <c r="D1174" s="16">
        <v>-2.388003E-2</v>
      </c>
      <c r="E1174" s="16">
        <v>0.76320485999999998</v>
      </c>
      <c r="F1174" s="16">
        <v>-3.1630903000000002E-2</v>
      </c>
      <c r="G1174" s="16">
        <f t="shared" si="186"/>
        <v>1.58315027047474</v>
      </c>
      <c r="H1174" s="16">
        <f t="shared" si="187"/>
        <v>-0.242261650292246</v>
      </c>
      <c r="I1174" s="16">
        <f t="shared" si="188"/>
        <v>1.58313825974452</v>
      </c>
      <c r="J1174" s="16">
        <f t="shared" si="189"/>
        <v>-0.246137238096206</v>
      </c>
      <c r="K1174" s="15">
        <f t="shared" si="190"/>
        <v>1.20107302199468E-5</v>
      </c>
      <c r="L1174" s="15">
        <f t="shared" si="191"/>
        <v>3.8755878039599999E-3</v>
      </c>
      <c r="M1174" s="15">
        <f t="shared" si="192"/>
        <v>0.61674857366639702</v>
      </c>
      <c r="N1174" s="15">
        <f t="shared" si="193"/>
        <v>9.5888523688713298E-2</v>
      </c>
      <c r="O1174" s="16">
        <v>2.1271347</v>
      </c>
      <c r="P1174" s="16">
        <v>-19.238707999999999</v>
      </c>
      <c r="Q1174" s="16">
        <v>-5.7137134999999999</v>
      </c>
      <c r="R1174" s="16">
        <v>-18.822813</v>
      </c>
      <c r="S1174" s="16">
        <f t="shared" si="194"/>
        <v>1.0162724334693709</v>
      </c>
      <c r="T1174" s="16">
        <f t="shared" si="195"/>
        <v>-23.195104508634934</v>
      </c>
    </row>
    <row r="1175" spans="1:20" x14ac:dyDescent="0.35">
      <c r="A1175" s="17">
        <v>4.3125</v>
      </c>
      <c r="B1175" s="17">
        <v>16.903200000000002</v>
      </c>
      <c r="C1175" s="17">
        <v>-0.23859778000000001</v>
      </c>
      <c r="D1175" s="17">
        <v>-1.6079224999999999E-2</v>
      </c>
      <c r="E1175" s="17">
        <v>0.76135277000000001</v>
      </c>
      <c r="F1175" s="17">
        <v>-2.3904407999999999E-2</v>
      </c>
      <c r="G1175" s="17">
        <f t="shared" si="186"/>
        <v>1.58075945477379</v>
      </c>
      <c r="H1175" s="17">
        <f t="shared" si="187"/>
        <v>-0.172369470956306</v>
      </c>
      <c r="I1175" s="17">
        <f t="shared" si="188"/>
        <v>1.5807500384358799</v>
      </c>
      <c r="J1175" s="17">
        <f t="shared" si="189"/>
        <v>-0.17628219604071799</v>
      </c>
      <c r="K1175" s="15">
        <f t="shared" si="190"/>
        <v>9.4163379100731197E-6</v>
      </c>
      <c r="L1175" s="15">
        <f t="shared" si="191"/>
        <v>3.9127250844119797E-3</v>
      </c>
      <c r="M1175" s="15">
        <f t="shared" si="192"/>
        <v>0.62484039662545399</v>
      </c>
      <c r="N1175" s="15">
        <f t="shared" si="193"/>
        <v>6.9680996118195407E-2</v>
      </c>
      <c r="O1175" s="17">
        <v>1.4924040999999999</v>
      </c>
      <c r="P1175" s="17">
        <v>-19.352709999999998</v>
      </c>
      <c r="Q1175" s="17">
        <v>-6.3580477999999996</v>
      </c>
      <c r="R1175" s="17">
        <v>-18.689565999999999</v>
      </c>
      <c r="S1175" s="17">
        <f t="shared" si="194"/>
        <v>1.0170671426842812</v>
      </c>
      <c r="T1175" s="17">
        <f t="shared" si="195"/>
        <v>-23.197608017817824</v>
      </c>
    </row>
    <row r="1176" spans="1:20" x14ac:dyDescent="0.35">
      <c r="A1176" s="16">
        <v>4.3125</v>
      </c>
      <c r="B1176" s="16">
        <v>16.952000000000002</v>
      </c>
      <c r="C1176" s="16">
        <v>-0.23991464000000001</v>
      </c>
      <c r="D1176" s="16">
        <v>-8.3825289999999997E-3</v>
      </c>
      <c r="E1176" s="16">
        <v>0.76006797000000004</v>
      </c>
      <c r="F1176" s="16">
        <v>-1.6287282E-2</v>
      </c>
      <c r="G1176" s="16">
        <f t="shared" si="186"/>
        <v>1.57850171510389</v>
      </c>
      <c r="H1176" s="16">
        <f t="shared" si="187"/>
        <v>-0.104883630603658</v>
      </c>
      <c r="I1176" s="16">
        <f t="shared" si="188"/>
        <v>1.57850864147174</v>
      </c>
      <c r="J1176" s="16">
        <f t="shared" si="189"/>
        <v>-0.108836014094019</v>
      </c>
      <c r="K1176" s="15">
        <f t="shared" si="190"/>
        <v>-6.9263678499353904E-6</v>
      </c>
      <c r="L1176" s="15">
        <f t="shared" si="191"/>
        <v>3.9523834903609899E-3</v>
      </c>
      <c r="M1176" s="15">
        <f t="shared" si="192"/>
        <v>0.63051196080565897</v>
      </c>
      <c r="N1176" s="15">
        <f t="shared" si="193"/>
        <v>4.3472938221428802E-2</v>
      </c>
      <c r="O1176" s="16">
        <v>0.86833788999999995</v>
      </c>
      <c r="P1176" s="16">
        <v>-19.423345999999999</v>
      </c>
      <c r="Q1176" s="16">
        <v>-6.9756359000000003</v>
      </c>
      <c r="R1176" s="16">
        <v>-18.519212</v>
      </c>
      <c r="S1176" s="16">
        <f t="shared" si="194"/>
        <v>1.0178299297880657</v>
      </c>
      <c r="T1176" s="16">
        <f t="shared" si="195"/>
        <v>-23.199652288569002</v>
      </c>
    </row>
    <row r="1177" spans="1:20" x14ac:dyDescent="0.35">
      <c r="A1177" s="17">
        <v>4.3125</v>
      </c>
      <c r="B1177" s="17">
        <v>17</v>
      </c>
      <c r="C1177" s="17">
        <v>-0.24072479999999999</v>
      </c>
      <c r="D1177" s="17">
        <v>-5.7025110000000004E-3</v>
      </c>
      <c r="E1177" s="17">
        <v>0.75923156999999997</v>
      </c>
      <c r="F1177" s="17">
        <v>-1.3703821E-2</v>
      </c>
      <c r="G1177" s="17">
        <f t="shared" si="186"/>
        <v>1.5735069991213499</v>
      </c>
      <c r="H1177" s="17">
        <f t="shared" si="187"/>
        <v>-8.1571111816746894E-2</v>
      </c>
      <c r="I1177" s="17">
        <f t="shared" si="188"/>
        <v>1.57350118967719</v>
      </c>
      <c r="J1177" s="17">
        <f t="shared" si="189"/>
        <v>-8.5571877335028607E-2</v>
      </c>
      <c r="K1177" s="15">
        <f t="shared" si="190"/>
        <v>5.8094441599543203E-6</v>
      </c>
      <c r="L1177" s="15">
        <f t="shared" si="191"/>
        <v>4.00076551828171E-3</v>
      </c>
      <c r="M1177" s="15">
        <f t="shared" si="192"/>
        <v>0.63365137934904503</v>
      </c>
      <c r="N1177" s="15">
        <f t="shared" si="193"/>
        <v>3.4459928255886597E-2</v>
      </c>
      <c r="O1177" s="17">
        <v>0.68790673999999996</v>
      </c>
      <c r="P1177" s="17">
        <v>-20.257798000000001</v>
      </c>
      <c r="Q1177" s="17">
        <v>-7.2037503999999997</v>
      </c>
      <c r="R1177" s="17">
        <v>-18.560535000000002</v>
      </c>
      <c r="S1177" s="17">
        <f t="shared" si="194"/>
        <v>0.98223968116801974</v>
      </c>
      <c r="T1177" s="17">
        <f t="shared" si="195"/>
        <v>-23.157205494182072</v>
      </c>
    </row>
    <row r="1178" spans="1:20" x14ac:dyDescent="0.35">
      <c r="A1178" s="16">
        <v>4.45</v>
      </c>
      <c r="B1178" s="16">
        <v>15</v>
      </c>
      <c r="C1178" s="16">
        <v>-4.7918835E-2</v>
      </c>
      <c r="D1178" s="16">
        <v>-9.2893782999999994E-2</v>
      </c>
      <c r="E1178" s="16">
        <v>0.95204222999999999</v>
      </c>
      <c r="F1178" s="16">
        <v>-9.8635453999999997E-2</v>
      </c>
      <c r="G1178" s="16">
        <f t="shared" si="186"/>
        <v>1.58992368499141</v>
      </c>
      <c r="H1178" s="16">
        <f t="shared" si="187"/>
        <v>-4.1735185193335003</v>
      </c>
      <c r="I1178" s="16">
        <f t="shared" si="188"/>
        <v>1.5899124592223099</v>
      </c>
      <c r="J1178" s="16">
        <f t="shared" si="189"/>
        <v>-4.1763894429505504</v>
      </c>
      <c r="K1178" s="15">
        <f t="shared" si="190"/>
        <v>1.1225769100065E-5</v>
      </c>
      <c r="L1178" s="15">
        <f t="shared" si="191"/>
        <v>2.8709236170500999E-3</v>
      </c>
      <c r="M1178" s="15">
        <f t="shared" si="192"/>
        <v>7.9614844569984106E-2</v>
      </c>
      <c r="N1178" s="15">
        <f t="shared" si="193"/>
        <v>0.20913264402423101</v>
      </c>
      <c r="O1178" s="16">
        <v>8.2536792000000005</v>
      </c>
      <c r="P1178" s="16">
        <v>-4.1900211000000001</v>
      </c>
      <c r="Q1178" s="16">
        <v>5.7393698999999998</v>
      </c>
      <c r="R1178" s="16">
        <v>-6.8243998000000001</v>
      </c>
      <c r="S1178" s="16">
        <f t="shared" si="194"/>
        <v>0.96334105172517137</v>
      </c>
      <c r="T1178" s="16">
        <f t="shared" si="195"/>
        <v>-23.021067494183278</v>
      </c>
    </row>
    <row r="1179" spans="1:20" x14ac:dyDescent="0.35">
      <c r="A1179" s="17">
        <v>4.45</v>
      </c>
      <c r="B1179" s="17">
        <v>15.0488</v>
      </c>
      <c r="C1179" s="17">
        <v>-5.0581502E-2</v>
      </c>
      <c r="D1179" s="17">
        <v>-9.4906704999999994E-2</v>
      </c>
      <c r="E1179" s="17">
        <v>0.94936533999999995</v>
      </c>
      <c r="F1179" s="17">
        <v>-0.10067299</v>
      </c>
      <c r="G1179" s="17">
        <f t="shared" si="186"/>
        <v>1.5871069086081999</v>
      </c>
      <c r="H1179" s="17">
        <f t="shared" si="187"/>
        <v>-4.0314513158182201</v>
      </c>
      <c r="I1179" s="17">
        <f t="shared" si="188"/>
        <v>1.5870886420061601</v>
      </c>
      <c r="J1179" s="17">
        <f t="shared" si="189"/>
        <v>-4.0343345876179102</v>
      </c>
      <c r="K1179" s="15">
        <f t="shared" si="190"/>
        <v>1.82666020398514E-5</v>
      </c>
      <c r="L1179" s="15">
        <f t="shared" si="191"/>
        <v>2.88327179969006E-3</v>
      </c>
      <c r="M1179" s="15">
        <f t="shared" si="192"/>
        <v>8.44433878644337E-2</v>
      </c>
      <c r="N1179" s="15">
        <f t="shared" si="193"/>
        <v>0.21465271147457299</v>
      </c>
      <c r="O1179" s="17">
        <v>8.4051972999999993</v>
      </c>
      <c r="P1179" s="17">
        <v>-4.4098674000000004</v>
      </c>
      <c r="Q1179" s="17">
        <v>5.8008660000000001</v>
      </c>
      <c r="R1179" s="17">
        <v>-7.0862020000000001</v>
      </c>
      <c r="S1179" s="17">
        <f t="shared" si="194"/>
        <v>0.96480597854488492</v>
      </c>
      <c r="T1179" s="17">
        <f t="shared" si="195"/>
        <v>-23.011573564898626</v>
      </c>
    </row>
    <row r="1180" spans="1:20" x14ac:dyDescent="0.35">
      <c r="A1180" s="16">
        <v>4.45</v>
      </c>
      <c r="B1180" s="16">
        <v>15.0976</v>
      </c>
      <c r="C1180" s="16">
        <v>-5.3361698999999999E-2</v>
      </c>
      <c r="D1180" s="16">
        <v>-9.6876826999999999E-2</v>
      </c>
      <c r="E1180" s="16">
        <v>0.94658235999999996</v>
      </c>
      <c r="F1180" s="16">
        <v>-0.10269315</v>
      </c>
      <c r="G1180" s="16">
        <f t="shared" si="186"/>
        <v>1.5843223241896101</v>
      </c>
      <c r="H1180" s="16">
        <f t="shared" si="187"/>
        <v>-3.8941141789278499</v>
      </c>
      <c r="I1180" s="16">
        <f t="shared" si="188"/>
        <v>1.58430281094873</v>
      </c>
      <c r="J1180" s="16">
        <f t="shared" si="189"/>
        <v>-3.8970224785220902</v>
      </c>
      <c r="K1180" s="15">
        <f t="shared" si="190"/>
        <v>1.9513240880009201E-5</v>
      </c>
      <c r="L1180" s="15">
        <f t="shared" si="191"/>
        <v>2.90829959424022E-3</v>
      </c>
      <c r="M1180" s="15">
        <f t="shared" si="192"/>
        <v>8.9524820714278197E-2</v>
      </c>
      <c r="N1180" s="15">
        <f t="shared" si="193"/>
        <v>0.22021057862056201</v>
      </c>
      <c r="O1180" s="16">
        <v>8.5632000999999995</v>
      </c>
      <c r="P1180" s="16">
        <v>-4.6443779999999997</v>
      </c>
      <c r="Q1180" s="16">
        <v>5.8544109999999998</v>
      </c>
      <c r="R1180" s="16">
        <v>-7.3571778999999999</v>
      </c>
      <c r="S1180" s="16">
        <f t="shared" si="194"/>
        <v>0.96516490699448465</v>
      </c>
      <c r="T1180" s="16">
        <f t="shared" si="195"/>
        <v>-23.015437466977993</v>
      </c>
    </row>
    <row r="1181" spans="1:20" x14ac:dyDescent="0.35">
      <c r="A1181" s="17">
        <v>4.45</v>
      </c>
      <c r="B1181" s="17">
        <v>15.1464</v>
      </c>
      <c r="C1181" s="17">
        <v>-5.6290445000000001E-2</v>
      </c>
      <c r="D1181" s="17">
        <v>-9.8827395999999998E-2</v>
      </c>
      <c r="E1181" s="17">
        <v>0.94364999999999999</v>
      </c>
      <c r="F1181" s="17">
        <v>-0.10469797</v>
      </c>
      <c r="G1181" s="17">
        <f t="shared" si="186"/>
        <v>1.5816871617067301</v>
      </c>
      <c r="H1181" s="17">
        <f t="shared" si="187"/>
        <v>-3.7598276850373402</v>
      </c>
      <c r="I1181" s="17">
        <f t="shared" si="188"/>
        <v>1.58166599992526</v>
      </c>
      <c r="J1181" s="17">
        <f t="shared" si="189"/>
        <v>-3.7627631215632098</v>
      </c>
      <c r="K1181" s="15">
        <f t="shared" si="190"/>
        <v>2.11617814700471E-5</v>
      </c>
      <c r="L1181" s="15">
        <f t="shared" si="191"/>
        <v>2.9354365258695801E-3</v>
      </c>
      <c r="M1181" s="15">
        <f t="shared" si="192"/>
        <v>9.4937629475455795E-2</v>
      </c>
      <c r="N1181" s="15">
        <f t="shared" si="193"/>
        <v>0.22585540250328301</v>
      </c>
      <c r="O1181" s="17">
        <v>8.6987466999999992</v>
      </c>
      <c r="P1181" s="17">
        <v>-4.8795275</v>
      </c>
      <c r="Q1181" s="17">
        <v>5.9013511000000003</v>
      </c>
      <c r="R1181" s="17">
        <v>-7.6380990999999998</v>
      </c>
      <c r="S1181" s="17">
        <f t="shared" si="194"/>
        <v>0.96775720089231043</v>
      </c>
      <c r="T1181" s="17">
        <f t="shared" si="195"/>
        <v>-23.019520744394448</v>
      </c>
    </row>
    <row r="1182" spans="1:20" x14ac:dyDescent="0.35">
      <c r="A1182" s="16">
        <v>4.45</v>
      </c>
      <c r="B1182" s="16">
        <v>15.1952</v>
      </c>
      <c r="C1182" s="16">
        <v>-5.9384881E-2</v>
      </c>
      <c r="D1182" s="16">
        <v>-0.10075985</v>
      </c>
      <c r="E1182" s="16">
        <v>0.94055193000000004</v>
      </c>
      <c r="F1182" s="16">
        <v>-0.10668638</v>
      </c>
      <c r="G1182" s="16">
        <f t="shared" si="186"/>
        <v>1.57913864557057</v>
      </c>
      <c r="H1182" s="16">
        <f t="shared" si="187"/>
        <v>-3.6280427893277398</v>
      </c>
      <c r="I1182" s="16">
        <f t="shared" si="188"/>
        <v>1.57911583176701</v>
      </c>
      <c r="J1182" s="16">
        <f t="shared" si="189"/>
        <v>-3.6310062155590499</v>
      </c>
      <c r="K1182" s="15">
        <f t="shared" si="190"/>
        <v>2.28138035600622E-5</v>
      </c>
      <c r="L1182" s="15">
        <f t="shared" si="191"/>
        <v>2.96342623131007E-3</v>
      </c>
      <c r="M1182" s="15">
        <f t="shared" si="192"/>
        <v>0.10072296672044399</v>
      </c>
      <c r="N1182" s="15">
        <f t="shared" si="193"/>
        <v>0.23160157782867599</v>
      </c>
      <c r="O1182" s="16">
        <v>8.8541425</v>
      </c>
      <c r="P1182" s="16">
        <v>-5.1400465000000004</v>
      </c>
      <c r="Q1182" s="16">
        <v>5.9413365000000002</v>
      </c>
      <c r="R1182" s="16">
        <v>-7.9309792000000003</v>
      </c>
      <c r="S1182" s="16">
        <f t="shared" si="194"/>
        <v>0.96792548762233177</v>
      </c>
      <c r="T1182" s="16">
        <f t="shared" si="195"/>
        <v>-23.02579414956454</v>
      </c>
    </row>
    <row r="1183" spans="1:20" x14ac:dyDescent="0.35">
      <c r="A1183" s="17">
        <v>4.45</v>
      </c>
      <c r="B1183" s="17">
        <v>15.244</v>
      </c>
      <c r="C1183" s="17">
        <v>-6.2656411999999995E-2</v>
      </c>
      <c r="D1183" s="17">
        <v>-0.10266862</v>
      </c>
      <c r="E1183" s="17">
        <v>0.93727691000000002</v>
      </c>
      <c r="F1183" s="17">
        <v>-0.10865209000000001</v>
      </c>
      <c r="G1183" s="17">
        <f t="shared" si="186"/>
        <v>1.57664103044304</v>
      </c>
      <c r="H1183" s="17">
        <f t="shared" si="187"/>
        <v>-3.4985552749100202</v>
      </c>
      <c r="I1183" s="17">
        <f t="shared" si="188"/>
        <v>1.5766166416249601</v>
      </c>
      <c r="J1183" s="17">
        <f t="shared" si="189"/>
        <v>-3.5015471826221098</v>
      </c>
      <c r="K1183" s="15">
        <f t="shared" si="190"/>
        <v>2.4388818079978899E-5</v>
      </c>
      <c r="L1183" s="15">
        <f t="shared" si="191"/>
        <v>2.99190771208968E-3</v>
      </c>
      <c r="M1183" s="15">
        <f t="shared" si="192"/>
        <v>0.10691425128127301</v>
      </c>
      <c r="N1183" s="15">
        <f t="shared" si="193"/>
        <v>0.237448524563492</v>
      </c>
      <c r="O1183" s="17">
        <v>8.9960647999999992</v>
      </c>
      <c r="P1183" s="17">
        <v>-5.4084507999999998</v>
      </c>
      <c r="Q1183" s="17">
        <v>5.9743519000000003</v>
      </c>
      <c r="R1183" s="17">
        <v>-8.2367685999999996</v>
      </c>
      <c r="S1183" s="17">
        <f t="shared" si="194"/>
        <v>0.96938406002497057</v>
      </c>
      <c r="T1183" s="17">
        <f t="shared" si="195"/>
        <v>-23.031240969808959</v>
      </c>
    </row>
    <row r="1184" spans="1:20" x14ac:dyDescent="0.35">
      <c r="A1184" s="16">
        <v>4.45</v>
      </c>
      <c r="B1184" s="16">
        <v>15.2928</v>
      </c>
      <c r="C1184" s="16">
        <v>-6.6115047999999996E-2</v>
      </c>
      <c r="D1184" s="16">
        <v>-0.10454507</v>
      </c>
      <c r="E1184" s="16">
        <v>0.93381497999999996</v>
      </c>
      <c r="F1184" s="16">
        <v>-0.11058621</v>
      </c>
      <c r="G1184" s="16">
        <f t="shared" si="186"/>
        <v>1.57417665918042</v>
      </c>
      <c r="H1184" s="16">
        <f t="shared" si="187"/>
        <v>-3.3712580915054802</v>
      </c>
      <c r="I1184" s="16">
        <f t="shared" si="188"/>
        <v>1.5741507966739099</v>
      </c>
      <c r="J1184" s="16">
        <f t="shared" si="189"/>
        <v>-3.3742788453090902</v>
      </c>
      <c r="K1184" s="15">
        <f t="shared" si="190"/>
        <v>2.58625065101548E-5</v>
      </c>
      <c r="L1184" s="15">
        <f t="shared" si="191"/>
        <v>3.0207538036099999E-3</v>
      </c>
      <c r="M1184" s="15">
        <f t="shared" si="192"/>
        <v>0.11354471291755799</v>
      </c>
      <c r="N1184" s="15">
        <f t="shared" si="193"/>
        <v>0.243389339575309</v>
      </c>
      <c r="O1184" s="16">
        <v>9.1252559000000009</v>
      </c>
      <c r="P1184" s="16">
        <v>-5.6857524000000002</v>
      </c>
      <c r="Q1184" s="16">
        <v>5.9981983000000003</v>
      </c>
      <c r="R1184" s="16">
        <v>-8.5542364000000006</v>
      </c>
      <c r="S1184" s="16">
        <f t="shared" si="194"/>
        <v>0.97172464822139504</v>
      </c>
      <c r="T1184" s="16">
        <f t="shared" si="195"/>
        <v>-23.035852778631664</v>
      </c>
    </row>
    <row r="1185" spans="1:20" x14ac:dyDescent="0.35">
      <c r="A1185" s="17">
        <v>4.45</v>
      </c>
      <c r="B1185" s="17">
        <v>15.3416</v>
      </c>
      <c r="C1185" s="17">
        <v>-6.9770225000000005E-2</v>
      </c>
      <c r="D1185" s="17">
        <v>-0.10637847</v>
      </c>
      <c r="E1185" s="17">
        <v>0.93015669999999995</v>
      </c>
      <c r="F1185" s="17">
        <v>-0.11247791</v>
      </c>
      <c r="G1185" s="17">
        <f t="shared" si="186"/>
        <v>1.57173669990305</v>
      </c>
      <c r="H1185" s="17">
        <f t="shared" si="187"/>
        <v>-3.2460817051142898</v>
      </c>
      <c r="I1185" s="17">
        <f t="shared" si="188"/>
        <v>1.5717094627931401</v>
      </c>
      <c r="J1185" s="17">
        <f t="shared" si="189"/>
        <v>-3.2491316196161</v>
      </c>
      <c r="K1185" s="15">
        <f t="shared" si="190"/>
        <v>2.7237109909927802E-5</v>
      </c>
      <c r="L1185" s="15">
        <f t="shared" si="191"/>
        <v>3.0499145018101398E-3</v>
      </c>
      <c r="M1185" s="15">
        <f t="shared" si="192"/>
        <v>0.12064897139670699</v>
      </c>
      <c r="N1185" s="15">
        <f t="shared" si="193"/>
        <v>0.24941275542272001</v>
      </c>
      <c r="O1185" s="17">
        <v>9.2595931</v>
      </c>
      <c r="P1185" s="17">
        <v>-5.9841182999999996</v>
      </c>
      <c r="Q1185" s="17">
        <v>6.0120988000000004</v>
      </c>
      <c r="R1185" s="17">
        <v>-8.8845436000000007</v>
      </c>
      <c r="S1185" s="17">
        <f t="shared" si="194"/>
        <v>0.97302446428957656</v>
      </c>
      <c r="T1185" s="17">
        <f t="shared" si="195"/>
        <v>-23.041076720420055</v>
      </c>
    </row>
    <row r="1186" spans="1:20" x14ac:dyDescent="0.35">
      <c r="A1186" s="16">
        <v>4.45</v>
      </c>
      <c r="B1186" s="16">
        <v>15.3904</v>
      </c>
      <c r="C1186" s="16">
        <v>-7.3630949000000001E-2</v>
      </c>
      <c r="D1186" s="16">
        <v>-0.10815632</v>
      </c>
      <c r="E1186" s="16">
        <v>0.92629304999999995</v>
      </c>
      <c r="F1186" s="16">
        <v>-0.11431464</v>
      </c>
      <c r="G1186" s="16">
        <f t="shared" si="186"/>
        <v>1.5693149098794099</v>
      </c>
      <c r="H1186" s="16">
        <f t="shared" si="187"/>
        <v>-3.1229741409929201</v>
      </c>
      <c r="I1186" s="16">
        <f t="shared" si="188"/>
        <v>1.5692863901526799</v>
      </c>
      <c r="J1186" s="16">
        <f t="shared" si="189"/>
        <v>-3.1260535058271399</v>
      </c>
      <c r="K1186" s="15">
        <f t="shared" si="190"/>
        <v>2.8519726730014101E-5</v>
      </c>
      <c r="L1186" s="15">
        <f t="shared" si="191"/>
        <v>3.0793648342197799E-3</v>
      </c>
      <c r="M1186" s="15">
        <f t="shared" si="192"/>
        <v>0.12826342676598901</v>
      </c>
      <c r="N1186" s="15">
        <f t="shared" si="193"/>
        <v>0.25550360815415801</v>
      </c>
      <c r="O1186" s="16">
        <v>9.3886701000000006</v>
      </c>
      <c r="P1186" s="16">
        <v>-6.2985894</v>
      </c>
      <c r="Q1186" s="16">
        <v>6.0153404000000004</v>
      </c>
      <c r="R1186" s="16">
        <v>-9.2285910999999992</v>
      </c>
      <c r="S1186" s="16">
        <f t="shared" si="194"/>
        <v>0.97436965925636787</v>
      </c>
      <c r="T1186" s="16">
        <f t="shared" si="195"/>
        <v>-23.046533994453569</v>
      </c>
    </row>
    <row r="1187" spans="1:20" x14ac:dyDescent="0.35">
      <c r="A1187" s="17">
        <v>4.45</v>
      </c>
      <c r="B1187" s="17">
        <v>15.4392</v>
      </c>
      <c r="C1187" s="17">
        <v>-7.7705741999999994E-2</v>
      </c>
      <c r="D1187" s="17">
        <v>-0.10986429</v>
      </c>
      <c r="E1187" s="17">
        <v>0.92221549000000003</v>
      </c>
      <c r="F1187" s="17">
        <v>-0.11608207</v>
      </c>
      <c r="G1187" s="17">
        <f t="shared" si="186"/>
        <v>1.5669079656702301</v>
      </c>
      <c r="H1187" s="17">
        <f t="shared" si="187"/>
        <v>-3.0018940098313598</v>
      </c>
      <c r="I1187" s="17">
        <f t="shared" si="188"/>
        <v>1.5668782463647299</v>
      </c>
      <c r="J1187" s="17">
        <f t="shared" si="189"/>
        <v>-3.0050031146744098</v>
      </c>
      <c r="K1187" s="15">
        <f t="shared" si="190"/>
        <v>2.97193055001088E-5</v>
      </c>
      <c r="L1187" s="15">
        <f t="shared" si="191"/>
        <v>3.10910484305005E-3</v>
      </c>
      <c r="M1187" s="15">
        <f t="shared" si="192"/>
        <v>0.13642643660419301</v>
      </c>
      <c r="N1187" s="15">
        <f t="shared" si="193"/>
        <v>0.26164245235433597</v>
      </c>
      <c r="O1187" s="17">
        <v>9.5219620000000003</v>
      </c>
      <c r="P1187" s="17">
        <v>-6.6371963000000003</v>
      </c>
      <c r="Q1187" s="17">
        <v>6.0063253999999997</v>
      </c>
      <c r="R1187" s="17">
        <v>-9.5859403000000007</v>
      </c>
      <c r="S1187" s="17">
        <f t="shared" si="194"/>
        <v>0.97461115016188393</v>
      </c>
      <c r="T1187" s="17">
        <f t="shared" si="195"/>
        <v>-23.051635277939408</v>
      </c>
    </row>
    <row r="1188" spans="1:20" x14ac:dyDescent="0.35">
      <c r="A1188" s="16">
        <v>4.45</v>
      </c>
      <c r="B1188" s="16">
        <v>15.488</v>
      </c>
      <c r="C1188" s="16">
        <v>-8.2002493999999995E-2</v>
      </c>
      <c r="D1188" s="16">
        <v>-0.11148626</v>
      </c>
      <c r="E1188" s="16">
        <v>0.91791610999999995</v>
      </c>
      <c r="F1188" s="16">
        <v>-0.11776407</v>
      </c>
      <c r="G1188" s="16">
        <f t="shared" si="186"/>
        <v>1.56451303237289</v>
      </c>
      <c r="H1188" s="16">
        <f t="shared" si="187"/>
        <v>-2.8828060105352602</v>
      </c>
      <c r="I1188" s="16">
        <f t="shared" si="188"/>
        <v>1.56448218654705</v>
      </c>
      <c r="J1188" s="16">
        <f t="shared" si="189"/>
        <v>-2.88594514011367</v>
      </c>
      <c r="K1188" s="15">
        <f t="shared" si="190"/>
        <v>3.0845825840009103E-5</v>
      </c>
      <c r="L1188" s="15">
        <f t="shared" si="191"/>
        <v>3.1391295784097802E-3</v>
      </c>
      <c r="M1188" s="15">
        <f t="shared" si="192"/>
        <v>0.145178264262975</v>
      </c>
      <c r="N1188" s="15">
        <f t="shared" si="193"/>
        <v>0.26780522642101101</v>
      </c>
      <c r="O1188" s="16">
        <v>9.6370106999999994</v>
      </c>
      <c r="P1188" s="16">
        <v>-6.9860869000000001</v>
      </c>
      <c r="Q1188" s="16">
        <v>5.9834303999999996</v>
      </c>
      <c r="R1188" s="16">
        <v>-9.9563843999999992</v>
      </c>
      <c r="S1188" s="16">
        <f t="shared" si="194"/>
        <v>0.97590074712788555</v>
      </c>
      <c r="T1188" s="16">
        <f t="shared" si="195"/>
        <v>-23.056435366201146</v>
      </c>
    </row>
    <row r="1189" spans="1:20" x14ac:dyDescent="0.35">
      <c r="A1189" s="17">
        <v>4.45</v>
      </c>
      <c r="B1189" s="17">
        <v>15.536799999999999</v>
      </c>
      <c r="C1189" s="17">
        <v>-8.6528254999999998E-2</v>
      </c>
      <c r="D1189" s="17">
        <v>-0.1130042</v>
      </c>
      <c r="E1189" s="17">
        <v>0.91338783999999995</v>
      </c>
      <c r="F1189" s="17">
        <v>-0.11934261</v>
      </c>
      <c r="G1189" s="17">
        <f t="shared" ref="G1189:G1252" si="196">IMREAL(IMDIV(IMSUM(IMPRODUCT(COMPLEX(1 + C1189,D1189),COMPLEX(1 - C1189, - D1189)),IMPRODUCT(COMPLEX(E1189,F1189),COMPLEX(E1189,F1189))),IMSUB(IMPRODUCT(COMPLEX(1 - C1189, - D1189),COMPLEX(1 - C1189, - D1189)),IMPRODUCT(COMPLEX(E1189,F1189),COMPLEX(E1189,F1189)))))</f>
        <v>1.5621284363155199</v>
      </c>
      <c r="H1189" s="17">
        <f t="shared" ref="H1189:H1252" si="197">IMAGINARY(IMDIV(IMSUM(IMPRODUCT(COMPLEX(1 + C1189,D1189),COMPLEX(1 - C1189, - D1189)),IMPRODUCT(COMPLEX(E1189,F1189),COMPLEX(E1189,F1189))),IMSUB(IMPRODUCT(COMPLEX(1 - C1189, - D1189),COMPLEX(1 - C1189, - D1189)),IMPRODUCT(COMPLEX(E1189,F1189),COMPLEX(E1189,F1189)))))</f>
        <v>-2.7656793937084698</v>
      </c>
      <c r="I1189" s="17">
        <f t="shared" ref="I1189:I1252" si="198">IMREAL(IMDIV(IMPRODUCT(COMPLEX(2,0),COMPLEX(E1189,F1189)),IMSUB(IMPRODUCT(COMPLEX(1 - C1189, - D1189),COMPLEX(1 - C1189, - D1189)),IMPRODUCT(COMPLEX(E1189,F1189),COMPLEX(E1189,F1189)))))</f>
        <v>1.5620965270790801</v>
      </c>
      <c r="J1189" s="17">
        <f t="shared" ref="J1189:J1252" si="199">IMAGINARY(IMDIV(IMPRODUCT(COMPLEX(2,0),COMPLEX(E1189,F1189)),IMSUB(IMPRODUCT(COMPLEX(1 - C1189, - D1189),COMPLEX(1 - C1189, - D1189)),IMPRODUCT(COMPLEX(E1189,F1189),COMPLEX(E1189,F1189)))))</f>
        <v>-2.7688488328012899</v>
      </c>
      <c r="K1189" s="15">
        <f t="shared" ref="K1189:K1252" si="200">IMREAL(IMSUB(COMPLEX(G1189,H1189),COMPLEX(I1189,J1189)))</f>
        <v>3.1909236439808801E-5</v>
      </c>
      <c r="L1189" s="15">
        <f t="shared" ref="L1189:L1252" si="201">IMAGINARY(IMSUB(COMPLEX(G1189,H1189),COMPLEX(I1189,J1189)))</f>
        <v>3.1694390928200802E-3</v>
      </c>
      <c r="M1189" s="15">
        <f t="shared" ref="M1189:M1252" si="202">IMREAL(IMDIV(IMSUB(IMPRODUCT(COMPLEX(1 - C1189, - D1189),COMPLEX(1 - C1189, - D1189)),IMPRODUCT(COMPLEX(E1189,F1189),COMPLEX(E1189,F1189))),IMPRODUCT(COMPLEX(2,0),COMPLEX(E1189,F1189))))</f>
        <v>0.154560959931134</v>
      </c>
      <c r="N1189" s="15">
        <f t="shared" ref="N1189:N1252" si="203">IMAGINARY(IMDIV(IMSUB(IMPRODUCT(COMPLEX(1 - C1189, - D1189),COMPLEX(1 - C1189, - D1189)),IMPRODUCT(COMPLEX(E1189,F1189),COMPLEX(E1189,F1189))),IMPRODUCT(COMPLEX(2,0),COMPLEX(E1189,F1189))))</f>
        <v>0.27396254077985099</v>
      </c>
      <c r="O1189" s="17">
        <v>9.7427937</v>
      </c>
      <c r="P1189" s="17">
        <v>-7.3527388</v>
      </c>
      <c r="Q1189" s="17">
        <v>5.9451609000000003</v>
      </c>
      <c r="R1189" s="17">
        <v>-10.339953</v>
      </c>
      <c r="S1189" s="17">
        <f t="shared" ref="S1189:S1252" si="204">IMABS(COMPLEX(Q1189,R1189))/IMABS(COMPLEX(O1189,P1189))</f>
        <v>0.9771691855306498</v>
      </c>
      <c r="T1189" s="17">
        <f t="shared" ref="T1189:T1252" si="205">IMARGUMENT(IMDIV(COMPLEX(Q1189,R1189),COMPLEX(O1189/B1189,P1189/B1189)))/PI()*180</f>
        <v>-23.061095922273054</v>
      </c>
    </row>
    <row r="1190" spans="1:20" x14ac:dyDescent="0.35">
      <c r="A1190" s="16">
        <v>4.45</v>
      </c>
      <c r="B1190" s="16">
        <v>15.585599999999999</v>
      </c>
      <c r="C1190" s="16">
        <v>-9.1288979000000006E-2</v>
      </c>
      <c r="D1190" s="16">
        <v>-0.11439814</v>
      </c>
      <c r="E1190" s="16">
        <v>0.90862472000000005</v>
      </c>
      <c r="F1190" s="16">
        <v>-0.12079773000000001</v>
      </c>
      <c r="G1190" s="16">
        <f t="shared" si="196"/>
        <v>1.5597526153296499</v>
      </c>
      <c r="H1190" s="16">
        <f t="shared" si="197"/>
        <v>-2.6504866044400401</v>
      </c>
      <c r="I1190" s="16">
        <f t="shared" si="198"/>
        <v>1.5597197028763099</v>
      </c>
      <c r="J1190" s="16">
        <f t="shared" si="199"/>
        <v>-2.6536866428363899</v>
      </c>
      <c r="K1190" s="15">
        <f t="shared" si="200"/>
        <v>3.2912453340028202E-5</v>
      </c>
      <c r="L1190" s="15">
        <f t="shared" si="201"/>
        <v>3.20003839634975E-3</v>
      </c>
      <c r="M1190" s="15">
        <f t="shared" si="202"/>
        <v>0.164618067597467</v>
      </c>
      <c r="N1190" s="15">
        <f t="shared" si="203"/>
        <v>0.28007902083133401</v>
      </c>
      <c r="O1190" s="16">
        <v>9.8376909999999995</v>
      </c>
      <c r="P1190" s="16">
        <v>-7.7375337999999996</v>
      </c>
      <c r="Q1190" s="16">
        <v>5.8898622999999999</v>
      </c>
      <c r="R1190" s="16">
        <v>-10.736501000000001</v>
      </c>
      <c r="S1190" s="16">
        <f t="shared" si="204"/>
        <v>0.97842451304160094</v>
      </c>
      <c r="T1190" s="16">
        <f t="shared" si="205"/>
        <v>-23.065840998461329</v>
      </c>
    </row>
    <row r="1191" spans="1:20" x14ac:dyDescent="0.35">
      <c r="A1191" s="17">
        <v>4.45</v>
      </c>
      <c r="B1191" s="17">
        <v>15.634399999999999</v>
      </c>
      <c r="C1191" s="17">
        <v>-9.6289215999999997E-2</v>
      </c>
      <c r="D1191" s="17">
        <v>-0.1156461</v>
      </c>
      <c r="E1191" s="17">
        <v>0.90362220000000004</v>
      </c>
      <c r="F1191" s="17">
        <v>-0.12210749</v>
      </c>
      <c r="G1191" s="17">
        <f t="shared" si="196"/>
        <v>1.5573844757424</v>
      </c>
      <c r="H1191" s="17">
        <f t="shared" si="197"/>
        <v>-2.5372026938134198</v>
      </c>
      <c r="I1191" s="17">
        <f t="shared" si="198"/>
        <v>1.5573506204487499</v>
      </c>
      <c r="J1191" s="17">
        <f t="shared" si="199"/>
        <v>-2.54043364129467</v>
      </c>
      <c r="K1191" s="15">
        <f t="shared" si="200"/>
        <v>3.38552936500758E-5</v>
      </c>
      <c r="L1191" s="15">
        <f t="shared" si="201"/>
        <v>3.2309474812501899E-3</v>
      </c>
      <c r="M1191" s="15">
        <f t="shared" si="202"/>
        <v>0.17539422868766799</v>
      </c>
      <c r="N1191" s="15">
        <f t="shared" si="203"/>
        <v>0.28611244840849698</v>
      </c>
      <c r="O1191" s="17">
        <v>9.9129263000000005</v>
      </c>
      <c r="P1191" s="17">
        <v>-8.1349985</v>
      </c>
      <c r="Q1191" s="17">
        <v>5.8155764000000003</v>
      </c>
      <c r="R1191" s="17">
        <v>-11.145</v>
      </c>
      <c r="S1191" s="17">
        <f t="shared" si="204"/>
        <v>0.98030909398315169</v>
      </c>
      <c r="T1191" s="17">
        <f t="shared" si="205"/>
        <v>-23.070120155071674</v>
      </c>
    </row>
    <row r="1192" spans="1:20" x14ac:dyDescent="0.35">
      <c r="A1192" s="16">
        <v>4.45</v>
      </c>
      <c r="B1192" s="16">
        <v>15.683199999999999</v>
      </c>
      <c r="C1192" s="16">
        <v>-0.10152691</v>
      </c>
      <c r="D1192" s="16">
        <v>-0.11672347</v>
      </c>
      <c r="E1192" s="16">
        <v>0.89838198999999996</v>
      </c>
      <c r="F1192" s="16">
        <v>-0.12324692</v>
      </c>
      <c r="G1192" s="16">
        <f t="shared" si="196"/>
        <v>1.5550242967616901</v>
      </c>
      <c r="H1192" s="16">
        <f t="shared" si="197"/>
        <v>-2.42590100187441</v>
      </c>
      <c r="I1192" s="16">
        <f t="shared" si="198"/>
        <v>1.5549893848774901</v>
      </c>
      <c r="J1192" s="16">
        <f t="shared" si="199"/>
        <v>-2.4291629893309099</v>
      </c>
      <c r="K1192" s="15">
        <f t="shared" si="200"/>
        <v>3.49118842000173E-5</v>
      </c>
      <c r="L1192" s="15">
        <f t="shared" si="201"/>
        <v>3.2619874564998601E-3</v>
      </c>
      <c r="M1192" s="15">
        <f t="shared" si="202"/>
        <v>0.18692416528846201</v>
      </c>
      <c r="N1192" s="15">
        <f t="shared" si="203"/>
        <v>0.29200795101638499</v>
      </c>
      <c r="O1192" s="16">
        <v>9.9804355000000005</v>
      </c>
      <c r="P1192" s="16">
        <v>-8.5559860000000008</v>
      </c>
      <c r="Q1192" s="16">
        <v>5.7209959000000001</v>
      </c>
      <c r="R1192" s="16">
        <v>-11.565825</v>
      </c>
      <c r="S1192" s="16">
        <f t="shared" si="204"/>
        <v>0.98155625700887916</v>
      </c>
      <c r="T1192" s="16">
        <f t="shared" si="205"/>
        <v>-23.07517017898828</v>
      </c>
    </row>
    <row r="1193" spans="1:20" x14ac:dyDescent="0.35">
      <c r="A1193" s="17">
        <v>4.45</v>
      </c>
      <c r="B1193" s="17">
        <v>15.731999999999999</v>
      </c>
      <c r="C1193" s="17">
        <v>-0.10701355</v>
      </c>
      <c r="D1193" s="17">
        <v>-0.11760577</v>
      </c>
      <c r="E1193" s="17">
        <v>0.89289341</v>
      </c>
      <c r="F1193" s="17">
        <v>-0.1241922</v>
      </c>
      <c r="G1193" s="17">
        <f t="shared" si="196"/>
        <v>1.5526739614204099</v>
      </c>
      <c r="H1193" s="17">
        <f t="shared" si="197"/>
        <v>-2.3163420451789598</v>
      </c>
      <c r="I1193" s="17">
        <f t="shared" si="198"/>
        <v>1.55263828591729</v>
      </c>
      <c r="J1193" s="17">
        <f t="shared" si="199"/>
        <v>-2.31963553087901</v>
      </c>
      <c r="K1193" s="15">
        <f t="shared" si="200"/>
        <v>3.5675503119891899E-5</v>
      </c>
      <c r="L1193" s="15">
        <f t="shared" si="201"/>
        <v>3.2934857000501698E-3</v>
      </c>
      <c r="M1193" s="15">
        <f t="shared" si="202"/>
        <v>0.199276041974042</v>
      </c>
      <c r="N1193" s="15">
        <f t="shared" si="203"/>
        <v>0.29771762786515998</v>
      </c>
      <c r="O1193" s="17">
        <v>10.038805999999999</v>
      </c>
      <c r="P1193" s="17">
        <v>-9.0025426999999993</v>
      </c>
      <c r="Q1193" s="17">
        <v>5.6039060000000003</v>
      </c>
      <c r="R1193" s="17">
        <v>-11.998148</v>
      </c>
      <c r="S1193" s="17">
        <f t="shared" si="204"/>
        <v>0.98206342134959634</v>
      </c>
      <c r="T1193" s="17">
        <f t="shared" si="205"/>
        <v>-23.07946631703059</v>
      </c>
    </row>
    <row r="1194" spans="1:20" x14ac:dyDescent="0.35">
      <c r="A1194" s="16">
        <v>4.45</v>
      </c>
      <c r="B1194" s="16">
        <v>15.780799999999999</v>
      </c>
      <c r="C1194" s="16">
        <v>-0.11272917</v>
      </c>
      <c r="D1194" s="16">
        <v>-0.11826269</v>
      </c>
      <c r="E1194" s="16">
        <v>0.88717588000000003</v>
      </c>
      <c r="F1194" s="16">
        <v>-0.12491207999999999</v>
      </c>
      <c r="G1194" s="16">
        <f t="shared" si="196"/>
        <v>1.5503487903066799</v>
      </c>
      <c r="H1194" s="16">
        <f t="shared" si="197"/>
        <v>-2.2088513433594001</v>
      </c>
      <c r="I1194" s="16">
        <f t="shared" si="198"/>
        <v>1.5503123681017801</v>
      </c>
      <c r="J1194" s="16">
        <f t="shared" si="199"/>
        <v>-2.2121763173052602</v>
      </c>
      <c r="K1194" s="15">
        <f t="shared" si="200"/>
        <v>3.64222048998553E-5</v>
      </c>
      <c r="L1194" s="15">
        <f t="shared" si="201"/>
        <v>3.3249739458600701E-3</v>
      </c>
      <c r="M1194" s="15">
        <f t="shared" si="202"/>
        <v>0.21245326454322699</v>
      </c>
      <c r="N1194" s="15">
        <f t="shared" si="203"/>
        <v>0.303154441664017</v>
      </c>
      <c r="O1194" s="16">
        <v>10.06643</v>
      </c>
      <c r="P1194" s="16">
        <v>-9.4558020999999997</v>
      </c>
      <c r="Q1194" s="16">
        <v>5.4622773000000002</v>
      </c>
      <c r="R1194" s="16">
        <v>-12.43876</v>
      </c>
      <c r="S1194" s="16">
        <f t="shared" si="204"/>
        <v>0.98365105289164312</v>
      </c>
      <c r="T1194" s="16">
        <f t="shared" si="205"/>
        <v>-23.083655874526066</v>
      </c>
    </row>
    <row r="1195" spans="1:20" x14ac:dyDescent="0.35">
      <c r="A1195" s="17">
        <v>4.45</v>
      </c>
      <c r="B1195" s="17">
        <v>15.829599999999999</v>
      </c>
      <c r="C1195" s="17">
        <v>-0.11869204999999999</v>
      </c>
      <c r="D1195" s="17">
        <v>-0.11866897</v>
      </c>
      <c r="E1195" s="17">
        <v>0.88121084000000005</v>
      </c>
      <c r="F1195" s="17">
        <v>-0.1253822</v>
      </c>
      <c r="G1195" s="17">
        <f t="shared" si="196"/>
        <v>1.5480066945075901</v>
      </c>
      <c r="H1195" s="17">
        <f t="shared" si="197"/>
        <v>-2.1029675528471499</v>
      </c>
      <c r="I1195" s="17">
        <f t="shared" si="198"/>
        <v>1.54796940552853</v>
      </c>
      <c r="J1195" s="17">
        <f t="shared" si="199"/>
        <v>-2.1063244560063299</v>
      </c>
      <c r="K1195" s="15">
        <f t="shared" si="200"/>
        <v>3.7288979060079401E-5</v>
      </c>
      <c r="L1195" s="15">
        <f t="shared" si="201"/>
        <v>3.3569031591800199E-3</v>
      </c>
      <c r="M1195" s="15">
        <f t="shared" si="202"/>
        <v>0.22654939237199201</v>
      </c>
      <c r="N1195" s="15">
        <f t="shared" si="203"/>
        <v>0.30826612201910703</v>
      </c>
      <c r="O1195" s="17">
        <v>10.081972</v>
      </c>
      <c r="P1195" s="17">
        <v>-9.9360642000000006</v>
      </c>
      <c r="Q1195" s="17">
        <v>5.2942916000000002</v>
      </c>
      <c r="R1195" s="17">
        <v>-12.890048</v>
      </c>
      <c r="S1195" s="17">
        <f t="shared" si="204"/>
        <v>0.9844358915039404</v>
      </c>
      <c r="T1195" s="17">
        <f t="shared" si="205"/>
        <v>-23.088328093515496</v>
      </c>
    </row>
    <row r="1196" spans="1:20" x14ac:dyDescent="0.35">
      <c r="A1196" s="16">
        <v>4.45</v>
      </c>
      <c r="B1196" s="16">
        <v>15.878399999999999</v>
      </c>
      <c r="C1196" s="16">
        <v>-0.12487987</v>
      </c>
      <c r="D1196" s="16">
        <v>-0.11879114</v>
      </c>
      <c r="E1196" s="16">
        <v>0.87502106999999996</v>
      </c>
      <c r="F1196" s="16">
        <v>-0.12556890000000001</v>
      </c>
      <c r="G1196" s="16">
        <f t="shared" si="196"/>
        <v>1.5456735573353599</v>
      </c>
      <c r="H1196" s="16">
        <f t="shared" si="197"/>
        <v>-1.99894026532931</v>
      </c>
      <c r="I1196" s="16">
        <f t="shared" si="198"/>
        <v>1.5456355109644</v>
      </c>
      <c r="J1196" s="16">
        <f t="shared" si="199"/>
        <v>-2.0023294421298199</v>
      </c>
      <c r="K1196" s="15">
        <f t="shared" si="200"/>
        <v>3.8046370959943198E-5</v>
      </c>
      <c r="L1196" s="15">
        <f t="shared" si="201"/>
        <v>3.38917680050987E-3</v>
      </c>
      <c r="M1196" s="15">
        <f t="shared" si="202"/>
        <v>0.24156925011355701</v>
      </c>
      <c r="N1196" s="15">
        <f t="shared" si="203"/>
        <v>0.31294649895420101</v>
      </c>
      <c r="O1196" s="16">
        <v>10.066947000000001</v>
      </c>
      <c r="P1196" s="16">
        <v>-10.426157999999999</v>
      </c>
      <c r="Q1196" s="16">
        <v>5.0977572999999996</v>
      </c>
      <c r="R1196" s="16">
        <v>-13.347218</v>
      </c>
      <c r="S1196" s="16">
        <f t="shared" si="204"/>
        <v>0.98582458089536307</v>
      </c>
      <c r="T1196" s="16">
        <f t="shared" si="205"/>
        <v>-23.092240083389811</v>
      </c>
    </row>
    <row r="1197" spans="1:20" x14ac:dyDescent="0.35">
      <c r="A1197" s="17">
        <v>4.45</v>
      </c>
      <c r="B1197" s="17">
        <v>15.927199999999999</v>
      </c>
      <c r="C1197" s="17">
        <v>-0.13129460000000001</v>
      </c>
      <c r="D1197" s="17">
        <v>-0.11859567</v>
      </c>
      <c r="E1197" s="17">
        <v>0.86867596999999996</v>
      </c>
      <c r="F1197" s="17">
        <v>-0.12541962000000001</v>
      </c>
      <c r="G1197" s="17">
        <f t="shared" si="196"/>
        <v>1.5435353432804699</v>
      </c>
      <c r="H1197" s="17">
        <f t="shared" si="197"/>
        <v>-1.89706824068158</v>
      </c>
      <c r="I1197" s="17">
        <f t="shared" si="198"/>
        <v>1.5435322700157399</v>
      </c>
      <c r="J1197" s="17">
        <f t="shared" si="199"/>
        <v>-1.9004802763755899</v>
      </c>
      <c r="K1197" s="15">
        <f t="shared" si="200"/>
        <v>3.0732647300357698E-6</v>
      </c>
      <c r="L1197" s="15">
        <f t="shared" si="201"/>
        <v>3.4120356940099401E-3</v>
      </c>
      <c r="M1197" s="15">
        <f t="shared" si="202"/>
        <v>0.25749926664316503</v>
      </c>
      <c r="N1197" s="15">
        <f t="shared" si="203"/>
        <v>0.31704700118224499</v>
      </c>
      <c r="O1197" s="17">
        <v>10.030530000000001</v>
      </c>
      <c r="P1197" s="17">
        <v>-10.938041999999999</v>
      </c>
      <c r="Q1197" s="17">
        <v>4.86944</v>
      </c>
      <c r="R1197" s="17">
        <v>-13.810936999999999</v>
      </c>
      <c r="S1197" s="17">
        <f t="shared" si="204"/>
        <v>0.98674804362532709</v>
      </c>
      <c r="T1197" s="17">
        <f t="shared" si="205"/>
        <v>-23.100249830621266</v>
      </c>
    </row>
    <row r="1198" spans="1:20" x14ac:dyDescent="0.35">
      <c r="A1198" s="16">
        <v>4.45</v>
      </c>
      <c r="B1198" s="16">
        <v>15.976000000000001</v>
      </c>
      <c r="C1198" s="16">
        <v>-0.13789704999999999</v>
      </c>
      <c r="D1198" s="16">
        <v>-0.11805392000000001</v>
      </c>
      <c r="E1198" s="16">
        <v>0.86207436999999998</v>
      </c>
      <c r="F1198" s="16">
        <v>-0.12494168999999999</v>
      </c>
      <c r="G1198" s="16">
        <f t="shared" si="196"/>
        <v>1.54124187875355</v>
      </c>
      <c r="H1198" s="16">
        <f t="shared" si="197"/>
        <v>-1.79658018539682</v>
      </c>
      <c r="I1198" s="16">
        <f t="shared" si="198"/>
        <v>1.54123944926102</v>
      </c>
      <c r="J1198" s="16">
        <f t="shared" si="199"/>
        <v>-1.8000241279776501</v>
      </c>
      <c r="K1198" s="15">
        <f t="shared" si="200"/>
        <v>2.4294925300427599E-6</v>
      </c>
      <c r="L1198" s="15">
        <f t="shared" si="201"/>
        <v>3.4439425808301398E-3</v>
      </c>
      <c r="M1198" s="15">
        <f t="shared" si="202"/>
        <v>0.27446137113223801</v>
      </c>
      <c r="N1198" s="15">
        <f t="shared" si="203"/>
        <v>0.32054531855691398</v>
      </c>
      <c r="O1198" s="16">
        <v>9.9623361999999993</v>
      </c>
      <c r="P1198" s="16">
        <v>-11.459574</v>
      </c>
      <c r="Q1198" s="16">
        <v>4.6104624000000003</v>
      </c>
      <c r="R1198" s="16">
        <v>-14.276453</v>
      </c>
      <c r="S1198" s="16">
        <f t="shared" si="204"/>
        <v>0.98800871888116537</v>
      </c>
      <c r="T1198" s="16">
        <f t="shared" si="205"/>
        <v>-23.104504665047347</v>
      </c>
    </row>
    <row r="1199" spans="1:20" x14ac:dyDescent="0.35">
      <c r="A1199" s="17">
        <v>4.45</v>
      </c>
      <c r="B1199" s="17">
        <v>16.024799999999999</v>
      </c>
      <c r="C1199" s="17">
        <v>-0.14467552</v>
      </c>
      <c r="D1199" s="17">
        <v>-0.11713195</v>
      </c>
      <c r="E1199" s="17">
        <v>0.85529701999999996</v>
      </c>
      <c r="F1199" s="17">
        <v>-0.12408402</v>
      </c>
      <c r="G1199" s="17">
        <f t="shared" si="196"/>
        <v>1.53895362784135</v>
      </c>
      <c r="H1199" s="17">
        <f t="shared" si="197"/>
        <v>-1.6978629229548301</v>
      </c>
      <c r="I1199" s="17">
        <f t="shared" si="198"/>
        <v>1.5389519808238601</v>
      </c>
      <c r="J1199" s="17">
        <f t="shared" si="199"/>
        <v>-1.70133901140662</v>
      </c>
      <c r="K1199" s="15">
        <f t="shared" si="200"/>
        <v>1.6470174899474399E-6</v>
      </c>
      <c r="L1199" s="15">
        <f t="shared" si="201"/>
        <v>3.4760884517899301E-3</v>
      </c>
      <c r="M1199" s="15">
        <f t="shared" si="202"/>
        <v>0.292413669485865</v>
      </c>
      <c r="N1199" s="15">
        <f t="shared" si="203"/>
        <v>0.323268555201142</v>
      </c>
      <c r="O1199" s="17">
        <v>9.8650731</v>
      </c>
      <c r="P1199" s="17">
        <v>-11.995647999999999</v>
      </c>
      <c r="Q1199" s="17">
        <v>4.3176987000000002</v>
      </c>
      <c r="R1199" s="17">
        <v>-14.741186000000001</v>
      </c>
      <c r="S1199" s="17">
        <f t="shared" si="204"/>
        <v>0.98901550264738114</v>
      </c>
      <c r="T1199" s="17">
        <f t="shared" si="205"/>
        <v>-23.108131013885163</v>
      </c>
    </row>
    <row r="1200" spans="1:20" x14ac:dyDescent="0.35">
      <c r="A1200" s="16">
        <v>4.45</v>
      </c>
      <c r="B1200" s="16">
        <v>16.073599999999999</v>
      </c>
      <c r="C1200" s="16">
        <v>-0.15161927</v>
      </c>
      <c r="D1200" s="16">
        <v>-0.11579275999999999</v>
      </c>
      <c r="E1200" s="16">
        <v>0.84835594999999997</v>
      </c>
      <c r="F1200" s="16">
        <v>-0.12281160000000001</v>
      </c>
      <c r="G1200" s="16">
        <f t="shared" si="196"/>
        <v>1.53668191233528</v>
      </c>
      <c r="H1200" s="16">
        <f t="shared" si="197"/>
        <v>-1.60068494137965</v>
      </c>
      <c r="I1200" s="16">
        <f t="shared" si="198"/>
        <v>1.5366818385166101</v>
      </c>
      <c r="J1200" s="16">
        <f t="shared" si="199"/>
        <v>-1.60419440512096</v>
      </c>
      <c r="K1200" s="15">
        <f t="shared" si="200"/>
        <v>7.3818669843461695E-8</v>
      </c>
      <c r="L1200" s="15">
        <f t="shared" si="201"/>
        <v>3.5094637413099999E-3</v>
      </c>
      <c r="M1200" s="15">
        <f t="shared" si="202"/>
        <v>0.311395043224651</v>
      </c>
      <c r="N1200" s="15">
        <f t="shared" si="203"/>
        <v>0.32507587036077701</v>
      </c>
      <c r="O1200" s="16">
        <v>9.7326940000000004</v>
      </c>
      <c r="P1200" s="16">
        <v>-12.541448000000001</v>
      </c>
      <c r="Q1200" s="16">
        <v>3.988915</v>
      </c>
      <c r="R1200" s="16">
        <v>-15.20425</v>
      </c>
      <c r="S1200" s="16">
        <f t="shared" si="204"/>
        <v>0.99016526970003027</v>
      </c>
      <c r="T1200" s="16">
        <f t="shared" si="205"/>
        <v>-23.112429726063102</v>
      </c>
    </row>
    <row r="1201" spans="1:20" x14ac:dyDescent="0.35">
      <c r="A1201" s="17">
        <v>4.45</v>
      </c>
      <c r="B1201" s="17">
        <v>16.122399999999999</v>
      </c>
      <c r="C1201" s="17">
        <v>-0.15869432999999999</v>
      </c>
      <c r="D1201" s="17">
        <v>-0.11400757</v>
      </c>
      <c r="E1201" s="17">
        <v>0.84128035000000001</v>
      </c>
      <c r="F1201" s="17">
        <v>-0.12109201999999999</v>
      </c>
      <c r="G1201" s="17">
        <f t="shared" si="196"/>
        <v>1.53439921930856</v>
      </c>
      <c r="H1201" s="17">
        <f t="shared" si="197"/>
        <v>-1.5050509939268</v>
      </c>
      <c r="I1201" s="17">
        <f t="shared" si="198"/>
        <v>1.53439910682535</v>
      </c>
      <c r="J1201" s="17">
        <f t="shared" si="199"/>
        <v>-1.5085932641703801</v>
      </c>
      <c r="K1201" s="15">
        <f t="shared" si="200"/>
        <v>1.12483210079617E-7</v>
      </c>
      <c r="L1201" s="15">
        <f t="shared" si="201"/>
        <v>3.5422702435801102E-3</v>
      </c>
      <c r="M1201" s="15">
        <f t="shared" si="202"/>
        <v>0.33138692819431298</v>
      </c>
      <c r="N1201" s="15">
        <f t="shared" si="203"/>
        <v>0.32581359405402699</v>
      </c>
      <c r="O1201" s="17">
        <v>9.5642744999999998</v>
      </c>
      <c r="P1201" s="17">
        <v>-13.095921000000001</v>
      </c>
      <c r="Q1201" s="17">
        <v>3.6229930000000001</v>
      </c>
      <c r="R1201" s="17">
        <v>-15.66156</v>
      </c>
      <c r="S1201" s="17">
        <f t="shared" si="204"/>
        <v>0.99127692123667088</v>
      </c>
      <c r="T1201" s="17">
        <f t="shared" si="205"/>
        <v>-23.116445249894738</v>
      </c>
    </row>
    <row r="1202" spans="1:20" x14ac:dyDescent="0.35">
      <c r="A1202" s="16">
        <v>4.45</v>
      </c>
      <c r="B1202" s="16">
        <v>16.171199999999999</v>
      </c>
      <c r="C1202" s="16">
        <v>-0.16582605</v>
      </c>
      <c r="D1202" s="16">
        <v>-0.11175873</v>
      </c>
      <c r="E1202" s="16">
        <v>0.83415024999999998</v>
      </c>
      <c r="F1202" s="16">
        <v>-0.11890881</v>
      </c>
      <c r="G1202" s="16">
        <f t="shared" si="196"/>
        <v>1.53212315051189</v>
      </c>
      <c r="H1202" s="16">
        <f t="shared" si="197"/>
        <v>-1.4114749158328399</v>
      </c>
      <c r="I1202" s="16">
        <f t="shared" si="198"/>
        <v>1.53212408157348</v>
      </c>
      <c r="J1202" s="16">
        <f t="shared" si="199"/>
        <v>-1.4150499948689399</v>
      </c>
      <c r="K1202" s="15">
        <f t="shared" si="200"/>
        <v>-9.3106159004818799E-7</v>
      </c>
      <c r="L1202" s="15">
        <f t="shared" si="201"/>
        <v>3.5750790360999899E-3</v>
      </c>
      <c r="M1202" s="15">
        <f t="shared" si="202"/>
        <v>0.35223100043796102</v>
      </c>
      <c r="N1202" s="15">
        <f t="shared" si="203"/>
        <v>0.32531599846047698</v>
      </c>
      <c r="O1202" s="16">
        <v>9.3604444000000004</v>
      </c>
      <c r="P1202" s="16">
        <v>-13.655226000000001</v>
      </c>
      <c r="Q1202" s="16">
        <v>3.2214021000000002</v>
      </c>
      <c r="R1202" s="16">
        <v>-16.107234999999999</v>
      </c>
      <c r="S1202" s="16">
        <f t="shared" si="204"/>
        <v>0.99219329965628866</v>
      </c>
      <c r="T1202" s="16">
        <f t="shared" si="205"/>
        <v>-23.120250495452066</v>
      </c>
    </row>
    <row r="1203" spans="1:20" x14ac:dyDescent="0.35">
      <c r="A1203" s="17">
        <v>4.45</v>
      </c>
      <c r="B1203" s="17">
        <v>16.22</v>
      </c>
      <c r="C1203" s="17">
        <v>-0.17298761000000001</v>
      </c>
      <c r="D1203" s="17">
        <v>-0.10901975</v>
      </c>
      <c r="E1203" s="17">
        <v>0.82699089999999997</v>
      </c>
      <c r="F1203" s="17">
        <v>-0.11623617999999999</v>
      </c>
      <c r="G1203" s="17">
        <f t="shared" si="196"/>
        <v>1.52985323181523</v>
      </c>
      <c r="H1203" s="17">
        <f t="shared" si="197"/>
        <v>-1.31970189284294</v>
      </c>
      <c r="I1203" s="17">
        <f t="shared" si="198"/>
        <v>1.52985550616544</v>
      </c>
      <c r="J1203" s="17">
        <f t="shared" si="199"/>
        <v>-1.3233101384071899</v>
      </c>
      <c r="K1203" s="15">
        <f t="shared" si="200"/>
        <v>-2.2743502099409298E-6</v>
      </c>
      <c r="L1203" s="15">
        <f t="shared" si="201"/>
        <v>3.6082455642498798E-3</v>
      </c>
      <c r="M1203" s="15">
        <f t="shared" si="202"/>
        <v>0.373900837680116</v>
      </c>
      <c r="N1203" s="15">
        <f t="shared" si="203"/>
        <v>0.32342058924323902</v>
      </c>
      <c r="O1203" s="17">
        <v>9.1161709000000002</v>
      </c>
      <c r="P1203" s="17">
        <v>-14.212937999999999</v>
      </c>
      <c r="Q1203" s="17">
        <v>2.7830442</v>
      </c>
      <c r="R1203" s="17">
        <v>-16.538322999999998</v>
      </c>
      <c r="S1203" s="17">
        <f t="shared" si="204"/>
        <v>0.99322405959721982</v>
      </c>
      <c r="T1203" s="17">
        <f t="shared" si="205"/>
        <v>-23.123936991528772</v>
      </c>
    </row>
    <row r="1204" spans="1:20" x14ac:dyDescent="0.35">
      <c r="A1204" s="16">
        <v>4.45</v>
      </c>
      <c r="B1204" s="16">
        <v>16.268799999999999</v>
      </c>
      <c r="C1204" s="16">
        <v>-0.18013343000000001</v>
      </c>
      <c r="D1204" s="16">
        <v>-0.10577236</v>
      </c>
      <c r="E1204" s="16">
        <v>0.81984776999999998</v>
      </c>
      <c r="F1204" s="16">
        <v>-0.11305585</v>
      </c>
      <c r="G1204" s="16">
        <f t="shared" si="196"/>
        <v>1.5275884388783201</v>
      </c>
      <c r="H1204" s="16">
        <f t="shared" si="197"/>
        <v>-1.2296851709722501</v>
      </c>
      <c r="I1204" s="16">
        <f t="shared" si="198"/>
        <v>1.5275923012947099</v>
      </c>
      <c r="J1204" s="16">
        <f t="shared" si="199"/>
        <v>-1.2333269361389101</v>
      </c>
      <c r="K1204" s="15">
        <f t="shared" si="200"/>
        <v>-3.86241638983265E-6</v>
      </c>
      <c r="L1204" s="15">
        <f t="shared" si="201"/>
        <v>3.6417651666600399E-3</v>
      </c>
      <c r="M1204" s="15">
        <f t="shared" si="202"/>
        <v>0.39630026392984902</v>
      </c>
      <c r="N1204" s="15">
        <f t="shared" si="203"/>
        <v>0.31995957945676101</v>
      </c>
      <c r="O1204" s="16">
        <v>8.8313903000000007</v>
      </c>
      <c r="P1204" s="16">
        <v>-14.766952</v>
      </c>
      <c r="Q1204" s="16">
        <v>2.3081073000000001</v>
      </c>
      <c r="R1204" s="16">
        <v>-16.950896</v>
      </c>
      <c r="S1204" s="16">
        <f t="shared" si="204"/>
        <v>0.99424790710392774</v>
      </c>
      <c r="T1204" s="16">
        <f t="shared" si="205"/>
        <v>-23.127621248810875</v>
      </c>
    </row>
    <row r="1205" spans="1:20" x14ac:dyDescent="0.35">
      <c r="A1205" s="17">
        <v>4.45</v>
      </c>
      <c r="B1205" s="17">
        <v>16.317599999999999</v>
      </c>
      <c r="C1205" s="17">
        <v>-0.18721198999999999</v>
      </c>
      <c r="D1205" s="17">
        <v>-0.10200843</v>
      </c>
      <c r="E1205" s="17">
        <v>0.81279173999999998</v>
      </c>
      <c r="F1205" s="17">
        <v>-0.10938741</v>
      </c>
      <c r="G1205" s="17">
        <f t="shared" si="196"/>
        <v>1.5252131215000699</v>
      </c>
      <c r="H1205" s="17">
        <f t="shared" si="197"/>
        <v>-1.1415850691489799</v>
      </c>
      <c r="I1205" s="17">
        <f t="shared" si="198"/>
        <v>1.5252285985715901</v>
      </c>
      <c r="J1205" s="17">
        <f t="shared" si="199"/>
        <v>-1.1452744951656899</v>
      </c>
      <c r="K1205" s="15">
        <f t="shared" si="200"/>
        <v>-1.5477071520164598E-5</v>
      </c>
      <c r="L1205" s="15">
        <f t="shared" si="201"/>
        <v>3.6894260167099598E-3</v>
      </c>
      <c r="M1205" s="15">
        <f t="shared" si="202"/>
        <v>0.41925197437186101</v>
      </c>
      <c r="N1205" s="15">
        <f t="shared" si="203"/>
        <v>0.31481090358889902</v>
      </c>
      <c r="O1205" s="17">
        <v>8.5052097999999994</v>
      </c>
      <c r="P1205" s="17">
        <v>-15.312863999999999</v>
      </c>
      <c r="Q1205" s="17">
        <v>1.7978244000000001</v>
      </c>
      <c r="R1205" s="17">
        <v>-17.340962000000001</v>
      </c>
      <c r="S1205" s="17">
        <f t="shared" si="204"/>
        <v>0.99529359954279817</v>
      </c>
      <c r="T1205" s="17">
        <f t="shared" si="205"/>
        <v>-23.130071756998035</v>
      </c>
    </row>
    <row r="1206" spans="1:20" x14ac:dyDescent="0.35">
      <c r="A1206" s="16">
        <v>4.45</v>
      </c>
      <c r="B1206" s="16">
        <v>16.366399999999999</v>
      </c>
      <c r="C1206" s="16">
        <v>-0.19416554</v>
      </c>
      <c r="D1206" s="16">
        <v>-9.7716776000000005E-2</v>
      </c>
      <c r="E1206" s="16">
        <v>0.80584213000000005</v>
      </c>
      <c r="F1206" s="16">
        <v>-0.10516729</v>
      </c>
      <c r="G1206" s="16">
        <f t="shared" si="196"/>
        <v>1.52296180752168</v>
      </c>
      <c r="H1206" s="16">
        <f t="shared" si="197"/>
        <v>-1.0550618799054501</v>
      </c>
      <c r="I1206" s="16">
        <f t="shared" si="198"/>
        <v>1.52297951969444</v>
      </c>
      <c r="J1206" s="16">
        <f t="shared" si="199"/>
        <v>-1.0587870566369999</v>
      </c>
      <c r="K1206" s="15">
        <f t="shared" si="200"/>
        <v>-1.7712172760031601E-5</v>
      </c>
      <c r="L1206" s="15">
        <f t="shared" si="201"/>
        <v>3.72517673154982E-3</v>
      </c>
      <c r="M1206" s="15">
        <f t="shared" si="202"/>
        <v>0.44266269530160401</v>
      </c>
      <c r="N1206" s="15">
        <f t="shared" si="203"/>
        <v>0.30774250486009203</v>
      </c>
      <c r="O1206" s="16">
        <v>8.1380189999999999</v>
      </c>
      <c r="P1206" s="16">
        <v>-15.846575</v>
      </c>
      <c r="Q1206" s="16">
        <v>1.2532608999999999</v>
      </c>
      <c r="R1206" s="16">
        <v>-17.704170999999999</v>
      </c>
      <c r="S1206" s="16">
        <f t="shared" si="204"/>
        <v>0.99631743108357518</v>
      </c>
      <c r="T1206" s="16">
        <f t="shared" si="205"/>
        <v>-23.133637642789928</v>
      </c>
    </row>
    <row r="1207" spans="1:20" x14ac:dyDescent="0.35">
      <c r="A1207" s="17">
        <v>4.45</v>
      </c>
      <c r="B1207" s="17">
        <v>16.415199999999999</v>
      </c>
      <c r="C1207" s="17">
        <v>-0.20093353</v>
      </c>
      <c r="D1207" s="17">
        <v>-9.2906635000000001E-2</v>
      </c>
      <c r="E1207" s="17">
        <v>0.79907872000000002</v>
      </c>
      <c r="F1207" s="17">
        <v>-0.10043033</v>
      </c>
      <c r="G1207" s="17">
        <f t="shared" si="196"/>
        <v>1.52071668076263</v>
      </c>
      <c r="H1207" s="17">
        <f t="shared" si="197"/>
        <v>-0.97031400951170599</v>
      </c>
      <c r="I1207" s="17">
        <f t="shared" si="198"/>
        <v>1.5207369567614399</v>
      </c>
      <c r="J1207" s="17">
        <f t="shared" si="199"/>
        <v>-0.97407575769578403</v>
      </c>
      <c r="K1207" s="15">
        <f t="shared" si="200"/>
        <v>-2.02759988099377E-5</v>
      </c>
      <c r="L1207" s="15">
        <f t="shared" si="201"/>
        <v>3.7617481840780398E-3</v>
      </c>
      <c r="M1207" s="15">
        <f t="shared" si="202"/>
        <v>0.46627426702595998</v>
      </c>
      <c r="N1207" s="15">
        <f t="shared" si="203"/>
        <v>0.298662078229882</v>
      </c>
      <c r="O1207" s="17">
        <v>7.7303682</v>
      </c>
      <c r="P1207" s="17">
        <v>-16.363073</v>
      </c>
      <c r="Q1207" s="17">
        <v>0.67715462000000004</v>
      </c>
      <c r="R1207" s="17">
        <v>-18.036023</v>
      </c>
      <c r="S1207" s="17">
        <f t="shared" si="204"/>
        <v>0.99732154322161937</v>
      </c>
      <c r="T1207" s="17">
        <f t="shared" si="205"/>
        <v>-23.137210563672934</v>
      </c>
    </row>
    <row r="1208" spans="1:20" x14ac:dyDescent="0.35">
      <c r="A1208" s="16">
        <v>4.45</v>
      </c>
      <c r="B1208" s="16">
        <v>16.463999999999999</v>
      </c>
      <c r="C1208" s="16">
        <v>-0.20746175</v>
      </c>
      <c r="D1208" s="16">
        <v>-8.7579432999999998E-2</v>
      </c>
      <c r="E1208" s="16">
        <v>0.79250493</v>
      </c>
      <c r="F1208" s="16">
        <v>-9.5147105999999995E-2</v>
      </c>
      <c r="G1208" s="16">
        <f t="shared" si="196"/>
        <v>1.5184881502209799</v>
      </c>
      <c r="H1208" s="16">
        <f t="shared" si="197"/>
        <v>-0.88695026243636199</v>
      </c>
      <c r="I1208" s="16">
        <f t="shared" si="198"/>
        <v>1.5184858078726799</v>
      </c>
      <c r="J1208" s="16">
        <f t="shared" si="199"/>
        <v>-0.89073417083933804</v>
      </c>
      <c r="K1208" s="15">
        <f t="shared" si="200"/>
        <v>2.3423482999884701E-6</v>
      </c>
      <c r="L1208" s="15">
        <f t="shared" si="201"/>
        <v>3.78390840297604E-3</v>
      </c>
      <c r="M1208" s="15">
        <f t="shared" si="202"/>
        <v>0.48995954354299398</v>
      </c>
      <c r="N1208" s="15">
        <f t="shared" si="203"/>
        <v>0.28740716936564298</v>
      </c>
      <c r="O1208" s="16">
        <v>7.2825329999999999</v>
      </c>
      <c r="P1208" s="16">
        <v>-16.857399999999998</v>
      </c>
      <c r="Q1208" s="16">
        <v>7.1813265000000001E-2</v>
      </c>
      <c r="R1208" s="16">
        <v>-18.332404</v>
      </c>
      <c r="S1208" s="16">
        <f t="shared" si="204"/>
        <v>0.99833045090826222</v>
      </c>
      <c r="T1208" s="16">
        <f t="shared" si="205"/>
        <v>-23.140291800199311</v>
      </c>
    </row>
    <row r="1209" spans="1:20" x14ac:dyDescent="0.35">
      <c r="A1209" s="17">
        <v>4.45</v>
      </c>
      <c r="B1209" s="17">
        <v>16.512799999999999</v>
      </c>
      <c r="C1209" s="17">
        <v>-0.2136863</v>
      </c>
      <c r="D1209" s="17">
        <v>-8.1775750999999994E-2</v>
      </c>
      <c r="E1209" s="17">
        <v>0.78628169999999997</v>
      </c>
      <c r="F1209" s="17">
        <v>-8.9413113000000002E-2</v>
      </c>
      <c r="G1209" s="17">
        <f t="shared" si="196"/>
        <v>1.51624731828703</v>
      </c>
      <c r="H1209" s="17">
        <f t="shared" si="197"/>
        <v>-0.80566023741599901</v>
      </c>
      <c r="I1209" s="17">
        <f t="shared" si="198"/>
        <v>1.5162459008429301</v>
      </c>
      <c r="J1209" s="17">
        <f t="shared" si="199"/>
        <v>-0.80947898492872705</v>
      </c>
      <c r="K1209" s="15">
        <f t="shared" si="200"/>
        <v>1.4174440998715501E-6</v>
      </c>
      <c r="L1209" s="15">
        <f t="shared" si="201"/>
        <v>3.8187475127280401E-3</v>
      </c>
      <c r="M1209" s="15">
        <f t="shared" si="202"/>
        <v>0.51324087919185701</v>
      </c>
      <c r="N1209" s="15">
        <f t="shared" si="203"/>
        <v>0.27400417417859801</v>
      </c>
      <c r="O1209" s="17">
        <v>6.7983745999999998</v>
      </c>
      <c r="P1209" s="17">
        <v>-17.326277999999999</v>
      </c>
      <c r="Q1209" s="17">
        <v>-0.55812861000000002</v>
      </c>
      <c r="R1209" s="17">
        <v>-18.590312999999998</v>
      </c>
      <c r="S1209" s="17">
        <f t="shared" si="204"/>
        <v>0.99926859003458302</v>
      </c>
      <c r="T1209" s="17">
        <f t="shared" si="205"/>
        <v>-23.143382006705785</v>
      </c>
    </row>
    <row r="1210" spans="1:20" x14ac:dyDescent="0.35">
      <c r="A1210" s="16">
        <v>4.45</v>
      </c>
      <c r="B1210" s="16">
        <v>16.561599999999999</v>
      </c>
      <c r="C1210" s="16">
        <v>-0.21955696999999999</v>
      </c>
      <c r="D1210" s="16">
        <v>-7.5513676000000002E-2</v>
      </c>
      <c r="E1210" s="16">
        <v>0.78036121000000003</v>
      </c>
      <c r="F1210" s="16">
        <v>-8.3224176999999996E-2</v>
      </c>
      <c r="G1210" s="16">
        <f t="shared" si="196"/>
        <v>1.51383533661265</v>
      </c>
      <c r="H1210" s="16">
        <f t="shared" si="197"/>
        <v>-0.72592496970541398</v>
      </c>
      <c r="I1210" s="16">
        <f t="shared" si="198"/>
        <v>1.5138092894987001</v>
      </c>
      <c r="J1210" s="16">
        <f t="shared" si="199"/>
        <v>-0.72978047835242299</v>
      </c>
      <c r="K1210" s="15">
        <f t="shared" si="200"/>
        <v>2.60471139499341E-5</v>
      </c>
      <c r="L1210" s="15">
        <f t="shared" si="201"/>
        <v>3.8555086470090098E-3</v>
      </c>
      <c r="M1210" s="15">
        <f t="shared" si="202"/>
        <v>0.53601384524126205</v>
      </c>
      <c r="N1210" s="15">
        <f t="shared" si="203"/>
        <v>0.25840272159594502</v>
      </c>
      <c r="O1210" s="16">
        <v>6.2793165000000002</v>
      </c>
      <c r="P1210" s="16">
        <v>-17.764098000000001</v>
      </c>
      <c r="Q1210" s="16">
        <v>-1.2094868999999999</v>
      </c>
      <c r="R1210" s="16">
        <v>-18.806797</v>
      </c>
      <c r="S1210" s="16">
        <f t="shared" si="204"/>
        <v>1.000233045754378</v>
      </c>
      <c r="T1210" s="16">
        <f t="shared" si="205"/>
        <v>-23.147354380715282</v>
      </c>
    </row>
    <row r="1211" spans="1:20" x14ac:dyDescent="0.35">
      <c r="A1211" s="17">
        <v>4.45</v>
      </c>
      <c r="B1211" s="17">
        <v>16.610399999999998</v>
      </c>
      <c r="C1211" s="17">
        <v>-0.22500966999999999</v>
      </c>
      <c r="D1211" s="17">
        <v>-6.8848269000000004E-2</v>
      </c>
      <c r="E1211" s="17">
        <v>0.77490464000000003</v>
      </c>
      <c r="F1211" s="17">
        <v>-7.6627893000000002E-2</v>
      </c>
      <c r="G1211" s="17">
        <f t="shared" si="196"/>
        <v>1.51158586017537</v>
      </c>
      <c r="H1211" s="17">
        <f t="shared" si="197"/>
        <v>-0.64820493303258098</v>
      </c>
      <c r="I1211" s="17">
        <f t="shared" si="198"/>
        <v>1.5115581456929901</v>
      </c>
      <c r="J1211" s="17">
        <f t="shared" si="199"/>
        <v>-0.65209501950746196</v>
      </c>
      <c r="K1211" s="15">
        <f t="shared" si="200"/>
        <v>2.7714482379925801E-5</v>
      </c>
      <c r="L1211" s="15">
        <f t="shared" si="201"/>
        <v>3.8900864748809801E-3</v>
      </c>
      <c r="M1211" s="15">
        <f t="shared" si="202"/>
        <v>0.55776313594675597</v>
      </c>
      <c r="N1211" s="15">
        <f t="shared" si="203"/>
        <v>0.24062227711987499</v>
      </c>
      <c r="O1211" s="17">
        <v>5.7306485</v>
      </c>
      <c r="P1211" s="17">
        <v>-18.169378999999999</v>
      </c>
      <c r="Q1211" s="17">
        <v>-1.8760055</v>
      </c>
      <c r="R1211" s="17">
        <v>-18.979101</v>
      </c>
      <c r="S1211" s="17">
        <f t="shared" si="204"/>
        <v>1.0010450126993564</v>
      </c>
      <c r="T1211" s="17">
        <f t="shared" si="205"/>
        <v>-23.150462942511812</v>
      </c>
    </row>
    <row r="1212" spans="1:20" x14ac:dyDescent="0.35">
      <c r="A1212" s="16">
        <v>4.45</v>
      </c>
      <c r="B1212" s="16">
        <v>16.659199999999998</v>
      </c>
      <c r="C1212" s="16">
        <v>-0.23000319999999999</v>
      </c>
      <c r="D1212" s="16">
        <v>-6.1824944E-2</v>
      </c>
      <c r="E1212" s="16">
        <v>0.76990636000000001</v>
      </c>
      <c r="F1212" s="16">
        <v>-6.9674427999999997E-2</v>
      </c>
      <c r="G1212" s="16">
        <f t="shared" si="196"/>
        <v>1.5093364861913099</v>
      </c>
      <c r="H1212" s="16">
        <f t="shared" si="197"/>
        <v>-0.57231772596194297</v>
      </c>
      <c r="I1212" s="16">
        <f t="shared" si="198"/>
        <v>1.5093066695986499</v>
      </c>
      <c r="J1212" s="16">
        <f t="shared" si="199"/>
        <v>-0.57624276247452599</v>
      </c>
      <c r="K1212" s="15">
        <f t="shared" si="200"/>
        <v>2.9816592659992501E-5</v>
      </c>
      <c r="L1212" s="15">
        <f t="shared" si="201"/>
        <v>3.9250365125830201E-3</v>
      </c>
      <c r="M1212" s="15">
        <f t="shared" si="202"/>
        <v>0.57826460465705798</v>
      </c>
      <c r="N1212" s="15">
        <f t="shared" si="203"/>
        <v>0.220777393978808</v>
      </c>
      <c r="O1212" s="16">
        <v>5.1547226999999998</v>
      </c>
      <c r="P1212" s="16">
        <v>-18.533954000000001</v>
      </c>
      <c r="Q1212" s="16">
        <v>-2.5529663999999999</v>
      </c>
      <c r="R1212" s="16">
        <v>-19.105581999999998</v>
      </c>
      <c r="S1212" s="16">
        <f t="shared" si="204"/>
        <v>1.0019736919626636</v>
      </c>
      <c r="T1212" s="16">
        <f t="shared" si="205"/>
        <v>-23.153495224091262</v>
      </c>
    </row>
    <row r="1213" spans="1:20" x14ac:dyDescent="0.35">
      <c r="A1213" s="17">
        <v>4.45</v>
      </c>
      <c r="B1213" s="17">
        <v>16.707999999999998</v>
      </c>
      <c r="C1213" s="17">
        <v>-0.23449311</v>
      </c>
      <c r="D1213" s="17">
        <v>-5.4514439999999997E-2</v>
      </c>
      <c r="E1213" s="17">
        <v>0.76548981000000005</v>
      </c>
      <c r="F1213" s="17">
        <v>-6.2461095000000001E-2</v>
      </c>
      <c r="G1213" s="17">
        <f t="shared" si="196"/>
        <v>1.5073089242254201</v>
      </c>
      <c r="H1213" s="17">
        <f t="shared" si="197"/>
        <v>-0.49866324212957902</v>
      </c>
      <c r="I1213" s="17">
        <f t="shared" si="198"/>
        <v>1.5073161716391399</v>
      </c>
      <c r="J1213" s="17">
        <f t="shared" si="199"/>
        <v>-0.50263657476549095</v>
      </c>
      <c r="K1213" s="15">
        <f t="shared" si="200"/>
        <v>-7.2474137198241797E-6</v>
      </c>
      <c r="L1213" s="15">
        <f t="shared" si="201"/>
        <v>3.9733326359119303E-3</v>
      </c>
      <c r="M1213" s="15">
        <f t="shared" si="202"/>
        <v>0.59704070583097901</v>
      </c>
      <c r="N1213" s="15">
        <f t="shared" si="203"/>
        <v>0.19909193639720199</v>
      </c>
      <c r="O1213" s="17">
        <v>4.5581066000000003</v>
      </c>
      <c r="P1213" s="17">
        <v>-18.858326000000002</v>
      </c>
      <c r="Q1213" s="17">
        <v>-3.2338013999999999</v>
      </c>
      <c r="R1213" s="17">
        <v>-19.185271</v>
      </c>
      <c r="S1213" s="17">
        <f t="shared" si="204"/>
        <v>1.0028111755032945</v>
      </c>
      <c r="T1213" s="17">
        <f t="shared" si="205"/>
        <v>-23.15557760471037</v>
      </c>
    </row>
    <row r="1214" spans="1:20" x14ac:dyDescent="0.35">
      <c r="A1214" s="16">
        <v>4.45</v>
      </c>
      <c r="B1214" s="16">
        <v>16.756799999999998</v>
      </c>
      <c r="C1214" s="16">
        <v>-0.23846232000000001</v>
      </c>
      <c r="D1214" s="16">
        <v>-4.6957470000000001E-2</v>
      </c>
      <c r="E1214" s="16">
        <v>0.76152573999999995</v>
      </c>
      <c r="F1214" s="16">
        <v>-5.4978023000000001E-2</v>
      </c>
      <c r="G1214" s="16">
        <f t="shared" si="196"/>
        <v>1.5051151456341501</v>
      </c>
      <c r="H1214" s="16">
        <f t="shared" si="197"/>
        <v>-0.426548528686432</v>
      </c>
      <c r="I1214" s="16">
        <f t="shared" si="198"/>
        <v>1.5051252579455101</v>
      </c>
      <c r="J1214" s="16">
        <f t="shared" si="199"/>
        <v>-0.43055878857451801</v>
      </c>
      <c r="K1214" s="15">
        <f t="shared" si="200"/>
        <v>-1.01123113600554E-5</v>
      </c>
      <c r="L1214" s="15">
        <f t="shared" si="201"/>
        <v>4.0102598880860096E-3</v>
      </c>
      <c r="M1214" s="15">
        <f t="shared" si="202"/>
        <v>0.61414058758686296</v>
      </c>
      <c r="N1214" s="15">
        <f t="shared" si="203"/>
        <v>0.175682140745402</v>
      </c>
      <c r="O1214" s="16">
        <v>3.9444246999999999</v>
      </c>
      <c r="P1214" s="16">
        <v>-19.139500000000002</v>
      </c>
      <c r="Q1214" s="16">
        <v>-3.9147436999999998</v>
      </c>
      <c r="R1214" s="16">
        <v>-19.218639</v>
      </c>
      <c r="S1214" s="16">
        <f t="shared" si="204"/>
        <v>1.0036624621864192</v>
      </c>
      <c r="T1214" s="16">
        <f t="shared" si="205"/>
        <v>-23.15830798675427</v>
      </c>
    </row>
    <row r="1215" spans="1:20" x14ac:dyDescent="0.35">
      <c r="A1215" s="17">
        <v>4.45</v>
      </c>
      <c r="B1215" s="17">
        <v>16.805599999999998</v>
      </c>
      <c r="C1215" s="17">
        <v>-0.24188593</v>
      </c>
      <c r="D1215" s="17">
        <v>-3.9231165999999998E-2</v>
      </c>
      <c r="E1215" s="17">
        <v>0.75807572000000001</v>
      </c>
      <c r="F1215" s="17">
        <v>-4.7328859000000001E-2</v>
      </c>
      <c r="G1215" s="17">
        <f t="shared" si="196"/>
        <v>1.50281759205499</v>
      </c>
      <c r="H1215" s="17">
        <f t="shared" si="197"/>
        <v>-0.35630575533053099</v>
      </c>
      <c r="I1215" s="17">
        <f t="shared" si="198"/>
        <v>1.50281481051958</v>
      </c>
      <c r="J1215" s="17">
        <f t="shared" si="199"/>
        <v>-0.360354690730877</v>
      </c>
      <c r="K1215" s="15">
        <f t="shared" si="200"/>
        <v>2.78153541000137E-6</v>
      </c>
      <c r="L1215" s="15">
        <f t="shared" si="201"/>
        <v>4.0489354003460098E-3</v>
      </c>
      <c r="M1215" s="15">
        <f t="shared" si="202"/>
        <v>0.62923831430728205</v>
      </c>
      <c r="N1215" s="15">
        <f t="shared" si="203"/>
        <v>0.15088284768089499</v>
      </c>
      <c r="O1215" s="17">
        <v>3.3197378</v>
      </c>
      <c r="P1215" s="17">
        <v>-19.375841000000001</v>
      </c>
      <c r="Q1215" s="17">
        <v>-4.5890474000000001</v>
      </c>
      <c r="R1215" s="17">
        <v>-19.206620000000001</v>
      </c>
      <c r="S1215" s="17">
        <f t="shared" si="204"/>
        <v>1.0045308020147994</v>
      </c>
      <c r="T1215" s="17">
        <f t="shared" si="205"/>
        <v>-23.16008631095028</v>
      </c>
    </row>
    <row r="1216" spans="1:20" x14ac:dyDescent="0.35">
      <c r="A1216" s="16">
        <v>4.45</v>
      </c>
      <c r="B1216" s="16">
        <v>16.854399999999998</v>
      </c>
      <c r="C1216" s="16">
        <v>-0.24475319000000001</v>
      </c>
      <c r="D1216" s="16">
        <v>-3.1412799999999998E-2</v>
      </c>
      <c r="E1216" s="16">
        <v>0.75522758999999995</v>
      </c>
      <c r="F1216" s="16">
        <v>-3.9582081999999998E-2</v>
      </c>
      <c r="G1216" s="16">
        <f t="shared" si="196"/>
        <v>1.50070935512906</v>
      </c>
      <c r="H1216" s="16">
        <f t="shared" si="197"/>
        <v>-0.28811691360712399</v>
      </c>
      <c r="I1216" s="16">
        <f t="shared" si="198"/>
        <v>1.5007164295314399</v>
      </c>
      <c r="J1216" s="16">
        <f t="shared" si="199"/>
        <v>-0.292201564964229</v>
      </c>
      <c r="K1216" s="15">
        <f t="shared" si="200"/>
        <v>-7.0744023799029801E-6</v>
      </c>
      <c r="L1216" s="15">
        <f t="shared" si="201"/>
        <v>4.0846513571050104E-3</v>
      </c>
      <c r="M1216" s="15">
        <f t="shared" si="202"/>
        <v>0.64200905669115105</v>
      </c>
      <c r="N1216" s="15">
        <f t="shared" si="203"/>
        <v>0.12500432952875301</v>
      </c>
      <c r="O1216" s="16">
        <v>2.6903385000000002</v>
      </c>
      <c r="P1216" s="16">
        <v>-19.568460000000002</v>
      </c>
      <c r="Q1216" s="16">
        <v>-5.2512192999999998</v>
      </c>
      <c r="R1216" s="16">
        <v>-19.150314999999999</v>
      </c>
      <c r="S1216" s="16">
        <f t="shared" si="204"/>
        <v>1.005300813354238</v>
      </c>
      <c r="T1216" s="16">
        <f t="shared" si="205"/>
        <v>-23.1623365689296</v>
      </c>
    </row>
    <row r="1217" spans="1:20" x14ac:dyDescent="0.35">
      <c r="A1217" s="17">
        <v>4.45</v>
      </c>
      <c r="B1217" s="17">
        <v>16.903200000000002</v>
      </c>
      <c r="C1217" s="17">
        <v>-0.24706838</v>
      </c>
      <c r="D1217" s="17">
        <v>-2.357832E-2</v>
      </c>
      <c r="E1217" s="17">
        <v>0.75289147999999995</v>
      </c>
      <c r="F1217" s="17">
        <v>-3.1826713999999999E-2</v>
      </c>
      <c r="G1217" s="17">
        <f t="shared" si="196"/>
        <v>1.4984480211346201</v>
      </c>
      <c r="H1217" s="17">
        <f t="shared" si="197"/>
        <v>-0.22199526273730799</v>
      </c>
      <c r="I1217" s="17">
        <f t="shared" si="198"/>
        <v>1.4984449604675201</v>
      </c>
      <c r="J1217" s="17">
        <f t="shared" si="199"/>
        <v>-0.22611955513465001</v>
      </c>
      <c r="K1217" s="15">
        <f t="shared" si="200"/>
        <v>3.0606670999855402E-6</v>
      </c>
      <c r="L1217" s="15">
        <f t="shared" si="201"/>
        <v>4.1242923973420203E-3</v>
      </c>
      <c r="M1217" s="15">
        <f t="shared" si="202"/>
        <v>0.65250000556876497</v>
      </c>
      <c r="N1217" s="15">
        <f t="shared" si="203"/>
        <v>9.8464084352175102E-2</v>
      </c>
      <c r="O1217" s="17">
        <v>2.0619402999999998</v>
      </c>
      <c r="P1217" s="17">
        <v>-19.715983000000001</v>
      </c>
      <c r="Q1217" s="17">
        <v>-5.8958323999999998</v>
      </c>
      <c r="R1217" s="17">
        <v>-19.053643000000001</v>
      </c>
      <c r="S1217" s="17">
        <f t="shared" si="204"/>
        <v>1.0061274322628622</v>
      </c>
      <c r="T1217" s="17">
        <f t="shared" si="205"/>
        <v>-23.164223914169717</v>
      </c>
    </row>
    <row r="1218" spans="1:20" x14ac:dyDescent="0.35">
      <c r="A1218" s="16">
        <v>4.45</v>
      </c>
      <c r="B1218" s="16">
        <v>16.952000000000002</v>
      </c>
      <c r="C1218" s="16">
        <v>-0.24883912</v>
      </c>
      <c r="D1218" s="16">
        <v>-1.5828529000000001E-2</v>
      </c>
      <c r="E1218" s="16">
        <v>0.75112920999999999</v>
      </c>
      <c r="F1218" s="16">
        <v>-2.4148236E-2</v>
      </c>
      <c r="G1218" s="16">
        <f t="shared" si="196"/>
        <v>1.4963224355862801</v>
      </c>
      <c r="H1218" s="16">
        <f t="shared" si="197"/>
        <v>-0.158267548301083</v>
      </c>
      <c r="I1218" s="16">
        <f t="shared" si="198"/>
        <v>1.49632390523928</v>
      </c>
      <c r="J1218" s="16">
        <f t="shared" si="199"/>
        <v>-0.162427461559768</v>
      </c>
      <c r="K1218" s="15">
        <f t="shared" si="200"/>
        <v>-1.4696529999636001E-6</v>
      </c>
      <c r="L1218" s="15">
        <f t="shared" si="201"/>
        <v>4.1599132586850104E-3</v>
      </c>
      <c r="M1218" s="15">
        <f t="shared" si="202"/>
        <v>0.66052136558442298</v>
      </c>
      <c r="N1218" s="15">
        <f t="shared" si="203"/>
        <v>7.1700257104903395E-2</v>
      </c>
      <c r="O1218" s="16">
        <v>1.4428156999999999</v>
      </c>
      <c r="P1218" s="16">
        <v>-19.820906999999998</v>
      </c>
      <c r="Q1218" s="16">
        <v>-6.5158648000000001</v>
      </c>
      <c r="R1218" s="16">
        <v>-18.919218999999998</v>
      </c>
      <c r="S1218" s="16">
        <f t="shared" si="204"/>
        <v>1.0068675051912652</v>
      </c>
      <c r="T1218" s="16">
        <f t="shared" si="205"/>
        <v>-23.167306538890525</v>
      </c>
    </row>
    <row r="1219" spans="1:20" x14ac:dyDescent="0.35">
      <c r="A1219" s="17">
        <v>4.45</v>
      </c>
      <c r="B1219" s="17">
        <v>17</v>
      </c>
      <c r="C1219" s="17">
        <v>-0.25004114999999999</v>
      </c>
      <c r="D1219" s="17">
        <v>-1.2258823E-2</v>
      </c>
      <c r="E1219" s="17">
        <v>0.74995712999999997</v>
      </c>
      <c r="F1219" s="17">
        <v>-2.0718983E-2</v>
      </c>
      <c r="G1219" s="17">
        <f t="shared" si="196"/>
        <v>1.49099721078422</v>
      </c>
      <c r="H1219" s="17">
        <f t="shared" si="197"/>
        <v>-0.12918093248623799</v>
      </c>
      <c r="I1219" s="17">
        <f t="shared" si="198"/>
        <v>1.4910142440862699</v>
      </c>
      <c r="J1219" s="17">
        <f t="shared" si="199"/>
        <v>-0.133410944071818</v>
      </c>
      <c r="K1219" s="15">
        <f t="shared" si="200"/>
        <v>-1.7033302049940199E-5</v>
      </c>
      <c r="L1219" s="15">
        <f t="shared" si="201"/>
        <v>4.2300115855800104E-3</v>
      </c>
      <c r="M1219" s="15">
        <f t="shared" si="202"/>
        <v>0.66535750611484601</v>
      </c>
      <c r="N1219" s="15">
        <f t="shared" si="203"/>
        <v>5.9533953741970701E-2</v>
      </c>
      <c r="O1219" s="17">
        <v>1.2108303</v>
      </c>
      <c r="P1219" s="17">
        <v>-20.589967000000001</v>
      </c>
      <c r="Q1219" s="17">
        <v>-6.8354758999999996</v>
      </c>
      <c r="R1219" s="17">
        <v>-18.978964999999999</v>
      </c>
      <c r="S1219" s="17">
        <f t="shared" si="204"/>
        <v>0.9780291518091897</v>
      </c>
      <c r="T1219" s="17">
        <f t="shared" si="205"/>
        <v>-23.172529275376348</v>
      </c>
    </row>
    <row r="1220" spans="1:20" x14ac:dyDescent="0.35">
      <c r="A1220" s="16">
        <v>4.5875000000000004</v>
      </c>
      <c r="B1220" s="16">
        <v>15</v>
      </c>
      <c r="C1220" s="16">
        <v>-4.9943266E-2</v>
      </c>
      <c r="D1220" s="16">
        <v>-9.6835543999999996E-2</v>
      </c>
      <c r="E1220" s="16">
        <v>0.94997904</v>
      </c>
      <c r="F1220" s="16">
        <v>-0.10284587000000001</v>
      </c>
      <c r="G1220" s="16">
        <f t="shared" si="196"/>
        <v>1.5046914638586899</v>
      </c>
      <c r="H1220" s="16">
        <f t="shared" si="197"/>
        <v>-4.0028963413635097</v>
      </c>
      <c r="I1220" s="16">
        <f t="shared" si="198"/>
        <v>1.5046616473251899</v>
      </c>
      <c r="J1220" s="16">
        <f t="shared" si="199"/>
        <v>-4.0059017107166497</v>
      </c>
      <c r="K1220" s="15">
        <f t="shared" si="200"/>
        <v>2.98165334999823E-5</v>
      </c>
      <c r="L1220" s="15">
        <f t="shared" si="201"/>
        <v>3.0053693531399998E-3</v>
      </c>
      <c r="M1220" s="15">
        <f t="shared" si="202"/>
        <v>8.2171409431346903E-2</v>
      </c>
      <c r="N1220" s="15">
        <f t="shared" si="203"/>
        <v>0.21876718277374299</v>
      </c>
      <c r="O1220" s="16">
        <v>8.3176026000000007</v>
      </c>
      <c r="P1220" s="16">
        <v>-4.2309840999999997</v>
      </c>
      <c r="Q1220" s="16">
        <v>5.8350109000000003</v>
      </c>
      <c r="R1220" s="16">
        <v>-6.9511152999999997</v>
      </c>
      <c r="S1220" s="16">
        <f t="shared" si="204"/>
        <v>0.97253167566230758</v>
      </c>
      <c r="T1220" s="16">
        <f t="shared" si="205"/>
        <v>-23.027265421818893</v>
      </c>
    </row>
    <row r="1221" spans="1:20" x14ac:dyDescent="0.35">
      <c r="A1221" s="17">
        <v>4.5875000000000004</v>
      </c>
      <c r="B1221" s="17">
        <v>15.0488</v>
      </c>
      <c r="C1221" s="17">
        <v>-5.2674225999999998E-2</v>
      </c>
      <c r="D1221" s="17">
        <v>-9.8873974000000003E-2</v>
      </c>
      <c r="E1221" s="17">
        <v>0.94724269000000005</v>
      </c>
      <c r="F1221" s="17">
        <v>-0.10494259</v>
      </c>
      <c r="G1221" s="17">
        <f t="shared" si="196"/>
        <v>1.5022482530235599</v>
      </c>
      <c r="H1221" s="17">
        <f t="shared" si="197"/>
        <v>-3.8691278882887299</v>
      </c>
      <c r="I1221" s="17">
        <f t="shared" si="198"/>
        <v>1.5022159173855401</v>
      </c>
      <c r="J1221" s="17">
        <f t="shared" si="199"/>
        <v>-3.87216242046556</v>
      </c>
      <c r="K1221" s="15">
        <f t="shared" si="200"/>
        <v>3.2335638019853598E-5</v>
      </c>
      <c r="L1221" s="15">
        <f t="shared" si="201"/>
        <v>3.0345321768301399E-3</v>
      </c>
      <c r="M1221" s="15">
        <f t="shared" si="202"/>
        <v>8.7083494124952102E-2</v>
      </c>
      <c r="N1221" s="15">
        <f t="shared" si="203"/>
        <v>0.224469351902714</v>
      </c>
      <c r="O1221" s="17">
        <v>8.4685769000000004</v>
      </c>
      <c r="P1221" s="17">
        <v>-4.4505110999999999</v>
      </c>
      <c r="Q1221" s="17">
        <v>5.8940801</v>
      </c>
      <c r="R1221" s="17">
        <v>-7.2138875000000002</v>
      </c>
      <c r="S1221" s="17">
        <f t="shared" si="204"/>
        <v>0.97374127856167292</v>
      </c>
      <c r="T1221" s="17">
        <f t="shared" si="205"/>
        <v>-23.026208191935879</v>
      </c>
    </row>
    <row r="1222" spans="1:20" x14ac:dyDescent="0.35">
      <c r="A1222" s="16">
        <v>4.5875000000000004</v>
      </c>
      <c r="B1222" s="16">
        <v>15.0976</v>
      </c>
      <c r="C1222" s="16">
        <v>-5.5544994E-2</v>
      </c>
      <c r="D1222" s="16">
        <v>-0.10089897</v>
      </c>
      <c r="E1222" s="16">
        <v>0.94436458999999995</v>
      </c>
      <c r="F1222" s="16">
        <v>-0.10702354</v>
      </c>
      <c r="G1222" s="16">
        <f t="shared" si="196"/>
        <v>1.4999225653091099</v>
      </c>
      <c r="H1222" s="16">
        <f t="shared" si="197"/>
        <v>-3.73856302665481</v>
      </c>
      <c r="I1222" s="16">
        <f t="shared" si="198"/>
        <v>1.4998867340386599</v>
      </c>
      <c r="J1222" s="16">
        <f t="shared" si="199"/>
        <v>-3.7416255598313701</v>
      </c>
      <c r="K1222" s="15">
        <f t="shared" si="200"/>
        <v>3.5831270450037402E-5</v>
      </c>
      <c r="L1222" s="15">
        <f t="shared" si="201"/>
        <v>3.0625331765601299E-3</v>
      </c>
      <c r="M1222" s="15">
        <f t="shared" si="202"/>
        <v>9.2304005021936794E-2</v>
      </c>
      <c r="N1222" s="15">
        <f t="shared" si="203"/>
        <v>0.23026207021308401</v>
      </c>
      <c r="O1222" s="16">
        <v>8.6129935</v>
      </c>
      <c r="P1222" s="16">
        <v>-4.6782972999999997</v>
      </c>
      <c r="Q1222" s="16">
        <v>5.9474128000000004</v>
      </c>
      <c r="R1222" s="16">
        <v>-7.4873932999999999</v>
      </c>
      <c r="S1222" s="16">
        <f t="shared" si="204"/>
        <v>0.97556628658722677</v>
      </c>
      <c r="T1222" s="16">
        <f t="shared" si="205"/>
        <v>-23.029689626022346</v>
      </c>
    </row>
    <row r="1223" spans="1:20" x14ac:dyDescent="0.35">
      <c r="A1223" s="17">
        <v>4.5875000000000004</v>
      </c>
      <c r="B1223" s="17">
        <v>15.1464</v>
      </c>
      <c r="C1223" s="17">
        <v>-5.8566616000000002E-2</v>
      </c>
      <c r="D1223" s="17">
        <v>-0.10290243</v>
      </c>
      <c r="E1223" s="17">
        <v>0.94133827999999997</v>
      </c>
      <c r="F1223" s="17">
        <v>-0.10908389</v>
      </c>
      <c r="G1223" s="17">
        <f t="shared" si="196"/>
        <v>1.49775199764252</v>
      </c>
      <c r="H1223" s="17">
        <f t="shared" si="197"/>
        <v>-3.6109946182793302</v>
      </c>
      <c r="I1223" s="17">
        <f t="shared" si="198"/>
        <v>1.49771399726474</v>
      </c>
      <c r="J1223" s="17">
        <f t="shared" si="199"/>
        <v>-3.6140856127112002</v>
      </c>
      <c r="K1223" s="15">
        <f t="shared" si="200"/>
        <v>3.8000377780012001E-5</v>
      </c>
      <c r="L1223" s="15">
        <f t="shared" si="201"/>
        <v>3.09099443187E-3</v>
      </c>
      <c r="M1223" s="15">
        <f t="shared" si="202"/>
        <v>9.7859345606015002E-2</v>
      </c>
      <c r="N1223" s="15">
        <f t="shared" si="203"/>
        <v>0.23614124837581699</v>
      </c>
      <c r="O1223" s="17">
        <v>8.7575260999999998</v>
      </c>
      <c r="P1223" s="17">
        <v>-4.9185790999999996</v>
      </c>
      <c r="Q1223" s="17">
        <v>5.9944607000000003</v>
      </c>
      <c r="R1223" s="17">
        <v>-7.7712953999999996</v>
      </c>
      <c r="S1223" s="17">
        <f t="shared" si="204"/>
        <v>0.97713860713211853</v>
      </c>
      <c r="T1223" s="17">
        <f t="shared" si="205"/>
        <v>-23.034549492348081</v>
      </c>
    </row>
    <row r="1224" spans="1:20" x14ac:dyDescent="0.35">
      <c r="A1224" s="16">
        <v>4.5875000000000004</v>
      </c>
      <c r="B1224" s="16">
        <v>15.1952</v>
      </c>
      <c r="C1224" s="16">
        <v>-6.1754745999999999E-2</v>
      </c>
      <c r="D1224" s="16">
        <v>-0.10488588</v>
      </c>
      <c r="E1224" s="16">
        <v>0.93814642000000004</v>
      </c>
      <c r="F1224" s="16">
        <v>-0.11112528000000001</v>
      </c>
      <c r="G1224" s="16">
        <f t="shared" si="196"/>
        <v>1.4956389305247999</v>
      </c>
      <c r="H1224" s="16">
        <f t="shared" si="197"/>
        <v>-3.4858749436765399</v>
      </c>
      <c r="I1224" s="16">
        <f t="shared" si="198"/>
        <v>1.4955992449589799</v>
      </c>
      <c r="J1224" s="16">
        <f t="shared" si="199"/>
        <v>-3.4889949216635499</v>
      </c>
      <c r="K1224" s="15">
        <f t="shared" si="200"/>
        <v>3.96855658200135E-5</v>
      </c>
      <c r="L1224" s="15">
        <f t="shared" si="201"/>
        <v>3.1199779870099099E-3</v>
      </c>
      <c r="M1224" s="15">
        <f t="shared" si="202"/>
        <v>0.103789684062221</v>
      </c>
      <c r="N1224" s="15">
        <f t="shared" si="203"/>
        <v>0.24212480839015499</v>
      </c>
      <c r="O1224" s="16">
        <v>8.8950683000000001</v>
      </c>
      <c r="P1224" s="16">
        <v>-5.1686766000000004</v>
      </c>
      <c r="Q1224" s="16">
        <v>6.0346897000000004</v>
      </c>
      <c r="R1224" s="16">
        <v>-8.0665689999999994</v>
      </c>
      <c r="S1224" s="16">
        <f t="shared" si="204"/>
        <v>0.97923187101541054</v>
      </c>
      <c r="T1224" s="16">
        <f t="shared" si="205"/>
        <v>-23.039751348603389</v>
      </c>
    </row>
    <row r="1225" spans="1:20" x14ac:dyDescent="0.35">
      <c r="A1225" s="17">
        <v>4.5875000000000004</v>
      </c>
      <c r="B1225" s="17">
        <v>15.244</v>
      </c>
      <c r="C1225" s="17">
        <v>-6.5121091000000006E-2</v>
      </c>
      <c r="D1225" s="17">
        <v>-0.10684417</v>
      </c>
      <c r="E1225" s="17">
        <v>0.93477673999999999</v>
      </c>
      <c r="F1225" s="17">
        <v>-0.11314235</v>
      </c>
      <c r="G1225" s="17">
        <f t="shared" si="196"/>
        <v>1.4935497589047699</v>
      </c>
      <c r="H1225" s="17">
        <f t="shared" si="197"/>
        <v>-3.3629711626242802</v>
      </c>
      <c r="I1225" s="17">
        <f t="shared" si="198"/>
        <v>1.4935085899844101</v>
      </c>
      <c r="J1225" s="17">
        <f t="shared" si="199"/>
        <v>-3.3661205431534502</v>
      </c>
      <c r="K1225" s="15">
        <f t="shared" si="200"/>
        <v>4.1168920359879701E-5</v>
      </c>
      <c r="L1225" s="15">
        <f t="shared" si="201"/>
        <v>3.1493805291700201E-3</v>
      </c>
      <c r="M1225" s="15">
        <f t="shared" si="202"/>
        <v>0.110129905632172</v>
      </c>
      <c r="N1225" s="15">
        <f t="shared" si="203"/>
        <v>0.248214533381341</v>
      </c>
      <c r="O1225" s="17">
        <v>9.0353694000000004</v>
      </c>
      <c r="P1225" s="17">
        <v>-5.4353524000000002</v>
      </c>
      <c r="Q1225" s="17">
        <v>6.0672173999999996</v>
      </c>
      <c r="R1225" s="17">
        <v>-8.3737437999999997</v>
      </c>
      <c r="S1225" s="17">
        <f t="shared" si="204"/>
        <v>0.98069966709811651</v>
      </c>
      <c r="T1225" s="17">
        <f t="shared" si="205"/>
        <v>-23.045097445380282</v>
      </c>
    </row>
    <row r="1226" spans="1:20" x14ac:dyDescent="0.35">
      <c r="A1226" s="16">
        <v>4.5875000000000004</v>
      </c>
      <c r="B1226" s="16">
        <v>15.2928</v>
      </c>
      <c r="C1226" s="16">
        <v>-6.8676013999999994E-2</v>
      </c>
      <c r="D1226" s="16">
        <v>-0.10876893999999999</v>
      </c>
      <c r="E1226" s="16">
        <v>0.93121869000000002</v>
      </c>
      <c r="F1226" s="16">
        <v>-0.11512664</v>
      </c>
      <c r="G1226" s="16">
        <f t="shared" si="196"/>
        <v>1.4914710360088299</v>
      </c>
      <c r="H1226" s="16">
        <f t="shared" si="197"/>
        <v>-3.2421575515800898</v>
      </c>
      <c r="I1226" s="16">
        <f t="shared" si="198"/>
        <v>1.4914284918182601</v>
      </c>
      <c r="J1226" s="16">
        <f t="shared" si="199"/>
        <v>-3.2453367041977099</v>
      </c>
      <c r="K1226" s="15">
        <f t="shared" si="200"/>
        <v>4.2544190569815399E-5</v>
      </c>
      <c r="L1226" s="15">
        <f t="shared" si="201"/>
        <v>3.1791526176201401E-3</v>
      </c>
      <c r="M1226" s="15">
        <f t="shared" si="202"/>
        <v>0.1169145449903</v>
      </c>
      <c r="N1226" s="15">
        <f t="shared" si="203"/>
        <v>0.25440513319483399</v>
      </c>
      <c r="O1226" s="16">
        <v>9.1725682000000006</v>
      </c>
      <c r="P1226" s="16">
        <v>-5.7164951000000004</v>
      </c>
      <c r="Q1226" s="16">
        <v>6.0911587999999997</v>
      </c>
      <c r="R1226" s="16">
        <v>-8.6933191000000001</v>
      </c>
      <c r="S1226" s="16">
        <f t="shared" si="204"/>
        <v>0.98212707867074622</v>
      </c>
      <c r="T1226" s="16">
        <f t="shared" si="205"/>
        <v>-23.05033770071719</v>
      </c>
    </row>
    <row r="1227" spans="1:20" x14ac:dyDescent="0.35">
      <c r="A1227" s="17">
        <v>4.5875000000000004</v>
      </c>
      <c r="B1227" s="17">
        <v>15.3416</v>
      </c>
      <c r="C1227" s="17">
        <v>-7.2429126999999996E-2</v>
      </c>
      <c r="D1227" s="17">
        <v>-0.11064963</v>
      </c>
      <c r="E1227" s="17">
        <v>0.92746258000000004</v>
      </c>
      <c r="F1227" s="17">
        <v>-0.11706751999999999</v>
      </c>
      <c r="G1227" s="17">
        <f t="shared" si="196"/>
        <v>1.4893968524705501</v>
      </c>
      <c r="H1227" s="17">
        <f t="shared" si="197"/>
        <v>-3.1233562531565302</v>
      </c>
      <c r="I1227" s="17">
        <f t="shared" si="198"/>
        <v>1.4893530019333701</v>
      </c>
      <c r="J1227" s="17">
        <f t="shared" si="199"/>
        <v>-3.12656551264066</v>
      </c>
      <c r="K1227" s="15">
        <f t="shared" si="200"/>
        <v>4.3850537180034601E-5</v>
      </c>
      <c r="L1227" s="15">
        <f t="shared" si="201"/>
        <v>3.20925948412976E-3</v>
      </c>
      <c r="M1227" s="15">
        <f t="shared" si="202"/>
        <v>0.124179141823171</v>
      </c>
      <c r="N1227" s="15">
        <f t="shared" si="203"/>
        <v>0.26068650058759402</v>
      </c>
      <c r="O1227" s="17">
        <v>9.3057184999999993</v>
      </c>
      <c r="P1227" s="17">
        <v>-6.0127639000000004</v>
      </c>
      <c r="Q1227" s="17">
        <v>6.1053807000000004</v>
      </c>
      <c r="R1227" s="17">
        <v>-9.0255721999999992</v>
      </c>
      <c r="S1227" s="17">
        <f t="shared" si="204"/>
        <v>0.98351748957548202</v>
      </c>
      <c r="T1227" s="17">
        <f t="shared" si="205"/>
        <v>-23.055497256450163</v>
      </c>
    </row>
    <row r="1228" spans="1:20" x14ac:dyDescent="0.35">
      <c r="A1228" s="16">
        <v>4.5875000000000004</v>
      </c>
      <c r="B1228" s="16">
        <v>15.3904</v>
      </c>
      <c r="C1228" s="16">
        <v>-7.6389460000000006E-2</v>
      </c>
      <c r="D1228" s="16">
        <v>-0.11247377</v>
      </c>
      <c r="E1228" s="16">
        <v>0.92349932999999995</v>
      </c>
      <c r="F1228" s="16">
        <v>-0.1189525</v>
      </c>
      <c r="G1228" s="16">
        <f t="shared" si="196"/>
        <v>1.4873247010064601</v>
      </c>
      <c r="H1228" s="16">
        <f t="shared" si="197"/>
        <v>-3.0065136595773598</v>
      </c>
      <c r="I1228" s="16">
        <f t="shared" si="198"/>
        <v>1.4872795880405001</v>
      </c>
      <c r="J1228" s="16">
        <f t="shared" si="199"/>
        <v>-3.0097533508577601</v>
      </c>
      <c r="K1228" s="15">
        <f t="shared" si="200"/>
        <v>4.51129659599925E-5</v>
      </c>
      <c r="L1228" s="15">
        <f t="shared" si="201"/>
        <v>3.2396912804002502E-3</v>
      </c>
      <c r="M1228" s="15">
        <f t="shared" si="202"/>
        <v>0.13196080974107399</v>
      </c>
      <c r="N1228" s="15">
        <f t="shared" si="203"/>
        <v>0.26704426826927302</v>
      </c>
      <c r="O1228" s="16">
        <v>9.4408069999999995</v>
      </c>
      <c r="P1228" s="16">
        <v>-6.3294940000000004</v>
      </c>
      <c r="Q1228" s="16">
        <v>6.1087151999999998</v>
      </c>
      <c r="R1228" s="16">
        <v>-9.3707238000000004</v>
      </c>
      <c r="S1228" s="16">
        <f t="shared" si="204"/>
        <v>0.98414388190200741</v>
      </c>
      <c r="T1228" s="16">
        <f t="shared" si="205"/>
        <v>-23.060447687240011</v>
      </c>
    </row>
    <row r="1229" spans="1:20" x14ac:dyDescent="0.35">
      <c r="A1229" s="17">
        <v>4.5875000000000004</v>
      </c>
      <c r="B1229" s="17">
        <v>15.4392</v>
      </c>
      <c r="C1229" s="17">
        <v>-8.0565465000000003E-2</v>
      </c>
      <c r="D1229" s="17">
        <v>-0.11422709</v>
      </c>
      <c r="E1229" s="17">
        <v>0.91932046999999995</v>
      </c>
      <c r="F1229" s="17">
        <v>-0.12076729999999999</v>
      </c>
      <c r="G1229" s="17">
        <f t="shared" si="196"/>
        <v>1.4852534787171301</v>
      </c>
      <c r="H1229" s="17">
        <f t="shared" si="197"/>
        <v>-2.8915893734632201</v>
      </c>
      <c r="I1229" s="17">
        <f t="shared" si="198"/>
        <v>1.48520713826642</v>
      </c>
      <c r="J1229" s="17">
        <f t="shared" si="199"/>
        <v>-2.89485981652291</v>
      </c>
      <c r="K1229" s="15">
        <f t="shared" si="200"/>
        <v>4.63404507100584E-5</v>
      </c>
      <c r="L1229" s="15">
        <f t="shared" si="201"/>
        <v>3.2704430596899301E-3</v>
      </c>
      <c r="M1229" s="15">
        <f t="shared" si="202"/>
        <v>0.140298471391023</v>
      </c>
      <c r="N1229" s="15">
        <f t="shared" si="203"/>
        <v>0.27345977317583198</v>
      </c>
      <c r="O1229" s="17">
        <v>9.5627551000000004</v>
      </c>
      <c r="P1229" s="17">
        <v>-6.6581250000000001</v>
      </c>
      <c r="Q1229" s="17">
        <v>6.0994614</v>
      </c>
      <c r="R1229" s="17">
        <v>-9.7281752000000008</v>
      </c>
      <c r="S1229" s="17">
        <f t="shared" si="204"/>
        <v>0.9853987000380543</v>
      </c>
      <c r="T1229" s="17">
        <f t="shared" si="205"/>
        <v>-23.064935239229342</v>
      </c>
    </row>
    <row r="1230" spans="1:20" x14ac:dyDescent="0.35">
      <c r="A1230" s="16">
        <v>4.5875000000000004</v>
      </c>
      <c r="B1230" s="16">
        <v>15.488</v>
      </c>
      <c r="C1230" s="16">
        <v>-8.4964898999999997E-2</v>
      </c>
      <c r="D1230" s="16">
        <v>-0.11589352999999999</v>
      </c>
      <c r="E1230" s="16">
        <v>0.91491820999999995</v>
      </c>
      <c r="F1230" s="16">
        <v>-0.12249587000000001</v>
      </c>
      <c r="G1230" s="16">
        <f t="shared" si="196"/>
        <v>1.4831823320148401</v>
      </c>
      <c r="H1230" s="16">
        <f t="shared" si="197"/>
        <v>-2.7785502622571299</v>
      </c>
      <c r="I1230" s="16">
        <f t="shared" si="198"/>
        <v>1.48313478261433</v>
      </c>
      <c r="J1230" s="16">
        <f t="shared" si="199"/>
        <v>-2.7818517821847699</v>
      </c>
      <c r="K1230" s="15">
        <f t="shared" si="200"/>
        <v>4.7549400510105097E-5</v>
      </c>
      <c r="L1230" s="15">
        <f t="shared" si="201"/>
        <v>3.30151992764005E-3</v>
      </c>
      <c r="M1230" s="15">
        <f t="shared" si="202"/>
        <v>0.14923293037972901</v>
      </c>
      <c r="N1230" s="15">
        <f t="shared" si="203"/>
        <v>0.27990975480038799</v>
      </c>
      <c r="O1230" s="16">
        <v>9.6704896999999992</v>
      </c>
      <c r="P1230" s="16">
        <v>-6.9987995999999999</v>
      </c>
      <c r="Q1230" s="16">
        <v>6.0768218999999997</v>
      </c>
      <c r="R1230" s="16">
        <v>-10.098992000000001</v>
      </c>
      <c r="S1230" s="16">
        <f t="shared" si="204"/>
        <v>0.98734404089821182</v>
      </c>
      <c r="T1230" s="16">
        <f t="shared" si="205"/>
        <v>-23.069306594989886</v>
      </c>
    </row>
    <row r="1231" spans="1:20" x14ac:dyDescent="0.35">
      <c r="A1231" s="17">
        <v>4.5875000000000004</v>
      </c>
      <c r="B1231" s="17">
        <v>15.536799999999999</v>
      </c>
      <c r="C1231" s="17">
        <v>-8.9594646E-2</v>
      </c>
      <c r="D1231" s="17">
        <v>-0.11745518000000001</v>
      </c>
      <c r="E1231" s="17">
        <v>0.91028566</v>
      </c>
      <c r="F1231" s="17">
        <v>-0.1241203</v>
      </c>
      <c r="G1231" s="17">
        <f t="shared" si="196"/>
        <v>1.48111092582459</v>
      </c>
      <c r="H1231" s="17">
        <f t="shared" si="197"/>
        <v>-2.6673684044404302</v>
      </c>
      <c r="I1231" s="17">
        <f t="shared" si="198"/>
        <v>1.4810621830696999</v>
      </c>
      <c r="J1231" s="17">
        <f t="shared" si="199"/>
        <v>-2.6707013263439499</v>
      </c>
      <c r="K1231" s="15">
        <f t="shared" si="200"/>
        <v>4.87427548900854E-5</v>
      </c>
      <c r="L1231" s="15">
        <f t="shared" si="201"/>
        <v>3.3329219035196402E-3</v>
      </c>
      <c r="M1231" s="15">
        <f t="shared" si="202"/>
        <v>0.15880676478148001</v>
      </c>
      <c r="N1231" s="15">
        <f t="shared" si="203"/>
        <v>0.28636571926725901</v>
      </c>
      <c r="O1231" s="17">
        <v>9.7756795000000007</v>
      </c>
      <c r="P1231" s="17">
        <v>-7.3612418000000002</v>
      </c>
      <c r="Q1231" s="17">
        <v>6.0394743999999996</v>
      </c>
      <c r="R1231" s="17">
        <v>-10.483957</v>
      </c>
      <c r="S1231" s="17">
        <f t="shared" si="204"/>
        <v>0.98870703613172473</v>
      </c>
      <c r="T1231" s="17">
        <f t="shared" si="205"/>
        <v>-23.074795310879228</v>
      </c>
    </row>
    <row r="1232" spans="1:20" x14ac:dyDescent="0.35">
      <c r="A1232" s="16">
        <v>4.5875000000000004</v>
      </c>
      <c r="B1232" s="16">
        <v>15.585599999999999</v>
      </c>
      <c r="C1232" s="16">
        <v>-9.4460483999999997E-2</v>
      </c>
      <c r="D1232" s="16">
        <v>-0.11889223</v>
      </c>
      <c r="E1232" s="16">
        <v>0.90541702999999996</v>
      </c>
      <c r="F1232" s="16">
        <v>-0.12562079000000001</v>
      </c>
      <c r="G1232" s="16">
        <f t="shared" si="196"/>
        <v>1.4790393055034301</v>
      </c>
      <c r="H1232" s="16">
        <f t="shared" si="197"/>
        <v>-2.5580189650368799</v>
      </c>
      <c r="I1232" s="16">
        <f t="shared" si="198"/>
        <v>1.47898937908404</v>
      </c>
      <c r="J1232" s="16">
        <f t="shared" si="199"/>
        <v>-2.5613836190648298</v>
      </c>
      <c r="K1232" s="15">
        <f t="shared" si="200"/>
        <v>4.9926419390056201E-5</v>
      </c>
      <c r="L1232" s="15">
        <f t="shared" si="201"/>
        <v>3.36465402794994E-3</v>
      </c>
      <c r="M1232" s="15">
        <f t="shared" si="202"/>
        <v>0.16906415316746601</v>
      </c>
      <c r="N1232" s="15">
        <f t="shared" si="203"/>
        <v>0.29279328074850902</v>
      </c>
      <c r="O1232" s="16">
        <v>9.8782333999999992</v>
      </c>
      <c r="P1232" s="16">
        <v>-7.7475186000000003</v>
      </c>
      <c r="Q1232" s="16">
        <v>5.9848625000000002</v>
      </c>
      <c r="R1232" s="16">
        <v>-10.880399000000001</v>
      </c>
      <c r="S1232" s="16">
        <f t="shared" si="204"/>
        <v>0.98914860579981934</v>
      </c>
      <c r="T1232" s="16">
        <f t="shared" si="205"/>
        <v>-23.079444174652405</v>
      </c>
    </row>
    <row r="1233" spans="1:20" x14ac:dyDescent="0.35">
      <c r="A1233" s="17">
        <v>4.5875000000000004</v>
      </c>
      <c r="B1233" s="17">
        <v>15.634399999999999</v>
      </c>
      <c r="C1233" s="17">
        <v>-9.9566795E-2</v>
      </c>
      <c r="D1233" s="17">
        <v>-0.12018296000000001</v>
      </c>
      <c r="E1233" s="17">
        <v>0.90030794000000003</v>
      </c>
      <c r="F1233" s="17">
        <v>-0.12697563000000001</v>
      </c>
      <c r="G1233" s="17">
        <f t="shared" si="196"/>
        <v>1.4769673975436901</v>
      </c>
      <c r="H1233" s="17">
        <f t="shared" si="197"/>
        <v>-2.4504795344714601</v>
      </c>
      <c r="I1233" s="17">
        <f t="shared" si="198"/>
        <v>1.47691629824663</v>
      </c>
      <c r="J1233" s="17">
        <f t="shared" si="199"/>
        <v>-2.4538762557669398</v>
      </c>
      <c r="K1233" s="15">
        <f t="shared" si="200"/>
        <v>5.1099297060153101E-5</v>
      </c>
      <c r="L1233" s="15">
        <f t="shared" si="201"/>
        <v>3.3967212954797402E-3</v>
      </c>
      <c r="M1233" s="15">
        <f t="shared" si="202"/>
        <v>0.180050473157194</v>
      </c>
      <c r="N1233" s="15">
        <f t="shared" si="203"/>
        <v>0.29915140177176203</v>
      </c>
      <c r="O1233" s="17">
        <v>9.9606831000000007</v>
      </c>
      <c r="P1233" s="17">
        <v>-8.1457756999999997</v>
      </c>
      <c r="Q1233" s="17">
        <v>5.9119845</v>
      </c>
      <c r="R1233" s="17">
        <v>-11.288931</v>
      </c>
      <c r="S1233" s="17">
        <f t="shared" si="204"/>
        <v>0.99035827969540646</v>
      </c>
      <c r="T1233" s="17">
        <f t="shared" si="205"/>
        <v>-23.083007598469646</v>
      </c>
    </row>
    <row r="1234" spans="1:20" x14ac:dyDescent="0.35">
      <c r="A1234" s="16">
        <v>4.5875000000000004</v>
      </c>
      <c r="B1234" s="16">
        <v>15.683199999999999</v>
      </c>
      <c r="C1234" s="16">
        <v>-0.10491623</v>
      </c>
      <c r="D1234" s="16">
        <v>-0.12130373</v>
      </c>
      <c r="E1234" s="16">
        <v>0.89495572999999995</v>
      </c>
      <c r="F1234" s="16">
        <v>-0.12816121</v>
      </c>
      <c r="G1234" s="16">
        <f t="shared" si="196"/>
        <v>1.4748950944403001</v>
      </c>
      <c r="H1234" s="16">
        <f t="shared" si="197"/>
        <v>-2.3447294856236001</v>
      </c>
      <c r="I1234" s="16">
        <f t="shared" si="198"/>
        <v>1.47484282871941</v>
      </c>
      <c r="J1234" s="16">
        <f t="shared" si="199"/>
        <v>-2.34815862436262</v>
      </c>
      <c r="K1234" s="15">
        <f t="shared" si="200"/>
        <v>5.22657208901212E-5</v>
      </c>
      <c r="L1234" s="15">
        <f t="shared" si="201"/>
        <v>3.4291387390199498E-3</v>
      </c>
      <c r="M1234" s="15">
        <f t="shared" si="202"/>
        <v>0.19181179010209001</v>
      </c>
      <c r="N1234" s="15">
        <f t="shared" si="203"/>
        <v>0.30539153082077197</v>
      </c>
      <c r="O1234" s="16">
        <v>10.02154</v>
      </c>
      <c r="P1234" s="16">
        <v>-8.5556169000000004</v>
      </c>
      <c r="Q1234" s="16">
        <v>5.8191649999999999</v>
      </c>
      <c r="R1234" s="16">
        <v>-11.71058</v>
      </c>
      <c r="S1234" s="16">
        <f t="shared" si="204"/>
        <v>0.99239902936436286</v>
      </c>
      <c r="T1234" s="16">
        <f t="shared" si="205"/>
        <v>-23.088380420052445</v>
      </c>
    </row>
    <row r="1235" spans="1:20" x14ac:dyDescent="0.35">
      <c r="A1235" s="17">
        <v>4.5875000000000004</v>
      </c>
      <c r="B1235" s="17">
        <v>15.731999999999999</v>
      </c>
      <c r="C1235" s="17">
        <v>-0.1105092</v>
      </c>
      <c r="D1235" s="17">
        <v>-0.12222889000000001</v>
      </c>
      <c r="E1235" s="17">
        <v>0.88936009999999999</v>
      </c>
      <c r="F1235" s="17">
        <v>-0.12915172999999999</v>
      </c>
      <c r="G1235" s="17">
        <f t="shared" si="196"/>
        <v>1.4728259318600401</v>
      </c>
      <c r="H1235" s="17">
        <f t="shared" si="197"/>
        <v>-2.24075389558271</v>
      </c>
      <c r="I1235" s="17">
        <f t="shared" si="198"/>
        <v>1.4727725612232201</v>
      </c>
      <c r="J1235" s="17">
        <f t="shared" si="199"/>
        <v>-2.2442157265515501</v>
      </c>
      <c r="K1235" s="15">
        <f t="shared" si="200"/>
        <v>5.3370636819982698E-5</v>
      </c>
      <c r="L1235" s="15">
        <f t="shared" si="201"/>
        <v>3.4618309688401201E-3</v>
      </c>
      <c r="M1235" s="15">
        <f t="shared" si="202"/>
        <v>0.20439381506632301</v>
      </c>
      <c r="N1235" s="15">
        <f t="shared" si="203"/>
        <v>0.31145597511725198</v>
      </c>
      <c r="O1235" s="17">
        <v>10.081947</v>
      </c>
      <c r="P1235" s="17">
        <v>-8.9967082000000005</v>
      </c>
      <c r="Q1235" s="17">
        <v>5.7038992999999998</v>
      </c>
      <c r="R1235" s="17">
        <v>-12.14195</v>
      </c>
      <c r="S1235" s="17">
        <f t="shared" si="204"/>
        <v>0.99278560813234018</v>
      </c>
      <c r="T1235" s="17">
        <f t="shared" si="205"/>
        <v>-23.092975535257441</v>
      </c>
    </row>
    <row r="1236" spans="1:20" x14ac:dyDescent="0.35">
      <c r="A1236" s="16">
        <v>4.5875000000000004</v>
      </c>
      <c r="B1236" s="16">
        <v>15.780799999999999</v>
      </c>
      <c r="C1236" s="16">
        <v>-0.11634683</v>
      </c>
      <c r="D1236" s="16">
        <v>-0.12293149</v>
      </c>
      <c r="E1236" s="16">
        <v>0.88351985</v>
      </c>
      <c r="F1236" s="16">
        <v>-0.12992076999999999</v>
      </c>
      <c r="G1236" s="16">
        <f t="shared" si="196"/>
        <v>1.4707545152696699</v>
      </c>
      <c r="H1236" s="16">
        <f t="shared" si="197"/>
        <v>-2.13848058640566</v>
      </c>
      <c r="I1236" s="16">
        <f t="shared" si="198"/>
        <v>1.4707000656279401</v>
      </c>
      <c r="J1236" s="16">
        <f t="shared" si="199"/>
        <v>-2.1419756496684799</v>
      </c>
      <c r="K1236" s="15">
        <f t="shared" si="200"/>
        <v>5.4449641729847897E-5</v>
      </c>
      <c r="L1236" s="15">
        <f t="shared" si="201"/>
        <v>3.4950632628199E-3</v>
      </c>
      <c r="M1236" s="15">
        <f t="shared" si="202"/>
        <v>0.21784862456576601</v>
      </c>
      <c r="N1236" s="15">
        <f t="shared" si="203"/>
        <v>0.31728185783034302</v>
      </c>
      <c r="O1236" s="16">
        <v>10.116035999999999</v>
      </c>
      <c r="P1236" s="16">
        <v>-9.4487003999999999</v>
      </c>
      <c r="Q1236" s="16">
        <v>5.5648808000000001</v>
      </c>
      <c r="R1236" s="16">
        <v>-12.583242</v>
      </c>
      <c r="S1236" s="16">
        <f t="shared" si="204"/>
        <v>0.99396377538438274</v>
      </c>
      <c r="T1236" s="16">
        <f t="shared" si="205"/>
        <v>-23.096360566842122</v>
      </c>
    </row>
    <row r="1237" spans="1:20" x14ac:dyDescent="0.35">
      <c r="A1237" s="17">
        <v>4.5875000000000004</v>
      </c>
      <c r="B1237" s="17">
        <v>15.829599999999999</v>
      </c>
      <c r="C1237" s="17">
        <v>-0.12241834</v>
      </c>
      <c r="D1237" s="17">
        <v>-0.12337766999999999</v>
      </c>
      <c r="E1237" s="17">
        <v>0.87750481999999996</v>
      </c>
      <c r="F1237" s="17">
        <v>-0.13036415000000001</v>
      </c>
      <c r="G1237" s="17">
        <f t="shared" si="196"/>
        <v>1.4692850997820801</v>
      </c>
      <c r="H1237" s="17">
        <f t="shared" si="197"/>
        <v>-2.0385108203786202</v>
      </c>
      <c r="I1237" s="17">
        <f t="shared" si="198"/>
        <v>1.46925888228929</v>
      </c>
      <c r="J1237" s="17">
        <f t="shared" si="199"/>
        <v>-2.0420042861815699</v>
      </c>
      <c r="K1237" s="15">
        <f t="shared" si="200"/>
        <v>2.6217492790081599E-5</v>
      </c>
      <c r="L1237" s="15">
        <f t="shared" si="201"/>
        <v>3.49346580294974E-3</v>
      </c>
      <c r="M1237" s="15">
        <f t="shared" si="202"/>
        <v>0.23216530722866199</v>
      </c>
      <c r="N1237" s="15">
        <f t="shared" si="203"/>
        <v>0.32266781448678999</v>
      </c>
      <c r="O1237" s="17">
        <v>10.121724</v>
      </c>
      <c r="P1237" s="17">
        <v>-9.9098617999999998</v>
      </c>
      <c r="Q1237" s="17">
        <v>5.4005153000000004</v>
      </c>
      <c r="R1237" s="17">
        <v>-13.032989000000001</v>
      </c>
      <c r="S1237" s="17">
        <f t="shared" si="204"/>
        <v>0.99592928752543608</v>
      </c>
      <c r="T1237" s="17">
        <f t="shared" si="205"/>
        <v>-23.09817696662514</v>
      </c>
    </row>
    <row r="1238" spans="1:20" x14ac:dyDescent="0.35">
      <c r="A1238" s="16">
        <v>4.5875000000000004</v>
      </c>
      <c r="B1238" s="16">
        <v>15.878399999999999</v>
      </c>
      <c r="C1238" s="16">
        <v>-0.12871993000000001</v>
      </c>
      <c r="D1238" s="16">
        <v>-0.12354497</v>
      </c>
      <c r="E1238" s="16">
        <v>0.87120235000000001</v>
      </c>
      <c r="F1238" s="16">
        <v>-0.13059895999999999</v>
      </c>
      <c r="G1238" s="16">
        <f t="shared" si="196"/>
        <v>1.46723126419646</v>
      </c>
      <c r="H1238" s="16">
        <f t="shared" si="197"/>
        <v>-1.9396825884222</v>
      </c>
      <c r="I1238" s="16">
        <f t="shared" si="198"/>
        <v>1.46720484367559</v>
      </c>
      <c r="J1238" s="16">
        <f t="shared" si="199"/>
        <v>-1.9432098136752201</v>
      </c>
      <c r="K1238" s="15">
        <f t="shared" si="200"/>
        <v>2.6420520869985301E-5</v>
      </c>
      <c r="L1238" s="15">
        <f t="shared" si="201"/>
        <v>3.5272252530200699E-3</v>
      </c>
      <c r="M1238" s="15">
        <f t="shared" si="202"/>
        <v>0.24747269602574101</v>
      </c>
      <c r="N1238" s="15">
        <f t="shared" si="203"/>
        <v>0.32776021262932298</v>
      </c>
      <c r="O1238" s="16">
        <v>10.120461000000001</v>
      </c>
      <c r="P1238" s="16">
        <v>-10.402858999999999</v>
      </c>
      <c r="Q1238" s="16">
        <v>5.2078065999999996</v>
      </c>
      <c r="R1238" s="16">
        <v>-13.489542</v>
      </c>
      <c r="S1238" s="16">
        <f t="shared" si="204"/>
        <v>0.99630396148224032</v>
      </c>
      <c r="T1238" s="16">
        <f t="shared" si="205"/>
        <v>-23.101961950517886</v>
      </c>
    </row>
    <row r="1239" spans="1:20" x14ac:dyDescent="0.35">
      <c r="A1239" s="17">
        <v>4.5875000000000004</v>
      </c>
      <c r="B1239" s="17">
        <v>15.927199999999999</v>
      </c>
      <c r="C1239" s="17">
        <v>-0.13524088000000001</v>
      </c>
      <c r="D1239" s="17">
        <v>-0.12340027000000001</v>
      </c>
      <c r="E1239" s="17">
        <v>0.86467954000000002</v>
      </c>
      <c r="F1239" s="17">
        <v>-0.13052111999999999</v>
      </c>
      <c r="G1239" s="17">
        <f t="shared" si="196"/>
        <v>1.46516681766632</v>
      </c>
      <c r="H1239" s="17">
        <f t="shared" si="197"/>
        <v>-1.8425128980226899</v>
      </c>
      <c r="I1239" s="17">
        <f t="shared" si="198"/>
        <v>1.4651397040617899</v>
      </c>
      <c r="J1239" s="17">
        <f t="shared" si="199"/>
        <v>-1.8460735612374299</v>
      </c>
      <c r="K1239" s="15">
        <f t="shared" si="200"/>
        <v>2.7113604530004699E-5</v>
      </c>
      <c r="L1239" s="15">
        <f t="shared" si="201"/>
        <v>3.56066321474002E-3</v>
      </c>
      <c r="M1239" s="15">
        <f t="shared" si="202"/>
        <v>0.26376947312111299</v>
      </c>
      <c r="N1239" s="15">
        <f t="shared" si="203"/>
        <v>0.33234909219952202</v>
      </c>
      <c r="O1239" s="17">
        <v>10.081225</v>
      </c>
      <c r="P1239" s="17">
        <v>-10.898187</v>
      </c>
      <c r="Q1239" s="17">
        <v>4.9856319999999998</v>
      </c>
      <c r="R1239" s="17">
        <v>-13.952158000000001</v>
      </c>
      <c r="S1239" s="17">
        <f t="shared" si="204"/>
        <v>0.99799633254852993</v>
      </c>
      <c r="T1239" s="17">
        <f t="shared" si="205"/>
        <v>-23.106240310515961</v>
      </c>
    </row>
    <row r="1240" spans="1:20" x14ac:dyDescent="0.35">
      <c r="A1240" s="16">
        <v>4.5875000000000004</v>
      </c>
      <c r="B1240" s="16">
        <v>15.976000000000001</v>
      </c>
      <c r="C1240" s="16">
        <v>-0.14199127</v>
      </c>
      <c r="D1240" s="16">
        <v>-0.12290261</v>
      </c>
      <c r="E1240" s="16">
        <v>0.85793637</v>
      </c>
      <c r="F1240" s="16">
        <v>-0.13009833000000001</v>
      </c>
      <c r="G1240" s="16">
        <f t="shared" si="196"/>
        <v>1.46311772093742</v>
      </c>
      <c r="H1240" s="16">
        <f t="shared" si="197"/>
        <v>-1.7466928547473199</v>
      </c>
      <c r="I1240" s="16">
        <f t="shared" si="198"/>
        <v>1.4630944854624699</v>
      </c>
      <c r="J1240" s="16">
        <f t="shared" si="199"/>
        <v>-1.7502909285236099</v>
      </c>
      <c r="K1240" s="15">
        <f t="shared" si="200"/>
        <v>2.32354749500896E-5</v>
      </c>
      <c r="L1240" s="15">
        <f t="shared" si="201"/>
        <v>3.5980737762899601E-3</v>
      </c>
      <c r="M1240" s="15">
        <f t="shared" si="202"/>
        <v>0.28113920688890398</v>
      </c>
      <c r="N1240" s="15">
        <f t="shared" si="203"/>
        <v>0.33632510296450902</v>
      </c>
      <c r="O1240" s="16">
        <v>10.024661</v>
      </c>
      <c r="P1240" s="16">
        <v>-11.420681</v>
      </c>
      <c r="Q1240" s="16">
        <v>4.7309324999999998</v>
      </c>
      <c r="R1240" s="16">
        <v>-14.418544000000001</v>
      </c>
      <c r="S1240" s="16">
        <f t="shared" si="204"/>
        <v>0.99859239013924672</v>
      </c>
      <c r="T1240" s="16">
        <f t="shared" si="205"/>
        <v>-23.110081185610245</v>
      </c>
    </row>
    <row r="1241" spans="1:20" x14ac:dyDescent="0.35">
      <c r="A1241" s="17">
        <v>4.5875000000000004</v>
      </c>
      <c r="B1241" s="17">
        <v>16.024799999999999</v>
      </c>
      <c r="C1241" s="17">
        <v>-0.14889975999999999</v>
      </c>
      <c r="D1241" s="17">
        <v>-0.12203057</v>
      </c>
      <c r="E1241" s="17">
        <v>0.85102920000000004</v>
      </c>
      <c r="F1241" s="17">
        <v>-0.12929804</v>
      </c>
      <c r="G1241" s="17">
        <f t="shared" si="196"/>
        <v>1.4610671398608901</v>
      </c>
      <c r="H1241" s="17">
        <f t="shared" si="197"/>
        <v>-1.65282615177645</v>
      </c>
      <c r="I1241" s="17">
        <f t="shared" si="198"/>
        <v>1.46104482386197</v>
      </c>
      <c r="J1241" s="17">
        <f t="shared" si="199"/>
        <v>-1.6564600969446099</v>
      </c>
      <c r="K1241" s="15">
        <f t="shared" si="200"/>
        <v>2.2315998920108301E-5</v>
      </c>
      <c r="L1241" s="15">
        <f t="shared" si="201"/>
        <v>3.6339451681599599E-3</v>
      </c>
      <c r="M1241" s="15">
        <f t="shared" si="202"/>
        <v>0.29948574787688798</v>
      </c>
      <c r="N1241" s="15">
        <f t="shared" si="203"/>
        <v>0.33954207486282101</v>
      </c>
      <c r="O1241" s="17">
        <v>9.9296609</v>
      </c>
      <c r="P1241" s="17">
        <v>-11.944013</v>
      </c>
      <c r="Q1241" s="17">
        <v>4.4439900000000003</v>
      </c>
      <c r="R1241" s="17">
        <v>-14.88396</v>
      </c>
      <c r="S1241" s="17">
        <f t="shared" si="204"/>
        <v>1.00004911697149</v>
      </c>
      <c r="T1241" s="17">
        <f t="shared" si="205"/>
        <v>-23.114106545043523</v>
      </c>
    </row>
    <row r="1242" spans="1:20" x14ac:dyDescent="0.35">
      <c r="A1242" s="16">
        <v>4.5875000000000004</v>
      </c>
      <c r="B1242" s="16">
        <v>16.073599999999999</v>
      </c>
      <c r="C1242" s="16">
        <v>-0.15595676</v>
      </c>
      <c r="D1242" s="16">
        <v>-0.12075230000000001</v>
      </c>
      <c r="E1242" s="16">
        <v>0.84397233000000005</v>
      </c>
      <c r="F1242" s="16">
        <v>-0.12809068000000001</v>
      </c>
      <c r="G1242" s="16">
        <f t="shared" si="196"/>
        <v>1.4590093956458601</v>
      </c>
      <c r="H1242" s="16">
        <f t="shared" si="197"/>
        <v>-1.56068878699988</v>
      </c>
      <c r="I1242" s="16">
        <f t="shared" si="198"/>
        <v>1.45898740359482</v>
      </c>
      <c r="J1242" s="16">
        <f t="shared" si="199"/>
        <v>-1.5643581877914901</v>
      </c>
      <c r="K1242" s="15">
        <f t="shared" si="200"/>
        <v>2.1992051040031799E-5</v>
      </c>
      <c r="L1242" s="15">
        <f t="shared" si="201"/>
        <v>3.6694007916100399E-3</v>
      </c>
      <c r="M1242" s="15">
        <f t="shared" si="202"/>
        <v>0.31884436013373801</v>
      </c>
      <c r="N1242" s="15">
        <f t="shared" si="203"/>
        <v>0.341871892915172</v>
      </c>
      <c r="O1242" s="16">
        <v>9.8075299000000005</v>
      </c>
      <c r="P1242" s="16">
        <v>-12.482670000000001</v>
      </c>
      <c r="Q1242" s="16">
        <v>4.1232882000000002</v>
      </c>
      <c r="R1242" s="16">
        <v>-15.34689</v>
      </c>
      <c r="S1242" s="16">
        <f t="shared" si="204"/>
        <v>1.0010388164391866</v>
      </c>
      <c r="T1242" s="16">
        <f t="shared" si="205"/>
        <v>-23.117763097288915</v>
      </c>
    </row>
    <row r="1243" spans="1:20" x14ac:dyDescent="0.35">
      <c r="A1243" s="17">
        <v>4.5875000000000004</v>
      </c>
      <c r="B1243" s="17">
        <v>16.122399999999999</v>
      </c>
      <c r="C1243" s="17">
        <v>-0.16313562000000001</v>
      </c>
      <c r="D1243" s="17">
        <v>-0.11903660000000001</v>
      </c>
      <c r="E1243" s="17">
        <v>0.83679477000000002</v>
      </c>
      <c r="F1243" s="17">
        <v>-0.12644701</v>
      </c>
      <c r="G1243" s="17">
        <f t="shared" si="196"/>
        <v>1.45695325530603</v>
      </c>
      <c r="H1243" s="17">
        <f t="shared" si="197"/>
        <v>-1.47021970769257</v>
      </c>
      <c r="I1243" s="17">
        <f t="shared" si="198"/>
        <v>1.4569321788837499</v>
      </c>
      <c r="J1243" s="17">
        <f t="shared" si="199"/>
        <v>-1.4739251197519001</v>
      </c>
      <c r="K1243" s="15">
        <f t="shared" si="200"/>
        <v>2.1076422280108501E-5</v>
      </c>
      <c r="L1243" s="15">
        <f t="shared" si="201"/>
        <v>3.7054120593300599E-3</v>
      </c>
      <c r="M1243" s="15">
        <f t="shared" si="202"/>
        <v>0.33920745246663397</v>
      </c>
      <c r="N1243" s="15">
        <f t="shared" si="203"/>
        <v>0.34316380147542302</v>
      </c>
      <c r="O1243" s="17">
        <v>9.6520092999999996</v>
      </c>
      <c r="P1243" s="17">
        <v>-13.029945</v>
      </c>
      <c r="Q1243" s="17">
        <v>3.767344</v>
      </c>
      <c r="R1243" s="17">
        <v>-15.803571</v>
      </c>
      <c r="S1243" s="17">
        <f t="shared" si="204"/>
        <v>1.0019092295028298</v>
      </c>
      <c r="T1243" s="17">
        <f t="shared" si="205"/>
        <v>-23.121176524766245</v>
      </c>
    </row>
    <row r="1244" spans="1:20" x14ac:dyDescent="0.35">
      <c r="A1244" s="16">
        <v>4.5875000000000004</v>
      </c>
      <c r="B1244" s="16">
        <v>16.171199999999999</v>
      </c>
      <c r="C1244" s="16">
        <v>-0.17039786000000001</v>
      </c>
      <c r="D1244" s="16">
        <v>-0.11685769</v>
      </c>
      <c r="E1244" s="16">
        <v>0.82953252</v>
      </c>
      <c r="F1244" s="16">
        <v>-0.12434068</v>
      </c>
      <c r="G1244" s="16">
        <f t="shared" si="196"/>
        <v>1.4548964790683501</v>
      </c>
      <c r="H1244" s="16">
        <f t="shared" si="197"/>
        <v>-1.38141832199481</v>
      </c>
      <c r="I1244" s="16">
        <f t="shared" si="198"/>
        <v>1.45487566790741</v>
      </c>
      <c r="J1244" s="16">
        <f t="shared" si="199"/>
        <v>-1.38516002510836</v>
      </c>
      <c r="K1244" s="15">
        <f t="shared" si="200"/>
        <v>2.0811160940104001E-5</v>
      </c>
      <c r="L1244" s="15">
        <f t="shared" si="201"/>
        <v>3.7417031135500399E-3</v>
      </c>
      <c r="M1244" s="15">
        <f t="shared" si="202"/>
        <v>0.360534361646213</v>
      </c>
      <c r="N1244" s="15">
        <f t="shared" si="203"/>
        <v>0.34325805046185898</v>
      </c>
      <c r="O1244" s="16">
        <v>9.4582840000000008</v>
      </c>
      <c r="P1244" s="16">
        <v>-13.578870999999999</v>
      </c>
      <c r="Q1244" s="16">
        <v>3.3754423999999998</v>
      </c>
      <c r="R1244" s="16">
        <v>-16.251021000000001</v>
      </c>
      <c r="S1244" s="16">
        <f t="shared" si="204"/>
        <v>1.0029979743258586</v>
      </c>
      <c r="T1244" s="16">
        <f t="shared" si="205"/>
        <v>-23.125054350261653</v>
      </c>
    </row>
    <row r="1245" spans="1:20" x14ac:dyDescent="0.35">
      <c r="A1245" s="17">
        <v>4.5875000000000004</v>
      </c>
      <c r="B1245" s="17">
        <v>16.22</v>
      </c>
      <c r="C1245" s="17">
        <v>-0.17771782</v>
      </c>
      <c r="D1245" s="17">
        <v>-0.11419126</v>
      </c>
      <c r="E1245" s="17">
        <v>0.82226555000000001</v>
      </c>
      <c r="F1245" s="17">
        <v>-0.12181345</v>
      </c>
      <c r="G1245" s="17">
        <f t="shared" si="196"/>
        <v>1.45255351237192</v>
      </c>
      <c r="H1245" s="17">
        <f t="shared" si="197"/>
        <v>-1.29450636389263</v>
      </c>
      <c r="I1245" s="17">
        <f t="shared" si="198"/>
        <v>1.4525597218992301</v>
      </c>
      <c r="J1245" s="17">
        <f t="shared" si="199"/>
        <v>-1.29831746691686</v>
      </c>
      <c r="K1245" s="15">
        <f t="shared" si="200"/>
        <v>-6.2095273101192603E-6</v>
      </c>
      <c r="L1245" s="15">
        <f t="shared" si="201"/>
        <v>3.81110302423004E-3</v>
      </c>
      <c r="M1245" s="15">
        <f t="shared" si="202"/>
        <v>0.38269991540168902</v>
      </c>
      <c r="N1245" s="15">
        <f t="shared" si="203"/>
        <v>0.34206234501942601</v>
      </c>
      <c r="O1245" s="17">
        <v>9.2269798000000005</v>
      </c>
      <c r="P1245" s="17">
        <v>-14.130034999999999</v>
      </c>
      <c r="Q1245" s="17">
        <v>2.9458079000000001</v>
      </c>
      <c r="R1245" s="17">
        <v>-16.687286</v>
      </c>
      <c r="S1245" s="17">
        <f t="shared" si="204"/>
        <v>1.0041142432287868</v>
      </c>
      <c r="T1245" s="17">
        <f t="shared" si="205"/>
        <v>-23.133441609943937</v>
      </c>
    </row>
    <row r="1246" spans="1:20" x14ac:dyDescent="0.35">
      <c r="A1246" s="16">
        <v>4.5875000000000004</v>
      </c>
      <c r="B1246" s="16">
        <v>16.268799999999999</v>
      </c>
      <c r="C1246" s="16">
        <v>-0.18501725999999999</v>
      </c>
      <c r="D1246" s="16">
        <v>-0.11102237</v>
      </c>
      <c r="E1246" s="16">
        <v>0.81497012999999996</v>
      </c>
      <c r="F1246" s="16">
        <v>-0.11872219000000001</v>
      </c>
      <c r="G1246" s="16">
        <f t="shared" si="196"/>
        <v>1.4505129292585299</v>
      </c>
      <c r="H1246" s="16">
        <f t="shared" si="197"/>
        <v>-1.20905785854</v>
      </c>
      <c r="I1246" s="16">
        <f t="shared" si="198"/>
        <v>1.45052144608645</v>
      </c>
      <c r="J1246" s="16">
        <f t="shared" si="199"/>
        <v>-1.2129077600246001</v>
      </c>
      <c r="K1246" s="15">
        <f t="shared" si="200"/>
        <v>-8.5168279200242802E-6</v>
      </c>
      <c r="L1246" s="15">
        <f t="shared" si="201"/>
        <v>3.8499014846000699E-3</v>
      </c>
      <c r="M1246" s="15">
        <f t="shared" si="202"/>
        <v>0.40572236747298102</v>
      </c>
      <c r="N1246" s="15">
        <f t="shared" si="203"/>
        <v>0.33925993252374498</v>
      </c>
      <c r="O1246" s="16">
        <v>8.9568993999999993</v>
      </c>
      <c r="P1246" s="16">
        <v>-14.677317</v>
      </c>
      <c r="Q1246" s="16">
        <v>2.4820715</v>
      </c>
      <c r="R1246" s="16">
        <v>-17.103923000000002</v>
      </c>
      <c r="S1246" s="16">
        <f t="shared" si="204"/>
        <v>1.0051536117974587</v>
      </c>
      <c r="T1246" s="16">
        <f t="shared" si="205"/>
        <v>-23.136861426941554</v>
      </c>
    </row>
    <row r="1247" spans="1:20" x14ac:dyDescent="0.35">
      <c r="A1247" s="17">
        <v>4.5875000000000004</v>
      </c>
      <c r="B1247" s="17">
        <v>16.317599999999999</v>
      </c>
      <c r="C1247" s="17">
        <v>-0.1922605</v>
      </c>
      <c r="D1247" s="17">
        <v>-0.10733721</v>
      </c>
      <c r="E1247" s="17">
        <v>0.80773085</v>
      </c>
      <c r="F1247" s="17">
        <v>-0.11511569000000001</v>
      </c>
      <c r="G1247" s="17">
        <f t="shared" si="196"/>
        <v>1.4484763618527601</v>
      </c>
      <c r="H1247" s="17">
        <f t="shared" si="197"/>
        <v>-1.12526474731487</v>
      </c>
      <c r="I1247" s="17">
        <f t="shared" si="198"/>
        <v>1.4484871629892899</v>
      </c>
      <c r="J1247" s="17">
        <f t="shared" si="199"/>
        <v>-1.12915396212751</v>
      </c>
      <c r="K1247" s="15">
        <f t="shared" si="200"/>
        <v>-1.08011365298477E-5</v>
      </c>
      <c r="L1247" s="15">
        <f t="shared" si="201"/>
        <v>3.88921481263993E-3</v>
      </c>
      <c r="M1247" s="15">
        <f t="shared" si="202"/>
        <v>0.429422655890567</v>
      </c>
      <c r="N1247" s="15">
        <f t="shared" si="203"/>
        <v>0.33475221991300302</v>
      </c>
      <c r="O1247" s="17">
        <v>8.6482838999999991</v>
      </c>
      <c r="P1247" s="17">
        <v>-15.219640999999999</v>
      </c>
      <c r="Q1247" s="17">
        <v>1.9833765000000001</v>
      </c>
      <c r="R1247" s="17">
        <v>-17.500077999999998</v>
      </c>
      <c r="S1247" s="17">
        <f t="shared" si="204"/>
        <v>1.0061103372900211</v>
      </c>
      <c r="T1247" s="17">
        <f t="shared" si="205"/>
        <v>-23.140572215707017</v>
      </c>
    </row>
    <row r="1248" spans="1:20" x14ac:dyDescent="0.35">
      <c r="A1248" s="16">
        <v>4.5875000000000004</v>
      </c>
      <c r="B1248" s="16">
        <v>16.366399999999999</v>
      </c>
      <c r="C1248" s="16">
        <v>-0.19939237000000001</v>
      </c>
      <c r="D1248" s="16">
        <v>-0.10313119</v>
      </c>
      <c r="E1248" s="16">
        <v>0.80060292</v>
      </c>
      <c r="F1248" s="16">
        <v>-0.11098951</v>
      </c>
      <c r="G1248" s="16">
        <f t="shared" si="196"/>
        <v>1.4464405897438599</v>
      </c>
      <c r="H1248" s="16">
        <f t="shared" si="197"/>
        <v>-1.0431348595099199</v>
      </c>
      <c r="I1248" s="16">
        <f t="shared" si="198"/>
        <v>1.44645367290736</v>
      </c>
      <c r="J1248" s="16">
        <f t="shared" si="199"/>
        <v>-1.0470639773571599</v>
      </c>
      <c r="K1248" s="15">
        <f t="shared" si="200"/>
        <v>-1.3083163500127199E-5</v>
      </c>
      <c r="L1248" s="15">
        <f t="shared" si="201"/>
        <v>3.9291178472400396E-3</v>
      </c>
      <c r="M1248" s="15">
        <f t="shared" si="202"/>
        <v>0.45363693702671398</v>
      </c>
      <c r="N1248" s="15">
        <f t="shared" si="203"/>
        <v>0.32838030312066002</v>
      </c>
      <c r="O1248" s="16">
        <v>8.2980899000000008</v>
      </c>
      <c r="P1248" s="16">
        <v>-15.747572</v>
      </c>
      <c r="Q1248" s="16">
        <v>1.4513054000000001</v>
      </c>
      <c r="R1248" s="16">
        <v>-17.870352</v>
      </c>
      <c r="S1248" s="16">
        <f t="shared" si="204"/>
        <v>1.0072508637489881</v>
      </c>
      <c r="T1248" s="16">
        <f t="shared" si="205"/>
        <v>-23.143749124270101</v>
      </c>
    </row>
    <row r="1249" spans="1:20" x14ac:dyDescent="0.35">
      <c r="A1249" s="17">
        <v>4.5875000000000004</v>
      </c>
      <c r="B1249" s="17">
        <v>16.415199999999999</v>
      </c>
      <c r="C1249" s="17">
        <v>-0.20635575</v>
      </c>
      <c r="D1249" s="17">
        <v>-9.8406929000000004E-2</v>
      </c>
      <c r="E1249" s="17">
        <v>0.79364334999999997</v>
      </c>
      <c r="F1249" s="17">
        <v>-0.10634652999999999</v>
      </c>
      <c r="G1249" s="17">
        <f t="shared" si="196"/>
        <v>1.4444055269971801</v>
      </c>
      <c r="H1249" s="17">
        <f t="shared" si="197"/>
        <v>-0.96267072148148303</v>
      </c>
      <c r="I1249" s="17">
        <f t="shared" si="198"/>
        <v>1.4444208360859101</v>
      </c>
      <c r="J1249" s="17">
        <f t="shared" si="199"/>
        <v>-0.96664046299383999</v>
      </c>
      <c r="K1249" s="15">
        <f t="shared" si="200"/>
        <v>-1.5309088730042199E-5</v>
      </c>
      <c r="L1249" s="15">
        <f t="shared" si="201"/>
        <v>3.9697415123569604E-3</v>
      </c>
      <c r="M1249" s="15">
        <f t="shared" si="202"/>
        <v>0.47816703337184702</v>
      </c>
      <c r="N1249" s="15">
        <f t="shared" si="203"/>
        <v>0.32000064730405298</v>
      </c>
      <c r="O1249" s="17">
        <v>7.9113280000000001</v>
      </c>
      <c r="P1249" s="17">
        <v>-16.265159000000001</v>
      </c>
      <c r="Q1249" s="17">
        <v>0.88780819</v>
      </c>
      <c r="R1249" s="17">
        <v>-18.211382</v>
      </c>
      <c r="S1249" s="17">
        <f t="shared" si="204"/>
        <v>1.0080650150674242</v>
      </c>
      <c r="T1249" s="17">
        <f t="shared" si="205"/>
        <v>-23.147189120255184</v>
      </c>
    </row>
    <row r="1250" spans="1:20" x14ac:dyDescent="0.35">
      <c r="A1250" s="16">
        <v>4.5875000000000004</v>
      </c>
      <c r="B1250" s="16">
        <v>16.463999999999999</v>
      </c>
      <c r="C1250" s="16">
        <v>-0.21309185</v>
      </c>
      <c r="D1250" s="16">
        <v>-9.3176128999999996E-2</v>
      </c>
      <c r="E1250" s="16">
        <v>0.78691078999999997</v>
      </c>
      <c r="F1250" s="16">
        <v>-0.10119879</v>
      </c>
      <c r="G1250" s="16">
        <f t="shared" si="196"/>
        <v>1.44237021867388</v>
      </c>
      <c r="H1250" s="16">
        <f t="shared" si="197"/>
        <v>-0.88388485745479495</v>
      </c>
      <c r="I1250" s="16">
        <f t="shared" si="198"/>
        <v>1.44238762912189</v>
      </c>
      <c r="J1250" s="16">
        <f t="shared" si="199"/>
        <v>-0.88789611282087799</v>
      </c>
      <c r="K1250" s="15">
        <f t="shared" si="200"/>
        <v>-1.7410448009957899E-5</v>
      </c>
      <c r="L1250" s="15">
        <f t="shared" si="201"/>
        <v>4.0112553660830398E-3</v>
      </c>
      <c r="M1250" s="15">
        <f t="shared" si="202"/>
        <v>0.50277702305865202</v>
      </c>
      <c r="N1250" s="15">
        <f t="shared" si="203"/>
        <v>0.30949639013557101</v>
      </c>
      <c r="O1250" s="16">
        <v>7.4845914999999996</v>
      </c>
      <c r="P1250" s="16">
        <v>-16.759074999999999</v>
      </c>
      <c r="Q1250" s="16">
        <v>0.29582828</v>
      </c>
      <c r="R1250" s="16">
        <v>-18.519442000000002</v>
      </c>
      <c r="S1250" s="16">
        <f t="shared" si="204"/>
        <v>1.0091181263315037</v>
      </c>
      <c r="T1250" s="16">
        <f t="shared" si="205"/>
        <v>-23.150345379934699</v>
      </c>
    </row>
    <row r="1251" spans="1:20" x14ac:dyDescent="0.35">
      <c r="A1251" s="17">
        <v>4.5875000000000004</v>
      </c>
      <c r="B1251" s="17">
        <v>16.512799999999999</v>
      </c>
      <c r="C1251" s="17">
        <v>-0.21954119999999999</v>
      </c>
      <c r="D1251" s="17">
        <v>-8.7459592000000003E-2</v>
      </c>
      <c r="E1251" s="17">
        <v>0.78045626000000001</v>
      </c>
      <c r="F1251" s="17">
        <v>-9.5571733000000006E-2</v>
      </c>
      <c r="G1251" s="17">
        <f t="shared" si="196"/>
        <v>1.44030439921134</v>
      </c>
      <c r="H1251" s="17">
        <f t="shared" si="197"/>
        <v>-0.806785600726176</v>
      </c>
      <c r="I1251" s="17">
        <f t="shared" si="198"/>
        <v>1.44031958070966</v>
      </c>
      <c r="J1251" s="17">
        <f t="shared" si="199"/>
        <v>-0.81084161480008698</v>
      </c>
      <c r="K1251" s="15">
        <f t="shared" si="200"/>
        <v>-1.5181498320027099E-5</v>
      </c>
      <c r="L1251" s="15">
        <f t="shared" si="201"/>
        <v>4.0560140739109903E-3</v>
      </c>
      <c r="M1251" s="15">
        <f t="shared" si="202"/>
        <v>0.52720632860182404</v>
      </c>
      <c r="N1251" s="15">
        <f t="shared" si="203"/>
        <v>0.29679581985944098</v>
      </c>
      <c r="O1251" s="17">
        <v>7.0227054000000004</v>
      </c>
      <c r="P1251" s="17">
        <v>-17.230592000000001</v>
      </c>
      <c r="Q1251" s="17">
        <v>-0.32093441</v>
      </c>
      <c r="R1251" s="17">
        <v>-18.791105000000002</v>
      </c>
      <c r="S1251" s="17">
        <f t="shared" si="204"/>
        <v>1.0100544481431992</v>
      </c>
      <c r="T1251" s="17">
        <f t="shared" si="205"/>
        <v>-23.152892177071674</v>
      </c>
    </row>
    <row r="1252" spans="1:20" x14ac:dyDescent="0.35">
      <c r="A1252" s="16">
        <v>4.5875000000000004</v>
      </c>
      <c r="B1252" s="16">
        <v>16.561599999999999</v>
      </c>
      <c r="C1252" s="16">
        <v>-0.22564866</v>
      </c>
      <c r="D1252" s="16">
        <v>-8.1276746999999996E-2</v>
      </c>
      <c r="E1252" s="16">
        <v>0.77429353999999995</v>
      </c>
      <c r="F1252" s="16">
        <v>-8.9399399000000004E-2</v>
      </c>
      <c r="G1252" s="16">
        <f t="shared" si="196"/>
        <v>1.4383856230762599</v>
      </c>
      <c r="H1252" s="16">
        <f t="shared" si="197"/>
        <v>-0.73095114321918997</v>
      </c>
      <c r="I1252" s="16">
        <f t="shared" si="198"/>
        <v>1.43837321776795</v>
      </c>
      <c r="J1252" s="16">
        <f t="shared" si="199"/>
        <v>-0.73501263697835995</v>
      </c>
      <c r="K1252" s="15">
        <f t="shared" si="200"/>
        <v>1.2405308309926301E-5</v>
      </c>
      <c r="L1252" s="15">
        <f t="shared" si="201"/>
        <v>4.0614937591699797E-3</v>
      </c>
      <c r="M1252" s="15">
        <f t="shared" si="202"/>
        <v>0.55127804228726496</v>
      </c>
      <c r="N1252" s="15">
        <f t="shared" si="203"/>
        <v>0.28170458304181301</v>
      </c>
      <c r="O1252" s="16">
        <v>6.5258493</v>
      </c>
      <c r="P1252" s="16">
        <v>-17.672901</v>
      </c>
      <c r="Q1252" s="16">
        <v>-0.96012456000000002</v>
      </c>
      <c r="R1252" s="16">
        <v>-19.021813000000002</v>
      </c>
      <c r="S1252" s="16">
        <f t="shared" si="204"/>
        <v>1.0109748144945476</v>
      </c>
      <c r="T1252" s="16">
        <f t="shared" si="205"/>
        <v>-23.156587580010822</v>
      </c>
    </row>
    <row r="1253" spans="1:20" x14ac:dyDescent="0.35">
      <c r="A1253" s="17">
        <v>4.5875000000000004</v>
      </c>
      <c r="B1253" s="17">
        <v>16.610399999999998</v>
      </c>
      <c r="C1253" s="17">
        <v>-0.23136318</v>
      </c>
      <c r="D1253" s="17">
        <v>-7.4687689000000002E-2</v>
      </c>
      <c r="E1253" s="17">
        <v>0.76857242000000003</v>
      </c>
      <c r="F1253" s="17">
        <v>-8.2886659000000001E-2</v>
      </c>
      <c r="G1253" s="17">
        <f t="shared" ref="G1253:G1316" si="206">IMREAL(IMDIV(IMSUM(IMPRODUCT(COMPLEX(1 + C1253,D1253),COMPLEX(1 - C1253, - D1253)),IMPRODUCT(COMPLEX(E1253,F1253),COMPLEX(E1253,F1253))),IMSUB(IMPRODUCT(COMPLEX(1 - C1253, - D1253),COMPLEX(1 - C1253, - D1253)),IMPRODUCT(COMPLEX(E1253,F1253),COMPLEX(E1253,F1253)))))</f>
        <v>1.43633050295134</v>
      </c>
      <c r="H1253" s="17">
        <f t="shared" ref="H1253:H1316" si="207">IMAGINARY(IMDIV(IMSUM(IMPRODUCT(COMPLEX(1 + C1253,D1253),COMPLEX(1 - C1253, - D1253)),IMPRODUCT(COMPLEX(E1253,F1253),COMPLEX(E1253,F1253))),IMSUB(IMPRODUCT(COMPLEX(1 - C1253, - D1253),COMPLEX(1 - C1253, - D1253)),IMPRODUCT(COMPLEX(E1253,F1253),COMPLEX(E1253,F1253)))))</f>
        <v>-0.65724336551839901</v>
      </c>
      <c r="I1253" s="17">
        <f t="shared" ref="I1253:I1316" si="208">IMREAL(IMDIV(IMPRODUCT(COMPLEX(2,0),COMPLEX(E1253,F1253)),IMSUB(IMPRODUCT(COMPLEX(1 - C1253, - D1253),COMPLEX(1 - C1253, - D1253)),IMPRODUCT(COMPLEX(E1253,F1253),COMPLEX(E1253,F1253)))))</f>
        <v>1.4363151090327999</v>
      </c>
      <c r="J1253" s="17">
        <f t="shared" ref="J1253:J1316" si="209">IMAGINARY(IMDIV(IMPRODUCT(COMPLEX(2,0),COMPLEX(E1253,F1253)),IMSUB(IMPRODUCT(COMPLEX(1 - C1253, - D1253),COMPLEX(1 - C1253, - D1253)),IMPRODUCT(COMPLEX(E1253,F1253),COMPLEX(E1253,F1253)))))</f>
        <v>-0.66134304563523805</v>
      </c>
      <c r="K1253" s="15">
        <f t="shared" ref="K1253:K1316" si="210">IMREAL(IMSUB(COMPLEX(G1253,H1253),COMPLEX(I1253,J1253)))</f>
        <v>1.53939185401075E-5</v>
      </c>
      <c r="L1253" s="15">
        <f t="shared" ref="L1253:L1316" si="211">IMAGINARY(IMSUB(COMPLEX(G1253,H1253),COMPLEX(I1253,J1253)))</f>
        <v>4.0996801168390303E-3</v>
      </c>
      <c r="M1253" s="15">
        <f t="shared" ref="M1253:M1316" si="212">IMREAL(IMDIV(IMSUB(IMPRODUCT(COMPLEX(1 - C1253, - D1253),COMPLEX(1 - C1253, - D1253)),IMPRODUCT(COMPLEX(E1253,F1253),COMPLEX(E1253,F1253))),IMPRODUCT(COMPLEX(2,0),COMPLEX(E1253,F1253))))</f>
        <v>0.57443971303415098</v>
      </c>
      <c r="N1253" s="15">
        <f t="shared" ref="N1253:N1316" si="213">IMAGINARY(IMDIV(IMSUB(IMPRODUCT(COMPLEX(1 - C1253, - D1253),COMPLEX(1 - C1253, - D1253)),IMPRODUCT(COMPLEX(E1253,F1253),COMPLEX(E1253,F1253))),IMPRODUCT(COMPLEX(2,0),COMPLEX(E1253,F1253))))</f>
        <v>0.264497467834658</v>
      </c>
      <c r="O1253" s="17">
        <v>5.9998787</v>
      </c>
      <c r="P1253" s="17">
        <v>-18.084198000000001</v>
      </c>
      <c r="Q1253" s="17">
        <v>-1.6149164</v>
      </c>
      <c r="R1253" s="17">
        <v>-19.211385</v>
      </c>
      <c r="S1253" s="17">
        <f t="shared" ref="S1253:S1316" si="214">IMABS(COMPLEX(Q1253,R1253))/IMABS(COMPLEX(O1253,P1253))</f>
        <v>1.0118412302594568</v>
      </c>
      <c r="T1253" s="17">
        <f t="shared" ref="T1253:T1316" si="215">IMARGUMENT(IMDIV(COMPLEX(Q1253,R1253),COMPLEX(O1253/B1253,P1253/B1253)))/PI()*180</f>
        <v>-23.15954541377485</v>
      </c>
    </row>
    <row r="1254" spans="1:20" x14ac:dyDescent="0.35">
      <c r="A1254" s="16">
        <v>4.5875000000000004</v>
      </c>
      <c r="B1254" s="16">
        <v>16.659199999999998</v>
      </c>
      <c r="C1254" s="16">
        <v>-0.23664199</v>
      </c>
      <c r="D1254" s="16">
        <v>-6.7722295000000002E-2</v>
      </c>
      <c r="E1254" s="16">
        <v>0.76333384999999998</v>
      </c>
      <c r="F1254" s="16">
        <v>-7.6040916E-2</v>
      </c>
      <c r="G1254" s="16">
        <f t="shared" si="206"/>
        <v>1.4343270567611099</v>
      </c>
      <c r="H1254" s="16">
        <f t="shared" si="207"/>
        <v>-0.58545606149672103</v>
      </c>
      <c r="I1254" s="16">
        <f t="shared" si="208"/>
        <v>1.43433227680668</v>
      </c>
      <c r="J1254" s="16">
        <f t="shared" si="209"/>
        <v>-0.58961540052974604</v>
      </c>
      <c r="K1254" s="15">
        <f t="shared" si="210"/>
        <v>-5.2200455700202E-6</v>
      </c>
      <c r="L1254" s="15">
        <f t="shared" si="211"/>
        <v>4.1593390330250104E-3</v>
      </c>
      <c r="M1254" s="15">
        <f t="shared" si="212"/>
        <v>0.59640701707436705</v>
      </c>
      <c r="N1254" s="15">
        <f t="shared" si="213"/>
        <v>0.24516687516364699</v>
      </c>
      <c r="O1254" s="16">
        <v>5.4460759000000003</v>
      </c>
      <c r="P1254" s="16">
        <v>-18.458694999999999</v>
      </c>
      <c r="Q1254" s="16">
        <v>-2.2825536</v>
      </c>
      <c r="R1254" s="16">
        <v>-19.356949</v>
      </c>
      <c r="S1254" s="16">
        <f t="shared" si="214"/>
        <v>1.0127678356543022</v>
      </c>
      <c r="T1254" s="16">
        <f t="shared" si="215"/>
        <v>-23.163441040876936</v>
      </c>
    </row>
    <row r="1255" spans="1:20" x14ac:dyDescent="0.35">
      <c r="A1255" s="17">
        <v>4.5875000000000004</v>
      </c>
      <c r="B1255" s="17">
        <v>16.707999999999998</v>
      </c>
      <c r="C1255" s="17">
        <v>-0.24143646999999999</v>
      </c>
      <c r="D1255" s="17">
        <v>-6.0447595999999999E-2</v>
      </c>
      <c r="E1255" s="17">
        <v>0.75854166999999995</v>
      </c>
      <c r="F1255" s="17">
        <v>-6.8852365999999998E-2</v>
      </c>
      <c r="G1255" s="17">
        <f t="shared" si="206"/>
        <v>1.4323034021977299</v>
      </c>
      <c r="H1255" s="17">
        <f t="shared" si="207"/>
        <v>-0.51529346016910904</v>
      </c>
      <c r="I1255" s="17">
        <f t="shared" si="208"/>
        <v>1.4323101323851499</v>
      </c>
      <c r="J1255" s="17">
        <f t="shared" si="209"/>
        <v>-0.51949586281853199</v>
      </c>
      <c r="K1255" s="15">
        <f t="shared" si="210"/>
        <v>-6.7301874200342803E-6</v>
      </c>
      <c r="L1255" s="15">
        <f t="shared" si="211"/>
        <v>4.2024026494229504E-3</v>
      </c>
      <c r="M1255" s="15">
        <f t="shared" si="212"/>
        <v>0.61700584639725398</v>
      </c>
      <c r="N1255" s="15">
        <f t="shared" si="213"/>
        <v>0.223786718595961</v>
      </c>
      <c r="O1255" s="17">
        <v>4.8712257000000001</v>
      </c>
      <c r="P1255" s="17">
        <v>-18.795883</v>
      </c>
      <c r="Q1255" s="17">
        <v>-2.9555809000000002</v>
      </c>
      <c r="R1255" s="17">
        <v>-19.457792000000001</v>
      </c>
      <c r="S1255" s="17">
        <f t="shared" si="214"/>
        <v>1.0136033436721921</v>
      </c>
      <c r="T1255" s="17">
        <f t="shared" si="215"/>
        <v>-23.166404054778702</v>
      </c>
    </row>
    <row r="1256" spans="1:20" x14ac:dyDescent="0.35">
      <c r="A1256" s="16">
        <v>4.5875000000000004</v>
      </c>
      <c r="B1256" s="16">
        <v>16.756799999999998</v>
      </c>
      <c r="C1256" s="16">
        <v>-0.2457182</v>
      </c>
      <c r="D1256" s="16">
        <v>-5.2915862000000001E-2</v>
      </c>
      <c r="E1256" s="16">
        <v>0.75424179999999996</v>
      </c>
      <c r="F1256" s="16">
        <v>-6.1389595999999998E-2</v>
      </c>
      <c r="G1256" s="16">
        <f t="shared" si="206"/>
        <v>1.43027538500558</v>
      </c>
      <c r="H1256" s="16">
        <f t="shared" si="207"/>
        <v>-0.44681639207726298</v>
      </c>
      <c r="I1256" s="16">
        <f t="shared" si="208"/>
        <v>1.4302733364023901</v>
      </c>
      <c r="J1256" s="16">
        <f t="shared" si="209"/>
        <v>-0.45105335249613099</v>
      </c>
      <c r="K1256" s="15">
        <f t="shared" si="210"/>
        <v>2.0486031899746802E-6</v>
      </c>
      <c r="L1256" s="15">
        <f t="shared" si="211"/>
        <v>4.2369604188680103E-3</v>
      </c>
      <c r="M1256" s="15">
        <f t="shared" si="212"/>
        <v>0.63592266179901502</v>
      </c>
      <c r="N1256" s="15">
        <f t="shared" si="213"/>
        <v>0.20054561686383299</v>
      </c>
      <c r="O1256" s="16">
        <v>4.2786786000000001</v>
      </c>
      <c r="P1256" s="16">
        <v>-19.090672999999999</v>
      </c>
      <c r="Q1256" s="16">
        <v>-3.6286325000000001</v>
      </c>
      <c r="R1256" s="16">
        <v>-19.513123</v>
      </c>
      <c r="S1256" s="16">
        <f t="shared" si="214"/>
        <v>1.0144839247430975</v>
      </c>
      <c r="T1256" s="16">
        <f t="shared" si="215"/>
        <v>-23.166917334378304</v>
      </c>
    </row>
    <row r="1257" spans="1:20" x14ac:dyDescent="0.35">
      <c r="A1257" s="17">
        <v>4.5875000000000004</v>
      </c>
      <c r="B1257" s="17">
        <v>16.805599999999998</v>
      </c>
      <c r="C1257" s="17">
        <v>-0.24947052</v>
      </c>
      <c r="D1257" s="17">
        <v>-4.5195809000000003E-2</v>
      </c>
      <c r="E1257" s="17">
        <v>0.75047255999999996</v>
      </c>
      <c r="F1257" s="17">
        <v>-5.3714853E-2</v>
      </c>
      <c r="G1257" s="17">
        <f t="shared" si="206"/>
        <v>1.4282591093546899</v>
      </c>
      <c r="H1257" s="17">
        <f t="shared" si="207"/>
        <v>-0.38008589699433198</v>
      </c>
      <c r="I1257" s="17">
        <f t="shared" si="208"/>
        <v>1.42824879329232</v>
      </c>
      <c r="J1257" s="17">
        <f t="shared" si="209"/>
        <v>-0.38434558416652198</v>
      </c>
      <c r="K1257" s="15">
        <f t="shared" si="210"/>
        <v>1.03160623698972E-5</v>
      </c>
      <c r="L1257" s="15">
        <f t="shared" si="211"/>
        <v>4.25968717219E-3</v>
      </c>
      <c r="M1257" s="15">
        <f t="shared" si="212"/>
        <v>0.65287906997061396</v>
      </c>
      <c r="N1257" s="15">
        <f t="shared" si="213"/>
        <v>0.17569151027218399</v>
      </c>
      <c r="O1257" s="17">
        <v>3.6740298999999998</v>
      </c>
      <c r="P1257" s="17">
        <v>-19.345312</v>
      </c>
      <c r="Q1257" s="17">
        <v>-4.2989622000000001</v>
      </c>
      <c r="R1257" s="17">
        <v>-19.525110999999999</v>
      </c>
      <c r="S1257" s="17">
        <f t="shared" si="214"/>
        <v>1.0153201256879849</v>
      </c>
      <c r="T1257" s="17">
        <f t="shared" si="215"/>
        <v>-23.170492790587495</v>
      </c>
    </row>
    <row r="1258" spans="1:20" x14ac:dyDescent="0.35">
      <c r="A1258" s="16">
        <v>4.5875000000000004</v>
      </c>
      <c r="B1258" s="16">
        <v>16.854399999999998</v>
      </c>
      <c r="C1258" s="16">
        <v>-0.25270450999999999</v>
      </c>
      <c r="D1258" s="16">
        <v>-3.7314890000000003E-2</v>
      </c>
      <c r="E1258" s="16">
        <v>0.74726943000000001</v>
      </c>
      <c r="F1258" s="16">
        <v>-4.5928243000000001E-2</v>
      </c>
      <c r="G1258" s="16">
        <f t="shared" si="206"/>
        <v>1.4262417601881701</v>
      </c>
      <c r="H1258" s="16">
        <f t="shared" si="207"/>
        <v>-0.31509140169049699</v>
      </c>
      <c r="I1258" s="16">
        <f t="shared" si="208"/>
        <v>1.42624727786188</v>
      </c>
      <c r="J1258" s="16">
        <f t="shared" si="209"/>
        <v>-0.31939811054407802</v>
      </c>
      <c r="K1258" s="15">
        <f t="shared" si="210"/>
        <v>-5.51767370993161E-6</v>
      </c>
      <c r="L1258" s="15">
        <f t="shared" si="211"/>
        <v>4.3067088535810299E-3</v>
      </c>
      <c r="M1258" s="15">
        <f t="shared" si="212"/>
        <v>0.66765735775044999</v>
      </c>
      <c r="N1258" s="15">
        <f t="shared" si="213"/>
        <v>0.149517199342901</v>
      </c>
      <c r="O1258" s="16">
        <v>3.0579345999999998</v>
      </c>
      <c r="P1258" s="16">
        <v>-19.559391999999999</v>
      </c>
      <c r="Q1258" s="16">
        <v>-4.9644177000000003</v>
      </c>
      <c r="R1258" s="16">
        <v>-19.493033</v>
      </c>
      <c r="S1258" s="16">
        <f t="shared" si="214"/>
        <v>1.0160768477404214</v>
      </c>
      <c r="T1258" s="16">
        <f t="shared" si="215"/>
        <v>-23.173895619842451</v>
      </c>
    </row>
    <row r="1259" spans="1:20" x14ac:dyDescent="0.35">
      <c r="A1259" s="17">
        <v>4.5875000000000004</v>
      </c>
      <c r="B1259" s="17">
        <v>16.903200000000002</v>
      </c>
      <c r="C1259" s="17">
        <v>-0.25535600000000003</v>
      </c>
      <c r="D1259" s="17">
        <v>-2.9448623E-2</v>
      </c>
      <c r="E1259" s="17">
        <v>0.74463595999999999</v>
      </c>
      <c r="F1259" s="17">
        <v>-3.8149281E-2</v>
      </c>
      <c r="G1259" s="17">
        <f t="shared" si="206"/>
        <v>1.42430115324174</v>
      </c>
      <c r="H1259" s="17">
        <f t="shared" si="207"/>
        <v>-0.25252257655016902</v>
      </c>
      <c r="I1259" s="17">
        <f t="shared" si="208"/>
        <v>1.4243160584580601</v>
      </c>
      <c r="J1259" s="17">
        <f t="shared" si="209"/>
        <v>-0.25687285819570699</v>
      </c>
      <c r="K1259" s="15">
        <f t="shared" si="210"/>
        <v>-1.49052163200825E-5</v>
      </c>
      <c r="L1259" s="15">
        <f t="shared" si="211"/>
        <v>4.3502816455379704E-3</v>
      </c>
      <c r="M1259" s="15">
        <f t="shared" si="212"/>
        <v>0.67997485352626497</v>
      </c>
      <c r="N1259" s="15">
        <f t="shared" si="213"/>
        <v>0.122632250819099</v>
      </c>
      <c r="O1259" s="17">
        <v>2.4466133000000001</v>
      </c>
      <c r="P1259" s="17">
        <v>-19.727626000000001</v>
      </c>
      <c r="Q1259" s="17">
        <v>-5.6074865000000003</v>
      </c>
      <c r="R1259" s="17">
        <v>-19.420983</v>
      </c>
      <c r="S1259" s="17">
        <f t="shared" si="214"/>
        <v>1.0168799625290601</v>
      </c>
      <c r="T1259" s="17">
        <f t="shared" si="215"/>
        <v>-23.174899404877955</v>
      </c>
    </row>
    <row r="1260" spans="1:20" x14ac:dyDescent="0.35">
      <c r="A1260" s="16">
        <v>4.5875000000000004</v>
      </c>
      <c r="B1260" s="16">
        <v>16.952000000000002</v>
      </c>
      <c r="C1260" s="16">
        <v>-0.25747286000000003</v>
      </c>
      <c r="D1260" s="16">
        <v>-2.1603161999999999E-2</v>
      </c>
      <c r="E1260" s="16">
        <v>0.74246999000000002</v>
      </c>
      <c r="F1260" s="16">
        <v>-3.0317337E-2</v>
      </c>
      <c r="G1260" s="16">
        <f t="shared" si="206"/>
        <v>1.42220458902511</v>
      </c>
      <c r="H1260" s="16">
        <f t="shared" si="207"/>
        <v>-0.19160975427179999</v>
      </c>
      <c r="I1260" s="16">
        <f t="shared" si="208"/>
        <v>1.4221949986871101</v>
      </c>
      <c r="J1260" s="16">
        <f t="shared" si="209"/>
        <v>-0.19596700806626899</v>
      </c>
      <c r="K1260" s="15">
        <f t="shared" si="210"/>
        <v>9.5903379999651201E-6</v>
      </c>
      <c r="L1260" s="15">
        <f t="shared" si="211"/>
        <v>4.3572537944690003E-3</v>
      </c>
      <c r="M1260" s="15">
        <f t="shared" si="212"/>
        <v>0.69003698990390105</v>
      </c>
      <c r="N1260" s="15">
        <f t="shared" si="213"/>
        <v>9.5081535577999698E-2</v>
      </c>
      <c r="O1260" s="16">
        <v>1.8391219999999999</v>
      </c>
      <c r="P1260" s="16">
        <v>-19.854749999999999</v>
      </c>
      <c r="Q1260" s="16">
        <v>-6.2318619000000002</v>
      </c>
      <c r="R1260" s="16">
        <v>-19.311046999999999</v>
      </c>
      <c r="S1260" s="16">
        <f t="shared" si="214"/>
        <v>1.0176503249752087</v>
      </c>
      <c r="T1260" s="16">
        <f t="shared" si="215"/>
        <v>-23.17753200873036</v>
      </c>
    </row>
    <row r="1261" spans="1:20" x14ac:dyDescent="0.35">
      <c r="A1261" s="17">
        <v>4.5875000000000004</v>
      </c>
      <c r="B1261" s="17">
        <v>17</v>
      </c>
      <c r="C1261" s="17">
        <v>-0.25876939999999998</v>
      </c>
      <c r="D1261" s="17">
        <v>-1.9205838999999999E-2</v>
      </c>
      <c r="E1261" s="17">
        <v>0.74120105000000003</v>
      </c>
      <c r="F1261" s="17">
        <v>-2.7982955E-2</v>
      </c>
      <c r="G1261" s="17">
        <f t="shared" si="206"/>
        <v>1.4161810540498101</v>
      </c>
      <c r="H1261" s="17">
        <f t="shared" si="207"/>
        <v>-0.172511858176736</v>
      </c>
      <c r="I1261" s="17">
        <f t="shared" si="208"/>
        <v>1.41618553875557</v>
      </c>
      <c r="J1261" s="17">
        <f t="shared" si="209"/>
        <v>-0.176900461336956</v>
      </c>
      <c r="K1261" s="15">
        <f t="shared" si="210"/>
        <v>-4.4847057598662596E-6</v>
      </c>
      <c r="L1261" s="15">
        <f t="shared" si="211"/>
        <v>4.3886031602199897E-3</v>
      </c>
      <c r="M1261" s="15">
        <f t="shared" si="212"/>
        <v>0.69527357475157303</v>
      </c>
      <c r="N1261" s="15">
        <f t="shared" si="213"/>
        <v>8.68489422911526E-2</v>
      </c>
      <c r="O1261" s="17">
        <v>1.7332718</v>
      </c>
      <c r="P1261" s="17">
        <v>-20.783950000000001</v>
      </c>
      <c r="Q1261" s="17">
        <v>-6.4183215000000002</v>
      </c>
      <c r="R1261" s="17">
        <v>-19.314945000000002</v>
      </c>
      <c r="S1261" s="17">
        <f t="shared" si="214"/>
        <v>0.97589809867028787</v>
      </c>
      <c r="T1261" s="17">
        <f t="shared" si="215"/>
        <v>-23.148689391564577</v>
      </c>
    </row>
    <row r="1262" spans="1:20" x14ac:dyDescent="0.35">
      <c r="A1262" s="16">
        <v>4.7249999999999996</v>
      </c>
      <c r="B1262" s="16">
        <v>15</v>
      </c>
      <c r="C1262" s="16">
        <v>-5.1764919999999999E-2</v>
      </c>
      <c r="D1262" s="16">
        <v>-0.10068165</v>
      </c>
      <c r="E1262" s="16">
        <v>0.94816416999999997</v>
      </c>
      <c r="F1262" s="16">
        <v>-0.10676494</v>
      </c>
      <c r="G1262" s="16">
        <f t="shared" si="206"/>
        <v>1.42685221607037</v>
      </c>
      <c r="H1262" s="16">
        <f t="shared" si="207"/>
        <v>-3.8567156671278902</v>
      </c>
      <c r="I1262" s="16">
        <f t="shared" si="208"/>
        <v>1.4268260123160801</v>
      </c>
      <c r="J1262" s="16">
        <f t="shared" si="209"/>
        <v>-3.8597574996785702</v>
      </c>
      <c r="K1262" s="15">
        <f t="shared" si="210"/>
        <v>2.6203754289966201E-5</v>
      </c>
      <c r="L1262" s="15">
        <f t="shared" si="211"/>
        <v>3.0418325506800202E-3</v>
      </c>
      <c r="M1262" s="15">
        <f t="shared" si="212"/>
        <v>8.4260248668475604E-2</v>
      </c>
      <c r="N1262" s="15">
        <f t="shared" si="213"/>
        <v>0.22793537818602999</v>
      </c>
      <c r="O1262" s="16">
        <v>8.3933783999999996</v>
      </c>
      <c r="P1262" s="16">
        <v>-4.2629890000000001</v>
      </c>
      <c r="Q1262" s="16">
        <v>5.9103281000000001</v>
      </c>
      <c r="R1262" s="16">
        <v>-7.0271431</v>
      </c>
      <c r="S1262" s="16">
        <f t="shared" si="214"/>
        <v>0.9753850077780325</v>
      </c>
      <c r="T1262" s="16">
        <f t="shared" si="215"/>
        <v>-23.007800899756873</v>
      </c>
    </row>
    <row r="1263" spans="1:20" x14ac:dyDescent="0.35">
      <c r="A1263" s="17">
        <v>4.7249999999999996</v>
      </c>
      <c r="B1263" s="17">
        <v>15.0488</v>
      </c>
      <c r="C1263" s="17">
        <v>-5.4583653000000003E-2</v>
      </c>
      <c r="D1263" s="17">
        <v>-0.10277121</v>
      </c>
      <c r="E1263" s="17">
        <v>0.94537578</v>
      </c>
      <c r="F1263" s="17">
        <v>-0.10893786</v>
      </c>
      <c r="G1263" s="17">
        <f t="shared" si="206"/>
        <v>1.42447188156774</v>
      </c>
      <c r="H1263" s="17">
        <f t="shared" si="207"/>
        <v>-3.72920590286861</v>
      </c>
      <c r="I1263" s="17">
        <f t="shared" si="208"/>
        <v>1.4244611050375</v>
      </c>
      <c r="J1263" s="17">
        <f t="shared" si="209"/>
        <v>-3.73228932363872</v>
      </c>
      <c r="K1263" s="15">
        <f t="shared" si="210"/>
        <v>1.07765302399532E-5</v>
      </c>
      <c r="L1263" s="15">
        <f t="shared" si="211"/>
        <v>3.0834207701100299E-3</v>
      </c>
      <c r="M1263" s="15">
        <f t="shared" si="212"/>
        <v>8.9257133036704697E-2</v>
      </c>
      <c r="N1263" s="15">
        <f t="shared" si="213"/>
        <v>0.23386629758678101</v>
      </c>
      <c r="O1263" s="17">
        <v>8.5319830999999997</v>
      </c>
      <c r="P1263" s="17">
        <v>-4.4756064999999996</v>
      </c>
      <c r="Q1263" s="17">
        <v>5.9684854999999999</v>
      </c>
      <c r="R1263" s="17">
        <v>-7.2885948000000003</v>
      </c>
      <c r="S1263" s="17">
        <f t="shared" si="214"/>
        <v>0.97777995318998279</v>
      </c>
      <c r="T1263" s="17">
        <f t="shared" si="215"/>
        <v>-23.006562585599809</v>
      </c>
    </row>
    <row r="1264" spans="1:20" x14ac:dyDescent="0.35">
      <c r="A1264" s="16">
        <v>4.7249999999999996</v>
      </c>
      <c r="B1264" s="16">
        <v>15.0976</v>
      </c>
      <c r="C1264" s="16">
        <v>-5.7530110000000002E-2</v>
      </c>
      <c r="D1264" s="16">
        <v>-0.10484783</v>
      </c>
      <c r="E1264" s="16">
        <v>0.94243215999999996</v>
      </c>
      <c r="F1264" s="16">
        <v>-0.11107836</v>
      </c>
      <c r="G1264" s="16">
        <f t="shared" si="206"/>
        <v>1.42241586059599</v>
      </c>
      <c r="H1264" s="16">
        <f t="shared" si="207"/>
        <v>-3.6049265699120498</v>
      </c>
      <c r="I1264" s="16">
        <f t="shared" si="208"/>
        <v>1.42240670057119</v>
      </c>
      <c r="J1264" s="16">
        <f t="shared" si="209"/>
        <v>-3.6080419222190598</v>
      </c>
      <c r="K1264" s="15">
        <f t="shared" si="210"/>
        <v>9.1600248000034395E-6</v>
      </c>
      <c r="L1264" s="15">
        <f t="shared" si="211"/>
        <v>3.11535230700999E-3</v>
      </c>
      <c r="M1264" s="15">
        <f t="shared" si="212"/>
        <v>9.4567322220579397E-2</v>
      </c>
      <c r="N1264" s="15">
        <f t="shared" si="213"/>
        <v>0.239877148291578</v>
      </c>
      <c r="O1264" s="16">
        <v>8.6727202999999999</v>
      </c>
      <c r="P1264" s="16">
        <v>-4.7005607999999999</v>
      </c>
      <c r="Q1264" s="16">
        <v>6.0218144999999996</v>
      </c>
      <c r="R1264" s="16">
        <v>-7.5619331000000001</v>
      </c>
      <c r="S1264" s="16">
        <f t="shared" si="214"/>
        <v>0.97993321374091769</v>
      </c>
      <c r="T1264" s="16">
        <f t="shared" si="215"/>
        <v>-23.011125058241934</v>
      </c>
    </row>
    <row r="1265" spans="1:20" x14ac:dyDescent="0.35">
      <c r="A1265" s="17">
        <v>4.7249999999999996</v>
      </c>
      <c r="B1265" s="17">
        <v>15.1464</v>
      </c>
      <c r="C1265" s="17">
        <v>-6.0628532999999998E-2</v>
      </c>
      <c r="D1265" s="17">
        <v>-0.10690528000000001</v>
      </c>
      <c r="E1265" s="17">
        <v>0.93933491000000002</v>
      </c>
      <c r="F1265" s="17">
        <v>-0.11319941</v>
      </c>
      <c r="G1265" s="17">
        <f t="shared" si="206"/>
        <v>1.4204767357068699</v>
      </c>
      <c r="H1265" s="17">
        <f t="shared" si="207"/>
        <v>-3.4833995386627699</v>
      </c>
      <c r="I1265" s="17">
        <f t="shared" si="208"/>
        <v>1.4204683613358899</v>
      </c>
      <c r="J1265" s="17">
        <f t="shared" si="209"/>
        <v>-3.4865466875426199</v>
      </c>
      <c r="K1265" s="15">
        <f t="shared" si="210"/>
        <v>8.3743709800021498E-6</v>
      </c>
      <c r="L1265" s="15">
        <f t="shared" si="211"/>
        <v>3.1471488798500099E-3</v>
      </c>
      <c r="M1265" s="15">
        <f t="shared" si="212"/>
        <v>0.100218329441515</v>
      </c>
      <c r="N1265" s="15">
        <f t="shared" si="213"/>
        <v>0.245986390162719</v>
      </c>
      <c r="O1265" s="17">
        <v>8.8161257000000006</v>
      </c>
      <c r="P1265" s="17">
        <v>-4.9390909000000001</v>
      </c>
      <c r="Q1265" s="17">
        <v>6.0690505999999997</v>
      </c>
      <c r="R1265" s="17">
        <v>-7.845383</v>
      </c>
      <c r="S1265" s="17">
        <f t="shared" si="214"/>
        <v>0.98154070464136423</v>
      </c>
      <c r="T1265" s="17">
        <f t="shared" si="215"/>
        <v>-23.016073403386997</v>
      </c>
    </row>
    <row r="1266" spans="1:20" x14ac:dyDescent="0.35">
      <c r="A1266" s="16">
        <v>4.7249999999999996</v>
      </c>
      <c r="B1266" s="16">
        <v>15.1952</v>
      </c>
      <c r="C1266" s="16">
        <v>-6.3895792000000007E-2</v>
      </c>
      <c r="D1266" s="16">
        <v>-0.10894388000000001</v>
      </c>
      <c r="E1266" s="16">
        <v>0.93606866</v>
      </c>
      <c r="F1266" s="16">
        <v>-0.11530213</v>
      </c>
      <c r="G1266" s="16">
        <f t="shared" si="206"/>
        <v>1.4185797439904</v>
      </c>
      <c r="H1266" s="16">
        <f t="shared" si="207"/>
        <v>-3.3641511914683799</v>
      </c>
      <c r="I1266" s="16">
        <f t="shared" si="208"/>
        <v>1.41857207694703</v>
      </c>
      <c r="J1266" s="16">
        <f t="shared" si="209"/>
        <v>-3.3673303973500599</v>
      </c>
      <c r="K1266" s="15">
        <f t="shared" si="210"/>
        <v>7.6670433699632701E-6</v>
      </c>
      <c r="L1266" s="15">
        <f t="shared" si="211"/>
        <v>3.17920588167997E-3</v>
      </c>
      <c r="M1266" s="15">
        <f t="shared" si="212"/>
        <v>0.106250046667188</v>
      </c>
      <c r="N1266" s="15">
        <f t="shared" si="213"/>
        <v>0.25221066851412899</v>
      </c>
      <c r="O1266" s="16">
        <v>8.9610962000000001</v>
      </c>
      <c r="P1266" s="16">
        <v>-5.1921340999999996</v>
      </c>
      <c r="Q1266" s="16">
        <v>6.1096005</v>
      </c>
      <c r="R1266" s="16">
        <v>-8.1401152999999997</v>
      </c>
      <c r="S1266" s="16">
        <f t="shared" si="214"/>
        <v>0.98273923309547273</v>
      </c>
      <c r="T1266" s="16">
        <f t="shared" si="215"/>
        <v>-23.021411801614263</v>
      </c>
    </row>
    <row r="1267" spans="1:20" x14ac:dyDescent="0.35">
      <c r="A1267" s="17">
        <v>4.7249999999999996</v>
      </c>
      <c r="B1267" s="17">
        <v>15.244</v>
      </c>
      <c r="C1267" s="17">
        <v>-6.7343828999999994E-2</v>
      </c>
      <c r="D1267" s="17">
        <v>-0.11095798</v>
      </c>
      <c r="E1267" s="17">
        <v>0.93262164000000003</v>
      </c>
      <c r="F1267" s="17">
        <v>-0.11738100999999999</v>
      </c>
      <c r="G1267" s="17">
        <f t="shared" si="206"/>
        <v>1.4166994608355601</v>
      </c>
      <c r="H1267" s="17">
        <f t="shared" si="207"/>
        <v>-3.2469787806249402</v>
      </c>
      <c r="I1267" s="17">
        <f t="shared" si="208"/>
        <v>1.41669250929391</v>
      </c>
      <c r="J1267" s="17">
        <f t="shared" si="209"/>
        <v>-3.25019037339968</v>
      </c>
      <c r="K1267" s="15">
        <f t="shared" si="210"/>
        <v>6.9515416500909302E-6</v>
      </c>
      <c r="L1267" s="15">
        <f t="shared" si="211"/>
        <v>3.2115927747398102E-3</v>
      </c>
      <c r="M1267" s="15">
        <f t="shared" si="212"/>
        <v>0.112697486724551</v>
      </c>
      <c r="N1267" s="15">
        <f t="shared" si="213"/>
        <v>0.25855172103721702</v>
      </c>
      <c r="O1267" s="17">
        <v>9.1014274000000004</v>
      </c>
      <c r="P1267" s="17">
        <v>-5.4573654999999999</v>
      </c>
      <c r="Q1267" s="17">
        <v>6.1427718999999996</v>
      </c>
      <c r="R1267" s="17">
        <v>-8.4468703999999999</v>
      </c>
      <c r="S1267" s="17">
        <f t="shared" si="214"/>
        <v>0.98417784052495272</v>
      </c>
      <c r="T1267" s="17">
        <f t="shared" si="215"/>
        <v>-23.026835697104268</v>
      </c>
    </row>
    <row r="1268" spans="1:20" x14ac:dyDescent="0.35">
      <c r="A1268" s="16">
        <v>4.7249999999999996</v>
      </c>
      <c r="B1268" s="16">
        <v>15.2928</v>
      </c>
      <c r="C1268" s="16">
        <v>-7.0982826999999998E-2</v>
      </c>
      <c r="D1268" s="16">
        <v>-0.11293891</v>
      </c>
      <c r="E1268" s="16">
        <v>0.92898365999999999</v>
      </c>
      <c r="F1268" s="16">
        <v>-0.1194274</v>
      </c>
      <c r="G1268" s="16">
        <f t="shared" si="206"/>
        <v>1.4148258540434699</v>
      </c>
      <c r="H1268" s="16">
        <f t="shared" si="207"/>
        <v>-3.13177857369454</v>
      </c>
      <c r="I1268" s="16">
        <f t="shared" si="208"/>
        <v>1.4148196228066201</v>
      </c>
      <c r="J1268" s="16">
        <f t="shared" si="209"/>
        <v>-3.1350228932736299</v>
      </c>
      <c r="K1268" s="15">
        <f t="shared" si="210"/>
        <v>6.2312368498407301E-6</v>
      </c>
      <c r="L1268" s="15">
        <f t="shared" si="211"/>
        <v>3.2443195790898801E-3</v>
      </c>
      <c r="M1268" s="15">
        <f t="shared" si="212"/>
        <v>0.11959507047231201</v>
      </c>
      <c r="N1268" s="15">
        <f t="shared" si="213"/>
        <v>0.265004300060248</v>
      </c>
      <c r="O1268" s="16">
        <v>9.2388402000000003</v>
      </c>
      <c r="P1268" s="16">
        <v>-5.7368823000000004</v>
      </c>
      <c r="Q1268" s="16">
        <v>6.1675190000000004</v>
      </c>
      <c r="R1268" s="16">
        <v>-8.7657957999999994</v>
      </c>
      <c r="S1268" s="16">
        <f t="shared" si="214"/>
        <v>0.98556171083794797</v>
      </c>
      <c r="T1268" s="16">
        <f t="shared" si="215"/>
        <v>-23.031873011724574</v>
      </c>
    </row>
    <row r="1269" spans="1:20" x14ac:dyDescent="0.35">
      <c r="A1269" s="17">
        <v>4.7249999999999996</v>
      </c>
      <c r="B1269" s="17">
        <v>15.3416</v>
      </c>
      <c r="C1269" s="17">
        <v>-7.4822173000000006E-2</v>
      </c>
      <c r="D1269" s="17">
        <v>-0.11487588999999999</v>
      </c>
      <c r="E1269" s="17">
        <v>0.92514534000000004</v>
      </c>
      <c r="F1269" s="17">
        <v>-0.12143055</v>
      </c>
      <c r="G1269" s="17">
        <f t="shared" si="206"/>
        <v>1.41295514884894</v>
      </c>
      <c r="H1269" s="17">
        <f t="shared" si="207"/>
        <v>-3.0184878073219799</v>
      </c>
      <c r="I1269" s="17">
        <f t="shared" si="208"/>
        <v>1.4129496463850699</v>
      </c>
      <c r="J1269" s="17">
        <f t="shared" si="209"/>
        <v>-3.0217652085918401</v>
      </c>
      <c r="K1269" s="15">
        <f t="shared" si="210"/>
        <v>5.5024638700995601E-6</v>
      </c>
      <c r="L1269" s="15">
        <f t="shared" si="211"/>
        <v>3.2774012698601998E-3</v>
      </c>
      <c r="M1269" s="15">
        <f t="shared" si="212"/>
        <v>0.12697827031782799</v>
      </c>
      <c r="N1269" s="15">
        <f t="shared" si="213"/>
        <v>0.27155852331698299</v>
      </c>
      <c r="O1269" s="17">
        <v>9.3723597000000005</v>
      </c>
      <c r="P1269" s="17">
        <v>-6.0312804</v>
      </c>
      <c r="Q1269" s="17">
        <v>6.1828079000000002</v>
      </c>
      <c r="R1269" s="17">
        <v>-9.0973650999999993</v>
      </c>
      <c r="S1269" s="17">
        <f t="shared" si="214"/>
        <v>0.98691988892767069</v>
      </c>
      <c r="T1269" s="17">
        <f t="shared" si="215"/>
        <v>-23.036941994838646</v>
      </c>
    </row>
    <row r="1270" spans="1:20" x14ac:dyDescent="0.35">
      <c r="A1270" s="16">
        <v>4.7249999999999996</v>
      </c>
      <c r="B1270" s="16">
        <v>15.3904</v>
      </c>
      <c r="C1270" s="16">
        <v>-7.8870715999999993E-2</v>
      </c>
      <c r="D1270" s="16">
        <v>-0.11675639</v>
      </c>
      <c r="E1270" s="16">
        <v>0.92109781999999996</v>
      </c>
      <c r="F1270" s="16">
        <v>-0.12337794000000001</v>
      </c>
      <c r="G1270" s="16">
        <f t="shared" si="206"/>
        <v>1.4110857629212099</v>
      </c>
      <c r="H1270" s="16">
        <f t="shared" si="207"/>
        <v>-2.9070617162415702</v>
      </c>
      <c r="I1270" s="16">
        <f t="shared" si="208"/>
        <v>1.411080992302</v>
      </c>
      <c r="J1270" s="16">
        <f t="shared" si="209"/>
        <v>-2.9103725591221901</v>
      </c>
      <c r="K1270" s="15">
        <f t="shared" si="210"/>
        <v>4.7706192098928602E-6</v>
      </c>
      <c r="L1270" s="15">
        <f t="shared" si="211"/>
        <v>3.31084288061989E-3</v>
      </c>
      <c r="M1270" s="15">
        <f t="shared" si="212"/>
        <v>0.13488429506772001</v>
      </c>
      <c r="N1270" s="15">
        <f t="shared" si="213"/>
        <v>0.27820058038002299</v>
      </c>
      <c r="O1270" s="16">
        <v>9.5009373000000004</v>
      </c>
      <c r="P1270" s="16">
        <v>-6.3411321999999997</v>
      </c>
      <c r="Q1270" s="16">
        <v>6.1874390999999997</v>
      </c>
      <c r="R1270" s="16">
        <v>-9.4416638000000006</v>
      </c>
      <c r="S1270" s="16">
        <f t="shared" si="214"/>
        <v>0.98824947346960912</v>
      </c>
      <c r="T1270" s="16">
        <f t="shared" si="215"/>
        <v>-23.041821137287428</v>
      </c>
    </row>
    <row r="1271" spans="1:20" x14ac:dyDescent="0.35">
      <c r="A1271" s="17">
        <v>4.7249999999999996</v>
      </c>
      <c r="B1271" s="17">
        <v>15.4392</v>
      </c>
      <c r="C1271" s="17">
        <v>-8.3136769999999999E-2</v>
      </c>
      <c r="D1271" s="17">
        <v>-0.11856617</v>
      </c>
      <c r="E1271" s="17">
        <v>0.91683278000000001</v>
      </c>
      <c r="F1271" s="17">
        <v>-0.12525533999999999</v>
      </c>
      <c r="G1271" s="17">
        <f t="shared" si="206"/>
        <v>1.4092171528698201</v>
      </c>
      <c r="H1271" s="17">
        <f t="shared" si="207"/>
        <v>-2.7974650668906902</v>
      </c>
      <c r="I1271" s="17">
        <f t="shared" si="208"/>
        <v>1.4092131142726401</v>
      </c>
      <c r="J1271" s="17">
        <f t="shared" si="209"/>
        <v>-2.8008097163204</v>
      </c>
      <c r="K1271" s="15">
        <f t="shared" si="210"/>
        <v>4.0385971800116502E-6</v>
      </c>
      <c r="L1271" s="15">
        <f t="shared" si="211"/>
        <v>3.3446494297098002E-3</v>
      </c>
      <c r="M1271" s="15">
        <f t="shared" si="212"/>
        <v>0.14335232796308001</v>
      </c>
      <c r="N1271" s="15">
        <f t="shared" si="213"/>
        <v>0.28491261467104501</v>
      </c>
      <c r="O1271" s="17">
        <v>9.6234275999999994</v>
      </c>
      <c r="P1271" s="17">
        <v>-6.6669752000000004</v>
      </c>
      <c r="Q1271" s="17">
        <v>6.1801005</v>
      </c>
      <c r="R1271" s="17">
        <v>-9.7986381999999992</v>
      </c>
      <c r="S1271" s="17">
        <f t="shared" si="214"/>
        <v>0.98954115164615974</v>
      </c>
      <c r="T1271" s="17">
        <f t="shared" si="215"/>
        <v>-23.046281808533678</v>
      </c>
    </row>
    <row r="1272" spans="1:20" x14ac:dyDescent="0.35">
      <c r="A1272" s="16">
        <v>4.7249999999999996</v>
      </c>
      <c r="B1272" s="16">
        <v>15.488</v>
      </c>
      <c r="C1272" s="16">
        <v>-8.7627997999999999E-2</v>
      </c>
      <c r="D1272" s="16">
        <v>-0.12028927</v>
      </c>
      <c r="E1272" s="16">
        <v>0.91234256000000002</v>
      </c>
      <c r="F1272" s="16">
        <v>-0.12704682</v>
      </c>
      <c r="G1272" s="16">
        <f t="shared" si="206"/>
        <v>1.4073487395136901</v>
      </c>
      <c r="H1272" s="16">
        <f t="shared" si="207"/>
        <v>-2.68966803987077</v>
      </c>
      <c r="I1272" s="16">
        <f t="shared" si="208"/>
        <v>1.4073454347913401</v>
      </c>
      <c r="J1272" s="16">
        <f t="shared" si="209"/>
        <v>-2.69304687577654</v>
      </c>
      <c r="K1272" s="15">
        <f t="shared" si="210"/>
        <v>3.3047223499948999E-6</v>
      </c>
      <c r="L1272" s="15">
        <f t="shared" si="211"/>
        <v>3.3788359057700399E-3</v>
      </c>
      <c r="M1272" s="15">
        <f t="shared" si="212"/>
        <v>0.152423561177607</v>
      </c>
      <c r="N1272" s="15">
        <f t="shared" si="213"/>
        <v>0.29167238197276601</v>
      </c>
      <c r="O1272" s="16">
        <v>9.7369512</v>
      </c>
      <c r="P1272" s="16">
        <v>-7.0081367999999999</v>
      </c>
      <c r="Q1272" s="16">
        <v>6.1592538000000001</v>
      </c>
      <c r="R1272" s="16">
        <v>-10.168252000000001</v>
      </c>
      <c r="S1272" s="16">
        <f t="shared" si="214"/>
        <v>0.99095266534711024</v>
      </c>
      <c r="T1272" s="16">
        <f t="shared" si="215"/>
        <v>-23.050972781815013</v>
      </c>
    </row>
    <row r="1273" spans="1:20" x14ac:dyDescent="0.35">
      <c r="A1273" s="17">
        <v>4.7249999999999996</v>
      </c>
      <c r="B1273" s="17">
        <v>15.536799999999999</v>
      </c>
      <c r="C1273" s="17">
        <v>-9.2351219999999998E-2</v>
      </c>
      <c r="D1273" s="17">
        <v>-0.12190793</v>
      </c>
      <c r="E1273" s="17">
        <v>0.90762032999999998</v>
      </c>
      <c r="F1273" s="17">
        <v>-0.12873462999999999</v>
      </c>
      <c r="G1273" s="17">
        <f t="shared" si="206"/>
        <v>1.4054807673475</v>
      </c>
      <c r="H1273" s="17">
        <f t="shared" si="207"/>
        <v>-2.5836446417187302</v>
      </c>
      <c r="I1273" s="17">
        <f t="shared" si="208"/>
        <v>1.4054781934648299</v>
      </c>
      <c r="J1273" s="17">
        <f t="shared" si="209"/>
        <v>-2.5870580490600101</v>
      </c>
      <c r="K1273" s="15">
        <f t="shared" si="210"/>
        <v>2.57388267010938E-6</v>
      </c>
      <c r="L1273" s="15">
        <f t="shared" si="211"/>
        <v>3.4134073412799299E-3</v>
      </c>
      <c r="M1273" s="15">
        <f t="shared" si="212"/>
        <v>0.162141157704419</v>
      </c>
      <c r="N1273" s="15">
        <f t="shared" si="213"/>
        <v>0.298452575837578</v>
      </c>
      <c r="O1273" s="17">
        <v>9.8432516999999997</v>
      </c>
      <c r="P1273" s="17">
        <v>-7.3672181999999999</v>
      </c>
      <c r="Q1273" s="17">
        <v>6.1241177000000002</v>
      </c>
      <c r="R1273" s="17">
        <v>-10.551567</v>
      </c>
      <c r="S1273" s="17">
        <f t="shared" si="214"/>
        <v>0.99227953981078754</v>
      </c>
      <c r="T1273" s="17">
        <f t="shared" si="215"/>
        <v>-23.056014432137122</v>
      </c>
    </row>
    <row r="1274" spans="1:20" x14ac:dyDescent="0.35">
      <c r="A1274" s="16">
        <v>4.7249999999999996</v>
      </c>
      <c r="B1274" s="16">
        <v>15.585599999999999</v>
      </c>
      <c r="C1274" s="16">
        <v>-9.7312184999999995E-2</v>
      </c>
      <c r="D1274" s="16">
        <v>-0.12340258</v>
      </c>
      <c r="E1274" s="16">
        <v>0.90266036000000005</v>
      </c>
      <c r="F1274" s="16">
        <v>-0.13029924000000001</v>
      </c>
      <c r="G1274" s="16">
        <f t="shared" si="206"/>
        <v>1.4036127763358801</v>
      </c>
      <c r="H1274" s="16">
        <f t="shared" si="207"/>
        <v>-2.4793714412918701</v>
      </c>
      <c r="I1274" s="16">
        <f t="shared" si="208"/>
        <v>1.4036109399755301</v>
      </c>
      <c r="J1274" s="16">
        <f t="shared" si="209"/>
        <v>-2.4828198249619402</v>
      </c>
      <c r="K1274" s="15">
        <f t="shared" si="210"/>
        <v>1.8363603500048999E-6</v>
      </c>
      <c r="L1274" s="15">
        <f t="shared" si="211"/>
        <v>3.44838367007005E-3</v>
      </c>
      <c r="M1274" s="15">
        <f t="shared" si="212"/>
        <v>0.17254998365058699</v>
      </c>
      <c r="N1274" s="15">
        <f t="shared" si="213"/>
        <v>0.30522027721727801</v>
      </c>
      <c r="O1274" s="16">
        <v>9.9394598999999992</v>
      </c>
      <c r="P1274" s="16">
        <v>-7.7436331999999997</v>
      </c>
      <c r="Q1274" s="16">
        <v>6.0724685000000003</v>
      </c>
      <c r="R1274" s="16">
        <v>-10.946759999999999</v>
      </c>
      <c r="S1274" s="16">
        <f t="shared" si="214"/>
        <v>0.99352168248872941</v>
      </c>
      <c r="T1274" s="16">
        <f t="shared" si="215"/>
        <v>-23.060225459575111</v>
      </c>
    </row>
    <row r="1275" spans="1:20" x14ac:dyDescent="0.35">
      <c r="A1275" s="17">
        <v>4.7249999999999996</v>
      </c>
      <c r="B1275" s="17">
        <v>15.634399999999999</v>
      </c>
      <c r="C1275" s="17">
        <v>-0.10253511</v>
      </c>
      <c r="D1275" s="17">
        <v>-0.12474293</v>
      </c>
      <c r="E1275" s="17">
        <v>0.89745989000000004</v>
      </c>
      <c r="F1275" s="17">
        <v>-0.13170319</v>
      </c>
      <c r="G1275" s="17">
        <f t="shared" si="206"/>
        <v>1.40200176338488</v>
      </c>
      <c r="H1275" s="17">
        <f t="shared" si="207"/>
        <v>-2.3767150568512401</v>
      </c>
      <c r="I1275" s="17">
        <f t="shared" si="208"/>
        <v>1.40201137462759</v>
      </c>
      <c r="J1275" s="17">
        <f t="shared" si="209"/>
        <v>-2.3801951621031301</v>
      </c>
      <c r="K1275" s="15">
        <f t="shared" si="210"/>
        <v>-9.6112427099281899E-6</v>
      </c>
      <c r="L1275" s="15">
        <f t="shared" si="211"/>
        <v>3.48010525189002E-3</v>
      </c>
      <c r="M1275" s="15">
        <f t="shared" si="212"/>
        <v>0.18372661808999499</v>
      </c>
      <c r="N1275" s="15">
        <f t="shared" si="213"/>
        <v>0.31191273868482899</v>
      </c>
      <c r="O1275" s="17">
        <v>10.027398</v>
      </c>
      <c r="P1275" s="17">
        <v>-8.1416640999999998</v>
      </c>
      <c r="Q1275" s="17">
        <v>6.0003660999999999</v>
      </c>
      <c r="R1275" s="17">
        <v>-11.354393999999999</v>
      </c>
      <c r="S1275" s="17">
        <f t="shared" si="214"/>
        <v>0.99426308991036239</v>
      </c>
      <c r="T1275" s="17">
        <f t="shared" si="215"/>
        <v>-23.070658161868383</v>
      </c>
    </row>
    <row r="1276" spans="1:20" x14ac:dyDescent="0.35">
      <c r="A1276" s="16">
        <v>4.7249999999999996</v>
      </c>
      <c r="B1276" s="16">
        <v>15.683199999999999</v>
      </c>
      <c r="C1276" s="16">
        <v>-0.1079838</v>
      </c>
      <c r="D1276" s="16">
        <v>-0.12592284000000001</v>
      </c>
      <c r="E1276" s="16">
        <v>0.89201229000000004</v>
      </c>
      <c r="F1276" s="16">
        <v>-0.13295436999999999</v>
      </c>
      <c r="G1276" s="16">
        <f t="shared" si="206"/>
        <v>1.4001304137385699</v>
      </c>
      <c r="H1276" s="16">
        <f t="shared" si="207"/>
        <v>-2.27586572734084</v>
      </c>
      <c r="I1276" s="16">
        <f t="shared" si="208"/>
        <v>1.4001408192579901</v>
      </c>
      <c r="J1276" s="16">
        <f t="shared" si="209"/>
        <v>-2.27938146263073</v>
      </c>
      <c r="K1276" s="15">
        <f t="shared" si="210"/>
        <v>-1.04055194201091E-5</v>
      </c>
      <c r="L1276" s="15">
        <f t="shared" si="211"/>
        <v>3.5157352898900198E-3</v>
      </c>
      <c r="M1276" s="15">
        <f t="shared" si="212"/>
        <v>0.19566040720531899</v>
      </c>
      <c r="N1276" s="15">
        <f t="shared" si="213"/>
        <v>0.318528464437554</v>
      </c>
      <c r="O1276" s="16">
        <v>10.098103999999999</v>
      </c>
      <c r="P1276" s="16">
        <v>-8.5532917000000008</v>
      </c>
      <c r="Q1276" s="16">
        <v>5.9112963000000001</v>
      </c>
      <c r="R1276" s="16">
        <v>-11.774065</v>
      </c>
      <c r="S1276" s="16">
        <f t="shared" si="214"/>
        <v>0.99554059574034615</v>
      </c>
      <c r="T1276" s="16">
        <f t="shared" si="215"/>
        <v>-23.075315218975021</v>
      </c>
    </row>
    <row r="1277" spans="1:20" x14ac:dyDescent="0.35">
      <c r="A1277" s="17">
        <v>4.7249999999999996</v>
      </c>
      <c r="B1277" s="17">
        <v>15.731999999999999</v>
      </c>
      <c r="C1277" s="17">
        <v>-0.11367806</v>
      </c>
      <c r="D1277" s="17">
        <v>-0.12690883999999999</v>
      </c>
      <c r="E1277" s="17">
        <v>0.88631908999999998</v>
      </c>
      <c r="F1277" s="17">
        <v>-0.13401242999999999</v>
      </c>
      <c r="G1277" s="17">
        <f t="shared" si="206"/>
        <v>1.39825902687854</v>
      </c>
      <c r="H1277" s="17">
        <f t="shared" si="207"/>
        <v>-2.1767069655151801</v>
      </c>
      <c r="I1277" s="17">
        <f t="shared" si="208"/>
        <v>1.39827021701902</v>
      </c>
      <c r="J1277" s="17">
        <f t="shared" si="209"/>
        <v>-2.1802587258313602</v>
      </c>
      <c r="K1277" s="15">
        <f t="shared" si="210"/>
        <v>-1.1190140480010801E-5</v>
      </c>
      <c r="L1277" s="15">
        <f t="shared" si="211"/>
        <v>3.5517603161801001E-3</v>
      </c>
      <c r="M1277" s="15">
        <f t="shared" si="212"/>
        <v>0.20842678586007199</v>
      </c>
      <c r="N1277" s="15">
        <f t="shared" si="213"/>
        <v>0.32499034381008002</v>
      </c>
      <c r="O1277" s="17">
        <v>10.146881</v>
      </c>
      <c r="P1277" s="17">
        <v>-8.9767513000000001</v>
      </c>
      <c r="Q1277" s="17">
        <v>5.8005266000000004</v>
      </c>
      <c r="R1277" s="17">
        <v>-12.203568000000001</v>
      </c>
      <c r="S1277" s="17">
        <f t="shared" si="214"/>
        <v>0.99735929385365418</v>
      </c>
      <c r="T1277" s="17">
        <f t="shared" si="215"/>
        <v>-23.079032703671729</v>
      </c>
    </row>
    <row r="1278" spans="1:20" x14ac:dyDescent="0.35">
      <c r="A1278" s="16">
        <v>4.7249999999999996</v>
      </c>
      <c r="B1278" s="16">
        <v>15.780799999999999</v>
      </c>
      <c r="C1278" s="16">
        <v>-0.11961614</v>
      </c>
      <c r="D1278" s="16">
        <v>-0.12767408999999999</v>
      </c>
      <c r="E1278" s="16">
        <v>0.88038203000000004</v>
      </c>
      <c r="F1278" s="16">
        <v>-0.13485053999999999</v>
      </c>
      <c r="G1278" s="16">
        <f t="shared" si="206"/>
        <v>1.3963876013890799</v>
      </c>
      <c r="H1278" s="16">
        <f t="shared" si="207"/>
        <v>-2.07922196024627</v>
      </c>
      <c r="I1278" s="16">
        <f t="shared" si="208"/>
        <v>1.39639956161646</v>
      </c>
      <c r="J1278" s="16">
        <f t="shared" si="209"/>
        <v>-2.08281014561347</v>
      </c>
      <c r="K1278" s="15">
        <f t="shared" si="210"/>
        <v>-1.19602273800368E-5</v>
      </c>
      <c r="L1278" s="15">
        <f t="shared" si="211"/>
        <v>3.5881853671999599E-3</v>
      </c>
      <c r="M1278" s="15">
        <f t="shared" si="212"/>
        <v>0.22207266783298299</v>
      </c>
      <c r="N1278" s="15">
        <f t="shared" si="213"/>
        <v>0.33123413837982002</v>
      </c>
      <c r="O1278" s="16">
        <v>10.19248</v>
      </c>
      <c r="P1278" s="16">
        <v>-9.4302007000000003</v>
      </c>
      <c r="Q1278" s="16">
        <v>5.6663614999999998</v>
      </c>
      <c r="R1278" s="16">
        <v>-12.643249000000001</v>
      </c>
      <c r="S1278" s="16">
        <f t="shared" si="214"/>
        <v>0.99777795709508921</v>
      </c>
      <c r="T1278" s="16">
        <f t="shared" si="215"/>
        <v>-23.08401252572537</v>
      </c>
    </row>
    <row r="1279" spans="1:20" x14ac:dyDescent="0.35">
      <c r="A1279" s="17">
        <v>4.7249999999999996</v>
      </c>
      <c r="B1279" s="17">
        <v>15.829599999999999</v>
      </c>
      <c r="C1279" s="17">
        <v>-0.12579346</v>
      </c>
      <c r="D1279" s="17">
        <v>-0.12819021999999999</v>
      </c>
      <c r="E1279" s="17">
        <v>0.87420567000000005</v>
      </c>
      <c r="F1279" s="17">
        <v>-0.13544032</v>
      </c>
      <c r="G1279" s="17">
        <f t="shared" si="206"/>
        <v>1.3945160006831101</v>
      </c>
      <c r="H1279" s="17">
        <f t="shared" si="207"/>
        <v>-1.98339493167742</v>
      </c>
      <c r="I1279" s="17">
        <f t="shared" si="208"/>
        <v>1.3945287065148799</v>
      </c>
      <c r="J1279" s="17">
        <f t="shared" si="209"/>
        <v>-1.9870199371950099</v>
      </c>
      <c r="K1279" s="15">
        <f t="shared" si="210"/>
        <v>-1.2705831769821401E-5</v>
      </c>
      <c r="L1279" s="15">
        <f t="shared" si="211"/>
        <v>3.6250055175899298E-3</v>
      </c>
      <c r="M1279" s="15">
        <f t="shared" si="212"/>
        <v>0.236643223616429</v>
      </c>
      <c r="N1279" s="15">
        <f t="shared" si="213"/>
        <v>0.33718545995591198</v>
      </c>
      <c r="O1279" s="17">
        <v>10.204675999999999</v>
      </c>
      <c r="P1279" s="17">
        <v>-9.8877670999999996</v>
      </c>
      <c r="Q1279" s="17">
        <v>5.5073958000000003</v>
      </c>
      <c r="R1279" s="17">
        <v>-13.091494000000001</v>
      </c>
      <c r="S1279" s="17">
        <f t="shared" si="214"/>
        <v>0.99954243178552138</v>
      </c>
      <c r="T1279" s="17">
        <f t="shared" si="215"/>
        <v>-23.087862710219401</v>
      </c>
    </row>
    <row r="1280" spans="1:20" x14ac:dyDescent="0.35">
      <c r="A1280" s="16">
        <v>4.7249999999999996</v>
      </c>
      <c r="B1280" s="16">
        <v>15.878399999999999</v>
      </c>
      <c r="C1280" s="16">
        <v>-0.13219431000000001</v>
      </c>
      <c r="D1280" s="16">
        <v>-0.12842846999999999</v>
      </c>
      <c r="E1280" s="16">
        <v>0.86780420999999996</v>
      </c>
      <c r="F1280" s="16">
        <v>-0.13575171999999999</v>
      </c>
      <c r="G1280" s="16">
        <f t="shared" si="206"/>
        <v>1.39264065961339</v>
      </c>
      <c r="H1280" s="16">
        <f t="shared" si="207"/>
        <v>-1.8893135535821199</v>
      </c>
      <c r="I1280" s="16">
        <f t="shared" si="208"/>
        <v>1.3926533269604799</v>
      </c>
      <c r="J1280" s="16">
        <f t="shared" si="209"/>
        <v>-1.8929751349086099</v>
      </c>
      <c r="K1280" s="15">
        <f t="shared" si="210"/>
        <v>-1.2667347089934099E-5</v>
      </c>
      <c r="L1280" s="15">
        <f t="shared" si="211"/>
        <v>3.6615813264899702E-3</v>
      </c>
      <c r="M1280" s="15">
        <f t="shared" si="212"/>
        <v>0.25216261802645101</v>
      </c>
      <c r="N1280" s="15">
        <f t="shared" si="213"/>
        <v>0.34275404843166202</v>
      </c>
      <c r="O1280" s="16">
        <v>10.206915</v>
      </c>
      <c r="P1280" s="16">
        <v>-10.372282</v>
      </c>
      <c r="Q1280" s="16">
        <v>5.3216643000000001</v>
      </c>
      <c r="R1280" s="16">
        <v>-13.546447000000001</v>
      </c>
      <c r="S1280" s="16">
        <f t="shared" si="214"/>
        <v>1.0001439922794737</v>
      </c>
      <c r="T1280" s="16">
        <f t="shared" si="215"/>
        <v>-23.092430248465682</v>
      </c>
    </row>
    <row r="1281" spans="1:20" x14ac:dyDescent="0.35">
      <c r="A1281" s="17">
        <v>4.7249999999999996</v>
      </c>
      <c r="B1281" s="17">
        <v>15.927199999999999</v>
      </c>
      <c r="C1281" s="17">
        <v>-0.13886552999999999</v>
      </c>
      <c r="D1281" s="17">
        <v>-0.12836585</v>
      </c>
      <c r="E1281" s="17">
        <v>0.86112544000000002</v>
      </c>
      <c r="F1281" s="17">
        <v>-0.13575358000000001</v>
      </c>
      <c r="G1281" s="17">
        <f t="shared" si="206"/>
        <v>1.3906875968853301</v>
      </c>
      <c r="H1281" s="17">
        <f t="shared" si="207"/>
        <v>-1.7961237472790099</v>
      </c>
      <c r="I1281" s="17">
        <f t="shared" si="208"/>
        <v>1.3906967265022201</v>
      </c>
      <c r="J1281" s="17">
        <f t="shared" si="209"/>
        <v>-1.7998175952331601</v>
      </c>
      <c r="K1281" s="15">
        <f t="shared" si="210"/>
        <v>-9.12961689003566E-6</v>
      </c>
      <c r="L1281" s="15">
        <f t="shared" si="211"/>
        <v>3.69384795415018E-3</v>
      </c>
      <c r="M1281" s="15">
        <f t="shared" si="212"/>
        <v>0.26881777906786802</v>
      </c>
      <c r="N1281" s="15">
        <f t="shared" si="213"/>
        <v>0.34789969621538303</v>
      </c>
      <c r="O1281" s="17">
        <v>10.179377000000001</v>
      </c>
      <c r="P1281" s="17">
        <v>-10.870231</v>
      </c>
      <c r="Q1281" s="17">
        <v>5.1059654999999999</v>
      </c>
      <c r="R1281" s="17">
        <v>-14.01037</v>
      </c>
      <c r="S1281" s="17">
        <f t="shared" si="214"/>
        <v>1.0013060927745592</v>
      </c>
      <c r="T1281" s="17">
        <f t="shared" si="215"/>
        <v>-23.096353040171383</v>
      </c>
    </row>
    <row r="1282" spans="1:20" x14ac:dyDescent="0.35">
      <c r="A1282" s="16">
        <v>4.7249999999999996</v>
      </c>
      <c r="B1282" s="16">
        <v>15.976000000000001</v>
      </c>
      <c r="C1282" s="16">
        <v>-0.14571856</v>
      </c>
      <c r="D1282" s="16">
        <v>-0.12795255</v>
      </c>
      <c r="E1282" s="16">
        <v>0.85427103999999998</v>
      </c>
      <c r="F1282" s="16">
        <v>-0.13541327</v>
      </c>
      <c r="G1282" s="16">
        <f t="shared" si="206"/>
        <v>1.3887931345751401</v>
      </c>
      <c r="H1282" s="16">
        <f t="shared" si="207"/>
        <v>-1.7049419402049</v>
      </c>
      <c r="I1282" s="16">
        <f t="shared" si="208"/>
        <v>1.3888018501572701</v>
      </c>
      <c r="J1282" s="16">
        <f t="shared" si="209"/>
        <v>-1.7086722870904401</v>
      </c>
      <c r="K1282" s="15">
        <f t="shared" si="210"/>
        <v>-8.7155821300033392E-6</v>
      </c>
      <c r="L1282" s="15">
        <f t="shared" si="211"/>
        <v>3.7303468855400799E-3</v>
      </c>
      <c r="M1282" s="15">
        <f t="shared" si="212"/>
        <v>0.28644943769185499</v>
      </c>
      <c r="N1282" s="15">
        <f t="shared" si="213"/>
        <v>0.35242480111996399</v>
      </c>
      <c r="O1282" s="16">
        <v>10.123355</v>
      </c>
      <c r="P1282" s="16">
        <v>-11.3781</v>
      </c>
      <c r="Q1282" s="16">
        <v>4.8602245000000002</v>
      </c>
      <c r="R1282" s="16">
        <v>-14.475009999999999</v>
      </c>
      <c r="S1282" s="16">
        <f t="shared" si="214"/>
        <v>1.0025925748155273</v>
      </c>
      <c r="T1282" s="16">
        <f t="shared" si="215"/>
        <v>-23.099888960835152</v>
      </c>
    </row>
    <row r="1283" spans="1:20" x14ac:dyDescent="0.35">
      <c r="A1283" s="17">
        <v>4.7249999999999996</v>
      </c>
      <c r="B1283" s="17">
        <v>16.024799999999999</v>
      </c>
      <c r="C1283" s="17">
        <v>-0.15274256</v>
      </c>
      <c r="D1283" s="17">
        <v>-0.12716801999999999</v>
      </c>
      <c r="E1283" s="17">
        <v>0.84724568</v>
      </c>
      <c r="F1283" s="17">
        <v>-0.13470188999999999</v>
      </c>
      <c r="G1283" s="17">
        <f t="shared" si="206"/>
        <v>1.3868949641602399</v>
      </c>
      <c r="H1283" s="17">
        <f t="shared" si="207"/>
        <v>-1.6155540129982799</v>
      </c>
      <c r="I1283" s="17">
        <f t="shared" si="208"/>
        <v>1.38690327397392</v>
      </c>
      <c r="J1283" s="17">
        <f t="shared" si="209"/>
        <v>-1.6193209388452701</v>
      </c>
      <c r="K1283" s="15">
        <f t="shared" si="210"/>
        <v>-8.3098136800518995E-6</v>
      </c>
      <c r="L1283" s="15">
        <f t="shared" si="211"/>
        <v>3.7669258469901199E-3</v>
      </c>
      <c r="M1283" s="15">
        <f t="shared" si="212"/>
        <v>0.30510217801392903</v>
      </c>
      <c r="N1283" s="15">
        <f t="shared" si="213"/>
        <v>0.35623129212869897</v>
      </c>
      <c r="O1283" s="17">
        <v>10.041432</v>
      </c>
      <c r="P1283" s="17">
        <v>-11.899967</v>
      </c>
      <c r="Q1283" s="17">
        <v>4.5831518000000004</v>
      </c>
      <c r="R1283" s="17">
        <v>-14.940433000000001</v>
      </c>
      <c r="S1283" s="17">
        <f t="shared" si="214"/>
        <v>1.0036689224280755</v>
      </c>
      <c r="T1283" s="17">
        <f t="shared" si="215"/>
        <v>-23.10434265568874</v>
      </c>
    </row>
    <row r="1284" spans="1:20" x14ac:dyDescent="0.35">
      <c r="A1284" s="16">
        <v>4.7249999999999996</v>
      </c>
      <c r="B1284" s="16">
        <v>16.073599999999999</v>
      </c>
      <c r="C1284" s="16">
        <v>-0.15993088999999999</v>
      </c>
      <c r="D1284" s="16">
        <v>-0.12597847000000001</v>
      </c>
      <c r="E1284" s="16">
        <v>0.84005585000000005</v>
      </c>
      <c r="F1284" s="16">
        <v>-0.13358607</v>
      </c>
      <c r="G1284" s="16">
        <f t="shared" si="206"/>
        <v>1.3850092970345</v>
      </c>
      <c r="H1284" s="16">
        <f t="shared" si="207"/>
        <v>-1.52770350206562</v>
      </c>
      <c r="I1284" s="16">
        <f t="shared" si="208"/>
        <v>1.38501713596342</v>
      </c>
      <c r="J1284" s="16">
        <f t="shared" si="209"/>
        <v>-1.53150729746707</v>
      </c>
      <c r="K1284" s="15">
        <f t="shared" si="210"/>
        <v>-7.8389289199787305E-6</v>
      </c>
      <c r="L1284" s="15">
        <f t="shared" si="211"/>
        <v>3.8037954014500399E-3</v>
      </c>
      <c r="M1284" s="15">
        <f t="shared" si="212"/>
        <v>0.32483262262283502</v>
      </c>
      <c r="N1284" s="15">
        <f t="shared" si="213"/>
        <v>0.35918944183761797</v>
      </c>
      <c r="O1284" s="16">
        <v>9.9291224000000007</v>
      </c>
      <c r="P1284" s="16">
        <v>-12.433173</v>
      </c>
      <c r="Q1284" s="16">
        <v>4.2724077999999999</v>
      </c>
      <c r="R1284" s="16">
        <v>-15.402815</v>
      </c>
      <c r="S1284" s="16">
        <f t="shared" si="214"/>
        <v>1.004588957714774</v>
      </c>
      <c r="T1284" s="16">
        <f t="shared" si="215"/>
        <v>-23.107972921294625</v>
      </c>
    </row>
    <row r="1285" spans="1:20" x14ac:dyDescent="0.35">
      <c r="A1285" s="17">
        <v>4.7249999999999996</v>
      </c>
      <c r="B1285" s="17">
        <v>16.122399999999999</v>
      </c>
      <c r="C1285" s="17">
        <v>-0.16725039</v>
      </c>
      <c r="D1285" s="17">
        <v>-0.12436248</v>
      </c>
      <c r="E1285" s="17">
        <v>0.83277215999999998</v>
      </c>
      <c r="F1285" s="17">
        <v>-0.13206652999999999</v>
      </c>
      <c r="G1285" s="17">
        <f t="shared" si="206"/>
        <v>1.3829760855786799</v>
      </c>
      <c r="H1285" s="17">
        <f t="shared" si="207"/>
        <v>-1.4416748626075899</v>
      </c>
      <c r="I1285" s="17">
        <f t="shared" si="208"/>
        <v>1.38300219782612</v>
      </c>
      <c r="J1285" s="17">
        <f t="shared" si="209"/>
        <v>-1.4455267435926</v>
      </c>
      <c r="K1285" s="15">
        <f t="shared" si="210"/>
        <v>-2.6112247440091E-5</v>
      </c>
      <c r="L1285" s="15">
        <f t="shared" si="211"/>
        <v>3.8518809850101002E-3</v>
      </c>
      <c r="M1285" s="15">
        <f t="shared" si="212"/>
        <v>0.34555680908928899</v>
      </c>
      <c r="N1285" s="15">
        <f t="shared" si="213"/>
        <v>0.36117918666669502</v>
      </c>
      <c r="O1285" s="17">
        <v>9.7805505999999998</v>
      </c>
      <c r="P1285" s="17">
        <v>-12.968895</v>
      </c>
      <c r="Q1285" s="17">
        <v>3.9285635000000001</v>
      </c>
      <c r="R1285" s="17">
        <v>-15.862526000000001</v>
      </c>
      <c r="S1285" s="17">
        <f t="shared" si="214"/>
        <v>1.0060493879421655</v>
      </c>
      <c r="T1285" s="17">
        <f t="shared" si="215"/>
        <v>-23.111777062624761</v>
      </c>
    </row>
    <row r="1286" spans="1:20" x14ac:dyDescent="0.35">
      <c r="A1286" s="16">
        <v>4.7249999999999996</v>
      </c>
      <c r="B1286" s="16">
        <v>16.171199999999999</v>
      </c>
      <c r="C1286" s="16">
        <v>-0.17465708999999999</v>
      </c>
      <c r="D1286" s="16">
        <v>-0.12228145</v>
      </c>
      <c r="E1286" s="16">
        <v>0.82536591000000004</v>
      </c>
      <c r="F1286" s="16">
        <v>-0.13006201000000001</v>
      </c>
      <c r="G1286" s="16">
        <f t="shared" si="206"/>
        <v>1.3811169278866899</v>
      </c>
      <c r="H1286" s="16">
        <f t="shared" si="207"/>
        <v>-1.3570669614144399</v>
      </c>
      <c r="I1286" s="16">
        <f t="shared" si="208"/>
        <v>1.38114356128177</v>
      </c>
      <c r="J1286" s="16">
        <f t="shared" si="209"/>
        <v>-1.36095709306656</v>
      </c>
      <c r="K1286" s="15">
        <f t="shared" si="210"/>
        <v>-2.6633395080022399E-5</v>
      </c>
      <c r="L1286" s="15">
        <f t="shared" si="211"/>
        <v>3.8901316521200401E-3</v>
      </c>
      <c r="M1286" s="15">
        <f t="shared" si="212"/>
        <v>0.36734869243698798</v>
      </c>
      <c r="N1286" s="15">
        <f t="shared" si="213"/>
        <v>0.36197961067629503</v>
      </c>
      <c r="O1286" s="16">
        <v>9.5991932999999996</v>
      </c>
      <c r="P1286" s="16">
        <v>-13.512423</v>
      </c>
      <c r="Q1286" s="16">
        <v>3.5489103000000002</v>
      </c>
      <c r="R1286" s="16">
        <v>-16.311890999999999</v>
      </c>
      <c r="S1286" s="16">
        <f t="shared" si="214"/>
        <v>1.0071496021490123</v>
      </c>
      <c r="T1286" s="16">
        <f t="shared" si="215"/>
        <v>-23.115573640852922</v>
      </c>
    </row>
    <row r="1287" spans="1:20" x14ac:dyDescent="0.35">
      <c r="A1287" s="17">
        <v>4.7249999999999996</v>
      </c>
      <c r="B1287" s="17">
        <v>16.22</v>
      </c>
      <c r="C1287" s="17">
        <v>-0.18211527999999999</v>
      </c>
      <c r="D1287" s="17">
        <v>-0.11971907</v>
      </c>
      <c r="E1287" s="17">
        <v>0.81790834000000001</v>
      </c>
      <c r="F1287" s="17">
        <v>-0.12757699</v>
      </c>
      <c r="G1287" s="17">
        <f t="shared" si="206"/>
        <v>1.37925940589846</v>
      </c>
      <c r="H1287" s="17">
        <f t="shared" si="207"/>
        <v>-1.2740596496598799</v>
      </c>
      <c r="I1287" s="17">
        <f t="shared" si="208"/>
        <v>1.37928665170049</v>
      </c>
      <c r="J1287" s="17">
        <f t="shared" si="209"/>
        <v>-1.2779884562130099</v>
      </c>
      <c r="K1287" s="15">
        <f t="shared" si="210"/>
        <v>-2.7245802030062498E-5</v>
      </c>
      <c r="L1287" s="15">
        <f t="shared" si="211"/>
        <v>3.9288065531299897E-3</v>
      </c>
      <c r="M1287" s="15">
        <f t="shared" si="212"/>
        <v>0.39010437821463601</v>
      </c>
      <c r="N1287" s="15">
        <f t="shared" si="213"/>
        <v>0.36145415564038702</v>
      </c>
      <c r="O1287" s="17">
        <v>9.3857405000000007</v>
      </c>
      <c r="P1287" s="17">
        <v>-14.063749</v>
      </c>
      <c r="Q1287" s="17">
        <v>3.1341850999999998</v>
      </c>
      <c r="R1287" s="17">
        <v>-16.749203999999999</v>
      </c>
      <c r="S1287" s="17">
        <f t="shared" si="214"/>
        <v>1.0078011299284901</v>
      </c>
      <c r="T1287" s="17">
        <f t="shared" si="215"/>
        <v>-23.119137529636642</v>
      </c>
    </row>
    <row r="1288" spans="1:20" x14ac:dyDescent="0.35">
      <c r="A1288" s="16">
        <v>4.7249999999999996</v>
      </c>
      <c r="B1288" s="16">
        <v>16.268799999999999</v>
      </c>
      <c r="C1288" s="16">
        <v>-0.18957926</v>
      </c>
      <c r="D1288" s="16">
        <v>-0.11665713</v>
      </c>
      <c r="E1288" s="16">
        <v>0.81044503000000001</v>
      </c>
      <c r="F1288" s="16">
        <v>-0.12459333</v>
      </c>
      <c r="G1288" s="16">
        <f t="shared" si="206"/>
        <v>1.3774035552660699</v>
      </c>
      <c r="H1288" s="16">
        <f t="shared" si="207"/>
        <v>-1.1926531782124601</v>
      </c>
      <c r="I1288" s="16">
        <f t="shared" si="208"/>
        <v>1.3774314451145899</v>
      </c>
      <c r="J1288" s="16">
        <f t="shared" si="209"/>
        <v>-1.1966211193521099</v>
      </c>
      <c r="K1288" s="15">
        <f t="shared" si="210"/>
        <v>-2.7889848519979699E-5</v>
      </c>
      <c r="L1288" s="15">
        <f t="shared" si="211"/>
        <v>3.9679411396498204E-3</v>
      </c>
      <c r="M1288" s="15">
        <f t="shared" si="212"/>
        <v>0.413740052151574</v>
      </c>
      <c r="N1288" s="15">
        <f t="shared" si="213"/>
        <v>0.35942992740755297</v>
      </c>
      <c r="O1288" s="16">
        <v>9.1305990000000001</v>
      </c>
      <c r="P1288" s="16">
        <v>-14.607151</v>
      </c>
      <c r="Q1288" s="16">
        <v>2.6845333999999998</v>
      </c>
      <c r="R1288" s="16">
        <v>-17.170756000000001</v>
      </c>
      <c r="S1288" s="16">
        <f t="shared" si="214"/>
        <v>1.0088991064887187</v>
      </c>
      <c r="T1288" s="16">
        <f t="shared" si="215"/>
        <v>-23.122689564268406</v>
      </c>
    </row>
    <row r="1289" spans="1:20" x14ac:dyDescent="0.35">
      <c r="A1289" s="17">
        <v>4.7249999999999996</v>
      </c>
      <c r="B1289" s="17">
        <v>16.317599999999999</v>
      </c>
      <c r="C1289" s="17">
        <v>-0.19700050999999999</v>
      </c>
      <c r="D1289" s="17">
        <v>-0.11308261999999999</v>
      </c>
      <c r="E1289" s="17">
        <v>0.80302443000000001</v>
      </c>
      <c r="F1289" s="17">
        <v>-0.12109788</v>
      </c>
      <c r="G1289" s="17">
        <f t="shared" si="206"/>
        <v>1.3755473468993999</v>
      </c>
      <c r="H1289" s="17">
        <f t="shared" si="207"/>
        <v>-1.1128354118702199</v>
      </c>
      <c r="I1289" s="17">
        <f t="shared" si="208"/>
        <v>1.3755758769833499</v>
      </c>
      <c r="J1289" s="17">
        <f t="shared" si="209"/>
        <v>-1.1168428775590999</v>
      </c>
      <c r="K1289" s="15">
        <f t="shared" si="210"/>
        <v>-2.8530083949984699E-5</v>
      </c>
      <c r="L1289" s="15">
        <f t="shared" si="211"/>
        <v>4.0074656888799999E-3</v>
      </c>
      <c r="M1289" s="15">
        <f t="shared" si="212"/>
        <v>0.43814469862641697</v>
      </c>
      <c r="N1289" s="15">
        <f t="shared" si="213"/>
        <v>0.35573376517354799</v>
      </c>
      <c r="O1289" s="17">
        <v>8.8387878999999998</v>
      </c>
      <c r="P1289" s="17">
        <v>-15.147504</v>
      </c>
      <c r="Q1289" s="17">
        <v>2.2006076999999999</v>
      </c>
      <c r="R1289" s="17">
        <v>-17.572520999999998</v>
      </c>
      <c r="S1289" s="17">
        <f t="shared" si="214"/>
        <v>1.0098115714591815</v>
      </c>
      <c r="T1289" s="17">
        <f t="shared" si="215"/>
        <v>-23.126186223469166</v>
      </c>
    </row>
    <row r="1290" spans="1:20" x14ac:dyDescent="0.35">
      <c r="A1290" s="16">
        <v>4.7249999999999996</v>
      </c>
      <c r="B1290" s="16">
        <v>16.366399999999999</v>
      </c>
      <c r="C1290" s="16">
        <v>-0.20432533999999999</v>
      </c>
      <c r="D1290" s="16">
        <v>-0.10898742</v>
      </c>
      <c r="E1290" s="16">
        <v>0.79566837000000001</v>
      </c>
      <c r="F1290" s="16">
        <v>-0.11708254999999999</v>
      </c>
      <c r="G1290" s="16">
        <f t="shared" si="206"/>
        <v>1.37363711767494</v>
      </c>
      <c r="H1290" s="16">
        <f t="shared" si="207"/>
        <v>-1.0344802361374399</v>
      </c>
      <c r="I1290" s="16">
        <f t="shared" si="208"/>
        <v>1.3736503553336601</v>
      </c>
      <c r="J1290" s="16">
        <f t="shared" si="209"/>
        <v>-1.0385277602866201</v>
      </c>
      <c r="K1290" s="15">
        <f t="shared" si="210"/>
        <v>-1.32376587200778E-5</v>
      </c>
      <c r="L1290" s="15">
        <f t="shared" si="211"/>
        <v>4.0475241491801902E-3</v>
      </c>
      <c r="M1290" s="15">
        <f t="shared" si="212"/>
        <v>0.46321736771335398</v>
      </c>
      <c r="N1290" s="15">
        <f t="shared" si="213"/>
        <v>0.350208547283756</v>
      </c>
      <c r="O1290" s="16">
        <v>8.5076636000000008</v>
      </c>
      <c r="P1290" s="16">
        <v>-15.676898</v>
      </c>
      <c r="Q1290" s="16">
        <v>1.6841419</v>
      </c>
      <c r="R1290" s="16">
        <v>-17.950167</v>
      </c>
      <c r="S1290" s="16">
        <f t="shared" si="214"/>
        <v>1.0107849302623766</v>
      </c>
      <c r="T1290" s="16">
        <f t="shared" si="215"/>
        <v>-23.128168601935617</v>
      </c>
    </row>
    <row r="1291" spans="1:20" x14ac:dyDescent="0.35">
      <c r="A1291" s="17">
        <v>4.7249999999999996</v>
      </c>
      <c r="B1291" s="17">
        <v>16.415199999999999</v>
      </c>
      <c r="C1291" s="17">
        <v>-0.21149957</v>
      </c>
      <c r="D1291" s="17">
        <v>-0.1043752</v>
      </c>
      <c r="E1291" s="17">
        <v>0.78849247</v>
      </c>
      <c r="F1291" s="17">
        <v>-0.11254966</v>
      </c>
      <c r="G1291" s="17">
        <f t="shared" si="206"/>
        <v>1.3717776836370601</v>
      </c>
      <c r="H1291" s="17">
        <f t="shared" si="207"/>
        <v>-0.95783743606732796</v>
      </c>
      <c r="I1291" s="17">
        <f t="shared" si="208"/>
        <v>1.3717904089906801</v>
      </c>
      <c r="J1291" s="17">
        <f t="shared" si="209"/>
        <v>-0.96192463032291398</v>
      </c>
      <c r="K1291" s="15">
        <f t="shared" si="210"/>
        <v>-1.27253536199579E-5</v>
      </c>
      <c r="L1291" s="15">
        <f t="shared" si="211"/>
        <v>4.0871942555860104E-3</v>
      </c>
      <c r="M1291" s="15">
        <f t="shared" si="212"/>
        <v>0.48868459916117402</v>
      </c>
      <c r="N1291" s="15">
        <f t="shared" si="213"/>
        <v>0.34267461655347198</v>
      </c>
      <c r="O1291" s="17">
        <v>8.1381627999999999</v>
      </c>
      <c r="P1291" s="17">
        <v>-16.192267999999999</v>
      </c>
      <c r="Q1291" s="17">
        <v>1.1361242</v>
      </c>
      <c r="R1291" s="17">
        <v>-18.300964</v>
      </c>
      <c r="S1291" s="17">
        <f t="shared" si="214"/>
        <v>1.0118006044368935</v>
      </c>
      <c r="T1291" s="17">
        <f t="shared" si="215"/>
        <v>-23.131537309191643</v>
      </c>
    </row>
    <row r="1292" spans="1:20" x14ac:dyDescent="0.35">
      <c r="A1292" s="16">
        <v>4.7249999999999996</v>
      </c>
      <c r="B1292" s="16">
        <v>16.463999999999999</v>
      </c>
      <c r="C1292" s="16">
        <v>-0.21846916999999999</v>
      </c>
      <c r="D1292" s="16">
        <v>-9.9250675999999996E-2</v>
      </c>
      <c r="E1292" s="16">
        <v>0.78149493000000003</v>
      </c>
      <c r="F1292" s="16">
        <v>-0.10747333000000001</v>
      </c>
      <c r="G1292" s="16">
        <f t="shared" si="206"/>
        <v>1.36995861575424</v>
      </c>
      <c r="H1292" s="16">
        <f t="shared" si="207"/>
        <v>-0.88258506692536298</v>
      </c>
      <c r="I1292" s="16">
        <f t="shared" si="208"/>
        <v>1.36995756906627</v>
      </c>
      <c r="J1292" s="16">
        <f t="shared" si="209"/>
        <v>-0.88669647202836199</v>
      </c>
      <c r="K1292" s="15">
        <f t="shared" si="210"/>
        <v>1.0466879700743399E-6</v>
      </c>
      <c r="L1292" s="15">
        <f t="shared" si="211"/>
        <v>4.1114051029990098E-3</v>
      </c>
      <c r="M1292" s="15">
        <f t="shared" si="212"/>
        <v>0.51443866851001196</v>
      </c>
      <c r="N1292" s="15">
        <f t="shared" si="213"/>
        <v>0.33296721208212199</v>
      </c>
      <c r="O1292" s="16">
        <v>7.7311757999999999</v>
      </c>
      <c r="P1292" s="16">
        <v>-16.689646</v>
      </c>
      <c r="Q1292" s="16">
        <v>0.55906783999999998</v>
      </c>
      <c r="R1292" s="16">
        <v>-18.620950000000001</v>
      </c>
      <c r="S1292" s="16">
        <f t="shared" si="214"/>
        <v>1.012830161920111</v>
      </c>
      <c r="T1292" s="16">
        <f t="shared" si="215"/>
        <v>-23.13536663639206</v>
      </c>
    </row>
    <row r="1293" spans="1:20" x14ac:dyDescent="0.35">
      <c r="A1293" s="17">
        <v>4.7249999999999996</v>
      </c>
      <c r="B1293" s="17">
        <v>16.512799999999999</v>
      </c>
      <c r="C1293" s="17">
        <v>-0.22516832000000001</v>
      </c>
      <c r="D1293" s="17">
        <v>-9.3638388000000003E-2</v>
      </c>
      <c r="E1293" s="17">
        <v>0.77479273000000004</v>
      </c>
      <c r="F1293" s="17">
        <v>-0.1019374</v>
      </c>
      <c r="G1293" s="17">
        <f t="shared" si="206"/>
        <v>1.3680969114016499</v>
      </c>
      <c r="H1293" s="17">
        <f t="shared" si="207"/>
        <v>-0.80914657577004701</v>
      </c>
      <c r="I1293" s="17">
        <f t="shared" si="208"/>
        <v>1.36809465513194</v>
      </c>
      <c r="J1293" s="17">
        <f t="shared" si="209"/>
        <v>-0.81329617194583703</v>
      </c>
      <c r="K1293" s="15">
        <f t="shared" si="210"/>
        <v>2.2562697099548501E-6</v>
      </c>
      <c r="L1293" s="15">
        <f t="shared" si="211"/>
        <v>4.1495961757900303E-3</v>
      </c>
      <c r="M1293" s="15">
        <f t="shared" si="212"/>
        <v>0.54007993452409597</v>
      </c>
      <c r="N1293" s="15">
        <f t="shared" si="213"/>
        <v>0.32106326974199501</v>
      </c>
      <c r="O1293" s="17">
        <v>7.2901667000000003</v>
      </c>
      <c r="P1293" s="17">
        <v>-17.167769</v>
      </c>
      <c r="Q1293" s="17">
        <v>-4.3013471999999997E-2</v>
      </c>
      <c r="R1293" s="17">
        <v>-18.906005</v>
      </c>
      <c r="S1293" s="17">
        <f t="shared" si="214"/>
        <v>1.0136473665496732</v>
      </c>
      <c r="T1293" s="17">
        <f t="shared" si="215"/>
        <v>-23.138501613926564</v>
      </c>
    </row>
    <row r="1294" spans="1:20" x14ac:dyDescent="0.35">
      <c r="A1294" s="16">
        <v>4.7249999999999996</v>
      </c>
      <c r="B1294" s="16">
        <v>16.561599999999999</v>
      </c>
      <c r="C1294" s="16">
        <v>-0.23154545000000001</v>
      </c>
      <c r="D1294" s="16">
        <v>-8.7562346999999999E-2</v>
      </c>
      <c r="E1294" s="16">
        <v>0.76841252999999998</v>
      </c>
      <c r="F1294" s="16">
        <v>-9.5938050999999996E-2</v>
      </c>
      <c r="G1294" s="16">
        <f t="shared" si="206"/>
        <v>1.36623532026053</v>
      </c>
      <c r="H1294" s="16">
        <f t="shared" si="207"/>
        <v>-0.73733652038931996</v>
      </c>
      <c r="I1294" s="16">
        <f t="shared" si="208"/>
        <v>1.3662318487213401</v>
      </c>
      <c r="J1294" s="16">
        <f t="shared" si="209"/>
        <v>-0.74152447491653695</v>
      </c>
      <c r="K1294" s="15">
        <f t="shared" si="210"/>
        <v>3.47153918989207E-6</v>
      </c>
      <c r="L1294" s="15">
        <f t="shared" si="211"/>
        <v>4.1879545272169904E-3</v>
      </c>
      <c r="M1294" s="15">
        <f t="shared" si="212"/>
        <v>0.565388471963018</v>
      </c>
      <c r="N1294" s="15">
        <f t="shared" si="213"/>
        <v>0.30686547835099698</v>
      </c>
      <c r="O1294" s="16">
        <v>6.8150198</v>
      </c>
      <c r="P1294" s="16">
        <v>-17.618012</v>
      </c>
      <c r="Q1294" s="16">
        <v>-0.66682089</v>
      </c>
      <c r="R1294" s="16">
        <v>-19.153694999999999</v>
      </c>
      <c r="S1294" s="16">
        <f t="shared" si="214"/>
        <v>1.0145642066696137</v>
      </c>
      <c r="T1294" s="16">
        <f t="shared" si="215"/>
        <v>-23.141427196638862</v>
      </c>
    </row>
    <row r="1295" spans="1:20" x14ac:dyDescent="0.35">
      <c r="A1295" s="17">
        <v>4.7249999999999996</v>
      </c>
      <c r="B1295" s="17">
        <v>16.610399999999998</v>
      </c>
      <c r="C1295" s="17">
        <v>-0.23754893999999999</v>
      </c>
      <c r="D1295" s="17">
        <v>-8.1058033000000002E-2</v>
      </c>
      <c r="E1295" s="17">
        <v>0.76243384999999997</v>
      </c>
      <c r="F1295" s="17">
        <v>-8.9543237999999997E-2</v>
      </c>
      <c r="G1295" s="17">
        <f t="shared" si="206"/>
        <v>1.3643678064056199</v>
      </c>
      <c r="H1295" s="17">
        <f t="shared" si="207"/>
        <v>-0.66732558909767503</v>
      </c>
      <c r="I1295" s="17">
        <f t="shared" si="208"/>
        <v>1.36437720114823</v>
      </c>
      <c r="J1295" s="17">
        <f t="shared" si="209"/>
        <v>-0.67156818824708298</v>
      </c>
      <c r="K1295" s="15">
        <f t="shared" si="210"/>
        <v>-9.3947426100804404E-6</v>
      </c>
      <c r="L1295" s="15">
        <f t="shared" si="211"/>
        <v>4.2425991494079397E-3</v>
      </c>
      <c r="M1295" s="15">
        <f t="shared" si="212"/>
        <v>0.58999355850056401</v>
      </c>
      <c r="N1295" s="15">
        <f t="shared" si="213"/>
        <v>0.29040422606462801</v>
      </c>
      <c r="O1295" s="17">
        <v>6.3092592999999999</v>
      </c>
      <c r="P1295" s="17">
        <v>-18.038125999999998</v>
      </c>
      <c r="Q1295" s="17">
        <v>-1.3085720999999999</v>
      </c>
      <c r="R1295" s="17">
        <v>-19.361436999999999</v>
      </c>
      <c r="S1295" s="17">
        <f t="shared" si="214"/>
        <v>1.0154845262015118</v>
      </c>
      <c r="T1295" s="17">
        <f t="shared" si="215"/>
        <v>-23.145028508996393</v>
      </c>
    </row>
    <row r="1296" spans="1:20" x14ac:dyDescent="0.35">
      <c r="A1296" s="16">
        <v>4.7249999999999996</v>
      </c>
      <c r="B1296" s="16">
        <v>16.659199999999998</v>
      </c>
      <c r="C1296" s="16">
        <v>-0.24313009999999999</v>
      </c>
      <c r="D1296" s="16">
        <v>-7.4169947E-2</v>
      </c>
      <c r="E1296" s="16">
        <v>0.75685113999999998</v>
      </c>
      <c r="F1296" s="16">
        <v>-8.2734021000000005E-2</v>
      </c>
      <c r="G1296" s="16">
        <f t="shared" si="206"/>
        <v>1.36251900878873</v>
      </c>
      <c r="H1296" s="16">
        <f t="shared" si="207"/>
        <v>-0.59882540028881204</v>
      </c>
      <c r="I1296" s="16">
        <f t="shared" si="208"/>
        <v>1.3625279647213799</v>
      </c>
      <c r="J1296" s="16">
        <f t="shared" si="209"/>
        <v>-0.60310743910470199</v>
      </c>
      <c r="K1296" s="15">
        <f t="shared" si="210"/>
        <v>-8.9559326499344394E-6</v>
      </c>
      <c r="L1296" s="15">
        <f t="shared" si="211"/>
        <v>4.2820388158899504E-3</v>
      </c>
      <c r="M1296" s="15">
        <f t="shared" si="212"/>
        <v>0.61369023243804299</v>
      </c>
      <c r="N1296" s="15">
        <f t="shared" si="213"/>
        <v>0.271642971060019</v>
      </c>
      <c r="O1296" s="16">
        <v>5.7768828000000001</v>
      </c>
      <c r="P1296" s="16">
        <v>-18.425646</v>
      </c>
      <c r="Q1296" s="16">
        <v>-1.9629920000000001</v>
      </c>
      <c r="R1296" s="16">
        <v>-19.527214000000001</v>
      </c>
      <c r="S1296" s="16">
        <f t="shared" si="214"/>
        <v>1.0163445495955972</v>
      </c>
      <c r="T1296" s="16">
        <f t="shared" si="215"/>
        <v>-23.147890380677193</v>
      </c>
    </row>
    <row r="1297" spans="1:20" x14ac:dyDescent="0.35">
      <c r="A1297" s="17">
        <v>4.7249999999999996</v>
      </c>
      <c r="B1297" s="17">
        <v>16.707999999999998</v>
      </c>
      <c r="C1297" s="17">
        <v>-0.24824925</v>
      </c>
      <c r="D1297" s="17">
        <v>-6.6947706999999995E-2</v>
      </c>
      <c r="E1297" s="17">
        <v>0.75172218999999996</v>
      </c>
      <c r="F1297" s="17">
        <v>-7.5585743999999996E-2</v>
      </c>
      <c r="G1297" s="17">
        <f t="shared" si="206"/>
        <v>1.36066085076497</v>
      </c>
      <c r="H1297" s="17">
        <f t="shared" si="207"/>
        <v>-0.53196387429939895</v>
      </c>
      <c r="I1297" s="17">
        <f t="shared" si="208"/>
        <v>1.36066522493302</v>
      </c>
      <c r="J1297" s="17">
        <f t="shared" si="209"/>
        <v>-0.53628293558347995</v>
      </c>
      <c r="K1297" s="15">
        <f t="shared" si="210"/>
        <v>-4.3741680499920196E-6</v>
      </c>
      <c r="L1297" s="15">
        <f t="shared" si="211"/>
        <v>4.3190612840809904E-3</v>
      </c>
      <c r="M1297" s="15">
        <f t="shared" si="212"/>
        <v>0.63611937650188999</v>
      </c>
      <c r="N1297" s="15">
        <f t="shared" si="213"/>
        <v>0.250715576734725</v>
      </c>
      <c r="O1297" s="17">
        <v>5.2212252000000001</v>
      </c>
      <c r="P1297" s="17">
        <v>-18.776389000000002</v>
      </c>
      <c r="Q1297" s="17">
        <v>-2.6254518</v>
      </c>
      <c r="R1297" s="17">
        <v>-19.650033000000001</v>
      </c>
      <c r="S1297" s="17">
        <f t="shared" si="214"/>
        <v>1.0172321631213808</v>
      </c>
      <c r="T1297" s="17">
        <f t="shared" si="215"/>
        <v>-23.150114125054863</v>
      </c>
    </row>
    <row r="1298" spans="1:20" x14ac:dyDescent="0.35">
      <c r="A1298" s="16">
        <v>4.7249999999999996</v>
      </c>
      <c r="B1298" s="16">
        <v>16.756799999999998</v>
      </c>
      <c r="C1298" s="16">
        <v>-0.25287273999999998</v>
      </c>
      <c r="D1298" s="16">
        <v>-5.9451257E-2</v>
      </c>
      <c r="E1298" s="16">
        <v>0.74710162999999996</v>
      </c>
      <c r="F1298" s="16">
        <v>-6.8169466999999997E-2</v>
      </c>
      <c r="G1298" s="16">
        <f t="shared" si="206"/>
        <v>1.3588244525111199</v>
      </c>
      <c r="H1298" s="16">
        <f t="shared" si="207"/>
        <v>-0.46685654943687299</v>
      </c>
      <c r="I1298" s="16">
        <f t="shared" si="208"/>
        <v>1.3588306395127501</v>
      </c>
      <c r="J1298" s="16">
        <f t="shared" si="209"/>
        <v>-0.47121568332938601</v>
      </c>
      <c r="K1298" s="15">
        <f t="shared" si="210"/>
        <v>-6.18700163013131E-6</v>
      </c>
      <c r="L1298" s="15">
        <f t="shared" si="211"/>
        <v>4.3591338925130204E-3</v>
      </c>
      <c r="M1298" s="15">
        <f t="shared" si="212"/>
        <v>0.65692708719100201</v>
      </c>
      <c r="N1298" s="15">
        <f t="shared" si="213"/>
        <v>0.22780936585245901</v>
      </c>
      <c r="O1298" s="16">
        <v>4.6472873999999997</v>
      </c>
      <c r="P1298" s="16">
        <v>-19.089096999999999</v>
      </c>
      <c r="Q1298" s="16">
        <v>-3.2910982999999998</v>
      </c>
      <c r="R1298" s="16">
        <v>-19.729230999999999</v>
      </c>
      <c r="S1298" s="16">
        <f t="shared" si="214"/>
        <v>1.0180792024008605</v>
      </c>
      <c r="T1298" s="16">
        <f t="shared" si="215"/>
        <v>-23.153120458846089</v>
      </c>
    </row>
    <row r="1299" spans="1:20" x14ac:dyDescent="0.35">
      <c r="A1299" s="17">
        <v>4.7249999999999996</v>
      </c>
      <c r="B1299" s="17">
        <v>16.805599999999998</v>
      </c>
      <c r="C1299" s="17">
        <v>-0.25697519000000002</v>
      </c>
      <c r="D1299" s="17">
        <v>-5.1743406999999998E-2</v>
      </c>
      <c r="E1299" s="17">
        <v>0.74300951999999998</v>
      </c>
      <c r="F1299" s="17">
        <v>-6.0559585999999999E-2</v>
      </c>
      <c r="G1299" s="17">
        <f t="shared" si="206"/>
        <v>1.35698983538645</v>
      </c>
      <c r="H1299" s="17">
        <f t="shared" si="207"/>
        <v>-0.40355492936987702</v>
      </c>
      <c r="I1299" s="17">
        <f t="shared" si="208"/>
        <v>1.3570016216491301</v>
      </c>
      <c r="J1299" s="17">
        <f t="shared" si="209"/>
        <v>-0.40796300061468099</v>
      </c>
      <c r="K1299" s="15">
        <f t="shared" si="210"/>
        <v>-1.1786262680058E-5</v>
      </c>
      <c r="L1299" s="15">
        <f t="shared" si="211"/>
        <v>4.40807124480397E-3</v>
      </c>
      <c r="M1299" s="15">
        <f t="shared" si="212"/>
        <v>0.67583558189693405</v>
      </c>
      <c r="N1299" s="15">
        <f t="shared" si="213"/>
        <v>0.20318023760190601</v>
      </c>
      <c r="O1299" s="17">
        <v>4.0596378</v>
      </c>
      <c r="P1299" s="17">
        <v>-19.361937999999999</v>
      </c>
      <c r="Q1299" s="17">
        <v>-3.9546760999999999</v>
      </c>
      <c r="R1299" s="17">
        <v>-19.765305000000001</v>
      </c>
      <c r="S1299" s="17">
        <f t="shared" si="214"/>
        <v>1.018910074370085</v>
      </c>
      <c r="T1299" s="17">
        <f t="shared" si="215"/>
        <v>-23.156160539385102</v>
      </c>
    </row>
    <row r="1300" spans="1:20" x14ac:dyDescent="0.35">
      <c r="A1300" s="16">
        <v>4.7249999999999996</v>
      </c>
      <c r="B1300" s="16">
        <v>16.854399999999998</v>
      </c>
      <c r="C1300" s="16">
        <v>-0.26051834000000001</v>
      </c>
      <c r="D1300" s="16">
        <v>-4.3955582E-2</v>
      </c>
      <c r="E1300" s="16">
        <v>0.73945422999999999</v>
      </c>
      <c r="F1300" s="16">
        <v>-5.2834197999999999E-2</v>
      </c>
      <c r="G1300" s="16">
        <f t="shared" si="206"/>
        <v>1.35513586707026</v>
      </c>
      <c r="H1300" s="16">
        <f t="shared" si="207"/>
        <v>-0.342379926131896</v>
      </c>
      <c r="I1300" s="16">
        <f t="shared" si="208"/>
        <v>1.3551418597601601</v>
      </c>
      <c r="J1300" s="16">
        <f t="shared" si="209"/>
        <v>-0.34681926841407901</v>
      </c>
      <c r="K1300" s="15">
        <f t="shared" si="210"/>
        <v>-5.9926899000917197E-6</v>
      </c>
      <c r="L1300" s="15">
        <f t="shared" si="211"/>
        <v>4.4393422821830102E-3</v>
      </c>
      <c r="M1300" s="15">
        <f t="shared" si="212"/>
        <v>0.69256741590589799</v>
      </c>
      <c r="N1300" s="15">
        <f t="shared" si="213"/>
        <v>0.17724766066515299</v>
      </c>
      <c r="O1300" s="16">
        <v>3.4681473</v>
      </c>
      <c r="P1300" s="16">
        <v>-19.591857999999998</v>
      </c>
      <c r="Q1300" s="16">
        <v>-4.6052860999999998</v>
      </c>
      <c r="R1300" s="16">
        <v>-19.759453000000001</v>
      </c>
      <c r="S1300" s="16">
        <f t="shared" si="214"/>
        <v>1.0197307526886419</v>
      </c>
      <c r="T1300" s="16">
        <f t="shared" si="215"/>
        <v>-23.15807172532368</v>
      </c>
    </row>
    <row r="1301" spans="1:20" x14ac:dyDescent="0.35">
      <c r="A1301" s="17">
        <v>4.7249999999999996</v>
      </c>
      <c r="B1301" s="17">
        <v>16.903200000000002</v>
      </c>
      <c r="C1301" s="17">
        <v>-0.26358353000000001</v>
      </c>
      <c r="D1301" s="17">
        <v>-3.5940758000000003E-2</v>
      </c>
      <c r="E1301" s="17">
        <v>0.73642595</v>
      </c>
      <c r="F1301" s="17">
        <v>-4.4948492E-2</v>
      </c>
      <c r="G1301" s="17">
        <f t="shared" si="206"/>
        <v>1.3533166397810701</v>
      </c>
      <c r="H1301" s="17">
        <f t="shared" si="207"/>
        <v>-0.28213066122257102</v>
      </c>
      <c r="I1301" s="17">
        <f t="shared" si="208"/>
        <v>1.35334166387665</v>
      </c>
      <c r="J1301" s="17">
        <f t="shared" si="209"/>
        <v>-0.28663439416967901</v>
      </c>
      <c r="K1301" s="15">
        <f t="shared" si="210"/>
        <v>-2.5024095579917498E-5</v>
      </c>
      <c r="L1301" s="15">
        <f t="shared" si="211"/>
        <v>4.50373294710799E-3</v>
      </c>
      <c r="M1301" s="15">
        <f t="shared" si="212"/>
        <v>0.70718851444266995</v>
      </c>
      <c r="N1301" s="15">
        <f t="shared" si="213"/>
        <v>0.14978076624078901</v>
      </c>
      <c r="O1301" s="17">
        <v>2.863289</v>
      </c>
      <c r="P1301" s="17">
        <v>-19.784973000000001</v>
      </c>
      <c r="Q1301" s="17">
        <v>-5.2550119999999998</v>
      </c>
      <c r="R1301" s="17">
        <v>-19.712841000000001</v>
      </c>
      <c r="S1301" s="17">
        <f t="shared" si="214"/>
        <v>1.0205175729393532</v>
      </c>
      <c r="T1301" s="17">
        <f t="shared" si="215"/>
        <v>-23.161376292320277</v>
      </c>
    </row>
    <row r="1302" spans="1:20" x14ac:dyDescent="0.35">
      <c r="A1302" s="16">
        <v>4.7249999999999996</v>
      </c>
      <c r="B1302" s="16">
        <v>16.952000000000002</v>
      </c>
      <c r="C1302" s="16">
        <v>-0.26606559000000002</v>
      </c>
      <c r="D1302" s="16">
        <v>-2.8038972999999998E-2</v>
      </c>
      <c r="E1302" s="16">
        <v>0.73390389</v>
      </c>
      <c r="F1302" s="16">
        <v>-3.7098046000000003E-2</v>
      </c>
      <c r="G1302" s="16">
        <f t="shared" si="206"/>
        <v>1.3513880097880799</v>
      </c>
      <c r="H1302" s="16">
        <f t="shared" si="207"/>
        <v>-0.224346908475519</v>
      </c>
      <c r="I1302" s="16">
        <f t="shared" si="208"/>
        <v>1.3513932667744299</v>
      </c>
      <c r="J1302" s="16">
        <f t="shared" si="209"/>
        <v>-0.228876490285226</v>
      </c>
      <c r="K1302" s="15">
        <f t="shared" si="210"/>
        <v>-5.2569863500107104E-6</v>
      </c>
      <c r="L1302" s="15">
        <f t="shared" si="211"/>
        <v>4.5295818097069998E-3</v>
      </c>
      <c r="M1302" s="15">
        <f t="shared" si="212"/>
        <v>0.71934344072124201</v>
      </c>
      <c r="N1302" s="15">
        <f t="shared" si="213"/>
        <v>0.12183041463196601</v>
      </c>
      <c r="O1302" s="16">
        <v>2.2683928</v>
      </c>
      <c r="P1302" s="16">
        <v>-19.935337000000001</v>
      </c>
      <c r="Q1302" s="16">
        <v>-5.8782630999999999</v>
      </c>
      <c r="R1302" s="16">
        <v>-19.629352000000001</v>
      </c>
      <c r="S1302" s="16">
        <f t="shared" si="214"/>
        <v>1.0212639235110954</v>
      </c>
      <c r="T1302" s="16">
        <f t="shared" si="215"/>
        <v>-23.162633020244364</v>
      </c>
    </row>
    <row r="1303" spans="1:20" x14ac:dyDescent="0.35">
      <c r="A1303" s="17">
        <v>4.7249999999999996</v>
      </c>
      <c r="B1303" s="17">
        <v>17</v>
      </c>
      <c r="C1303" s="17">
        <v>-0.26725717999999998</v>
      </c>
      <c r="D1303" s="17">
        <v>-2.5110634E-2</v>
      </c>
      <c r="E1303" s="17">
        <v>0.73273688999999997</v>
      </c>
      <c r="F1303" s="17">
        <v>-3.4271187000000002E-2</v>
      </c>
      <c r="G1303" s="17">
        <f t="shared" si="206"/>
        <v>1.3480193617307401</v>
      </c>
      <c r="H1303" s="17">
        <f t="shared" si="207"/>
        <v>-0.203014150959717</v>
      </c>
      <c r="I1303" s="17">
        <f t="shared" si="208"/>
        <v>1.34803737540127</v>
      </c>
      <c r="J1303" s="17">
        <f t="shared" si="209"/>
        <v>-0.20759435853244099</v>
      </c>
      <c r="K1303" s="15">
        <f t="shared" si="210"/>
        <v>-1.8013670529892802E-5</v>
      </c>
      <c r="L1303" s="15">
        <f t="shared" si="211"/>
        <v>4.5802075727239804E-3</v>
      </c>
      <c r="M1303" s="15">
        <f t="shared" si="212"/>
        <v>0.72463432923058402</v>
      </c>
      <c r="N1303" s="15">
        <f t="shared" si="213"/>
        <v>0.111591860501962</v>
      </c>
      <c r="O1303" s="17">
        <v>2.1285408000000001</v>
      </c>
      <c r="P1303" s="17">
        <v>-20.730298999999999</v>
      </c>
      <c r="Q1303" s="17">
        <v>-6.0982941000000004</v>
      </c>
      <c r="R1303" s="17">
        <v>-19.607362999999999</v>
      </c>
      <c r="S1303" s="17">
        <f t="shared" si="214"/>
        <v>0.9853417892817472</v>
      </c>
      <c r="T1303" s="17">
        <f t="shared" si="215"/>
        <v>-23.139228961421271</v>
      </c>
    </row>
    <row r="1304" spans="1:20" x14ac:dyDescent="0.35">
      <c r="A1304" s="16">
        <v>4.8624999999999998</v>
      </c>
      <c r="B1304" s="16">
        <v>15</v>
      </c>
      <c r="C1304" s="16">
        <v>-5.3277629E-2</v>
      </c>
      <c r="D1304" s="16">
        <v>-0.10414716</v>
      </c>
      <c r="E1304" s="16">
        <v>0.94663900999999995</v>
      </c>
      <c r="F1304" s="16">
        <v>-0.11049041</v>
      </c>
      <c r="G1304" s="16">
        <f t="shared" si="206"/>
        <v>1.3565027743157201</v>
      </c>
      <c r="H1304" s="16">
        <f t="shared" si="207"/>
        <v>-3.7350702122701902</v>
      </c>
      <c r="I1304" s="16">
        <f t="shared" si="208"/>
        <v>1.35647115244024</v>
      </c>
      <c r="J1304" s="16">
        <f t="shared" si="209"/>
        <v>-3.73824206976753</v>
      </c>
      <c r="K1304" s="15">
        <f t="shared" si="210"/>
        <v>3.1621875480114498E-5</v>
      </c>
      <c r="L1304" s="15">
        <f t="shared" si="211"/>
        <v>3.17185749733984E-3</v>
      </c>
      <c r="M1304" s="15">
        <f t="shared" si="212"/>
        <v>8.5774062906310497E-2</v>
      </c>
      <c r="N1304" s="15">
        <f t="shared" si="213"/>
        <v>0.23638114962815801</v>
      </c>
      <c r="O1304" s="16">
        <v>8.6788526000000008</v>
      </c>
      <c r="P1304" s="16">
        <v>-4.3924186000000001</v>
      </c>
      <c r="Q1304" s="16">
        <v>5.9510044000000004</v>
      </c>
      <c r="R1304" s="16">
        <v>-7.0577272999999998</v>
      </c>
      <c r="S1304" s="16">
        <f t="shared" si="214"/>
        <v>0.94908275940453468</v>
      </c>
      <c r="T1304" s="16">
        <f t="shared" si="215"/>
        <v>-23.018509922444469</v>
      </c>
    </row>
    <row r="1305" spans="1:20" x14ac:dyDescent="0.35">
      <c r="A1305" s="17">
        <v>4.8624999999999998</v>
      </c>
      <c r="B1305" s="17">
        <v>15.0488</v>
      </c>
      <c r="C1305" s="17">
        <v>-5.6132286000000003E-2</v>
      </c>
      <c r="D1305" s="17">
        <v>-0.10631635</v>
      </c>
      <c r="E1305" s="17">
        <v>0.94376336999999999</v>
      </c>
      <c r="F1305" s="17">
        <v>-0.11271576</v>
      </c>
      <c r="G1305" s="17">
        <f t="shared" si="206"/>
        <v>1.3542372552517401</v>
      </c>
      <c r="H1305" s="17">
        <f t="shared" si="207"/>
        <v>-3.6126816003128099</v>
      </c>
      <c r="I1305" s="17">
        <f t="shared" si="208"/>
        <v>1.35419532013952</v>
      </c>
      <c r="J1305" s="17">
        <f t="shared" si="209"/>
        <v>-3.61588160644351</v>
      </c>
      <c r="K1305" s="15">
        <f t="shared" si="210"/>
        <v>4.1935112220059502E-5</v>
      </c>
      <c r="L1305" s="15">
        <f t="shared" si="211"/>
        <v>3.2000061307000398E-3</v>
      </c>
      <c r="M1305" s="15">
        <f t="shared" si="212"/>
        <v>9.08341106145477E-2</v>
      </c>
      <c r="N1305" s="15">
        <f t="shared" si="213"/>
        <v>0.24253915585453401</v>
      </c>
      <c r="O1305" s="17">
        <v>8.8468666999999996</v>
      </c>
      <c r="P1305" s="17">
        <v>-4.6227469000000001</v>
      </c>
      <c r="Q1305" s="17">
        <v>6.0157208000000004</v>
      </c>
      <c r="R1305" s="17">
        <v>-7.3261019999999997</v>
      </c>
      <c r="S1305" s="17">
        <f t="shared" si="214"/>
        <v>0.94967465656032191</v>
      </c>
      <c r="T1305" s="17">
        <f t="shared" si="215"/>
        <v>-23.020989274748583</v>
      </c>
    </row>
    <row r="1306" spans="1:20" x14ac:dyDescent="0.35">
      <c r="A1306" s="16">
        <v>4.8624999999999998</v>
      </c>
      <c r="B1306" s="16">
        <v>15.0976</v>
      </c>
      <c r="C1306" s="16">
        <v>-5.9122115000000003E-2</v>
      </c>
      <c r="D1306" s="16">
        <v>-0.10844131</v>
      </c>
      <c r="E1306" s="16">
        <v>0.94076782999999997</v>
      </c>
      <c r="F1306" s="16">
        <v>-0.11490061999999999</v>
      </c>
      <c r="G1306" s="16">
        <f t="shared" si="206"/>
        <v>1.35251065143702</v>
      </c>
      <c r="H1306" s="16">
        <f t="shared" si="207"/>
        <v>-3.4941462669708199</v>
      </c>
      <c r="I1306" s="16">
        <f t="shared" si="208"/>
        <v>1.35246605319353</v>
      </c>
      <c r="J1306" s="16">
        <f t="shared" si="209"/>
        <v>-3.49737624374532</v>
      </c>
      <c r="K1306" s="15">
        <f t="shared" si="210"/>
        <v>4.4598243490012701E-5</v>
      </c>
      <c r="L1306" s="15">
        <f t="shared" si="211"/>
        <v>3.2299767745001002E-3</v>
      </c>
      <c r="M1306" s="15">
        <f t="shared" si="212"/>
        <v>9.6186957412223495E-2</v>
      </c>
      <c r="N1306" s="15">
        <f t="shared" si="213"/>
        <v>0.24873229092687299</v>
      </c>
      <c r="O1306" s="16">
        <v>8.9985526</v>
      </c>
      <c r="P1306" s="16">
        <v>-4.8557828000000001</v>
      </c>
      <c r="Q1306" s="16">
        <v>6.0697260999999996</v>
      </c>
      <c r="R1306" s="16">
        <v>-7.5973642000000003</v>
      </c>
      <c r="S1306" s="16">
        <f t="shared" si="214"/>
        <v>0.95102043579573003</v>
      </c>
      <c r="T1306" s="16">
        <f t="shared" si="215"/>
        <v>-23.025652317199512</v>
      </c>
    </row>
    <row r="1307" spans="1:20" x14ac:dyDescent="0.35">
      <c r="A1307" s="17">
        <v>4.8624999999999998</v>
      </c>
      <c r="B1307" s="17">
        <v>15.1464</v>
      </c>
      <c r="C1307" s="17">
        <v>-6.2267142999999997E-2</v>
      </c>
      <c r="D1307" s="17">
        <v>-0.11054673</v>
      </c>
      <c r="E1307" s="17">
        <v>0.93761934000000002</v>
      </c>
      <c r="F1307" s="17">
        <v>-0.11706925</v>
      </c>
      <c r="G1307" s="17">
        <f t="shared" si="206"/>
        <v>1.35087687658758</v>
      </c>
      <c r="H1307" s="17">
        <f t="shared" si="207"/>
        <v>-3.3781632674342998</v>
      </c>
      <c r="I1307" s="17">
        <f t="shared" si="208"/>
        <v>1.3508307523807299</v>
      </c>
      <c r="J1307" s="17">
        <f t="shared" si="209"/>
        <v>-3.3814248629806101</v>
      </c>
      <c r="K1307" s="15">
        <f t="shared" si="210"/>
        <v>4.6124206850128898E-5</v>
      </c>
      <c r="L1307" s="15">
        <f t="shared" si="211"/>
        <v>3.2615955463102301E-3</v>
      </c>
      <c r="M1307" s="15">
        <f t="shared" si="212"/>
        <v>0.101881996225665</v>
      </c>
      <c r="N1307" s="15">
        <f t="shared" si="213"/>
        <v>0.25503292290347701</v>
      </c>
      <c r="O1307" s="17">
        <v>9.1479695999999997</v>
      </c>
      <c r="P1307" s="17">
        <v>-5.1001205000000001</v>
      </c>
      <c r="Q1307" s="17">
        <v>6.1178283999999996</v>
      </c>
      <c r="R1307" s="17">
        <v>-7.8787538000000001</v>
      </c>
      <c r="S1307" s="17">
        <f t="shared" si="214"/>
        <v>0.95240276076218222</v>
      </c>
      <c r="T1307" s="17">
        <f t="shared" si="215"/>
        <v>-23.030493742719948</v>
      </c>
    </row>
    <row r="1308" spans="1:20" x14ac:dyDescent="0.35">
      <c r="A1308" s="16">
        <v>4.8624999999999998</v>
      </c>
      <c r="B1308" s="16">
        <v>15.1952</v>
      </c>
      <c r="C1308" s="16">
        <v>-6.5582746999999997E-2</v>
      </c>
      <c r="D1308" s="16">
        <v>-0.1126344</v>
      </c>
      <c r="E1308" s="16">
        <v>0.93430099</v>
      </c>
      <c r="F1308" s="16">
        <v>-0.11922178999999999</v>
      </c>
      <c r="G1308" s="16">
        <f t="shared" si="206"/>
        <v>1.34926582322757</v>
      </c>
      <c r="H1308" s="16">
        <f t="shared" si="207"/>
        <v>-3.2642922551863101</v>
      </c>
      <c r="I1308" s="16">
        <f t="shared" si="208"/>
        <v>1.3492185385492601</v>
      </c>
      <c r="J1308" s="16">
        <f t="shared" si="209"/>
        <v>-3.2675862974152299</v>
      </c>
      <c r="K1308" s="15">
        <f t="shared" si="210"/>
        <v>4.7284678309944498E-5</v>
      </c>
      <c r="L1308" s="15">
        <f t="shared" si="211"/>
        <v>3.2940422289198198E-3</v>
      </c>
      <c r="M1308" s="15">
        <f t="shared" si="212"/>
        <v>0.10795898094872899</v>
      </c>
      <c r="N1308" s="15">
        <f t="shared" si="213"/>
        <v>0.26145896810036801</v>
      </c>
      <c r="O1308" s="16">
        <v>9.2954758999999996</v>
      </c>
      <c r="P1308" s="16">
        <v>-5.3571732000000001</v>
      </c>
      <c r="Q1308" s="16">
        <v>6.1594898999999996</v>
      </c>
      <c r="R1308" s="16">
        <v>-8.1712734999999999</v>
      </c>
      <c r="S1308" s="16">
        <f t="shared" si="214"/>
        <v>0.95377214022639945</v>
      </c>
      <c r="T1308" s="16">
        <f t="shared" si="215"/>
        <v>-23.035356169386802</v>
      </c>
    </row>
    <row r="1309" spans="1:20" x14ac:dyDescent="0.35">
      <c r="A1309" s="17">
        <v>4.8624999999999998</v>
      </c>
      <c r="B1309" s="17">
        <v>15.244</v>
      </c>
      <c r="C1309" s="17">
        <v>-6.9080168999999997E-2</v>
      </c>
      <c r="D1309" s="17">
        <v>-0.11469872</v>
      </c>
      <c r="E1309" s="17">
        <v>0.93080116000000002</v>
      </c>
      <c r="F1309" s="17">
        <v>-0.12135209</v>
      </c>
      <c r="G1309" s="17">
        <f t="shared" si="206"/>
        <v>1.3476595366892901</v>
      </c>
      <c r="H1309" s="17">
        <f t="shared" si="207"/>
        <v>-3.15236423924165</v>
      </c>
      <c r="I1309" s="17">
        <f t="shared" si="208"/>
        <v>1.34761126634916</v>
      </c>
      <c r="J1309" s="17">
        <f t="shared" si="209"/>
        <v>-3.1556912822336201</v>
      </c>
      <c r="K1309" s="15">
        <f t="shared" si="210"/>
        <v>4.8270340130107697E-5</v>
      </c>
      <c r="L1309" s="15">
        <f t="shared" si="211"/>
        <v>3.32704299197006E-3</v>
      </c>
      <c r="M1309" s="15">
        <f t="shared" si="212"/>
        <v>0.114452224905205</v>
      </c>
      <c r="N1309" s="15">
        <f t="shared" si="213"/>
        <v>0.26801192404992802</v>
      </c>
      <c r="O1309" s="17">
        <v>9.4406280999999996</v>
      </c>
      <c r="P1309" s="17">
        <v>-5.6278075999999997</v>
      </c>
      <c r="Q1309" s="17">
        <v>6.1939001999999999</v>
      </c>
      <c r="R1309" s="17">
        <v>-8.4754523000000006</v>
      </c>
      <c r="S1309" s="17">
        <f t="shared" si="214"/>
        <v>0.95511783822648177</v>
      </c>
      <c r="T1309" s="17">
        <f t="shared" si="215"/>
        <v>-23.040205021126805</v>
      </c>
    </row>
    <row r="1310" spans="1:20" x14ac:dyDescent="0.35">
      <c r="A1310" s="16">
        <v>4.8624999999999998</v>
      </c>
      <c r="B1310" s="16">
        <v>15.2928</v>
      </c>
      <c r="C1310" s="16">
        <v>-7.2769102000000002E-2</v>
      </c>
      <c r="D1310" s="16">
        <v>-0.116731</v>
      </c>
      <c r="E1310" s="16">
        <v>0.92710996999999995</v>
      </c>
      <c r="F1310" s="16">
        <v>-0.12345123</v>
      </c>
      <c r="G1310" s="16">
        <f t="shared" si="206"/>
        <v>1.34605232529737</v>
      </c>
      <c r="H1310" s="16">
        <f t="shared" si="207"/>
        <v>-3.0422968339068701</v>
      </c>
      <c r="I1310" s="16">
        <f t="shared" si="208"/>
        <v>1.34600314993479</v>
      </c>
      <c r="J1310" s="16">
        <f t="shared" si="209"/>
        <v>-3.0456573173300101</v>
      </c>
      <c r="K1310" s="15">
        <f t="shared" si="210"/>
        <v>4.9175362579978502E-5</v>
      </c>
      <c r="L1310" s="15">
        <f t="shared" si="211"/>
        <v>3.3604834231399901E-3</v>
      </c>
      <c r="M1310" s="15">
        <f t="shared" si="212"/>
        <v>0.121395485006016</v>
      </c>
      <c r="N1310" s="15">
        <f t="shared" si="213"/>
        <v>0.27468661363631403</v>
      </c>
      <c r="O1310" s="16">
        <v>9.5826943999999994</v>
      </c>
      <c r="P1310" s="16">
        <v>-5.9127090999999998</v>
      </c>
      <c r="Q1310" s="16">
        <v>6.2201392000000002</v>
      </c>
      <c r="R1310" s="16">
        <v>-8.7915960000000002</v>
      </c>
      <c r="S1310" s="16">
        <f t="shared" si="214"/>
        <v>0.95643727215860486</v>
      </c>
      <c r="T1310" s="16">
        <f t="shared" si="215"/>
        <v>-23.044829837974994</v>
      </c>
    </row>
    <row r="1311" spans="1:20" x14ac:dyDescent="0.35">
      <c r="A1311" s="17">
        <v>4.8624999999999998</v>
      </c>
      <c r="B1311" s="17">
        <v>15.3416</v>
      </c>
      <c r="C1311" s="17">
        <v>-7.6658558000000002E-2</v>
      </c>
      <c r="D1311" s="17">
        <v>-0.11872059</v>
      </c>
      <c r="E1311" s="17">
        <v>0.92321832999999998</v>
      </c>
      <c r="F1311" s="17">
        <v>-0.12550845999999999</v>
      </c>
      <c r="G1311" s="17">
        <f t="shared" si="206"/>
        <v>1.3444418084437799</v>
      </c>
      <c r="H1311" s="17">
        <f t="shared" si="207"/>
        <v>-2.9340398792190001</v>
      </c>
      <c r="I1311" s="17">
        <f t="shared" si="208"/>
        <v>1.3443917694438801</v>
      </c>
      <c r="J1311" s="17">
        <f t="shared" si="209"/>
        <v>-2.9374341929884902</v>
      </c>
      <c r="K1311" s="15">
        <f t="shared" si="210"/>
        <v>5.0038999899859597E-5</v>
      </c>
      <c r="L1311" s="15">
        <f t="shared" si="211"/>
        <v>3.3943137694900601E-3</v>
      </c>
      <c r="M1311" s="15">
        <f t="shared" si="212"/>
        <v>0.12882364022752901</v>
      </c>
      <c r="N1311" s="15">
        <f t="shared" si="213"/>
        <v>0.28147372980877899</v>
      </c>
      <c r="O1311" s="17">
        <v>9.7207986000000002</v>
      </c>
      <c r="P1311" s="17">
        <v>-6.2124952000000002</v>
      </c>
      <c r="Q1311" s="17">
        <v>6.2371121</v>
      </c>
      <c r="R1311" s="17">
        <v>-9.1198107999999998</v>
      </c>
      <c r="S1311" s="17">
        <f t="shared" si="214"/>
        <v>0.95771840079342074</v>
      </c>
      <c r="T1311" s="17">
        <f t="shared" si="215"/>
        <v>-23.049096230396916</v>
      </c>
    </row>
    <row r="1312" spans="1:20" x14ac:dyDescent="0.35">
      <c r="A1312" s="16">
        <v>4.8624999999999998</v>
      </c>
      <c r="B1312" s="16">
        <v>15.3904</v>
      </c>
      <c r="C1312" s="16">
        <v>-8.0757080999999994E-2</v>
      </c>
      <c r="D1312" s="16">
        <v>-0.12065516</v>
      </c>
      <c r="E1312" s="16">
        <v>0.91911765000000001</v>
      </c>
      <c r="F1312" s="16">
        <v>-0.12751139</v>
      </c>
      <c r="G1312" s="16">
        <f t="shared" si="206"/>
        <v>1.34282747524118</v>
      </c>
      <c r="H1312" s="16">
        <f t="shared" si="207"/>
        <v>-2.8275571703961901</v>
      </c>
      <c r="I1312" s="16">
        <f t="shared" si="208"/>
        <v>1.3427765908606699</v>
      </c>
      <c r="J1312" s="16">
        <f t="shared" si="209"/>
        <v>-2.8309856745763402</v>
      </c>
      <c r="K1312" s="15">
        <f t="shared" si="210"/>
        <v>5.0884380510041203E-5</v>
      </c>
      <c r="L1312" s="15">
        <f t="shared" si="211"/>
        <v>3.42850418015006E-3</v>
      </c>
      <c r="M1312" s="15">
        <f t="shared" si="212"/>
        <v>0.13677337847951501</v>
      </c>
      <c r="N1312" s="15">
        <f t="shared" si="213"/>
        <v>0.28836031084719199</v>
      </c>
      <c r="O1312" s="16">
        <v>9.8465880000000006</v>
      </c>
      <c r="P1312" s="16">
        <v>-6.5228628000000004</v>
      </c>
      <c r="Q1312" s="16">
        <v>6.2436660000000002</v>
      </c>
      <c r="R1312" s="16">
        <v>-9.4607790000000005</v>
      </c>
      <c r="S1312" s="16">
        <f t="shared" si="214"/>
        <v>0.9597151220440302</v>
      </c>
      <c r="T1312" s="16">
        <f t="shared" si="215"/>
        <v>-23.054635199926604</v>
      </c>
    </row>
    <row r="1313" spans="1:20" x14ac:dyDescent="0.35">
      <c r="A1313" s="17">
        <v>4.8624999999999998</v>
      </c>
      <c r="B1313" s="17">
        <v>15.4392</v>
      </c>
      <c r="C1313" s="17">
        <v>-8.5072719000000005E-2</v>
      </c>
      <c r="D1313" s="17">
        <v>-0.12252078</v>
      </c>
      <c r="E1313" s="17">
        <v>0.91479986000000002</v>
      </c>
      <c r="F1313" s="17">
        <v>-0.12944605000000001</v>
      </c>
      <c r="G1313" s="17">
        <f t="shared" si="206"/>
        <v>1.3412090335478399</v>
      </c>
      <c r="H1313" s="17">
        <f t="shared" si="207"/>
        <v>-2.7228194773685899</v>
      </c>
      <c r="I1313" s="17">
        <f t="shared" si="208"/>
        <v>1.3411573109778201</v>
      </c>
      <c r="J1313" s="17">
        <f t="shared" si="209"/>
        <v>-2.7262825120966299</v>
      </c>
      <c r="K1313" s="15">
        <f t="shared" si="210"/>
        <v>5.1722570019840903E-5</v>
      </c>
      <c r="L1313" s="15">
        <f t="shared" si="211"/>
        <v>3.4630347280399901E-3</v>
      </c>
      <c r="M1313" s="15">
        <f t="shared" si="212"/>
        <v>0.14528338495956</v>
      </c>
      <c r="N1313" s="15">
        <f t="shared" si="213"/>
        <v>0.29532967420851902</v>
      </c>
      <c r="O1313" s="17">
        <v>9.9736048999999998</v>
      </c>
      <c r="P1313" s="17">
        <v>-6.8538661999999997</v>
      </c>
      <c r="Q1313" s="17">
        <v>6.2386723000000002</v>
      </c>
      <c r="R1313" s="17">
        <v>-9.8140563000000007</v>
      </c>
      <c r="S1313" s="17">
        <f t="shared" si="214"/>
        <v>0.96095976192855159</v>
      </c>
      <c r="T1313" s="17">
        <f t="shared" si="215"/>
        <v>-23.059523704615739</v>
      </c>
    </row>
    <row r="1314" spans="1:20" x14ac:dyDescent="0.35">
      <c r="A1314" s="16">
        <v>4.8624999999999998</v>
      </c>
      <c r="B1314" s="16">
        <v>15.488</v>
      </c>
      <c r="C1314" s="16">
        <v>-8.9612905000000007E-2</v>
      </c>
      <c r="D1314" s="16">
        <v>-0.12430186999999999</v>
      </c>
      <c r="E1314" s="16">
        <v>0.91025750999999999</v>
      </c>
      <c r="F1314" s="16">
        <v>-0.13129684</v>
      </c>
      <c r="G1314" s="16">
        <f t="shared" si="206"/>
        <v>1.3395865617568601</v>
      </c>
      <c r="H1314" s="16">
        <f t="shared" si="207"/>
        <v>-2.61980160400446</v>
      </c>
      <c r="I1314" s="16">
        <f t="shared" si="208"/>
        <v>1.3395339996881701</v>
      </c>
      <c r="J1314" s="16">
        <f t="shared" si="209"/>
        <v>-2.6232994994768899</v>
      </c>
      <c r="K1314" s="15">
        <f t="shared" si="210"/>
        <v>5.2562068689976398E-5</v>
      </c>
      <c r="L1314" s="15">
        <f t="shared" si="211"/>
        <v>3.49789547242985E-3</v>
      </c>
      <c r="M1314" s="15">
        <f t="shared" si="212"/>
        <v>0.15439442518363</v>
      </c>
      <c r="N1314" s="15">
        <f t="shared" si="213"/>
        <v>0.302360984044095</v>
      </c>
      <c r="O1314" s="16">
        <v>10.093361</v>
      </c>
      <c r="P1314" s="16">
        <v>-7.2013351999999999</v>
      </c>
      <c r="Q1314" s="16">
        <v>6.2210878000000003</v>
      </c>
      <c r="R1314" s="16">
        <v>-10.180163</v>
      </c>
      <c r="S1314" s="16">
        <f t="shared" si="214"/>
        <v>0.96221758555890968</v>
      </c>
      <c r="T1314" s="16">
        <f t="shared" si="215"/>
        <v>-23.064125944654513</v>
      </c>
    </row>
    <row r="1315" spans="1:20" x14ac:dyDescent="0.35">
      <c r="A1315" s="17">
        <v>4.8624999999999998</v>
      </c>
      <c r="B1315" s="17">
        <v>15.536799999999999</v>
      </c>
      <c r="C1315" s="17">
        <v>-9.4384265999999994E-2</v>
      </c>
      <c r="D1315" s="17">
        <v>-0.12598114999999999</v>
      </c>
      <c r="E1315" s="17">
        <v>0.90548397999999997</v>
      </c>
      <c r="F1315" s="17">
        <v>-0.13304648999999999</v>
      </c>
      <c r="G1315" s="17">
        <f t="shared" si="206"/>
        <v>1.33796007505613</v>
      </c>
      <c r="H1315" s="17">
        <f t="shared" si="207"/>
        <v>-2.5184813310720502</v>
      </c>
      <c r="I1315" s="17">
        <f t="shared" si="208"/>
        <v>1.3379066757843101</v>
      </c>
      <c r="J1315" s="17">
        <f t="shared" si="209"/>
        <v>-2.5220144224635299</v>
      </c>
      <c r="K1315" s="15">
        <f t="shared" si="210"/>
        <v>5.3399271819909397E-5</v>
      </c>
      <c r="L1315" s="15">
        <f t="shared" si="211"/>
        <v>3.5330913914797301E-3</v>
      </c>
      <c r="M1315" s="15">
        <f t="shared" si="212"/>
        <v>0.16414923021337399</v>
      </c>
      <c r="N1315" s="15">
        <f t="shared" si="213"/>
        <v>0.30942870196213501</v>
      </c>
      <c r="O1315" s="17">
        <v>10.200476</v>
      </c>
      <c r="P1315" s="17">
        <v>-7.5627373000000002</v>
      </c>
      <c r="Q1315" s="17">
        <v>6.1894413999999998</v>
      </c>
      <c r="R1315" s="17">
        <v>-10.558870000000001</v>
      </c>
      <c r="S1315" s="17">
        <f t="shared" si="214"/>
        <v>0.96385478864914831</v>
      </c>
      <c r="T1315" s="17">
        <f t="shared" si="215"/>
        <v>-23.068231239675587</v>
      </c>
    </row>
    <row r="1316" spans="1:20" x14ac:dyDescent="0.35">
      <c r="A1316" s="16">
        <v>4.8624999999999998</v>
      </c>
      <c r="B1316" s="16">
        <v>15.585599999999999</v>
      </c>
      <c r="C1316" s="16">
        <v>-9.9392408000000002E-2</v>
      </c>
      <c r="D1316" s="16">
        <v>-0.12753961</v>
      </c>
      <c r="E1316" s="16">
        <v>0.90047365999999995</v>
      </c>
      <c r="F1316" s="16">
        <v>-0.13467597000000001</v>
      </c>
      <c r="G1316" s="16">
        <f t="shared" si="206"/>
        <v>1.33632992630741</v>
      </c>
      <c r="H1316" s="16">
        <f t="shared" si="207"/>
        <v>-2.4188382381484099</v>
      </c>
      <c r="I1316" s="16">
        <f t="shared" si="208"/>
        <v>1.3362756901271899</v>
      </c>
      <c r="J1316" s="16">
        <f t="shared" si="209"/>
        <v>-2.4224068506485801</v>
      </c>
      <c r="K1316" s="15">
        <f t="shared" si="210"/>
        <v>5.4236180220046399E-5</v>
      </c>
      <c r="L1316" s="15">
        <f t="shared" si="211"/>
        <v>3.5686125001701502E-3</v>
      </c>
      <c r="M1316" s="15">
        <f t="shared" si="212"/>
        <v>0.174592398818224</v>
      </c>
      <c r="N1316" s="15">
        <f t="shared" si="213"/>
        <v>0.31650192104309</v>
      </c>
      <c r="O1316" s="16">
        <v>10.301581000000001</v>
      </c>
      <c r="P1316" s="16">
        <v>-7.9441800999999996</v>
      </c>
      <c r="Q1316" s="16">
        <v>6.1420294000000002</v>
      </c>
      <c r="R1316" s="16">
        <v>-10.949521000000001</v>
      </c>
      <c r="S1316" s="16">
        <f t="shared" si="214"/>
        <v>0.96507022187132929</v>
      </c>
      <c r="T1316" s="16">
        <f t="shared" si="215"/>
        <v>-23.072152176435303</v>
      </c>
    </row>
    <row r="1317" spans="1:20" x14ac:dyDescent="0.35">
      <c r="A1317" s="17">
        <v>4.8624999999999998</v>
      </c>
      <c r="B1317" s="17">
        <v>15.634399999999999</v>
      </c>
      <c r="C1317" s="17">
        <v>-0.10464163999999999</v>
      </c>
      <c r="D1317" s="17">
        <v>-0.1289565</v>
      </c>
      <c r="E1317" s="17">
        <v>0.89522223999999995</v>
      </c>
      <c r="F1317" s="17">
        <v>-0.13616454</v>
      </c>
      <c r="G1317" s="17">
        <f t="shared" ref="G1317:G1380" si="216">IMREAL(IMDIV(IMSUM(IMPRODUCT(COMPLEX(1 + C1317,D1317),COMPLEX(1 - C1317, - D1317)),IMPRODUCT(COMPLEX(E1317,F1317),COMPLEX(E1317,F1317))),IMSUB(IMPRODUCT(COMPLEX(1 - C1317, - D1317),COMPLEX(1 - C1317, - D1317)),IMPRODUCT(COMPLEX(E1317,F1317),COMPLEX(E1317,F1317)))))</f>
        <v>1.33469577198037</v>
      </c>
      <c r="H1317" s="17">
        <f t="shared" ref="H1317:H1380" si="217">IMAGINARY(IMDIV(IMSUM(IMPRODUCT(COMPLEX(1 + C1317,D1317),COMPLEX(1 - C1317, - D1317)),IMPRODUCT(COMPLEX(E1317,F1317),COMPLEX(E1317,F1317))),IMSUB(IMPRODUCT(COMPLEX(1 - C1317, - D1317),COMPLEX(1 - C1317, - D1317)),IMPRODUCT(COMPLEX(E1317,F1317),COMPLEX(E1317,F1317)))))</f>
        <v>-2.3208534085040098</v>
      </c>
      <c r="I1317" s="17">
        <f t="shared" ref="I1317:I1380" si="218">IMREAL(IMDIV(IMPRODUCT(COMPLEX(2,0),COMPLEX(E1317,F1317)),IMSUB(IMPRODUCT(COMPLEX(1 - C1317, - D1317),COMPLEX(1 - C1317, - D1317)),IMPRODUCT(COMPLEX(E1317,F1317),COMPLEX(E1317,F1317)))))</f>
        <v>1.3346406987917201</v>
      </c>
      <c r="J1317" s="17">
        <f t="shared" ref="J1317:J1380" si="219">IMAGINARY(IMDIV(IMPRODUCT(COMPLEX(2,0),COMPLEX(E1317,F1317)),IMSUB(IMPRODUCT(COMPLEX(1 - C1317, - D1317),COMPLEX(1 - C1317, - D1317)),IMPRODUCT(COMPLEX(E1317,F1317),COMPLEX(E1317,F1317)))))</f>
        <v>-2.3244578723086802</v>
      </c>
      <c r="K1317" s="15">
        <f t="shared" ref="K1317:K1380" si="220">IMREAL(IMSUB(COMPLEX(G1317,H1317),COMPLEX(I1317,J1317)))</f>
        <v>5.5073188649945599E-5</v>
      </c>
      <c r="L1317" s="15">
        <f t="shared" ref="L1317:L1380" si="221">IMAGINARY(IMSUB(COMPLEX(G1317,H1317),COMPLEX(I1317,J1317)))</f>
        <v>3.6044638046703898E-3</v>
      </c>
      <c r="M1317" s="15">
        <f t="shared" ref="M1317:M1380" si="222">IMREAL(IMDIV(IMSUB(IMPRODUCT(COMPLEX(1 - C1317, - D1317),COMPLEX(1 - C1317, - D1317)),IMPRODUCT(COMPLEX(E1317,F1317),COMPLEX(E1317,F1317))),IMPRODUCT(COMPLEX(2,0),COMPLEX(E1317,F1317))))</f>
        <v>0.18577003447273499</v>
      </c>
      <c r="N1317" s="15">
        <f t="shared" ref="N1317:N1380" si="223">IMAGINARY(IMDIV(IMSUB(IMPRODUCT(COMPLEX(1 - C1317, - D1317),COMPLEX(1 - C1317, - D1317)),IMPRODUCT(COMPLEX(E1317,F1317),COMPLEX(E1317,F1317))),IMPRODUCT(COMPLEX(2,0),COMPLEX(E1317,F1317))))</f>
        <v>0.32354372188719699</v>
      </c>
      <c r="O1317" s="17">
        <v>10.402001</v>
      </c>
      <c r="P1317" s="17">
        <v>-8.3517948999999998</v>
      </c>
      <c r="Q1317" s="17">
        <v>6.0772729999999999</v>
      </c>
      <c r="R1317" s="17">
        <v>-11.352319</v>
      </c>
      <c r="S1317" s="17">
        <f t="shared" ref="S1317:S1380" si="224">IMABS(COMPLEX(Q1317,R1317))/IMABS(COMPLEX(O1317,P1317))</f>
        <v>0.96527098823738189</v>
      </c>
      <c r="T1317" s="17">
        <f t="shared" ref="T1317:T1380" si="225">IMARGUMENT(IMDIV(COMPLEX(Q1317,R1317),COMPLEX(O1317/B1317,P1317/B1317)))/PI()*180</f>
        <v>-23.077303725035691</v>
      </c>
    </row>
    <row r="1318" spans="1:20" x14ac:dyDescent="0.35">
      <c r="A1318" s="16">
        <v>4.8624999999999998</v>
      </c>
      <c r="B1318" s="16">
        <v>15.683199999999999</v>
      </c>
      <c r="C1318" s="16">
        <v>-0.11013468999999999</v>
      </c>
      <c r="D1318" s="16">
        <v>-0.13020926999999999</v>
      </c>
      <c r="E1318" s="16">
        <v>0.88972700000000005</v>
      </c>
      <c r="F1318" s="16">
        <v>-0.13748964999999999</v>
      </c>
      <c r="G1318" s="16">
        <f t="shared" si="216"/>
        <v>1.3330580966186001</v>
      </c>
      <c r="H1318" s="16">
        <f t="shared" si="217"/>
        <v>-2.22450939273496</v>
      </c>
      <c r="I1318" s="16">
        <f t="shared" si="218"/>
        <v>1.3330021903929301</v>
      </c>
      <c r="J1318" s="16">
        <f t="shared" si="219"/>
        <v>-2.2281500380130601</v>
      </c>
      <c r="K1318" s="15">
        <f t="shared" si="220"/>
        <v>5.5906225669977202E-5</v>
      </c>
      <c r="L1318" s="15">
        <f t="shared" si="221"/>
        <v>3.6406452781001502E-3</v>
      </c>
      <c r="M1318" s="15">
        <f t="shared" si="222"/>
        <v>0.19772940915114601</v>
      </c>
      <c r="N1318" s="15">
        <f t="shared" si="223"/>
        <v>0.330510177471319</v>
      </c>
      <c r="O1318" s="16">
        <v>10.478265</v>
      </c>
      <c r="P1318" s="16">
        <v>-8.7686849999999996</v>
      </c>
      <c r="Q1318" s="16">
        <v>5.9934700000000003</v>
      </c>
      <c r="R1318" s="16">
        <v>-11.765845000000001</v>
      </c>
      <c r="S1318" s="16">
        <f t="shared" si="224"/>
        <v>0.96642027256035279</v>
      </c>
      <c r="T1318" s="16">
        <f t="shared" si="225"/>
        <v>-23.081791850760208</v>
      </c>
    </row>
    <row r="1319" spans="1:20" x14ac:dyDescent="0.35">
      <c r="A1319" s="17">
        <v>4.8624999999999998</v>
      </c>
      <c r="B1319" s="17">
        <v>15.731999999999999</v>
      </c>
      <c r="C1319" s="17">
        <v>-0.11586869</v>
      </c>
      <c r="D1319" s="17">
        <v>-0.13127256000000001</v>
      </c>
      <c r="E1319" s="17">
        <v>0.88399145999999995</v>
      </c>
      <c r="F1319" s="17">
        <v>-0.13862566000000001</v>
      </c>
      <c r="G1319" s="17">
        <f t="shared" si="216"/>
        <v>1.3314268780627401</v>
      </c>
      <c r="H1319" s="17">
        <f t="shared" si="217"/>
        <v>-2.12985524266912</v>
      </c>
      <c r="I1319" s="17">
        <f t="shared" si="218"/>
        <v>1.3313704678459499</v>
      </c>
      <c r="J1319" s="17">
        <f t="shared" si="219"/>
        <v>-2.13353225717933</v>
      </c>
      <c r="K1319" s="15">
        <f t="shared" si="220"/>
        <v>5.64102167901481E-5</v>
      </c>
      <c r="L1319" s="15">
        <f t="shared" si="221"/>
        <v>3.6770145102100701E-3</v>
      </c>
      <c r="M1319" s="15">
        <f t="shared" si="222"/>
        <v>0.21050975555408899</v>
      </c>
      <c r="N1319" s="15">
        <f t="shared" si="223"/>
        <v>0.33734363557893898</v>
      </c>
      <c r="O1319" s="17">
        <v>10.539334</v>
      </c>
      <c r="P1319" s="17">
        <v>-9.2028256000000006</v>
      </c>
      <c r="Q1319" s="17">
        <v>5.8897675999999999</v>
      </c>
      <c r="R1319" s="17">
        <v>-12.190398</v>
      </c>
      <c r="S1319" s="17">
        <f t="shared" si="224"/>
        <v>0.96761573694027103</v>
      </c>
      <c r="T1319" s="17">
        <f t="shared" si="225"/>
        <v>-23.085488519629191</v>
      </c>
    </row>
    <row r="1320" spans="1:20" x14ac:dyDescent="0.35">
      <c r="A1320" s="16">
        <v>4.8624999999999998</v>
      </c>
      <c r="B1320" s="16">
        <v>15.780799999999999</v>
      </c>
      <c r="C1320" s="16">
        <v>-0.12185024</v>
      </c>
      <c r="D1320" s="16">
        <v>-0.13212319</v>
      </c>
      <c r="E1320" s="16">
        <v>0.87800736000000001</v>
      </c>
      <c r="F1320" s="16">
        <v>-0.13954963000000001</v>
      </c>
      <c r="G1320" s="16">
        <f t="shared" si="216"/>
        <v>1.3297815884273401</v>
      </c>
      <c r="H1320" s="16">
        <f t="shared" si="217"/>
        <v>-2.0367268701803298</v>
      </c>
      <c r="I1320" s="16">
        <f t="shared" si="218"/>
        <v>1.32972417411567</v>
      </c>
      <c r="J1320" s="16">
        <f t="shared" si="219"/>
        <v>-2.0404405677875701</v>
      </c>
      <c r="K1320" s="15">
        <f t="shared" si="220"/>
        <v>5.7414311670056499E-5</v>
      </c>
      <c r="L1320" s="15">
        <f t="shared" si="221"/>
        <v>3.71369760724027E-3</v>
      </c>
      <c r="M1320" s="15">
        <f t="shared" si="222"/>
        <v>0.22417766274829101</v>
      </c>
      <c r="N1320" s="15">
        <f t="shared" si="223"/>
        <v>0.343997053199111</v>
      </c>
      <c r="O1320" s="16">
        <v>10.582096</v>
      </c>
      <c r="P1320" s="16">
        <v>-9.6534773999999999</v>
      </c>
      <c r="Q1320" s="16">
        <v>5.7635322000000002</v>
      </c>
      <c r="R1320" s="16">
        <v>-12.625026999999999</v>
      </c>
      <c r="S1320" s="16">
        <f t="shared" si="224"/>
        <v>0.96890599476335082</v>
      </c>
      <c r="T1320" s="16">
        <f t="shared" si="225"/>
        <v>-23.090006421149202</v>
      </c>
    </row>
    <row r="1321" spans="1:20" x14ac:dyDescent="0.35">
      <c r="A1321" s="17">
        <v>4.8624999999999998</v>
      </c>
      <c r="B1321" s="17">
        <v>15.829599999999999</v>
      </c>
      <c r="C1321" s="17">
        <v>-0.12808579</v>
      </c>
      <c r="D1321" s="17">
        <v>-0.13272492999999999</v>
      </c>
      <c r="E1321" s="17">
        <v>0.87183222999999999</v>
      </c>
      <c r="F1321" s="17">
        <v>-0.14017455000000001</v>
      </c>
      <c r="G1321" s="17">
        <f t="shared" si="216"/>
        <v>1.3285674031952599</v>
      </c>
      <c r="H1321" s="17">
        <f t="shared" si="217"/>
        <v>-1.9454719501086499</v>
      </c>
      <c r="I1321" s="17">
        <f t="shared" si="218"/>
        <v>1.3285402872382699</v>
      </c>
      <c r="J1321" s="17">
        <f t="shared" si="219"/>
        <v>-1.9491970138007999</v>
      </c>
      <c r="K1321" s="15">
        <f t="shared" si="220"/>
        <v>2.7115956990009201E-5</v>
      </c>
      <c r="L1321" s="15">
        <f t="shared" si="221"/>
        <v>3.7250636921499799E-3</v>
      </c>
      <c r="M1321" s="15">
        <f t="shared" si="222"/>
        <v>0.23875765262609</v>
      </c>
      <c r="N1321" s="15">
        <f t="shared" si="223"/>
        <v>0.35029852537501299</v>
      </c>
      <c r="O1321" s="17">
        <v>10.606285</v>
      </c>
      <c r="P1321" s="17">
        <v>-10.122873</v>
      </c>
      <c r="Q1321" s="17">
        <v>5.6119082000000002</v>
      </c>
      <c r="R1321" s="17">
        <v>-13.068509000000001</v>
      </c>
      <c r="S1321" s="17">
        <f t="shared" si="224"/>
        <v>0.97004335992211554</v>
      </c>
      <c r="T1321" s="17">
        <f t="shared" si="225"/>
        <v>-23.096157021078124</v>
      </c>
    </row>
    <row r="1322" spans="1:20" x14ac:dyDescent="0.35">
      <c r="A1322" s="16">
        <v>4.8624999999999998</v>
      </c>
      <c r="B1322" s="16">
        <v>15.878399999999999</v>
      </c>
      <c r="C1322" s="16">
        <v>-0.13454250000000001</v>
      </c>
      <c r="D1322" s="16">
        <v>-0.13306319</v>
      </c>
      <c r="E1322" s="16">
        <v>0.86537503000000005</v>
      </c>
      <c r="F1322" s="16">
        <v>-0.14058622000000001</v>
      </c>
      <c r="G1322" s="16">
        <f t="shared" si="216"/>
        <v>1.3269198375573199</v>
      </c>
      <c r="H1322" s="16">
        <f t="shared" si="217"/>
        <v>-1.85544544548225</v>
      </c>
      <c r="I1322" s="16">
        <f t="shared" si="218"/>
        <v>1.32689275140223</v>
      </c>
      <c r="J1322" s="16">
        <f t="shared" si="219"/>
        <v>-1.8592072174839001</v>
      </c>
      <c r="K1322" s="15">
        <f t="shared" si="220"/>
        <v>2.7086155089950401E-5</v>
      </c>
      <c r="L1322" s="15">
        <f t="shared" si="221"/>
        <v>3.7617720016500699E-3</v>
      </c>
      <c r="M1322" s="15">
        <f t="shared" si="222"/>
        <v>0.25432576361943199</v>
      </c>
      <c r="N1322" s="15">
        <f t="shared" si="223"/>
        <v>0.35635456958647299</v>
      </c>
      <c r="O1322" s="16">
        <v>10.606730000000001</v>
      </c>
      <c r="P1322" s="16">
        <v>-10.604856</v>
      </c>
      <c r="Q1322" s="16">
        <v>5.4360248999999996</v>
      </c>
      <c r="R1322" s="16">
        <v>-13.519284000000001</v>
      </c>
      <c r="S1322" s="16">
        <f t="shared" si="224"/>
        <v>0.97149091886166139</v>
      </c>
      <c r="T1322" s="16">
        <f t="shared" si="225"/>
        <v>-23.100291456164143</v>
      </c>
    </row>
    <row r="1323" spans="1:20" x14ac:dyDescent="0.35">
      <c r="A1323" s="17">
        <v>4.8624999999999998</v>
      </c>
      <c r="B1323" s="17">
        <v>15.927199999999999</v>
      </c>
      <c r="C1323" s="17">
        <v>-0.14121874000000001</v>
      </c>
      <c r="D1323" s="17">
        <v>-0.1331011</v>
      </c>
      <c r="E1323" s="17">
        <v>0.85869872000000003</v>
      </c>
      <c r="F1323" s="17">
        <v>-0.1406982</v>
      </c>
      <c r="G1323" s="17">
        <f t="shared" si="216"/>
        <v>1.3252713060929</v>
      </c>
      <c r="H1323" s="17">
        <f t="shared" si="217"/>
        <v>-1.7670171183460699</v>
      </c>
      <c r="I1323" s="17">
        <f t="shared" si="218"/>
        <v>1.3252444649500901</v>
      </c>
      <c r="J1323" s="17">
        <f t="shared" si="219"/>
        <v>-1.7708159270803301</v>
      </c>
      <c r="K1323" s="15">
        <f t="shared" si="220"/>
        <v>2.6841142809930202E-5</v>
      </c>
      <c r="L1323" s="15">
        <f t="shared" si="221"/>
        <v>3.7988087342601998E-3</v>
      </c>
      <c r="M1323" s="15">
        <f t="shared" si="222"/>
        <v>0.270896910412045</v>
      </c>
      <c r="N1323" s="15">
        <f t="shared" si="223"/>
        <v>0.361977413406944</v>
      </c>
      <c r="O1323" s="17">
        <v>10.593695</v>
      </c>
      <c r="P1323" s="17">
        <v>-11.112100999999999</v>
      </c>
      <c r="Q1323" s="17">
        <v>5.2325153999999996</v>
      </c>
      <c r="R1323" s="17">
        <v>-13.974481000000001</v>
      </c>
      <c r="S1323" s="17">
        <f t="shared" si="224"/>
        <v>0.97194515577268614</v>
      </c>
      <c r="T1323" s="17">
        <f t="shared" si="225"/>
        <v>-23.104258725073979</v>
      </c>
    </row>
    <row r="1324" spans="1:20" x14ac:dyDescent="0.35">
      <c r="A1324" s="16">
        <v>4.8624999999999998</v>
      </c>
      <c r="B1324" s="16">
        <v>15.976000000000001</v>
      </c>
      <c r="C1324" s="16">
        <v>-0.14810016000000001</v>
      </c>
      <c r="D1324" s="16">
        <v>-0.13280887</v>
      </c>
      <c r="E1324" s="16">
        <v>0.85181719</v>
      </c>
      <c r="F1324" s="16">
        <v>-0.14048126999999999</v>
      </c>
      <c r="G1324" s="16">
        <f t="shared" si="216"/>
        <v>1.3236174526745901</v>
      </c>
      <c r="H1324" s="16">
        <f t="shared" si="217"/>
        <v>-1.6801664099401601</v>
      </c>
      <c r="I1324" s="16">
        <f t="shared" si="218"/>
        <v>1.32359084400521</v>
      </c>
      <c r="J1324" s="16">
        <f t="shared" si="219"/>
        <v>-1.6840028705580801</v>
      </c>
      <c r="K1324" s="15">
        <f t="shared" si="220"/>
        <v>2.6608669380090399E-5</v>
      </c>
      <c r="L1324" s="15">
        <f t="shared" si="221"/>
        <v>3.8364606179199798E-3</v>
      </c>
      <c r="M1324" s="15">
        <f t="shared" si="222"/>
        <v>0.28850491490135399</v>
      </c>
      <c r="N1324" s="15">
        <f t="shared" si="223"/>
        <v>0.367064419540576</v>
      </c>
      <c r="O1324" s="16">
        <v>10.541508</v>
      </c>
      <c r="P1324" s="16">
        <v>-11.619135</v>
      </c>
      <c r="Q1324" s="16">
        <v>5.0005489000000001</v>
      </c>
      <c r="R1324" s="16">
        <v>-14.434405</v>
      </c>
      <c r="S1324" s="16">
        <f t="shared" si="224"/>
        <v>0.97371235171495596</v>
      </c>
      <c r="T1324" s="16">
        <f t="shared" si="225"/>
        <v>-23.108260985597596</v>
      </c>
    </row>
    <row r="1325" spans="1:20" x14ac:dyDescent="0.35">
      <c r="A1325" s="17">
        <v>4.8624999999999998</v>
      </c>
      <c r="B1325" s="17">
        <v>16.024799999999999</v>
      </c>
      <c r="C1325" s="17">
        <v>-0.15518899</v>
      </c>
      <c r="D1325" s="17">
        <v>-0.13215221999999999</v>
      </c>
      <c r="E1325" s="17">
        <v>0.84472990999999997</v>
      </c>
      <c r="F1325" s="17">
        <v>-0.13990184999999999</v>
      </c>
      <c r="G1325" s="17">
        <f t="shared" si="216"/>
        <v>1.3219743584586401</v>
      </c>
      <c r="H1325" s="17">
        <f t="shared" si="217"/>
        <v>-1.5946402359587799</v>
      </c>
      <c r="I1325" s="17">
        <f t="shared" si="218"/>
        <v>1.32194882260672</v>
      </c>
      <c r="J1325" s="17">
        <f t="shared" si="219"/>
        <v>-1.5985153070396201</v>
      </c>
      <c r="K1325" s="15">
        <f t="shared" si="220"/>
        <v>2.5535851920110999E-5</v>
      </c>
      <c r="L1325" s="15">
        <f t="shared" si="221"/>
        <v>3.8750710808401799E-3</v>
      </c>
      <c r="M1325" s="15">
        <f t="shared" si="222"/>
        <v>0.30722991088842899</v>
      </c>
      <c r="N1325" s="15">
        <f t="shared" si="223"/>
        <v>0.371505845715843</v>
      </c>
      <c r="O1325" s="17">
        <v>10.474659000000001</v>
      </c>
      <c r="P1325" s="17">
        <v>-12.154904</v>
      </c>
      <c r="Q1325" s="17">
        <v>4.7370410999999999</v>
      </c>
      <c r="R1325" s="17">
        <v>-14.895523000000001</v>
      </c>
      <c r="S1325" s="17">
        <f t="shared" si="224"/>
        <v>0.97413931762098838</v>
      </c>
      <c r="T1325" s="17">
        <f t="shared" si="225"/>
        <v>-23.111991688397072</v>
      </c>
    </row>
    <row r="1326" spans="1:20" x14ac:dyDescent="0.35">
      <c r="A1326" s="16">
        <v>4.8624999999999998</v>
      </c>
      <c r="B1326" s="16">
        <v>16.073599999999999</v>
      </c>
      <c r="C1326" s="16">
        <v>-0.16243121999999999</v>
      </c>
      <c r="D1326" s="16">
        <v>-0.131107</v>
      </c>
      <c r="E1326" s="16">
        <v>0.83748893000000002</v>
      </c>
      <c r="F1326" s="16">
        <v>-0.13893356000000001</v>
      </c>
      <c r="G1326" s="16">
        <f t="shared" si="216"/>
        <v>1.3203214742532301</v>
      </c>
      <c r="H1326" s="16">
        <f t="shared" si="217"/>
        <v>-1.51079587441791</v>
      </c>
      <c r="I1326" s="16">
        <f t="shared" si="218"/>
        <v>1.3202968630193199</v>
      </c>
      <c r="J1326" s="16">
        <f t="shared" si="219"/>
        <v>-1.51470940697635</v>
      </c>
      <c r="K1326" s="15">
        <f t="shared" si="220"/>
        <v>2.4611233910176702E-5</v>
      </c>
      <c r="L1326" s="15">
        <f t="shared" si="221"/>
        <v>3.9135325584400702E-3</v>
      </c>
      <c r="M1326" s="15">
        <f t="shared" si="222"/>
        <v>0.32700621126399299</v>
      </c>
      <c r="N1326" s="15">
        <f t="shared" si="223"/>
        <v>0.375157586308693</v>
      </c>
      <c r="O1326" s="16">
        <v>10.372299999999999</v>
      </c>
      <c r="P1326" s="16">
        <v>-12.694387000000001</v>
      </c>
      <c r="Q1326" s="16">
        <v>4.4426297000000003</v>
      </c>
      <c r="R1326" s="16">
        <v>-15.355839</v>
      </c>
      <c r="S1326" s="16">
        <f t="shared" si="224"/>
        <v>0.97514373631059192</v>
      </c>
      <c r="T1326" s="16">
        <f t="shared" si="225"/>
        <v>-23.115695767656188</v>
      </c>
    </row>
    <row r="1327" spans="1:20" x14ac:dyDescent="0.35">
      <c r="A1327" s="17">
        <v>4.8624999999999998</v>
      </c>
      <c r="B1327" s="17">
        <v>16.122399999999999</v>
      </c>
      <c r="C1327" s="17">
        <v>-0.1698064</v>
      </c>
      <c r="D1327" s="17">
        <v>-0.12964423</v>
      </c>
      <c r="E1327" s="17">
        <v>0.83011497999999995</v>
      </c>
      <c r="F1327" s="17">
        <v>-0.13754802999999999</v>
      </c>
      <c r="G1327" s="17">
        <f t="shared" si="216"/>
        <v>1.31866398793217</v>
      </c>
      <c r="H1327" s="17">
        <f t="shared" si="217"/>
        <v>-1.42852745691271</v>
      </c>
      <c r="I1327" s="17">
        <f t="shared" si="218"/>
        <v>1.31864029549842</v>
      </c>
      <c r="J1327" s="17">
        <f t="shared" si="219"/>
        <v>-1.4324796059018201</v>
      </c>
      <c r="K1327" s="15">
        <f t="shared" si="220"/>
        <v>2.3692433750000001E-5</v>
      </c>
      <c r="L1327" s="15">
        <f t="shared" si="221"/>
        <v>3.9521489891101201E-3</v>
      </c>
      <c r="M1327" s="15">
        <f t="shared" si="222"/>
        <v>0.34785185172125799</v>
      </c>
      <c r="N1327" s="15">
        <f t="shared" si="223"/>
        <v>0.37788219059204597</v>
      </c>
      <c r="O1327" s="17">
        <v>10.230867999999999</v>
      </c>
      <c r="P1327" s="17">
        <v>-13.232918</v>
      </c>
      <c r="Q1327" s="17">
        <v>4.1154147999999999</v>
      </c>
      <c r="R1327" s="17">
        <v>-15.811045</v>
      </c>
      <c r="S1327" s="17">
        <f t="shared" si="224"/>
        <v>0.97675653432403098</v>
      </c>
      <c r="T1327" s="17">
        <f t="shared" si="225"/>
        <v>-23.119326204634056</v>
      </c>
    </row>
    <row r="1328" spans="1:20" x14ac:dyDescent="0.35">
      <c r="A1328" s="16">
        <v>4.8624999999999998</v>
      </c>
      <c r="B1328" s="16">
        <v>16.171199999999999</v>
      </c>
      <c r="C1328" s="16">
        <v>-0.17728331999999999</v>
      </c>
      <c r="D1328" s="16">
        <v>-0.12773775000000001</v>
      </c>
      <c r="E1328" s="16">
        <v>0.82263942000000001</v>
      </c>
      <c r="F1328" s="16">
        <v>-0.13571923999999999</v>
      </c>
      <c r="G1328" s="16">
        <f t="shared" si="216"/>
        <v>1.3170032646996299</v>
      </c>
      <c r="H1328" s="16">
        <f t="shared" si="217"/>
        <v>-1.34780699767745</v>
      </c>
      <c r="I1328" s="16">
        <f t="shared" si="218"/>
        <v>1.31698056084508</v>
      </c>
      <c r="J1328" s="16">
        <f t="shared" si="219"/>
        <v>-1.3517979874546699</v>
      </c>
      <c r="K1328" s="15">
        <f t="shared" si="220"/>
        <v>2.27038545499436E-5</v>
      </c>
      <c r="L1328" s="15">
        <f t="shared" si="221"/>
        <v>3.9909897772198999E-3</v>
      </c>
      <c r="M1328" s="15">
        <f t="shared" si="222"/>
        <v>0.36975186395536003</v>
      </c>
      <c r="N1328" s="15">
        <f t="shared" si="223"/>
        <v>0.37952710952068902</v>
      </c>
      <c r="O1328" s="16">
        <v>10.065598</v>
      </c>
      <c r="P1328" s="16">
        <v>-13.789726</v>
      </c>
      <c r="Q1328" s="16">
        <v>3.7550786999999999</v>
      </c>
      <c r="R1328" s="16">
        <v>-16.259854000000001</v>
      </c>
      <c r="S1328" s="16">
        <f t="shared" si="224"/>
        <v>0.97746381317118292</v>
      </c>
      <c r="T1328" s="16">
        <f t="shared" si="225"/>
        <v>-23.12299941616466</v>
      </c>
    </row>
    <row r="1329" spans="1:20" x14ac:dyDescent="0.35">
      <c r="A1329" s="17">
        <v>4.8624999999999998</v>
      </c>
      <c r="B1329" s="17">
        <v>16.22</v>
      </c>
      <c r="C1329" s="17">
        <v>-0.18482466</v>
      </c>
      <c r="D1329" s="17">
        <v>-0.12536462000000001</v>
      </c>
      <c r="E1329" s="17">
        <v>0.81509960999999997</v>
      </c>
      <c r="F1329" s="17">
        <v>-0.13342430999999999</v>
      </c>
      <c r="G1329" s="17">
        <f t="shared" si="216"/>
        <v>1.3153399946615201</v>
      </c>
      <c r="H1329" s="17">
        <f t="shared" si="217"/>
        <v>-1.26862403556704</v>
      </c>
      <c r="I1329" s="17">
        <f t="shared" si="218"/>
        <v>1.3153183694595501</v>
      </c>
      <c r="J1329" s="17">
        <f t="shared" si="219"/>
        <v>-1.27265412031242</v>
      </c>
      <c r="K1329" s="15">
        <f t="shared" si="220"/>
        <v>2.16252019700214E-5</v>
      </c>
      <c r="L1329" s="15">
        <f t="shared" si="221"/>
        <v>4.0300847453800196E-3</v>
      </c>
      <c r="M1329" s="15">
        <f t="shared" si="222"/>
        <v>0.39266623290796898</v>
      </c>
      <c r="N1329" s="15">
        <f t="shared" si="223"/>
        <v>0.37992953707718402</v>
      </c>
      <c r="O1329" s="17">
        <v>9.8631472000000002</v>
      </c>
      <c r="P1329" s="17">
        <v>-14.347125</v>
      </c>
      <c r="Q1329" s="17">
        <v>3.3610069</v>
      </c>
      <c r="R1329" s="17">
        <v>-16.697852999999999</v>
      </c>
      <c r="S1329" s="17">
        <f t="shared" si="224"/>
        <v>0.97830967336795549</v>
      </c>
      <c r="T1329" s="17">
        <f t="shared" si="225"/>
        <v>-23.126522831507174</v>
      </c>
    </row>
    <row r="1330" spans="1:20" x14ac:dyDescent="0.35">
      <c r="A1330" s="16">
        <v>4.8624999999999998</v>
      </c>
      <c r="B1330" s="16">
        <v>16.268799999999999</v>
      </c>
      <c r="C1330" s="16">
        <v>-0.19238827</v>
      </c>
      <c r="D1330" s="16">
        <v>-0.122506</v>
      </c>
      <c r="E1330" s="16">
        <v>0.80753775000000005</v>
      </c>
      <c r="F1330" s="16">
        <v>-0.13064439</v>
      </c>
      <c r="G1330" s="16">
        <f t="shared" si="216"/>
        <v>1.3136742632035301</v>
      </c>
      <c r="H1330" s="16">
        <f t="shared" si="217"/>
        <v>-1.1909733162835401</v>
      </c>
      <c r="I1330" s="16">
        <f t="shared" si="218"/>
        <v>1.31365383174655</v>
      </c>
      <c r="J1330" s="16">
        <f t="shared" si="219"/>
        <v>-1.1950427449512899</v>
      </c>
      <c r="K1330" s="15">
        <f t="shared" si="220"/>
        <v>2.0431456980052301E-5</v>
      </c>
      <c r="L1330" s="15">
        <f t="shared" si="221"/>
        <v>4.0694286677498397E-3</v>
      </c>
      <c r="M1330" s="15">
        <f t="shared" si="222"/>
        <v>0.41652869141408999</v>
      </c>
      <c r="N1330" s="15">
        <f t="shared" si="223"/>
        <v>0.37891990927066199</v>
      </c>
      <c r="O1330" s="16">
        <v>9.6214353999999993</v>
      </c>
      <c r="P1330" s="16">
        <v>-14.900164</v>
      </c>
      <c r="Q1330" s="16">
        <v>2.9333051999999999</v>
      </c>
      <c r="R1330" s="16">
        <v>-17.121886</v>
      </c>
      <c r="S1330" s="16">
        <f t="shared" si="224"/>
        <v>0.97940622453977355</v>
      </c>
      <c r="T1330" s="16">
        <f t="shared" si="225"/>
        <v>-23.129932579697154</v>
      </c>
    </row>
    <row r="1331" spans="1:20" x14ac:dyDescent="0.35">
      <c r="A1331" s="17">
        <v>4.8624999999999998</v>
      </c>
      <c r="B1331" s="17">
        <v>16.317599999999999</v>
      </c>
      <c r="C1331" s="17">
        <v>-0.19993083</v>
      </c>
      <c r="D1331" s="17">
        <v>-0.1191543</v>
      </c>
      <c r="E1331" s="17">
        <v>0.80002377999999996</v>
      </c>
      <c r="F1331" s="17">
        <v>-0.12742122</v>
      </c>
      <c r="G1331" s="17">
        <f t="shared" si="216"/>
        <v>1.3117903417152399</v>
      </c>
      <c r="H1331" s="17">
        <f t="shared" si="217"/>
        <v>-1.11504893651726</v>
      </c>
      <c r="I1331" s="17">
        <f t="shared" si="218"/>
        <v>1.31178473256311</v>
      </c>
      <c r="J1331" s="17">
        <f t="shared" si="219"/>
        <v>-1.1191825135140001</v>
      </c>
      <c r="K1331" s="15">
        <f t="shared" si="220"/>
        <v>5.6091521298817798E-6</v>
      </c>
      <c r="L1331" s="15">
        <f t="shared" si="221"/>
        <v>4.1335769967401096E-3</v>
      </c>
      <c r="M1331" s="15">
        <f t="shared" si="222"/>
        <v>0.44118092842622197</v>
      </c>
      <c r="N1331" s="15">
        <f t="shared" si="223"/>
        <v>0.37640473176245098</v>
      </c>
      <c r="O1331" s="17">
        <v>9.3456647999999998</v>
      </c>
      <c r="P1331" s="17">
        <v>-15.453514999999999</v>
      </c>
      <c r="Q1331" s="17">
        <v>2.4728441999999999</v>
      </c>
      <c r="R1331" s="17">
        <v>-17.529302999999999</v>
      </c>
      <c r="S1331" s="17">
        <f t="shared" si="224"/>
        <v>0.98024163705842038</v>
      </c>
      <c r="T1331" s="17">
        <f t="shared" si="225"/>
        <v>-23.13417993923948</v>
      </c>
    </row>
    <row r="1332" spans="1:20" x14ac:dyDescent="0.35">
      <c r="A1332" s="16">
        <v>4.8624999999999998</v>
      </c>
      <c r="B1332" s="16">
        <v>16.366399999999999</v>
      </c>
      <c r="C1332" s="16">
        <v>-0.20739641</v>
      </c>
      <c r="D1332" s="16">
        <v>-0.11528892</v>
      </c>
      <c r="E1332" s="16">
        <v>0.79256000000000004</v>
      </c>
      <c r="F1332" s="16">
        <v>-0.12363805999999999</v>
      </c>
      <c r="G1332" s="16">
        <f t="shared" si="216"/>
        <v>1.31012884930673</v>
      </c>
      <c r="H1332" s="16">
        <f t="shared" si="217"/>
        <v>-1.04046362067444</v>
      </c>
      <c r="I1332" s="16">
        <f t="shared" si="218"/>
        <v>1.31012448170218</v>
      </c>
      <c r="J1332" s="16">
        <f t="shared" si="219"/>
        <v>-1.0446382998944399</v>
      </c>
      <c r="K1332" s="15">
        <f t="shared" si="220"/>
        <v>4.36760455002627E-6</v>
      </c>
      <c r="L1332" s="15">
        <f t="shared" si="221"/>
        <v>4.1746792199999199E-3</v>
      </c>
      <c r="M1332" s="15">
        <f t="shared" si="222"/>
        <v>0.46661917526984797</v>
      </c>
      <c r="N1332" s="15">
        <f t="shared" si="223"/>
        <v>0.37206255494037199</v>
      </c>
      <c r="O1332" s="16">
        <v>9.0304844000000006</v>
      </c>
      <c r="P1332" s="16">
        <v>-15.997527</v>
      </c>
      <c r="Q1332" s="16">
        <v>1.9800104000000001</v>
      </c>
      <c r="R1332" s="16">
        <v>-17.914418000000001</v>
      </c>
      <c r="S1332" s="16">
        <f t="shared" si="224"/>
        <v>0.98111832192095161</v>
      </c>
      <c r="T1332" s="16">
        <f t="shared" si="225"/>
        <v>-23.137324514100019</v>
      </c>
    </row>
    <row r="1333" spans="1:20" x14ac:dyDescent="0.35">
      <c r="A1333" s="17">
        <v>4.8624999999999998</v>
      </c>
      <c r="B1333" s="17">
        <v>16.415199999999999</v>
      </c>
      <c r="C1333" s="17">
        <v>-0.21473486999999999</v>
      </c>
      <c r="D1333" s="17">
        <v>-0.1109151</v>
      </c>
      <c r="E1333" s="17">
        <v>0.78522349000000002</v>
      </c>
      <c r="F1333" s="17">
        <v>-0.11934723</v>
      </c>
      <c r="G1333" s="17">
        <f t="shared" si="216"/>
        <v>1.3084646566010001</v>
      </c>
      <c r="H1333" s="17">
        <f t="shared" si="217"/>
        <v>-0.96741438954700898</v>
      </c>
      <c r="I1333" s="17">
        <f t="shared" si="218"/>
        <v>1.3084616121659001</v>
      </c>
      <c r="J1333" s="17">
        <f t="shared" si="219"/>
        <v>-0.97163055516311403</v>
      </c>
      <c r="K1333" s="15">
        <f t="shared" si="220"/>
        <v>3.0444351000191699E-6</v>
      </c>
      <c r="L1333" s="15">
        <f t="shared" si="221"/>
        <v>4.2161656161050498E-3</v>
      </c>
      <c r="M1333" s="15">
        <f t="shared" si="222"/>
        <v>0.49261813468496202</v>
      </c>
      <c r="N1333" s="15">
        <f t="shared" si="223"/>
        <v>0.365805788444238</v>
      </c>
      <c r="O1333" s="17">
        <v>8.6764031999999993</v>
      </c>
      <c r="P1333" s="17">
        <v>-16.527477000000001</v>
      </c>
      <c r="Q1333" s="17">
        <v>1.4566926</v>
      </c>
      <c r="R1333" s="17">
        <v>-18.275310999999999</v>
      </c>
      <c r="S1333" s="17">
        <f t="shared" si="224"/>
        <v>0.98214952458687865</v>
      </c>
      <c r="T1333" s="17">
        <f t="shared" si="225"/>
        <v>-23.140743859439198</v>
      </c>
    </row>
    <row r="1334" spans="1:20" x14ac:dyDescent="0.35">
      <c r="A1334" s="16">
        <v>4.8624999999999998</v>
      </c>
      <c r="B1334" s="16">
        <v>16.463999999999999</v>
      </c>
      <c r="C1334" s="16">
        <v>-0.22189160999999999</v>
      </c>
      <c r="D1334" s="16">
        <v>-0.10603931</v>
      </c>
      <c r="E1334" s="16">
        <v>0.7780688</v>
      </c>
      <c r="F1334" s="16">
        <v>-0.11455519</v>
      </c>
      <c r="G1334" s="16">
        <f t="shared" si="216"/>
        <v>1.30679813563838</v>
      </c>
      <c r="H1334" s="16">
        <f t="shared" si="217"/>
        <v>-0.89590853162149198</v>
      </c>
      <c r="I1334" s="16">
        <f t="shared" si="218"/>
        <v>1.3067964710475399</v>
      </c>
      <c r="J1334" s="16">
        <f t="shared" si="219"/>
        <v>-0.90016656299694997</v>
      </c>
      <c r="K1334" s="15">
        <f t="shared" si="220"/>
        <v>1.66459084005588E-6</v>
      </c>
      <c r="L1334" s="15">
        <f t="shared" si="221"/>
        <v>4.25803137545799E-3</v>
      </c>
      <c r="M1334" s="15">
        <f t="shared" si="222"/>
        <v>0.518978444071161</v>
      </c>
      <c r="N1334" s="15">
        <f t="shared" si="223"/>
        <v>0.35749028453876702</v>
      </c>
      <c r="O1334" s="16">
        <v>8.2858499999999999</v>
      </c>
      <c r="P1334" s="16">
        <v>-17.042259999999999</v>
      </c>
      <c r="Q1334" s="16">
        <v>0.90519461000000001</v>
      </c>
      <c r="R1334" s="16">
        <v>-18.607627000000001</v>
      </c>
      <c r="S1334" s="16">
        <f t="shared" si="224"/>
        <v>0.98310571904328692</v>
      </c>
      <c r="T1334" s="16">
        <f t="shared" si="225"/>
        <v>-23.143718056638139</v>
      </c>
    </row>
    <row r="1335" spans="1:20" x14ac:dyDescent="0.35">
      <c r="A1335" s="17">
        <v>4.8624999999999998</v>
      </c>
      <c r="B1335" s="17">
        <v>16.512799999999999</v>
      </c>
      <c r="C1335" s="17">
        <v>-0.22881092</v>
      </c>
      <c r="D1335" s="17">
        <v>-0.10066919000000001</v>
      </c>
      <c r="E1335" s="17">
        <v>0.77112954</v>
      </c>
      <c r="F1335" s="17">
        <v>-0.10923621999999999</v>
      </c>
      <c r="G1335" s="17">
        <f t="shared" si="216"/>
        <v>1.3052233126941</v>
      </c>
      <c r="H1335" s="17">
        <f t="shared" si="217"/>
        <v>-0.825781153719503</v>
      </c>
      <c r="I1335" s="17">
        <f t="shared" si="218"/>
        <v>1.3052118916106701</v>
      </c>
      <c r="J1335" s="17">
        <f t="shared" si="219"/>
        <v>-0.83006484516737999</v>
      </c>
      <c r="K1335" s="15">
        <f t="shared" si="220"/>
        <v>1.1421083429885601E-5</v>
      </c>
      <c r="L1335" s="15">
        <f t="shared" si="221"/>
        <v>4.2836914478769899E-3</v>
      </c>
      <c r="M1335" s="15">
        <f t="shared" si="222"/>
        <v>0.54552356293434201</v>
      </c>
      <c r="N1335" s="15">
        <f t="shared" si="223"/>
        <v>0.34693212244906801</v>
      </c>
      <c r="O1335" s="17">
        <v>7.8601938999999996</v>
      </c>
      <c r="P1335" s="17">
        <v>-17.53931</v>
      </c>
      <c r="Q1335" s="17">
        <v>0.32800964999999999</v>
      </c>
      <c r="R1335" s="17">
        <v>-18.907897999999999</v>
      </c>
      <c r="S1335" s="17">
        <f t="shared" si="224"/>
        <v>0.98390743169790618</v>
      </c>
      <c r="T1335" s="17">
        <f t="shared" si="225"/>
        <v>-23.145553064942845</v>
      </c>
    </row>
    <row r="1336" spans="1:20" x14ac:dyDescent="0.35">
      <c r="A1336" s="16">
        <v>4.8624999999999998</v>
      </c>
      <c r="B1336" s="16">
        <v>16.561599999999999</v>
      </c>
      <c r="C1336" s="16">
        <v>-0.23544668999999999</v>
      </c>
      <c r="D1336" s="16">
        <v>-9.4835437999999994E-2</v>
      </c>
      <c r="E1336" s="16">
        <v>0.76446364</v>
      </c>
      <c r="F1336" s="16">
        <v>-0.10348958</v>
      </c>
      <c r="G1336" s="16">
        <f t="shared" si="216"/>
        <v>1.30345513843438</v>
      </c>
      <c r="H1336" s="16">
        <f t="shared" si="217"/>
        <v>-0.75724301051811505</v>
      </c>
      <c r="I1336" s="16">
        <f t="shared" si="218"/>
        <v>1.30342902713554</v>
      </c>
      <c r="J1336" s="16">
        <f t="shared" si="219"/>
        <v>-0.76157038852155201</v>
      </c>
      <c r="K1336" s="15">
        <f t="shared" si="220"/>
        <v>2.61112988400036E-5</v>
      </c>
      <c r="L1336" s="15">
        <f t="shared" si="221"/>
        <v>4.3273780034369701E-3</v>
      </c>
      <c r="M1336" s="15">
        <f t="shared" si="222"/>
        <v>0.57195115357049897</v>
      </c>
      <c r="N1336" s="15">
        <f t="shared" si="223"/>
        <v>0.33418088225124398</v>
      </c>
      <c r="O1336" s="16">
        <v>7.3994074999999997</v>
      </c>
      <c r="P1336" s="16">
        <v>-18.009321</v>
      </c>
      <c r="Q1336" s="16">
        <v>-0.27226782999999999</v>
      </c>
      <c r="R1336" s="16">
        <v>-19.174045</v>
      </c>
      <c r="S1336" s="16">
        <f t="shared" si="224"/>
        <v>0.98489095406838489</v>
      </c>
      <c r="T1336" s="16">
        <f t="shared" si="225"/>
        <v>-23.149600789757322</v>
      </c>
    </row>
    <row r="1337" spans="1:20" x14ac:dyDescent="0.35">
      <c r="A1337" s="17">
        <v>4.8624999999999998</v>
      </c>
      <c r="B1337" s="17">
        <v>16.610399999999998</v>
      </c>
      <c r="C1337" s="17">
        <v>-0.24173339999999999</v>
      </c>
      <c r="D1337" s="17">
        <v>-8.8573694999999994E-2</v>
      </c>
      <c r="E1337" s="17">
        <v>0.75817707000000001</v>
      </c>
      <c r="F1337" s="17">
        <v>-9.7309597999999997E-2</v>
      </c>
      <c r="G1337" s="17">
        <f t="shared" si="216"/>
        <v>1.30177731855458</v>
      </c>
      <c r="H1337" s="17">
        <f t="shared" si="217"/>
        <v>-0.69042993241641504</v>
      </c>
      <c r="I1337" s="17">
        <f t="shared" si="218"/>
        <v>1.30175163274925</v>
      </c>
      <c r="J1337" s="17">
        <f t="shared" si="219"/>
        <v>-0.69479819165589096</v>
      </c>
      <c r="K1337" s="15">
        <f t="shared" si="220"/>
        <v>2.5685805330022401E-5</v>
      </c>
      <c r="L1337" s="15">
        <f t="shared" si="221"/>
        <v>4.3682592394759202E-3</v>
      </c>
      <c r="M1337" s="15">
        <f t="shared" si="222"/>
        <v>0.59787375757424699</v>
      </c>
      <c r="N1337" s="15">
        <f t="shared" si="223"/>
        <v>0.31910972504316198</v>
      </c>
      <c r="O1337" s="17">
        <v>6.9103139000000002</v>
      </c>
      <c r="P1337" s="17">
        <v>-18.457015999999999</v>
      </c>
      <c r="Q1337" s="17">
        <v>-0.89008176000000006</v>
      </c>
      <c r="R1337" s="17">
        <v>-19.403009999999998</v>
      </c>
      <c r="S1337" s="17">
        <f t="shared" si="224"/>
        <v>0.98554898649598122</v>
      </c>
      <c r="T1337" s="17">
        <f t="shared" si="225"/>
        <v>-23.152429523196709</v>
      </c>
    </row>
    <row r="1338" spans="1:20" x14ac:dyDescent="0.35">
      <c r="A1338" s="16">
        <v>4.8624999999999998</v>
      </c>
      <c r="B1338" s="16">
        <v>16.659199999999998</v>
      </c>
      <c r="C1338" s="16">
        <v>-0.2476294</v>
      </c>
      <c r="D1338" s="16">
        <v>-8.1919607000000005E-2</v>
      </c>
      <c r="E1338" s="16">
        <v>0.75228121999999997</v>
      </c>
      <c r="F1338" s="16">
        <v>-9.0737727000000004E-2</v>
      </c>
      <c r="G1338" s="16">
        <f t="shared" si="216"/>
        <v>1.30009804551889</v>
      </c>
      <c r="H1338" s="16">
        <f t="shared" si="217"/>
        <v>-0.62522862884210395</v>
      </c>
      <c r="I1338" s="16">
        <f t="shared" si="218"/>
        <v>1.30007279556023</v>
      </c>
      <c r="J1338" s="16">
        <f t="shared" si="219"/>
        <v>-0.62963799722535796</v>
      </c>
      <c r="K1338" s="15">
        <f t="shared" si="220"/>
        <v>2.52499586599342E-5</v>
      </c>
      <c r="L1338" s="15">
        <f t="shared" si="221"/>
        <v>4.4093683832540096E-3</v>
      </c>
      <c r="M1338" s="15">
        <f t="shared" si="222"/>
        <v>0.62304804931831803</v>
      </c>
      <c r="N1338" s="15">
        <f t="shared" si="223"/>
        <v>0.30174827693314099</v>
      </c>
      <c r="O1338" s="16">
        <v>6.3919036</v>
      </c>
      <c r="P1338" s="16">
        <v>-18.869873999999999</v>
      </c>
      <c r="Q1338" s="16">
        <v>-1.5220788000000001</v>
      </c>
      <c r="R1338" s="16">
        <v>-19.59319</v>
      </c>
      <c r="S1338" s="16">
        <f t="shared" si="224"/>
        <v>0.98640546981719679</v>
      </c>
      <c r="T1338" s="16">
        <f t="shared" si="225"/>
        <v>-23.155133465356148</v>
      </c>
    </row>
    <row r="1339" spans="1:20" x14ac:dyDescent="0.35">
      <c r="A1339" s="17">
        <v>4.8624999999999998</v>
      </c>
      <c r="B1339" s="17">
        <v>16.707999999999998</v>
      </c>
      <c r="C1339" s="17">
        <v>-0.25309546999999999</v>
      </c>
      <c r="D1339" s="17">
        <v>-7.4920545000000005E-2</v>
      </c>
      <c r="E1339" s="17">
        <v>0.74686796</v>
      </c>
      <c r="F1339" s="17">
        <v>-8.3844747999999997E-2</v>
      </c>
      <c r="G1339" s="17">
        <f t="shared" si="216"/>
        <v>1.2984950688385599</v>
      </c>
      <c r="H1339" s="17">
        <f t="shared" si="217"/>
        <v>-0.56182108225399996</v>
      </c>
      <c r="I1339" s="17">
        <f t="shared" si="218"/>
        <v>1.29849669454979</v>
      </c>
      <c r="J1339" s="17">
        <f t="shared" si="219"/>
        <v>-0.56628325809079805</v>
      </c>
      <c r="K1339" s="15">
        <f t="shared" si="220"/>
        <v>-1.6257112300799301E-6</v>
      </c>
      <c r="L1339" s="15">
        <f t="shared" si="221"/>
        <v>4.4621758367980897E-3</v>
      </c>
      <c r="M1339" s="15">
        <f t="shared" si="222"/>
        <v>0.64705792866720302</v>
      </c>
      <c r="N1339" s="15">
        <f t="shared" si="223"/>
        <v>0.282186372562305</v>
      </c>
      <c r="O1339" s="17">
        <v>5.8493738000000004</v>
      </c>
      <c r="P1339" s="17">
        <v>-19.248484999999999</v>
      </c>
      <c r="Q1339" s="17">
        <v>-2.1640687000000001</v>
      </c>
      <c r="R1339" s="17">
        <v>-19.743448000000001</v>
      </c>
      <c r="S1339" s="17">
        <f t="shared" si="224"/>
        <v>0.98727769866372106</v>
      </c>
      <c r="T1339" s="17">
        <f t="shared" si="225"/>
        <v>-23.158559493563917</v>
      </c>
    </row>
    <row r="1340" spans="1:20" x14ac:dyDescent="0.35">
      <c r="A1340" s="16">
        <v>4.8624999999999998</v>
      </c>
      <c r="B1340" s="16">
        <v>16.756799999999998</v>
      </c>
      <c r="C1340" s="16">
        <v>-0.25809220999999999</v>
      </c>
      <c r="D1340" s="16">
        <v>-6.7629964000000001E-2</v>
      </c>
      <c r="E1340" s="16">
        <v>0.74189795000000003</v>
      </c>
      <c r="F1340" s="16">
        <v>-7.6648478000000006E-2</v>
      </c>
      <c r="G1340" s="16">
        <f t="shared" si="216"/>
        <v>1.2968706986948</v>
      </c>
      <c r="H1340" s="16">
        <f t="shared" si="217"/>
        <v>-0.49998038084742202</v>
      </c>
      <c r="I1340" s="16">
        <f t="shared" si="218"/>
        <v>1.29688611195597</v>
      </c>
      <c r="J1340" s="16">
        <f t="shared" si="219"/>
        <v>-0.50448959053037901</v>
      </c>
      <c r="K1340" s="15">
        <f t="shared" si="220"/>
        <v>-1.5413261170049701E-5</v>
      </c>
      <c r="L1340" s="15">
        <f t="shared" si="221"/>
        <v>4.5092096829569802E-3</v>
      </c>
      <c r="M1340" s="15">
        <f t="shared" si="222"/>
        <v>0.66973274333087995</v>
      </c>
      <c r="N1340" s="15">
        <f t="shared" si="223"/>
        <v>0.26052649830462099</v>
      </c>
      <c r="O1340" s="16">
        <v>5.2872912000000003</v>
      </c>
      <c r="P1340" s="16">
        <v>-19.591715000000001</v>
      </c>
      <c r="Q1340" s="16">
        <v>-2.8107731999999999</v>
      </c>
      <c r="R1340" s="16">
        <v>-19.852409000000002</v>
      </c>
      <c r="S1340" s="16">
        <f t="shared" si="224"/>
        <v>0.98806331899135669</v>
      </c>
      <c r="T1340" s="16">
        <f t="shared" si="225"/>
        <v>-23.161410961911105</v>
      </c>
    </row>
    <row r="1341" spans="1:20" x14ac:dyDescent="0.35">
      <c r="A1341" s="17">
        <v>4.8624999999999998</v>
      </c>
      <c r="B1341" s="17">
        <v>16.805599999999998</v>
      </c>
      <c r="C1341" s="17">
        <v>-0.26260154000000002</v>
      </c>
      <c r="D1341" s="17">
        <v>-6.0094346E-2</v>
      </c>
      <c r="E1341" s="17">
        <v>0.73734571000000004</v>
      </c>
      <c r="F1341" s="17">
        <v>-6.9170748000000004E-2</v>
      </c>
      <c r="G1341" s="17">
        <f t="shared" si="216"/>
        <v>1.2951162619404599</v>
      </c>
      <c r="H1341" s="17">
        <f t="shared" si="217"/>
        <v>-0.43950697743625</v>
      </c>
      <c r="I1341" s="17">
        <f t="shared" si="218"/>
        <v>1.29511048271859</v>
      </c>
      <c r="J1341" s="17">
        <f t="shared" si="219"/>
        <v>-0.444045324362421</v>
      </c>
      <c r="K1341" s="15">
        <f t="shared" si="220"/>
        <v>5.7792218699503897E-6</v>
      </c>
      <c r="L1341" s="15">
        <f t="shared" si="221"/>
        <v>4.5383469261709997E-3</v>
      </c>
      <c r="M1341" s="15">
        <f t="shared" si="222"/>
        <v>0.690914472968709</v>
      </c>
      <c r="N1341" s="15">
        <f t="shared" si="223"/>
        <v>0.23688893368546901</v>
      </c>
      <c r="O1341" s="17">
        <v>4.7087751000000004</v>
      </c>
      <c r="P1341" s="17">
        <v>-19.896725</v>
      </c>
      <c r="Q1341" s="17">
        <v>-3.4582662000000002</v>
      </c>
      <c r="R1341" s="17">
        <v>-19.920446999999999</v>
      </c>
      <c r="S1341" s="17">
        <f t="shared" si="224"/>
        <v>0.98885263252024103</v>
      </c>
      <c r="T1341" s="17">
        <f t="shared" si="225"/>
        <v>-23.163305651592417</v>
      </c>
    </row>
    <row r="1342" spans="1:20" x14ac:dyDescent="0.35">
      <c r="A1342" s="16">
        <v>4.8624999999999998</v>
      </c>
      <c r="B1342" s="16">
        <v>16.854399999999998</v>
      </c>
      <c r="C1342" s="16">
        <v>-0.26661993</v>
      </c>
      <c r="D1342" s="16">
        <v>-5.2336997000000003E-2</v>
      </c>
      <c r="E1342" s="16">
        <v>0.73334770999999999</v>
      </c>
      <c r="F1342" s="16">
        <v>-6.1511484999999998E-2</v>
      </c>
      <c r="G1342" s="16">
        <f t="shared" si="216"/>
        <v>1.29346934268629</v>
      </c>
      <c r="H1342" s="16">
        <f t="shared" si="217"/>
        <v>-0.38059529947027199</v>
      </c>
      <c r="I1342" s="16">
        <f t="shared" si="218"/>
        <v>1.2934742058106401</v>
      </c>
      <c r="J1342" s="16">
        <f t="shared" si="219"/>
        <v>-0.38518259538438299</v>
      </c>
      <c r="K1342" s="15">
        <f t="shared" si="220"/>
        <v>-4.8631243501073797E-6</v>
      </c>
      <c r="L1342" s="15">
        <f t="shared" si="221"/>
        <v>4.5872959141110004E-3</v>
      </c>
      <c r="M1342" s="15">
        <f t="shared" si="222"/>
        <v>0.71013779597668403</v>
      </c>
      <c r="N1342" s="15">
        <f t="shared" si="223"/>
        <v>0.21147133673486501</v>
      </c>
      <c r="O1342" s="16">
        <v>4.1152556999999996</v>
      </c>
      <c r="P1342" s="16">
        <v>-20.163527999999999</v>
      </c>
      <c r="Q1342" s="16">
        <v>-4.1058303</v>
      </c>
      <c r="R1342" s="16">
        <v>-19.947389000000001</v>
      </c>
      <c r="S1342" s="16">
        <f t="shared" si="224"/>
        <v>0.98961913581992766</v>
      </c>
      <c r="T1342" s="16">
        <f t="shared" si="225"/>
        <v>-23.166222132268825</v>
      </c>
    </row>
    <row r="1343" spans="1:20" x14ac:dyDescent="0.35">
      <c r="A1343" s="17">
        <v>4.8624999999999998</v>
      </c>
      <c r="B1343" s="17">
        <v>16.903200000000002</v>
      </c>
      <c r="C1343" s="17">
        <v>-0.27012978999999998</v>
      </c>
      <c r="D1343" s="17">
        <v>-4.4427094E-2</v>
      </c>
      <c r="E1343" s="17">
        <v>0.72979914999999995</v>
      </c>
      <c r="F1343" s="17">
        <v>-5.3664598000000001E-2</v>
      </c>
      <c r="G1343" s="17">
        <f t="shared" si="216"/>
        <v>1.2916779921218799</v>
      </c>
      <c r="H1343" s="17">
        <f t="shared" si="217"/>
        <v>-0.32295066742654499</v>
      </c>
      <c r="I1343" s="17">
        <f t="shared" si="218"/>
        <v>1.2916637955483601</v>
      </c>
      <c r="J1343" s="17">
        <f t="shared" si="219"/>
        <v>-0.32756964910941699</v>
      </c>
      <c r="K1343" s="15">
        <f t="shared" si="220"/>
        <v>1.4196573519864599E-5</v>
      </c>
      <c r="L1343" s="15">
        <f t="shared" si="221"/>
        <v>4.6189816828719997E-3</v>
      </c>
      <c r="M1343" s="15">
        <f t="shared" si="222"/>
        <v>0.727412179027359</v>
      </c>
      <c r="N1343" s="15">
        <f t="shared" si="223"/>
        <v>0.18447381823591999</v>
      </c>
      <c r="O1343" s="17">
        <v>3.5128377999999998</v>
      </c>
      <c r="P1343" s="17">
        <v>-20.391134999999998</v>
      </c>
      <c r="Q1343" s="17">
        <v>-4.7466739000000002</v>
      </c>
      <c r="R1343" s="17">
        <v>-19.934857000000001</v>
      </c>
      <c r="S1343" s="17">
        <f t="shared" si="224"/>
        <v>0.99036677179709864</v>
      </c>
      <c r="T1343" s="17">
        <f t="shared" si="225"/>
        <v>-23.167819055358855</v>
      </c>
    </row>
    <row r="1344" spans="1:20" x14ac:dyDescent="0.35">
      <c r="A1344" s="16">
        <v>4.8624999999999998</v>
      </c>
      <c r="B1344" s="16">
        <v>16.952000000000002</v>
      </c>
      <c r="C1344" s="16">
        <v>-0.27304336000000001</v>
      </c>
      <c r="D1344" s="16">
        <v>-3.6704997000000003E-2</v>
      </c>
      <c r="E1344" s="16">
        <v>0.72688902</v>
      </c>
      <c r="F1344" s="16">
        <v>-4.5995121999999999E-2</v>
      </c>
      <c r="G1344" s="16">
        <f t="shared" si="216"/>
        <v>1.2899491156809</v>
      </c>
      <c r="H1344" s="16">
        <f t="shared" si="217"/>
        <v>-0.26871521357078099</v>
      </c>
      <c r="I1344" s="16">
        <f t="shared" si="218"/>
        <v>1.28993688286641</v>
      </c>
      <c r="J1344" s="16">
        <f t="shared" si="219"/>
        <v>-0.27336048994976297</v>
      </c>
      <c r="K1344" s="15">
        <f t="shared" si="220"/>
        <v>1.22328144900319E-5</v>
      </c>
      <c r="L1344" s="15">
        <f t="shared" si="221"/>
        <v>4.6452763789819902E-3</v>
      </c>
      <c r="M1344" s="15">
        <f t="shared" si="222"/>
        <v>0.74191306446229999</v>
      </c>
      <c r="N1344" s="15">
        <f t="shared" si="223"/>
        <v>0.157224528963676</v>
      </c>
      <c r="O1344" s="16">
        <v>2.9256850000000001</v>
      </c>
      <c r="P1344" s="16">
        <v>-20.574496</v>
      </c>
      <c r="Q1344" s="16">
        <v>-5.3573088000000002</v>
      </c>
      <c r="R1344" s="16">
        <v>-19.887104999999998</v>
      </c>
      <c r="S1344" s="16">
        <f t="shared" si="224"/>
        <v>0.99107810099906779</v>
      </c>
      <c r="T1344" s="16">
        <f t="shared" si="225"/>
        <v>-23.169961571273593</v>
      </c>
    </row>
    <row r="1345" spans="1:20" x14ac:dyDescent="0.35">
      <c r="A1345" s="17">
        <v>4.8624999999999998</v>
      </c>
      <c r="B1345" s="17">
        <v>17</v>
      </c>
      <c r="C1345" s="17">
        <v>-0.27541357999999999</v>
      </c>
      <c r="D1345" s="17">
        <v>-3.1895436999999999E-2</v>
      </c>
      <c r="E1345" s="17">
        <v>0.72456640999999999</v>
      </c>
      <c r="F1345" s="17">
        <v>-4.1342522E-2</v>
      </c>
      <c r="G1345" s="17">
        <f t="shared" si="216"/>
        <v>1.28384613254177</v>
      </c>
      <c r="H1345" s="17">
        <f t="shared" si="217"/>
        <v>-0.23481055293427999</v>
      </c>
      <c r="I1345" s="17">
        <f t="shared" si="218"/>
        <v>1.2838584394672901</v>
      </c>
      <c r="J1345" s="17">
        <f t="shared" si="219"/>
        <v>-0.23953408456092901</v>
      </c>
      <c r="K1345" s="15">
        <f t="shared" si="220"/>
        <v>-1.2306925520011399E-5</v>
      </c>
      <c r="L1345" s="15">
        <f t="shared" si="221"/>
        <v>4.72353162664901E-3</v>
      </c>
      <c r="M1345" s="15">
        <f t="shared" si="222"/>
        <v>0.75270077991929696</v>
      </c>
      <c r="N1345" s="15">
        <f t="shared" si="223"/>
        <v>0.14043409049137601</v>
      </c>
      <c r="O1345" s="17">
        <v>2.6217796</v>
      </c>
      <c r="P1345" s="17">
        <v>-21.141860000000001</v>
      </c>
      <c r="Q1345" s="17">
        <v>-5.7319703999999998</v>
      </c>
      <c r="R1345" s="17">
        <v>-19.921042</v>
      </c>
      <c r="S1345" s="17">
        <f t="shared" si="224"/>
        <v>0.9730323534722306</v>
      </c>
      <c r="T1345" s="17">
        <f t="shared" si="225"/>
        <v>-23.121450325915752</v>
      </c>
    </row>
    <row r="1346" spans="1:20" x14ac:dyDescent="0.35">
      <c r="A1346" s="16">
        <v>5</v>
      </c>
      <c r="B1346" s="16">
        <v>15</v>
      </c>
      <c r="C1346" s="16">
        <v>-5.5038987999999997E-2</v>
      </c>
      <c r="D1346" s="16">
        <v>-0.10774356</v>
      </c>
      <c r="E1346" s="16">
        <v>0.94495231000000002</v>
      </c>
      <c r="F1346" s="16">
        <v>-0.11428768</v>
      </c>
      <c r="G1346" s="16">
        <f t="shared" si="216"/>
        <v>1.2924446923224699</v>
      </c>
      <c r="H1346" s="16">
        <f t="shared" si="217"/>
        <v>-3.6135100603883901</v>
      </c>
      <c r="I1346" s="16">
        <f t="shared" si="218"/>
        <v>1.2924510477053099</v>
      </c>
      <c r="J1346" s="16">
        <f t="shared" si="219"/>
        <v>-3.6167821138299101</v>
      </c>
      <c r="K1346" s="15">
        <f t="shared" si="220"/>
        <v>-6.3553828399953699E-6</v>
      </c>
      <c r="L1346" s="15">
        <f t="shared" si="221"/>
        <v>3.2720534415200402E-3</v>
      </c>
      <c r="M1346" s="15">
        <f t="shared" si="222"/>
        <v>8.7614637018759794E-2</v>
      </c>
      <c r="N1346" s="15">
        <f t="shared" si="223"/>
        <v>0.24517992587940701</v>
      </c>
      <c r="O1346" s="16">
        <v>8.6416996000000008</v>
      </c>
      <c r="P1346" s="16">
        <v>-4.3696976999999997</v>
      </c>
      <c r="Q1346" s="16">
        <v>6.0194840999999997</v>
      </c>
      <c r="R1346" s="16">
        <v>-7.1331534999999997</v>
      </c>
      <c r="S1346" s="16">
        <f t="shared" si="224"/>
        <v>0.96385053814343469</v>
      </c>
      <c r="T1346" s="16">
        <f t="shared" si="225"/>
        <v>-23.016284171308047</v>
      </c>
    </row>
    <row r="1347" spans="1:20" x14ac:dyDescent="0.35">
      <c r="A1347" s="17">
        <v>5</v>
      </c>
      <c r="B1347" s="17">
        <v>15.0488</v>
      </c>
      <c r="C1347" s="17">
        <v>-5.7932208999999998E-2</v>
      </c>
      <c r="D1347" s="17">
        <v>-0.10997745</v>
      </c>
      <c r="E1347" s="17">
        <v>0.94202383999999995</v>
      </c>
      <c r="F1347" s="17">
        <v>-0.11656779</v>
      </c>
      <c r="G1347" s="17">
        <f t="shared" si="216"/>
        <v>1.28988899404585</v>
      </c>
      <c r="H1347" s="17">
        <f t="shared" si="217"/>
        <v>-3.4967155584826299</v>
      </c>
      <c r="I1347" s="17">
        <f t="shared" si="218"/>
        <v>1.28987787680621</v>
      </c>
      <c r="J1347" s="17">
        <f t="shared" si="219"/>
        <v>-3.50001083753124</v>
      </c>
      <c r="K1347" s="15">
        <f t="shared" si="220"/>
        <v>1.11172396399795E-5</v>
      </c>
      <c r="L1347" s="15">
        <f t="shared" si="221"/>
        <v>3.29527904861004E-3</v>
      </c>
      <c r="M1347" s="15">
        <f t="shared" si="222"/>
        <v>9.2704526468637E-2</v>
      </c>
      <c r="N1347" s="15">
        <f t="shared" si="223"/>
        <v>0.25154850173244703</v>
      </c>
      <c r="O1347" s="17">
        <v>8.7745698999999995</v>
      </c>
      <c r="P1347" s="17">
        <v>-4.5777337999999999</v>
      </c>
      <c r="Q1347" s="17">
        <v>6.0809386999999999</v>
      </c>
      <c r="R1347" s="17">
        <v>-7.3941524000000003</v>
      </c>
      <c r="S1347" s="17">
        <f t="shared" si="224"/>
        <v>0.96731948589936179</v>
      </c>
      <c r="T1347" s="17">
        <f t="shared" si="225"/>
        <v>-23.014919474225294</v>
      </c>
    </row>
    <row r="1348" spans="1:20" x14ac:dyDescent="0.35">
      <c r="A1348" s="16">
        <v>5</v>
      </c>
      <c r="B1348" s="16">
        <v>15.0976</v>
      </c>
      <c r="C1348" s="16">
        <v>-6.1008487E-2</v>
      </c>
      <c r="D1348" s="16">
        <v>-0.11217211000000001</v>
      </c>
      <c r="E1348" s="16">
        <v>0.93894027999999996</v>
      </c>
      <c r="F1348" s="16">
        <v>-0.11882813</v>
      </c>
      <c r="G1348" s="16">
        <f t="shared" si="216"/>
        <v>1.2882443522407501</v>
      </c>
      <c r="H1348" s="16">
        <f t="shared" si="217"/>
        <v>-3.3823718310282</v>
      </c>
      <c r="I1348" s="16">
        <f t="shared" si="218"/>
        <v>1.2882298114636099</v>
      </c>
      <c r="J1348" s="16">
        <f t="shared" si="219"/>
        <v>-3.3856999746754499</v>
      </c>
      <c r="K1348" s="15">
        <f t="shared" si="220"/>
        <v>1.45407771401374E-5</v>
      </c>
      <c r="L1348" s="15">
        <f t="shared" si="221"/>
        <v>3.32814364724987E-3</v>
      </c>
      <c r="M1348" s="15">
        <f t="shared" si="222"/>
        <v>9.8169539002998699E-2</v>
      </c>
      <c r="N1348" s="15">
        <f t="shared" si="223"/>
        <v>0.25800723035490902</v>
      </c>
      <c r="O1348" s="16">
        <v>8.9261814000000008</v>
      </c>
      <c r="P1348" s="16">
        <v>-4.8086665000000002</v>
      </c>
      <c r="Q1348" s="16">
        <v>6.1361904000000003</v>
      </c>
      <c r="R1348" s="16">
        <v>-7.6677704000000002</v>
      </c>
      <c r="S1348" s="16">
        <f t="shared" si="224"/>
        <v>0.96861019458200526</v>
      </c>
      <c r="T1348" s="16">
        <f t="shared" si="225"/>
        <v>-23.019192290968501</v>
      </c>
    </row>
    <row r="1349" spans="1:20" x14ac:dyDescent="0.35">
      <c r="A1349" s="17">
        <v>5</v>
      </c>
      <c r="B1349" s="17">
        <v>15.1464</v>
      </c>
      <c r="C1349" s="17">
        <v>-6.4239441999999994E-2</v>
      </c>
      <c r="D1349" s="17">
        <v>-0.1143422</v>
      </c>
      <c r="E1349" s="17">
        <v>0.93570476000000002</v>
      </c>
      <c r="F1349" s="17">
        <v>-0.1210663</v>
      </c>
      <c r="G1349" s="17">
        <f t="shared" si="216"/>
        <v>1.2867426926973899</v>
      </c>
      <c r="H1349" s="17">
        <f t="shared" si="217"/>
        <v>-3.27068443811575</v>
      </c>
      <c r="I1349" s="17">
        <f t="shared" si="218"/>
        <v>1.28672609711755</v>
      </c>
      <c r="J1349" s="17">
        <f t="shared" si="219"/>
        <v>-3.27404663771292</v>
      </c>
      <c r="K1349" s="15">
        <f t="shared" si="220"/>
        <v>1.6595579839906398E-5</v>
      </c>
      <c r="L1349" s="15">
        <f t="shared" si="221"/>
        <v>3.3621995971699899E-3</v>
      </c>
      <c r="M1349" s="15">
        <f t="shared" si="222"/>
        <v>0.10397748467948099</v>
      </c>
      <c r="N1349" s="15">
        <f t="shared" si="223"/>
        <v>0.26456845390429801</v>
      </c>
      <c r="O1349" s="17">
        <v>9.0748917999999996</v>
      </c>
      <c r="P1349" s="17">
        <v>-5.0501683000000002</v>
      </c>
      <c r="Q1349" s="17">
        <v>6.1852416000000003</v>
      </c>
      <c r="R1349" s="17">
        <v>-7.9509629999999998</v>
      </c>
      <c r="S1349" s="17">
        <f t="shared" si="224"/>
        <v>0.96995968658590459</v>
      </c>
      <c r="T1349" s="17">
        <f t="shared" si="225"/>
        <v>-23.023917177580078</v>
      </c>
    </row>
    <row r="1350" spans="1:20" x14ac:dyDescent="0.35">
      <c r="A1350" s="16">
        <v>5</v>
      </c>
      <c r="B1350" s="16">
        <v>15.1952</v>
      </c>
      <c r="C1350" s="16">
        <v>-6.7641642000000002E-2</v>
      </c>
      <c r="D1350" s="16">
        <v>-0.11649134</v>
      </c>
      <c r="E1350" s="16">
        <v>0.93229896000000001</v>
      </c>
      <c r="F1350" s="16">
        <v>-0.12328487</v>
      </c>
      <c r="G1350" s="16">
        <f t="shared" si="216"/>
        <v>1.2852906474946999</v>
      </c>
      <c r="H1350" s="16">
        <f t="shared" si="217"/>
        <v>-3.1611474440537699</v>
      </c>
      <c r="I1350" s="16">
        <f t="shared" si="218"/>
        <v>1.28527248652003</v>
      </c>
      <c r="J1350" s="16">
        <f t="shared" si="219"/>
        <v>-3.1645443716276902</v>
      </c>
      <c r="K1350" s="15">
        <f t="shared" si="220"/>
        <v>1.8160974669889599E-5</v>
      </c>
      <c r="L1350" s="15">
        <f t="shared" si="221"/>
        <v>3.3969275739202899E-3</v>
      </c>
      <c r="M1350" s="15">
        <f t="shared" si="222"/>
        <v>0.110169992484125</v>
      </c>
      <c r="N1350" s="15">
        <f t="shared" si="223"/>
        <v>0.27125596579279898</v>
      </c>
      <c r="O1350" s="16">
        <v>9.2212259000000003</v>
      </c>
      <c r="P1350" s="16">
        <v>-5.3037367</v>
      </c>
      <c r="Q1350" s="16">
        <v>6.2277050000000003</v>
      </c>
      <c r="R1350" s="16">
        <v>-8.2449262000000001</v>
      </c>
      <c r="S1350" s="16">
        <f t="shared" si="224"/>
        <v>0.97132137312120226</v>
      </c>
      <c r="T1350" s="16">
        <f t="shared" si="225"/>
        <v>-23.028813131734317</v>
      </c>
    </row>
    <row r="1351" spans="1:20" x14ac:dyDescent="0.35">
      <c r="A1351" s="17">
        <v>5</v>
      </c>
      <c r="B1351" s="17">
        <v>15.244</v>
      </c>
      <c r="C1351" s="17">
        <v>-7.1227351999999994E-2</v>
      </c>
      <c r="D1351" s="17">
        <v>-0.1186152</v>
      </c>
      <c r="E1351" s="17">
        <v>0.92871009999999998</v>
      </c>
      <c r="F1351" s="17">
        <v>-0.12547916000000001</v>
      </c>
      <c r="G1351" s="17">
        <f t="shared" si="216"/>
        <v>1.2838563044189399</v>
      </c>
      <c r="H1351" s="17">
        <f t="shared" si="217"/>
        <v>-3.0535412862824001</v>
      </c>
      <c r="I1351" s="17">
        <f t="shared" si="218"/>
        <v>1.28383680889397</v>
      </c>
      <c r="J1351" s="17">
        <f t="shared" si="219"/>
        <v>-3.0569734405278401</v>
      </c>
      <c r="K1351" s="15">
        <f t="shared" si="220"/>
        <v>1.9495524969936902E-5</v>
      </c>
      <c r="L1351" s="15">
        <f t="shared" si="221"/>
        <v>3.4321542454400799E-3</v>
      </c>
      <c r="M1351" s="15">
        <f t="shared" si="222"/>
        <v>0.11678331861669899</v>
      </c>
      <c r="N1351" s="15">
        <f t="shared" si="223"/>
        <v>0.278075453854224</v>
      </c>
      <c r="O1351" s="17">
        <v>9.3649734999999996</v>
      </c>
      <c r="P1351" s="17">
        <v>-5.5703547999999996</v>
      </c>
      <c r="Q1351" s="17">
        <v>6.2628750999999996</v>
      </c>
      <c r="R1351" s="17">
        <v>-8.5503166000000004</v>
      </c>
      <c r="S1351" s="17">
        <f t="shared" si="224"/>
        <v>0.97267485512403062</v>
      </c>
      <c r="T1351" s="17">
        <f t="shared" si="225"/>
        <v>-23.033742940367251</v>
      </c>
    </row>
    <row r="1352" spans="1:20" x14ac:dyDescent="0.35">
      <c r="A1352" s="16">
        <v>5</v>
      </c>
      <c r="B1352" s="16">
        <v>15.2928</v>
      </c>
      <c r="C1352" s="16">
        <v>-7.5004211000000001E-2</v>
      </c>
      <c r="D1352" s="16">
        <v>-0.12070462999999999</v>
      </c>
      <c r="E1352" s="16">
        <v>0.92492996999999999</v>
      </c>
      <c r="F1352" s="16">
        <v>-0.12763968000000001</v>
      </c>
      <c r="G1352" s="16">
        <f t="shared" si="216"/>
        <v>1.2824246695889501</v>
      </c>
      <c r="H1352" s="16">
        <f t="shared" si="217"/>
        <v>-2.9478224992055901</v>
      </c>
      <c r="I1352" s="16">
        <f t="shared" si="218"/>
        <v>1.28240378377807</v>
      </c>
      <c r="J1352" s="16">
        <f t="shared" si="219"/>
        <v>-2.9512902107483199</v>
      </c>
      <c r="K1352" s="15">
        <f t="shared" si="220"/>
        <v>2.0885810880111301E-5</v>
      </c>
      <c r="L1352" s="15">
        <f t="shared" si="221"/>
        <v>3.4677115427297301E-3</v>
      </c>
      <c r="M1352" s="15">
        <f t="shared" si="222"/>
        <v>0.123847825770944</v>
      </c>
      <c r="N1352" s="15">
        <f t="shared" si="223"/>
        <v>0.28502011647487802</v>
      </c>
      <c r="O1352" s="16">
        <v>9.5054970000000001</v>
      </c>
      <c r="P1352" s="16">
        <v>-5.8505957999999998</v>
      </c>
      <c r="Q1352" s="16">
        <v>6.2898801999999998</v>
      </c>
      <c r="R1352" s="16">
        <v>-8.8673543000000006</v>
      </c>
      <c r="S1352" s="16">
        <f t="shared" si="224"/>
        <v>0.97401140192572799</v>
      </c>
      <c r="T1352" s="16">
        <f t="shared" si="225"/>
        <v>-23.038646798136881</v>
      </c>
    </row>
    <row r="1353" spans="1:20" x14ac:dyDescent="0.35">
      <c r="A1353" s="17">
        <v>5</v>
      </c>
      <c r="B1353" s="17">
        <v>15.3416</v>
      </c>
      <c r="C1353" s="17">
        <v>-7.8986724999999994E-2</v>
      </c>
      <c r="D1353" s="17">
        <v>-0.12275142</v>
      </c>
      <c r="E1353" s="17">
        <v>0.92094480999999995</v>
      </c>
      <c r="F1353" s="17">
        <v>-0.1297586</v>
      </c>
      <c r="G1353" s="17">
        <f t="shared" si="216"/>
        <v>1.2809945800854901</v>
      </c>
      <c r="H1353" s="17">
        <f t="shared" si="217"/>
        <v>-2.8437983190062401</v>
      </c>
      <c r="I1353" s="17">
        <f t="shared" si="218"/>
        <v>1.2809726226664799</v>
      </c>
      <c r="J1353" s="17">
        <f t="shared" si="219"/>
        <v>-2.8473021058794101</v>
      </c>
      <c r="K1353" s="15">
        <f t="shared" si="220"/>
        <v>2.1957419010121301E-5</v>
      </c>
      <c r="L1353" s="15">
        <f t="shared" si="221"/>
        <v>3.5037868731699899E-3</v>
      </c>
      <c r="M1353" s="15">
        <f t="shared" si="222"/>
        <v>0.13140849156901699</v>
      </c>
      <c r="N1353" s="15">
        <f t="shared" si="223"/>
        <v>0.29209029775831302</v>
      </c>
      <c r="O1353" s="17">
        <v>9.6479351999999992</v>
      </c>
      <c r="P1353" s="17">
        <v>-6.1491094999999998</v>
      </c>
      <c r="Q1353" s="17">
        <v>6.3074032999999998</v>
      </c>
      <c r="R1353" s="17">
        <v>-9.1967043000000004</v>
      </c>
      <c r="S1353" s="17">
        <f t="shared" si="224"/>
        <v>0.97473122484040009</v>
      </c>
      <c r="T1353" s="17">
        <f t="shared" si="225"/>
        <v>-23.04499361325723</v>
      </c>
    </row>
    <row r="1354" spans="1:20" x14ac:dyDescent="0.35">
      <c r="A1354" s="16">
        <v>5</v>
      </c>
      <c r="B1354" s="16">
        <v>15.3904</v>
      </c>
      <c r="C1354" s="16">
        <v>-8.3180806999999995E-2</v>
      </c>
      <c r="D1354" s="16">
        <v>-0.1247422</v>
      </c>
      <c r="E1354" s="16">
        <v>0.91674820999999995</v>
      </c>
      <c r="F1354" s="16">
        <v>-0.13182225</v>
      </c>
      <c r="G1354" s="16">
        <f t="shared" si="216"/>
        <v>1.2795610351823501</v>
      </c>
      <c r="H1354" s="16">
        <f t="shared" si="217"/>
        <v>-2.74149749583807</v>
      </c>
      <c r="I1354" s="16">
        <f t="shared" si="218"/>
        <v>1.27953807537699</v>
      </c>
      <c r="J1354" s="16">
        <f t="shared" si="219"/>
        <v>-2.7450377277645002</v>
      </c>
      <c r="K1354" s="15">
        <f t="shared" si="220"/>
        <v>2.29598053600455E-5</v>
      </c>
      <c r="L1354" s="15">
        <f t="shared" si="221"/>
        <v>3.54023192643016E-3</v>
      </c>
      <c r="M1354" s="15">
        <f t="shared" si="222"/>
        <v>0.139497964168419</v>
      </c>
      <c r="N1354" s="15">
        <f t="shared" si="223"/>
        <v>0.29926985523727201</v>
      </c>
      <c r="O1354" s="16">
        <v>9.7765693999999996</v>
      </c>
      <c r="P1354" s="16">
        <v>-6.4570470999999996</v>
      </c>
      <c r="Q1354" s="16">
        <v>6.3152412</v>
      </c>
      <c r="R1354" s="16">
        <v>-9.5383709000000003</v>
      </c>
      <c r="S1354" s="16">
        <f t="shared" si="224"/>
        <v>0.97636619027966232</v>
      </c>
      <c r="T1354" s="16">
        <f t="shared" si="225"/>
        <v>-23.048710437123287</v>
      </c>
    </row>
    <row r="1355" spans="1:20" x14ac:dyDescent="0.35">
      <c r="A1355" s="17">
        <v>5</v>
      </c>
      <c r="B1355" s="17">
        <v>15.4392</v>
      </c>
      <c r="C1355" s="17">
        <v>-8.7594502000000005E-2</v>
      </c>
      <c r="D1355" s="17">
        <v>-0.12666305999999999</v>
      </c>
      <c r="E1355" s="17">
        <v>0.91233211999999997</v>
      </c>
      <c r="F1355" s="17">
        <v>-0.13381672999999999</v>
      </c>
      <c r="G1355" s="17">
        <f t="shared" si="216"/>
        <v>1.2781227898721701</v>
      </c>
      <c r="H1355" s="17">
        <f t="shared" si="217"/>
        <v>-2.6408888900665901</v>
      </c>
      <c r="I1355" s="17">
        <f t="shared" si="218"/>
        <v>1.27809889451922</v>
      </c>
      <c r="J1355" s="17">
        <f t="shared" si="219"/>
        <v>-2.64446594177477</v>
      </c>
      <c r="K1355" s="15">
        <f t="shared" si="220"/>
        <v>2.38953529501096E-5</v>
      </c>
      <c r="L1355" s="15">
        <f t="shared" si="221"/>
        <v>3.5770517081799001E-3</v>
      </c>
      <c r="M1355" s="15">
        <f t="shared" si="222"/>
        <v>0.14815554353061</v>
      </c>
      <c r="N1355" s="15">
        <f t="shared" si="223"/>
        <v>0.30654301527989902</v>
      </c>
      <c r="O1355" s="17">
        <v>9.9078006999999992</v>
      </c>
      <c r="P1355" s="17">
        <v>-6.7861390000000004</v>
      </c>
      <c r="Q1355" s="17">
        <v>6.3112396000000004</v>
      </c>
      <c r="R1355" s="17">
        <v>-9.8924196000000002</v>
      </c>
      <c r="S1355" s="17">
        <f t="shared" si="224"/>
        <v>0.97711769511087931</v>
      </c>
      <c r="T1355" s="17">
        <f t="shared" si="225"/>
        <v>-23.054264845658757</v>
      </c>
    </row>
    <row r="1356" spans="1:20" x14ac:dyDescent="0.35">
      <c r="A1356" s="16">
        <v>5</v>
      </c>
      <c r="B1356" s="16">
        <v>15.488</v>
      </c>
      <c r="C1356" s="16">
        <v>-9.2240633000000002E-2</v>
      </c>
      <c r="D1356" s="16">
        <v>-0.12850072000000001</v>
      </c>
      <c r="E1356" s="16">
        <v>0.90768252000000005</v>
      </c>
      <c r="F1356" s="16">
        <v>-0.13572793999999999</v>
      </c>
      <c r="G1356" s="16">
        <f t="shared" si="216"/>
        <v>1.2766858659726601</v>
      </c>
      <c r="H1356" s="16">
        <f t="shared" si="217"/>
        <v>-2.5418253635497798</v>
      </c>
      <c r="I1356" s="16">
        <f t="shared" si="218"/>
        <v>1.2766605005082501</v>
      </c>
      <c r="J1356" s="16">
        <f t="shared" si="219"/>
        <v>-2.5454392040670699</v>
      </c>
      <c r="K1356" s="15">
        <f t="shared" si="220"/>
        <v>2.5365464410009901E-5</v>
      </c>
      <c r="L1356" s="15">
        <f t="shared" si="221"/>
        <v>3.6138405172900798E-3</v>
      </c>
      <c r="M1356" s="15">
        <f t="shared" si="222"/>
        <v>0.15743509327778399</v>
      </c>
      <c r="N1356" s="15">
        <f t="shared" si="223"/>
        <v>0.31389821989925099</v>
      </c>
      <c r="O1356" s="16">
        <v>10.021698000000001</v>
      </c>
      <c r="P1356" s="16">
        <v>-7.1245685999999999</v>
      </c>
      <c r="Q1356" s="16">
        <v>6.2950201000000003</v>
      </c>
      <c r="R1356" s="16">
        <v>-10.259553</v>
      </c>
      <c r="S1356" s="16">
        <f t="shared" si="224"/>
        <v>0.97891644262543109</v>
      </c>
      <c r="T1356" s="16">
        <f t="shared" si="225"/>
        <v>-23.058135972064107</v>
      </c>
    </row>
    <row r="1357" spans="1:20" x14ac:dyDescent="0.35">
      <c r="A1357" s="17">
        <v>5</v>
      </c>
      <c r="B1357" s="17">
        <v>15.536799999999999</v>
      </c>
      <c r="C1357" s="17">
        <v>-9.7114829999999999E-2</v>
      </c>
      <c r="D1357" s="17">
        <v>-0.1302333</v>
      </c>
      <c r="E1357" s="17">
        <v>0.90280579999999999</v>
      </c>
      <c r="F1357" s="17">
        <v>-0.13753534000000001</v>
      </c>
      <c r="G1357" s="17">
        <f t="shared" si="216"/>
        <v>1.2752374906691899</v>
      </c>
      <c r="H1357" s="17">
        <f t="shared" si="217"/>
        <v>-2.4445321120658998</v>
      </c>
      <c r="I1357" s="17">
        <f t="shared" si="218"/>
        <v>1.2752111354506701</v>
      </c>
      <c r="J1357" s="17">
        <f t="shared" si="219"/>
        <v>-2.4481833731896301</v>
      </c>
      <c r="K1357" s="15">
        <f t="shared" si="220"/>
        <v>2.6355218519791299E-5</v>
      </c>
      <c r="L1357" s="15">
        <f t="shared" si="221"/>
        <v>3.6512611237302702E-3</v>
      </c>
      <c r="M1357" s="15">
        <f t="shared" si="222"/>
        <v>0.16735569803997599</v>
      </c>
      <c r="N1357" s="15">
        <f t="shared" si="223"/>
        <v>0.32129380457865497</v>
      </c>
      <c r="O1357" s="17">
        <v>10.132318</v>
      </c>
      <c r="P1357" s="17">
        <v>-7.4825217000000004</v>
      </c>
      <c r="Q1357" s="17">
        <v>6.2645439999999999</v>
      </c>
      <c r="R1357" s="17">
        <v>-10.638628000000001</v>
      </c>
      <c r="S1357" s="17">
        <f t="shared" si="224"/>
        <v>0.98017858464226004</v>
      </c>
      <c r="T1357" s="17">
        <f t="shared" si="225"/>
        <v>-23.063190731965317</v>
      </c>
    </row>
    <row r="1358" spans="1:20" x14ac:dyDescent="0.35">
      <c r="A1358" s="16">
        <v>5</v>
      </c>
      <c r="B1358" s="16">
        <v>15.585599999999999</v>
      </c>
      <c r="C1358" s="16">
        <v>-0.10222937999999999</v>
      </c>
      <c r="D1358" s="16">
        <v>-0.13184444000000001</v>
      </c>
      <c r="E1358" s="16">
        <v>0.89768906000000004</v>
      </c>
      <c r="F1358" s="16">
        <v>-0.13922216000000001</v>
      </c>
      <c r="G1358" s="16">
        <f t="shared" si="216"/>
        <v>1.2737843032262</v>
      </c>
      <c r="H1358" s="16">
        <f t="shared" si="217"/>
        <v>-2.3488411062019301</v>
      </c>
      <c r="I1358" s="16">
        <f t="shared" si="218"/>
        <v>1.2737571307309099</v>
      </c>
      <c r="J1358" s="16">
        <f t="shared" si="219"/>
        <v>-2.3525302168794</v>
      </c>
      <c r="K1358" s="15">
        <f t="shared" si="220"/>
        <v>2.7172495290050899E-5</v>
      </c>
      <c r="L1358" s="15">
        <f t="shared" si="221"/>
        <v>3.6891106774699098E-3</v>
      </c>
      <c r="M1358" s="15">
        <f t="shared" si="222"/>
        <v>0.177977200201657</v>
      </c>
      <c r="N1358" s="15">
        <f t="shared" si="223"/>
        <v>0.32871002743649702</v>
      </c>
      <c r="O1358" s="16">
        <v>10.233236</v>
      </c>
      <c r="P1358" s="16">
        <v>-7.8572876000000003</v>
      </c>
      <c r="Q1358" s="16">
        <v>6.2185123000000004</v>
      </c>
      <c r="R1358" s="16">
        <v>-11.029548</v>
      </c>
      <c r="S1358" s="16">
        <f t="shared" si="224"/>
        <v>0.98139790693425022</v>
      </c>
      <c r="T1358" s="16">
        <f t="shared" si="225"/>
        <v>-23.067696439659791</v>
      </c>
    </row>
    <row r="1359" spans="1:20" x14ac:dyDescent="0.35">
      <c r="A1359" s="17">
        <v>5</v>
      </c>
      <c r="B1359" s="17">
        <v>15.634399999999999</v>
      </c>
      <c r="C1359" s="17">
        <v>-0.10758714</v>
      </c>
      <c r="D1359" s="17">
        <v>-0.13331313</v>
      </c>
      <c r="E1359" s="17">
        <v>0.89232915000000002</v>
      </c>
      <c r="F1359" s="17">
        <v>-0.14076722999999999</v>
      </c>
      <c r="G1359" s="17">
        <f t="shared" si="216"/>
        <v>1.2723258356579701</v>
      </c>
      <c r="H1359" s="17">
        <f t="shared" si="217"/>
        <v>-2.2547581355177</v>
      </c>
      <c r="I1359" s="17">
        <f t="shared" si="218"/>
        <v>1.27229787135912</v>
      </c>
      <c r="J1359" s="17">
        <f t="shared" si="219"/>
        <v>-2.2584854457486001</v>
      </c>
      <c r="K1359" s="15">
        <f t="shared" si="220"/>
        <v>2.7964298850102798E-5</v>
      </c>
      <c r="L1359" s="15">
        <f t="shared" si="221"/>
        <v>3.7273102309001199E-3</v>
      </c>
      <c r="M1359" s="15">
        <f t="shared" si="222"/>
        <v>0.18934417407465801</v>
      </c>
      <c r="N1359" s="15">
        <f t="shared" si="223"/>
        <v>0.33610923276016502</v>
      </c>
      <c r="O1359" s="17">
        <v>10.328409000000001</v>
      </c>
      <c r="P1359" s="17">
        <v>-8.2533577999999999</v>
      </c>
      <c r="Q1359" s="17">
        <v>6.1553950999999998</v>
      </c>
      <c r="R1359" s="17">
        <v>-11.432191</v>
      </c>
      <c r="S1359" s="17">
        <f t="shared" si="224"/>
        <v>0.98207538794208016</v>
      </c>
      <c r="T1359" s="17">
        <f t="shared" si="225"/>
        <v>-23.072696901431435</v>
      </c>
    </row>
    <row r="1360" spans="1:20" x14ac:dyDescent="0.35">
      <c r="A1360" s="16">
        <v>5</v>
      </c>
      <c r="B1360" s="16">
        <v>15.683199999999999</v>
      </c>
      <c r="C1360" s="16">
        <v>-0.11318948</v>
      </c>
      <c r="D1360" s="16">
        <v>-0.13461682</v>
      </c>
      <c r="E1360" s="16">
        <v>0.88672452000000002</v>
      </c>
      <c r="F1360" s="16">
        <v>-0.14214782000000001</v>
      </c>
      <c r="G1360" s="16">
        <f t="shared" si="216"/>
        <v>1.27086229717489</v>
      </c>
      <c r="H1360" s="16">
        <f t="shared" si="217"/>
        <v>-2.1622844889149402</v>
      </c>
      <c r="I1360" s="16">
        <f t="shared" si="218"/>
        <v>1.2708334759442199</v>
      </c>
      <c r="J1360" s="16">
        <f t="shared" si="219"/>
        <v>-2.1660502593694102</v>
      </c>
      <c r="K1360" s="15">
        <f t="shared" si="220"/>
        <v>2.88212306700508E-5</v>
      </c>
      <c r="L1360" s="15">
        <f t="shared" si="221"/>
        <v>3.7657704544700201E-3</v>
      </c>
      <c r="M1360" s="15">
        <f t="shared" si="222"/>
        <v>0.20150237820306</v>
      </c>
      <c r="N1360" s="15">
        <f t="shared" si="223"/>
        <v>0.34344726262896202</v>
      </c>
      <c r="O1360" s="16">
        <v>10.404683</v>
      </c>
      <c r="P1360" s="16">
        <v>-8.6617517999999993</v>
      </c>
      <c r="Q1360" s="16">
        <v>6.0741879000000001</v>
      </c>
      <c r="R1360" s="16">
        <v>-11.846018000000001</v>
      </c>
      <c r="S1360" s="16">
        <f t="shared" si="224"/>
        <v>0.98333073171829677</v>
      </c>
      <c r="T1360" s="16">
        <f t="shared" si="225"/>
        <v>-23.076068929811555</v>
      </c>
    </row>
    <row r="1361" spans="1:20" x14ac:dyDescent="0.35">
      <c r="A1361" s="17">
        <v>5</v>
      </c>
      <c r="B1361" s="17">
        <v>15.731999999999999</v>
      </c>
      <c r="C1361" s="17">
        <v>-0.11903696</v>
      </c>
      <c r="D1361" s="17">
        <v>-0.13573102000000001</v>
      </c>
      <c r="E1361" s="17">
        <v>0.88087466000000003</v>
      </c>
      <c r="F1361" s="17">
        <v>-0.14333944000000001</v>
      </c>
      <c r="G1361" s="17">
        <f t="shared" si="216"/>
        <v>1.26940166484877</v>
      </c>
      <c r="H1361" s="17">
        <f t="shared" si="217"/>
        <v>-2.0714048638672198</v>
      </c>
      <c r="I1361" s="17">
        <f t="shared" si="218"/>
        <v>1.26937194661889</v>
      </c>
      <c r="J1361" s="17">
        <f t="shared" si="219"/>
        <v>-2.0752093550420798</v>
      </c>
      <c r="K1361" s="15">
        <f t="shared" si="220"/>
        <v>2.97182298800713E-5</v>
      </c>
      <c r="L1361" s="15">
        <f t="shared" si="221"/>
        <v>3.8044911748600402E-3</v>
      </c>
      <c r="M1361" s="15">
        <f t="shared" si="222"/>
        <v>0.214500686033228</v>
      </c>
      <c r="N1361" s="15">
        <f t="shared" si="223"/>
        <v>0.35067249713904602</v>
      </c>
      <c r="O1361" s="17">
        <v>10.466884</v>
      </c>
      <c r="P1361" s="17">
        <v>-9.0874749999999995</v>
      </c>
      <c r="Q1361" s="17">
        <v>5.9726944</v>
      </c>
      <c r="R1361" s="17">
        <v>-12.270550999999999</v>
      </c>
      <c r="S1361" s="17">
        <f t="shared" si="224"/>
        <v>0.98453105874240798</v>
      </c>
      <c r="T1361" s="17">
        <f t="shared" si="225"/>
        <v>-23.080573457710251</v>
      </c>
    </row>
    <row r="1362" spans="1:20" x14ac:dyDescent="0.35">
      <c r="A1362" s="16">
        <v>5</v>
      </c>
      <c r="B1362" s="16">
        <v>15.780799999999999</v>
      </c>
      <c r="C1362" s="16">
        <v>-0.12513103</v>
      </c>
      <c r="D1362" s="16">
        <v>-0.13663154</v>
      </c>
      <c r="E1362" s="16">
        <v>0.87477821</v>
      </c>
      <c r="F1362" s="16">
        <v>-0.14431811</v>
      </c>
      <c r="G1362" s="16">
        <f t="shared" si="216"/>
        <v>1.2679283267693899</v>
      </c>
      <c r="H1362" s="16">
        <f t="shared" si="217"/>
        <v>-1.98205644178017</v>
      </c>
      <c r="I1362" s="16">
        <f t="shared" si="218"/>
        <v>1.26789771734241</v>
      </c>
      <c r="J1362" s="16">
        <f t="shared" si="219"/>
        <v>-1.98590001884245</v>
      </c>
      <c r="K1362" s="15">
        <f t="shared" si="220"/>
        <v>3.06094269799662E-5</v>
      </c>
      <c r="L1362" s="15">
        <f t="shared" si="221"/>
        <v>3.8435770622800001E-3</v>
      </c>
      <c r="M1362" s="15">
        <f t="shared" si="222"/>
        <v>0.22839392806150999</v>
      </c>
      <c r="N1362" s="15">
        <f t="shared" si="223"/>
        <v>0.35773193676186998</v>
      </c>
      <c r="O1362" s="16">
        <v>10.512683000000001</v>
      </c>
      <c r="P1362" s="16">
        <v>-9.5300989999999999</v>
      </c>
      <c r="Q1362" s="16">
        <v>5.8492635000000002</v>
      </c>
      <c r="R1362" s="16">
        <v>-12.704654</v>
      </c>
      <c r="S1362" s="16">
        <f t="shared" si="224"/>
        <v>0.98569989365470423</v>
      </c>
      <c r="T1362" s="16">
        <f t="shared" si="225"/>
        <v>-23.085145370399029</v>
      </c>
    </row>
    <row r="1363" spans="1:20" x14ac:dyDescent="0.35">
      <c r="A1363" s="17">
        <v>5</v>
      </c>
      <c r="B1363" s="17">
        <v>15.829599999999999</v>
      </c>
      <c r="C1363" s="17">
        <v>-0.13149263</v>
      </c>
      <c r="D1363" s="17">
        <v>-0.13728367</v>
      </c>
      <c r="E1363" s="17">
        <v>0.86846034999999999</v>
      </c>
      <c r="F1363" s="17">
        <v>-0.1450313</v>
      </c>
      <c r="G1363" s="17">
        <f t="shared" si="216"/>
        <v>1.2666528066193501</v>
      </c>
      <c r="H1363" s="17">
        <f t="shared" si="217"/>
        <v>-1.89422320444451</v>
      </c>
      <c r="I1363" s="17">
        <f t="shared" si="218"/>
        <v>1.2666443033425101</v>
      </c>
      <c r="J1363" s="17">
        <f t="shared" si="219"/>
        <v>-1.8980971434609399</v>
      </c>
      <c r="K1363" s="15">
        <f t="shared" si="220"/>
        <v>8.5032768399884196E-6</v>
      </c>
      <c r="L1363" s="15">
        <f t="shared" si="221"/>
        <v>3.8739390164299601E-3</v>
      </c>
      <c r="M1363" s="15">
        <f t="shared" si="222"/>
        <v>0.24325047968609001</v>
      </c>
      <c r="N1363" s="15">
        <f t="shared" si="223"/>
        <v>0.36451673087643499</v>
      </c>
      <c r="O1363" s="17">
        <v>10.539825</v>
      </c>
      <c r="P1363" s="17">
        <v>-9.9914789000000006</v>
      </c>
      <c r="Q1363" s="17">
        <v>5.6998477000000003</v>
      </c>
      <c r="R1363" s="17">
        <v>-13.149293</v>
      </c>
      <c r="S1363" s="17">
        <f t="shared" si="224"/>
        <v>0.98681461050495511</v>
      </c>
      <c r="T1363" s="17">
        <f t="shared" si="225"/>
        <v>-23.094509148562913</v>
      </c>
    </row>
    <row r="1364" spans="1:20" x14ac:dyDescent="0.35">
      <c r="A1364" s="16">
        <v>5</v>
      </c>
      <c r="B1364" s="16">
        <v>15.878399999999999</v>
      </c>
      <c r="C1364" s="16">
        <v>-0.13806735000000001</v>
      </c>
      <c r="D1364" s="16">
        <v>-0.13767154000000001</v>
      </c>
      <c r="E1364" s="16">
        <v>0.86188580000000004</v>
      </c>
      <c r="F1364" s="16">
        <v>-0.14549643000000001</v>
      </c>
      <c r="G1364" s="16">
        <f t="shared" si="216"/>
        <v>1.26518964022144</v>
      </c>
      <c r="H1364" s="16">
        <f t="shared" si="217"/>
        <v>-1.8078822722844301</v>
      </c>
      <c r="I1364" s="16">
        <f t="shared" si="218"/>
        <v>1.2651815227400101</v>
      </c>
      <c r="J1364" s="16">
        <f t="shared" si="219"/>
        <v>-1.81179484069555</v>
      </c>
      <c r="K1364" s="15">
        <f t="shared" si="220"/>
        <v>8.1174814299256292E-6</v>
      </c>
      <c r="L1364" s="15">
        <f t="shared" si="221"/>
        <v>3.9125684111198699E-3</v>
      </c>
      <c r="M1364" s="15">
        <f t="shared" si="222"/>
        <v>0.25908411381243801</v>
      </c>
      <c r="N1364" s="15">
        <f t="shared" si="223"/>
        <v>0.37101969343889402</v>
      </c>
      <c r="O1364" s="16">
        <v>10.548432</v>
      </c>
      <c r="P1364" s="16">
        <v>-10.468275999999999</v>
      </c>
      <c r="Q1364" s="16">
        <v>5.5278796999999997</v>
      </c>
      <c r="R1364" s="16">
        <v>-13.599847</v>
      </c>
      <c r="S1364" s="16">
        <f t="shared" si="224"/>
        <v>0.98783447723977058</v>
      </c>
      <c r="T1364" s="16">
        <f t="shared" si="225"/>
        <v>-23.098434566685267</v>
      </c>
    </row>
    <row r="1365" spans="1:20" x14ac:dyDescent="0.35">
      <c r="A1365" s="17">
        <v>5</v>
      </c>
      <c r="B1365" s="17">
        <v>15.927199999999999</v>
      </c>
      <c r="C1365" s="17">
        <v>-0.14486281000000001</v>
      </c>
      <c r="D1365" s="17">
        <v>-0.13776000999999999</v>
      </c>
      <c r="E1365" s="17">
        <v>0.85509060999999997</v>
      </c>
      <c r="F1365" s="17">
        <v>-0.14566230999999999</v>
      </c>
      <c r="G1365" s="17">
        <f t="shared" si="216"/>
        <v>1.26372270132599</v>
      </c>
      <c r="H1365" s="17">
        <f t="shared" si="217"/>
        <v>-1.7230942351616201</v>
      </c>
      <c r="I1365" s="17">
        <f t="shared" si="218"/>
        <v>1.2637150232169601</v>
      </c>
      <c r="J1365" s="17">
        <f t="shared" si="219"/>
        <v>-1.72704550752411</v>
      </c>
      <c r="K1365" s="15">
        <f t="shared" si="220"/>
        <v>7.6781090299071798E-6</v>
      </c>
      <c r="L1365" s="15">
        <f t="shared" si="221"/>
        <v>3.95127236248993E-3</v>
      </c>
      <c r="M1365" s="15">
        <f t="shared" si="222"/>
        <v>0.27594068426836998</v>
      </c>
      <c r="N1365" s="15">
        <f t="shared" si="223"/>
        <v>0.37711201525139898</v>
      </c>
      <c r="O1365" s="17">
        <v>10.529318999999999</v>
      </c>
      <c r="P1365" s="17">
        <v>-10.954504</v>
      </c>
      <c r="Q1365" s="17">
        <v>5.3287411000000002</v>
      </c>
      <c r="R1365" s="17">
        <v>-14.054842000000001</v>
      </c>
      <c r="S1365" s="17">
        <f t="shared" si="224"/>
        <v>0.98925727958247911</v>
      </c>
      <c r="T1365" s="17">
        <f t="shared" si="225"/>
        <v>-23.102530728836811</v>
      </c>
    </row>
    <row r="1366" spans="1:20" x14ac:dyDescent="0.35">
      <c r="A1366" s="16">
        <v>5</v>
      </c>
      <c r="B1366" s="16">
        <v>15.976000000000001</v>
      </c>
      <c r="C1366" s="16">
        <v>-0.15186760999999999</v>
      </c>
      <c r="D1366" s="16">
        <v>-0.13751954999999999</v>
      </c>
      <c r="E1366" s="16">
        <v>0.84808620000000001</v>
      </c>
      <c r="F1366" s="16">
        <v>-0.14549962999999999</v>
      </c>
      <c r="G1366" s="16">
        <f t="shared" si="216"/>
        <v>1.26225048904493</v>
      </c>
      <c r="H1366" s="16">
        <f t="shared" si="217"/>
        <v>-1.6398093774176801</v>
      </c>
      <c r="I1366" s="16">
        <f t="shared" si="218"/>
        <v>1.26224331478036</v>
      </c>
      <c r="J1366" s="16">
        <f t="shared" si="219"/>
        <v>-1.64379953819605</v>
      </c>
      <c r="K1366" s="15">
        <f t="shared" si="220"/>
        <v>7.1742645699757199E-6</v>
      </c>
      <c r="L1366" s="15">
        <f t="shared" si="221"/>
        <v>3.9901607783698898E-3</v>
      </c>
      <c r="M1366" s="15">
        <f t="shared" si="222"/>
        <v>0.29386375758712902</v>
      </c>
      <c r="N1366" s="15">
        <f t="shared" si="223"/>
        <v>0.382694131438784</v>
      </c>
      <c r="O1366" s="16">
        <v>10.493354999999999</v>
      </c>
      <c r="P1366" s="16">
        <v>-11.462445000000001</v>
      </c>
      <c r="Q1366" s="16">
        <v>5.1017446</v>
      </c>
      <c r="R1366" s="16">
        <v>-14.514341999999999</v>
      </c>
      <c r="S1366" s="16">
        <f t="shared" si="224"/>
        <v>0.99000332561289406</v>
      </c>
      <c r="T1366" s="16">
        <f t="shared" si="225"/>
        <v>-23.106295331151266</v>
      </c>
    </row>
    <row r="1367" spans="1:20" x14ac:dyDescent="0.35">
      <c r="A1367" s="17">
        <v>5</v>
      </c>
      <c r="B1367" s="17">
        <v>16.024799999999999</v>
      </c>
      <c r="C1367" s="17">
        <v>-0.15906148000000001</v>
      </c>
      <c r="D1367" s="17">
        <v>-0.13692053000000001</v>
      </c>
      <c r="E1367" s="17">
        <v>0.84089290000000005</v>
      </c>
      <c r="F1367" s="17">
        <v>-0.14497882000000001</v>
      </c>
      <c r="G1367" s="17">
        <f t="shared" si="216"/>
        <v>1.26077385133086</v>
      </c>
      <c r="H1367" s="17">
        <f t="shared" si="217"/>
        <v>-1.55803908997561</v>
      </c>
      <c r="I1367" s="17">
        <f t="shared" si="218"/>
        <v>1.26076727566735</v>
      </c>
      <c r="J1367" s="17">
        <f t="shared" si="219"/>
        <v>-1.56206835337741</v>
      </c>
      <c r="K1367" s="15">
        <f t="shared" si="220"/>
        <v>6.5756635099223402E-6</v>
      </c>
      <c r="L1367" s="15">
        <f t="shared" si="221"/>
        <v>4.0292634017999899E-3</v>
      </c>
      <c r="M1367" s="15">
        <f t="shared" si="222"/>
        <v>0.31287717982088398</v>
      </c>
      <c r="N1367" s="15">
        <f t="shared" si="223"/>
        <v>0.38764929144713001</v>
      </c>
      <c r="O1367" s="17">
        <v>10.426508999999999</v>
      </c>
      <c r="P1367" s="17">
        <v>-11.978142999999999</v>
      </c>
      <c r="Q1367" s="17">
        <v>4.8448184999999997</v>
      </c>
      <c r="R1367" s="17">
        <v>-14.974949000000001</v>
      </c>
      <c r="S1367" s="17">
        <f t="shared" si="224"/>
        <v>0.99110467059891649</v>
      </c>
      <c r="T1367" s="17">
        <f t="shared" si="225"/>
        <v>-23.110449295460434</v>
      </c>
    </row>
    <row r="1368" spans="1:20" x14ac:dyDescent="0.35">
      <c r="A1368" s="16">
        <v>5</v>
      </c>
      <c r="B1368" s="16">
        <v>16.073599999999999</v>
      </c>
      <c r="C1368" s="16">
        <v>-0.16642297</v>
      </c>
      <c r="D1368" s="16">
        <v>-0.1359339</v>
      </c>
      <c r="E1368" s="16">
        <v>0.83353213000000004</v>
      </c>
      <c r="F1368" s="16">
        <v>-0.14407101</v>
      </c>
      <c r="G1368" s="16">
        <f t="shared" si="216"/>
        <v>1.2592910362369301</v>
      </c>
      <c r="H1368" s="16">
        <f t="shared" si="217"/>
        <v>-1.4777579677330099</v>
      </c>
      <c r="I1368" s="16">
        <f t="shared" si="218"/>
        <v>1.25928513971357</v>
      </c>
      <c r="J1368" s="16">
        <f t="shared" si="219"/>
        <v>-1.48182663806499</v>
      </c>
      <c r="K1368" s="15">
        <f t="shared" si="220"/>
        <v>5.8965233600272196E-6</v>
      </c>
      <c r="L1368" s="15">
        <f t="shared" si="221"/>
        <v>4.06867033198011E-3</v>
      </c>
      <c r="M1368" s="15">
        <f t="shared" si="222"/>
        <v>0.33300244869356399</v>
      </c>
      <c r="N1368" s="15">
        <f t="shared" si="223"/>
        <v>0.39185080761552599</v>
      </c>
      <c r="O1368" s="16">
        <v>10.331777000000001</v>
      </c>
      <c r="P1368" s="16">
        <v>-12.505167999999999</v>
      </c>
      <c r="Q1368" s="16">
        <v>4.5570196999999997</v>
      </c>
      <c r="R1368" s="16">
        <v>-15.434298</v>
      </c>
      <c r="S1368" s="16">
        <f t="shared" si="224"/>
        <v>0.99210017526792638</v>
      </c>
      <c r="T1368" s="16">
        <f t="shared" si="225"/>
        <v>-23.114154025818085</v>
      </c>
    </row>
    <row r="1369" spans="1:20" x14ac:dyDescent="0.35">
      <c r="A1369" s="17">
        <v>5</v>
      </c>
      <c r="B1369" s="17">
        <v>16.122399999999999</v>
      </c>
      <c r="C1369" s="17">
        <v>-0.17392362</v>
      </c>
      <c r="D1369" s="17">
        <v>-0.13453358000000001</v>
      </c>
      <c r="E1369" s="17">
        <v>0.82602997</v>
      </c>
      <c r="F1369" s="17">
        <v>-0.14278539000000001</v>
      </c>
      <c r="G1369" s="17">
        <f t="shared" si="216"/>
        <v>1.2576115932401399</v>
      </c>
      <c r="H1369" s="17">
        <f t="shared" si="217"/>
        <v>-1.39899210692938</v>
      </c>
      <c r="I1369" s="17">
        <f t="shared" si="218"/>
        <v>1.2576054116890301</v>
      </c>
      <c r="J1369" s="17">
        <f t="shared" si="219"/>
        <v>-1.40311813317831</v>
      </c>
      <c r="K1369" s="15">
        <f t="shared" si="220"/>
        <v>6.1815511098739498E-6</v>
      </c>
      <c r="L1369" s="15">
        <f t="shared" si="221"/>
        <v>4.12602624892999E-3</v>
      </c>
      <c r="M1369" s="15">
        <f t="shared" si="222"/>
        <v>0.35422392700781202</v>
      </c>
      <c r="N1369" s="15">
        <f t="shared" si="223"/>
        <v>0.395209825411589</v>
      </c>
      <c r="O1369" s="17">
        <v>10.205168</v>
      </c>
      <c r="P1369" s="17">
        <v>-13.039</v>
      </c>
      <c r="Q1369" s="17">
        <v>4.2372820000000004</v>
      </c>
      <c r="R1369" s="17">
        <v>-15.890628</v>
      </c>
      <c r="S1369" s="17">
        <f t="shared" si="224"/>
        <v>0.99323957760243697</v>
      </c>
      <c r="T1369" s="17">
        <f t="shared" si="225"/>
        <v>-23.118359940753905</v>
      </c>
    </row>
    <row r="1370" spans="1:20" x14ac:dyDescent="0.35">
      <c r="A1370" s="16">
        <v>5</v>
      </c>
      <c r="B1370" s="16">
        <v>16.171199999999999</v>
      </c>
      <c r="C1370" s="16">
        <v>-0.18153179999999999</v>
      </c>
      <c r="D1370" s="16">
        <v>-0.13269064</v>
      </c>
      <c r="E1370" s="16">
        <v>0.81842360999999997</v>
      </c>
      <c r="F1370" s="16">
        <v>-0.14102518</v>
      </c>
      <c r="G1370" s="16">
        <f t="shared" si="216"/>
        <v>1.2561172981601301</v>
      </c>
      <c r="H1370" s="16">
        <f t="shared" si="217"/>
        <v>-1.3216992055380301</v>
      </c>
      <c r="I1370" s="16">
        <f t="shared" si="218"/>
        <v>1.25611236966228</v>
      </c>
      <c r="J1370" s="16">
        <f t="shared" si="219"/>
        <v>-1.32586658898822</v>
      </c>
      <c r="K1370" s="15">
        <f t="shared" si="220"/>
        <v>4.9284978500541101E-6</v>
      </c>
      <c r="L1370" s="15">
        <f t="shared" si="221"/>
        <v>4.16738345018985E-3</v>
      </c>
      <c r="M1370" s="15">
        <f t="shared" si="222"/>
        <v>0.37656177714865602</v>
      </c>
      <c r="N1370" s="15">
        <f t="shared" si="223"/>
        <v>0.39747294196749899</v>
      </c>
      <c r="O1370" s="16">
        <v>10.047748</v>
      </c>
      <c r="P1370" s="16">
        <v>-13.580432999999999</v>
      </c>
      <c r="Q1370" s="16">
        <v>3.8850921</v>
      </c>
      <c r="R1370" s="16">
        <v>-16.340405000000001</v>
      </c>
      <c r="S1370" s="16">
        <f t="shared" si="224"/>
        <v>0.99423215349790794</v>
      </c>
      <c r="T1370" s="16">
        <f t="shared" si="225"/>
        <v>-23.122298424297355</v>
      </c>
    </row>
    <row r="1371" spans="1:20" x14ac:dyDescent="0.35">
      <c r="A1371" s="17">
        <v>5</v>
      </c>
      <c r="B1371" s="17">
        <v>16.22</v>
      </c>
      <c r="C1371" s="17">
        <v>-0.18920948000000001</v>
      </c>
      <c r="D1371" s="17">
        <v>-0.13038437</v>
      </c>
      <c r="E1371" s="17">
        <v>0.81074745000000004</v>
      </c>
      <c r="F1371" s="17">
        <v>-0.13880255</v>
      </c>
      <c r="G1371" s="17">
        <f t="shared" si="216"/>
        <v>1.25461765782381</v>
      </c>
      <c r="H1371" s="17">
        <f t="shared" si="217"/>
        <v>-1.24589274812132</v>
      </c>
      <c r="I1371" s="17">
        <f t="shared" si="218"/>
        <v>1.25461383962939</v>
      </c>
      <c r="J1371" s="17">
        <f t="shared" si="219"/>
        <v>-1.2501019448374899</v>
      </c>
      <c r="K1371" s="15">
        <f t="shared" si="220"/>
        <v>3.81819441996889E-6</v>
      </c>
      <c r="L1371" s="15">
        <f t="shared" si="221"/>
        <v>4.2091967161699299E-3</v>
      </c>
      <c r="M1371" s="15">
        <f t="shared" si="222"/>
        <v>0.39996478461420598</v>
      </c>
      <c r="N1371" s="15">
        <f t="shared" si="223"/>
        <v>0.398526414518451</v>
      </c>
      <c r="O1371" s="17">
        <v>9.8578224999999993</v>
      </c>
      <c r="P1371" s="17">
        <v>-14.126746000000001</v>
      </c>
      <c r="Q1371" s="17">
        <v>3.5000173000000001</v>
      </c>
      <c r="R1371" s="17">
        <v>-16.780059000000001</v>
      </c>
      <c r="S1371" s="17">
        <f t="shared" si="224"/>
        <v>0.99506584158400513</v>
      </c>
      <c r="T1371" s="17">
        <f t="shared" si="225"/>
        <v>-23.125883590489359</v>
      </c>
    </row>
    <row r="1372" spans="1:20" x14ac:dyDescent="0.35">
      <c r="A1372" s="16">
        <v>5</v>
      </c>
      <c r="B1372" s="16">
        <v>16.268799999999999</v>
      </c>
      <c r="C1372" s="16">
        <v>-0.19691717</v>
      </c>
      <c r="D1372" s="16">
        <v>-0.12759537000000001</v>
      </c>
      <c r="E1372" s="16">
        <v>0.80304107999999996</v>
      </c>
      <c r="F1372" s="16">
        <v>-0.1360982</v>
      </c>
      <c r="G1372" s="16">
        <f t="shared" si="216"/>
        <v>1.25311220123272</v>
      </c>
      <c r="H1372" s="16">
        <f t="shared" si="217"/>
        <v>-1.1715531160775901</v>
      </c>
      <c r="I1372" s="16">
        <f t="shared" si="218"/>
        <v>1.2531094011317001</v>
      </c>
      <c r="J1372" s="16">
        <f t="shared" si="219"/>
        <v>-1.17580463173237</v>
      </c>
      <c r="K1372" s="15">
        <f t="shared" si="220"/>
        <v>2.8001010199396599E-6</v>
      </c>
      <c r="L1372" s="15">
        <f t="shared" si="221"/>
        <v>4.2515156547799898E-3</v>
      </c>
      <c r="M1372" s="15">
        <f t="shared" si="222"/>
        <v>0.42438008909656499</v>
      </c>
      <c r="N1372" s="15">
        <f t="shared" si="223"/>
        <v>0.39819992885225902</v>
      </c>
      <c r="O1372" s="16">
        <v>9.6318161</v>
      </c>
      <c r="P1372" s="16">
        <v>-14.671796000000001</v>
      </c>
      <c r="Q1372" s="16">
        <v>3.0819960000000002</v>
      </c>
      <c r="R1372" s="16">
        <v>-17.20664</v>
      </c>
      <c r="S1372" s="16">
        <f t="shared" si="224"/>
        <v>0.9959886236519806</v>
      </c>
      <c r="T1372" s="16">
        <f t="shared" si="225"/>
        <v>-23.129360829678696</v>
      </c>
    </row>
    <row r="1373" spans="1:20" x14ac:dyDescent="0.35">
      <c r="A1373" s="17">
        <v>5</v>
      </c>
      <c r="B1373" s="17">
        <v>16.317599999999999</v>
      </c>
      <c r="C1373" s="17">
        <v>-0.20461148000000001</v>
      </c>
      <c r="D1373" s="17">
        <v>-0.12430761999999999</v>
      </c>
      <c r="E1373" s="17">
        <v>0.79532722</v>
      </c>
      <c r="F1373" s="17">
        <v>-0.13286166999999999</v>
      </c>
      <c r="G1373" s="17">
        <f t="shared" si="216"/>
        <v>1.25170690373273</v>
      </c>
      <c r="H1373" s="17">
        <f t="shared" si="217"/>
        <v>-1.0985233947098401</v>
      </c>
      <c r="I1373" s="17">
        <f t="shared" si="218"/>
        <v>1.2516945470836001</v>
      </c>
      <c r="J1373" s="17">
        <f t="shared" si="219"/>
        <v>-1.1028006036559901</v>
      </c>
      <c r="K1373" s="15">
        <f t="shared" si="220"/>
        <v>1.23566491299076E-5</v>
      </c>
      <c r="L1373" s="15">
        <f t="shared" si="221"/>
        <v>4.2772089461500197E-3</v>
      </c>
      <c r="M1373" s="15">
        <f t="shared" si="222"/>
        <v>0.44977928210129597</v>
      </c>
      <c r="N1373" s="15">
        <f t="shared" si="223"/>
        <v>0.39627628399354198</v>
      </c>
      <c r="O1373" s="17">
        <v>9.3691625999999992</v>
      </c>
      <c r="P1373" s="17">
        <v>-15.212415</v>
      </c>
      <c r="Q1373" s="17">
        <v>2.6317745000000001</v>
      </c>
      <c r="R1373" s="17">
        <v>-17.615860999999999</v>
      </c>
      <c r="S1373" s="17">
        <f t="shared" si="224"/>
        <v>0.99693454075290355</v>
      </c>
      <c r="T1373" s="17">
        <f t="shared" si="225"/>
        <v>-23.131438463201505</v>
      </c>
    </row>
    <row r="1374" spans="1:20" x14ac:dyDescent="0.35">
      <c r="A1374" s="16">
        <v>5</v>
      </c>
      <c r="B1374" s="16">
        <v>16.366399999999999</v>
      </c>
      <c r="C1374" s="16">
        <v>-0.21223781</v>
      </c>
      <c r="D1374" s="16">
        <v>-0.12051652</v>
      </c>
      <c r="E1374" s="16">
        <v>0.78770200000000001</v>
      </c>
      <c r="F1374" s="16">
        <v>-0.12915225</v>
      </c>
      <c r="G1374" s="16">
        <f t="shared" si="216"/>
        <v>1.2501986623388499</v>
      </c>
      <c r="H1374" s="16">
        <f t="shared" si="217"/>
        <v>-1.0271263939184301</v>
      </c>
      <c r="I1374" s="16">
        <f t="shared" si="218"/>
        <v>1.2501872117270001</v>
      </c>
      <c r="J1374" s="16">
        <f t="shared" si="219"/>
        <v>-1.0314444383121699</v>
      </c>
      <c r="K1374" s="15">
        <f t="shared" si="220"/>
        <v>1.1450611849817001E-5</v>
      </c>
      <c r="L1374" s="15">
        <f t="shared" si="221"/>
        <v>4.3180443937398403E-3</v>
      </c>
      <c r="M1374" s="15">
        <f t="shared" si="222"/>
        <v>0.47592716036944999</v>
      </c>
      <c r="N1374" s="15">
        <f t="shared" si="223"/>
        <v>0.39265513036776101</v>
      </c>
      <c r="O1374" s="16">
        <v>9.0706506999999998</v>
      </c>
      <c r="P1374" s="16">
        <v>-15.746629</v>
      </c>
      <c r="Q1374" s="16">
        <v>2.1498891000000002</v>
      </c>
      <c r="R1374" s="16">
        <v>-18.006169</v>
      </c>
      <c r="S1374" s="16">
        <f t="shared" si="224"/>
        <v>0.99789489985222102</v>
      </c>
      <c r="T1374" s="16">
        <f t="shared" si="225"/>
        <v>-23.13482841840068</v>
      </c>
    </row>
    <row r="1375" spans="1:20" x14ac:dyDescent="0.35">
      <c r="A1375" s="17">
        <v>5</v>
      </c>
      <c r="B1375" s="17">
        <v>16.415199999999999</v>
      </c>
      <c r="C1375" s="17">
        <v>-0.21974737</v>
      </c>
      <c r="D1375" s="17">
        <v>-0.11621838</v>
      </c>
      <c r="E1375" s="17">
        <v>0.78019358999999999</v>
      </c>
      <c r="F1375" s="17">
        <v>-0.12493646999999999</v>
      </c>
      <c r="G1375" s="17">
        <f t="shared" si="216"/>
        <v>1.2486852663913299</v>
      </c>
      <c r="H1375" s="17">
        <f t="shared" si="217"/>
        <v>-0.95720848796969704</v>
      </c>
      <c r="I1375" s="17">
        <f t="shared" si="218"/>
        <v>1.2486747481149501</v>
      </c>
      <c r="J1375" s="17">
        <f t="shared" si="219"/>
        <v>-0.96156770750349996</v>
      </c>
      <c r="K1375" s="15">
        <f t="shared" si="220"/>
        <v>1.05182763798783E-5</v>
      </c>
      <c r="L1375" s="15">
        <f t="shared" si="221"/>
        <v>4.3592195338029204E-3</v>
      </c>
      <c r="M1375" s="15">
        <f t="shared" si="222"/>
        <v>0.50272735478513797</v>
      </c>
      <c r="N1375" s="15">
        <f t="shared" si="223"/>
        <v>0.38713555372991598</v>
      </c>
      <c r="O1375" s="17">
        <v>8.7347064999999997</v>
      </c>
      <c r="P1375" s="17">
        <v>-16.267849999999999</v>
      </c>
      <c r="Q1375" s="17">
        <v>1.6380246000000001</v>
      </c>
      <c r="R1375" s="17">
        <v>-18.37265</v>
      </c>
      <c r="S1375" s="17">
        <f t="shared" si="224"/>
        <v>0.99897194078473162</v>
      </c>
      <c r="T1375" s="17">
        <f t="shared" si="225"/>
        <v>-23.137943137016308</v>
      </c>
    </row>
    <row r="1376" spans="1:20" x14ac:dyDescent="0.35">
      <c r="A1376" s="16">
        <v>5</v>
      </c>
      <c r="B1376" s="16">
        <v>16.463999999999999</v>
      </c>
      <c r="C1376" s="16">
        <v>-0.22708650999999999</v>
      </c>
      <c r="D1376" s="16">
        <v>-0.11141867</v>
      </c>
      <c r="E1376" s="16">
        <v>0.77285568999999998</v>
      </c>
      <c r="F1376" s="16">
        <v>-0.12021977</v>
      </c>
      <c r="G1376" s="16">
        <f t="shared" si="216"/>
        <v>1.2471673083954999</v>
      </c>
      <c r="H1376" s="16">
        <f t="shared" si="217"/>
        <v>-0.88877838431084499</v>
      </c>
      <c r="I1376" s="16">
        <f t="shared" si="218"/>
        <v>1.2471577737045501</v>
      </c>
      <c r="J1376" s="16">
        <f t="shared" si="219"/>
        <v>-0.89317910344951301</v>
      </c>
      <c r="K1376" s="15">
        <f t="shared" si="220"/>
        <v>9.5346909498861299E-6</v>
      </c>
      <c r="L1376" s="15">
        <f t="shared" si="221"/>
        <v>4.4007191386680198E-3</v>
      </c>
      <c r="M1376" s="15">
        <f t="shared" si="222"/>
        <v>0.529990191674512</v>
      </c>
      <c r="N1376" s="15">
        <f t="shared" si="223"/>
        <v>0.37956397676194698</v>
      </c>
      <c r="O1376" s="16">
        <v>8.3651826000000007</v>
      </c>
      <c r="P1376" s="16">
        <v>-16.778151000000001</v>
      </c>
      <c r="Q1376" s="16">
        <v>1.0981852999999999</v>
      </c>
      <c r="R1376" s="16">
        <v>-18.712319000000001</v>
      </c>
      <c r="S1376" s="16">
        <f t="shared" si="224"/>
        <v>0.99982111655686323</v>
      </c>
      <c r="T1376" s="16">
        <f t="shared" si="225"/>
        <v>-23.141028315539142</v>
      </c>
    </row>
    <row r="1377" spans="1:20" x14ac:dyDescent="0.35">
      <c r="A1377" s="17">
        <v>5</v>
      </c>
      <c r="B1377" s="17">
        <v>16.512799999999999</v>
      </c>
      <c r="C1377" s="17">
        <v>-0.23420965999999999</v>
      </c>
      <c r="D1377" s="17">
        <v>-0.10612468999999999</v>
      </c>
      <c r="E1377" s="17">
        <v>0.76572910000000005</v>
      </c>
      <c r="F1377" s="17">
        <v>-0.11506091</v>
      </c>
      <c r="G1377" s="17">
        <f t="shared" si="216"/>
        <v>1.2454807882397101</v>
      </c>
      <c r="H1377" s="17">
        <f t="shared" si="217"/>
        <v>-0.82186416118530903</v>
      </c>
      <c r="I1377" s="17">
        <f t="shared" si="218"/>
        <v>1.2454701327444599</v>
      </c>
      <c r="J1377" s="17">
        <f t="shared" si="219"/>
        <v>-0.82633245561441004</v>
      </c>
      <c r="K1377" s="15">
        <f t="shared" si="220"/>
        <v>1.0655495250144801E-5</v>
      </c>
      <c r="L1377" s="15">
        <f t="shared" si="221"/>
        <v>4.4682944291010197E-3</v>
      </c>
      <c r="M1377" s="15">
        <f t="shared" si="222"/>
        <v>0.55750148860971205</v>
      </c>
      <c r="N1377" s="15">
        <f t="shared" si="223"/>
        <v>0.36988568571806202</v>
      </c>
      <c r="O1377" s="17">
        <v>7.9605511</v>
      </c>
      <c r="P1377" s="17">
        <v>-17.270813</v>
      </c>
      <c r="Q1377" s="17">
        <v>0.53150436999999995</v>
      </c>
      <c r="R1377" s="17">
        <v>-19.021933000000001</v>
      </c>
      <c r="S1377" s="17">
        <f t="shared" si="224"/>
        <v>1.0006427834769105</v>
      </c>
      <c r="T1377" s="17">
        <f t="shared" si="225"/>
        <v>-23.145639235839834</v>
      </c>
    </row>
    <row r="1378" spans="1:20" x14ac:dyDescent="0.35">
      <c r="A1378" s="16">
        <v>5</v>
      </c>
      <c r="B1378" s="16">
        <v>16.561599999999999</v>
      </c>
      <c r="C1378" s="16">
        <v>-0.24104900000000001</v>
      </c>
      <c r="D1378" s="16">
        <v>-0.10036668999999999</v>
      </c>
      <c r="E1378" s="16">
        <v>0.75889112999999997</v>
      </c>
      <c r="F1378" s="16">
        <v>-0.10939204</v>
      </c>
      <c r="G1378" s="16">
        <f t="shared" si="216"/>
        <v>1.2439526317292</v>
      </c>
      <c r="H1378" s="16">
        <f t="shared" si="217"/>
        <v>-0.75643343046095102</v>
      </c>
      <c r="I1378" s="16">
        <f t="shared" si="218"/>
        <v>1.2439430614828899</v>
      </c>
      <c r="J1378" s="16">
        <f t="shared" si="219"/>
        <v>-0.76094628374062601</v>
      </c>
      <c r="K1378" s="15">
        <f t="shared" si="220"/>
        <v>9.5702463100977297E-6</v>
      </c>
      <c r="L1378" s="15">
        <f t="shared" si="221"/>
        <v>4.5128532796749896E-3</v>
      </c>
      <c r="M1378" s="15">
        <f t="shared" si="222"/>
        <v>0.584990318586462</v>
      </c>
      <c r="N1378" s="15">
        <f t="shared" si="223"/>
        <v>0.357850952134383</v>
      </c>
      <c r="O1378" s="16">
        <v>7.5229327000000001</v>
      </c>
      <c r="P1378" s="16">
        <v>-17.739107000000001</v>
      </c>
      <c r="Q1378" s="16">
        <v>-5.6403888999999999E-2</v>
      </c>
      <c r="R1378" s="16">
        <v>-19.298562</v>
      </c>
      <c r="S1378" s="16">
        <f t="shared" si="224"/>
        <v>1.0015707244714982</v>
      </c>
      <c r="T1378" s="16">
        <f t="shared" si="225"/>
        <v>-23.148649348827732</v>
      </c>
    </row>
    <row r="1379" spans="1:20" x14ac:dyDescent="0.35">
      <c r="A1379" s="17">
        <v>5</v>
      </c>
      <c r="B1379" s="17">
        <v>16.610399999999998</v>
      </c>
      <c r="C1379" s="17">
        <v>-0.24755938</v>
      </c>
      <c r="D1379" s="17">
        <v>-9.4170886999999995E-2</v>
      </c>
      <c r="E1379" s="17">
        <v>0.75238221000000005</v>
      </c>
      <c r="F1379" s="17">
        <v>-0.10328589000000001</v>
      </c>
      <c r="G1379" s="17">
        <f t="shared" si="216"/>
        <v>1.2424225010855701</v>
      </c>
      <c r="H1379" s="17">
        <f t="shared" si="217"/>
        <v>-0.69252762759002395</v>
      </c>
      <c r="I1379" s="17">
        <f t="shared" si="218"/>
        <v>1.242414067441</v>
      </c>
      <c r="J1379" s="17">
        <f t="shared" si="219"/>
        <v>-0.69708530063321394</v>
      </c>
      <c r="K1379" s="15">
        <f t="shared" si="220"/>
        <v>8.4336445700383695E-6</v>
      </c>
      <c r="L1379" s="15">
        <f t="shared" si="221"/>
        <v>4.5576730431899897E-3</v>
      </c>
      <c r="M1379" s="15">
        <f t="shared" si="222"/>
        <v>0.61217119365977901</v>
      </c>
      <c r="N1379" s="15">
        <f t="shared" si="223"/>
        <v>0.34347288215294097</v>
      </c>
      <c r="O1379" s="17">
        <v>7.0555244999999998</v>
      </c>
      <c r="P1379" s="17">
        <v>-18.182873000000001</v>
      </c>
      <c r="Q1379" s="17">
        <v>-0.66313538999999999</v>
      </c>
      <c r="R1379" s="17">
        <v>-19.539719000000002</v>
      </c>
      <c r="S1379" s="17">
        <f t="shared" si="224"/>
        <v>1.002419632808101</v>
      </c>
      <c r="T1379" s="17">
        <f t="shared" si="225"/>
        <v>-23.15156120528728</v>
      </c>
    </row>
    <row r="1380" spans="1:20" x14ac:dyDescent="0.35">
      <c r="A1380" s="16">
        <v>5</v>
      </c>
      <c r="B1380" s="16">
        <v>16.659199999999998</v>
      </c>
      <c r="C1380" s="16">
        <v>-0.25369319000000001</v>
      </c>
      <c r="D1380" s="16">
        <v>-8.7574835000000004E-2</v>
      </c>
      <c r="E1380" s="16">
        <v>0.74625012000000002</v>
      </c>
      <c r="F1380" s="16">
        <v>-9.6780370000000004E-2</v>
      </c>
      <c r="G1380" s="16">
        <f t="shared" si="216"/>
        <v>1.2408908593007399</v>
      </c>
      <c r="H1380" s="16">
        <f t="shared" si="217"/>
        <v>-0.63016678630054501</v>
      </c>
      <c r="I1380" s="16">
        <f t="shared" si="218"/>
        <v>1.2408837003186599</v>
      </c>
      <c r="J1380" s="16">
        <f t="shared" si="219"/>
        <v>-0.63476971722175102</v>
      </c>
      <c r="K1380" s="15">
        <f t="shared" si="220"/>
        <v>7.1589820800355099E-6</v>
      </c>
      <c r="L1380" s="15">
        <f t="shared" si="221"/>
        <v>4.6029309212060098E-3</v>
      </c>
      <c r="M1380" s="15">
        <f t="shared" si="222"/>
        <v>0.63873359905373495</v>
      </c>
      <c r="N1380" s="15">
        <f t="shared" si="223"/>
        <v>0.32674193878705199</v>
      </c>
      <c r="O1380" s="16">
        <v>6.5608711</v>
      </c>
      <c r="P1380" s="16">
        <v>-18.598102000000001</v>
      </c>
      <c r="Q1380" s="16">
        <v>-1.2847086000000001</v>
      </c>
      <c r="R1380" s="16">
        <v>-19.743279000000001</v>
      </c>
      <c r="S1380" s="16">
        <f t="shared" si="224"/>
        <v>1.003225566451895</v>
      </c>
      <c r="T1380" s="16">
        <f t="shared" si="225"/>
        <v>-23.154390789383648</v>
      </c>
    </row>
    <row r="1381" spans="1:20" x14ac:dyDescent="0.35">
      <c r="A1381" s="17">
        <v>5</v>
      </c>
      <c r="B1381" s="17">
        <v>16.707999999999998</v>
      </c>
      <c r="C1381" s="17">
        <v>-0.25943157</v>
      </c>
      <c r="D1381" s="17">
        <v>-8.0590479000000007E-2</v>
      </c>
      <c r="E1381" s="17">
        <v>0.74051252999999995</v>
      </c>
      <c r="F1381" s="17">
        <v>-8.9884438999999997E-2</v>
      </c>
      <c r="G1381" s="17">
        <f t="shared" ref="G1381:G1386" si="226">IMREAL(IMDIV(IMSUM(IMPRODUCT(COMPLEX(1 + C1381,D1381),COMPLEX(1 - C1381, - D1381)),IMPRODUCT(COMPLEX(E1381,F1381),COMPLEX(E1381,F1381))),IMSUB(IMPRODUCT(COMPLEX(1 - C1381, - D1381),COMPLEX(1 - C1381, - D1381)),IMPRODUCT(COMPLEX(E1381,F1381),COMPLEX(E1381,F1381)))))</f>
        <v>1.2393655066615801</v>
      </c>
      <c r="H1381" s="17">
        <f t="shared" ref="H1381:H1386" si="227">IMAGINARY(IMDIV(IMSUM(IMPRODUCT(COMPLEX(1 + C1381,D1381),COMPLEX(1 - C1381, - D1381)),IMPRODUCT(COMPLEX(E1381,F1381),COMPLEX(E1381,F1381))),IMSUB(IMPRODUCT(COMPLEX(1 - C1381, - D1381),COMPLEX(1 - C1381, - D1381)),IMPRODUCT(COMPLEX(E1381,F1381),COMPLEX(E1381,F1381)))))</f>
        <v>-0.56909051915279796</v>
      </c>
      <c r="I1381" s="17">
        <f t="shared" ref="I1381:I1386" si="228">IMREAL(IMDIV(IMPRODUCT(COMPLEX(2,0),COMPLEX(E1381,F1381)),IMSUB(IMPRODUCT(COMPLEX(1 - C1381, - D1381),COMPLEX(1 - C1381, - D1381)),IMPRODUCT(COMPLEX(E1381,F1381),COMPLEX(E1381,F1381)))))</f>
        <v>1.2393591516478999</v>
      </c>
      <c r="J1381" s="17">
        <f t="shared" ref="J1381:J1386" si="229">IMAGINARY(IMDIV(IMPRODUCT(COMPLEX(2,0),COMPLEX(E1381,F1381)),IMSUB(IMPRODUCT(COMPLEX(1 - C1381, - D1381),COMPLEX(1 - C1381, - D1381)),IMPRODUCT(COMPLEX(E1381,F1381),COMPLEX(E1381,F1381)))))</f>
        <v>-0.57373765857196701</v>
      </c>
      <c r="K1381" s="15">
        <f t="shared" ref="K1381:K1386" si="230">IMREAL(IMSUB(COMPLEX(G1381,H1381),COMPLEX(I1381,J1381)))</f>
        <v>6.3550136801815401E-6</v>
      </c>
      <c r="L1381" s="15">
        <f t="shared" ref="L1381:L1386" si="231">IMAGINARY(IMSUB(COMPLEX(G1381,H1381),COMPLEX(I1381,J1381)))</f>
        <v>4.6471394191690604E-3</v>
      </c>
      <c r="M1381" s="15">
        <f t="shared" ref="M1381:M1386" si="232">IMREAL(IMDIV(IMSUB(IMPRODUCT(COMPLEX(1 - C1381, - D1381),COMPLEX(1 - C1381, - D1381)),IMPRODUCT(COMPLEX(E1381,F1381),COMPLEX(E1381,F1381))),IMPRODUCT(COMPLEX(2,0),COMPLEX(E1381,F1381))))</f>
        <v>0.66446946662333894</v>
      </c>
      <c r="N1381" s="15">
        <f t="shared" ref="N1381:N1386" si="233">IMAGINARY(IMDIV(IMSUB(IMPRODUCT(COMPLEX(1 - C1381, - D1381),COMPLEX(1 - C1381, - D1381)),IMPRODUCT(COMPLEX(E1381,F1381),COMPLEX(E1381,F1381))),IMPRODUCT(COMPLEX(2,0),COMPLEX(E1381,F1381))))</f>
        <v>0.307603454144943</v>
      </c>
      <c r="O1381" s="17">
        <v>6.0394869</v>
      </c>
      <c r="P1381" s="17">
        <v>-18.982558000000001</v>
      </c>
      <c r="Q1381" s="17">
        <v>-1.9198301</v>
      </c>
      <c r="R1381" s="17">
        <v>-19.908628</v>
      </c>
      <c r="S1381" s="17">
        <f t="shared" ref="S1381:S1386" si="234">IMABS(COMPLEX(Q1381,R1381))/IMABS(COMPLEX(O1381,P1381))</f>
        <v>1.0040570439488441</v>
      </c>
      <c r="T1381" s="17">
        <f t="shared" ref="T1381:T1387" si="235">IMARGUMENT(IMDIV(COMPLEX(Q1381,R1381),COMPLEX(O1381/B1381,P1381/B1381)))/PI()*180</f>
        <v>-23.157097605392995</v>
      </c>
    </row>
    <row r="1382" spans="1:20" x14ac:dyDescent="0.35">
      <c r="A1382" s="16">
        <v>5</v>
      </c>
      <c r="B1382" s="16">
        <v>16.756799999999998</v>
      </c>
      <c r="C1382" s="16">
        <v>-0.26469215000000001</v>
      </c>
      <c r="D1382" s="16">
        <v>-7.3328380999999998E-2</v>
      </c>
      <c r="E1382" s="16">
        <v>0.73523433000000005</v>
      </c>
      <c r="F1382" s="16">
        <v>-8.2733453999999998E-2</v>
      </c>
      <c r="G1382" s="16">
        <f t="shared" si="226"/>
        <v>1.2377527988431301</v>
      </c>
      <c r="H1382" s="16">
        <f t="shared" si="227"/>
        <v>-0.50986268632148002</v>
      </c>
      <c r="I1382" s="16">
        <f t="shared" si="228"/>
        <v>1.2377381532911</v>
      </c>
      <c r="J1382" s="16">
        <f t="shared" si="229"/>
        <v>-0.51456546456685104</v>
      </c>
      <c r="K1382" s="15">
        <f t="shared" si="230"/>
        <v>1.4645552030012599E-5</v>
      </c>
      <c r="L1382" s="15">
        <f t="shared" si="231"/>
        <v>4.7027782453710198E-3</v>
      </c>
      <c r="M1382" s="15">
        <f t="shared" si="232"/>
        <v>0.68886715785450103</v>
      </c>
      <c r="N1382" s="15">
        <f t="shared" si="233"/>
        <v>0.286383067504004</v>
      </c>
      <c r="O1382" s="16">
        <v>5.4997236000000003</v>
      </c>
      <c r="P1382" s="16">
        <v>-19.330449000000002</v>
      </c>
      <c r="Q1382" s="16">
        <v>-2.558487</v>
      </c>
      <c r="R1382" s="16">
        <v>-20.033577999999999</v>
      </c>
      <c r="S1382" s="16">
        <f t="shared" si="234"/>
        <v>1.0049108864450678</v>
      </c>
      <c r="T1382" s="16">
        <f t="shared" si="235"/>
        <v>-23.15947513257446</v>
      </c>
    </row>
    <row r="1383" spans="1:20" x14ac:dyDescent="0.35">
      <c r="A1383" s="17">
        <v>5</v>
      </c>
      <c r="B1383" s="17">
        <v>16.805599999999998</v>
      </c>
      <c r="C1383" s="17">
        <v>-0.26953141000000003</v>
      </c>
      <c r="D1383" s="17">
        <v>-6.5735798999999998E-2</v>
      </c>
      <c r="E1383" s="17">
        <v>0.73039149999999997</v>
      </c>
      <c r="F1383" s="17">
        <v>-7.5155553999999999E-2</v>
      </c>
      <c r="G1383" s="17">
        <f t="shared" si="226"/>
        <v>1.2362443737822699</v>
      </c>
      <c r="H1383" s="17">
        <f t="shared" si="227"/>
        <v>-0.45136883890917401</v>
      </c>
      <c r="I1383" s="17">
        <f t="shared" si="228"/>
        <v>1.2362280123157201</v>
      </c>
      <c r="J1383" s="17">
        <f t="shared" si="229"/>
        <v>-0.456078975021875</v>
      </c>
      <c r="K1383" s="15">
        <f t="shared" si="230"/>
        <v>1.6361466549819101E-5</v>
      </c>
      <c r="L1383" s="15">
        <f t="shared" si="231"/>
        <v>4.7101361127009902E-3</v>
      </c>
      <c r="M1383" s="15">
        <f t="shared" si="232"/>
        <v>0.71200310357278296</v>
      </c>
      <c r="N1383" s="15">
        <f t="shared" si="233"/>
        <v>0.26267779281394898</v>
      </c>
      <c r="O1383" s="17">
        <v>4.9379920999999998</v>
      </c>
      <c r="P1383" s="17">
        <v>-19.646614</v>
      </c>
      <c r="Q1383" s="17">
        <v>-3.2055796999999999</v>
      </c>
      <c r="R1383" s="17">
        <v>-20.119198000000001</v>
      </c>
      <c r="S1383" s="17">
        <f t="shared" si="234"/>
        <v>1.0056916093009909</v>
      </c>
      <c r="T1383" s="17">
        <f t="shared" si="235"/>
        <v>-23.161323430125076</v>
      </c>
    </row>
    <row r="1384" spans="1:20" x14ac:dyDescent="0.35">
      <c r="A1384" s="16">
        <v>5</v>
      </c>
      <c r="B1384" s="16">
        <v>16.854399999999998</v>
      </c>
      <c r="C1384" s="16">
        <v>-0.27381216000000003</v>
      </c>
      <c r="D1384" s="16">
        <v>-5.8016696999999999E-2</v>
      </c>
      <c r="E1384" s="16">
        <v>0.72612935999999995</v>
      </c>
      <c r="F1384" s="16">
        <v>-6.7531812999999996E-2</v>
      </c>
      <c r="G1384" s="16">
        <f t="shared" si="226"/>
        <v>1.23471997150768</v>
      </c>
      <c r="H1384" s="16">
        <f t="shared" si="227"/>
        <v>-0.39528031557763199</v>
      </c>
      <c r="I1384" s="16">
        <f t="shared" si="228"/>
        <v>1.23471336648402</v>
      </c>
      <c r="J1384" s="16">
        <f t="shared" si="229"/>
        <v>-0.40003804411739702</v>
      </c>
      <c r="K1384" s="15">
        <f t="shared" si="230"/>
        <v>6.6050236600112598E-6</v>
      </c>
      <c r="L1384" s="15">
        <f t="shared" si="231"/>
        <v>4.7577285397650297E-3</v>
      </c>
      <c r="M1384" s="15">
        <f t="shared" si="232"/>
        <v>0.73296439636075505</v>
      </c>
      <c r="N1384" s="15">
        <f t="shared" si="233"/>
        <v>0.237475070317577</v>
      </c>
      <c r="O1384" s="16">
        <v>4.3693977000000004</v>
      </c>
      <c r="P1384" s="16">
        <v>-19.922067999999999</v>
      </c>
      <c r="Q1384" s="16">
        <v>-3.8444823000000001</v>
      </c>
      <c r="R1384" s="16">
        <v>-20.164517</v>
      </c>
      <c r="S1384" s="16">
        <f t="shared" si="234"/>
        <v>1.00647855113142</v>
      </c>
      <c r="T1384" s="16">
        <f t="shared" si="235"/>
        <v>-23.164725633447603</v>
      </c>
    </row>
    <row r="1385" spans="1:20" x14ac:dyDescent="0.35">
      <c r="A1385" s="17">
        <v>5</v>
      </c>
      <c r="B1385" s="17">
        <v>16.903200000000002</v>
      </c>
      <c r="C1385" s="17">
        <v>-0.2775609</v>
      </c>
      <c r="D1385" s="17">
        <v>-5.0203274999999999E-2</v>
      </c>
      <c r="E1385" s="17">
        <v>0.72239304999999998</v>
      </c>
      <c r="F1385" s="17">
        <v>-5.9799657999999999E-2</v>
      </c>
      <c r="G1385" s="17">
        <f t="shared" si="226"/>
        <v>1.2332097234092601</v>
      </c>
      <c r="H1385" s="17">
        <f t="shared" si="227"/>
        <v>-0.34102518991140102</v>
      </c>
      <c r="I1385" s="17">
        <f t="shared" si="228"/>
        <v>1.23320972158104</v>
      </c>
      <c r="J1385" s="17">
        <f t="shared" si="229"/>
        <v>-0.34582349190107697</v>
      </c>
      <c r="K1385" s="15">
        <f t="shared" si="230"/>
        <v>1.82822001981719E-9</v>
      </c>
      <c r="L1385" s="15">
        <f t="shared" si="231"/>
        <v>4.7983019896759597E-3</v>
      </c>
      <c r="M1385" s="15">
        <f t="shared" si="232"/>
        <v>0.75177373974664996</v>
      </c>
      <c r="N1385" s="15">
        <f t="shared" si="233"/>
        <v>0.210816550704295</v>
      </c>
      <c r="O1385" s="17">
        <v>3.7962204000000002</v>
      </c>
      <c r="P1385" s="17">
        <v>-20.159003999999999</v>
      </c>
      <c r="Q1385" s="17">
        <v>-4.4724326000000003</v>
      </c>
      <c r="R1385" s="17">
        <v>-20.171523000000001</v>
      </c>
      <c r="S1385" s="17">
        <f t="shared" si="234"/>
        <v>1.0072176661156305</v>
      </c>
      <c r="T1385" s="17">
        <f t="shared" si="235"/>
        <v>-23.166087707456011</v>
      </c>
    </row>
    <row r="1386" spans="1:20" x14ac:dyDescent="0.35">
      <c r="A1386" s="16">
        <v>5</v>
      </c>
      <c r="B1386" s="16">
        <v>16.952000000000002</v>
      </c>
      <c r="C1386" s="16">
        <v>-0.28078243000000003</v>
      </c>
      <c r="D1386" s="16">
        <v>-4.2357012999999999E-2</v>
      </c>
      <c r="E1386" s="16">
        <v>0.71917171000000002</v>
      </c>
      <c r="F1386" s="16">
        <v>-5.2038411E-2</v>
      </c>
      <c r="G1386" s="16">
        <f t="shared" si="226"/>
        <v>1.23167139146689</v>
      </c>
      <c r="H1386" s="16">
        <f t="shared" si="227"/>
        <v>-0.288638639680937</v>
      </c>
      <c r="I1386" s="16">
        <f t="shared" si="228"/>
        <v>1.2316718943707601</v>
      </c>
      <c r="J1386" s="16">
        <f t="shared" si="229"/>
        <v>-0.29347944724624803</v>
      </c>
      <c r="K1386" s="15">
        <f t="shared" si="230"/>
        <v>-5.0290387010321101E-7</v>
      </c>
      <c r="L1386" s="15">
        <f t="shared" si="231"/>
        <v>4.8408075653110201E-3</v>
      </c>
      <c r="M1386" s="15">
        <f t="shared" si="232"/>
        <v>0.76828437102276903</v>
      </c>
      <c r="N1386" s="15">
        <f t="shared" si="233"/>
        <v>0.183064721673206</v>
      </c>
      <c r="O1386" s="16">
        <v>3.2228599999999998</v>
      </c>
      <c r="P1386" s="16">
        <v>-20.357330000000001</v>
      </c>
      <c r="Q1386" s="16">
        <v>-5.0863646999999998</v>
      </c>
      <c r="R1386" s="16">
        <v>-20.142191</v>
      </c>
      <c r="S1386" s="16">
        <f t="shared" si="234"/>
        <v>1.0079382775602286</v>
      </c>
      <c r="T1386" s="16">
        <f t="shared" si="235"/>
        <v>-23.168300877967251</v>
      </c>
    </row>
    <row r="1387" spans="1:20" x14ac:dyDescent="0.35">
      <c r="A1387" s="17">
        <v>5</v>
      </c>
      <c r="B1387" s="17">
        <v>17</v>
      </c>
      <c r="C1387" s="10">
        <v>-0.28278187999999999</v>
      </c>
      <c r="D1387" s="10">
        <v>-3.8975533999999999E-2</v>
      </c>
      <c r="E1387" s="10">
        <v>0.71718735</v>
      </c>
      <c r="F1387" s="10">
        <v>-4.8748707000000002E-2</v>
      </c>
      <c r="G1387" s="17">
        <f t="shared" ref="G1387" si="236">IMREAL(IMDIV(IMSUM(IMPRODUCT(COMPLEX(1 + C1387,D1387),COMPLEX(1 - C1387, - D1387)),IMPRODUCT(COMPLEX(E1387,F1387),COMPLEX(E1387,F1387))),IMSUB(IMPRODUCT(COMPLEX(1 - C1387, - D1387),COMPLEX(1 - C1387, - D1387)),IMPRODUCT(COMPLEX(E1387,F1387),COMPLEX(E1387,F1387)))))</f>
        <v>1.2265131766200199</v>
      </c>
      <c r="H1387" s="17">
        <f t="shared" ref="H1387" si="237">IMAGINARY(IMDIV(IMSUM(IMPRODUCT(COMPLEX(1 + C1387,D1387),COMPLEX(1 - C1387, - D1387)),IMPRODUCT(COMPLEX(E1387,F1387),COMPLEX(E1387,F1387))),IMSUB(IMPRODUCT(COMPLEX(1 - C1387, - D1387),COMPLEX(1 - C1387, - D1387)),IMPRODUCT(COMPLEX(E1387,F1387),COMPLEX(E1387,F1387)))))</f>
        <v>-0.265341158340196</v>
      </c>
      <c r="I1387" s="17">
        <f t="shared" ref="I1387" si="238">IMREAL(IMDIV(IMPRODUCT(COMPLEX(2,0),COMPLEX(E1387,F1387)),IMSUB(IMPRODUCT(COMPLEX(1 - C1387, - D1387),COMPLEX(1 - C1387, - D1387)),IMPRODUCT(COMPLEX(E1387,F1387),COMPLEX(E1387,F1387)))))</f>
        <v>1.2265216706428801</v>
      </c>
      <c r="J1387" s="17">
        <f t="shared" ref="J1387" si="239">IMAGINARY(IMDIV(IMPRODUCT(COMPLEX(2,0),COMPLEX(E1387,F1387)),IMSUB(IMPRODUCT(COMPLEX(1 - C1387, - D1387),COMPLEX(1 - C1387, - D1387)),IMPRODUCT(COMPLEX(E1387,F1387),COMPLEX(E1387,F1387)))))</f>
        <v>-0.27022777851406998</v>
      </c>
      <c r="K1387" s="15">
        <f t="shared" ref="K1387" si="240">IMREAL(IMSUB(COMPLEX(G1387,H1387),COMPLEX(I1387,J1387)))</f>
        <v>-8.4940228601837492E-6</v>
      </c>
      <c r="L1387" s="15">
        <f t="shared" ref="L1387" si="241">IMAGINARY(IMSUB(COMPLEX(G1387,H1387),COMPLEX(I1387,J1387)))</f>
        <v>4.8866201738739798E-3</v>
      </c>
      <c r="M1387" s="15">
        <f t="shared" ref="M1387" si="242">IMREAL(IMDIV(IMSUB(IMPRODUCT(COMPLEX(1 - C1387, - D1387),COMPLEX(1 - C1387, - D1387)),IMPRODUCT(COMPLEX(E1387,F1387),COMPLEX(E1387,F1387))),IMPRODUCT(COMPLEX(2,0),COMPLEX(E1387,F1387))))</f>
        <v>0.77756968355702205</v>
      </c>
      <c r="N1387" s="15">
        <f t="shared" ref="N1387" si="243">IMAGINARY(IMDIV(IMSUB(IMPRODUCT(COMPLEX(1 - C1387, - D1387),COMPLEX(1 - C1387, - D1387)),IMPRODUCT(COMPLEX(E1387,F1387),COMPLEX(E1387,F1387))),IMPRODUCT(COMPLEX(2,0),COMPLEX(E1387,F1387))))</f>
        <v>0.17131448490214499</v>
      </c>
      <c r="O1387" s="10">
        <v>3.0916448000000001</v>
      </c>
      <c r="P1387" s="10">
        <v>-21.227277999999998</v>
      </c>
      <c r="Q1387" s="10">
        <v>-5.3373517000000001</v>
      </c>
      <c r="R1387" s="10">
        <v>-20.179765</v>
      </c>
      <c r="S1387" s="17">
        <f t="shared" ref="S1387" si="244">IMABS(COMPLEX(Q1387,R1387))/IMABS(COMPLEX(O1387,P1387))</f>
        <v>0.97307547611343814</v>
      </c>
      <c r="T1387" s="17">
        <f t="shared" ref="T1387" si="245">IMARGUMENT(IMDIV(COMPLEX(Q1387,R1387),COMPLEX(O1387/B1387,P1387/B1387)))/PI()*180</f>
        <v>-23.101508285956861</v>
      </c>
    </row>
    <row r="1388" spans="1:20" x14ac:dyDescent="0.35">
      <c r="B1388"/>
    </row>
    <row r="1389" spans="1:20" x14ac:dyDescent="0.35">
      <c r="B1389"/>
    </row>
    <row r="1390" spans="1:20" x14ac:dyDescent="0.35">
      <c r="B1390"/>
    </row>
    <row r="1391" spans="1:20" x14ac:dyDescent="0.35">
      <c r="B1391"/>
    </row>
    <row r="1392" spans="1:20" x14ac:dyDescent="0.35">
      <c r="B1392"/>
    </row>
    <row r="1393" spans="2:2" x14ac:dyDescent="0.35">
      <c r="B1393"/>
    </row>
    <row r="1394" spans="2:2" x14ac:dyDescent="0.35">
      <c r="B1394"/>
    </row>
    <row r="1395" spans="2:2" x14ac:dyDescent="0.35">
      <c r="B1395"/>
    </row>
    <row r="1396" spans="2:2" x14ac:dyDescent="0.35">
      <c r="B1396"/>
    </row>
    <row r="1397" spans="2:2" x14ac:dyDescent="0.35">
      <c r="B1397"/>
    </row>
    <row r="1398" spans="2:2" x14ac:dyDescent="0.35">
      <c r="B1398"/>
    </row>
    <row r="1399" spans="2:2" x14ac:dyDescent="0.35">
      <c r="B1399"/>
    </row>
    <row r="1400" spans="2:2" x14ac:dyDescent="0.35">
      <c r="B1400"/>
    </row>
    <row r="1401" spans="2:2" x14ac:dyDescent="0.35">
      <c r="B1401"/>
    </row>
    <row r="1402" spans="2:2" x14ac:dyDescent="0.35">
      <c r="B1402"/>
    </row>
    <row r="1403" spans="2:2" x14ac:dyDescent="0.35">
      <c r="B1403"/>
    </row>
    <row r="1404" spans="2:2" x14ac:dyDescent="0.35">
      <c r="B1404"/>
    </row>
    <row r="1405" spans="2:2" x14ac:dyDescent="0.35">
      <c r="B1405"/>
    </row>
    <row r="1406" spans="2:2" x14ac:dyDescent="0.35">
      <c r="B1406"/>
    </row>
    <row r="1407" spans="2:2" x14ac:dyDescent="0.35">
      <c r="B1407"/>
    </row>
    <row r="1408" spans="2:2" x14ac:dyDescent="0.35">
      <c r="B1408"/>
    </row>
    <row r="1409" spans="2:2" x14ac:dyDescent="0.35">
      <c r="B1409"/>
    </row>
    <row r="1410" spans="2:2" x14ac:dyDescent="0.35">
      <c r="B1410"/>
    </row>
    <row r="1411" spans="2:2" x14ac:dyDescent="0.35">
      <c r="B1411"/>
    </row>
    <row r="1412" spans="2:2" x14ac:dyDescent="0.35">
      <c r="B1412"/>
    </row>
    <row r="1413" spans="2:2" x14ac:dyDescent="0.35">
      <c r="B1413"/>
    </row>
    <row r="1414" spans="2:2" x14ac:dyDescent="0.35">
      <c r="B1414"/>
    </row>
    <row r="1415" spans="2:2" x14ac:dyDescent="0.35">
      <c r="B1415"/>
    </row>
    <row r="1416" spans="2:2" x14ac:dyDescent="0.35">
      <c r="B1416"/>
    </row>
    <row r="1417" spans="2:2" x14ac:dyDescent="0.35">
      <c r="B1417"/>
    </row>
    <row r="1418" spans="2:2" x14ac:dyDescent="0.35">
      <c r="B1418"/>
    </row>
    <row r="1419" spans="2:2" x14ac:dyDescent="0.35">
      <c r="B1419"/>
    </row>
    <row r="1420" spans="2:2" x14ac:dyDescent="0.35">
      <c r="B1420"/>
    </row>
    <row r="1421" spans="2:2" x14ac:dyDescent="0.35">
      <c r="B1421"/>
    </row>
    <row r="1422" spans="2:2" x14ac:dyDescent="0.35">
      <c r="B1422"/>
    </row>
    <row r="1423" spans="2:2" x14ac:dyDescent="0.35">
      <c r="B1423"/>
    </row>
    <row r="1424" spans="2:2" x14ac:dyDescent="0.35">
      <c r="B1424"/>
    </row>
    <row r="1425" spans="2:2" x14ac:dyDescent="0.35">
      <c r="B1425"/>
    </row>
    <row r="1426" spans="2:2" x14ac:dyDescent="0.35">
      <c r="B1426"/>
    </row>
    <row r="1427" spans="2:2" x14ac:dyDescent="0.35">
      <c r="B1427"/>
    </row>
    <row r="1428" spans="2:2" x14ac:dyDescent="0.35">
      <c r="B1428"/>
    </row>
    <row r="1429" spans="2:2" x14ac:dyDescent="0.35">
      <c r="B1429"/>
    </row>
    <row r="1430" spans="2:2" x14ac:dyDescent="0.35">
      <c r="B1430"/>
    </row>
    <row r="1431" spans="2:2" x14ac:dyDescent="0.35">
      <c r="B1431"/>
    </row>
    <row r="1432" spans="2:2" x14ac:dyDescent="0.35">
      <c r="B1432"/>
    </row>
    <row r="1433" spans="2:2" x14ac:dyDescent="0.35">
      <c r="B1433"/>
    </row>
    <row r="1434" spans="2:2" x14ac:dyDescent="0.35">
      <c r="B1434"/>
    </row>
    <row r="1435" spans="2:2" x14ac:dyDescent="0.35">
      <c r="B1435"/>
    </row>
    <row r="1436" spans="2:2" x14ac:dyDescent="0.35">
      <c r="B1436"/>
    </row>
    <row r="1437" spans="2:2" x14ac:dyDescent="0.35">
      <c r="B1437"/>
    </row>
    <row r="1438" spans="2:2" x14ac:dyDescent="0.35">
      <c r="B1438"/>
    </row>
    <row r="1439" spans="2:2" x14ac:dyDescent="0.35">
      <c r="B1439"/>
    </row>
    <row r="1440" spans="2:2" x14ac:dyDescent="0.35">
      <c r="B1440"/>
    </row>
    <row r="1441" spans="2:2" x14ac:dyDescent="0.35">
      <c r="B1441"/>
    </row>
    <row r="1442" spans="2:2" x14ac:dyDescent="0.35">
      <c r="B1442"/>
    </row>
    <row r="1443" spans="2:2" x14ac:dyDescent="0.35">
      <c r="B1443"/>
    </row>
    <row r="1444" spans="2:2" x14ac:dyDescent="0.35">
      <c r="B1444"/>
    </row>
    <row r="1445" spans="2:2" x14ac:dyDescent="0.35">
      <c r="B1445"/>
    </row>
    <row r="1446" spans="2:2" x14ac:dyDescent="0.35">
      <c r="B1446"/>
    </row>
    <row r="1447" spans="2:2" x14ac:dyDescent="0.35">
      <c r="B1447"/>
    </row>
    <row r="1448" spans="2:2" x14ac:dyDescent="0.35">
      <c r="B1448"/>
    </row>
    <row r="1449" spans="2:2" x14ac:dyDescent="0.35">
      <c r="B1449"/>
    </row>
    <row r="1450" spans="2:2" x14ac:dyDescent="0.35">
      <c r="B1450"/>
    </row>
    <row r="1451" spans="2:2" x14ac:dyDescent="0.35">
      <c r="B1451"/>
    </row>
    <row r="1452" spans="2:2" x14ac:dyDescent="0.35">
      <c r="B1452"/>
    </row>
    <row r="1453" spans="2:2" x14ac:dyDescent="0.35">
      <c r="B1453"/>
    </row>
    <row r="1454" spans="2:2" x14ac:dyDescent="0.35">
      <c r="B1454"/>
    </row>
    <row r="1455" spans="2:2" x14ac:dyDescent="0.35">
      <c r="B1455"/>
    </row>
    <row r="1456" spans="2:2" x14ac:dyDescent="0.35">
      <c r="B1456"/>
    </row>
    <row r="1457" spans="2:2" x14ac:dyDescent="0.35">
      <c r="B1457"/>
    </row>
    <row r="1458" spans="2:2" x14ac:dyDescent="0.35">
      <c r="B1458"/>
    </row>
    <row r="1459" spans="2:2" x14ac:dyDescent="0.35">
      <c r="B1459"/>
    </row>
    <row r="1460" spans="2:2" x14ac:dyDescent="0.35">
      <c r="B1460"/>
    </row>
    <row r="1461" spans="2:2" x14ac:dyDescent="0.35">
      <c r="B1461"/>
    </row>
    <row r="1462" spans="2:2" x14ac:dyDescent="0.35">
      <c r="B1462"/>
    </row>
    <row r="1463" spans="2:2" x14ac:dyDescent="0.35">
      <c r="B1463"/>
    </row>
    <row r="1464" spans="2:2" x14ac:dyDescent="0.35">
      <c r="B1464"/>
    </row>
    <row r="1465" spans="2:2" x14ac:dyDescent="0.35">
      <c r="B1465"/>
    </row>
    <row r="1466" spans="2:2" x14ac:dyDescent="0.35">
      <c r="B1466"/>
    </row>
    <row r="1467" spans="2:2" x14ac:dyDescent="0.35">
      <c r="B1467"/>
    </row>
    <row r="1468" spans="2:2" x14ac:dyDescent="0.35">
      <c r="B1468"/>
    </row>
    <row r="1469" spans="2:2" x14ac:dyDescent="0.35">
      <c r="B1469"/>
    </row>
    <row r="1470" spans="2:2" x14ac:dyDescent="0.35">
      <c r="B1470"/>
    </row>
    <row r="1471" spans="2:2" x14ac:dyDescent="0.35">
      <c r="B1471"/>
    </row>
    <row r="1472" spans="2:2" x14ac:dyDescent="0.35">
      <c r="B1472"/>
    </row>
    <row r="1473" spans="2:2" x14ac:dyDescent="0.35">
      <c r="B1473"/>
    </row>
    <row r="1474" spans="2:2" x14ac:dyDescent="0.35">
      <c r="B1474"/>
    </row>
    <row r="1475" spans="2:2" x14ac:dyDescent="0.35">
      <c r="B1475"/>
    </row>
    <row r="1476" spans="2:2" x14ac:dyDescent="0.35">
      <c r="B1476"/>
    </row>
    <row r="1477" spans="2:2" x14ac:dyDescent="0.35">
      <c r="B1477"/>
    </row>
    <row r="1478" spans="2:2" x14ac:dyDescent="0.35">
      <c r="B1478"/>
    </row>
    <row r="1479" spans="2:2" x14ac:dyDescent="0.35">
      <c r="B1479"/>
    </row>
    <row r="1480" spans="2:2" x14ac:dyDescent="0.35">
      <c r="B1480"/>
    </row>
    <row r="1481" spans="2:2" x14ac:dyDescent="0.35">
      <c r="B1481"/>
    </row>
    <row r="1482" spans="2:2" x14ac:dyDescent="0.35">
      <c r="B1482"/>
    </row>
    <row r="1483" spans="2:2" x14ac:dyDescent="0.35">
      <c r="B1483"/>
    </row>
    <row r="1484" spans="2:2" x14ac:dyDescent="0.35">
      <c r="B1484"/>
    </row>
    <row r="1485" spans="2:2" x14ac:dyDescent="0.35">
      <c r="B1485"/>
    </row>
    <row r="1486" spans="2:2" x14ac:dyDescent="0.35">
      <c r="B1486"/>
    </row>
    <row r="1487" spans="2:2" x14ac:dyDescent="0.35">
      <c r="B1487"/>
    </row>
    <row r="1488" spans="2:2" x14ac:dyDescent="0.35">
      <c r="B1488"/>
    </row>
    <row r="1489" spans="2:2" x14ac:dyDescent="0.35">
      <c r="B1489"/>
    </row>
    <row r="1490" spans="2:2" x14ac:dyDescent="0.35">
      <c r="B1490"/>
    </row>
    <row r="1491" spans="2:2" x14ac:dyDescent="0.35">
      <c r="B1491"/>
    </row>
    <row r="1492" spans="2:2" x14ac:dyDescent="0.35">
      <c r="B1492"/>
    </row>
    <row r="1493" spans="2:2" x14ac:dyDescent="0.35">
      <c r="B1493"/>
    </row>
    <row r="1494" spans="2:2" x14ac:dyDescent="0.35">
      <c r="B1494"/>
    </row>
    <row r="1495" spans="2:2" x14ac:dyDescent="0.35">
      <c r="B1495"/>
    </row>
    <row r="1496" spans="2:2" x14ac:dyDescent="0.35">
      <c r="B1496"/>
    </row>
    <row r="1497" spans="2:2" x14ac:dyDescent="0.35">
      <c r="B1497"/>
    </row>
    <row r="1498" spans="2:2" x14ac:dyDescent="0.35">
      <c r="B1498"/>
    </row>
    <row r="1499" spans="2:2" x14ac:dyDescent="0.35">
      <c r="B1499"/>
    </row>
    <row r="1500" spans="2:2" x14ac:dyDescent="0.35">
      <c r="B1500"/>
    </row>
    <row r="1501" spans="2:2" x14ac:dyDescent="0.35">
      <c r="B1501"/>
    </row>
    <row r="1502" spans="2:2" x14ac:dyDescent="0.35">
      <c r="B1502"/>
    </row>
    <row r="1503" spans="2:2" x14ac:dyDescent="0.35">
      <c r="B1503"/>
    </row>
    <row r="1504" spans="2:2" x14ac:dyDescent="0.35">
      <c r="B1504"/>
    </row>
    <row r="1505" spans="2:2" x14ac:dyDescent="0.35">
      <c r="B1505"/>
    </row>
    <row r="1506" spans="2:2" x14ac:dyDescent="0.35">
      <c r="B1506"/>
    </row>
    <row r="1507" spans="2:2" x14ac:dyDescent="0.35">
      <c r="B1507"/>
    </row>
    <row r="1508" spans="2:2" x14ac:dyDescent="0.35">
      <c r="B1508"/>
    </row>
    <row r="1509" spans="2:2" x14ac:dyDescent="0.35">
      <c r="B1509"/>
    </row>
    <row r="1510" spans="2:2" x14ac:dyDescent="0.35">
      <c r="B1510"/>
    </row>
    <row r="1511" spans="2:2" x14ac:dyDescent="0.35">
      <c r="B1511"/>
    </row>
    <row r="1512" spans="2:2" x14ac:dyDescent="0.35">
      <c r="B1512"/>
    </row>
    <row r="1513" spans="2:2" x14ac:dyDescent="0.35">
      <c r="B1513"/>
    </row>
    <row r="1514" spans="2:2" x14ac:dyDescent="0.35">
      <c r="B1514"/>
    </row>
    <row r="1515" spans="2:2" x14ac:dyDescent="0.35">
      <c r="B1515"/>
    </row>
    <row r="1516" spans="2:2" x14ac:dyDescent="0.35">
      <c r="B1516"/>
    </row>
    <row r="1517" spans="2:2" x14ac:dyDescent="0.35">
      <c r="B1517"/>
    </row>
    <row r="1518" spans="2:2" x14ac:dyDescent="0.35">
      <c r="B1518"/>
    </row>
    <row r="1519" spans="2:2" x14ac:dyDescent="0.35">
      <c r="B1519"/>
    </row>
    <row r="1520" spans="2:2" x14ac:dyDescent="0.35">
      <c r="B1520"/>
    </row>
    <row r="1521" spans="2:2" x14ac:dyDescent="0.35">
      <c r="B1521"/>
    </row>
    <row r="1522" spans="2:2" x14ac:dyDescent="0.35">
      <c r="B1522"/>
    </row>
    <row r="1523" spans="2:2" x14ac:dyDescent="0.35">
      <c r="B1523"/>
    </row>
    <row r="1524" spans="2:2" x14ac:dyDescent="0.35">
      <c r="B1524"/>
    </row>
    <row r="1525" spans="2:2" x14ac:dyDescent="0.35">
      <c r="B1525"/>
    </row>
    <row r="1526" spans="2:2" x14ac:dyDescent="0.35">
      <c r="B1526"/>
    </row>
    <row r="1527" spans="2:2" x14ac:dyDescent="0.35">
      <c r="B1527"/>
    </row>
    <row r="1528" spans="2:2" x14ac:dyDescent="0.35">
      <c r="B1528"/>
    </row>
    <row r="1529" spans="2:2" x14ac:dyDescent="0.35">
      <c r="B1529"/>
    </row>
    <row r="1530" spans="2:2" x14ac:dyDescent="0.35">
      <c r="B1530"/>
    </row>
    <row r="1531" spans="2:2" x14ac:dyDescent="0.35">
      <c r="B1531"/>
    </row>
    <row r="1532" spans="2:2" x14ac:dyDescent="0.35">
      <c r="B1532"/>
    </row>
    <row r="1533" spans="2:2" x14ac:dyDescent="0.35">
      <c r="B1533"/>
    </row>
    <row r="1534" spans="2:2" x14ac:dyDescent="0.35">
      <c r="B1534"/>
    </row>
    <row r="1535" spans="2:2" x14ac:dyDescent="0.35">
      <c r="B1535"/>
    </row>
    <row r="1536" spans="2:2" x14ac:dyDescent="0.35">
      <c r="B1536"/>
    </row>
    <row r="1537" spans="2:2" x14ac:dyDescent="0.35">
      <c r="B1537"/>
    </row>
    <row r="1538" spans="2:2" x14ac:dyDescent="0.35">
      <c r="B1538"/>
    </row>
    <row r="1539" spans="2:2" x14ac:dyDescent="0.35">
      <c r="B1539"/>
    </row>
    <row r="1540" spans="2:2" x14ac:dyDescent="0.35">
      <c r="B1540"/>
    </row>
    <row r="1541" spans="2:2" x14ac:dyDescent="0.35">
      <c r="B1541"/>
    </row>
    <row r="1542" spans="2:2" x14ac:dyDescent="0.35">
      <c r="B1542"/>
    </row>
    <row r="1543" spans="2:2" x14ac:dyDescent="0.35">
      <c r="B1543"/>
    </row>
    <row r="1544" spans="2:2" x14ac:dyDescent="0.35">
      <c r="B1544"/>
    </row>
    <row r="1545" spans="2:2" x14ac:dyDescent="0.35">
      <c r="B1545"/>
    </row>
    <row r="1546" spans="2:2" x14ac:dyDescent="0.35">
      <c r="B1546"/>
    </row>
    <row r="1547" spans="2:2" x14ac:dyDescent="0.35">
      <c r="B1547"/>
    </row>
    <row r="1548" spans="2:2" x14ac:dyDescent="0.35">
      <c r="B1548"/>
    </row>
    <row r="1549" spans="2:2" x14ac:dyDescent="0.35">
      <c r="B1549"/>
    </row>
    <row r="1550" spans="2:2" x14ac:dyDescent="0.35">
      <c r="B1550"/>
    </row>
    <row r="1551" spans="2:2" x14ac:dyDescent="0.35">
      <c r="B1551"/>
    </row>
    <row r="1552" spans="2:2" x14ac:dyDescent="0.35">
      <c r="B1552"/>
    </row>
    <row r="1553" spans="2:2" x14ac:dyDescent="0.35">
      <c r="B1553"/>
    </row>
    <row r="1554" spans="2:2" x14ac:dyDescent="0.35">
      <c r="B1554"/>
    </row>
    <row r="1555" spans="2:2" x14ac:dyDescent="0.35">
      <c r="B1555"/>
    </row>
    <row r="1556" spans="2:2" x14ac:dyDescent="0.35">
      <c r="B1556"/>
    </row>
    <row r="1557" spans="2:2" x14ac:dyDescent="0.35">
      <c r="B1557"/>
    </row>
    <row r="1558" spans="2:2" x14ac:dyDescent="0.35">
      <c r="B1558"/>
    </row>
    <row r="1559" spans="2:2" x14ac:dyDescent="0.35">
      <c r="B1559"/>
    </row>
    <row r="1560" spans="2:2" x14ac:dyDescent="0.35">
      <c r="B1560"/>
    </row>
    <row r="1561" spans="2:2" x14ac:dyDescent="0.35">
      <c r="B1561"/>
    </row>
    <row r="1562" spans="2:2" x14ac:dyDescent="0.35">
      <c r="B1562"/>
    </row>
    <row r="1563" spans="2:2" x14ac:dyDescent="0.35">
      <c r="B1563"/>
    </row>
    <row r="1564" spans="2:2" x14ac:dyDescent="0.35">
      <c r="B1564"/>
    </row>
    <row r="1565" spans="2:2" x14ac:dyDescent="0.35">
      <c r="B1565"/>
    </row>
    <row r="1566" spans="2:2" x14ac:dyDescent="0.35">
      <c r="B1566"/>
    </row>
    <row r="1567" spans="2:2" x14ac:dyDescent="0.35">
      <c r="B1567"/>
    </row>
    <row r="1568" spans="2:2" x14ac:dyDescent="0.35">
      <c r="B1568"/>
    </row>
    <row r="1569" spans="2:2" x14ac:dyDescent="0.35">
      <c r="B1569"/>
    </row>
    <row r="1570" spans="2:2" x14ac:dyDescent="0.35">
      <c r="B1570"/>
    </row>
    <row r="1571" spans="2:2" x14ac:dyDescent="0.35">
      <c r="B1571"/>
    </row>
    <row r="1572" spans="2:2" x14ac:dyDescent="0.35">
      <c r="B1572"/>
    </row>
    <row r="1573" spans="2:2" x14ac:dyDescent="0.35">
      <c r="B1573"/>
    </row>
    <row r="1574" spans="2:2" x14ac:dyDescent="0.35">
      <c r="B1574"/>
    </row>
    <row r="1575" spans="2:2" x14ac:dyDescent="0.35">
      <c r="B1575"/>
    </row>
    <row r="1576" spans="2:2" x14ac:dyDescent="0.35">
      <c r="B1576"/>
    </row>
    <row r="1577" spans="2:2" x14ac:dyDescent="0.35">
      <c r="B1577"/>
    </row>
    <row r="1578" spans="2:2" x14ac:dyDescent="0.35">
      <c r="B1578"/>
    </row>
    <row r="1579" spans="2:2" x14ac:dyDescent="0.35">
      <c r="B1579"/>
    </row>
    <row r="1580" spans="2:2" x14ac:dyDescent="0.35">
      <c r="B1580"/>
    </row>
    <row r="1581" spans="2:2" x14ac:dyDescent="0.35">
      <c r="B1581"/>
    </row>
    <row r="1582" spans="2:2" x14ac:dyDescent="0.35">
      <c r="B1582"/>
    </row>
    <row r="1583" spans="2:2" x14ac:dyDescent="0.35">
      <c r="B1583"/>
    </row>
    <row r="1584" spans="2:2" x14ac:dyDescent="0.35">
      <c r="B1584"/>
    </row>
    <row r="1585" spans="2:2" x14ac:dyDescent="0.35">
      <c r="B1585"/>
    </row>
    <row r="1586" spans="2:2" x14ac:dyDescent="0.35">
      <c r="B1586"/>
    </row>
    <row r="1587" spans="2:2" x14ac:dyDescent="0.35">
      <c r="B1587"/>
    </row>
    <row r="1588" spans="2:2" x14ac:dyDescent="0.35">
      <c r="B1588"/>
    </row>
    <row r="1589" spans="2:2" x14ac:dyDescent="0.35">
      <c r="B1589"/>
    </row>
    <row r="1590" spans="2:2" x14ac:dyDescent="0.35">
      <c r="B1590"/>
    </row>
    <row r="1591" spans="2:2" x14ac:dyDescent="0.35">
      <c r="B1591"/>
    </row>
    <row r="1592" spans="2:2" x14ac:dyDescent="0.35">
      <c r="B1592"/>
    </row>
    <row r="1593" spans="2:2" x14ac:dyDescent="0.35">
      <c r="B1593"/>
    </row>
    <row r="1594" spans="2:2" x14ac:dyDescent="0.35">
      <c r="B1594"/>
    </row>
    <row r="1595" spans="2:2" x14ac:dyDescent="0.35">
      <c r="B1595"/>
    </row>
    <row r="1596" spans="2:2" x14ac:dyDescent="0.35">
      <c r="B1596"/>
    </row>
    <row r="1597" spans="2:2" x14ac:dyDescent="0.35">
      <c r="B1597"/>
    </row>
    <row r="1598" spans="2:2" x14ac:dyDescent="0.35">
      <c r="B1598"/>
    </row>
    <row r="1599" spans="2:2" x14ac:dyDescent="0.35">
      <c r="B1599"/>
    </row>
    <row r="1600" spans="2:2" x14ac:dyDescent="0.35">
      <c r="B1600"/>
    </row>
    <row r="1601" spans="2:2" x14ac:dyDescent="0.35">
      <c r="B1601"/>
    </row>
    <row r="1602" spans="2:2" x14ac:dyDescent="0.35">
      <c r="B1602"/>
    </row>
    <row r="1603" spans="2:2" x14ac:dyDescent="0.35">
      <c r="B1603"/>
    </row>
    <row r="1604" spans="2:2" x14ac:dyDescent="0.35">
      <c r="B1604"/>
    </row>
    <row r="1605" spans="2:2" x14ac:dyDescent="0.35">
      <c r="B1605"/>
    </row>
    <row r="1606" spans="2:2" x14ac:dyDescent="0.35">
      <c r="B1606"/>
    </row>
    <row r="1607" spans="2:2" x14ac:dyDescent="0.35">
      <c r="B1607"/>
    </row>
    <row r="1608" spans="2:2" x14ac:dyDescent="0.35">
      <c r="B1608"/>
    </row>
    <row r="1609" spans="2:2" x14ac:dyDescent="0.35">
      <c r="B1609"/>
    </row>
    <row r="1610" spans="2:2" x14ac:dyDescent="0.35">
      <c r="B1610"/>
    </row>
    <row r="1611" spans="2:2" x14ac:dyDescent="0.35">
      <c r="B1611"/>
    </row>
    <row r="1612" spans="2:2" x14ac:dyDescent="0.35">
      <c r="B1612"/>
    </row>
    <row r="1613" spans="2:2" x14ac:dyDescent="0.35">
      <c r="B1613"/>
    </row>
    <row r="1614" spans="2:2" x14ac:dyDescent="0.35">
      <c r="B1614"/>
    </row>
    <row r="1615" spans="2:2" x14ac:dyDescent="0.35">
      <c r="B1615"/>
    </row>
    <row r="1616" spans="2:2" x14ac:dyDescent="0.35">
      <c r="B1616"/>
    </row>
    <row r="1617" spans="2:2" x14ac:dyDescent="0.35">
      <c r="B1617"/>
    </row>
    <row r="1618" spans="2:2" x14ac:dyDescent="0.35">
      <c r="B1618"/>
    </row>
    <row r="1619" spans="2:2" x14ac:dyDescent="0.35">
      <c r="B1619"/>
    </row>
    <row r="1620" spans="2:2" x14ac:dyDescent="0.35">
      <c r="B1620"/>
    </row>
    <row r="1621" spans="2:2" x14ac:dyDescent="0.35">
      <c r="B1621"/>
    </row>
    <row r="1622" spans="2:2" x14ac:dyDescent="0.35">
      <c r="B1622"/>
    </row>
    <row r="1623" spans="2:2" x14ac:dyDescent="0.35">
      <c r="B1623"/>
    </row>
    <row r="1624" spans="2:2" x14ac:dyDescent="0.35">
      <c r="B1624"/>
    </row>
    <row r="1625" spans="2:2" x14ac:dyDescent="0.35">
      <c r="B1625"/>
    </row>
    <row r="1626" spans="2:2" x14ac:dyDescent="0.35">
      <c r="B1626"/>
    </row>
    <row r="1627" spans="2:2" x14ac:dyDescent="0.35">
      <c r="B1627"/>
    </row>
    <row r="1628" spans="2:2" x14ac:dyDescent="0.35">
      <c r="B1628"/>
    </row>
    <row r="1629" spans="2:2" x14ac:dyDescent="0.35">
      <c r="B1629"/>
    </row>
    <row r="1630" spans="2:2" x14ac:dyDescent="0.35">
      <c r="B1630"/>
    </row>
    <row r="1631" spans="2:2" x14ac:dyDescent="0.35">
      <c r="B1631"/>
    </row>
    <row r="1632" spans="2:2" x14ac:dyDescent="0.35">
      <c r="B1632"/>
    </row>
    <row r="1633" spans="2:2" x14ac:dyDescent="0.35">
      <c r="B1633"/>
    </row>
    <row r="1634" spans="2:2" x14ac:dyDescent="0.35">
      <c r="B1634"/>
    </row>
    <row r="1635" spans="2:2" x14ac:dyDescent="0.35">
      <c r="B1635"/>
    </row>
    <row r="1636" spans="2:2" x14ac:dyDescent="0.35">
      <c r="B1636"/>
    </row>
    <row r="1637" spans="2:2" x14ac:dyDescent="0.35">
      <c r="B1637"/>
    </row>
    <row r="1638" spans="2:2" x14ac:dyDescent="0.35">
      <c r="B1638"/>
    </row>
    <row r="1639" spans="2:2" x14ac:dyDescent="0.35">
      <c r="B1639"/>
    </row>
    <row r="1640" spans="2:2" x14ac:dyDescent="0.35">
      <c r="B1640"/>
    </row>
    <row r="1641" spans="2:2" x14ac:dyDescent="0.35">
      <c r="B1641"/>
    </row>
    <row r="1642" spans="2:2" x14ac:dyDescent="0.35">
      <c r="B1642"/>
    </row>
    <row r="1643" spans="2:2" x14ac:dyDescent="0.35">
      <c r="B1643"/>
    </row>
    <row r="1644" spans="2:2" x14ac:dyDescent="0.35">
      <c r="B1644"/>
    </row>
    <row r="1645" spans="2:2" x14ac:dyDescent="0.35">
      <c r="B1645"/>
    </row>
    <row r="1646" spans="2:2" x14ac:dyDescent="0.35">
      <c r="B1646"/>
    </row>
    <row r="1647" spans="2:2" x14ac:dyDescent="0.35">
      <c r="B1647"/>
    </row>
    <row r="1648" spans="2:2" x14ac:dyDescent="0.35">
      <c r="B1648"/>
    </row>
    <row r="1649" spans="2:2" x14ac:dyDescent="0.35">
      <c r="B1649"/>
    </row>
    <row r="1650" spans="2:2" x14ac:dyDescent="0.35">
      <c r="B1650"/>
    </row>
    <row r="1651" spans="2:2" x14ac:dyDescent="0.35">
      <c r="B1651"/>
    </row>
    <row r="1652" spans="2:2" x14ac:dyDescent="0.35">
      <c r="B1652"/>
    </row>
    <row r="1653" spans="2:2" x14ac:dyDescent="0.35">
      <c r="B1653"/>
    </row>
    <row r="1654" spans="2:2" x14ac:dyDescent="0.35">
      <c r="B1654"/>
    </row>
    <row r="1655" spans="2:2" x14ac:dyDescent="0.35">
      <c r="B1655"/>
    </row>
    <row r="1656" spans="2:2" x14ac:dyDescent="0.35">
      <c r="B1656"/>
    </row>
    <row r="1657" spans="2:2" x14ac:dyDescent="0.35">
      <c r="B1657"/>
    </row>
    <row r="1658" spans="2:2" x14ac:dyDescent="0.35">
      <c r="B1658"/>
    </row>
    <row r="1659" spans="2:2" x14ac:dyDescent="0.35">
      <c r="B1659"/>
    </row>
    <row r="1660" spans="2:2" x14ac:dyDescent="0.35">
      <c r="B1660"/>
    </row>
    <row r="1661" spans="2:2" x14ac:dyDescent="0.35">
      <c r="B1661"/>
    </row>
    <row r="1662" spans="2:2" x14ac:dyDescent="0.35">
      <c r="B1662"/>
    </row>
    <row r="1663" spans="2:2" x14ac:dyDescent="0.35">
      <c r="B1663"/>
    </row>
    <row r="1664" spans="2:2" x14ac:dyDescent="0.35">
      <c r="B1664"/>
    </row>
    <row r="1665" spans="2:2" x14ac:dyDescent="0.35">
      <c r="B1665"/>
    </row>
    <row r="1666" spans="2:2" x14ac:dyDescent="0.35">
      <c r="B1666"/>
    </row>
    <row r="1667" spans="2:2" x14ac:dyDescent="0.35">
      <c r="B1667"/>
    </row>
    <row r="1668" spans="2:2" x14ac:dyDescent="0.35">
      <c r="B1668"/>
    </row>
    <row r="1669" spans="2:2" x14ac:dyDescent="0.35">
      <c r="B1669"/>
    </row>
    <row r="1670" spans="2:2" x14ac:dyDescent="0.35">
      <c r="B1670"/>
    </row>
    <row r="1671" spans="2:2" x14ac:dyDescent="0.35">
      <c r="B1671"/>
    </row>
    <row r="1672" spans="2:2" x14ac:dyDescent="0.35">
      <c r="B1672"/>
    </row>
    <row r="1673" spans="2:2" x14ac:dyDescent="0.35">
      <c r="B1673"/>
    </row>
    <row r="1674" spans="2:2" x14ac:dyDescent="0.35">
      <c r="B1674"/>
    </row>
    <row r="1675" spans="2:2" x14ac:dyDescent="0.35">
      <c r="B1675"/>
    </row>
    <row r="1676" spans="2:2" x14ac:dyDescent="0.35">
      <c r="B1676"/>
    </row>
    <row r="1677" spans="2:2" x14ac:dyDescent="0.35">
      <c r="B1677"/>
    </row>
    <row r="1678" spans="2:2" x14ac:dyDescent="0.35">
      <c r="B1678"/>
    </row>
    <row r="1679" spans="2:2" x14ac:dyDescent="0.35">
      <c r="B1679"/>
    </row>
    <row r="1680" spans="2:2" x14ac:dyDescent="0.35">
      <c r="B1680"/>
    </row>
    <row r="1681" spans="2:2" x14ac:dyDescent="0.35">
      <c r="B1681"/>
    </row>
    <row r="1682" spans="2:2" x14ac:dyDescent="0.35">
      <c r="B1682"/>
    </row>
    <row r="1683" spans="2:2" x14ac:dyDescent="0.35">
      <c r="B1683"/>
    </row>
    <row r="1684" spans="2:2" x14ac:dyDescent="0.35">
      <c r="B1684"/>
    </row>
    <row r="1685" spans="2:2" x14ac:dyDescent="0.35">
      <c r="B1685"/>
    </row>
    <row r="1686" spans="2:2" x14ac:dyDescent="0.35">
      <c r="B1686"/>
    </row>
    <row r="1687" spans="2:2" x14ac:dyDescent="0.35">
      <c r="B1687"/>
    </row>
    <row r="1688" spans="2:2" x14ac:dyDescent="0.35">
      <c r="B1688"/>
    </row>
    <row r="1689" spans="2:2" x14ac:dyDescent="0.35">
      <c r="B1689"/>
    </row>
    <row r="1690" spans="2:2" x14ac:dyDescent="0.35">
      <c r="B1690"/>
    </row>
    <row r="1691" spans="2:2" x14ac:dyDescent="0.35">
      <c r="B1691"/>
    </row>
    <row r="1692" spans="2:2" x14ac:dyDescent="0.35">
      <c r="B1692"/>
    </row>
    <row r="1693" spans="2:2" x14ac:dyDescent="0.35">
      <c r="B1693"/>
    </row>
    <row r="1694" spans="2:2" x14ac:dyDescent="0.35">
      <c r="B1694"/>
    </row>
    <row r="1695" spans="2:2" x14ac:dyDescent="0.35">
      <c r="B1695"/>
    </row>
    <row r="1696" spans="2:2" x14ac:dyDescent="0.35">
      <c r="B1696"/>
    </row>
    <row r="1697" spans="2:2" x14ac:dyDescent="0.35">
      <c r="B1697"/>
    </row>
    <row r="1698" spans="2:2" x14ac:dyDescent="0.35">
      <c r="B1698"/>
    </row>
    <row r="1699" spans="2:2" x14ac:dyDescent="0.35">
      <c r="B1699"/>
    </row>
    <row r="1700" spans="2:2" x14ac:dyDescent="0.35">
      <c r="B1700"/>
    </row>
    <row r="1701" spans="2:2" x14ac:dyDescent="0.35">
      <c r="B1701"/>
    </row>
    <row r="1702" spans="2:2" x14ac:dyDescent="0.35">
      <c r="B1702"/>
    </row>
    <row r="1703" spans="2:2" x14ac:dyDescent="0.35">
      <c r="B1703"/>
    </row>
    <row r="1704" spans="2:2" x14ac:dyDescent="0.35">
      <c r="B1704"/>
    </row>
    <row r="1705" spans="2:2" x14ac:dyDescent="0.35">
      <c r="B1705"/>
    </row>
    <row r="1706" spans="2:2" x14ac:dyDescent="0.35">
      <c r="B1706"/>
    </row>
    <row r="1707" spans="2:2" x14ac:dyDescent="0.35">
      <c r="B1707"/>
    </row>
    <row r="1708" spans="2:2" x14ac:dyDescent="0.35">
      <c r="B1708"/>
    </row>
    <row r="1709" spans="2:2" x14ac:dyDescent="0.35">
      <c r="B1709"/>
    </row>
    <row r="1710" spans="2:2" x14ac:dyDescent="0.35">
      <c r="B1710"/>
    </row>
    <row r="1711" spans="2:2" x14ac:dyDescent="0.35">
      <c r="B1711"/>
    </row>
    <row r="1712" spans="2:2" x14ac:dyDescent="0.35">
      <c r="B1712"/>
    </row>
    <row r="1713" spans="2:2" x14ac:dyDescent="0.35">
      <c r="B1713"/>
    </row>
    <row r="1714" spans="2:2" x14ac:dyDescent="0.35">
      <c r="B1714"/>
    </row>
    <row r="1715" spans="2:2" x14ac:dyDescent="0.35">
      <c r="B1715"/>
    </row>
    <row r="1716" spans="2:2" x14ac:dyDescent="0.35">
      <c r="B1716"/>
    </row>
    <row r="1717" spans="2:2" x14ac:dyDescent="0.35">
      <c r="B1717"/>
    </row>
    <row r="1718" spans="2:2" x14ac:dyDescent="0.35">
      <c r="B1718"/>
    </row>
    <row r="1719" spans="2:2" x14ac:dyDescent="0.35">
      <c r="B1719"/>
    </row>
    <row r="1720" spans="2:2" x14ac:dyDescent="0.35">
      <c r="B1720"/>
    </row>
    <row r="1721" spans="2:2" x14ac:dyDescent="0.35">
      <c r="B1721"/>
    </row>
    <row r="1722" spans="2:2" x14ac:dyDescent="0.35">
      <c r="B1722"/>
    </row>
    <row r="1723" spans="2:2" x14ac:dyDescent="0.35">
      <c r="B1723"/>
    </row>
    <row r="1724" spans="2:2" x14ac:dyDescent="0.35">
      <c r="B1724"/>
    </row>
    <row r="1725" spans="2:2" x14ac:dyDescent="0.35">
      <c r="B1725"/>
    </row>
    <row r="1726" spans="2:2" x14ac:dyDescent="0.35">
      <c r="B1726"/>
    </row>
    <row r="1727" spans="2:2" x14ac:dyDescent="0.35">
      <c r="B1727"/>
    </row>
    <row r="1728" spans="2:2" x14ac:dyDescent="0.35">
      <c r="B1728"/>
    </row>
    <row r="1729" spans="2:2" x14ac:dyDescent="0.35">
      <c r="B1729"/>
    </row>
    <row r="1730" spans="2:2" x14ac:dyDescent="0.35">
      <c r="B1730"/>
    </row>
    <row r="1731" spans="2:2" x14ac:dyDescent="0.35">
      <c r="B1731"/>
    </row>
    <row r="1732" spans="2:2" x14ac:dyDescent="0.35">
      <c r="B1732"/>
    </row>
    <row r="1733" spans="2:2" x14ac:dyDescent="0.35">
      <c r="B1733"/>
    </row>
    <row r="1734" spans="2:2" x14ac:dyDescent="0.35">
      <c r="B1734"/>
    </row>
    <row r="1735" spans="2:2" x14ac:dyDescent="0.35">
      <c r="B1735"/>
    </row>
    <row r="1736" spans="2:2" x14ac:dyDescent="0.35">
      <c r="B1736"/>
    </row>
    <row r="1737" spans="2:2" x14ac:dyDescent="0.35">
      <c r="B1737"/>
    </row>
    <row r="1738" spans="2:2" x14ac:dyDescent="0.35">
      <c r="B1738"/>
    </row>
    <row r="1739" spans="2:2" x14ac:dyDescent="0.35">
      <c r="B1739"/>
    </row>
    <row r="1740" spans="2:2" x14ac:dyDescent="0.35">
      <c r="B1740"/>
    </row>
    <row r="1741" spans="2:2" x14ac:dyDescent="0.35">
      <c r="B1741"/>
    </row>
    <row r="1742" spans="2:2" x14ac:dyDescent="0.35">
      <c r="B1742"/>
    </row>
    <row r="1743" spans="2:2" x14ac:dyDescent="0.35">
      <c r="B1743"/>
    </row>
    <row r="1744" spans="2:2" x14ac:dyDescent="0.35">
      <c r="B1744"/>
    </row>
    <row r="1745" spans="2:2" x14ac:dyDescent="0.35">
      <c r="B1745"/>
    </row>
    <row r="1746" spans="2:2" x14ac:dyDescent="0.35">
      <c r="B1746"/>
    </row>
    <row r="1747" spans="2:2" x14ac:dyDescent="0.35">
      <c r="B1747"/>
    </row>
    <row r="1748" spans="2:2" x14ac:dyDescent="0.35">
      <c r="B1748"/>
    </row>
    <row r="1749" spans="2:2" x14ac:dyDescent="0.35">
      <c r="B1749"/>
    </row>
    <row r="1750" spans="2:2" x14ac:dyDescent="0.35">
      <c r="B1750"/>
    </row>
    <row r="1751" spans="2:2" x14ac:dyDescent="0.35">
      <c r="B1751"/>
    </row>
    <row r="1752" spans="2:2" x14ac:dyDescent="0.35">
      <c r="B1752"/>
    </row>
    <row r="1753" spans="2:2" x14ac:dyDescent="0.35">
      <c r="B1753"/>
    </row>
    <row r="1754" spans="2:2" x14ac:dyDescent="0.35">
      <c r="B1754"/>
    </row>
    <row r="1755" spans="2:2" x14ac:dyDescent="0.35">
      <c r="B1755"/>
    </row>
    <row r="1756" spans="2:2" x14ac:dyDescent="0.35">
      <c r="B1756"/>
    </row>
    <row r="1757" spans="2:2" x14ac:dyDescent="0.35">
      <c r="B1757"/>
    </row>
    <row r="1758" spans="2:2" x14ac:dyDescent="0.35">
      <c r="B1758"/>
    </row>
    <row r="1759" spans="2:2" x14ac:dyDescent="0.35">
      <c r="B1759"/>
    </row>
    <row r="1760" spans="2:2" x14ac:dyDescent="0.35">
      <c r="B1760"/>
    </row>
    <row r="1761" spans="2:2" x14ac:dyDescent="0.35">
      <c r="B1761"/>
    </row>
    <row r="1762" spans="2:2" x14ac:dyDescent="0.35">
      <c r="B1762"/>
    </row>
    <row r="1763" spans="2:2" x14ac:dyDescent="0.35">
      <c r="B1763"/>
    </row>
    <row r="1764" spans="2:2" x14ac:dyDescent="0.35">
      <c r="B1764"/>
    </row>
    <row r="1765" spans="2:2" x14ac:dyDescent="0.35">
      <c r="B1765"/>
    </row>
    <row r="1766" spans="2:2" x14ac:dyDescent="0.35">
      <c r="B1766"/>
    </row>
    <row r="1767" spans="2:2" x14ac:dyDescent="0.35">
      <c r="B1767"/>
    </row>
    <row r="1768" spans="2:2" x14ac:dyDescent="0.35">
      <c r="B1768"/>
    </row>
    <row r="1769" spans="2:2" x14ac:dyDescent="0.35">
      <c r="B1769"/>
    </row>
    <row r="1770" spans="2:2" x14ac:dyDescent="0.35">
      <c r="B1770"/>
    </row>
    <row r="1771" spans="2:2" x14ac:dyDescent="0.35">
      <c r="B1771"/>
    </row>
    <row r="1772" spans="2:2" x14ac:dyDescent="0.35">
      <c r="B1772"/>
    </row>
    <row r="1773" spans="2:2" x14ac:dyDescent="0.35">
      <c r="B1773"/>
    </row>
    <row r="1774" spans="2:2" x14ac:dyDescent="0.35">
      <c r="B1774"/>
    </row>
    <row r="1775" spans="2:2" x14ac:dyDescent="0.35">
      <c r="B1775"/>
    </row>
    <row r="1776" spans="2:2" x14ac:dyDescent="0.35">
      <c r="B1776"/>
    </row>
    <row r="1777" spans="2:2" x14ac:dyDescent="0.35">
      <c r="B1777"/>
    </row>
    <row r="1778" spans="2:2" x14ac:dyDescent="0.35">
      <c r="B1778"/>
    </row>
    <row r="1779" spans="2:2" x14ac:dyDescent="0.35">
      <c r="B1779"/>
    </row>
    <row r="1780" spans="2:2" x14ac:dyDescent="0.35">
      <c r="B1780"/>
    </row>
    <row r="1781" spans="2:2" x14ac:dyDescent="0.35">
      <c r="B1781"/>
    </row>
    <row r="1782" spans="2:2" x14ac:dyDescent="0.35">
      <c r="B1782"/>
    </row>
    <row r="1783" spans="2:2" x14ac:dyDescent="0.35">
      <c r="B1783"/>
    </row>
    <row r="1784" spans="2:2" x14ac:dyDescent="0.35">
      <c r="B1784"/>
    </row>
    <row r="1785" spans="2:2" x14ac:dyDescent="0.35">
      <c r="B1785"/>
    </row>
    <row r="1786" spans="2:2" x14ac:dyDescent="0.35">
      <c r="B1786"/>
    </row>
    <row r="1787" spans="2:2" x14ac:dyDescent="0.35">
      <c r="B1787"/>
    </row>
    <row r="1788" spans="2:2" x14ac:dyDescent="0.35">
      <c r="B1788"/>
    </row>
    <row r="1789" spans="2:2" x14ac:dyDescent="0.35">
      <c r="B1789"/>
    </row>
    <row r="1790" spans="2:2" x14ac:dyDescent="0.35">
      <c r="B1790"/>
    </row>
    <row r="1791" spans="2:2" x14ac:dyDescent="0.35">
      <c r="B1791"/>
    </row>
    <row r="1792" spans="2:2" x14ac:dyDescent="0.35">
      <c r="B1792"/>
    </row>
    <row r="1793" spans="2:2" x14ac:dyDescent="0.35">
      <c r="B1793"/>
    </row>
    <row r="1794" spans="2:2" x14ac:dyDescent="0.35">
      <c r="B1794"/>
    </row>
    <row r="1795" spans="2:2" x14ac:dyDescent="0.35">
      <c r="B1795"/>
    </row>
    <row r="1796" spans="2:2" x14ac:dyDescent="0.35">
      <c r="B1796"/>
    </row>
    <row r="1797" spans="2:2" x14ac:dyDescent="0.35">
      <c r="B1797"/>
    </row>
    <row r="1798" spans="2:2" x14ac:dyDescent="0.35">
      <c r="B1798"/>
    </row>
    <row r="1799" spans="2:2" x14ac:dyDescent="0.35">
      <c r="B1799"/>
    </row>
    <row r="1800" spans="2:2" x14ac:dyDescent="0.35">
      <c r="B1800"/>
    </row>
    <row r="1801" spans="2:2" x14ac:dyDescent="0.35">
      <c r="B1801"/>
    </row>
    <row r="1802" spans="2:2" x14ac:dyDescent="0.35">
      <c r="B1802"/>
    </row>
    <row r="1803" spans="2:2" x14ac:dyDescent="0.35">
      <c r="B1803"/>
    </row>
    <row r="1804" spans="2:2" x14ac:dyDescent="0.35">
      <c r="B1804"/>
    </row>
    <row r="1805" spans="2:2" x14ac:dyDescent="0.35">
      <c r="B1805"/>
    </row>
    <row r="1806" spans="2:2" x14ac:dyDescent="0.35">
      <c r="B1806"/>
    </row>
    <row r="1807" spans="2:2" x14ac:dyDescent="0.35">
      <c r="B1807"/>
    </row>
    <row r="1808" spans="2:2" x14ac:dyDescent="0.35">
      <c r="B1808"/>
    </row>
    <row r="1809" spans="2:2" x14ac:dyDescent="0.35">
      <c r="B1809"/>
    </row>
    <row r="1810" spans="2:2" x14ac:dyDescent="0.35">
      <c r="B1810"/>
    </row>
    <row r="1811" spans="2:2" x14ac:dyDescent="0.35">
      <c r="B1811"/>
    </row>
    <row r="1812" spans="2:2" x14ac:dyDescent="0.35">
      <c r="B1812"/>
    </row>
    <row r="1813" spans="2:2" x14ac:dyDescent="0.35">
      <c r="B1813"/>
    </row>
    <row r="1814" spans="2:2" x14ac:dyDescent="0.35">
      <c r="B1814"/>
    </row>
    <row r="1815" spans="2:2" x14ac:dyDescent="0.35">
      <c r="B1815"/>
    </row>
    <row r="1816" spans="2:2" x14ac:dyDescent="0.35">
      <c r="B1816"/>
    </row>
    <row r="1817" spans="2:2" x14ac:dyDescent="0.35">
      <c r="B1817"/>
    </row>
    <row r="1818" spans="2:2" x14ac:dyDescent="0.35">
      <c r="B1818"/>
    </row>
    <row r="1819" spans="2:2" x14ac:dyDescent="0.35">
      <c r="B1819"/>
    </row>
    <row r="1820" spans="2:2" x14ac:dyDescent="0.35">
      <c r="B1820"/>
    </row>
    <row r="1821" spans="2:2" x14ac:dyDescent="0.35">
      <c r="B1821"/>
    </row>
    <row r="1822" spans="2:2" x14ac:dyDescent="0.35">
      <c r="B1822"/>
    </row>
    <row r="1823" spans="2:2" x14ac:dyDescent="0.35">
      <c r="B1823"/>
    </row>
    <row r="1824" spans="2:2" x14ac:dyDescent="0.35">
      <c r="B1824"/>
    </row>
    <row r="1825" spans="2:2" x14ac:dyDescent="0.35">
      <c r="B1825"/>
    </row>
    <row r="1826" spans="2:2" x14ac:dyDescent="0.35">
      <c r="B1826"/>
    </row>
    <row r="1827" spans="2:2" x14ac:dyDescent="0.35">
      <c r="B1827"/>
    </row>
    <row r="1828" spans="2:2" x14ac:dyDescent="0.35">
      <c r="B1828"/>
    </row>
    <row r="1829" spans="2:2" x14ac:dyDescent="0.35">
      <c r="B1829"/>
    </row>
    <row r="1830" spans="2:2" x14ac:dyDescent="0.35">
      <c r="B1830"/>
    </row>
    <row r="1831" spans="2:2" x14ac:dyDescent="0.35">
      <c r="B1831"/>
    </row>
    <row r="1832" spans="2:2" x14ac:dyDescent="0.35">
      <c r="B1832"/>
    </row>
    <row r="1833" spans="2:2" x14ac:dyDescent="0.35">
      <c r="B1833"/>
    </row>
    <row r="1834" spans="2:2" x14ac:dyDescent="0.35">
      <c r="B1834"/>
    </row>
    <row r="1835" spans="2:2" x14ac:dyDescent="0.35">
      <c r="B1835"/>
    </row>
    <row r="1836" spans="2:2" x14ac:dyDescent="0.35">
      <c r="B1836"/>
    </row>
    <row r="1837" spans="2:2" x14ac:dyDescent="0.35">
      <c r="B1837"/>
    </row>
    <row r="1838" spans="2:2" x14ac:dyDescent="0.35">
      <c r="B1838"/>
    </row>
    <row r="1839" spans="2:2" x14ac:dyDescent="0.35">
      <c r="B1839"/>
    </row>
    <row r="1840" spans="2:2" x14ac:dyDescent="0.35">
      <c r="B1840"/>
    </row>
    <row r="1841" spans="2:2" x14ac:dyDescent="0.35">
      <c r="B1841"/>
    </row>
    <row r="1842" spans="2:2" x14ac:dyDescent="0.35">
      <c r="B1842"/>
    </row>
    <row r="1843" spans="2:2" x14ac:dyDescent="0.35">
      <c r="B1843"/>
    </row>
    <row r="1844" spans="2:2" x14ac:dyDescent="0.35">
      <c r="B1844"/>
    </row>
    <row r="1845" spans="2:2" x14ac:dyDescent="0.35">
      <c r="B1845"/>
    </row>
    <row r="1846" spans="2:2" x14ac:dyDescent="0.35">
      <c r="B1846"/>
    </row>
    <row r="1847" spans="2:2" x14ac:dyDescent="0.35">
      <c r="B1847"/>
    </row>
    <row r="1848" spans="2:2" x14ac:dyDescent="0.35">
      <c r="B1848"/>
    </row>
    <row r="1849" spans="2:2" x14ac:dyDescent="0.35">
      <c r="B1849"/>
    </row>
    <row r="1850" spans="2:2" x14ac:dyDescent="0.35">
      <c r="B1850"/>
    </row>
    <row r="1851" spans="2:2" x14ac:dyDescent="0.35">
      <c r="B1851"/>
    </row>
    <row r="1852" spans="2:2" x14ac:dyDescent="0.35">
      <c r="B1852"/>
    </row>
    <row r="1853" spans="2:2" x14ac:dyDescent="0.35">
      <c r="B1853"/>
    </row>
    <row r="1854" spans="2:2" x14ac:dyDescent="0.35">
      <c r="B1854"/>
    </row>
    <row r="1855" spans="2:2" x14ac:dyDescent="0.35">
      <c r="B1855"/>
    </row>
    <row r="1856" spans="2:2" x14ac:dyDescent="0.35">
      <c r="B1856"/>
    </row>
    <row r="1857" spans="2:2" x14ac:dyDescent="0.35">
      <c r="B1857"/>
    </row>
    <row r="1858" spans="2:2" x14ac:dyDescent="0.35">
      <c r="B1858"/>
    </row>
    <row r="1859" spans="2:2" x14ac:dyDescent="0.35">
      <c r="B1859"/>
    </row>
    <row r="1860" spans="2:2" x14ac:dyDescent="0.35">
      <c r="B1860"/>
    </row>
    <row r="1861" spans="2:2" x14ac:dyDescent="0.35">
      <c r="B1861"/>
    </row>
    <row r="1862" spans="2:2" x14ac:dyDescent="0.35">
      <c r="B1862"/>
    </row>
    <row r="1863" spans="2:2" x14ac:dyDescent="0.35">
      <c r="B1863"/>
    </row>
    <row r="1864" spans="2:2" x14ac:dyDescent="0.35">
      <c r="B1864"/>
    </row>
    <row r="1865" spans="2:2" x14ac:dyDescent="0.35">
      <c r="B1865"/>
    </row>
    <row r="1866" spans="2:2" x14ac:dyDescent="0.35">
      <c r="B1866"/>
    </row>
    <row r="1867" spans="2:2" x14ac:dyDescent="0.35">
      <c r="B1867"/>
    </row>
    <row r="1868" spans="2:2" x14ac:dyDescent="0.35">
      <c r="B1868"/>
    </row>
    <row r="1869" spans="2:2" x14ac:dyDescent="0.35">
      <c r="B1869"/>
    </row>
    <row r="1870" spans="2:2" x14ac:dyDescent="0.35">
      <c r="B1870"/>
    </row>
    <row r="1871" spans="2:2" x14ac:dyDescent="0.35">
      <c r="B1871"/>
    </row>
    <row r="1872" spans="2:2" x14ac:dyDescent="0.35">
      <c r="B1872"/>
    </row>
    <row r="1873" spans="2:2" x14ac:dyDescent="0.35">
      <c r="B1873"/>
    </row>
    <row r="1874" spans="2:2" x14ac:dyDescent="0.35">
      <c r="B1874"/>
    </row>
    <row r="1875" spans="2:2" x14ac:dyDescent="0.35">
      <c r="B1875"/>
    </row>
    <row r="1876" spans="2:2" x14ac:dyDescent="0.35">
      <c r="B1876"/>
    </row>
    <row r="1877" spans="2:2" x14ac:dyDescent="0.35">
      <c r="B1877"/>
    </row>
    <row r="1878" spans="2:2" x14ac:dyDescent="0.35">
      <c r="B1878"/>
    </row>
    <row r="1879" spans="2:2" x14ac:dyDescent="0.35">
      <c r="B1879"/>
    </row>
    <row r="1880" spans="2:2" x14ac:dyDescent="0.35">
      <c r="B1880"/>
    </row>
    <row r="1881" spans="2:2" x14ac:dyDescent="0.35">
      <c r="B1881"/>
    </row>
    <row r="1882" spans="2:2" x14ac:dyDescent="0.35">
      <c r="B1882"/>
    </row>
    <row r="1883" spans="2:2" x14ac:dyDescent="0.35">
      <c r="B1883"/>
    </row>
    <row r="1884" spans="2:2" x14ac:dyDescent="0.35">
      <c r="B1884"/>
    </row>
    <row r="1885" spans="2:2" x14ac:dyDescent="0.35">
      <c r="B1885"/>
    </row>
    <row r="1886" spans="2:2" x14ac:dyDescent="0.35">
      <c r="B1886"/>
    </row>
    <row r="1887" spans="2:2" x14ac:dyDescent="0.35">
      <c r="B1887"/>
    </row>
    <row r="1888" spans="2:2" x14ac:dyDescent="0.35">
      <c r="B1888"/>
    </row>
    <row r="1889" spans="2:2" x14ac:dyDescent="0.35">
      <c r="B1889"/>
    </row>
    <row r="1890" spans="2:2" x14ac:dyDescent="0.35">
      <c r="B1890"/>
    </row>
    <row r="1891" spans="2:2" x14ac:dyDescent="0.35">
      <c r="B1891"/>
    </row>
    <row r="1892" spans="2:2" x14ac:dyDescent="0.35">
      <c r="B1892"/>
    </row>
    <row r="1893" spans="2:2" x14ac:dyDescent="0.35">
      <c r="B1893"/>
    </row>
    <row r="1894" spans="2:2" x14ac:dyDescent="0.35">
      <c r="B1894"/>
    </row>
    <row r="1895" spans="2:2" x14ac:dyDescent="0.35">
      <c r="B1895"/>
    </row>
    <row r="1896" spans="2:2" x14ac:dyDescent="0.35">
      <c r="B1896"/>
    </row>
    <row r="1897" spans="2:2" x14ac:dyDescent="0.35">
      <c r="B1897"/>
    </row>
    <row r="1898" spans="2:2" x14ac:dyDescent="0.35">
      <c r="B1898"/>
    </row>
    <row r="1899" spans="2:2" x14ac:dyDescent="0.35">
      <c r="B1899"/>
    </row>
    <row r="1900" spans="2:2" x14ac:dyDescent="0.35">
      <c r="B1900"/>
    </row>
    <row r="1901" spans="2:2" x14ac:dyDescent="0.35">
      <c r="B1901"/>
    </row>
    <row r="1902" spans="2:2" x14ac:dyDescent="0.35">
      <c r="B1902"/>
    </row>
    <row r="1903" spans="2:2" x14ac:dyDescent="0.35">
      <c r="B1903"/>
    </row>
    <row r="1904" spans="2:2" x14ac:dyDescent="0.35">
      <c r="B1904"/>
    </row>
    <row r="1905" spans="2:2" x14ac:dyDescent="0.35">
      <c r="B1905"/>
    </row>
    <row r="1906" spans="2:2" x14ac:dyDescent="0.35">
      <c r="B1906"/>
    </row>
    <row r="1907" spans="2:2" x14ac:dyDescent="0.35">
      <c r="B1907"/>
    </row>
    <row r="1908" spans="2:2" x14ac:dyDescent="0.35">
      <c r="B1908"/>
    </row>
    <row r="1909" spans="2:2" x14ac:dyDescent="0.35">
      <c r="B1909"/>
    </row>
    <row r="1910" spans="2:2" x14ac:dyDescent="0.35">
      <c r="B1910"/>
    </row>
    <row r="1911" spans="2:2" x14ac:dyDescent="0.35">
      <c r="B1911"/>
    </row>
    <row r="1912" spans="2:2" x14ac:dyDescent="0.35">
      <c r="B1912"/>
    </row>
    <row r="1913" spans="2:2" x14ac:dyDescent="0.35">
      <c r="B1913"/>
    </row>
    <row r="1914" spans="2:2" x14ac:dyDescent="0.35">
      <c r="B1914"/>
    </row>
    <row r="1915" spans="2:2" x14ac:dyDescent="0.35">
      <c r="B1915"/>
    </row>
    <row r="1916" spans="2:2" x14ac:dyDescent="0.35">
      <c r="B1916"/>
    </row>
    <row r="1917" spans="2:2" x14ac:dyDescent="0.35">
      <c r="B1917"/>
    </row>
    <row r="1918" spans="2:2" x14ac:dyDescent="0.35">
      <c r="B1918"/>
    </row>
    <row r="1919" spans="2:2" x14ac:dyDescent="0.35">
      <c r="B1919"/>
    </row>
    <row r="1920" spans="2:2" x14ac:dyDescent="0.35">
      <c r="B1920"/>
    </row>
    <row r="1921" spans="2:2" x14ac:dyDescent="0.35">
      <c r="B1921"/>
    </row>
    <row r="1922" spans="2:2" x14ac:dyDescent="0.35">
      <c r="B1922"/>
    </row>
    <row r="1923" spans="2:2" x14ac:dyDescent="0.35">
      <c r="B1923"/>
    </row>
    <row r="1924" spans="2:2" x14ac:dyDescent="0.35">
      <c r="B1924"/>
    </row>
    <row r="1925" spans="2:2" x14ac:dyDescent="0.35">
      <c r="B1925"/>
    </row>
    <row r="1926" spans="2:2" x14ac:dyDescent="0.35">
      <c r="B1926"/>
    </row>
    <row r="1927" spans="2:2" x14ac:dyDescent="0.35">
      <c r="B1927"/>
    </row>
    <row r="1928" spans="2:2" x14ac:dyDescent="0.35">
      <c r="B1928"/>
    </row>
    <row r="1929" spans="2:2" x14ac:dyDescent="0.35">
      <c r="B1929"/>
    </row>
    <row r="1930" spans="2:2" x14ac:dyDescent="0.35">
      <c r="B1930"/>
    </row>
    <row r="1931" spans="2:2" x14ac:dyDescent="0.35">
      <c r="B1931"/>
    </row>
    <row r="1932" spans="2:2" x14ac:dyDescent="0.35">
      <c r="B1932"/>
    </row>
    <row r="1933" spans="2:2" x14ac:dyDescent="0.35">
      <c r="B1933"/>
    </row>
    <row r="1934" spans="2:2" x14ac:dyDescent="0.35">
      <c r="B1934"/>
    </row>
    <row r="1935" spans="2:2" x14ac:dyDescent="0.35">
      <c r="B1935"/>
    </row>
    <row r="1936" spans="2:2" x14ac:dyDescent="0.35">
      <c r="B1936"/>
    </row>
    <row r="1937" spans="2:2" x14ac:dyDescent="0.35">
      <c r="B1937"/>
    </row>
    <row r="1938" spans="2:2" x14ac:dyDescent="0.35">
      <c r="B1938"/>
    </row>
    <row r="1939" spans="2:2" x14ac:dyDescent="0.35">
      <c r="B1939"/>
    </row>
    <row r="1940" spans="2:2" x14ac:dyDescent="0.35">
      <c r="B1940"/>
    </row>
    <row r="1941" spans="2:2" x14ac:dyDescent="0.35">
      <c r="B1941"/>
    </row>
    <row r="1942" spans="2:2" x14ac:dyDescent="0.35">
      <c r="B1942"/>
    </row>
    <row r="1943" spans="2:2" x14ac:dyDescent="0.35">
      <c r="B1943"/>
    </row>
    <row r="1944" spans="2:2" x14ac:dyDescent="0.35">
      <c r="B1944"/>
    </row>
    <row r="1945" spans="2:2" x14ac:dyDescent="0.35">
      <c r="B1945"/>
    </row>
    <row r="1946" spans="2:2" x14ac:dyDescent="0.35">
      <c r="B1946"/>
    </row>
    <row r="1947" spans="2:2" x14ac:dyDescent="0.35">
      <c r="B1947"/>
    </row>
    <row r="1948" spans="2:2" x14ac:dyDescent="0.35">
      <c r="B1948"/>
    </row>
    <row r="1949" spans="2:2" x14ac:dyDescent="0.35">
      <c r="B1949"/>
    </row>
    <row r="1950" spans="2:2" x14ac:dyDescent="0.35">
      <c r="B1950"/>
    </row>
    <row r="1951" spans="2:2" x14ac:dyDescent="0.35">
      <c r="B1951"/>
    </row>
    <row r="1952" spans="2:2" x14ac:dyDescent="0.35">
      <c r="B1952"/>
    </row>
    <row r="1953" spans="2:2" x14ac:dyDescent="0.35">
      <c r="B1953"/>
    </row>
    <row r="1954" spans="2:2" x14ac:dyDescent="0.35">
      <c r="B1954"/>
    </row>
    <row r="1955" spans="2:2" x14ac:dyDescent="0.35">
      <c r="B1955"/>
    </row>
    <row r="1956" spans="2:2" x14ac:dyDescent="0.35">
      <c r="B1956"/>
    </row>
    <row r="1957" spans="2:2" x14ac:dyDescent="0.35">
      <c r="B1957"/>
    </row>
    <row r="1958" spans="2:2" x14ac:dyDescent="0.35">
      <c r="B1958"/>
    </row>
    <row r="1959" spans="2:2" x14ac:dyDescent="0.35">
      <c r="B1959"/>
    </row>
    <row r="1960" spans="2:2" x14ac:dyDescent="0.35">
      <c r="B1960"/>
    </row>
    <row r="1961" spans="2:2" x14ac:dyDescent="0.35">
      <c r="B1961"/>
    </row>
    <row r="1962" spans="2:2" x14ac:dyDescent="0.35">
      <c r="B1962"/>
    </row>
    <row r="1963" spans="2:2" x14ac:dyDescent="0.35">
      <c r="B1963"/>
    </row>
    <row r="1964" spans="2:2" x14ac:dyDescent="0.35">
      <c r="B1964"/>
    </row>
    <row r="1965" spans="2:2" x14ac:dyDescent="0.35">
      <c r="B1965"/>
    </row>
    <row r="1966" spans="2:2" x14ac:dyDescent="0.35">
      <c r="B1966"/>
    </row>
    <row r="1967" spans="2:2" x14ac:dyDescent="0.35">
      <c r="B1967"/>
    </row>
    <row r="1968" spans="2:2" x14ac:dyDescent="0.35">
      <c r="B1968"/>
    </row>
    <row r="1969" spans="2:2" x14ac:dyDescent="0.35">
      <c r="B1969"/>
    </row>
    <row r="1970" spans="2:2" x14ac:dyDescent="0.35">
      <c r="B1970"/>
    </row>
    <row r="1971" spans="2:2" x14ac:dyDescent="0.35">
      <c r="B1971"/>
    </row>
    <row r="1972" spans="2:2" x14ac:dyDescent="0.35">
      <c r="B1972"/>
    </row>
    <row r="1973" spans="2:2" x14ac:dyDescent="0.35">
      <c r="B1973"/>
    </row>
    <row r="1974" spans="2:2" x14ac:dyDescent="0.35">
      <c r="B1974"/>
    </row>
    <row r="1975" spans="2:2" x14ac:dyDescent="0.35">
      <c r="B1975"/>
    </row>
    <row r="1976" spans="2:2" x14ac:dyDescent="0.35">
      <c r="B1976"/>
    </row>
    <row r="1977" spans="2:2" x14ac:dyDescent="0.35">
      <c r="B1977"/>
    </row>
    <row r="1978" spans="2:2" x14ac:dyDescent="0.35">
      <c r="B1978"/>
    </row>
    <row r="1979" spans="2:2" x14ac:dyDescent="0.35">
      <c r="B1979"/>
    </row>
    <row r="1980" spans="2:2" x14ac:dyDescent="0.35">
      <c r="B1980"/>
    </row>
    <row r="1981" spans="2:2" x14ac:dyDescent="0.35">
      <c r="B1981"/>
    </row>
    <row r="1982" spans="2:2" x14ac:dyDescent="0.35">
      <c r="B1982"/>
    </row>
    <row r="1983" spans="2:2" x14ac:dyDescent="0.35">
      <c r="B1983"/>
    </row>
    <row r="1984" spans="2:2" x14ac:dyDescent="0.35">
      <c r="B1984"/>
    </row>
    <row r="1985" spans="2:2" x14ac:dyDescent="0.35">
      <c r="B1985"/>
    </row>
    <row r="1986" spans="2:2" x14ac:dyDescent="0.35">
      <c r="B1986"/>
    </row>
    <row r="1987" spans="2:2" x14ac:dyDescent="0.35">
      <c r="B1987"/>
    </row>
    <row r="1988" spans="2:2" x14ac:dyDescent="0.35">
      <c r="B1988"/>
    </row>
    <row r="1989" spans="2:2" x14ac:dyDescent="0.35">
      <c r="B1989"/>
    </row>
    <row r="1990" spans="2:2" x14ac:dyDescent="0.35">
      <c r="B1990"/>
    </row>
    <row r="1991" spans="2:2" x14ac:dyDescent="0.35">
      <c r="B1991"/>
    </row>
    <row r="1992" spans="2:2" x14ac:dyDescent="0.35">
      <c r="B1992"/>
    </row>
    <row r="1993" spans="2:2" x14ac:dyDescent="0.35">
      <c r="B1993"/>
    </row>
    <row r="1994" spans="2:2" x14ac:dyDescent="0.35">
      <c r="B1994"/>
    </row>
    <row r="1995" spans="2:2" x14ac:dyDescent="0.35">
      <c r="B1995"/>
    </row>
    <row r="1996" spans="2:2" x14ac:dyDescent="0.35">
      <c r="B1996"/>
    </row>
    <row r="1997" spans="2:2" x14ac:dyDescent="0.35">
      <c r="B1997"/>
    </row>
    <row r="1998" spans="2:2" x14ac:dyDescent="0.35">
      <c r="B1998"/>
    </row>
    <row r="1999" spans="2:2" x14ac:dyDescent="0.35">
      <c r="B1999"/>
    </row>
    <row r="2000" spans="2:2" x14ac:dyDescent="0.35">
      <c r="B2000"/>
    </row>
    <row r="2001" spans="2:2" x14ac:dyDescent="0.35">
      <c r="B2001"/>
    </row>
    <row r="2002" spans="2:2" x14ac:dyDescent="0.35">
      <c r="B2002"/>
    </row>
    <row r="2003" spans="2:2" x14ac:dyDescent="0.35">
      <c r="B2003"/>
    </row>
    <row r="2004" spans="2:2" x14ac:dyDescent="0.35">
      <c r="B2004"/>
    </row>
    <row r="2005" spans="2:2" x14ac:dyDescent="0.35">
      <c r="B2005"/>
    </row>
    <row r="2006" spans="2:2" x14ac:dyDescent="0.35">
      <c r="B2006"/>
    </row>
    <row r="2007" spans="2:2" x14ac:dyDescent="0.35">
      <c r="B2007"/>
    </row>
    <row r="2008" spans="2:2" x14ac:dyDescent="0.35">
      <c r="B2008"/>
    </row>
    <row r="2009" spans="2:2" x14ac:dyDescent="0.35">
      <c r="B2009"/>
    </row>
    <row r="2010" spans="2:2" x14ac:dyDescent="0.35">
      <c r="B2010"/>
    </row>
    <row r="2011" spans="2:2" x14ac:dyDescent="0.35">
      <c r="B2011"/>
    </row>
    <row r="2012" spans="2:2" x14ac:dyDescent="0.35">
      <c r="B2012"/>
    </row>
    <row r="2013" spans="2:2" x14ac:dyDescent="0.35">
      <c r="B2013"/>
    </row>
    <row r="2014" spans="2:2" x14ac:dyDescent="0.35">
      <c r="B2014"/>
    </row>
    <row r="2015" spans="2:2" x14ac:dyDescent="0.35">
      <c r="B2015"/>
    </row>
    <row r="2016" spans="2:2" x14ac:dyDescent="0.35">
      <c r="B2016"/>
    </row>
    <row r="2017" spans="2:2" x14ac:dyDescent="0.35">
      <c r="B2017"/>
    </row>
    <row r="2018" spans="2:2" x14ac:dyDescent="0.35">
      <c r="B2018"/>
    </row>
    <row r="2019" spans="2:2" x14ac:dyDescent="0.35">
      <c r="B2019"/>
    </row>
    <row r="2020" spans="2:2" x14ac:dyDescent="0.35">
      <c r="B2020"/>
    </row>
    <row r="2021" spans="2:2" x14ac:dyDescent="0.35">
      <c r="B2021"/>
    </row>
    <row r="2022" spans="2:2" x14ac:dyDescent="0.35">
      <c r="B2022"/>
    </row>
    <row r="2023" spans="2:2" x14ac:dyDescent="0.35">
      <c r="B2023"/>
    </row>
    <row r="2024" spans="2:2" x14ac:dyDescent="0.35">
      <c r="B2024"/>
    </row>
    <row r="2025" spans="2:2" x14ac:dyDescent="0.35">
      <c r="B2025"/>
    </row>
    <row r="2026" spans="2:2" x14ac:dyDescent="0.35">
      <c r="B2026"/>
    </row>
    <row r="2027" spans="2:2" x14ac:dyDescent="0.35">
      <c r="B2027"/>
    </row>
    <row r="2028" spans="2:2" x14ac:dyDescent="0.35">
      <c r="B2028"/>
    </row>
    <row r="2029" spans="2:2" x14ac:dyDescent="0.35">
      <c r="B2029"/>
    </row>
    <row r="2030" spans="2:2" x14ac:dyDescent="0.35">
      <c r="B2030"/>
    </row>
    <row r="2031" spans="2:2" x14ac:dyDescent="0.35">
      <c r="B2031"/>
    </row>
    <row r="2032" spans="2:2" x14ac:dyDescent="0.35">
      <c r="B2032"/>
    </row>
    <row r="2033" spans="2:2" x14ac:dyDescent="0.35">
      <c r="B2033"/>
    </row>
    <row r="2034" spans="2:2" x14ac:dyDescent="0.35">
      <c r="B2034"/>
    </row>
    <row r="2035" spans="2:2" x14ac:dyDescent="0.35">
      <c r="B2035"/>
    </row>
    <row r="2036" spans="2:2" x14ac:dyDescent="0.35">
      <c r="B2036"/>
    </row>
    <row r="2037" spans="2:2" x14ac:dyDescent="0.35">
      <c r="B2037"/>
    </row>
    <row r="2038" spans="2:2" x14ac:dyDescent="0.35">
      <c r="B2038"/>
    </row>
    <row r="2039" spans="2:2" x14ac:dyDescent="0.35">
      <c r="B2039"/>
    </row>
    <row r="2040" spans="2:2" x14ac:dyDescent="0.35">
      <c r="B2040"/>
    </row>
    <row r="2041" spans="2:2" x14ac:dyDescent="0.35">
      <c r="B2041"/>
    </row>
    <row r="2042" spans="2:2" x14ac:dyDescent="0.35">
      <c r="B2042"/>
    </row>
    <row r="2043" spans="2:2" x14ac:dyDescent="0.35">
      <c r="B2043"/>
    </row>
    <row r="2044" spans="2:2" x14ac:dyDescent="0.35">
      <c r="B2044"/>
    </row>
    <row r="2045" spans="2:2" x14ac:dyDescent="0.35">
      <c r="B2045"/>
    </row>
    <row r="2046" spans="2:2" x14ac:dyDescent="0.35">
      <c r="B2046"/>
    </row>
    <row r="2047" spans="2:2" x14ac:dyDescent="0.35">
      <c r="B2047"/>
    </row>
    <row r="2048" spans="2:2" x14ac:dyDescent="0.35">
      <c r="B2048"/>
    </row>
    <row r="2049" spans="2:2" x14ac:dyDescent="0.35">
      <c r="B2049"/>
    </row>
    <row r="2050" spans="2:2" x14ac:dyDescent="0.35">
      <c r="B2050"/>
    </row>
    <row r="2051" spans="2:2" x14ac:dyDescent="0.35">
      <c r="B2051"/>
    </row>
    <row r="2052" spans="2:2" x14ac:dyDescent="0.35">
      <c r="B2052"/>
    </row>
    <row r="2053" spans="2:2" x14ac:dyDescent="0.35">
      <c r="B2053"/>
    </row>
    <row r="2054" spans="2:2" x14ac:dyDescent="0.35">
      <c r="B2054"/>
    </row>
    <row r="2055" spans="2:2" x14ac:dyDescent="0.35">
      <c r="B2055"/>
    </row>
    <row r="2056" spans="2:2" x14ac:dyDescent="0.35">
      <c r="B2056"/>
    </row>
    <row r="2057" spans="2:2" x14ac:dyDescent="0.35">
      <c r="B2057"/>
    </row>
    <row r="2058" spans="2:2" x14ac:dyDescent="0.35">
      <c r="B2058"/>
    </row>
    <row r="2059" spans="2:2" x14ac:dyDescent="0.35">
      <c r="B2059"/>
    </row>
    <row r="2060" spans="2:2" x14ac:dyDescent="0.35">
      <c r="B2060"/>
    </row>
    <row r="2061" spans="2:2" x14ac:dyDescent="0.35">
      <c r="B2061"/>
    </row>
    <row r="2062" spans="2:2" x14ac:dyDescent="0.35">
      <c r="B2062"/>
    </row>
    <row r="2063" spans="2:2" x14ac:dyDescent="0.35">
      <c r="B2063"/>
    </row>
    <row r="2064" spans="2:2" x14ac:dyDescent="0.35">
      <c r="B2064"/>
    </row>
    <row r="2065" spans="2:2" x14ac:dyDescent="0.35">
      <c r="B2065"/>
    </row>
    <row r="2066" spans="2:2" x14ac:dyDescent="0.35">
      <c r="B2066"/>
    </row>
    <row r="2067" spans="2:2" x14ac:dyDescent="0.35">
      <c r="B2067"/>
    </row>
    <row r="2068" spans="2:2" x14ac:dyDescent="0.35">
      <c r="B2068"/>
    </row>
    <row r="2069" spans="2:2" x14ac:dyDescent="0.35">
      <c r="B2069"/>
    </row>
    <row r="2070" spans="2:2" x14ac:dyDescent="0.35">
      <c r="B2070"/>
    </row>
    <row r="2071" spans="2:2" x14ac:dyDescent="0.35">
      <c r="B2071"/>
    </row>
    <row r="2072" spans="2:2" x14ac:dyDescent="0.35">
      <c r="B2072"/>
    </row>
    <row r="2073" spans="2:2" x14ac:dyDescent="0.35">
      <c r="B2073"/>
    </row>
    <row r="2074" spans="2:2" x14ac:dyDescent="0.35">
      <c r="B2074"/>
    </row>
    <row r="2075" spans="2:2" x14ac:dyDescent="0.35">
      <c r="B2075"/>
    </row>
    <row r="2076" spans="2:2" x14ac:dyDescent="0.35">
      <c r="B2076"/>
    </row>
    <row r="2077" spans="2:2" x14ac:dyDescent="0.35">
      <c r="B2077"/>
    </row>
    <row r="2078" spans="2:2" x14ac:dyDescent="0.35">
      <c r="B2078"/>
    </row>
    <row r="2079" spans="2:2" x14ac:dyDescent="0.35">
      <c r="B2079"/>
    </row>
    <row r="2080" spans="2:2" x14ac:dyDescent="0.35">
      <c r="B2080"/>
    </row>
    <row r="2081" spans="2:2" x14ac:dyDescent="0.35">
      <c r="B2081"/>
    </row>
    <row r="2082" spans="2:2" x14ac:dyDescent="0.35">
      <c r="B2082"/>
    </row>
    <row r="2083" spans="2:2" x14ac:dyDescent="0.35">
      <c r="B2083"/>
    </row>
    <row r="2084" spans="2:2" x14ac:dyDescent="0.35">
      <c r="B2084"/>
    </row>
    <row r="2085" spans="2:2" x14ac:dyDescent="0.35">
      <c r="B2085"/>
    </row>
    <row r="2086" spans="2:2" x14ac:dyDescent="0.35">
      <c r="B2086"/>
    </row>
    <row r="2087" spans="2:2" x14ac:dyDescent="0.35">
      <c r="B2087"/>
    </row>
    <row r="2088" spans="2:2" x14ac:dyDescent="0.35">
      <c r="B2088"/>
    </row>
    <row r="2089" spans="2:2" x14ac:dyDescent="0.35">
      <c r="B2089"/>
    </row>
    <row r="2090" spans="2:2" x14ac:dyDescent="0.35">
      <c r="B2090"/>
    </row>
    <row r="2091" spans="2:2" x14ac:dyDescent="0.35">
      <c r="B2091"/>
    </row>
    <row r="2092" spans="2:2" x14ac:dyDescent="0.35">
      <c r="B2092"/>
    </row>
    <row r="2093" spans="2:2" x14ac:dyDescent="0.35">
      <c r="B2093"/>
    </row>
    <row r="2094" spans="2:2" x14ac:dyDescent="0.35">
      <c r="B2094"/>
    </row>
    <row r="2095" spans="2:2" x14ac:dyDescent="0.35">
      <c r="B2095"/>
    </row>
    <row r="2096" spans="2:2" x14ac:dyDescent="0.35">
      <c r="B2096"/>
    </row>
    <row r="2097" spans="2:2" x14ac:dyDescent="0.35">
      <c r="B2097"/>
    </row>
    <row r="2098" spans="2:2" x14ac:dyDescent="0.35">
      <c r="B2098"/>
    </row>
    <row r="2099" spans="2:2" x14ac:dyDescent="0.35">
      <c r="B2099"/>
    </row>
    <row r="2100" spans="2:2" x14ac:dyDescent="0.35">
      <c r="B2100"/>
    </row>
    <row r="2101" spans="2:2" x14ac:dyDescent="0.35">
      <c r="B2101"/>
    </row>
    <row r="2102" spans="2:2" x14ac:dyDescent="0.35">
      <c r="B2102"/>
    </row>
    <row r="2103" spans="2:2" x14ac:dyDescent="0.35">
      <c r="B2103"/>
    </row>
    <row r="2104" spans="2:2" x14ac:dyDescent="0.35">
      <c r="B2104"/>
    </row>
    <row r="2105" spans="2:2" x14ac:dyDescent="0.35">
      <c r="B2105"/>
    </row>
    <row r="2106" spans="2:2" x14ac:dyDescent="0.35">
      <c r="B2106"/>
    </row>
    <row r="2107" spans="2:2" x14ac:dyDescent="0.35">
      <c r="B2107"/>
    </row>
    <row r="2108" spans="2:2" x14ac:dyDescent="0.35">
      <c r="B2108"/>
    </row>
    <row r="2109" spans="2:2" x14ac:dyDescent="0.35">
      <c r="B2109"/>
    </row>
    <row r="2110" spans="2:2" x14ac:dyDescent="0.35">
      <c r="B2110"/>
    </row>
    <row r="2111" spans="2:2" x14ac:dyDescent="0.35">
      <c r="B2111"/>
    </row>
    <row r="2112" spans="2:2" x14ac:dyDescent="0.35">
      <c r="B2112"/>
    </row>
    <row r="2113" spans="2:2" x14ac:dyDescent="0.35">
      <c r="B2113"/>
    </row>
    <row r="2114" spans="2:2" x14ac:dyDescent="0.35">
      <c r="B2114"/>
    </row>
    <row r="2115" spans="2:2" x14ac:dyDescent="0.35">
      <c r="B2115"/>
    </row>
    <row r="2116" spans="2:2" x14ac:dyDescent="0.35">
      <c r="B2116"/>
    </row>
    <row r="2117" spans="2:2" x14ac:dyDescent="0.35">
      <c r="B2117"/>
    </row>
    <row r="2118" spans="2:2" x14ac:dyDescent="0.35">
      <c r="B2118"/>
    </row>
    <row r="2119" spans="2:2" x14ac:dyDescent="0.35">
      <c r="B2119"/>
    </row>
    <row r="2120" spans="2:2" x14ac:dyDescent="0.35">
      <c r="B2120"/>
    </row>
    <row r="2121" spans="2:2" x14ac:dyDescent="0.35">
      <c r="B2121"/>
    </row>
    <row r="2122" spans="2:2" x14ac:dyDescent="0.35">
      <c r="B2122"/>
    </row>
    <row r="2123" spans="2:2" x14ac:dyDescent="0.35">
      <c r="B2123"/>
    </row>
    <row r="2124" spans="2:2" x14ac:dyDescent="0.35">
      <c r="B2124"/>
    </row>
    <row r="2125" spans="2:2" x14ac:dyDescent="0.35">
      <c r="B2125"/>
    </row>
    <row r="2126" spans="2:2" x14ac:dyDescent="0.35">
      <c r="B2126"/>
    </row>
    <row r="2127" spans="2:2" x14ac:dyDescent="0.35">
      <c r="B2127"/>
    </row>
    <row r="2128" spans="2:2" x14ac:dyDescent="0.35">
      <c r="B2128"/>
    </row>
    <row r="2129" spans="2:2" x14ac:dyDescent="0.35">
      <c r="B2129"/>
    </row>
    <row r="2130" spans="2:2" x14ac:dyDescent="0.35">
      <c r="B2130"/>
    </row>
    <row r="2131" spans="2:2" x14ac:dyDescent="0.35">
      <c r="B2131"/>
    </row>
    <row r="2132" spans="2:2" x14ac:dyDescent="0.35">
      <c r="B2132"/>
    </row>
    <row r="2133" spans="2:2" x14ac:dyDescent="0.35">
      <c r="B2133"/>
    </row>
    <row r="2134" spans="2:2" x14ac:dyDescent="0.35">
      <c r="B2134"/>
    </row>
    <row r="2135" spans="2:2" x14ac:dyDescent="0.35">
      <c r="B2135"/>
    </row>
    <row r="2136" spans="2:2" x14ac:dyDescent="0.35">
      <c r="B2136"/>
    </row>
    <row r="2137" spans="2:2" x14ac:dyDescent="0.35">
      <c r="B2137"/>
    </row>
    <row r="2138" spans="2:2" x14ac:dyDescent="0.35">
      <c r="B2138"/>
    </row>
    <row r="2139" spans="2:2" x14ac:dyDescent="0.35">
      <c r="B2139"/>
    </row>
    <row r="2140" spans="2:2" x14ac:dyDescent="0.35">
      <c r="B2140"/>
    </row>
    <row r="2141" spans="2:2" x14ac:dyDescent="0.35">
      <c r="B2141"/>
    </row>
    <row r="2142" spans="2:2" x14ac:dyDescent="0.35">
      <c r="B2142"/>
    </row>
    <row r="2143" spans="2:2" x14ac:dyDescent="0.35">
      <c r="B2143"/>
    </row>
    <row r="2144" spans="2:2" x14ac:dyDescent="0.35">
      <c r="B2144"/>
    </row>
    <row r="2145" spans="2:2" x14ac:dyDescent="0.35">
      <c r="B2145"/>
    </row>
    <row r="2146" spans="2:2" x14ac:dyDescent="0.35">
      <c r="B2146"/>
    </row>
    <row r="2147" spans="2:2" x14ac:dyDescent="0.35">
      <c r="B2147"/>
    </row>
    <row r="2148" spans="2:2" x14ac:dyDescent="0.35">
      <c r="B2148"/>
    </row>
    <row r="2149" spans="2:2" x14ac:dyDescent="0.35">
      <c r="B2149"/>
    </row>
    <row r="2150" spans="2:2" x14ac:dyDescent="0.35">
      <c r="B2150"/>
    </row>
    <row r="2151" spans="2:2" x14ac:dyDescent="0.35">
      <c r="B2151"/>
    </row>
    <row r="2152" spans="2:2" x14ac:dyDescent="0.35">
      <c r="B2152"/>
    </row>
    <row r="2153" spans="2:2" x14ac:dyDescent="0.35">
      <c r="B2153"/>
    </row>
    <row r="2154" spans="2:2" x14ac:dyDescent="0.35">
      <c r="B2154"/>
    </row>
    <row r="2155" spans="2:2" x14ac:dyDescent="0.35">
      <c r="B2155"/>
    </row>
    <row r="2156" spans="2:2" x14ac:dyDescent="0.35">
      <c r="B2156"/>
    </row>
    <row r="2157" spans="2:2" x14ac:dyDescent="0.35">
      <c r="B2157"/>
    </row>
    <row r="2158" spans="2:2" x14ac:dyDescent="0.35">
      <c r="B2158"/>
    </row>
    <row r="2159" spans="2:2" x14ac:dyDescent="0.35">
      <c r="B2159"/>
    </row>
    <row r="2160" spans="2:2" x14ac:dyDescent="0.35">
      <c r="B2160"/>
    </row>
    <row r="2161" spans="2:2" x14ac:dyDescent="0.35">
      <c r="B2161"/>
    </row>
    <row r="2162" spans="2:2" x14ac:dyDescent="0.35">
      <c r="B2162"/>
    </row>
    <row r="2163" spans="2:2" x14ac:dyDescent="0.35">
      <c r="B2163"/>
    </row>
    <row r="2164" spans="2:2" x14ac:dyDescent="0.35">
      <c r="B2164"/>
    </row>
    <row r="2165" spans="2:2" x14ac:dyDescent="0.35">
      <c r="B2165"/>
    </row>
    <row r="2166" spans="2:2" x14ac:dyDescent="0.35">
      <c r="B2166"/>
    </row>
    <row r="2167" spans="2:2" x14ac:dyDescent="0.35">
      <c r="B2167"/>
    </row>
    <row r="2168" spans="2:2" x14ac:dyDescent="0.35">
      <c r="B2168"/>
    </row>
    <row r="2169" spans="2:2" x14ac:dyDescent="0.35">
      <c r="B2169"/>
    </row>
    <row r="2170" spans="2:2" x14ac:dyDescent="0.35">
      <c r="B2170"/>
    </row>
    <row r="2171" spans="2:2" x14ac:dyDescent="0.35">
      <c r="B2171"/>
    </row>
    <row r="2172" spans="2:2" x14ac:dyDescent="0.35">
      <c r="B2172"/>
    </row>
    <row r="2173" spans="2:2" x14ac:dyDescent="0.35">
      <c r="B2173"/>
    </row>
    <row r="2174" spans="2:2" x14ac:dyDescent="0.35">
      <c r="B2174"/>
    </row>
    <row r="2175" spans="2:2" x14ac:dyDescent="0.35">
      <c r="B2175"/>
    </row>
    <row r="2176" spans="2:2" x14ac:dyDescent="0.35">
      <c r="B2176"/>
    </row>
    <row r="2177" spans="2:2" x14ac:dyDescent="0.35">
      <c r="B2177"/>
    </row>
    <row r="2178" spans="2:2" x14ac:dyDescent="0.35">
      <c r="B2178"/>
    </row>
    <row r="2179" spans="2:2" x14ac:dyDescent="0.35">
      <c r="B2179"/>
    </row>
    <row r="2180" spans="2:2" x14ac:dyDescent="0.35">
      <c r="B2180"/>
    </row>
    <row r="2181" spans="2:2" x14ac:dyDescent="0.35">
      <c r="B2181"/>
    </row>
    <row r="2182" spans="2:2" x14ac:dyDescent="0.35">
      <c r="B2182"/>
    </row>
    <row r="2183" spans="2:2" x14ac:dyDescent="0.35">
      <c r="B2183"/>
    </row>
    <row r="2184" spans="2:2" x14ac:dyDescent="0.35">
      <c r="B2184"/>
    </row>
    <row r="2185" spans="2:2" x14ac:dyDescent="0.35">
      <c r="B2185"/>
    </row>
    <row r="2186" spans="2:2" x14ac:dyDescent="0.35">
      <c r="B2186"/>
    </row>
    <row r="2187" spans="2:2" x14ac:dyDescent="0.35">
      <c r="B2187"/>
    </row>
    <row r="2188" spans="2:2" x14ac:dyDescent="0.35">
      <c r="B2188"/>
    </row>
    <row r="2189" spans="2:2" x14ac:dyDescent="0.35">
      <c r="B2189"/>
    </row>
    <row r="2190" spans="2:2" x14ac:dyDescent="0.35">
      <c r="B2190"/>
    </row>
    <row r="2191" spans="2:2" x14ac:dyDescent="0.35">
      <c r="B2191"/>
    </row>
    <row r="2192" spans="2:2" x14ac:dyDescent="0.35">
      <c r="B2192"/>
    </row>
    <row r="2193" spans="2:2" x14ac:dyDescent="0.35">
      <c r="B2193"/>
    </row>
    <row r="2194" spans="2:2" x14ac:dyDescent="0.35">
      <c r="B2194"/>
    </row>
    <row r="2195" spans="2:2" x14ac:dyDescent="0.35">
      <c r="B2195"/>
    </row>
    <row r="2196" spans="2:2" x14ac:dyDescent="0.35">
      <c r="B2196"/>
    </row>
    <row r="2197" spans="2:2" x14ac:dyDescent="0.35">
      <c r="B2197"/>
    </row>
    <row r="2198" spans="2:2" x14ac:dyDescent="0.35">
      <c r="B2198"/>
    </row>
    <row r="2199" spans="2:2" x14ac:dyDescent="0.35">
      <c r="B2199"/>
    </row>
    <row r="2200" spans="2:2" x14ac:dyDescent="0.35">
      <c r="B2200"/>
    </row>
    <row r="2201" spans="2:2" x14ac:dyDescent="0.35">
      <c r="B2201"/>
    </row>
    <row r="2202" spans="2:2" x14ac:dyDescent="0.35">
      <c r="B2202"/>
    </row>
    <row r="2203" spans="2:2" x14ac:dyDescent="0.35">
      <c r="B2203"/>
    </row>
    <row r="2204" spans="2:2" x14ac:dyDescent="0.35">
      <c r="B2204"/>
    </row>
    <row r="2205" spans="2:2" x14ac:dyDescent="0.35">
      <c r="B2205"/>
    </row>
    <row r="2206" spans="2:2" x14ac:dyDescent="0.35">
      <c r="B2206"/>
    </row>
    <row r="2207" spans="2:2" x14ac:dyDescent="0.35">
      <c r="B2207"/>
    </row>
    <row r="2208" spans="2:2" x14ac:dyDescent="0.35">
      <c r="B2208"/>
    </row>
    <row r="2209" spans="2:2" x14ac:dyDescent="0.35">
      <c r="B2209"/>
    </row>
    <row r="2210" spans="2:2" x14ac:dyDescent="0.35">
      <c r="B2210"/>
    </row>
    <row r="2211" spans="2:2" x14ac:dyDescent="0.35">
      <c r="B2211"/>
    </row>
    <row r="2212" spans="2:2" x14ac:dyDescent="0.35">
      <c r="B2212"/>
    </row>
    <row r="2213" spans="2:2" x14ac:dyDescent="0.35">
      <c r="B2213"/>
    </row>
    <row r="2214" spans="2:2" x14ac:dyDescent="0.35">
      <c r="B2214"/>
    </row>
    <row r="2215" spans="2:2" x14ac:dyDescent="0.35">
      <c r="B2215"/>
    </row>
    <row r="2216" spans="2:2" x14ac:dyDescent="0.35">
      <c r="B2216"/>
    </row>
    <row r="2217" spans="2:2" x14ac:dyDescent="0.35">
      <c r="B2217"/>
    </row>
    <row r="2218" spans="2:2" x14ac:dyDescent="0.35">
      <c r="B2218"/>
    </row>
    <row r="2219" spans="2:2" x14ac:dyDescent="0.35">
      <c r="B2219"/>
    </row>
    <row r="2220" spans="2:2" x14ac:dyDescent="0.35">
      <c r="B2220"/>
    </row>
    <row r="2221" spans="2:2" x14ac:dyDescent="0.35">
      <c r="B2221"/>
    </row>
    <row r="2222" spans="2:2" x14ac:dyDescent="0.35">
      <c r="B2222"/>
    </row>
    <row r="2223" spans="2:2" x14ac:dyDescent="0.35">
      <c r="B2223"/>
    </row>
    <row r="2224" spans="2:2" x14ac:dyDescent="0.35">
      <c r="B2224"/>
    </row>
    <row r="2225" spans="2:2" x14ac:dyDescent="0.35">
      <c r="B2225"/>
    </row>
    <row r="2226" spans="2:2" x14ac:dyDescent="0.35">
      <c r="B2226"/>
    </row>
    <row r="2227" spans="2:2" x14ac:dyDescent="0.35">
      <c r="B2227"/>
    </row>
    <row r="2228" spans="2:2" x14ac:dyDescent="0.35">
      <c r="B2228"/>
    </row>
    <row r="2229" spans="2:2" x14ac:dyDescent="0.35">
      <c r="B2229"/>
    </row>
    <row r="2230" spans="2:2" x14ac:dyDescent="0.35">
      <c r="B2230"/>
    </row>
    <row r="2231" spans="2:2" x14ac:dyDescent="0.35">
      <c r="B2231"/>
    </row>
    <row r="2232" spans="2:2" x14ac:dyDescent="0.35">
      <c r="B2232"/>
    </row>
    <row r="2233" spans="2:2" x14ac:dyDescent="0.35">
      <c r="B2233"/>
    </row>
    <row r="2234" spans="2:2" x14ac:dyDescent="0.35">
      <c r="B2234"/>
    </row>
    <row r="2235" spans="2:2" x14ac:dyDescent="0.35">
      <c r="B2235"/>
    </row>
    <row r="2236" spans="2:2" x14ac:dyDescent="0.35">
      <c r="B2236"/>
    </row>
    <row r="2237" spans="2:2" x14ac:dyDescent="0.35">
      <c r="B2237"/>
    </row>
    <row r="2238" spans="2:2" x14ac:dyDescent="0.35">
      <c r="B2238"/>
    </row>
    <row r="2239" spans="2:2" x14ac:dyDescent="0.35">
      <c r="B2239"/>
    </row>
    <row r="2240" spans="2:2" x14ac:dyDescent="0.35">
      <c r="B2240"/>
    </row>
    <row r="2241" spans="2:2" x14ac:dyDescent="0.35">
      <c r="B2241"/>
    </row>
    <row r="2242" spans="2:2" x14ac:dyDescent="0.35">
      <c r="B2242"/>
    </row>
    <row r="2243" spans="2:2" x14ac:dyDescent="0.35">
      <c r="B2243"/>
    </row>
    <row r="2244" spans="2:2" x14ac:dyDescent="0.35">
      <c r="B2244"/>
    </row>
    <row r="2245" spans="2:2" x14ac:dyDescent="0.35">
      <c r="B2245"/>
    </row>
    <row r="2246" spans="2:2" x14ac:dyDescent="0.35">
      <c r="B2246"/>
    </row>
    <row r="2247" spans="2:2" x14ac:dyDescent="0.35">
      <c r="B2247"/>
    </row>
    <row r="2248" spans="2:2" x14ac:dyDescent="0.35">
      <c r="B2248"/>
    </row>
    <row r="2249" spans="2:2" x14ac:dyDescent="0.35">
      <c r="B2249"/>
    </row>
    <row r="2250" spans="2:2" x14ac:dyDescent="0.35">
      <c r="B2250"/>
    </row>
    <row r="2251" spans="2:2" x14ac:dyDescent="0.35">
      <c r="B2251"/>
    </row>
    <row r="2252" spans="2:2" x14ac:dyDescent="0.35">
      <c r="B2252"/>
    </row>
    <row r="2253" spans="2:2" x14ac:dyDescent="0.35">
      <c r="B2253"/>
    </row>
    <row r="2254" spans="2:2" x14ac:dyDescent="0.35">
      <c r="B2254"/>
    </row>
    <row r="2255" spans="2:2" x14ac:dyDescent="0.35">
      <c r="B2255"/>
    </row>
    <row r="2256" spans="2:2" x14ac:dyDescent="0.35">
      <c r="B2256"/>
    </row>
    <row r="2257" spans="2:2" x14ac:dyDescent="0.35">
      <c r="B2257"/>
    </row>
    <row r="2258" spans="2:2" x14ac:dyDescent="0.35">
      <c r="B2258"/>
    </row>
    <row r="2259" spans="2:2" x14ac:dyDescent="0.35">
      <c r="B2259"/>
    </row>
    <row r="2260" spans="2:2" x14ac:dyDescent="0.35">
      <c r="B2260"/>
    </row>
    <row r="2261" spans="2:2" x14ac:dyDescent="0.35">
      <c r="B2261"/>
    </row>
    <row r="2262" spans="2:2" x14ac:dyDescent="0.35">
      <c r="B2262"/>
    </row>
    <row r="2263" spans="2:2" x14ac:dyDescent="0.35">
      <c r="B2263"/>
    </row>
    <row r="2264" spans="2:2" x14ac:dyDescent="0.35">
      <c r="B2264"/>
    </row>
    <row r="2265" spans="2:2" x14ac:dyDescent="0.35">
      <c r="B2265"/>
    </row>
    <row r="2266" spans="2:2" x14ac:dyDescent="0.35">
      <c r="B2266"/>
    </row>
    <row r="2267" spans="2:2" x14ac:dyDescent="0.35">
      <c r="B2267"/>
    </row>
    <row r="2268" spans="2:2" x14ac:dyDescent="0.35">
      <c r="B2268"/>
    </row>
    <row r="2269" spans="2:2" x14ac:dyDescent="0.35">
      <c r="B2269"/>
    </row>
    <row r="2270" spans="2:2" x14ac:dyDescent="0.35">
      <c r="B2270"/>
    </row>
    <row r="2271" spans="2:2" x14ac:dyDescent="0.35">
      <c r="B2271"/>
    </row>
    <row r="2272" spans="2:2" x14ac:dyDescent="0.35">
      <c r="B2272"/>
    </row>
    <row r="2273" spans="2:2" x14ac:dyDescent="0.35">
      <c r="B2273"/>
    </row>
    <row r="2274" spans="2:2" x14ac:dyDescent="0.35">
      <c r="B2274"/>
    </row>
    <row r="2275" spans="2:2" x14ac:dyDescent="0.35">
      <c r="B2275"/>
    </row>
    <row r="2276" spans="2:2" x14ac:dyDescent="0.35">
      <c r="B2276"/>
    </row>
    <row r="2277" spans="2:2" x14ac:dyDescent="0.35">
      <c r="B2277"/>
    </row>
    <row r="2278" spans="2:2" x14ac:dyDescent="0.35">
      <c r="B2278"/>
    </row>
    <row r="2279" spans="2:2" x14ac:dyDescent="0.35">
      <c r="B2279"/>
    </row>
    <row r="2280" spans="2:2" x14ac:dyDescent="0.35">
      <c r="B2280"/>
    </row>
    <row r="2281" spans="2:2" x14ac:dyDescent="0.35">
      <c r="B2281"/>
    </row>
    <row r="2282" spans="2:2" x14ac:dyDescent="0.35">
      <c r="B2282"/>
    </row>
    <row r="2283" spans="2:2" x14ac:dyDescent="0.35">
      <c r="B2283"/>
    </row>
    <row r="2284" spans="2:2" x14ac:dyDescent="0.35">
      <c r="B2284"/>
    </row>
    <row r="2285" spans="2:2" x14ac:dyDescent="0.35">
      <c r="B2285"/>
    </row>
    <row r="2286" spans="2:2" x14ac:dyDescent="0.35">
      <c r="B2286"/>
    </row>
    <row r="2287" spans="2:2" x14ac:dyDescent="0.35">
      <c r="B2287"/>
    </row>
    <row r="2288" spans="2:2" x14ac:dyDescent="0.35">
      <c r="B2288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07780-1960-4070-B89C-A8E52907FF6F}">
  <dimension ref="A1"/>
  <sheetViews>
    <sheetView topLeftCell="A121" zoomScale="57" zoomScaleNormal="60" workbookViewId="0">
      <selection activeCell="K156" sqref="K156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E7F64-B41D-4A79-B76F-F3178AD47741}">
  <dimension ref="A1:BN43"/>
  <sheetViews>
    <sheetView workbookViewId="0"/>
  </sheetViews>
  <sheetFormatPr defaultRowHeight="14.5" x14ac:dyDescent="0.35"/>
  <sheetData>
    <row r="1" spans="1:6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  <c r="AA1" t="s">
        <v>48</v>
      </c>
      <c r="AB1" t="s">
        <v>49</v>
      </c>
      <c r="AC1" t="s">
        <v>50</v>
      </c>
      <c r="AD1" t="s">
        <v>51</v>
      </c>
      <c r="AE1" t="s">
        <v>52</v>
      </c>
      <c r="AF1" t="s">
        <v>53</v>
      </c>
      <c r="AG1" t="s">
        <v>54</v>
      </c>
      <c r="AH1" t="s">
        <v>55</v>
      </c>
      <c r="AI1" t="s">
        <v>56</v>
      </c>
      <c r="AJ1" t="s">
        <v>57</v>
      </c>
      <c r="AK1" t="s">
        <v>58</v>
      </c>
      <c r="AL1" t="s">
        <v>59</v>
      </c>
      <c r="AM1" t="s">
        <v>60</v>
      </c>
      <c r="AN1" t="s">
        <v>61</v>
      </c>
      <c r="AO1" t="s">
        <v>62</v>
      </c>
      <c r="AP1" t="s">
        <v>63</v>
      </c>
      <c r="AQ1" t="s">
        <v>64</v>
      </c>
      <c r="AR1" t="s">
        <v>65</v>
      </c>
      <c r="AS1" t="s">
        <v>66</v>
      </c>
      <c r="AT1" t="s">
        <v>67</v>
      </c>
      <c r="AU1" t="s">
        <v>68</v>
      </c>
      <c r="AV1" t="s">
        <v>69</v>
      </c>
      <c r="AW1" t="s">
        <v>70</v>
      </c>
      <c r="AX1" t="s">
        <v>71</v>
      </c>
      <c r="AY1" t="s">
        <v>72</v>
      </c>
      <c r="AZ1" t="s">
        <v>73</v>
      </c>
      <c r="BA1" t="s">
        <v>74</v>
      </c>
      <c r="BB1" t="s">
        <v>75</v>
      </c>
      <c r="BC1" t="s">
        <v>76</v>
      </c>
      <c r="BD1" t="s">
        <v>77</v>
      </c>
      <c r="BE1" t="s">
        <v>78</v>
      </c>
      <c r="BF1" t="s">
        <v>79</v>
      </c>
      <c r="BG1" t="s">
        <v>80</v>
      </c>
      <c r="BH1" t="s">
        <v>81</v>
      </c>
      <c r="BI1" t="s">
        <v>82</v>
      </c>
      <c r="BJ1" t="s">
        <v>83</v>
      </c>
      <c r="BK1" t="s">
        <v>84</v>
      </c>
      <c r="BL1" t="s">
        <v>85</v>
      </c>
      <c r="BM1" t="s">
        <v>86</v>
      </c>
      <c r="BN1" t="s">
        <v>87</v>
      </c>
    </row>
    <row r="22" spans="1:26" x14ac:dyDescent="0.35">
      <c r="D22">
        <v>0</v>
      </c>
    </row>
    <row r="24" spans="1:26" x14ac:dyDescent="0.35">
      <c r="F24">
        <v>0</v>
      </c>
    </row>
    <row r="26" spans="1:26" x14ac:dyDescent="0.35">
      <c r="H26">
        <v>0</v>
      </c>
    </row>
    <row r="27" spans="1:26" x14ac:dyDescent="0.35">
      <c r="J27">
        <v>0</v>
      </c>
    </row>
    <row r="28" spans="1:26" x14ac:dyDescent="0.35">
      <c r="L28">
        <v>0</v>
      </c>
      <c r="N28">
        <v>0</v>
      </c>
    </row>
    <row r="29" spans="1:26" x14ac:dyDescent="0.35">
      <c r="A29">
        <v>1.3630635615071E-2</v>
      </c>
      <c r="C29">
        <v>2.0454293810469999E-2</v>
      </c>
      <c r="E29">
        <v>2.90612012948008E-2</v>
      </c>
      <c r="G29">
        <v>3.8705949019210699E-2</v>
      </c>
      <c r="P29">
        <v>0</v>
      </c>
    </row>
    <row r="30" spans="1:26" x14ac:dyDescent="0.35">
      <c r="I30">
        <v>5.0063177492946698E-2</v>
      </c>
      <c r="K30">
        <v>6.2191274444438401E-2</v>
      </c>
      <c r="M30">
        <v>7.6159202981273696E-2</v>
      </c>
      <c r="R30">
        <v>0</v>
      </c>
      <c r="T30">
        <v>0</v>
      </c>
    </row>
    <row r="31" spans="1:26" x14ac:dyDescent="0.35">
      <c r="O31">
        <v>9.1230602915104694E-2</v>
      </c>
      <c r="Q31">
        <v>0.107690939992556</v>
      </c>
      <c r="V31">
        <v>0</v>
      </c>
    </row>
    <row r="32" spans="1:26" x14ac:dyDescent="0.35">
      <c r="S32">
        <v>0.12562641037096101</v>
      </c>
      <c r="U32">
        <v>0.14441724745294099</v>
      </c>
      <c r="X32">
        <v>0</v>
      </c>
      <c r="Z32">
        <v>0</v>
      </c>
    </row>
    <row r="33" spans="23:65" x14ac:dyDescent="0.35">
      <c r="W33">
        <v>0.16499403320407799</v>
      </c>
      <c r="Y33">
        <v>0.18661710955458</v>
      </c>
      <c r="AB33">
        <v>0</v>
      </c>
      <c r="AD33">
        <v>0</v>
      </c>
    </row>
    <row r="34" spans="23:65" x14ac:dyDescent="0.35">
      <c r="AA34">
        <v>0.20985875714426899</v>
      </c>
      <c r="AC34">
        <v>0.23345263802284599</v>
      </c>
      <c r="AF34">
        <v>0</v>
      </c>
    </row>
    <row r="35" spans="23:65" x14ac:dyDescent="0.35">
      <c r="AE35">
        <v>0.25879854803567198</v>
      </c>
      <c r="AH35">
        <v>0</v>
      </c>
    </row>
    <row r="36" spans="23:65" x14ac:dyDescent="0.35">
      <c r="AG36">
        <v>0.28452599729814798</v>
      </c>
      <c r="AI36">
        <v>0.311939820842488</v>
      </c>
      <c r="AJ36">
        <v>0</v>
      </c>
      <c r="AL36">
        <v>0</v>
      </c>
    </row>
    <row r="37" spans="23:65" x14ac:dyDescent="0.35">
      <c r="AK37">
        <v>0.34044420722559599</v>
      </c>
      <c r="AN37">
        <v>0</v>
      </c>
    </row>
    <row r="38" spans="23:65" x14ac:dyDescent="0.35">
      <c r="AM38">
        <v>0.36994171366423101</v>
      </c>
      <c r="AO38">
        <v>0.40059066642139202</v>
      </c>
      <c r="AP38">
        <v>0</v>
      </c>
    </row>
    <row r="39" spans="23:65" x14ac:dyDescent="0.35">
      <c r="AQ39">
        <v>0.43132036763569698</v>
      </c>
      <c r="AR39">
        <v>0</v>
      </c>
      <c r="AT39">
        <v>0</v>
      </c>
    </row>
    <row r="40" spans="23:65" x14ac:dyDescent="0.35">
      <c r="AS40">
        <v>0.46350055564897102</v>
      </c>
      <c r="AV40">
        <v>0</v>
      </c>
    </row>
    <row r="41" spans="23:65" x14ac:dyDescent="0.35">
      <c r="AU41">
        <v>0.49645535823409298</v>
      </c>
      <c r="AX41">
        <v>0</v>
      </c>
    </row>
    <row r="42" spans="23:65" x14ac:dyDescent="0.35">
      <c r="AZ42">
        <v>0</v>
      </c>
    </row>
    <row r="43" spans="23:65" x14ac:dyDescent="0.35">
      <c r="AW43">
        <v>0.53129739102791695</v>
      </c>
      <c r="AY43">
        <v>0.56651710605897099</v>
      </c>
      <c r="BA43">
        <v>0.60051617754702102</v>
      </c>
      <c r="BC43">
        <v>0.63365137934904503</v>
      </c>
      <c r="BE43">
        <v>0.66535750611484601</v>
      </c>
      <c r="BG43">
        <v>0.69527357475157303</v>
      </c>
      <c r="BI43">
        <v>0.72463432923058402</v>
      </c>
      <c r="BK43">
        <v>0.75270077991929696</v>
      </c>
      <c r="BM43">
        <v>0.77756968355702205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8" ma:contentTypeDescription="Create a new document." ma:contentTypeScope="" ma:versionID="c4513e3ccaf786399b0dae0051b71e96">
  <xsd:schema xmlns:xsd="http://www.w3.org/2001/XMLSchema" xmlns:xs="http://www.w3.org/2001/XMLSchema" xmlns:p="http://schemas.microsoft.com/office/2006/metadata/properties" xmlns:ns3="a21de7b9-cad9-43f2-8459-9b1b4f9894e2" xmlns:ns4="d0ad2d52-4869-465d-a93a-001fa21a593d" targetNamespace="http://schemas.microsoft.com/office/2006/metadata/properties" ma:root="true" ma:fieldsID="0b4e40db0f3acf50de997b99c03e42e5" ns3:_="" ns4:_="">
    <xsd:import namespace="a21de7b9-cad9-43f2-8459-9b1b4f9894e2"/>
    <xsd:import namespace="d0ad2d52-4869-465d-a93a-001fa21a59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de7b9-cad9-43f2-8459-9b1b4f9894e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79D4DF-2B34-48F7-9837-BA0CF51C5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de7b9-cad9-43f2-8459-9b1b4f9894e2"/>
    <ds:schemaRef ds:uri="d0ad2d52-4869-465d-a93a-001fa21a59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515681-37A0-4B7B-8138-2FB025CAB275}">
  <ds:schemaRefs>
    <ds:schemaRef ds:uri="http://purl.org/dc/elements/1.1/"/>
    <ds:schemaRef ds:uri="http://schemas.microsoft.com/office/2006/documentManagement/types"/>
    <ds:schemaRef ds:uri="http://www.w3.org/XML/1998/namespace"/>
    <ds:schemaRef ds:uri="d0ad2d52-4869-465d-a93a-001fa21a593d"/>
    <ds:schemaRef ds:uri="http://schemas.microsoft.com/office/2006/metadata/properties"/>
    <ds:schemaRef ds:uri="http://purl.org/dc/terms/"/>
    <ds:schemaRef ds:uri="http://purl.org/dc/dcmitype/"/>
    <ds:schemaRef ds:uri="a21de7b9-cad9-43f2-8459-9b1b4f9894e2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A7CFA7FF-11B7-4E5B-B7D8-896866F8F3D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GRAPHS</vt:lpstr>
      <vt:lpstr>_markers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millar</dc:creator>
  <cp:lastModifiedBy>Chabod Masere</cp:lastModifiedBy>
  <dcterms:created xsi:type="dcterms:W3CDTF">2016-10-11T01:12:02Z</dcterms:created>
  <dcterms:modified xsi:type="dcterms:W3CDTF">2026-04-24T09:34:40Z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