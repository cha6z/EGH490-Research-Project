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061bcffd0d95ffa/Desktop/simulation5/"/>
    </mc:Choice>
  </mc:AlternateContent>
  <xr:revisionPtr revIDLastSave="556" documentId="8_{E0388BC3-721D-4490-9BE4-A6341E7DD428}" xr6:coauthVersionLast="47" xr6:coauthVersionMax="47" xr10:uidLastSave="{1B3EA93D-5CAF-4C17-83BD-E141C580321F}"/>
  <bookViews>
    <workbookView xWindow="-110" yWindow="-110" windowWidth="25820" windowHeight="15500" activeTab="1" xr2:uid="{00000000-000D-0000-FFFF-FFFF00000000}"/>
  </bookViews>
  <sheets>
    <sheet name="DATA" sheetId="5" r:id="rId1"/>
    <sheet name="GRAPHS" sheetId="6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9" i="5" l="1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L273" i="5"/>
  <c r="L293" i="5"/>
  <c r="L294" i="5"/>
  <c r="L393" i="5"/>
  <c r="L433" i="5"/>
  <c r="L434" i="5"/>
  <c r="L446" i="5"/>
  <c r="K253" i="5"/>
  <c r="K274" i="5"/>
  <c r="K413" i="5"/>
  <c r="J179" i="5"/>
  <c r="J180" i="5"/>
  <c r="J181" i="5"/>
  <c r="J182" i="5"/>
  <c r="J183" i="5"/>
  <c r="J184" i="5"/>
  <c r="J185" i="5"/>
  <c r="J186" i="5"/>
  <c r="J187" i="5"/>
  <c r="K187" i="5" s="1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L207" i="5" s="1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K247" i="5" s="1"/>
  <c r="J248" i="5"/>
  <c r="K248" i="5" s="1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K407" i="5" s="1"/>
  <c r="J408" i="5"/>
  <c r="K408" i="5" s="1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I179" i="5"/>
  <c r="I180" i="5"/>
  <c r="K180" i="5" s="1"/>
  <c r="I181" i="5"/>
  <c r="K181" i="5" s="1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L414" i="5" s="1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L193" i="5" s="1"/>
  <c r="H194" i="5"/>
  <c r="L194" i="5" s="1"/>
  <c r="H195" i="5"/>
  <c r="H196" i="5"/>
  <c r="H197" i="5"/>
  <c r="H198" i="5"/>
  <c r="L198" i="5" s="1"/>
  <c r="H199" i="5"/>
  <c r="K199" i="5" s="1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K213" i="5" s="1"/>
  <c r="H214" i="5"/>
  <c r="L214" i="5" s="1"/>
  <c r="H215" i="5"/>
  <c r="H216" i="5"/>
  <c r="H217" i="5"/>
  <c r="H218" i="5"/>
  <c r="L218" i="5" s="1"/>
  <c r="H219" i="5"/>
  <c r="K219" i="5" s="1"/>
  <c r="H220" i="5"/>
  <c r="L220" i="5" s="1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L233" i="5" s="1"/>
  <c r="H234" i="5"/>
  <c r="L234" i="5" s="1"/>
  <c r="H235" i="5"/>
  <c r="H236" i="5"/>
  <c r="H237" i="5"/>
  <c r="H238" i="5"/>
  <c r="H239" i="5"/>
  <c r="K239" i="5" s="1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L253" i="5" s="1"/>
  <c r="H254" i="5"/>
  <c r="L254" i="5" s="1"/>
  <c r="H255" i="5"/>
  <c r="H256" i="5"/>
  <c r="H257" i="5"/>
  <c r="H258" i="5"/>
  <c r="L258" i="5" s="1"/>
  <c r="H259" i="5"/>
  <c r="K259" i="5" s="1"/>
  <c r="H260" i="5"/>
  <c r="K260" i="5" s="1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K273" i="5" s="1"/>
  <c r="H274" i="5"/>
  <c r="L274" i="5" s="1"/>
  <c r="H275" i="5"/>
  <c r="H276" i="5"/>
  <c r="H277" i="5"/>
  <c r="H278" i="5"/>
  <c r="L278" i="5" s="1"/>
  <c r="H279" i="5"/>
  <c r="K279" i="5" s="1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K299" i="5" s="1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K313" i="5" s="1"/>
  <c r="H314" i="5"/>
  <c r="K314" i="5" s="1"/>
  <c r="H315" i="5"/>
  <c r="H316" i="5"/>
  <c r="H317" i="5"/>
  <c r="H318" i="5"/>
  <c r="L318" i="5" s="1"/>
  <c r="H319" i="5"/>
  <c r="K319" i="5" s="1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L333" i="5" s="1"/>
  <c r="H334" i="5"/>
  <c r="L334" i="5" s="1"/>
  <c r="H335" i="5"/>
  <c r="H336" i="5"/>
  <c r="H337" i="5"/>
  <c r="H338" i="5"/>
  <c r="L338" i="5" s="1"/>
  <c r="H339" i="5"/>
  <c r="L339" i="5" s="1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L353" i="5" s="1"/>
  <c r="H354" i="5"/>
  <c r="L354" i="5" s="1"/>
  <c r="H355" i="5"/>
  <c r="H356" i="5"/>
  <c r="H357" i="5"/>
  <c r="H358" i="5"/>
  <c r="H359" i="5"/>
  <c r="K359" i="5" s="1"/>
  <c r="H360" i="5"/>
  <c r="H361" i="5"/>
  <c r="K361" i="5" s="1"/>
  <c r="H362" i="5"/>
  <c r="H363" i="5"/>
  <c r="H364" i="5"/>
  <c r="H365" i="5"/>
  <c r="H366" i="5"/>
  <c r="H367" i="5"/>
  <c r="H368" i="5"/>
  <c r="H369" i="5"/>
  <c r="H370" i="5"/>
  <c r="H371" i="5"/>
  <c r="H372" i="5"/>
  <c r="H373" i="5"/>
  <c r="K373" i="5" s="1"/>
  <c r="H374" i="5"/>
  <c r="L374" i="5" s="1"/>
  <c r="H375" i="5"/>
  <c r="H376" i="5"/>
  <c r="H377" i="5"/>
  <c r="H378" i="5"/>
  <c r="L378" i="5" s="1"/>
  <c r="H379" i="5"/>
  <c r="K379" i="5" s="1"/>
  <c r="H380" i="5"/>
  <c r="L380" i="5" s="1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K393" i="5" s="1"/>
  <c r="H394" i="5"/>
  <c r="L394" i="5" s="1"/>
  <c r="H395" i="5"/>
  <c r="H396" i="5"/>
  <c r="H397" i="5"/>
  <c r="H398" i="5"/>
  <c r="H399" i="5"/>
  <c r="L399" i="5" s="1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L413" i="5" s="1"/>
  <c r="H414" i="5"/>
  <c r="H415" i="5"/>
  <c r="H416" i="5"/>
  <c r="H417" i="5"/>
  <c r="H418" i="5"/>
  <c r="H419" i="5"/>
  <c r="L419" i="5" s="1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K433" i="5" s="1"/>
  <c r="H434" i="5"/>
  <c r="H435" i="5"/>
  <c r="H436" i="5"/>
  <c r="H437" i="5"/>
  <c r="H438" i="5"/>
  <c r="L438" i="5" s="1"/>
  <c r="H439" i="5"/>
  <c r="K439" i="5" s="1"/>
  <c r="H440" i="5"/>
  <c r="L440" i="5" s="1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L459" i="5" s="1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K473" i="5" s="1"/>
  <c r="H474" i="5"/>
  <c r="K474" i="5" s="1"/>
  <c r="H475" i="5"/>
  <c r="H476" i="5"/>
  <c r="H477" i="5"/>
  <c r="H478" i="5"/>
  <c r="H479" i="5"/>
  <c r="K479" i="5" s="1"/>
  <c r="H480" i="5"/>
  <c r="H481" i="5"/>
  <c r="H482" i="5"/>
  <c r="H483" i="5"/>
  <c r="H484" i="5"/>
  <c r="H179" i="5"/>
  <c r="H180" i="5"/>
  <c r="H181" i="5"/>
  <c r="G179" i="5"/>
  <c r="G180" i="5"/>
  <c r="G181" i="5"/>
  <c r="G182" i="5"/>
  <c r="G183" i="5"/>
  <c r="G184" i="5"/>
  <c r="G185" i="5"/>
  <c r="K185" i="5" s="1"/>
  <c r="G186" i="5"/>
  <c r="G187" i="5"/>
  <c r="G188" i="5"/>
  <c r="G189" i="5"/>
  <c r="G190" i="5"/>
  <c r="G191" i="5"/>
  <c r="G192" i="5"/>
  <c r="L192" i="5" s="1"/>
  <c r="G193" i="5"/>
  <c r="G194" i="5"/>
  <c r="G195" i="5"/>
  <c r="G196" i="5"/>
  <c r="G197" i="5"/>
  <c r="G198" i="5"/>
  <c r="G199" i="5"/>
  <c r="G200" i="5"/>
  <c r="K200" i="5" s="1"/>
  <c r="G201" i="5"/>
  <c r="K201" i="5" s="1"/>
  <c r="G202" i="5"/>
  <c r="G203" i="5"/>
  <c r="G204" i="5"/>
  <c r="G205" i="5"/>
  <c r="K205" i="5" s="1"/>
  <c r="G206" i="5"/>
  <c r="G207" i="5"/>
  <c r="G208" i="5"/>
  <c r="G209" i="5"/>
  <c r="G210" i="5"/>
  <c r="G211" i="5"/>
  <c r="G212" i="5"/>
  <c r="L212" i="5" s="1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K225" i="5" s="1"/>
  <c r="G226" i="5"/>
  <c r="G227" i="5"/>
  <c r="G228" i="5"/>
  <c r="G229" i="5"/>
  <c r="G230" i="5"/>
  <c r="G231" i="5"/>
  <c r="G232" i="5"/>
  <c r="L232" i="5" s="1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K245" i="5" s="1"/>
  <c r="G246" i="5"/>
  <c r="G247" i="5"/>
  <c r="G248" i="5"/>
  <c r="G249" i="5"/>
  <c r="G250" i="5"/>
  <c r="G251" i="5"/>
  <c r="G252" i="5"/>
  <c r="L252" i="5" s="1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K265" i="5" s="1"/>
  <c r="G266" i="5"/>
  <c r="L266" i="5" s="1"/>
  <c r="G267" i="5"/>
  <c r="K267" i="5" s="1"/>
  <c r="G268" i="5"/>
  <c r="G269" i="5"/>
  <c r="G270" i="5"/>
  <c r="G271" i="5"/>
  <c r="G272" i="5"/>
  <c r="L272" i="5" s="1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K285" i="5" s="1"/>
  <c r="G286" i="5"/>
  <c r="G287" i="5"/>
  <c r="G288" i="5"/>
  <c r="G289" i="5"/>
  <c r="G290" i="5"/>
  <c r="G291" i="5"/>
  <c r="G292" i="5"/>
  <c r="L292" i="5" s="1"/>
  <c r="G293" i="5"/>
  <c r="K293" i="5" s="1"/>
  <c r="G294" i="5"/>
  <c r="K294" i="5" s="1"/>
  <c r="G295" i="5"/>
  <c r="G296" i="5"/>
  <c r="G297" i="5"/>
  <c r="G298" i="5"/>
  <c r="G299" i="5"/>
  <c r="G300" i="5"/>
  <c r="G301" i="5"/>
  <c r="G302" i="5"/>
  <c r="G303" i="5"/>
  <c r="G304" i="5"/>
  <c r="G305" i="5"/>
  <c r="K305" i="5" s="1"/>
  <c r="G306" i="5"/>
  <c r="G307" i="5"/>
  <c r="K307" i="5" s="1"/>
  <c r="G308" i="5"/>
  <c r="K308" i="5" s="1"/>
  <c r="G309" i="5"/>
  <c r="G310" i="5"/>
  <c r="G311" i="5"/>
  <c r="G312" i="5"/>
  <c r="L312" i="5" s="1"/>
  <c r="G313" i="5"/>
  <c r="L313" i="5" s="1"/>
  <c r="G314" i="5"/>
  <c r="L314" i="5" s="1"/>
  <c r="G315" i="5"/>
  <c r="G316" i="5"/>
  <c r="G317" i="5"/>
  <c r="G318" i="5"/>
  <c r="G319" i="5"/>
  <c r="G320" i="5"/>
  <c r="L320" i="5" s="1"/>
  <c r="G321" i="5"/>
  <c r="G322" i="5"/>
  <c r="G323" i="5"/>
  <c r="G324" i="5"/>
  <c r="G325" i="5"/>
  <c r="K325" i="5" s="1"/>
  <c r="G326" i="5"/>
  <c r="L326" i="5" s="1"/>
  <c r="G327" i="5"/>
  <c r="L327" i="5" s="1"/>
  <c r="G328" i="5"/>
  <c r="G329" i="5"/>
  <c r="G330" i="5"/>
  <c r="G331" i="5"/>
  <c r="G332" i="5"/>
  <c r="L332" i="5" s="1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K345" i="5" s="1"/>
  <c r="G346" i="5"/>
  <c r="G347" i="5"/>
  <c r="G348" i="5"/>
  <c r="G349" i="5"/>
  <c r="G350" i="5"/>
  <c r="G351" i="5"/>
  <c r="G352" i="5"/>
  <c r="L352" i="5" s="1"/>
  <c r="G353" i="5"/>
  <c r="G354" i="5"/>
  <c r="G355" i="5"/>
  <c r="G356" i="5"/>
  <c r="G357" i="5"/>
  <c r="G358" i="5"/>
  <c r="G359" i="5"/>
  <c r="G360" i="5"/>
  <c r="K360" i="5" s="1"/>
  <c r="G361" i="5"/>
  <c r="G362" i="5"/>
  <c r="G363" i="5"/>
  <c r="G364" i="5"/>
  <c r="G365" i="5"/>
  <c r="K365" i="5" s="1"/>
  <c r="G366" i="5"/>
  <c r="G367" i="5"/>
  <c r="K367" i="5" s="1"/>
  <c r="G368" i="5"/>
  <c r="K368" i="5" s="1"/>
  <c r="G369" i="5"/>
  <c r="G370" i="5"/>
  <c r="G371" i="5"/>
  <c r="G372" i="5"/>
  <c r="L372" i="5" s="1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K385" i="5" s="1"/>
  <c r="G386" i="5"/>
  <c r="L386" i="5" s="1"/>
  <c r="G387" i="5"/>
  <c r="L387" i="5" s="1"/>
  <c r="G388" i="5"/>
  <c r="G389" i="5"/>
  <c r="G390" i="5"/>
  <c r="G391" i="5"/>
  <c r="G392" i="5"/>
  <c r="L392" i="5" s="1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K405" i="5" s="1"/>
  <c r="G406" i="5"/>
  <c r="G407" i="5"/>
  <c r="G408" i="5"/>
  <c r="G409" i="5"/>
  <c r="G410" i="5"/>
  <c r="G411" i="5"/>
  <c r="G412" i="5"/>
  <c r="L412" i="5" s="1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K425" i="5" s="1"/>
  <c r="G426" i="5"/>
  <c r="G427" i="5"/>
  <c r="G428" i="5"/>
  <c r="G429" i="5"/>
  <c r="G430" i="5"/>
  <c r="G431" i="5"/>
  <c r="G432" i="5"/>
  <c r="L432" i="5" s="1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K445" i="5" s="1"/>
  <c r="G446" i="5"/>
  <c r="G447" i="5"/>
  <c r="G448" i="5"/>
  <c r="G449" i="5"/>
  <c r="G450" i="5"/>
  <c r="G451" i="5"/>
  <c r="G452" i="5"/>
  <c r="L452" i="5" s="1"/>
  <c r="G453" i="5"/>
  <c r="L453" i="5" s="1"/>
  <c r="G454" i="5"/>
  <c r="K454" i="5" s="1"/>
  <c r="G455" i="5"/>
  <c r="G456" i="5"/>
  <c r="G457" i="5"/>
  <c r="G458" i="5"/>
  <c r="G459" i="5"/>
  <c r="G460" i="5"/>
  <c r="K460" i="5" s="1"/>
  <c r="G461" i="5"/>
  <c r="K461" i="5" s="1"/>
  <c r="G462" i="5"/>
  <c r="G463" i="5"/>
  <c r="G464" i="5"/>
  <c r="G465" i="5"/>
  <c r="K465" i="5" s="1"/>
  <c r="G466" i="5"/>
  <c r="G467" i="5"/>
  <c r="K467" i="5" s="1"/>
  <c r="G468" i="5"/>
  <c r="K468" i="5" s="1"/>
  <c r="G469" i="5"/>
  <c r="G470" i="5"/>
  <c r="G471" i="5"/>
  <c r="G472" i="5"/>
  <c r="L472" i="5" s="1"/>
  <c r="G473" i="5"/>
  <c r="G474" i="5"/>
  <c r="G475" i="5"/>
  <c r="G476" i="5"/>
  <c r="G477" i="5"/>
  <c r="G478" i="5"/>
  <c r="G479" i="5"/>
  <c r="G480" i="5"/>
  <c r="G481" i="5"/>
  <c r="G482" i="5"/>
  <c r="G483" i="5"/>
  <c r="G484" i="5"/>
  <c r="T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S2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K419" i="5" l="1"/>
  <c r="K292" i="5"/>
  <c r="K414" i="5"/>
  <c r="K188" i="5"/>
  <c r="K272" i="5"/>
  <c r="L279" i="5"/>
  <c r="L480" i="5"/>
  <c r="L460" i="5"/>
  <c r="K440" i="5"/>
  <c r="K420" i="5"/>
  <c r="L400" i="5"/>
  <c r="K380" i="5"/>
  <c r="L360" i="5"/>
  <c r="L340" i="5"/>
  <c r="K320" i="5"/>
  <c r="K300" i="5"/>
  <c r="L280" i="5"/>
  <c r="L260" i="5"/>
  <c r="K240" i="5"/>
  <c r="K220" i="5"/>
  <c r="L200" i="5"/>
  <c r="L426" i="5"/>
  <c r="L406" i="5"/>
  <c r="L366" i="5"/>
  <c r="L206" i="5"/>
  <c r="K394" i="5"/>
  <c r="K254" i="5"/>
  <c r="L187" i="5"/>
  <c r="K374" i="5"/>
  <c r="K252" i="5"/>
  <c r="L267" i="5"/>
  <c r="K234" i="5"/>
  <c r="K392" i="5"/>
  <c r="L373" i="5"/>
  <c r="L247" i="5"/>
  <c r="L227" i="5"/>
  <c r="K207" i="5"/>
  <c r="K354" i="5"/>
  <c r="K412" i="5"/>
  <c r="K428" i="5"/>
  <c r="K388" i="5"/>
  <c r="K288" i="5"/>
  <c r="K228" i="5"/>
  <c r="K208" i="5"/>
  <c r="L213" i="5"/>
  <c r="K372" i="5"/>
  <c r="L454" i="5"/>
  <c r="K214" i="5"/>
  <c r="K353" i="5"/>
  <c r="L219" i="5"/>
  <c r="L478" i="5"/>
  <c r="L298" i="5"/>
  <c r="L346" i="5"/>
  <c r="L306" i="5"/>
  <c r="K312" i="5"/>
  <c r="K194" i="5"/>
  <c r="K352" i="5"/>
  <c r="K212" i="5"/>
  <c r="L458" i="5"/>
  <c r="L418" i="5"/>
  <c r="L358" i="5"/>
  <c r="L246" i="5"/>
  <c r="K179" i="5"/>
  <c r="L465" i="5"/>
  <c r="L445" i="5"/>
  <c r="L425" i="5"/>
  <c r="L405" i="5"/>
  <c r="L385" i="5"/>
  <c r="L365" i="5"/>
  <c r="L345" i="5"/>
  <c r="L325" i="5"/>
  <c r="L305" i="5"/>
  <c r="L285" i="5"/>
  <c r="L265" i="5"/>
  <c r="L245" i="5"/>
  <c r="L225" i="5"/>
  <c r="L205" i="5"/>
  <c r="L185" i="5"/>
  <c r="K334" i="5"/>
  <c r="K193" i="5"/>
  <c r="K481" i="5"/>
  <c r="K441" i="5"/>
  <c r="K421" i="5"/>
  <c r="K401" i="5"/>
  <c r="K381" i="5"/>
  <c r="K341" i="5"/>
  <c r="K321" i="5"/>
  <c r="K301" i="5"/>
  <c r="K281" i="5"/>
  <c r="K261" i="5"/>
  <c r="K241" i="5"/>
  <c r="K221" i="5"/>
  <c r="K192" i="5"/>
  <c r="L467" i="5"/>
  <c r="K447" i="5"/>
  <c r="K427" i="5"/>
  <c r="L407" i="5"/>
  <c r="K387" i="5"/>
  <c r="L367" i="5"/>
  <c r="L347" i="5"/>
  <c r="K327" i="5"/>
  <c r="L307" i="5"/>
  <c r="L287" i="5"/>
  <c r="K453" i="5"/>
  <c r="K333" i="5"/>
  <c r="K233" i="5"/>
  <c r="K472" i="5"/>
  <c r="K432" i="5"/>
  <c r="K332" i="5"/>
  <c r="K232" i="5"/>
  <c r="L474" i="5"/>
  <c r="K434" i="5"/>
  <c r="L238" i="5"/>
  <c r="L180" i="5"/>
  <c r="L466" i="5"/>
  <c r="L286" i="5"/>
  <c r="L226" i="5"/>
  <c r="L186" i="5"/>
  <c r="K452" i="5"/>
  <c r="L447" i="5"/>
  <c r="K470" i="5"/>
  <c r="L470" i="5"/>
  <c r="K410" i="5"/>
  <c r="L410" i="5"/>
  <c r="K330" i="5"/>
  <c r="L330" i="5"/>
  <c r="K230" i="5"/>
  <c r="L230" i="5"/>
  <c r="L439" i="5"/>
  <c r="K409" i="5"/>
  <c r="L409" i="5"/>
  <c r="K329" i="5"/>
  <c r="L329" i="5"/>
  <c r="K249" i="5"/>
  <c r="L249" i="5"/>
  <c r="L408" i="5"/>
  <c r="L328" i="5"/>
  <c r="L248" i="5"/>
  <c r="L319" i="5"/>
  <c r="K400" i="5"/>
  <c r="L259" i="5"/>
  <c r="K426" i="5"/>
  <c r="K366" i="5"/>
  <c r="K286" i="5"/>
  <c r="K206" i="5"/>
  <c r="K399" i="5"/>
  <c r="L484" i="5"/>
  <c r="K484" i="5"/>
  <c r="L444" i="5"/>
  <c r="K444" i="5"/>
  <c r="L404" i="5"/>
  <c r="K404" i="5"/>
  <c r="L364" i="5"/>
  <c r="K364" i="5"/>
  <c r="L324" i="5"/>
  <c r="K324" i="5"/>
  <c r="L284" i="5"/>
  <c r="K284" i="5"/>
  <c r="L244" i="5"/>
  <c r="K244" i="5"/>
  <c r="L204" i="5"/>
  <c r="K204" i="5"/>
  <c r="L420" i="5"/>
  <c r="L483" i="5"/>
  <c r="K483" i="5"/>
  <c r="L443" i="5"/>
  <c r="K443" i="5"/>
  <c r="L423" i="5"/>
  <c r="K423" i="5"/>
  <c r="L403" i="5"/>
  <c r="K403" i="5"/>
  <c r="L363" i="5"/>
  <c r="K363" i="5"/>
  <c r="L323" i="5"/>
  <c r="K323" i="5"/>
  <c r="L283" i="5"/>
  <c r="K283" i="5"/>
  <c r="L243" i="5"/>
  <c r="K243" i="5"/>
  <c r="L203" i="5"/>
  <c r="K203" i="5"/>
  <c r="K287" i="5"/>
  <c r="L482" i="5"/>
  <c r="K482" i="5"/>
  <c r="L462" i="5"/>
  <c r="K462" i="5"/>
  <c r="L442" i="5"/>
  <c r="K442" i="5"/>
  <c r="L422" i="5"/>
  <c r="K422" i="5"/>
  <c r="L402" i="5"/>
  <c r="K402" i="5"/>
  <c r="L382" i="5"/>
  <c r="K382" i="5"/>
  <c r="L362" i="5"/>
  <c r="K362" i="5"/>
  <c r="L342" i="5"/>
  <c r="K342" i="5"/>
  <c r="L322" i="5"/>
  <c r="K322" i="5"/>
  <c r="L302" i="5"/>
  <c r="K302" i="5"/>
  <c r="L282" i="5"/>
  <c r="K282" i="5"/>
  <c r="L262" i="5"/>
  <c r="K262" i="5"/>
  <c r="L242" i="5"/>
  <c r="K242" i="5"/>
  <c r="L222" i="5"/>
  <c r="K222" i="5"/>
  <c r="L202" i="5"/>
  <c r="K202" i="5"/>
  <c r="L182" i="5"/>
  <c r="K182" i="5"/>
  <c r="K471" i="5"/>
  <c r="L471" i="5"/>
  <c r="K451" i="5"/>
  <c r="L451" i="5"/>
  <c r="K431" i="5"/>
  <c r="L431" i="5"/>
  <c r="K411" i="5"/>
  <c r="L411" i="5"/>
  <c r="K391" i="5"/>
  <c r="L391" i="5"/>
  <c r="K371" i="5"/>
  <c r="L371" i="5"/>
  <c r="K351" i="5"/>
  <c r="L351" i="5"/>
  <c r="K331" i="5"/>
  <c r="L331" i="5"/>
  <c r="K311" i="5"/>
  <c r="L311" i="5"/>
  <c r="K291" i="5"/>
  <c r="L291" i="5"/>
  <c r="K271" i="5"/>
  <c r="L271" i="5"/>
  <c r="K251" i="5"/>
  <c r="L251" i="5"/>
  <c r="K231" i="5"/>
  <c r="L231" i="5"/>
  <c r="K211" i="5"/>
  <c r="L211" i="5"/>
  <c r="K191" i="5"/>
  <c r="L191" i="5"/>
  <c r="K339" i="5"/>
  <c r="K227" i="5"/>
  <c r="L359" i="5"/>
  <c r="L300" i="5"/>
  <c r="L481" i="5"/>
  <c r="L461" i="5"/>
  <c r="L441" i="5"/>
  <c r="L421" i="5"/>
  <c r="L401" i="5"/>
  <c r="L381" i="5"/>
  <c r="L361" i="5"/>
  <c r="L341" i="5"/>
  <c r="L321" i="5"/>
  <c r="L301" i="5"/>
  <c r="L281" i="5"/>
  <c r="L261" i="5"/>
  <c r="L241" i="5"/>
  <c r="L221" i="5"/>
  <c r="L201" i="5"/>
  <c r="L181" i="5"/>
  <c r="K280" i="5"/>
  <c r="L473" i="5"/>
  <c r="L299" i="5"/>
  <c r="L240" i="5"/>
  <c r="K430" i="5"/>
  <c r="L430" i="5"/>
  <c r="K350" i="5"/>
  <c r="L350" i="5"/>
  <c r="K270" i="5"/>
  <c r="L270" i="5"/>
  <c r="K190" i="5"/>
  <c r="L190" i="5"/>
  <c r="K429" i="5"/>
  <c r="L429" i="5"/>
  <c r="K349" i="5"/>
  <c r="L349" i="5"/>
  <c r="K269" i="5"/>
  <c r="L269" i="5"/>
  <c r="K189" i="5"/>
  <c r="L189" i="5"/>
  <c r="L379" i="5"/>
  <c r="L448" i="5"/>
  <c r="L348" i="5"/>
  <c r="L268" i="5"/>
  <c r="L188" i="5"/>
  <c r="K446" i="5"/>
  <c r="K346" i="5"/>
  <c r="K266" i="5"/>
  <c r="K186" i="5"/>
  <c r="L427" i="5"/>
  <c r="L199" i="5"/>
  <c r="L464" i="5"/>
  <c r="K464" i="5"/>
  <c r="L424" i="5"/>
  <c r="K424" i="5"/>
  <c r="L384" i="5"/>
  <c r="K384" i="5"/>
  <c r="L344" i="5"/>
  <c r="K344" i="5"/>
  <c r="L304" i="5"/>
  <c r="K304" i="5"/>
  <c r="L264" i="5"/>
  <c r="K264" i="5"/>
  <c r="L224" i="5"/>
  <c r="K224" i="5"/>
  <c r="L184" i="5"/>
  <c r="K184" i="5"/>
  <c r="L479" i="5"/>
  <c r="L463" i="5"/>
  <c r="K463" i="5"/>
  <c r="L383" i="5"/>
  <c r="K383" i="5"/>
  <c r="L343" i="5"/>
  <c r="K343" i="5"/>
  <c r="L303" i="5"/>
  <c r="K303" i="5"/>
  <c r="L263" i="5"/>
  <c r="K263" i="5"/>
  <c r="L223" i="5"/>
  <c r="K223" i="5"/>
  <c r="L183" i="5"/>
  <c r="K183" i="5"/>
  <c r="K340" i="5"/>
  <c r="L239" i="5"/>
  <c r="K480" i="5"/>
  <c r="L179" i="5"/>
  <c r="K450" i="5"/>
  <c r="L450" i="5"/>
  <c r="K370" i="5"/>
  <c r="L370" i="5"/>
  <c r="K290" i="5"/>
  <c r="L290" i="5"/>
  <c r="K210" i="5"/>
  <c r="L210" i="5"/>
  <c r="K459" i="5"/>
  <c r="K469" i="5"/>
  <c r="L469" i="5"/>
  <c r="K389" i="5"/>
  <c r="L389" i="5"/>
  <c r="K309" i="5"/>
  <c r="L309" i="5"/>
  <c r="K229" i="5"/>
  <c r="L229" i="5"/>
  <c r="L468" i="5"/>
  <c r="L388" i="5"/>
  <c r="L308" i="5"/>
  <c r="L228" i="5"/>
  <c r="K466" i="5"/>
  <c r="K386" i="5"/>
  <c r="K306" i="5"/>
  <c r="K226" i="5"/>
  <c r="K448" i="5"/>
  <c r="K348" i="5"/>
  <c r="K347" i="5"/>
  <c r="K478" i="5"/>
  <c r="K438" i="5"/>
  <c r="K398" i="5"/>
  <c r="K358" i="5"/>
  <c r="K318" i="5"/>
  <c r="K278" i="5"/>
  <c r="K238" i="5"/>
  <c r="K198" i="5"/>
  <c r="K328" i="5"/>
  <c r="L457" i="5"/>
  <c r="K457" i="5"/>
  <c r="L417" i="5"/>
  <c r="K417" i="5"/>
  <c r="L377" i="5"/>
  <c r="K377" i="5"/>
  <c r="L337" i="5"/>
  <c r="K337" i="5"/>
  <c r="L297" i="5"/>
  <c r="K297" i="5"/>
  <c r="L257" i="5"/>
  <c r="K257" i="5"/>
  <c r="L217" i="5"/>
  <c r="K217" i="5"/>
  <c r="L456" i="5"/>
  <c r="K456" i="5"/>
  <c r="L416" i="5"/>
  <c r="K416" i="5"/>
  <c r="L376" i="5"/>
  <c r="K376" i="5"/>
  <c r="L336" i="5"/>
  <c r="K336" i="5"/>
  <c r="L296" i="5"/>
  <c r="K296" i="5"/>
  <c r="L256" i="5"/>
  <c r="K256" i="5"/>
  <c r="L216" i="5"/>
  <c r="K216" i="5"/>
  <c r="L196" i="5"/>
  <c r="K196" i="5"/>
  <c r="K390" i="5"/>
  <c r="L390" i="5"/>
  <c r="K310" i="5"/>
  <c r="L310" i="5"/>
  <c r="K250" i="5"/>
  <c r="L250" i="5"/>
  <c r="K449" i="5"/>
  <c r="L449" i="5"/>
  <c r="K369" i="5"/>
  <c r="L369" i="5"/>
  <c r="K289" i="5"/>
  <c r="L289" i="5"/>
  <c r="K209" i="5"/>
  <c r="L209" i="5"/>
  <c r="L428" i="5"/>
  <c r="L368" i="5"/>
  <c r="L288" i="5"/>
  <c r="L208" i="5"/>
  <c r="K406" i="5"/>
  <c r="K326" i="5"/>
  <c r="K246" i="5"/>
  <c r="K458" i="5"/>
  <c r="K418" i="5"/>
  <c r="K378" i="5"/>
  <c r="K338" i="5"/>
  <c r="K298" i="5"/>
  <c r="K258" i="5"/>
  <c r="K218" i="5"/>
  <c r="L477" i="5"/>
  <c r="K477" i="5"/>
  <c r="L437" i="5"/>
  <c r="K437" i="5"/>
  <c r="L397" i="5"/>
  <c r="K397" i="5"/>
  <c r="L357" i="5"/>
  <c r="K357" i="5"/>
  <c r="L317" i="5"/>
  <c r="K317" i="5"/>
  <c r="L277" i="5"/>
  <c r="K277" i="5"/>
  <c r="L237" i="5"/>
  <c r="K237" i="5"/>
  <c r="L197" i="5"/>
  <c r="K197" i="5"/>
  <c r="K268" i="5"/>
  <c r="L476" i="5"/>
  <c r="K476" i="5"/>
  <c r="L436" i="5"/>
  <c r="K436" i="5"/>
  <c r="L396" i="5"/>
  <c r="K396" i="5"/>
  <c r="L356" i="5"/>
  <c r="K356" i="5"/>
  <c r="L316" i="5"/>
  <c r="K316" i="5"/>
  <c r="L276" i="5"/>
  <c r="K276" i="5"/>
  <c r="L236" i="5"/>
  <c r="K236" i="5"/>
  <c r="L475" i="5"/>
  <c r="K475" i="5"/>
  <c r="L455" i="5"/>
  <c r="K455" i="5"/>
  <c r="L435" i="5"/>
  <c r="K435" i="5"/>
  <c r="L415" i="5"/>
  <c r="K415" i="5"/>
  <c r="L395" i="5"/>
  <c r="K395" i="5"/>
  <c r="L375" i="5"/>
  <c r="K375" i="5"/>
  <c r="L355" i="5"/>
  <c r="K355" i="5"/>
  <c r="L335" i="5"/>
  <c r="K335" i="5"/>
  <c r="L315" i="5"/>
  <c r="K315" i="5"/>
  <c r="L295" i="5"/>
  <c r="K295" i="5"/>
  <c r="L275" i="5"/>
  <c r="K275" i="5"/>
  <c r="L255" i="5"/>
  <c r="K255" i="5"/>
  <c r="L235" i="5"/>
  <c r="K235" i="5"/>
  <c r="L215" i="5"/>
  <c r="K215" i="5"/>
  <c r="L195" i="5"/>
  <c r="K195" i="5"/>
  <c r="L398" i="5"/>
  <c r="N2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K2" i="5" l="1"/>
  <c r="L148" i="5"/>
  <c r="L82" i="5"/>
  <c r="L112" i="5"/>
  <c r="L118" i="5"/>
  <c r="L85" i="5"/>
  <c r="L58" i="5"/>
  <c r="K68" i="5"/>
  <c r="K18" i="5"/>
  <c r="K36" i="5"/>
  <c r="L136" i="5"/>
  <c r="L158" i="5"/>
  <c r="K160" i="5"/>
  <c r="K42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51" i="5"/>
  <c r="K153" i="5"/>
  <c r="L10" i="5"/>
  <c r="L12" i="5"/>
  <c r="L14" i="5"/>
  <c r="L65" i="5"/>
  <c r="L67" i="5"/>
  <c r="L8" i="5"/>
  <c r="K6" i="5"/>
  <c r="L16" i="5"/>
  <c r="L18" i="5"/>
  <c r="K53" i="5"/>
  <c r="K59" i="5"/>
  <c r="L142" i="5"/>
  <c r="K32" i="5"/>
  <c r="L36" i="5"/>
  <c r="K93" i="5"/>
  <c r="L166" i="5"/>
  <c r="L178" i="5"/>
  <c r="L123" i="5"/>
  <c r="L131" i="5"/>
  <c r="L135" i="5"/>
  <c r="K24" i="5"/>
  <c r="L48" i="5"/>
  <c r="K50" i="5"/>
  <c r="L56" i="5"/>
  <c r="L109" i="5"/>
  <c r="K113" i="5"/>
  <c r="L115" i="5"/>
  <c r="L121" i="5"/>
  <c r="L137" i="5"/>
  <c r="L129" i="5"/>
  <c r="K133" i="5"/>
  <c r="K44" i="5"/>
  <c r="L155" i="5"/>
  <c r="K157" i="5"/>
  <c r="K9" i="5"/>
  <c r="L88" i="5"/>
  <c r="L98" i="5"/>
  <c r="K100" i="5"/>
  <c r="L110" i="5"/>
  <c r="K112" i="5"/>
  <c r="K149" i="5"/>
  <c r="K165" i="5"/>
  <c r="K56" i="5"/>
  <c r="K161" i="5"/>
  <c r="L163" i="5"/>
  <c r="L134" i="5"/>
  <c r="K136" i="5"/>
  <c r="L157" i="5"/>
  <c r="K3" i="5"/>
  <c r="K15" i="5"/>
  <c r="K21" i="5"/>
  <c r="L49" i="5"/>
  <c r="L76" i="5"/>
  <c r="L124" i="5"/>
  <c r="K126" i="5"/>
  <c r="K132" i="5"/>
  <c r="K47" i="5"/>
  <c r="K122" i="5"/>
  <c r="L152" i="5"/>
  <c r="K154" i="5"/>
  <c r="K86" i="5"/>
  <c r="K90" i="5"/>
  <c r="K96" i="5"/>
  <c r="K129" i="5"/>
  <c r="K167" i="5"/>
  <c r="K171" i="5"/>
  <c r="K33" i="5"/>
  <c r="K92" i="5"/>
  <c r="L94" i="5"/>
  <c r="K125" i="5"/>
  <c r="L127" i="5"/>
  <c r="K131" i="5"/>
  <c r="K135" i="5"/>
  <c r="K152" i="5"/>
  <c r="K156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K123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K146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29" i="5"/>
  <c r="K34" i="5"/>
  <c r="K46" i="5"/>
  <c r="K55" i="5"/>
  <c r="K64" i="5"/>
  <c r="L75" i="5"/>
  <c r="L92" i="5"/>
  <c r="K94" i="5"/>
  <c r="K130" i="5"/>
  <c r="L41" i="5"/>
  <c r="K71" i="5"/>
  <c r="K75" i="5"/>
  <c r="L77" i="5"/>
  <c r="K79" i="5"/>
  <c r="L96" i="5"/>
  <c r="L113" i="5"/>
  <c r="K115" i="5"/>
  <c r="L132" i="5"/>
  <c r="L168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K31" i="5"/>
  <c r="L54" i="5"/>
  <c r="L63" i="5"/>
  <c r="K72" i="5"/>
  <c r="L150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K4" i="5"/>
  <c r="K37" i="5"/>
  <c r="L84" i="5"/>
  <c r="K99" i="5"/>
  <c r="L101" i="5"/>
  <c r="K103" i="5"/>
  <c r="L120" i="5"/>
  <c r="K139" i="5"/>
  <c r="L156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M2" i="5" l="1"/>
  <c r="L2" i="5" l="1"/>
</calcChain>
</file>

<file path=xl/sharedStrings.xml><?xml version="1.0" encoding="utf-8"?>
<sst xmlns="http://schemas.openxmlformats.org/spreadsheetml/2006/main" count="27" uniqueCount="27">
  <si>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</si>
  <si>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</si>
  <si>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</si>
  <si>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</si>
  <si>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</si>
  <si>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</si>
  <si>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</si>
  <si>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</si>
  <si>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</si>
  <si>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</si>
  <si>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</si>
  <si>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</si>
  <si>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</si>
  <si>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</si>
  <si>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</si>
  <si>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</si>
  <si>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Rself</t>
  </si>
  <si>
    <t>Xself</t>
  </si>
  <si>
    <t>Gself</t>
  </si>
  <si>
    <t>Bself</t>
  </si>
  <si>
    <t>Column1</t>
  </si>
  <si>
    <t>Column2</t>
  </si>
  <si>
    <t>Z</t>
  </si>
  <si>
    <t>Peak Lcav</t>
  </si>
  <si>
    <t>Peak Gself</t>
  </si>
  <si>
    <t>Bself=0 Lcav</t>
  </si>
  <si>
    <t>Bself=0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</si>
</sst>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4">
    <xf numFmtId="0" fontId="0" fillId="0" borderId="0" xfId="0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3" fillId="9" borderId="0" xfId="0" applyFont="1" applyFill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9"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DATA!$M$2:$M$22</c:f>
              <c:numCache>
                <c:formatCode>General</c:formatCode>
                <c:ptCount val="21"/>
                <c:pt idx="0">
                  <c:v>2.5942479287358699E-3</c:v>
                </c:pt>
                <c:pt idx="1">
                  <c:v>3.3895734836009799E-3</c:v>
                </c:pt>
                <c:pt idx="2">
                  <c:v>3.9243538365791803E-3</c:v>
                </c:pt>
                <c:pt idx="3">
                  <c:v>4.5685543338001896E-3</c:v>
                </c:pt>
                <c:pt idx="4">
                  <c:v>5.3298093592539899E-3</c:v>
                </c:pt>
                <c:pt idx="5">
                  <c:v>6.2102985847894299E-3</c:v>
                </c:pt>
                <c:pt idx="6">
                  <c:v>7.2084648862816396E-3</c:v>
                </c:pt>
                <c:pt idx="7">
                  <c:v>8.3153361935256898E-3</c:v>
                </c:pt>
                <c:pt idx="8">
                  <c:v>9.5044386763438894E-3</c:v>
                </c:pt>
                <c:pt idx="9">
                  <c:v>1.0712770709859499E-2</c:v>
                </c:pt>
                <c:pt idx="10">
                  <c:v>1.1842485234381301E-2</c:v>
                </c:pt>
                <c:pt idx="11">
                  <c:v>1.2765749835690701E-2</c:v>
                </c:pt>
                <c:pt idx="12">
                  <c:v>1.3388372700606501E-2</c:v>
                </c:pt>
                <c:pt idx="13">
                  <c:v>1.3589301904013799E-2</c:v>
                </c:pt>
                <c:pt idx="14">
                  <c:v>1.3434266615485701E-2</c:v>
                </c:pt>
                <c:pt idx="15">
                  <c:v>1.29801972691843E-2</c:v>
                </c:pt>
                <c:pt idx="16">
                  <c:v>1.2343530392141E-2</c:v>
                </c:pt>
                <c:pt idx="17">
                  <c:v>1.1535156850284599E-2</c:v>
                </c:pt>
                <c:pt idx="18">
                  <c:v>1.06814329362397E-2</c:v>
                </c:pt>
                <c:pt idx="19">
                  <c:v>9.8150309875726701E-3</c:v>
                </c:pt>
                <c:pt idx="20">
                  <c:v>9.4053382221917902E-3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0-4E2C-8BDF-5B9CA923635A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DATA!$N$2:$N$22</c:f>
              <c:numCache>
                <c:formatCode>General</c:formatCode>
                <c:ptCount val="21"/>
                <c:pt idx="0">
                  <c:v>-2.4116546820142598E-3</c:v>
                </c:pt>
                <c:pt idx="1">
                  <c:v>-1.8382808514704201E-3</c:v>
                </c:pt>
                <c:pt idx="2">
                  <c:v>-1.52371778974261E-3</c:v>
                </c:pt>
                <c:pt idx="3">
                  <c:v>-1.2598524494937301E-3</c:v>
                </c:pt>
                <c:pt idx="4">
                  <c:v>-1.0658214451403801E-3</c:v>
                </c:pt>
                <c:pt idx="5">
                  <c:v>-9.68746914523457E-4</c:v>
                </c:pt>
                <c:pt idx="6">
                  <c:v>-1.0028294489195201E-3</c:v>
                </c:pt>
                <c:pt idx="7">
                  <c:v>-1.2117508889784199E-3</c:v>
                </c:pt>
                <c:pt idx="8">
                  <c:v>-1.65508519915429E-3</c:v>
                </c:pt>
                <c:pt idx="9">
                  <c:v>-2.3841604721616398E-3</c:v>
                </c:pt>
                <c:pt idx="10">
                  <c:v>-3.4394277946468402E-3</c:v>
                </c:pt>
                <c:pt idx="11">
                  <c:v>-4.8080105923518704E-3</c:v>
                </c:pt>
                <c:pt idx="12">
                  <c:v>-6.0553200820569397E-3</c:v>
                </c:pt>
                <c:pt idx="13">
                  <c:v>-7.9263161569952598E-3</c:v>
                </c:pt>
                <c:pt idx="14">
                  <c:v>-9.4461020895189492E-3</c:v>
                </c:pt>
                <c:pt idx="15">
                  <c:v>-1.08094351725503E-2</c:v>
                </c:pt>
                <c:pt idx="16">
                  <c:v>-1.1790691907136001E-2</c:v>
                </c:pt>
                <c:pt idx="17">
                  <c:v>-1.27213645874533E-2</c:v>
                </c:pt>
                <c:pt idx="18">
                  <c:v>-1.34179293256053E-2</c:v>
                </c:pt>
                <c:pt idx="19">
                  <c:v>-1.3998516855462899E-2</c:v>
                </c:pt>
                <c:pt idx="20">
                  <c:v>-1.44410571343639E-2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50-4E2C-8BDF-5B9CA923635A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DATA!$AU$2:$AU$22</c:f>
              <c:numCache>
                <c:formatCode>General</c:formatCode>
                <c:ptCount val="21"/>
                <c:pt idx="13">
                  <c:v>1.3589301904013799E-2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0-4E2C-8BDF-5B9CA9236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61632"/>
        <c:axId val="1556762112"/>
      </c:lineChart>
      <c:catAx>
        <c:axId val="155676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762112"/>
        <c:crosses val="autoZero"/>
        <c:auto val="1"/>
        <c:lblAlgn val="ctr"/>
        <c:lblOffset val="100"/>
        <c:noMultiLvlLbl val="0"/>
      </c:catAx>
      <c:valAx>
        <c:axId val="155676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76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0.8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DATA!$M$23:$M$43</c:f>
              <c:numCache>
                <c:formatCode>General</c:formatCode>
                <c:ptCount val="21"/>
                <c:pt idx="0">
                  <c:v>5.1796615751770097E-3</c:v>
                </c:pt>
                <c:pt idx="1">
                  <c:v>6.0378490891528297E-3</c:v>
                </c:pt>
                <c:pt idx="2">
                  <c:v>7.0048045785554604E-3</c:v>
                </c:pt>
                <c:pt idx="3">
                  <c:v>7.9983107927771996E-3</c:v>
                </c:pt>
                <c:pt idx="4">
                  <c:v>9.31856087676192E-3</c:v>
                </c:pt>
                <c:pt idx="5">
                  <c:v>1.0852111706379199E-2</c:v>
                </c:pt>
                <c:pt idx="6">
                  <c:v>1.2608643620409501E-2</c:v>
                </c:pt>
                <c:pt idx="7">
                  <c:v>1.45713583462363E-2</c:v>
                </c:pt>
                <c:pt idx="8">
                  <c:v>1.6684830535911601E-2</c:v>
                </c:pt>
                <c:pt idx="9">
                  <c:v>1.8839287931726501E-2</c:v>
                </c:pt>
                <c:pt idx="10">
                  <c:v>2.0866750528928502E-2</c:v>
                </c:pt>
                <c:pt idx="11">
                  <c:v>2.2566405517856901E-2</c:v>
                </c:pt>
                <c:pt idx="12">
                  <c:v>2.3729884464532201E-2</c:v>
                </c:pt>
                <c:pt idx="13">
                  <c:v>2.4231016886567099E-2</c:v>
                </c:pt>
                <c:pt idx="14">
                  <c:v>2.4057284613984702E-2</c:v>
                </c:pt>
                <c:pt idx="15">
                  <c:v>2.3306637490733601E-2</c:v>
                </c:pt>
                <c:pt idx="16">
                  <c:v>2.2147022382877701E-2</c:v>
                </c:pt>
                <c:pt idx="17">
                  <c:v>2.0759881085626899E-2</c:v>
                </c:pt>
                <c:pt idx="18">
                  <c:v>1.92409591781115E-2</c:v>
                </c:pt>
                <c:pt idx="19">
                  <c:v>1.7799544143262E-2</c:v>
                </c:pt>
                <c:pt idx="20">
                  <c:v>1.67824369631853E-2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91-4B7A-992D-1FBEC2AD2FC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DATA!$N$23:$N$43</c:f>
              <c:numCache>
                <c:formatCode>General</c:formatCode>
                <c:ptCount val="21"/>
                <c:pt idx="0">
                  <c:v>2.24828955822679E-3</c:v>
                </c:pt>
                <c:pt idx="1">
                  <c:v>2.7813121310862302E-3</c:v>
                </c:pt>
                <c:pt idx="2">
                  <c:v>3.3314760675336101E-3</c:v>
                </c:pt>
                <c:pt idx="3">
                  <c:v>3.7046647048185198E-3</c:v>
                </c:pt>
                <c:pt idx="4">
                  <c:v>4.1231502226935397E-3</c:v>
                </c:pt>
                <c:pt idx="5">
                  <c:v>4.4096985561816399E-3</c:v>
                </c:pt>
                <c:pt idx="6">
                  <c:v>4.4891638024759798E-3</c:v>
                </c:pt>
                <c:pt idx="7">
                  <c:v>4.26766544806327E-3</c:v>
                </c:pt>
                <c:pt idx="8">
                  <c:v>3.6403866713709599E-3</c:v>
                </c:pt>
                <c:pt idx="9">
                  <c:v>2.5102586643583899E-3</c:v>
                </c:pt>
                <c:pt idx="10">
                  <c:v>8.2001066255386402E-4</c:v>
                </c:pt>
                <c:pt idx="11">
                  <c:v>-1.4128950610356301E-3</c:v>
                </c:pt>
                <c:pt idx="12">
                  <c:v>-4.0627257982802402E-3</c:v>
                </c:pt>
                <c:pt idx="13">
                  <c:v>-6.9183599396724698E-3</c:v>
                </c:pt>
                <c:pt idx="14">
                  <c:v>-9.7330144419428798E-3</c:v>
                </c:pt>
                <c:pt idx="15">
                  <c:v>-1.22878047739888E-2</c:v>
                </c:pt>
                <c:pt idx="16">
                  <c:v>-1.44451668234876E-2</c:v>
                </c:pt>
                <c:pt idx="17">
                  <c:v>-1.6155042992115998E-2</c:v>
                </c:pt>
                <c:pt idx="18">
                  <c:v>-1.75143000096501E-2</c:v>
                </c:pt>
                <c:pt idx="19">
                  <c:v>-1.84144112299904E-2</c:v>
                </c:pt>
                <c:pt idx="20">
                  <c:v>-1.9073295129986199E-2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91-4B7A-992D-1FBEC2AD2FC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DATA!$AU$23:$AU$43</c:f>
              <c:numCache>
                <c:formatCode>General</c:formatCode>
                <c:ptCount val="21"/>
                <c:pt idx="13">
                  <c:v>2.4231016886567099E-2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1-4B7A-992D-1FBEC2AD2FC1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DATA!$B$23:$B$43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DATA!$AW$23:$AW$43</c:f>
              <c:numCache>
                <c:formatCode>General</c:formatCode>
                <c:ptCount val="21"/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91-4B7A-992D-1FBEC2AD2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947856"/>
        <c:axId val="1301948816"/>
      </c:lineChart>
      <c:catAx>
        <c:axId val="130194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48816"/>
        <c:crosses val="autoZero"/>
        <c:auto val="1"/>
        <c:lblAlgn val="ctr"/>
        <c:lblOffset val="100"/>
        <c:noMultiLvlLbl val="0"/>
      </c:catAx>
      <c:valAx>
        <c:axId val="13019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94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DATA!$M$44:$M$64</c:f>
              <c:numCache>
                <c:formatCode>General</c:formatCode>
                <c:ptCount val="21"/>
                <c:pt idx="0">
                  <c:v>8.0282949490555408E-3</c:v>
                </c:pt>
                <c:pt idx="1">
                  <c:v>9.1665330270660605E-3</c:v>
                </c:pt>
                <c:pt idx="2">
                  <c:v>1.0592239369733299E-2</c:v>
                </c:pt>
                <c:pt idx="3">
                  <c:v>1.22833877536012E-2</c:v>
                </c:pt>
                <c:pt idx="4">
                  <c:v>1.4276673283800801E-2</c:v>
                </c:pt>
                <c:pt idx="5">
                  <c:v>1.6608408247253001E-2</c:v>
                </c:pt>
                <c:pt idx="6">
                  <c:v>1.9299962617876799E-2</c:v>
                </c:pt>
                <c:pt idx="7">
                  <c:v>2.2335551976752001E-2</c:v>
                </c:pt>
                <c:pt idx="8">
                  <c:v>2.5638010156488901E-2</c:v>
                </c:pt>
                <c:pt idx="9">
                  <c:v>2.9037116546443E-2</c:v>
                </c:pt>
                <c:pt idx="10">
                  <c:v>3.2151873060207399E-2</c:v>
                </c:pt>
                <c:pt idx="11">
                  <c:v>3.4881532554308398E-2</c:v>
                </c:pt>
                <c:pt idx="12">
                  <c:v>3.6831473094614799E-2</c:v>
                </c:pt>
                <c:pt idx="13">
                  <c:v>3.7789724286480003E-2</c:v>
                </c:pt>
                <c:pt idx="14">
                  <c:v>3.7483566870416297E-2</c:v>
                </c:pt>
                <c:pt idx="15">
                  <c:v>3.64399207514347E-2</c:v>
                </c:pt>
                <c:pt idx="16">
                  <c:v>3.4714333472669001E-2</c:v>
                </c:pt>
                <c:pt idx="17">
                  <c:v>3.2583498698136003E-2</c:v>
                </c:pt>
                <c:pt idx="18">
                  <c:v>3.05527341091602E-2</c:v>
                </c:pt>
                <c:pt idx="19">
                  <c:v>2.8257412551154801E-2</c:v>
                </c:pt>
                <c:pt idx="20">
                  <c:v>2.70167949942005E-2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0B-45B4-B6A4-7105C0F7B4E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DATA!$N$44:$N$64</c:f>
              <c:numCache>
                <c:formatCode>General</c:formatCode>
                <c:ptCount val="21"/>
                <c:pt idx="0">
                  <c:v>7.4619460822817896E-3</c:v>
                </c:pt>
                <c:pt idx="1">
                  <c:v>8.3425947954129092E-3</c:v>
                </c:pt>
                <c:pt idx="2">
                  <c:v>9.1490621476905797E-3</c:v>
                </c:pt>
                <c:pt idx="3">
                  <c:v>9.9015695430149705E-3</c:v>
                </c:pt>
                <c:pt idx="4">
                  <c:v>1.0548611869143101E-2</c:v>
                </c:pt>
                <c:pt idx="5">
                  <c:v>1.10102668298064E-2</c:v>
                </c:pt>
                <c:pt idx="6">
                  <c:v>1.1173681521433901E-2</c:v>
                </c:pt>
                <c:pt idx="7">
                  <c:v>1.08919744722144E-2</c:v>
                </c:pt>
                <c:pt idx="8">
                  <c:v>9.9986785278416094E-3</c:v>
                </c:pt>
                <c:pt idx="9">
                  <c:v>8.3350395245945091E-3</c:v>
                </c:pt>
                <c:pt idx="10">
                  <c:v>5.5434180126163E-3</c:v>
                </c:pt>
                <c:pt idx="11">
                  <c:v>2.1711351903458001E-3</c:v>
                </c:pt>
                <c:pt idx="12">
                  <c:v>-1.86843122432322E-3</c:v>
                </c:pt>
                <c:pt idx="13">
                  <c:v>-6.2625169903788797E-3</c:v>
                </c:pt>
                <c:pt idx="14">
                  <c:v>-1.0486771930879501E-2</c:v>
                </c:pt>
                <c:pt idx="15">
                  <c:v>-1.4495335505579901E-2</c:v>
                </c:pt>
                <c:pt idx="16">
                  <c:v>-1.7912662555093498E-2</c:v>
                </c:pt>
                <c:pt idx="17">
                  <c:v>-2.0643938625690601E-2</c:v>
                </c:pt>
                <c:pt idx="18">
                  <c:v>-2.2726969091065599E-2</c:v>
                </c:pt>
                <c:pt idx="19">
                  <c:v>-2.4236427713542501E-2</c:v>
                </c:pt>
                <c:pt idx="20">
                  <c:v>-2.54531675699586E-2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0B-45B4-B6A4-7105C0F7B4EC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DATA!$AU$44:$AU$64</c:f>
              <c:numCache>
                <c:formatCode>General</c:formatCode>
                <c:ptCount val="21"/>
                <c:pt idx="13">
                  <c:v>3.7789724286480003E-2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0B-45B4-B6A4-7105C0F7B4EC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DATA!$B$44:$B$64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DATA!$AW$44:$AW$64</c:f>
              <c:numCache>
                <c:formatCode>General</c:formatCode>
                <c:ptCount val="21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0B-45B4-B6A4-7105C0F7B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95792"/>
        <c:axId val="1788691472"/>
      </c:lineChart>
      <c:catAx>
        <c:axId val="1788695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691472"/>
        <c:crosses val="autoZero"/>
        <c:auto val="1"/>
        <c:lblAlgn val="ctr"/>
        <c:lblOffset val="100"/>
        <c:noMultiLvlLbl val="0"/>
      </c:catAx>
      <c:valAx>
        <c:axId val="178869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69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DATA!$M$65:$M$85</c:f>
              <c:numCache>
                <c:formatCode>General</c:formatCode>
                <c:ptCount val="21"/>
                <c:pt idx="0">
                  <c:v>1.0945430012379199E-2</c:v>
                </c:pt>
                <c:pt idx="1">
                  <c:v>1.2644855300306001E-2</c:v>
                </c:pt>
                <c:pt idx="2">
                  <c:v>1.46547085607086E-2</c:v>
                </c:pt>
                <c:pt idx="3">
                  <c:v>1.7011127815221499E-2</c:v>
                </c:pt>
                <c:pt idx="4">
                  <c:v>1.99189110384148E-2</c:v>
                </c:pt>
                <c:pt idx="5">
                  <c:v>2.3187722783930002E-2</c:v>
                </c:pt>
                <c:pt idx="6">
                  <c:v>2.7024971818783699E-2</c:v>
                </c:pt>
                <c:pt idx="7">
                  <c:v>3.1263767886490601E-2</c:v>
                </c:pt>
                <c:pt idx="8">
                  <c:v>3.5988115628052798E-2</c:v>
                </c:pt>
                <c:pt idx="9">
                  <c:v>4.0640053325955598E-2</c:v>
                </c:pt>
                <c:pt idx="10">
                  <c:v>4.5285215258129299E-2</c:v>
                </c:pt>
                <c:pt idx="11">
                  <c:v>4.9329372042992897E-2</c:v>
                </c:pt>
                <c:pt idx="12">
                  <c:v>5.2323435779371E-2</c:v>
                </c:pt>
                <c:pt idx="13">
                  <c:v>5.3930793740187701E-2</c:v>
                </c:pt>
                <c:pt idx="14">
                  <c:v>5.4039309215870399E-2</c:v>
                </c:pt>
                <c:pt idx="15">
                  <c:v>5.2784528159899403E-2</c:v>
                </c:pt>
                <c:pt idx="16">
                  <c:v>5.04897717277712E-2</c:v>
                </c:pt>
                <c:pt idx="17">
                  <c:v>4.7549407975665203E-2</c:v>
                </c:pt>
                <c:pt idx="18">
                  <c:v>4.4316494453542098E-2</c:v>
                </c:pt>
                <c:pt idx="19">
                  <c:v>4.1152854296618697E-2</c:v>
                </c:pt>
                <c:pt idx="20">
                  <c:v>3.9814763118136497E-2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A96-910B-33307C1BDDA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DATA!$N$65:$N$85</c:f>
              <c:numCache>
                <c:formatCode>General</c:formatCode>
                <c:ptCount val="21"/>
                <c:pt idx="0">
                  <c:v>1.39714194504289E-2</c:v>
                </c:pt>
                <c:pt idx="1">
                  <c:v>1.5135093674670501E-2</c:v>
                </c:pt>
                <c:pt idx="2">
                  <c:v>1.6300578371976199E-2</c:v>
                </c:pt>
                <c:pt idx="3">
                  <c:v>1.7377814510975E-2</c:v>
                </c:pt>
                <c:pt idx="4">
                  <c:v>1.8334358682369802E-2</c:v>
                </c:pt>
                <c:pt idx="5">
                  <c:v>1.9000415143843399E-2</c:v>
                </c:pt>
                <c:pt idx="6">
                  <c:v>1.9228221630509499E-2</c:v>
                </c:pt>
                <c:pt idx="7">
                  <c:v>1.8874999045207601E-2</c:v>
                </c:pt>
                <c:pt idx="8">
                  <c:v>1.7789451338099799E-2</c:v>
                </c:pt>
                <c:pt idx="9">
                  <c:v>1.55899817110428E-2</c:v>
                </c:pt>
                <c:pt idx="10">
                  <c:v>1.2217322060361401E-2</c:v>
                </c:pt>
                <c:pt idx="11">
                  <c:v>7.6309495118666998E-3</c:v>
                </c:pt>
                <c:pt idx="12">
                  <c:v>2.0286944919609999E-3</c:v>
                </c:pt>
                <c:pt idx="13">
                  <c:v>-4.1771149441873299E-3</c:v>
                </c:pt>
                <c:pt idx="14">
                  <c:v>-1.0467073948141E-2</c:v>
                </c:pt>
                <c:pt idx="15">
                  <c:v>-1.6329596968574001E-2</c:v>
                </c:pt>
                <c:pt idx="16">
                  <c:v>-2.13997067908968E-2</c:v>
                </c:pt>
                <c:pt idx="17">
                  <c:v>-2.5508039949286E-2</c:v>
                </c:pt>
                <c:pt idx="18">
                  <c:v>-2.8781170406135401E-2</c:v>
                </c:pt>
                <c:pt idx="19">
                  <c:v>-3.0964982117792399E-2</c:v>
                </c:pt>
                <c:pt idx="20">
                  <c:v>-3.2492896825762202E-2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BE-4A96-910B-33307C1BDDA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DATA!$AU$65:$AU$85</c:f>
              <c:numCache>
                <c:formatCode>General</c:formatCode>
                <c:ptCount val="21"/>
                <c:pt idx="14">
                  <c:v>5.4039309215870399E-2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E-4A96-910B-33307C1BDDA1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DATA!$B$65:$B$85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DATA!$AW$65:$AW$85</c:f>
              <c:numCache>
                <c:formatCode>General</c:formatCode>
                <c:ptCount val="21"/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BE-4A96-910B-33307C1BD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32608"/>
        <c:axId val="1300335968"/>
      </c:lineChart>
      <c:catAx>
        <c:axId val="130033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35968"/>
        <c:crosses val="autoZero"/>
        <c:auto val="1"/>
        <c:lblAlgn val="ctr"/>
        <c:lblOffset val="100"/>
        <c:noMultiLvlLbl val="0"/>
      </c:catAx>
      <c:valAx>
        <c:axId val="130033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3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DATA!$M$86:$M$106</c:f>
              <c:numCache>
                <c:formatCode>General</c:formatCode>
                <c:ptCount val="21"/>
                <c:pt idx="0">
                  <c:v>1.46602461839182E-2</c:v>
                </c:pt>
                <c:pt idx="1">
                  <c:v>1.6911314285854399E-2</c:v>
                </c:pt>
                <c:pt idx="2">
                  <c:v>1.95834417384033E-2</c:v>
                </c:pt>
                <c:pt idx="3">
                  <c:v>2.27409106871789E-2</c:v>
                </c:pt>
                <c:pt idx="4">
                  <c:v>2.6461091666035701E-2</c:v>
                </c:pt>
                <c:pt idx="5">
                  <c:v>3.0808741410933999E-2</c:v>
                </c:pt>
                <c:pt idx="6">
                  <c:v>3.5820538527552202E-2</c:v>
                </c:pt>
                <c:pt idx="7">
                  <c:v>4.1478681586013803E-2</c:v>
                </c:pt>
                <c:pt idx="8">
                  <c:v>4.7651067380366403E-2</c:v>
                </c:pt>
                <c:pt idx="9">
                  <c:v>5.4117237186050597E-2</c:v>
                </c:pt>
                <c:pt idx="10">
                  <c:v>6.0454749454054699E-2</c:v>
                </c:pt>
                <c:pt idx="11">
                  <c:v>6.6110976373008903E-2</c:v>
                </c:pt>
                <c:pt idx="12">
                  <c:v>7.0501221744197498E-2</c:v>
                </c:pt>
                <c:pt idx="13">
                  <c:v>7.3117631705906197E-2</c:v>
                </c:pt>
                <c:pt idx="14">
                  <c:v>7.3561266414088097E-2</c:v>
                </c:pt>
                <c:pt idx="15">
                  <c:v>7.2284701600767998E-2</c:v>
                </c:pt>
                <c:pt idx="16">
                  <c:v>6.94356201964587E-2</c:v>
                </c:pt>
                <c:pt idx="17">
                  <c:v>6.5802518081306896E-2</c:v>
                </c:pt>
                <c:pt idx="18">
                  <c:v>6.15868889514899E-2</c:v>
                </c:pt>
                <c:pt idx="19">
                  <c:v>5.7187852213667602E-2</c:v>
                </c:pt>
                <c:pt idx="20">
                  <c:v>5.5052739204229102E-2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8E-455D-AC8F-4F4804F46764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DATA!$N$86:$N$106</c:f>
              <c:numCache>
                <c:formatCode>General</c:formatCode>
                <c:ptCount val="21"/>
                <c:pt idx="0">
                  <c:v>2.1560972559821499E-2</c:v>
                </c:pt>
                <c:pt idx="1">
                  <c:v>2.3148346557704799E-2</c:v>
                </c:pt>
                <c:pt idx="2">
                  <c:v>2.4719276708744301E-2</c:v>
                </c:pt>
                <c:pt idx="3">
                  <c:v>2.6223428883816999E-2</c:v>
                </c:pt>
                <c:pt idx="4">
                  <c:v>2.7547865056804101E-2</c:v>
                </c:pt>
                <c:pt idx="5">
                  <c:v>2.8552228950613701E-2</c:v>
                </c:pt>
                <c:pt idx="6">
                  <c:v>2.9045032334003001E-2</c:v>
                </c:pt>
                <c:pt idx="7">
                  <c:v>2.8779500509893599E-2</c:v>
                </c:pt>
                <c:pt idx="8">
                  <c:v>2.7357480784934898E-2</c:v>
                </c:pt>
                <c:pt idx="9">
                  <c:v>2.4680439072986799E-2</c:v>
                </c:pt>
                <c:pt idx="10">
                  <c:v>2.0430311943542601E-2</c:v>
                </c:pt>
                <c:pt idx="11">
                  <c:v>1.45484097946737E-2</c:v>
                </c:pt>
                <c:pt idx="12">
                  <c:v>7.2180689684616601E-3</c:v>
                </c:pt>
                <c:pt idx="13">
                  <c:v>-1.05320975926009E-3</c:v>
                </c:pt>
                <c:pt idx="14">
                  <c:v>-9.4124674090949705E-3</c:v>
                </c:pt>
                <c:pt idx="15">
                  <c:v>-1.7512256769575098E-2</c:v>
                </c:pt>
                <c:pt idx="16">
                  <c:v>-2.4696287397902601E-2</c:v>
                </c:pt>
                <c:pt idx="17">
                  <c:v>-3.0552944029818101E-2</c:v>
                </c:pt>
                <c:pt idx="18">
                  <c:v>-3.51473994041962E-2</c:v>
                </c:pt>
                <c:pt idx="19">
                  <c:v>-3.8498339473105103E-2</c:v>
                </c:pt>
                <c:pt idx="20">
                  <c:v>-4.0887518920032E-2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E-455D-AC8F-4F4804F46764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DATA!$AU$86:$AU$106</c:f>
              <c:numCache>
                <c:formatCode>General</c:formatCode>
                <c:ptCount val="21"/>
                <c:pt idx="14">
                  <c:v>7.3561266414088097E-2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E-455D-AC8F-4F4804F46764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DATA!$B$86:$B$106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DATA!$AW$86:$AW$106</c:f>
              <c:numCache>
                <c:formatCode>General</c:formatCode>
                <c:ptCount val="21"/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E-455D-AC8F-4F4804F4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39328"/>
        <c:axId val="1300323008"/>
      </c:lineChart>
      <c:catAx>
        <c:axId val="130033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23008"/>
        <c:crosses val="autoZero"/>
        <c:auto val="1"/>
        <c:lblAlgn val="ctr"/>
        <c:lblOffset val="100"/>
        <c:noMultiLvlLbl val="0"/>
      </c:catAx>
      <c:valAx>
        <c:axId val="13003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3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DATA!$M$107:$M$127</c:f>
              <c:numCache>
                <c:formatCode>General</c:formatCode>
                <c:ptCount val="21"/>
                <c:pt idx="0">
                  <c:v>1.8546423755866299E-2</c:v>
                </c:pt>
                <c:pt idx="1">
                  <c:v>2.1364788218891099E-2</c:v>
                </c:pt>
                <c:pt idx="2">
                  <c:v>2.4724263716980499E-2</c:v>
                </c:pt>
                <c:pt idx="3">
                  <c:v>2.86440296596451E-2</c:v>
                </c:pt>
                <c:pt idx="4">
                  <c:v>3.3380869413250497E-2</c:v>
                </c:pt>
                <c:pt idx="5">
                  <c:v>3.8839298609588603E-2</c:v>
                </c:pt>
                <c:pt idx="6">
                  <c:v>4.5030136809876699E-2</c:v>
                </c:pt>
                <c:pt idx="7">
                  <c:v>5.2133789357400998E-2</c:v>
                </c:pt>
                <c:pt idx="8">
                  <c:v>5.9946891140974901E-2</c:v>
                </c:pt>
                <c:pt idx="9">
                  <c:v>6.8216913203433399E-2</c:v>
                </c:pt>
                <c:pt idx="10">
                  <c:v>7.64623682134669E-2</c:v>
                </c:pt>
                <c:pt idx="11">
                  <c:v>8.4023590243438695E-2</c:v>
                </c:pt>
                <c:pt idx="12">
                  <c:v>9.0117284334537306E-2</c:v>
                </c:pt>
                <c:pt idx="13">
                  <c:v>9.4080548888455198E-2</c:v>
                </c:pt>
                <c:pt idx="14">
                  <c:v>9.5538509289069498E-2</c:v>
                </c:pt>
                <c:pt idx="15">
                  <c:v>9.4530591089993204E-2</c:v>
                </c:pt>
                <c:pt idx="16">
                  <c:v>9.1458141170209506E-2</c:v>
                </c:pt>
                <c:pt idx="17">
                  <c:v>8.6971267270694597E-2</c:v>
                </c:pt>
                <c:pt idx="18">
                  <c:v>8.1765025264409097E-2</c:v>
                </c:pt>
                <c:pt idx="19">
                  <c:v>7.6155101756718094E-2</c:v>
                </c:pt>
                <c:pt idx="20">
                  <c:v>7.3684936004501905E-2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1-402D-B053-2070C371BCA0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DATA!$N$107:$N$127</c:f>
              <c:numCache>
                <c:formatCode>General</c:formatCode>
                <c:ptCount val="21"/>
                <c:pt idx="0">
                  <c:v>3.0198423468745E-2</c:v>
                </c:pt>
                <c:pt idx="1">
                  <c:v>3.2126327528555397E-2</c:v>
                </c:pt>
                <c:pt idx="2">
                  <c:v>3.4101550520020299E-2</c:v>
                </c:pt>
                <c:pt idx="3">
                  <c:v>3.5969937736173699E-2</c:v>
                </c:pt>
                <c:pt idx="4">
                  <c:v>3.7712170858768997E-2</c:v>
                </c:pt>
                <c:pt idx="5">
                  <c:v>3.9067926367784098E-2</c:v>
                </c:pt>
                <c:pt idx="6">
                  <c:v>3.9776558478160598E-2</c:v>
                </c:pt>
                <c:pt idx="7">
                  <c:v>3.9670505250922299E-2</c:v>
                </c:pt>
                <c:pt idx="8">
                  <c:v>3.8306211524188102E-2</c:v>
                </c:pt>
                <c:pt idx="9">
                  <c:v>3.5298545153870799E-2</c:v>
                </c:pt>
                <c:pt idx="10">
                  <c:v>3.0328099499792701E-2</c:v>
                </c:pt>
                <c:pt idx="11">
                  <c:v>2.32434632180047E-2</c:v>
                </c:pt>
                <c:pt idx="12">
                  <c:v>1.42482486137955E-2</c:v>
                </c:pt>
                <c:pt idx="13">
                  <c:v>3.8733952892247101E-3</c:v>
                </c:pt>
                <c:pt idx="14">
                  <c:v>-7.0380436131654402E-3</c:v>
                </c:pt>
                <c:pt idx="15">
                  <c:v>-1.7636334826371999E-2</c:v>
                </c:pt>
                <c:pt idx="16">
                  <c:v>-2.7178887762805901E-2</c:v>
                </c:pt>
                <c:pt idx="17">
                  <c:v>-3.5268735923914003E-2</c:v>
                </c:pt>
                <c:pt idx="18">
                  <c:v>-4.1620965340937101E-2</c:v>
                </c:pt>
                <c:pt idx="19">
                  <c:v>-4.63741409267798E-2</c:v>
                </c:pt>
                <c:pt idx="20">
                  <c:v>-4.9371924850684E-2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C1-402D-B053-2070C371BCA0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DATA!$AU$107:$AU$127</c:f>
              <c:numCache>
                <c:formatCode>General</c:formatCode>
                <c:ptCount val="21"/>
                <c:pt idx="14">
                  <c:v>9.5538509289069498E-2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C1-402D-B053-2070C371BCA0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DATA!$B$107:$B$127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DATA!$AW$107:$AW$127</c:f>
              <c:numCache>
                <c:formatCode>General</c:formatCode>
                <c:ptCount val="21"/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C1-402D-B053-2070C371B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325408"/>
        <c:axId val="1300326368"/>
      </c:lineChart>
      <c:catAx>
        <c:axId val="130032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26368"/>
        <c:crosses val="autoZero"/>
        <c:auto val="1"/>
        <c:lblAlgn val="ctr"/>
        <c:lblOffset val="100"/>
        <c:noMultiLvlLbl val="0"/>
      </c:catAx>
      <c:valAx>
        <c:axId val="130032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32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1.8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DATA!$M$128:$M$148</c:f>
              <c:numCache>
                <c:formatCode>General</c:formatCode>
                <c:ptCount val="21"/>
                <c:pt idx="0">
                  <c:v>2.2868582999658601E-2</c:v>
                </c:pt>
                <c:pt idx="1">
                  <c:v>2.6239356184968698E-2</c:v>
                </c:pt>
                <c:pt idx="2">
                  <c:v>3.0333365467157002E-2</c:v>
                </c:pt>
                <c:pt idx="3">
                  <c:v>3.5145030490016702E-2</c:v>
                </c:pt>
                <c:pt idx="4">
                  <c:v>4.0806757175803197E-2</c:v>
                </c:pt>
                <c:pt idx="5">
                  <c:v>4.7422650903212099E-2</c:v>
                </c:pt>
                <c:pt idx="6">
                  <c:v>5.50703706876755E-2</c:v>
                </c:pt>
                <c:pt idx="7">
                  <c:v>6.3764314360554297E-2</c:v>
                </c:pt>
                <c:pt idx="8">
                  <c:v>7.3407707624662297E-2</c:v>
                </c:pt>
                <c:pt idx="9">
                  <c:v>8.3646017063914696E-2</c:v>
                </c:pt>
                <c:pt idx="10">
                  <c:v>9.4073810463033203E-2</c:v>
                </c:pt>
                <c:pt idx="11">
                  <c:v>0.103873902609127</c:v>
                </c:pt>
                <c:pt idx="12">
                  <c:v>0.111992976697412</c:v>
                </c:pt>
                <c:pt idx="13">
                  <c:v>0.11778883034759501</c:v>
                </c:pt>
                <c:pt idx="14">
                  <c:v>0.120573094003717</c:v>
                </c:pt>
                <c:pt idx="15">
                  <c:v>0.120332204966369</c:v>
                </c:pt>
                <c:pt idx="16">
                  <c:v>0.117291279993733</c:v>
                </c:pt>
                <c:pt idx="17">
                  <c:v>0.11218399394381</c:v>
                </c:pt>
                <c:pt idx="18">
                  <c:v>0.10590007502370199</c:v>
                </c:pt>
                <c:pt idx="19">
                  <c:v>9.9150854560865503E-2</c:v>
                </c:pt>
                <c:pt idx="20">
                  <c:v>9.6001362287776504E-2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A-489B-B436-775716AA3EFB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DATA!$N$128:$N$148</c:f>
              <c:numCache>
                <c:formatCode>General</c:formatCode>
                <c:ptCount val="21"/>
                <c:pt idx="0">
                  <c:v>3.9674498841836901E-2</c:v>
                </c:pt>
                <c:pt idx="1">
                  <c:v>4.2154119354427103E-2</c:v>
                </c:pt>
                <c:pt idx="2">
                  <c:v>4.4718114990718802E-2</c:v>
                </c:pt>
                <c:pt idx="3">
                  <c:v>4.7252638547278202E-2</c:v>
                </c:pt>
                <c:pt idx="4">
                  <c:v>4.9489484687065002E-2</c:v>
                </c:pt>
                <c:pt idx="5">
                  <c:v>5.1315171656934597E-2</c:v>
                </c:pt>
                <c:pt idx="6">
                  <c:v>5.2466449300417398E-2</c:v>
                </c:pt>
                <c:pt idx="7">
                  <c:v>5.2594760023774702E-2</c:v>
                </c:pt>
                <c:pt idx="8">
                  <c:v>5.1269570909088201E-2</c:v>
                </c:pt>
                <c:pt idx="9">
                  <c:v>4.7956485796996101E-2</c:v>
                </c:pt>
                <c:pt idx="10">
                  <c:v>4.23583798232047E-2</c:v>
                </c:pt>
                <c:pt idx="11">
                  <c:v>3.4174060734077798E-2</c:v>
                </c:pt>
                <c:pt idx="12">
                  <c:v>2.3540883587968801E-2</c:v>
                </c:pt>
                <c:pt idx="13">
                  <c:v>1.09614549704804E-2</c:v>
                </c:pt>
                <c:pt idx="14">
                  <c:v>-2.60806546473848E-3</c:v>
                </c:pt>
                <c:pt idx="15">
                  <c:v>-1.61849076667877E-2</c:v>
                </c:pt>
                <c:pt idx="16">
                  <c:v>-2.8590491496777101E-2</c:v>
                </c:pt>
                <c:pt idx="17">
                  <c:v>-3.9190142458073798E-2</c:v>
                </c:pt>
                <c:pt idx="18">
                  <c:v>-4.7821067093451998E-2</c:v>
                </c:pt>
                <c:pt idx="19">
                  <c:v>-5.44624549607991E-2</c:v>
                </c:pt>
                <c:pt idx="20">
                  <c:v>-5.84104924310518E-2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A-489B-B436-775716AA3EFB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DATA!$AU$128:$AU$148</c:f>
              <c:numCache>
                <c:formatCode>General</c:formatCode>
                <c:ptCount val="21"/>
                <c:pt idx="14">
                  <c:v>0.120573094003717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0A-489B-B436-775716AA3EFB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DATA!$B$128:$B$148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DATA!$AW$128:$AW$148</c:f>
              <c:numCache>
                <c:formatCode>General</c:formatCode>
                <c:ptCount val="21"/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0A-489B-B436-775716AA3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4928"/>
        <c:axId val="1300263968"/>
      </c:lineChart>
      <c:catAx>
        <c:axId val="130026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3968"/>
        <c:crosses val="autoZero"/>
        <c:auto val="1"/>
        <c:lblAlgn val="ctr"/>
        <c:lblOffset val="100"/>
        <c:noMultiLvlLbl val="0"/>
      </c:catAx>
      <c:valAx>
        <c:axId val="130026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DATA!$M$149:$M$169</c:f>
              <c:numCache>
                <c:formatCode>General</c:formatCode>
                <c:ptCount val="21"/>
                <c:pt idx="0">
                  <c:v>2.7303705711868801E-2</c:v>
                </c:pt>
                <c:pt idx="1">
                  <c:v>3.1374359717093701E-2</c:v>
                </c:pt>
                <c:pt idx="2">
                  <c:v>3.6227332121177097E-2</c:v>
                </c:pt>
                <c:pt idx="3">
                  <c:v>4.1922863343685501E-2</c:v>
                </c:pt>
                <c:pt idx="4">
                  <c:v>4.8600457757972802E-2</c:v>
                </c:pt>
                <c:pt idx="5">
                  <c:v>5.6395959326408902E-2</c:v>
                </c:pt>
                <c:pt idx="6">
                  <c:v>6.5416897366774293E-2</c:v>
                </c:pt>
                <c:pt idx="7">
                  <c:v>7.5694174323591198E-2</c:v>
                </c:pt>
                <c:pt idx="8">
                  <c:v>8.71594483058373E-2</c:v>
                </c:pt>
                <c:pt idx="9">
                  <c:v>9.9380717247735104E-2</c:v>
                </c:pt>
                <c:pt idx="10">
                  <c:v>0.112058743363091</c:v>
                </c:pt>
                <c:pt idx="11">
                  <c:v>0.12423620934148299</c:v>
                </c:pt>
                <c:pt idx="12">
                  <c:v>0.13482933185335</c:v>
                </c:pt>
                <c:pt idx="13">
                  <c:v>0.14290869523938499</c:v>
                </c:pt>
                <c:pt idx="14">
                  <c:v>0.14738179975016399</c:v>
                </c:pt>
                <c:pt idx="15">
                  <c:v>0.14812615056276601</c:v>
                </c:pt>
                <c:pt idx="16">
                  <c:v>0.14537474101669601</c:v>
                </c:pt>
                <c:pt idx="17">
                  <c:v>0.14000223598448</c:v>
                </c:pt>
                <c:pt idx="18">
                  <c:v>0.132725586442316</c:v>
                </c:pt>
                <c:pt idx="19">
                  <c:v>0.12485422162712601</c:v>
                </c:pt>
                <c:pt idx="20">
                  <c:v>0.121741404857453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07-4904-AC75-E7013E5FC08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DATA!$N$149:$N$169</c:f>
              <c:numCache>
                <c:formatCode>General</c:formatCode>
                <c:ptCount val="21"/>
                <c:pt idx="0">
                  <c:v>4.9772939256179601E-2</c:v>
                </c:pt>
                <c:pt idx="1">
                  <c:v>5.2868158721807203E-2</c:v>
                </c:pt>
                <c:pt idx="2">
                  <c:v>5.6014119005773001E-2</c:v>
                </c:pt>
                <c:pt idx="3">
                  <c:v>5.9055641624478003E-2</c:v>
                </c:pt>
                <c:pt idx="4">
                  <c:v>6.1862842890186398E-2</c:v>
                </c:pt>
                <c:pt idx="5">
                  <c:v>6.4227173480721794E-2</c:v>
                </c:pt>
                <c:pt idx="6">
                  <c:v>6.5851131735179994E-2</c:v>
                </c:pt>
                <c:pt idx="7">
                  <c:v>6.6202626056537595E-2</c:v>
                </c:pt>
                <c:pt idx="8">
                  <c:v>6.5042912366674505E-2</c:v>
                </c:pt>
                <c:pt idx="9">
                  <c:v>6.1643767645093397E-2</c:v>
                </c:pt>
                <c:pt idx="10">
                  <c:v>5.5585169694054103E-2</c:v>
                </c:pt>
                <c:pt idx="11">
                  <c:v>4.6454595061427503E-2</c:v>
                </c:pt>
                <c:pt idx="12">
                  <c:v>3.4270889063879699E-2</c:v>
                </c:pt>
                <c:pt idx="13">
                  <c:v>1.9571067120938999E-2</c:v>
                </c:pt>
                <c:pt idx="14">
                  <c:v>3.30109435737564E-3</c:v>
                </c:pt>
                <c:pt idx="15">
                  <c:v>-1.31574174456651E-2</c:v>
                </c:pt>
                <c:pt idx="16">
                  <c:v>-2.87209650813703E-2</c:v>
                </c:pt>
                <c:pt idx="17">
                  <c:v>-4.2268864010899403E-2</c:v>
                </c:pt>
                <c:pt idx="18">
                  <c:v>-5.35116157692632E-2</c:v>
                </c:pt>
                <c:pt idx="19">
                  <c:v>-6.2292842836867701E-2</c:v>
                </c:pt>
                <c:pt idx="20">
                  <c:v>-6.7329785403803105E-2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07-4904-AC75-E7013E5FC08C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DATA!$AU$149:$AU$169</c:f>
              <c:numCache>
                <c:formatCode>General</c:formatCode>
                <c:ptCount val="21"/>
                <c:pt idx="15">
                  <c:v>0.14812615056276601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7-4904-AC75-E7013E5FC08C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DATA!$B$149:$B$169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DATA!$AW$149:$AW$169</c:f>
              <c:numCache>
                <c:formatCode>General</c:formatCode>
                <c:ptCount val="21"/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7-4904-AC75-E7013E5FC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1088"/>
        <c:axId val="1300266848"/>
      </c:lineChart>
      <c:catAx>
        <c:axId val="130026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6848"/>
        <c:crosses val="autoZero"/>
        <c:auto val="1"/>
        <c:lblAlgn val="ctr"/>
        <c:lblOffset val="100"/>
        <c:noMultiLvlLbl val="0"/>
      </c:catAx>
      <c:valAx>
        <c:axId val="130026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DATA!$M$170:$M$190</c:f>
              <c:numCache>
                <c:formatCode>General</c:formatCode>
                <c:ptCount val="21"/>
                <c:pt idx="0">
                  <c:v>3.1876508803810003E-2</c:v>
                </c:pt>
                <c:pt idx="1">
                  <c:v>3.6630414853204001E-2</c:v>
                </c:pt>
                <c:pt idx="2">
                  <c:v>4.2199956247843402E-2</c:v>
                </c:pt>
                <c:pt idx="3">
                  <c:v>4.8734843626877002E-2</c:v>
                </c:pt>
                <c:pt idx="4">
                  <c:v>5.6396979550971803E-2</c:v>
                </c:pt>
                <c:pt idx="5">
                  <c:v>6.5346577356906202E-2</c:v>
                </c:pt>
                <c:pt idx="6">
                  <c:v>7.5719797914305803E-2</c:v>
                </c:pt>
                <c:pt idx="7">
                  <c:v>8.7578270847388506E-2</c:v>
                </c:pt>
                <c:pt idx="8">
                  <c:v>0.100810249061225</c:v>
                </c:pt>
                <c:pt idx="9">
                  <c:v>0.115313275684686</c:v>
                </c:pt>
                <c:pt idx="10">
                  <c:v>0.130443727713389</c:v>
                </c:pt>
                <c:pt idx="11">
                  <c:v>0.14529749550311299</c:v>
                </c:pt>
                <c:pt idx="12">
                  <c:v>0.158692424019516</c:v>
                </c:pt>
                <c:pt idx="13">
                  <c:v>0.16932942044891899</c:v>
                </c:pt>
                <c:pt idx="14">
                  <c:v>0.176124536003779</c:v>
                </c:pt>
                <c:pt idx="15">
                  <c:v>0.17853113279815899</c:v>
                </c:pt>
                <c:pt idx="16">
                  <c:v>0.17668396638043801</c:v>
                </c:pt>
                <c:pt idx="17">
                  <c:v>0.17134218347076499</c:v>
                </c:pt>
                <c:pt idx="18">
                  <c:v>0.16363529482224301</c:v>
                </c:pt>
                <c:pt idx="19">
                  <c:v>0.15448573459084899</c:v>
                </c:pt>
                <c:pt idx="20">
                  <c:v>0.15054354828755101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F4-4EA1-A036-4428FB6966E7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DATA!$N$170:$N$190</c:f>
              <c:numCache>
                <c:formatCode>General</c:formatCode>
                <c:ptCount val="21"/>
                <c:pt idx="0">
                  <c:v>6.0548185662068002E-2</c:v>
                </c:pt>
                <c:pt idx="1">
                  <c:v>6.4261056129209598E-2</c:v>
                </c:pt>
                <c:pt idx="2">
                  <c:v>6.7986239564888695E-2</c:v>
                </c:pt>
                <c:pt idx="3">
                  <c:v>7.1630654134763896E-2</c:v>
                </c:pt>
                <c:pt idx="4">
                  <c:v>7.5048872699216701E-2</c:v>
                </c:pt>
                <c:pt idx="5">
                  <c:v>7.8015091343702103E-2</c:v>
                </c:pt>
                <c:pt idx="6">
                  <c:v>8.0207430031801003E-2</c:v>
                </c:pt>
                <c:pt idx="7">
                  <c:v>8.1191152161982097E-2</c:v>
                </c:pt>
                <c:pt idx="8">
                  <c:v>8.0396179788707806E-2</c:v>
                </c:pt>
                <c:pt idx="9">
                  <c:v>7.7220269928184204E-2</c:v>
                </c:pt>
                <c:pt idx="10">
                  <c:v>7.0999263020439796E-2</c:v>
                </c:pt>
                <c:pt idx="11">
                  <c:v>6.1248014552121699E-2</c:v>
                </c:pt>
                <c:pt idx="12">
                  <c:v>4.7913917155359802E-2</c:v>
                </c:pt>
                <c:pt idx="13">
                  <c:v>3.1251065895398202E-2</c:v>
                </c:pt>
                <c:pt idx="14">
                  <c:v>1.23524029413933E-2</c:v>
                </c:pt>
                <c:pt idx="15">
                  <c:v>-7.3461266772033296E-3</c:v>
                </c:pt>
                <c:pt idx="16">
                  <c:v>-2.6364848671758302E-2</c:v>
                </c:pt>
                <c:pt idx="17">
                  <c:v>-4.3525225891298501E-2</c:v>
                </c:pt>
                <c:pt idx="18">
                  <c:v>-5.7861087065999198E-2</c:v>
                </c:pt>
                <c:pt idx="19">
                  <c:v>-6.9557150994356998E-2</c:v>
                </c:pt>
                <c:pt idx="20">
                  <c:v>-7.6002061279875105E-2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4-4EA1-A036-4428FB6966E7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DATA!$AU$170:$AU$190</c:f>
              <c:numCache>
                <c:formatCode>General</c:formatCode>
                <c:ptCount val="21"/>
                <c:pt idx="15">
                  <c:v>0.17853113279815899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4-4EA1-A036-4428FB6966E7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DATA!$B$170:$B$190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DATA!$AW$170:$AW$190</c:f>
              <c:numCache>
                <c:formatCode>General</c:formatCode>
                <c:ptCount val="21"/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F4-4EA1-A036-4428FB696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4448"/>
        <c:axId val="1300263488"/>
      </c:lineChart>
      <c:catAx>
        <c:axId val="1300264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3488"/>
        <c:crosses val="autoZero"/>
        <c:auto val="1"/>
        <c:lblAlgn val="ctr"/>
        <c:lblOffset val="100"/>
        <c:noMultiLvlLbl val="0"/>
      </c:catAx>
      <c:valAx>
        <c:axId val="130026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DATA!$M$191:$M$211</c:f>
              <c:numCache>
                <c:formatCode>General</c:formatCode>
                <c:ptCount val="21"/>
                <c:pt idx="0">
                  <c:v>3.6437765900653597E-2</c:v>
                </c:pt>
                <c:pt idx="1">
                  <c:v>4.1790496048522002E-2</c:v>
                </c:pt>
                <c:pt idx="2">
                  <c:v>4.8070675789061199E-2</c:v>
                </c:pt>
                <c:pt idx="3">
                  <c:v>5.54225495016583E-2</c:v>
                </c:pt>
                <c:pt idx="4">
                  <c:v>6.4027651148038794E-2</c:v>
                </c:pt>
                <c:pt idx="5">
                  <c:v>7.4072065205638901E-2</c:v>
                </c:pt>
                <c:pt idx="6">
                  <c:v>8.5723620750451798E-2</c:v>
                </c:pt>
                <c:pt idx="7">
                  <c:v>9.9093062752244804E-2</c:v>
                </c:pt>
                <c:pt idx="8">
                  <c:v>0.114161020236291</c:v>
                </c:pt>
                <c:pt idx="9">
                  <c:v>0.13065906457182899</c:v>
                </c:pt>
                <c:pt idx="10">
                  <c:v>0.14820433415866399</c:v>
                </c:pt>
                <c:pt idx="11">
                  <c:v>0.16586639652948801</c:v>
                </c:pt>
                <c:pt idx="12">
                  <c:v>0.182339522733698</c:v>
                </c:pt>
                <c:pt idx="13">
                  <c:v>0.19613057623837801</c:v>
                </c:pt>
                <c:pt idx="14">
                  <c:v>0.205958881898304</c:v>
                </c:pt>
                <c:pt idx="15">
                  <c:v>0.21098693012231901</c:v>
                </c:pt>
                <c:pt idx="16">
                  <c:v>0.21092917270512701</c:v>
                </c:pt>
                <c:pt idx="17">
                  <c:v>0.206483722789677</c:v>
                </c:pt>
                <c:pt idx="18">
                  <c:v>0.19867216800989301</c:v>
                </c:pt>
                <c:pt idx="19">
                  <c:v>0.188906089654342</c:v>
                </c:pt>
                <c:pt idx="20">
                  <c:v>0.18442798142525599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3A-4471-8C74-FB004B60C7D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DATA!$N$191:$N$211</c:f>
              <c:numCache>
                <c:formatCode>General</c:formatCode>
                <c:ptCount val="21"/>
                <c:pt idx="0">
                  <c:v>7.2038422277283506E-2</c:v>
                </c:pt>
                <c:pt idx="1">
                  <c:v>7.6434111705738994E-2</c:v>
                </c:pt>
                <c:pt idx="2">
                  <c:v>8.0839872194017101E-2</c:v>
                </c:pt>
                <c:pt idx="3">
                  <c:v>8.5186103430998306E-2</c:v>
                </c:pt>
                <c:pt idx="4">
                  <c:v>8.9321976208608295E-2</c:v>
                </c:pt>
                <c:pt idx="5">
                  <c:v>9.3014397039605803E-2</c:v>
                </c:pt>
                <c:pt idx="6">
                  <c:v>9.5927923441105498E-2</c:v>
                </c:pt>
                <c:pt idx="7">
                  <c:v>9.7604601573778094E-2</c:v>
                </c:pt>
                <c:pt idx="8">
                  <c:v>9.7456473914242697E-2</c:v>
                </c:pt>
                <c:pt idx="9">
                  <c:v>9.4714330204123398E-2</c:v>
                </c:pt>
                <c:pt idx="10">
                  <c:v>8.87541291057478E-2</c:v>
                </c:pt>
                <c:pt idx="11">
                  <c:v>7.8861342348328395E-2</c:v>
                </c:pt>
                <c:pt idx="12">
                  <c:v>6.4742545615023794E-2</c:v>
                </c:pt>
                <c:pt idx="13">
                  <c:v>4.6685525100628601E-2</c:v>
                </c:pt>
                <c:pt idx="14">
                  <c:v>2.54924141461506E-2</c:v>
                </c:pt>
                <c:pt idx="15">
                  <c:v>2.62820554946044E-3</c:v>
                </c:pt>
                <c:pt idx="16">
                  <c:v>-2.0043430822911799E-2</c:v>
                </c:pt>
                <c:pt idx="17">
                  <c:v>-4.0881893162768301E-2</c:v>
                </c:pt>
                <c:pt idx="18">
                  <c:v>-5.9081930598975603E-2</c:v>
                </c:pt>
                <c:pt idx="19">
                  <c:v>-7.41295411488367E-2</c:v>
                </c:pt>
                <c:pt idx="20">
                  <c:v>-8.2615773500279793E-2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3A-4471-8C74-FB004B60C7D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DATA!$AU$191:$AU$211</c:f>
              <c:numCache>
                <c:formatCode>General</c:formatCode>
                <c:ptCount val="21"/>
                <c:pt idx="15">
                  <c:v>0.21098693012231901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3A-4471-8C74-FB004B60C7D1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DATA!$B$191:$B$211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DATA!$AW$191:$AW$211</c:f>
              <c:numCache>
                <c:formatCode>General</c:formatCode>
                <c:ptCount val="21"/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3A-4471-8C74-FB004B60C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62048"/>
        <c:axId val="1300273088"/>
      </c:lineChart>
      <c:catAx>
        <c:axId val="130026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73088"/>
        <c:crosses val="autoZero"/>
        <c:auto val="1"/>
        <c:lblAlgn val="ctr"/>
        <c:lblOffset val="100"/>
        <c:noMultiLvlLbl val="0"/>
      </c:catAx>
      <c:valAx>
        <c:axId val="130027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DATA!$M$212:$M$232</c:f>
              <c:numCache>
                <c:formatCode>General</c:formatCode>
                <c:ptCount val="21"/>
                <c:pt idx="0">
                  <c:v>4.14048658137205E-2</c:v>
                </c:pt>
                <c:pt idx="1">
                  <c:v>4.73407608728292E-2</c:v>
                </c:pt>
                <c:pt idx="2">
                  <c:v>5.4348896307616003E-2</c:v>
                </c:pt>
                <c:pt idx="3">
                  <c:v>6.2551141538474603E-2</c:v>
                </c:pt>
                <c:pt idx="4">
                  <c:v>7.2148877622029206E-2</c:v>
                </c:pt>
                <c:pt idx="5">
                  <c:v>8.3365269988579405E-2</c:v>
                </c:pt>
                <c:pt idx="6">
                  <c:v>9.6383269034683902E-2</c:v>
                </c:pt>
                <c:pt idx="7">
                  <c:v>0.111353540216582</c:v>
                </c:pt>
                <c:pt idx="8">
                  <c:v>0.12820725329666499</c:v>
                </c:pt>
                <c:pt idx="9">
                  <c:v>0.14697610076759399</c:v>
                </c:pt>
                <c:pt idx="10">
                  <c:v>0.167047635326244</c:v>
                </c:pt>
                <c:pt idx="11">
                  <c:v>0.18753664476804999</c:v>
                </c:pt>
                <c:pt idx="12">
                  <c:v>0.20710892514839099</c:v>
                </c:pt>
                <c:pt idx="13">
                  <c:v>0.224157920964003</c:v>
                </c:pt>
                <c:pt idx="14">
                  <c:v>0.23717681812242999</c:v>
                </c:pt>
                <c:pt idx="15">
                  <c:v>0.24485389306046601</c:v>
                </c:pt>
                <c:pt idx="16">
                  <c:v>0.24679298628768601</c:v>
                </c:pt>
                <c:pt idx="17">
                  <c:v>0.24323536110472499</c:v>
                </c:pt>
                <c:pt idx="18">
                  <c:v>0.235590524739827</c:v>
                </c:pt>
                <c:pt idx="19">
                  <c:v>0.22528153206024501</c:v>
                </c:pt>
                <c:pt idx="20">
                  <c:v>0.22150473141075899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2-4883-810B-2C2DB36AE49D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DATA!$N$212:$N$232</c:f>
              <c:numCache>
                <c:formatCode>General</c:formatCode>
                <c:ptCount val="21"/>
                <c:pt idx="0">
                  <c:v>8.4488319141191301E-2</c:v>
                </c:pt>
                <c:pt idx="1">
                  <c:v>8.9485042141196902E-2</c:v>
                </c:pt>
                <c:pt idx="2">
                  <c:v>9.4550779240282101E-2</c:v>
                </c:pt>
                <c:pt idx="3">
                  <c:v>9.9586711832521393E-2</c:v>
                </c:pt>
                <c:pt idx="4">
                  <c:v>0.104436688504637</c:v>
                </c:pt>
                <c:pt idx="5">
                  <c:v>0.10885922356849601</c:v>
                </c:pt>
                <c:pt idx="6">
                  <c:v>0.112489949987736</c:v>
                </c:pt>
                <c:pt idx="7">
                  <c:v>0.11484427751996901</c:v>
                </c:pt>
                <c:pt idx="8">
                  <c:v>0.115215225605751</c:v>
                </c:pt>
                <c:pt idx="9">
                  <c:v>0.112965064165521</c:v>
                </c:pt>
                <c:pt idx="10">
                  <c:v>0.107181880203879</c:v>
                </c:pt>
                <c:pt idx="11">
                  <c:v>9.7089660130467895E-2</c:v>
                </c:pt>
                <c:pt idx="12">
                  <c:v>8.2312671059520795E-2</c:v>
                </c:pt>
                <c:pt idx="13">
                  <c:v>6.2726082862122307E-2</c:v>
                </c:pt>
                <c:pt idx="14">
                  <c:v>3.9163182079870497E-2</c:v>
                </c:pt>
                <c:pt idx="15">
                  <c:v>1.33588146863701E-2</c:v>
                </c:pt>
                <c:pt idx="16">
                  <c:v>-1.2926060763292601E-2</c:v>
                </c:pt>
                <c:pt idx="17">
                  <c:v>-3.7805709297100698E-2</c:v>
                </c:pt>
                <c:pt idx="18">
                  <c:v>-5.9974102839282298E-2</c:v>
                </c:pt>
                <c:pt idx="19">
                  <c:v>-7.8426650639072198E-2</c:v>
                </c:pt>
                <c:pt idx="20">
                  <c:v>-8.7871439273324206E-2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72-4883-810B-2C2DB36AE49D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DATA!$AU$212:$AU$232</c:f>
              <c:numCache>
                <c:formatCode>General</c:formatCode>
                <c:ptCount val="21"/>
                <c:pt idx="16">
                  <c:v>0.24679298628768601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72-4883-810B-2C2DB36AE49D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DATA!$B$212:$B$232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DATA!$AW$212:$AW$232</c:f>
              <c:numCache>
                <c:formatCode>General</c:formatCode>
                <c:ptCount val="21"/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72-4883-810B-2C2DB36AE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281728"/>
        <c:axId val="1300285568"/>
      </c:lineChart>
      <c:catAx>
        <c:axId val="1300281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85568"/>
        <c:crosses val="autoZero"/>
        <c:auto val="1"/>
        <c:lblAlgn val="ctr"/>
        <c:lblOffset val="100"/>
        <c:noMultiLvlLbl val="0"/>
      </c:catAx>
      <c:valAx>
        <c:axId val="13002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81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2.8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DATA!$M$233:$M$253</c:f>
              <c:numCache>
                <c:formatCode>General</c:formatCode>
                <c:ptCount val="21"/>
                <c:pt idx="0">
                  <c:v>4.5736256131991997E-2</c:v>
                </c:pt>
                <c:pt idx="1">
                  <c:v>5.2216730031161097E-2</c:v>
                </c:pt>
                <c:pt idx="2">
                  <c:v>5.9835532029578198E-2</c:v>
                </c:pt>
                <c:pt idx="3">
                  <c:v>6.8762606637821896E-2</c:v>
                </c:pt>
                <c:pt idx="4">
                  <c:v>7.9151010890893395E-2</c:v>
                </c:pt>
                <c:pt idx="5">
                  <c:v>9.1219800229997705E-2</c:v>
                </c:pt>
                <c:pt idx="6">
                  <c:v>0.105329851780347</c:v>
                </c:pt>
                <c:pt idx="7">
                  <c:v>0.121541567686093</c:v>
                </c:pt>
                <c:pt idx="8">
                  <c:v>0.13997888280854601</c:v>
                </c:pt>
                <c:pt idx="9">
                  <c:v>0.16056425306159</c:v>
                </c:pt>
                <c:pt idx="10">
                  <c:v>0.18288154725446601</c:v>
                </c:pt>
                <c:pt idx="11">
                  <c:v>0.206133993122222</c:v>
                </c:pt>
                <c:pt idx="12">
                  <c:v>0.229085014607457</c:v>
                </c:pt>
                <c:pt idx="13">
                  <c:v>0.24998956869849401</c:v>
                </c:pt>
                <c:pt idx="14">
                  <c:v>0.26704326876371698</c:v>
                </c:pt>
                <c:pt idx="15">
                  <c:v>0.27873002166113497</c:v>
                </c:pt>
                <c:pt idx="16">
                  <c:v>0.28426288810855399</c:v>
                </c:pt>
                <c:pt idx="17">
                  <c:v>0.28351053302109303</c:v>
                </c:pt>
                <c:pt idx="18">
                  <c:v>0.27737656592937399</c:v>
                </c:pt>
                <c:pt idx="19">
                  <c:v>0.267513367097994</c:v>
                </c:pt>
                <c:pt idx="20">
                  <c:v>0.26208789438033098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E-4B90-898E-1999A87530B9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DATA!$N$233:$N$253</c:f>
              <c:numCache>
                <c:formatCode>General</c:formatCode>
                <c:ptCount val="21"/>
                <c:pt idx="0">
                  <c:v>9.6771255252943097E-2</c:v>
                </c:pt>
                <c:pt idx="1">
                  <c:v>0.102399136965644</c:v>
                </c:pt>
                <c:pt idx="2">
                  <c:v>0.108206647726045</c:v>
                </c:pt>
                <c:pt idx="3">
                  <c:v>0.113992421787178</c:v>
                </c:pt>
                <c:pt idx="4">
                  <c:v>0.11963083072521299</c:v>
                </c:pt>
                <c:pt idx="5">
                  <c:v>0.124865190558047</c:v>
                </c:pt>
                <c:pt idx="6">
                  <c:v>0.12933445096201801</c:v>
                </c:pt>
                <c:pt idx="7">
                  <c:v>0.13266393930276099</c:v>
                </c:pt>
                <c:pt idx="8">
                  <c:v>0.13412069798099099</c:v>
                </c:pt>
                <c:pt idx="9">
                  <c:v>0.13290430356837701</c:v>
                </c:pt>
                <c:pt idx="10">
                  <c:v>0.12811058870185599</c:v>
                </c:pt>
                <c:pt idx="11">
                  <c:v>0.118832572250805</c:v>
                </c:pt>
                <c:pt idx="12">
                  <c:v>0.10435536712209501</c:v>
                </c:pt>
                <c:pt idx="13">
                  <c:v>8.4525285412388004E-2</c:v>
                </c:pt>
                <c:pt idx="14">
                  <c:v>5.9944684840565102E-2</c:v>
                </c:pt>
                <c:pt idx="15">
                  <c:v>3.17945172372592E-2</c:v>
                </c:pt>
                <c:pt idx="16">
                  <c:v>1.9839267277266602E-3</c:v>
                </c:pt>
                <c:pt idx="17">
                  <c:v>-2.7093834377465601E-2</c:v>
                </c:pt>
                <c:pt idx="18">
                  <c:v>-5.3788992446557202E-2</c:v>
                </c:pt>
                <c:pt idx="19">
                  <c:v>-7.67977954728295E-2</c:v>
                </c:pt>
                <c:pt idx="20">
                  <c:v>-9.0740677251871696E-2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E-4B90-898E-1999A87530B9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DATA!$AU$233:$AU$253</c:f>
              <c:numCache>
                <c:formatCode>General</c:formatCode>
                <c:ptCount val="21"/>
                <c:pt idx="16">
                  <c:v>0.28426288810855399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EE-4B90-898E-1999A87530B9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DATA!$B$233:$B$253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DATA!$AW$233:$AW$253</c:f>
              <c:numCache>
                <c:formatCode>General</c:formatCode>
                <c:ptCount val="21"/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EE-4B90-898E-1999A8753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87152"/>
        <c:axId val="1788684752"/>
      </c:lineChart>
      <c:catAx>
        <c:axId val="178868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684752"/>
        <c:crosses val="autoZero"/>
        <c:auto val="1"/>
        <c:lblAlgn val="ctr"/>
        <c:lblOffset val="100"/>
        <c:noMultiLvlLbl val="0"/>
      </c:catAx>
      <c:valAx>
        <c:axId val="17886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68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DATA!$M$254:$M$274</c:f>
              <c:numCache>
                <c:formatCode>General</c:formatCode>
                <c:ptCount val="21"/>
                <c:pt idx="0">
                  <c:v>5.0644455870259501E-2</c:v>
                </c:pt>
                <c:pt idx="1">
                  <c:v>5.7753740559824199E-2</c:v>
                </c:pt>
                <c:pt idx="2">
                  <c:v>6.6058299663101103E-2</c:v>
                </c:pt>
                <c:pt idx="3">
                  <c:v>7.5730324654598294E-2</c:v>
                </c:pt>
                <c:pt idx="4">
                  <c:v>8.7013505083248094E-2</c:v>
                </c:pt>
                <c:pt idx="5">
                  <c:v>0.100163344647831</c:v>
                </c:pt>
                <c:pt idx="6">
                  <c:v>0.115423638768994</c:v>
                </c:pt>
                <c:pt idx="7">
                  <c:v>0.13303390137378401</c:v>
                </c:pt>
                <c:pt idx="8">
                  <c:v>0.153137111618801</c:v>
                </c:pt>
                <c:pt idx="9">
                  <c:v>0.17568348802292399</c:v>
                </c:pt>
                <c:pt idx="10">
                  <c:v>0.20032219699703599</c:v>
                </c:pt>
                <c:pt idx="11">
                  <c:v>0.22623085930745701</c:v>
                </c:pt>
                <c:pt idx="12">
                  <c:v>0.252394571821909</c:v>
                </c:pt>
                <c:pt idx="13">
                  <c:v>0.276959241613286</c:v>
                </c:pt>
                <c:pt idx="14">
                  <c:v>0.29797589402670199</c:v>
                </c:pt>
                <c:pt idx="15">
                  <c:v>0.31368870802618098</c:v>
                </c:pt>
                <c:pt idx="16">
                  <c:v>0.32265671266347801</c:v>
                </c:pt>
                <c:pt idx="17">
                  <c:v>0.32476594287609201</c:v>
                </c:pt>
                <c:pt idx="18">
                  <c:v>0.32033330263518001</c:v>
                </c:pt>
                <c:pt idx="19">
                  <c:v>0.311035294663914</c:v>
                </c:pt>
                <c:pt idx="20">
                  <c:v>0.306232811504557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B-48F8-8D52-6C28B024D81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DATA!$N$254:$N$274</c:f>
              <c:numCache>
                <c:formatCode>General</c:formatCode>
                <c:ptCount val="21"/>
                <c:pt idx="0">
                  <c:v>0.11016762790666899</c:v>
                </c:pt>
                <c:pt idx="1">
                  <c:v>0.116551958154253</c:v>
                </c:pt>
                <c:pt idx="2">
                  <c:v>0.123047009335922</c:v>
                </c:pt>
                <c:pt idx="3">
                  <c:v>0.12959041228419299</c:v>
                </c:pt>
                <c:pt idx="4">
                  <c:v>0.136031060231214</c:v>
                </c:pt>
                <c:pt idx="5">
                  <c:v>0.14212607503885799</c:v>
                </c:pt>
                <c:pt idx="6">
                  <c:v>0.147517168214365</c:v>
                </c:pt>
                <c:pt idx="7">
                  <c:v>0.15171755338051199</c:v>
                </c:pt>
                <c:pt idx="8">
                  <c:v>0.15398985565041901</c:v>
                </c:pt>
                <c:pt idx="9">
                  <c:v>0.15363623504952201</c:v>
                </c:pt>
                <c:pt idx="10">
                  <c:v>0.149614036830964</c:v>
                </c:pt>
                <c:pt idx="11">
                  <c:v>0.14093495943040399</c:v>
                </c:pt>
                <c:pt idx="12">
                  <c:v>0.126691233532708</c:v>
                </c:pt>
                <c:pt idx="13">
                  <c:v>0.106505499702814</c:v>
                </c:pt>
                <c:pt idx="14">
                  <c:v>8.0662456594228604E-2</c:v>
                </c:pt>
                <c:pt idx="15">
                  <c:v>5.0293710773957799E-2</c:v>
                </c:pt>
                <c:pt idx="16">
                  <c:v>1.7411697580143101E-2</c:v>
                </c:pt>
                <c:pt idx="17">
                  <c:v>-1.5781321392094799E-2</c:v>
                </c:pt>
                <c:pt idx="18">
                  <c:v>-4.6878845042516E-2</c:v>
                </c:pt>
                <c:pt idx="19">
                  <c:v>-7.4614459404359804E-2</c:v>
                </c:pt>
                <c:pt idx="20">
                  <c:v>-9.0152391534150098E-2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FB-48F8-8D52-6C28B024D813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DATA!$AU$254:$AU$274</c:f>
              <c:numCache>
                <c:formatCode>General</c:formatCode>
                <c:ptCount val="21"/>
                <c:pt idx="17">
                  <c:v>0.32476594287609201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FB-48F8-8D52-6C28B024D813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DATA!$B$254:$B$274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DATA!$AW$254:$AW$274</c:f>
              <c:numCache>
                <c:formatCode>General</c:formatCode>
                <c:ptCount val="21"/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FB-48F8-8D52-6C28B024D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682352"/>
        <c:axId val="1788702992"/>
      </c:lineChart>
      <c:catAx>
        <c:axId val="178868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02992"/>
        <c:crosses val="autoZero"/>
        <c:auto val="1"/>
        <c:lblAlgn val="ctr"/>
        <c:lblOffset val="100"/>
        <c:noMultiLvlLbl val="0"/>
      </c:catAx>
      <c:valAx>
        <c:axId val="17887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6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DATA!$M$275:$M$295</c:f>
              <c:numCache>
                <c:formatCode>General</c:formatCode>
                <c:ptCount val="21"/>
                <c:pt idx="0">
                  <c:v>5.4786584895802001E-2</c:v>
                </c:pt>
                <c:pt idx="1">
                  <c:v>6.2362186437008797E-2</c:v>
                </c:pt>
                <c:pt idx="2">
                  <c:v>7.1153573887336993E-2</c:v>
                </c:pt>
                <c:pt idx="3">
                  <c:v>8.1385713544802799E-2</c:v>
                </c:pt>
                <c:pt idx="4">
                  <c:v>9.3302414174636597E-2</c:v>
                </c:pt>
                <c:pt idx="5">
                  <c:v>0.107173047891786</c:v>
                </c:pt>
                <c:pt idx="6">
                  <c:v>0.123280290916838</c:v>
                </c:pt>
                <c:pt idx="7">
                  <c:v>0.141874248385323</c:v>
                </c:pt>
                <c:pt idx="8">
                  <c:v>0.163135278691736</c:v>
                </c:pt>
                <c:pt idx="9">
                  <c:v>0.18721892676065999</c:v>
                </c:pt>
                <c:pt idx="10">
                  <c:v>0.21376764705394999</c:v>
                </c:pt>
                <c:pt idx="11">
                  <c:v>0.24212774163299799</c:v>
                </c:pt>
                <c:pt idx="12">
                  <c:v>0.271393307977016</c:v>
                </c:pt>
                <c:pt idx="13">
                  <c:v>0.29985746068353702</c:v>
                </c:pt>
                <c:pt idx="14">
                  <c:v>0.325507998406243</c:v>
                </c:pt>
                <c:pt idx="15">
                  <c:v>0.34619834349989798</c:v>
                </c:pt>
                <c:pt idx="16">
                  <c:v>0.36031591986696199</c:v>
                </c:pt>
                <c:pt idx="17">
                  <c:v>0.36691106276108598</c:v>
                </c:pt>
                <c:pt idx="18">
                  <c:v>0.36614329785437799</c:v>
                </c:pt>
                <c:pt idx="19">
                  <c:v>0.35918821322143202</c:v>
                </c:pt>
                <c:pt idx="20">
                  <c:v>0.35307352507072598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E-49ED-B0DE-D6F0DE176F4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DATA!$N$275:$N$295</c:f>
              <c:numCache>
                <c:formatCode>General</c:formatCode>
                <c:ptCount val="21"/>
                <c:pt idx="0">
                  <c:v>0.12307249654443</c:v>
                </c:pt>
                <c:pt idx="1">
                  <c:v>0.13013909248529601</c:v>
                </c:pt>
                <c:pt idx="2">
                  <c:v>0.137341846575218</c:v>
                </c:pt>
                <c:pt idx="3">
                  <c:v>0.14465420370208201</c:v>
                </c:pt>
                <c:pt idx="4">
                  <c:v>0.151928933281683</c:v>
                </c:pt>
                <c:pt idx="5">
                  <c:v>0.15893556781360299</c:v>
                </c:pt>
                <c:pt idx="6">
                  <c:v>0.16533681325753199</c:v>
                </c:pt>
                <c:pt idx="7">
                  <c:v>0.17065490012724199</c:v>
                </c:pt>
                <c:pt idx="8">
                  <c:v>0.174248075987401</c:v>
                </c:pt>
                <c:pt idx="9">
                  <c:v>0.175285291472385</c:v>
                </c:pt>
                <c:pt idx="10">
                  <c:v>0.172767014059278</c:v>
                </c:pt>
                <c:pt idx="11">
                  <c:v>0.16558669030918799</c:v>
                </c:pt>
                <c:pt idx="12">
                  <c:v>0.15274831758391499</c:v>
                </c:pt>
                <c:pt idx="13">
                  <c:v>0.13354263524207599</c:v>
                </c:pt>
                <c:pt idx="14">
                  <c:v>0.107929915042505</c:v>
                </c:pt>
                <c:pt idx="15">
                  <c:v>7.6680270836336203E-2</c:v>
                </c:pt>
                <c:pt idx="16">
                  <c:v>4.1413770964371197E-2</c:v>
                </c:pt>
                <c:pt idx="17">
                  <c:v>4.7941347256891496E-3</c:v>
                </c:pt>
                <c:pt idx="18">
                  <c:v>-3.11662429616682E-2</c:v>
                </c:pt>
                <c:pt idx="19">
                  <c:v>-6.3896986994507396E-2</c:v>
                </c:pt>
                <c:pt idx="20">
                  <c:v>-8.5920412129074003E-2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FE-49ED-B0DE-D6F0DE176F4C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DATA!$AU$275:$AU$295</c:f>
              <c:numCache>
                <c:formatCode>General</c:formatCode>
                <c:ptCount val="21"/>
                <c:pt idx="17">
                  <c:v>0.36691106276108598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FE-49ED-B0DE-D6F0DE176F4C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DATA!$B$275:$B$295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DATA!$AW$275:$AW$295</c:f>
              <c:numCache>
                <c:formatCode>General</c:formatCode>
                <c:ptCount val="21"/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FE-49ED-B0DE-D6F0DE176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662640"/>
        <c:axId val="1312661200"/>
      </c:lineChart>
      <c:catAx>
        <c:axId val="13126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61200"/>
        <c:crosses val="autoZero"/>
        <c:auto val="1"/>
        <c:lblAlgn val="ctr"/>
        <c:lblOffset val="100"/>
        <c:noMultiLvlLbl val="0"/>
      </c:catAx>
      <c:valAx>
        <c:axId val="131266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66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DATA!$M$296:$M$316</c:f>
              <c:numCache>
                <c:formatCode>General</c:formatCode>
                <c:ptCount val="21"/>
                <c:pt idx="0">
                  <c:v>5.9201633098633598E-2</c:v>
                </c:pt>
                <c:pt idx="1">
                  <c:v>6.7315951902377602E-2</c:v>
                </c:pt>
                <c:pt idx="2">
                  <c:v>7.6669046250430195E-2</c:v>
                </c:pt>
                <c:pt idx="3">
                  <c:v>8.7516008682831506E-2</c:v>
                </c:pt>
                <c:pt idx="4">
                  <c:v>0.100122297194008</c:v>
                </c:pt>
                <c:pt idx="5">
                  <c:v>0.11477357677677</c:v>
                </c:pt>
                <c:pt idx="6">
                  <c:v>0.131767664663022</c:v>
                </c:pt>
                <c:pt idx="7">
                  <c:v>0.15139091900071</c:v>
                </c:pt>
                <c:pt idx="8">
                  <c:v>0.17396654599433301</c:v>
                </c:pt>
                <c:pt idx="9">
                  <c:v>0.199480599622643</c:v>
                </c:pt>
                <c:pt idx="10">
                  <c:v>0.22776902897020501</c:v>
                </c:pt>
                <c:pt idx="11">
                  <c:v>0.25849380824088902</c:v>
                </c:pt>
                <c:pt idx="12">
                  <c:v>0.29062348818318701</c:v>
                </c:pt>
                <c:pt idx="13">
                  <c:v>0.32257194632334601</c:v>
                </c:pt>
                <c:pt idx="14">
                  <c:v>0.35248397470260201</c:v>
                </c:pt>
                <c:pt idx="15">
                  <c:v>0.37804839747869101</c:v>
                </c:pt>
                <c:pt idx="16">
                  <c:v>0.39706448038425801</c:v>
                </c:pt>
                <c:pt idx="17">
                  <c:v>0.40828203412981101</c:v>
                </c:pt>
                <c:pt idx="18">
                  <c:v>0.41136306928824101</c:v>
                </c:pt>
                <c:pt idx="19">
                  <c:v>0.40736156337129098</c:v>
                </c:pt>
                <c:pt idx="20">
                  <c:v>0.40273693012907702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14-4E8B-BB1F-DCD862693990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DATA!$N$296:$N$316</c:f>
              <c:numCache>
                <c:formatCode>General</c:formatCode>
                <c:ptCount val="21"/>
                <c:pt idx="0">
                  <c:v>0.13659454215556299</c:v>
                </c:pt>
                <c:pt idx="1">
                  <c:v>0.14435986035060799</c:v>
                </c:pt>
                <c:pt idx="2">
                  <c:v>0.15230188216121601</c:v>
                </c:pt>
                <c:pt idx="3">
                  <c:v>0.160388327361635</c:v>
                </c:pt>
                <c:pt idx="4">
                  <c:v>0.16848681611260399</c:v>
                </c:pt>
                <c:pt idx="5">
                  <c:v>0.17637765596082999</c:v>
                </c:pt>
                <c:pt idx="6">
                  <c:v>0.18373431941174001</c:v>
                </c:pt>
                <c:pt idx="7">
                  <c:v>0.19009451669675501</c:v>
                </c:pt>
                <c:pt idx="8">
                  <c:v>0.19483625418808201</c:v>
                </c:pt>
                <c:pt idx="9">
                  <c:v>0.19711720838101099</c:v>
                </c:pt>
                <c:pt idx="10">
                  <c:v>0.195856396567506</c:v>
                </c:pt>
                <c:pt idx="11">
                  <c:v>0.190044300630172</c:v>
                </c:pt>
                <c:pt idx="12">
                  <c:v>0.178471587962861</c:v>
                </c:pt>
                <c:pt idx="13">
                  <c:v>0.16027708243901401</c:v>
                </c:pt>
                <c:pt idx="14">
                  <c:v>0.134974002283681</c:v>
                </c:pt>
                <c:pt idx="15">
                  <c:v>0.10314234281974299</c:v>
                </c:pt>
                <c:pt idx="16">
                  <c:v>6.6226021953579101E-2</c:v>
                </c:pt>
                <c:pt idx="17">
                  <c:v>2.6592125155323301E-2</c:v>
                </c:pt>
                <c:pt idx="18">
                  <c:v>-1.3295501812585901E-2</c:v>
                </c:pt>
                <c:pt idx="19">
                  <c:v>-5.0694051392114997E-2</c:v>
                </c:pt>
                <c:pt idx="20">
                  <c:v>-7.6604920799992093E-2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14-4E8B-BB1F-DCD862693990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DATA!$AU$296:$AU$316</c:f>
              <c:numCache>
                <c:formatCode>General</c:formatCode>
                <c:ptCount val="21"/>
                <c:pt idx="18">
                  <c:v>0.41136306928824101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14-4E8B-BB1F-DCD862693990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DATA!$B$296:$B$316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DATA!$AW$296:$AW$316</c:f>
              <c:numCache>
                <c:formatCode>General</c:formatCode>
                <c:ptCount val="21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14-4E8B-BB1F-DCD862693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1676832"/>
        <c:axId val="1301677312"/>
      </c:lineChart>
      <c:catAx>
        <c:axId val="130167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77312"/>
        <c:crosses val="autoZero"/>
        <c:auto val="1"/>
        <c:lblAlgn val="ctr"/>
        <c:lblOffset val="100"/>
        <c:noMultiLvlLbl val="0"/>
      </c:catAx>
      <c:valAx>
        <c:axId val="130167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7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DATA!$M$317:$M$337</c:f>
              <c:numCache>
                <c:formatCode>General</c:formatCode>
                <c:ptCount val="21"/>
                <c:pt idx="0">
                  <c:v>6.3642493742893796E-2</c:v>
                </c:pt>
                <c:pt idx="1">
                  <c:v>7.2177527659522595E-2</c:v>
                </c:pt>
                <c:pt idx="2">
                  <c:v>8.2095560773581697E-2</c:v>
                </c:pt>
                <c:pt idx="3">
                  <c:v>9.3643479431966395E-2</c:v>
                </c:pt>
                <c:pt idx="4">
                  <c:v>0.106978016743313</c:v>
                </c:pt>
                <c:pt idx="5">
                  <c:v>0.12243669163581899</c:v>
                </c:pt>
                <c:pt idx="6">
                  <c:v>0.14037953462731001</c:v>
                </c:pt>
                <c:pt idx="7">
                  <c:v>0.16110644600002499</c:v>
                </c:pt>
                <c:pt idx="8">
                  <c:v>0.18488634892429301</c:v>
                </c:pt>
                <c:pt idx="9">
                  <c:v>0.21190521367731399</c:v>
                </c:pt>
                <c:pt idx="10">
                  <c:v>0.24208864411797101</c:v>
                </c:pt>
                <c:pt idx="11">
                  <c:v>0.27506284092341399</c:v>
                </c:pt>
                <c:pt idx="12">
                  <c:v>0.30997453802026997</c:v>
                </c:pt>
                <c:pt idx="13">
                  <c:v>0.34549219153999</c:v>
                </c:pt>
                <c:pt idx="14">
                  <c:v>0.37946735507884</c:v>
                </c:pt>
                <c:pt idx="15">
                  <c:v>0.40951601774542201</c:v>
                </c:pt>
                <c:pt idx="16">
                  <c:v>0.43345183090086897</c:v>
                </c:pt>
                <c:pt idx="17">
                  <c:v>0.44953845027433997</c:v>
                </c:pt>
                <c:pt idx="18">
                  <c:v>0.45688944626863698</c:v>
                </c:pt>
                <c:pt idx="19">
                  <c:v>0.45606053305019401</c:v>
                </c:pt>
                <c:pt idx="20">
                  <c:v>0.45382814930089499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B-4985-B514-F0CF3B3E88E8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DATA!$N$317:$N$337</c:f>
              <c:numCache>
                <c:formatCode>General</c:formatCode>
                <c:ptCount val="21"/>
                <c:pt idx="0">
                  <c:v>0.150557878632432</c:v>
                </c:pt>
                <c:pt idx="1">
                  <c:v>0.15910882347136099</c:v>
                </c:pt>
                <c:pt idx="2">
                  <c:v>0.167809311388736</c:v>
                </c:pt>
                <c:pt idx="3">
                  <c:v>0.17671605491930101</c:v>
                </c:pt>
                <c:pt idx="4">
                  <c:v>0.185654300375764</c:v>
                </c:pt>
                <c:pt idx="5">
                  <c:v>0.194450773744133</c:v>
                </c:pt>
                <c:pt idx="6">
                  <c:v>0.20279559386413401</c:v>
                </c:pt>
                <c:pt idx="7">
                  <c:v>0.21022079317779599</c:v>
                </c:pt>
                <c:pt idx="8">
                  <c:v>0.21609862568549401</c:v>
                </c:pt>
                <c:pt idx="9">
                  <c:v>0.21961954733216399</c:v>
                </c:pt>
                <c:pt idx="10">
                  <c:v>0.219738086710033</c:v>
                </c:pt>
                <c:pt idx="11">
                  <c:v>0.21526907855163499</c:v>
                </c:pt>
                <c:pt idx="12">
                  <c:v>0.20497280059617401</c:v>
                </c:pt>
                <c:pt idx="13">
                  <c:v>0.18771104534789099</c:v>
                </c:pt>
                <c:pt idx="14">
                  <c:v>0.162927453492451</c:v>
                </c:pt>
                <c:pt idx="15">
                  <c:v>0.13088482898249801</c:v>
                </c:pt>
                <c:pt idx="16">
                  <c:v>9.2598890575365897E-2</c:v>
                </c:pt>
                <c:pt idx="17">
                  <c:v>5.0156371810466199E-2</c:v>
                </c:pt>
                <c:pt idx="18">
                  <c:v>6.62105137497311E-3</c:v>
                </c:pt>
                <c:pt idx="19">
                  <c:v>-3.5573453821581301E-2</c:v>
                </c:pt>
                <c:pt idx="20">
                  <c:v>-6.31782900177046E-2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B-4985-B514-F0CF3B3E88E8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DATA!$AU$317:$AU$337</c:f>
              <c:numCache>
                <c:formatCode>General</c:formatCode>
                <c:ptCount val="21"/>
                <c:pt idx="18">
                  <c:v>0.45688944626863698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B-4985-B514-F0CF3B3E88E8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DATA!$B$317:$B$337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DATA!$AW$317:$AW$337</c:f>
              <c:numCache>
                <c:formatCode>General</c:formatCode>
                <c:ptCount val="21"/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5B-4985-B514-F0CF3B3E88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548448"/>
        <c:axId val="1430265984"/>
      </c:lineChart>
      <c:catAx>
        <c:axId val="174454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265984"/>
        <c:crosses val="autoZero"/>
        <c:auto val="1"/>
        <c:lblAlgn val="ctr"/>
        <c:lblOffset val="100"/>
        <c:noMultiLvlLbl val="0"/>
      </c:catAx>
      <c:valAx>
        <c:axId val="143026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54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3.8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DATA!$M$338:$M$358</c:f>
              <c:numCache>
                <c:formatCode>General</c:formatCode>
                <c:ptCount val="21"/>
                <c:pt idx="0">
                  <c:v>6.7917259375469302E-2</c:v>
                </c:pt>
                <c:pt idx="1">
                  <c:v>7.69799633078595E-2</c:v>
                </c:pt>
                <c:pt idx="2">
                  <c:v>8.7382104659311996E-2</c:v>
                </c:pt>
                <c:pt idx="3">
                  <c:v>9.9402226453577602E-2</c:v>
                </c:pt>
                <c:pt idx="4">
                  <c:v>0.113327826122972</c:v>
                </c:pt>
                <c:pt idx="5">
                  <c:v>0.12947087568124599</c:v>
                </c:pt>
                <c:pt idx="6">
                  <c:v>0.148152824354988</c:v>
                </c:pt>
                <c:pt idx="7">
                  <c:v>0.169730036336838</c:v>
                </c:pt>
                <c:pt idx="8">
                  <c:v>0.19450506311990201</c:v>
                </c:pt>
                <c:pt idx="9">
                  <c:v>0.22268604045121901</c:v>
                </c:pt>
                <c:pt idx="10">
                  <c:v>0.25430863123713399</c:v>
                </c:pt>
                <c:pt idx="11">
                  <c:v>0.28909404673646999</c:v>
                </c:pt>
                <c:pt idx="12">
                  <c:v>0.32648183389997099</c:v>
                </c:pt>
                <c:pt idx="13">
                  <c:v>0.36503102310543101</c:v>
                </c:pt>
                <c:pt idx="14">
                  <c:v>0.402962102786038</c:v>
                </c:pt>
                <c:pt idx="15">
                  <c:v>0.437742252308779</c:v>
                </c:pt>
                <c:pt idx="16">
                  <c:v>0.46694258397736599</c:v>
                </c:pt>
                <c:pt idx="17">
                  <c:v>0.48851339864338</c:v>
                </c:pt>
                <c:pt idx="18">
                  <c:v>0.50118164110761099</c:v>
                </c:pt>
                <c:pt idx="19">
                  <c:v>0.50488243444164205</c:v>
                </c:pt>
                <c:pt idx="20">
                  <c:v>0.50519939666198499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7C-41AB-9E6F-5BCCAB591B1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DATA!$N$338:$N$358</c:f>
              <c:numCache>
                <c:formatCode>General</c:formatCode>
                <c:ptCount val="21"/>
                <c:pt idx="0">
                  <c:v>0.164491220501889</c:v>
                </c:pt>
                <c:pt idx="1">
                  <c:v>0.17372025154076201</c:v>
                </c:pt>
                <c:pt idx="2">
                  <c:v>0.18313686210998001</c:v>
                </c:pt>
                <c:pt idx="3">
                  <c:v>0.19279401146712799</c:v>
                </c:pt>
                <c:pt idx="4">
                  <c:v>0.202575624053598</c:v>
                </c:pt>
                <c:pt idx="5">
                  <c:v>0.2122790041432</c:v>
                </c:pt>
                <c:pt idx="6">
                  <c:v>0.221519635726345</c:v>
                </c:pt>
                <c:pt idx="7">
                  <c:v>0.23001186520676101</c:v>
                </c:pt>
                <c:pt idx="8">
                  <c:v>0.23708021810705299</c:v>
                </c:pt>
                <c:pt idx="9">
                  <c:v>0.24192607770742</c:v>
                </c:pt>
                <c:pt idx="10">
                  <c:v>0.243540657986478</c:v>
                </c:pt>
                <c:pt idx="11">
                  <c:v>0.24075656712148899</c:v>
                </c:pt>
                <c:pt idx="12">
                  <c:v>0.232196883142857</c:v>
                </c:pt>
                <c:pt idx="13">
                  <c:v>0.21663638794609499</c:v>
                </c:pt>
                <c:pt idx="14">
                  <c:v>0.19320689927867499</c:v>
                </c:pt>
                <c:pt idx="15">
                  <c:v>0.16180238549881701</c:v>
                </c:pt>
                <c:pt idx="16">
                  <c:v>0.123339214091247</c:v>
                </c:pt>
                <c:pt idx="17">
                  <c:v>7.9475426444966704E-2</c:v>
                </c:pt>
                <c:pt idx="18">
                  <c:v>3.2883801629699998E-2</c:v>
                </c:pt>
                <c:pt idx="19">
                  <c:v>-1.31895975555188E-2</c:v>
                </c:pt>
                <c:pt idx="20">
                  <c:v>-4.29597416499694E-2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C-41AB-9E6F-5BCCAB591B1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DATA!$AU$338:$AU$358</c:f>
              <c:numCache>
                <c:formatCode>General</c:formatCode>
                <c:ptCount val="21"/>
                <c:pt idx="20">
                  <c:v>0.50519939666198499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C-41AB-9E6F-5BCCAB591B11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DATA!$B$338:$B$358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DATA!$AW$338:$AW$358</c:f>
              <c:numCache>
                <c:formatCode>General</c:formatCode>
                <c:ptCount val="21"/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7C-41AB-9E6F-5BCCAB591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03952"/>
        <c:axId val="1788704432"/>
      </c:lineChart>
      <c:catAx>
        <c:axId val="178870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04432"/>
        <c:crosses val="autoZero"/>
        <c:auto val="1"/>
        <c:lblAlgn val="ctr"/>
        <c:lblOffset val="100"/>
        <c:noMultiLvlLbl val="0"/>
      </c:catAx>
      <c:valAx>
        <c:axId val="178870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0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DATA!$M$359:$M$379</c:f>
              <c:numCache>
                <c:formatCode>General</c:formatCode>
                <c:ptCount val="21"/>
                <c:pt idx="0">
                  <c:v>7.1993935118860194E-2</c:v>
                </c:pt>
                <c:pt idx="1">
                  <c:v>8.1419745357550102E-2</c:v>
                </c:pt>
                <c:pt idx="2">
                  <c:v>9.2251131636761005E-2</c:v>
                </c:pt>
                <c:pt idx="3">
                  <c:v>0.10474634010415</c:v>
                </c:pt>
                <c:pt idx="4">
                  <c:v>0.1191979627377</c:v>
                </c:pt>
                <c:pt idx="5">
                  <c:v>0.135924322916014</c:v>
                </c:pt>
                <c:pt idx="6">
                  <c:v>0.155269175239337</c:v>
                </c:pt>
                <c:pt idx="7">
                  <c:v>0.17758685055496101</c:v>
                </c:pt>
                <c:pt idx="8">
                  <c:v>0.20320518048568201</c:v>
                </c:pt>
                <c:pt idx="9">
                  <c:v>0.23240624979323801</c:v>
                </c:pt>
                <c:pt idx="10">
                  <c:v>0.26538896139759399</c:v>
                </c:pt>
                <c:pt idx="11">
                  <c:v>0.30176257115119698</c:v>
                </c:pt>
                <c:pt idx="12">
                  <c:v>0.34114858353756</c:v>
                </c:pt>
                <c:pt idx="13">
                  <c:v>0.38249832433360698</c:v>
                </c:pt>
                <c:pt idx="14">
                  <c:v>0.42400554801493201</c:v>
                </c:pt>
                <c:pt idx="15">
                  <c:v>0.46314900565800499</c:v>
                </c:pt>
                <c:pt idx="16">
                  <c:v>0.49771631928786397</c:v>
                </c:pt>
                <c:pt idx="17">
                  <c:v>0.52516083100353805</c:v>
                </c:pt>
                <c:pt idx="18">
                  <c:v>0.54382214494367898</c:v>
                </c:pt>
                <c:pt idx="19">
                  <c:v>0.55297401983623096</c:v>
                </c:pt>
                <c:pt idx="20">
                  <c:v>0.55702552996955901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AB-4EE3-8539-593DE0BB9863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DATA!$N$359:$N$379</c:f>
              <c:numCache>
                <c:formatCode>General</c:formatCode>
                <c:ptCount val="21"/>
                <c:pt idx="0">
                  <c:v>0.178604866556442</c:v>
                </c:pt>
                <c:pt idx="1">
                  <c:v>0.18840025441734501</c:v>
                </c:pt>
                <c:pt idx="2">
                  <c:v>0.19853644226811901</c:v>
                </c:pt>
                <c:pt idx="3">
                  <c:v>0.20896819035436001</c:v>
                </c:pt>
                <c:pt idx="4">
                  <c:v>0.21958421762685601</c:v>
                </c:pt>
                <c:pt idx="5">
                  <c:v>0.23019318489219101</c:v>
                </c:pt>
                <c:pt idx="6">
                  <c:v>0.24050588379504301</c:v>
                </c:pt>
                <c:pt idx="7">
                  <c:v>0.25010705291507102</c:v>
                </c:pt>
                <c:pt idx="8">
                  <c:v>0.25841855736901898</c:v>
                </c:pt>
                <c:pt idx="9">
                  <c:v>0.26467890759364698</c:v>
                </c:pt>
                <c:pt idx="10">
                  <c:v>0.26790076411672598</c:v>
                </c:pt>
                <c:pt idx="11">
                  <c:v>0.26689245598731498</c:v>
                </c:pt>
                <c:pt idx="12">
                  <c:v>0.26029231568115901</c:v>
                </c:pt>
                <c:pt idx="13">
                  <c:v>0.24685277186135801</c:v>
                </c:pt>
                <c:pt idx="14">
                  <c:v>0.22541173934735501</c:v>
                </c:pt>
                <c:pt idx="15">
                  <c:v>0.195541481660784</c:v>
                </c:pt>
                <c:pt idx="16">
                  <c:v>0.15763313523875799</c:v>
                </c:pt>
                <c:pt idx="17">
                  <c:v>0.113195719517259</c:v>
                </c:pt>
                <c:pt idx="18">
                  <c:v>6.4551076658936599E-2</c:v>
                </c:pt>
                <c:pt idx="19">
                  <c:v>1.48460182661695E-2</c:v>
                </c:pt>
                <c:pt idx="20">
                  <c:v>-1.52276976383511E-2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B-4EE3-8539-593DE0BB9863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DATA!$AU$359:$AU$379</c:f>
              <c:numCache>
                <c:formatCode>General</c:formatCode>
                <c:ptCount val="21"/>
                <c:pt idx="20">
                  <c:v>0.55702552996955901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AB-4EE3-8539-593DE0BB9863}"/>
            </c:ext>
          </c:extLst>
        </c:ser>
        <c:ser>
          <c:idx val="3"/>
          <c:order val="3"/>
          <c:tx>
            <c:v>Bzero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70C0"/>
              </a:solidFill>
              <a:ln w="9525">
                <a:solidFill>
                  <a:srgbClr val="0070C0"/>
                </a:solidFill>
                <a:prstDash val="solid"/>
              </a:ln>
              <a:effectLst/>
            </c:spPr>
          </c:marker>
          <c:cat>
            <c:numRef>
              <c:f>DATA!$B$359:$B$379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DATA!$AW$359:$AW$379</c:f>
              <c:numCache>
                <c:formatCode>General</c:formatCode>
                <c:ptCount val="21"/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B-4EE3-8539-593DE0BB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07792"/>
        <c:axId val="1788710672"/>
      </c:lineChart>
      <c:catAx>
        <c:axId val="178870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10672"/>
        <c:crosses val="autoZero"/>
        <c:auto val="1"/>
        <c:lblAlgn val="ctr"/>
        <c:lblOffset val="100"/>
        <c:noMultiLvlLbl val="0"/>
      </c:catAx>
      <c:valAx>
        <c:axId val="178871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0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4.2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DATA!$M$380:$M$400</c:f>
              <c:numCache>
                <c:formatCode>General</c:formatCode>
                <c:ptCount val="21"/>
                <c:pt idx="0">
                  <c:v>7.5576334352277605E-2</c:v>
                </c:pt>
                <c:pt idx="1">
                  <c:v>8.5301008567837205E-2</c:v>
                </c:pt>
                <c:pt idx="2">
                  <c:v>9.6482601103943702E-2</c:v>
                </c:pt>
                <c:pt idx="3">
                  <c:v>0.109361495575585</c:v>
                </c:pt>
                <c:pt idx="4">
                  <c:v>0.124229005175093</c:v>
                </c:pt>
                <c:pt idx="5">
                  <c:v>0.141423213590539</c:v>
                </c:pt>
                <c:pt idx="6">
                  <c:v>0.161273033318731</c:v>
                </c:pt>
                <c:pt idx="7">
                  <c:v>0.18417604027449599</c:v>
                </c:pt>
                <c:pt idx="8">
                  <c:v>0.21045440099489701</c:v>
                </c:pt>
                <c:pt idx="9">
                  <c:v>0.24046350823295301</c:v>
                </c:pt>
                <c:pt idx="10">
                  <c:v>0.27434401284798798</c:v>
                </c:pt>
                <c:pt idx="11">
                  <c:v>0.31196693193122499</c:v>
                </c:pt>
                <c:pt idx="12">
                  <c:v>0.35310462161001699</c:v>
                </c:pt>
                <c:pt idx="13">
                  <c:v>0.39674994182834</c:v>
                </c:pt>
                <c:pt idx="14">
                  <c:v>0.441368678476174</c:v>
                </c:pt>
                <c:pt idx="15">
                  <c:v>0.48493793131012602</c:v>
                </c:pt>
                <c:pt idx="16">
                  <c:v>0.52470629882427999</c:v>
                </c:pt>
                <c:pt idx="17">
                  <c:v>0.55818009377670696</c:v>
                </c:pt>
                <c:pt idx="18">
                  <c:v>0.58332067042593805</c:v>
                </c:pt>
                <c:pt idx="19">
                  <c:v>0.59868463700505103</c:v>
                </c:pt>
                <c:pt idx="20">
                  <c:v>0.60661000498457096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0-4743-9DFE-851917920B94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DATA!$N$380:$N$400</c:f>
              <c:numCache>
                <c:formatCode>General</c:formatCode>
                <c:ptCount val="21"/>
                <c:pt idx="0">
                  <c:v>0.192200093221121</c:v>
                </c:pt>
                <c:pt idx="1">
                  <c:v>0.20267064416214001</c:v>
                </c:pt>
                <c:pt idx="2">
                  <c:v>0.213509122295413</c:v>
                </c:pt>
                <c:pt idx="3">
                  <c:v>0.22469183878524299</c:v>
                </c:pt>
                <c:pt idx="4">
                  <c:v>0.23612236433848599</c:v>
                </c:pt>
                <c:pt idx="5">
                  <c:v>0.24763501662359499</c:v>
                </c:pt>
                <c:pt idx="6">
                  <c:v>0.258944506938934</c:v>
                </c:pt>
                <c:pt idx="7">
                  <c:v>0.26967271290857697</c:v>
                </c:pt>
                <c:pt idx="8">
                  <c:v>0.27926723289248701</c:v>
                </c:pt>
                <c:pt idx="9">
                  <c:v>0.28701388687944002</c:v>
                </c:pt>
                <c:pt idx="10">
                  <c:v>0.29195461323600302</c:v>
                </c:pt>
                <c:pt idx="11">
                  <c:v>0.29286076692909502</c:v>
                </c:pt>
                <c:pt idx="12">
                  <c:v>0.28853383428041202</c:v>
                </c:pt>
                <c:pt idx="13">
                  <c:v>0.27750746437983498</c:v>
                </c:pt>
                <c:pt idx="14">
                  <c:v>0.258611190137434</c:v>
                </c:pt>
                <c:pt idx="15">
                  <c:v>0.230912900946423</c:v>
                </c:pt>
                <c:pt idx="16">
                  <c:v>0.194523152007786</c:v>
                </c:pt>
                <c:pt idx="17">
                  <c:v>0.15055467619354501</c:v>
                </c:pt>
                <c:pt idx="18">
                  <c:v>0.10109761824319</c:v>
                </c:pt>
                <c:pt idx="19">
                  <c:v>4.9234688953066402E-2</c:v>
                </c:pt>
                <c:pt idx="20">
                  <c:v>1.51550317571307E-2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20-4743-9DFE-851917920B94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DATA!$B$380:$B$400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DATA!$AU$380:$AU$400</c:f>
              <c:numCache>
                <c:formatCode>General</c:formatCode>
                <c:ptCount val="21"/>
                <c:pt idx="20">
                  <c:v>0.60661000498457096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0-4743-9DFE-851917920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711152"/>
        <c:axId val="1788711632"/>
      </c:lineChart>
      <c:catAx>
        <c:axId val="1788711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11632"/>
        <c:crosses val="autoZero"/>
        <c:auto val="1"/>
        <c:lblAlgn val="ctr"/>
        <c:lblOffset val="100"/>
        <c:noMultiLvlLbl val="0"/>
      </c:catAx>
      <c:valAx>
        <c:axId val="17887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11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4.4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DATA!$M$401:$M$421</c:f>
              <c:numCache>
                <c:formatCode>General</c:formatCode>
                <c:ptCount val="21"/>
                <c:pt idx="0">
                  <c:v>7.9297061072252997E-2</c:v>
                </c:pt>
                <c:pt idx="1">
                  <c:v>8.94835806861939E-2</c:v>
                </c:pt>
                <c:pt idx="2">
                  <c:v>0.10108530929272901</c:v>
                </c:pt>
                <c:pt idx="3">
                  <c:v>0.114413641732239</c:v>
                </c:pt>
                <c:pt idx="4">
                  <c:v>0.129771996225331</c:v>
                </c:pt>
                <c:pt idx="5">
                  <c:v>0.1474900365613</c:v>
                </c:pt>
                <c:pt idx="6">
                  <c:v>0.167919692659697</c:v>
                </c:pt>
                <c:pt idx="7">
                  <c:v>0.19145639119313801</c:v>
                </c:pt>
                <c:pt idx="8">
                  <c:v>0.218459640120126</c:v>
                </c:pt>
                <c:pt idx="9">
                  <c:v>0.24930956834307999</c:v>
                </c:pt>
                <c:pt idx="10">
                  <c:v>0.28420930318936599</c:v>
                </c:pt>
                <c:pt idx="11">
                  <c:v>0.32307221055832003</c:v>
                </c:pt>
                <c:pt idx="12">
                  <c:v>0.365906315803257</c:v>
                </c:pt>
                <c:pt idx="13">
                  <c:v>0.41179664268457</c:v>
                </c:pt>
                <c:pt idx="14">
                  <c:v>0.45942310259022001</c:v>
                </c:pt>
                <c:pt idx="15">
                  <c:v>0.50666836272834603</c:v>
                </c:pt>
                <c:pt idx="16">
                  <c:v>0.551016089666721</c:v>
                </c:pt>
                <c:pt idx="17">
                  <c:v>0.58998248625344196</c:v>
                </c:pt>
                <c:pt idx="18">
                  <c:v>0.62096172455360599</c:v>
                </c:pt>
                <c:pt idx="19">
                  <c:v>0.64215837776273199</c:v>
                </c:pt>
                <c:pt idx="20">
                  <c:v>0.65432628509110902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D4-4213-B10B-7BAE5297D5A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DATA!$N$401:$N$421</c:f>
              <c:numCache>
                <c:formatCode>General</c:formatCode>
                <c:ptCount val="21"/>
                <c:pt idx="0">
                  <c:v>0.20629738127353001</c:v>
                </c:pt>
                <c:pt idx="1">
                  <c:v>0.21744987925183201</c:v>
                </c:pt>
                <c:pt idx="2">
                  <c:v>0.22901509257711</c:v>
                </c:pt>
                <c:pt idx="3">
                  <c:v>0.24096705451514</c:v>
                </c:pt>
                <c:pt idx="4">
                  <c:v>0.25322264525772697</c:v>
                </c:pt>
                <c:pt idx="5">
                  <c:v>0.26561838406190302</c:v>
                </c:pt>
                <c:pt idx="6">
                  <c:v>0.27789515259025599</c:v>
                </c:pt>
                <c:pt idx="7">
                  <c:v>0.28969364789665802</c:v>
                </c:pt>
                <c:pt idx="8">
                  <c:v>0.300418902899528</c:v>
                </c:pt>
                <c:pt idx="9">
                  <c:v>0.30950177732431799</c:v>
                </c:pt>
                <c:pt idx="10">
                  <c:v>0.31597124656234199</c:v>
                </c:pt>
                <c:pt idx="11">
                  <c:v>0.31870534848451498</c:v>
                </c:pt>
                <c:pt idx="12">
                  <c:v>0.316356348479643</c:v>
                </c:pt>
                <c:pt idx="13">
                  <c:v>0.307473293270009</c:v>
                </c:pt>
                <c:pt idx="14">
                  <c:v>0.29075857546655198</c:v>
                </c:pt>
                <c:pt idx="15">
                  <c:v>0.265083452265515</c:v>
                </c:pt>
                <c:pt idx="16">
                  <c:v>0.230378260158243</c:v>
                </c:pt>
                <c:pt idx="17">
                  <c:v>0.18715351433692501</c:v>
                </c:pt>
                <c:pt idx="18">
                  <c:v>0.13719580751928501</c:v>
                </c:pt>
                <c:pt idx="19">
                  <c:v>8.4281917763095501E-2</c:v>
                </c:pt>
                <c:pt idx="20">
                  <c:v>4.8145725566425102E-2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D4-4213-B10B-7BAE5297D5A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DATA!$B$401:$B$421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DATA!$AU$401:$AU$421</c:f>
              <c:numCache>
                <c:formatCode>General</c:formatCode>
                <c:ptCount val="21"/>
                <c:pt idx="20">
                  <c:v>0.65432628509110902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D4-4213-B10B-7BAE5297D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267584"/>
        <c:axId val="1349270464"/>
      </c:lineChart>
      <c:catAx>
        <c:axId val="1349267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70464"/>
        <c:crosses val="autoZero"/>
        <c:auto val="1"/>
        <c:lblAlgn val="ctr"/>
        <c:lblOffset val="100"/>
        <c:noMultiLvlLbl val="0"/>
      </c:catAx>
      <c:valAx>
        <c:axId val="134927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6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4.6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DATA!$M$422:$M$442</c:f>
              <c:numCache>
                <c:formatCode>General</c:formatCode>
                <c:ptCount val="21"/>
                <c:pt idx="0">
                  <c:v>8.2231079273878405E-2</c:v>
                </c:pt>
                <c:pt idx="1">
                  <c:v>9.25888285461101E-2</c:v>
                </c:pt>
                <c:pt idx="2">
                  <c:v>0.104419630103305</c:v>
                </c:pt>
                <c:pt idx="3">
                  <c:v>0.11798065120802</c:v>
                </c:pt>
                <c:pt idx="4">
                  <c:v>0.13357723550196299</c:v>
                </c:pt>
                <c:pt idx="5">
                  <c:v>0.15153917112777399</c:v>
                </c:pt>
                <c:pt idx="6">
                  <c:v>0.17226300293845301</c:v>
                </c:pt>
                <c:pt idx="7">
                  <c:v>0.19606765261432099</c:v>
                </c:pt>
                <c:pt idx="8">
                  <c:v>0.22337102539227799</c:v>
                </c:pt>
                <c:pt idx="9">
                  <c:v>0.25460165107708099</c:v>
                </c:pt>
                <c:pt idx="10">
                  <c:v>0.28998393762652303</c:v>
                </c:pt>
                <c:pt idx="11">
                  <c:v>0.329708736006395</c:v>
                </c:pt>
                <c:pt idx="12">
                  <c:v>0.37369040181776397</c:v>
                </c:pt>
                <c:pt idx="13">
                  <c:v>0.42116045880214098</c:v>
                </c:pt>
                <c:pt idx="14">
                  <c:v>0.47118303380399101</c:v>
                </c:pt>
                <c:pt idx="15">
                  <c:v>0.52181654015374601</c:v>
                </c:pt>
                <c:pt idx="16">
                  <c:v>0.57083022857127097</c:v>
                </c:pt>
                <c:pt idx="17">
                  <c:v>0.61532812647977397</c:v>
                </c:pt>
                <c:pt idx="18">
                  <c:v>0.65313930783103102</c:v>
                </c:pt>
                <c:pt idx="19">
                  <c:v>0.68177068524701701</c:v>
                </c:pt>
                <c:pt idx="20">
                  <c:v>0.698596516722646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5D-47C2-8922-94766782175C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DATA!$N$422:$N$442</c:f>
              <c:numCache>
                <c:formatCode>General</c:formatCode>
                <c:ptCount val="21"/>
                <c:pt idx="0">
                  <c:v>0.21957922649449599</c:v>
                </c:pt>
                <c:pt idx="1">
                  <c:v>0.231354048605764</c:v>
                </c:pt>
                <c:pt idx="2">
                  <c:v>0.24358197525567701</c:v>
                </c:pt>
                <c:pt idx="3">
                  <c:v>0.25624938974233402</c:v>
                </c:pt>
                <c:pt idx="4">
                  <c:v>0.26928899439262299</c:v>
                </c:pt>
                <c:pt idx="5">
                  <c:v>0.28255395598857902</c:v>
                </c:pt>
                <c:pt idx="6">
                  <c:v>0.295750561293602</c:v>
                </c:pt>
                <c:pt idx="7">
                  <c:v>0.30865546250737103</c:v>
                </c:pt>
                <c:pt idx="8">
                  <c:v>0.32069508588735701</c:v>
                </c:pt>
                <c:pt idx="9">
                  <c:v>0.33133231236928101</c:v>
                </c:pt>
                <c:pt idx="10">
                  <c:v>0.33963084913274499</c:v>
                </c:pt>
                <c:pt idx="11">
                  <c:v>0.34459421805939999</c:v>
                </c:pt>
                <c:pt idx="12">
                  <c:v>0.34480010581862103</c:v>
                </c:pt>
                <c:pt idx="13">
                  <c:v>0.33887869110337998</c:v>
                </c:pt>
                <c:pt idx="14">
                  <c:v>0.32536505456647702</c:v>
                </c:pt>
                <c:pt idx="15">
                  <c:v>0.30310266569140298</c:v>
                </c:pt>
                <c:pt idx="16">
                  <c:v>0.27144623708655802</c:v>
                </c:pt>
                <c:pt idx="17">
                  <c:v>0.230751614788404</c:v>
                </c:pt>
                <c:pt idx="18">
                  <c:v>0.18203075341966099</c:v>
                </c:pt>
                <c:pt idx="19">
                  <c:v>0.128055313012917</c:v>
                </c:pt>
                <c:pt idx="20">
                  <c:v>8.6766414437398007E-2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5D-47C2-8922-94766782175C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DATA!$B$422:$B$442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DATA!$AU$422:$AU$442</c:f>
              <c:numCache>
                <c:formatCode>General</c:formatCode>
                <c:ptCount val="21"/>
                <c:pt idx="20">
                  <c:v>0.698596516722646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5D-47C2-8922-947667821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0597216"/>
        <c:axId val="1620595296"/>
      </c:lineChart>
      <c:catAx>
        <c:axId val="1620597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595296"/>
        <c:crosses val="autoZero"/>
        <c:auto val="1"/>
        <c:lblAlgn val="ctr"/>
        <c:lblOffset val="100"/>
        <c:noMultiLvlLbl val="0"/>
      </c:catAx>
      <c:valAx>
        <c:axId val="162059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59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4.8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DATA!$M$443:$M$463</c:f>
              <c:numCache>
                <c:formatCode>General</c:formatCode>
                <c:ptCount val="21"/>
                <c:pt idx="0">
                  <c:v>8.51410496828333E-2</c:v>
                </c:pt>
                <c:pt idx="1">
                  <c:v>9.5643081154477103E-2</c:v>
                </c:pt>
                <c:pt idx="2">
                  <c:v>0.107700631488951</c:v>
                </c:pt>
                <c:pt idx="3">
                  <c:v>0.121529553278702</c:v>
                </c:pt>
                <c:pt idx="4">
                  <c:v>0.13741574092113101</c:v>
                </c:pt>
                <c:pt idx="5">
                  <c:v>0.155685286949061</c:v>
                </c:pt>
                <c:pt idx="6">
                  <c:v>0.17670399403086301</c:v>
                </c:pt>
                <c:pt idx="7">
                  <c:v>0.20088408545165401</c:v>
                </c:pt>
                <c:pt idx="8">
                  <c:v>0.22861379106399199</c:v>
                </c:pt>
                <c:pt idx="9">
                  <c:v>0.26028000740496299</c:v>
                </c:pt>
                <c:pt idx="10">
                  <c:v>0.296304119345001</c:v>
                </c:pt>
                <c:pt idx="11">
                  <c:v>0.336750021832043</c:v>
                </c:pt>
                <c:pt idx="12">
                  <c:v>0.38161876937670802</c:v>
                </c:pt>
                <c:pt idx="13">
                  <c:v>0.430462124384762</c:v>
                </c:pt>
                <c:pt idx="14">
                  <c:v>0.48251225037907403</c:v>
                </c:pt>
                <c:pt idx="15">
                  <c:v>0.53595491572951004</c:v>
                </c:pt>
                <c:pt idx="16">
                  <c:v>0.58866504033876299</c:v>
                </c:pt>
                <c:pt idx="17">
                  <c:v>0.63819462518664005</c:v>
                </c:pt>
                <c:pt idx="18">
                  <c:v>0.68188466112917501</c:v>
                </c:pt>
                <c:pt idx="19">
                  <c:v>0.71719314211052898</c:v>
                </c:pt>
                <c:pt idx="20">
                  <c:v>0.73898112506262303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5-4DFB-8095-2A1CFE847E1E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DATA!$N$443:$N$463</c:f>
              <c:numCache>
                <c:formatCode>General</c:formatCode>
                <c:ptCount val="21"/>
                <c:pt idx="0">
                  <c:v>0.23258043279965601</c:v>
                </c:pt>
                <c:pt idx="1">
                  <c:v>0.244880174866452</c:v>
                </c:pt>
                <c:pt idx="2">
                  <c:v>0.25774892219499701</c:v>
                </c:pt>
                <c:pt idx="3">
                  <c:v>0.27113339687878502</c:v>
                </c:pt>
                <c:pt idx="4">
                  <c:v>0.28495476254868801</c:v>
                </c:pt>
                <c:pt idx="5">
                  <c:v>0.299075340122193</c:v>
                </c:pt>
                <c:pt idx="6">
                  <c:v>0.31325150726686801</c:v>
                </c:pt>
                <c:pt idx="7">
                  <c:v>0.327232628027054</c:v>
                </c:pt>
                <c:pt idx="8">
                  <c:v>0.340536064827683</c:v>
                </c:pt>
                <c:pt idx="9">
                  <c:v>0.35255139630312599</c:v>
                </c:pt>
                <c:pt idx="10">
                  <c:v>0.36250288326292801</c:v>
                </c:pt>
                <c:pt idx="11">
                  <c:v>0.36935735629365501</c:v>
                </c:pt>
                <c:pt idx="12">
                  <c:v>0.371808354040635</c:v>
                </c:pt>
                <c:pt idx="13">
                  <c:v>0.36847448136079097</c:v>
                </c:pt>
                <c:pt idx="14">
                  <c:v>0.35784863771896103</c:v>
                </c:pt>
                <c:pt idx="15">
                  <c:v>0.338668250452692</c:v>
                </c:pt>
                <c:pt idx="16">
                  <c:v>0.31007344558586603</c:v>
                </c:pt>
                <c:pt idx="17">
                  <c:v>0.27181643306329001</c:v>
                </c:pt>
                <c:pt idx="18">
                  <c:v>0.22495883838163</c:v>
                </c:pt>
                <c:pt idx="19">
                  <c:v>0.171376260894749</c:v>
                </c:pt>
                <c:pt idx="20">
                  <c:v>0.130341132240851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F5-4DFB-8095-2A1CFE847E1E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DATA!$B$443:$B$463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DATA!$AU$443:$AU$463</c:f>
              <c:numCache>
                <c:formatCode>General</c:formatCode>
                <c:ptCount val="21"/>
                <c:pt idx="20">
                  <c:v>0.73898112506262303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F5-4DFB-8095-2A1CFE847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251344"/>
        <c:axId val="1555253744"/>
      </c:lineChart>
      <c:catAx>
        <c:axId val="155525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253744"/>
        <c:crosses val="autoZero"/>
        <c:auto val="1"/>
        <c:lblAlgn val="ctr"/>
        <c:lblOffset val="100"/>
        <c:noMultiLvlLbl val="0"/>
      </c:catAx>
      <c:valAx>
        <c:axId val="155525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25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Self-admittance for Offset = 5 mm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Gself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DATA!$M$464:$M$484</c:f>
              <c:numCache>
                <c:formatCode>General</c:formatCode>
                <c:ptCount val="21"/>
                <c:pt idx="0">
                  <c:v>8.7614637018759794E-2</c:v>
                </c:pt>
                <c:pt idx="1">
                  <c:v>9.8387014661700495E-2</c:v>
                </c:pt>
                <c:pt idx="2">
                  <c:v>0.110756792886197</c:v>
                </c:pt>
                <c:pt idx="3">
                  <c:v>0.124917036406239</c:v>
                </c:pt>
                <c:pt idx="4">
                  <c:v>0.14116398044197401</c:v>
                </c:pt>
                <c:pt idx="5">
                  <c:v>0.159841969009583</c:v>
                </c:pt>
                <c:pt idx="6">
                  <c:v>0.18132065593065499</c:v>
                </c:pt>
                <c:pt idx="7">
                  <c:v>0.205991611775558</c:v>
                </c:pt>
                <c:pt idx="8">
                  <c:v>0.23426178339503101</c:v>
                </c:pt>
                <c:pt idx="9">
                  <c:v>0.26664658520273399</c:v>
                </c:pt>
                <c:pt idx="10">
                  <c:v>0.30339897141990402</c:v>
                </c:pt>
                <c:pt idx="11">
                  <c:v>0.344771627187269</c:v>
                </c:pt>
                <c:pt idx="12">
                  <c:v>0.39076796032002298</c:v>
                </c:pt>
                <c:pt idx="13">
                  <c:v>0.44109714372609099</c:v>
                </c:pt>
                <c:pt idx="14">
                  <c:v>0.49501322727986802</c:v>
                </c:pt>
                <c:pt idx="15">
                  <c:v>0.55102900407529598</c:v>
                </c:pt>
                <c:pt idx="16">
                  <c:v>0.60749746025753204</c:v>
                </c:pt>
                <c:pt idx="17">
                  <c:v>0.66137262108066697</c:v>
                </c:pt>
                <c:pt idx="18">
                  <c:v>0.71010067217043704</c:v>
                </c:pt>
                <c:pt idx="19">
                  <c:v>0.75135038413614097</c:v>
                </c:pt>
                <c:pt idx="20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1-4CC7-8E86-C04041A9E501}"/>
            </c:ext>
          </c:extLst>
        </c:ser>
        <c:ser>
          <c:idx val="1"/>
          <c:order val="1"/>
          <c:tx>
            <c:v>Bself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DATA!$N$464:$N$484</c:f>
              <c:numCache>
                <c:formatCode>General</c:formatCode>
                <c:ptCount val="21"/>
                <c:pt idx="0">
                  <c:v>0.24517992587940701</c:v>
                </c:pt>
                <c:pt idx="1">
                  <c:v>0.25823211086342801</c:v>
                </c:pt>
                <c:pt idx="2">
                  <c:v>0.27185900585774703</c:v>
                </c:pt>
                <c:pt idx="3">
                  <c:v>0.286033764398894</c:v>
                </c:pt>
                <c:pt idx="4">
                  <c:v>0.30069724131796999</c:v>
                </c:pt>
                <c:pt idx="5">
                  <c:v>0.31573295528834899</c:v>
                </c:pt>
                <c:pt idx="6">
                  <c:v>0.33093821309041499</c:v>
                </c:pt>
                <c:pt idx="7">
                  <c:v>0.346007291177515</c:v>
                </c:pt>
                <c:pt idx="8">
                  <c:v>0.36047121121800502</c:v>
                </c:pt>
                <c:pt idx="9">
                  <c:v>0.37386653002232001</c:v>
                </c:pt>
                <c:pt idx="10">
                  <c:v>0.38531433647286101</c:v>
                </c:pt>
                <c:pt idx="11">
                  <c:v>0.39383842923920498</c:v>
                </c:pt>
                <c:pt idx="12">
                  <c:v>0.39828182576061699</c:v>
                </c:pt>
                <c:pt idx="13">
                  <c:v>0.39714157366239</c:v>
                </c:pt>
                <c:pt idx="14">
                  <c:v>0.38893155458043399</c:v>
                </c:pt>
                <c:pt idx="15">
                  <c:v>0.37231424782274503</c:v>
                </c:pt>
                <c:pt idx="16">
                  <c:v>0.34608684680687402</c:v>
                </c:pt>
                <c:pt idx="17">
                  <c:v>0.31012648317675801</c:v>
                </c:pt>
                <c:pt idx="18">
                  <c:v>0.26488511605922599</c:v>
                </c:pt>
                <c:pt idx="19">
                  <c:v>0.21153226004108899</c:v>
                </c:pt>
                <c:pt idx="20">
                  <c:v>0.17131448490214499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1-4CC7-8E86-C04041A9E501}"/>
            </c:ext>
          </c:extLst>
        </c:ser>
        <c:ser>
          <c:idx val="2"/>
          <c:order val="2"/>
          <c:tx>
            <c:v>Peak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cat>
            <c:numRef>
              <c:f>DATA!$B$464:$B$484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cat>
          <c:val>
            <c:numRef>
              <c:f>DATA!$AU$464:$AU$484</c:f>
              <c:numCache>
                <c:formatCode>General</c:formatCode>
                <c:ptCount val="21"/>
                <c:pt idx="20">
                  <c:v>0.77756968355702205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1-4CC7-8E86-C04041A9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199120"/>
        <c:axId val="1434198640"/>
      </c:lineChart>
      <c:catAx>
        <c:axId val="143419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Lcav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198640"/>
        <c:crosses val="autoZero"/>
        <c:auto val="1"/>
        <c:lblAlgn val="ctr"/>
        <c:lblOffset val="100"/>
        <c:noMultiLvlLbl val="0"/>
      </c:catAx>
      <c:valAx>
        <c:axId val="143419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Self-admittance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1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8</xdr:col>
      <xdr:colOff>203200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E8B03A-CC21-DD09-3B15-CF96FD9E2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</xdr:row>
      <xdr:rowOff>69850</xdr:rowOff>
    </xdr:from>
    <xdr:to>
      <xdr:col>16</xdr:col>
      <xdr:colOff>406400</xdr:colOff>
      <xdr:row>19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CEA6FD-DA28-7956-A9EC-4EC253C3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50800</xdr:colOff>
      <xdr:row>1</xdr:row>
      <xdr:rowOff>69850</xdr:rowOff>
    </xdr:from>
    <xdr:to>
      <xdr:col>25</xdr:col>
      <xdr:colOff>0</xdr:colOff>
      <xdr:row>19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8423F7-7F00-37F7-8251-8F8AE8D4CB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254000</xdr:colOff>
      <xdr:row>1</xdr:row>
      <xdr:rowOff>69850</xdr:rowOff>
    </xdr:from>
    <xdr:to>
      <xdr:col>33</xdr:col>
      <xdr:colOff>203200</xdr:colOff>
      <xdr:row>19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61FDBB9-4703-C279-D7C2-F9A3952B8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20</xdr:row>
      <xdr:rowOff>127000</xdr:rowOff>
    </xdr:from>
    <xdr:to>
      <xdr:col>8</xdr:col>
      <xdr:colOff>203200</xdr:colOff>
      <xdr:row>38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363C08-9519-730B-AE04-DFF87C9F3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457200</xdr:colOff>
      <xdr:row>20</xdr:row>
      <xdr:rowOff>127000</xdr:rowOff>
    </xdr:from>
    <xdr:to>
      <xdr:col>16</xdr:col>
      <xdr:colOff>406400</xdr:colOff>
      <xdr:row>38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9F97C8-13B3-2372-33CF-83D284808F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50800</xdr:colOff>
      <xdr:row>20</xdr:row>
      <xdr:rowOff>127000</xdr:rowOff>
    </xdr:from>
    <xdr:to>
      <xdr:col>25</xdr:col>
      <xdr:colOff>0</xdr:colOff>
      <xdr:row>38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B988FAF-AECF-E9CD-371B-32C72912A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254000</xdr:colOff>
      <xdr:row>20</xdr:row>
      <xdr:rowOff>127000</xdr:rowOff>
    </xdr:from>
    <xdr:to>
      <xdr:col>33</xdr:col>
      <xdr:colOff>203200</xdr:colOff>
      <xdr:row>38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A3C443-8B71-F4F2-F928-72C146AFE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254000</xdr:colOff>
      <xdr:row>40</xdr:row>
      <xdr:rowOff>0</xdr:rowOff>
    </xdr:from>
    <xdr:to>
      <xdr:col>8</xdr:col>
      <xdr:colOff>203200</xdr:colOff>
      <xdr:row>57</xdr:row>
      <xdr:rowOff>171450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8B16DB5-56FA-015C-55FB-3BE2F59B9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457200</xdr:colOff>
      <xdr:row>40</xdr:row>
      <xdr:rowOff>0</xdr:rowOff>
    </xdr:from>
    <xdr:to>
      <xdr:col>16</xdr:col>
      <xdr:colOff>406400</xdr:colOff>
      <xdr:row>57</xdr:row>
      <xdr:rowOff>171450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3CC9735-933C-8044-65F9-B8668CF75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50800</xdr:colOff>
      <xdr:row>40</xdr:row>
      <xdr:rowOff>0</xdr:rowOff>
    </xdr:from>
    <xdr:to>
      <xdr:col>25</xdr:col>
      <xdr:colOff>0</xdr:colOff>
      <xdr:row>57</xdr:row>
      <xdr:rowOff>171450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3EAFC5-5834-7576-63EE-6BDAF6927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254000</xdr:colOff>
      <xdr:row>40</xdr:row>
      <xdr:rowOff>0</xdr:rowOff>
    </xdr:from>
    <xdr:to>
      <xdr:col>33</xdr:col>
      <xdr:colOff>203200</xdr:colOff>
      <xdr:row>57</xdr:row>
      <xdr:rowOff>171450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E66EB9C-3D2A-1315-BA5F-9977D376C3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254000</xdr:colOff>
      <xdr:row>59</xdr:row>
      <xdr:rowOff>57150</xdr:rowOff>
    </xdr:from>
    <xdr:to>
      <xdr:col>8</xdr:col>
      <xdr:colOff>203200</xdr:colOff>
      <xdr:row>77</xdr:row>
      <xdr:rowOff>44450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3230821-7B3A-9982-C579-353BCE7E6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457200</xdr:colOff>
      <xdr:row>59</xdr:row>
      <xdr:rowOff>57150</xdr:rowOff>
    </xdr:from>
    <xdr:to>
      <xdr:col>16</xdr:col>
      <xdr:colOff>406400</xdr:colOff>
      <xdr:row>77</xdr:row>
      <xdr:rowOff>44450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44D29CD-6474-2735-D104-AAFE27750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50800</xdr:colOff>
      <xdr:row>59</xdr:row>
      <xdr:rowOff>57150</xdr:rowOff>
    </xdr:from>
    <xdr:to>
      <xdr:col>25</xdr:col>
      <xdr:colOff>0</xdr:colOff>
      <xdr:row>77</xdr:row>
      <xdr:rowOff>44450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BC49F32-863D-2440-C51E-E7322D3BF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254000</xdr:colOff>
      <xdr:row>59</xdr:row>
      <xdr:rowOff>57150</xdr:rowOff>
    </xdr:from>
    <xdr:to>
      <xdr:col>33</xdr:col>
      <xdr:colOff>203200</xdr:colOff>
      <xdr:row>77</xdr:row>
      <xdr:rowOff>44450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AA755B6-6638-D3DC-5769-1AFD3BA74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78</xdr:row>
      <xdr:rowOff>114300</xdr:rowOff>
    </xdr:from>
    <xdr:to>
      <xdr:col>8</xdr:col>
      <xdr:colOff>203200</xdr:colOff>
      <xdr:row>96</xdr:row>
      <xdr:rowOff>101600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3509424-04CD-7FC8-20E9-038FA11DF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8</xdr:col>
      <xdr:colOff>457200</xdr:colOff>
      <xdr:row>78</xdr:row>
      <xdr:rowOff>114300</xdr:rowOff>
    </xdr:from>
    <xdr:to>
      <xdr:col>16</xdr:col>
      <xdr:colOff>406400</xdr:colOff>
      <xdr:row>96</xdr:row>
      <xdr:rowOff>101600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3B34E137-F746-00A9-132B-605D35736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50800</xdr:colOff>
      <xdr:row>78</xdr:row>
      <xdr:rowOff>114300</xdr:rowOff>
    </xdr:from>
    <xdr:to>
      <xdr:col>25</xdr:col>
      <xdr:colOff>0</xdr:colOff>
      <xdr:row>96</xdr:row>
      <xdr:rowOff>101600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924A0BF-8263-DE82-01B2-7C2D8B16C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254000</xdr:colOff>
      <xdr:row>78</xdr:row>
      <xdr:rowOff>114300</xdr:rowOff>
    </xdr:from>
    <xdr:to>
      <xdr:col>33</xdr:col>
      <xdr:colOff>203200</xdr:colOff>
      <xdr:row>96</xdr:row>
      <xdr:rowOff>101600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B0C612B5-DA93-0F91-39CD-B9EE92D50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254000</xdr:colOff>
      <xdr:row>97</xdr:row>
      <xdr:rowOff>171450</xdr:rowOff>
    </xdr:from>
    <xdr:to>
      <xdr:col>8</xdr:col>
      <xdr:colOff>203200</xdr:colOff>
      <xdr:row>115</xdr:row>
      <xdr:rowOff>158750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AEFB08FA-10D1-389C-8B2C-468AEBBA0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457200</xdr:colOff>
      <xdr:row>97</xdr:row>
      <xdr:rowOff>171450</xdr:rowOff>
    </xdr:from>
    <xdr:to>
      <xdr:col>16</xdr:col>
      <xdr:colOff>406400</xdr:colOff>
      <xdr:row>115</xdr:row>
      <xdr:rowOff>158750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06296A2-29F3-CE61-C0BE-2F7255C0C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17</xdr:col>
      <xdr:colOff>50800</xdr:colOff>
      <xdr:row>97</xdr:row>
      <xdr:rowOff>171450</xdr:rowOff>
    </xdr:from>
    <xdr:to>
      <xdr:col>25</xdr:col>
      <xdr:colOff>0</xdr:colOff>
      <xdr:row>115</xdr:row>
      <xdr:rowOff>158750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641C8611-4CD5-5399-947E-23542314BA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 dataDxfId="8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3">
      <calculatedColumnFormula>IMABS(COMPLEX(Q2,R2))/IMABS(COMPLEX(O2,P2))</calculatedColumnFormula>
    </tableColumn>
    <tableColumn id="20" xr3:uid="{8726D354-B8FF-4D2F-A2A9-D21714AE0420}" name="arg(rho)" dataDxfId="2">
      <calculatedColumnFormula>IMARGUMENT(IMDIV(COMPLEX(Q2,R2),COMPLEX(O2/B2,P2/B2)))/PI()*180</calculatedColumnFormula>
    </tableColumn>
    <tableColumn id="21" xr3:uid="{A6804CBD-F45A-4DD6-9569-7C118617F827}" name="Column1" dataDxfId="1"/>
    <tableColumn id="22" xr3:uid="{0F81E51C-E2FC-4AD5-9344-9497C0A26A05}" name="Column2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77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EAD3810-65A4-4376-8437-9266C366DC1E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2fed9994-243f-4d65-9f35-3287be66d1f8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AW636"/>
  <sheetViews>
    <sheetView topLeftCell="A446" zoomScale="65" zoomScaleNormal="115" workbookViewId="0">
      <selection activeCell="M13" sqref="M13"/>
    </sheetView>
  </sheetViews>
  <sheetFormatPr defaultRowHeight="14.5" x14ac:dyDescent="0.35"/>
  <cols>
    <col min="2" max="2" width="9.1796875" style="5"/>
    <col min="3" max="14" width="9.1796875" customWidth="1"/>
    <col min="15" max="16" width="10.81640625" customWidth="1"/>
    <col min="17" max="18" width="11.1796875" customWidth="1"/>
    <col min="20" max="20" width="10.453125" customWidth="1"/>
    <col min="21" max="22" width="9.81640625" hidden="1" customWidth="1"/>
    <col min="39" max="39" width="9.90625" customWidth="1"/>
    <col min="40" max="40" width="10.90625" customWidth="1"/>
  </cols>
  <sheetData>
    <row r="1" spans="1:49" ht="28" customHeight="1" x14ac:dyDescent="0.35">
      <c r="A1" s="1" t="s">
        <v>0</v>
      </c>
      <c r="B1" s="1" t="s">
        <v>9</v>
      </c>
      <c r="C1" s="2" t="s">
        <v>1</v>
      </c>
      <c r="D1" s="2" t="s">
        <v>2</v>
      </c>
      <c r="E1" s="2" t="s">
        <v>3</v>
      </c>
      <c r="F1" s="2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6" t="s">
        <v>16</v>
      </c>
      <c r="L1" s="6" t="s">
        <v>17</v>
      </c>
      <c r="M1" s="6" t="s">
        <v>18</v>
      </c>
      <c r="N1" s="6" t="s">
        <v>19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8" t="s">
        <v>20</v>
      </c>
      <c r="V1" s="8" t="s">
        <v>21</v>
      </c>
      <c r="AT1" t="s">
        <v>23</v>
      </c>
      <c r="AU1" t="s">
        <v>24</v>
      </c>
      <c r="AV1" t="s">
        <v>25</v>
      </c>
      <c r="AW1" t="s">
        <v>26</v>
      </c>
    </row>
    <row r="2" spans="1:49" x14ac:dyDescent="0.35">
      <c r="A2">
        <v>0.6</v>
      </c>
      <c r="B2" s="9">
        <v>15</v>
      </c>
      <c r="C2">
        <v>-1.4676396E-3</v>
      </c>
      <c r="D2">
        <v>1.9170632E-3</v>
      </c>
      <c r="E2">
        <v>0.99887386</v>
      </c>
      <c r="F2">
        <v>4.8834512000000001E-4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206.77541024590101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192.22262693606601</v>
      </c>
      <c r="I2">
        <f t="shared" ref="I2" si="2">IMREAL(IMDIV(IMPRODUCT(COMPLEX(2,0),COMPLEX(E2,F2)),IMSUB(IMPRODUCT(COMPLEX(1 - C2, - D2),COMPLEX(1 - C2, - D2)),IMPRODUCT(COMPLEX(E2,F2),COMPLEX(E2,F2)))))</f>
        <v>206.77558147659701</v>
      </c>
      <c r="J2">
        <f t="shared" ref="J2" si="3">IMAGINARY(IMDIV(IMPRODUCT(COMPLEX(2,0),COMPLEX(E2,F2)),IMSUB(IMPRODUCT(COMPLEX(1 - C2, - D2),COMPLEX(1 - C2, - D2)),IMPRODUCT(COMPLEX(E2,F2),COMPLEX(E2,F2)))))</f>
        <v>192.22191282128199</v>
      </c>
      <c r="K2" s="7">
        <f>IMREAL(IMSUB(COMPLEX(G2,H2),COMPLEX(I2,J2)))</f>
        <v>-1.7123069599733799E-4</v>
      </c>
      <c r="L2" s="7">
        <f>IMAGINARY(IMSUB(COMPLEX(G2,H2),COMPLEX(I2,J2)))</f>
        <v>7.1411478401728302E-4</v>
      </c>
      <c r="M2" s="7">
        <f t="shared" ref="M2" si="4">IMREAL(IMDIV(IMSUB(IMPRODUCT(COMPLEX(1 - C2, - D2),COMPLEX(1 - C2, - D2)),IMPRODUCT(COMPLEX(E2,F2),COMPLEX(E2,F2))),IMPRODUCT(COMPLEX(2,0),COMPLEX(E2,F2))))</f>
        <v>2.5942479287358699E-3</v>
      </c>
      <c r="N2" s="7">
        <f t="shared" ref="N2" si="5">IMAGINARY(IMDIV(IMSUB(IMPRODUCT(COMPLEX(1 - C2, - D2),COMPLEX(1 - C2, - D2)),IMPRODUCT(COMPLEX(E2,F2),COMPLEX(E2,F2))),IMPRODUCT(COMPLEX(2,0),COMPLEX(E2,F2))))</f>
        <v>-2.4116546820142598E-3</v>
      </c>
      <c r="O2">
        <v>1.6156024</v>
      </c>
      <c r="P2">
        <v>-0.87314649</v>
      </c>
      <c r="Q2">
        <v>1.1026838000000001</v>
      </c>
      <c r="R2">
        <v>-1.4009628999999999</v>
      </c>
      <c r="S2">
        <f>IMABS(COMPLEX(Q2,R2))/IMABS(COMPLEX(O2,P2))</f>
        <v>0.97082052327925061</v>
      </c>
      <c r="T2">
        <f>IMARGUMENT(IMDIV(COMPLEX(Q2,R2),COMPLEX(O2/B2,P2/B2)))/PI()*180</f>
        <v>-23.405227725349611</v>
      </c>
      <c r="U2" s="8"/>
      <c r="V2" s="8"/>
    </row>
    <row r="3" spans="1:49" x14ac:dyDescent="0.35">
      <c r="A3">
        <v>0.6</v>
      </c>
      <c r="B3" s="9">
        <v>15.1</v>
      </c>
      <c r="C3">
        <v>-1.6972445E-3</v>
      </c>
      <c r="D3">
        <v>1.7536043000000001E-3</v>
      </c>
      <c r="E3">
        <v>0.99831172999999995</v>
      </c>
      <c r="F3">
        <v>7.8463251999999993E-5</v>
      </c>
      <c r="G3">
        <f t="shared" ref="G3:G66" si="6">IMREAL(IMDIV(IMSUM(IMPRODUCT(COMPLEX(1 + C3,D3),COMPLEX(1 - C3, - D3)),IMPRODUCT(COMPLEX(E3,F3),COMPLEX(E3,F3))),IMSUB(IMPRODUCT(COMPLEX(1 - C3, - D3),COMPLEX(1 - C3, - D3)),IMPRODUCT(COMPLEX(E3,F3),COMPLEX(E3,F3)))))</f>
        <v>227.97032997087601</v>
      </c>
      <c r="H3">
        <f t="shared" ref="H3:H66" si="7">IMAGINARY(IMDIV(IMSUM(IMPRODUCT(COMPLEX(1 + C3,D3),COMPLEX(1 - C3, - D3)),IMPRODUCT(COMPLEX(E3,F3),COMPLEX(E3,F3))),IMSUB(IMPRODUCT(COMPLEX(1 - C3, - D3),COMPLEX(1 - C3, - D3)),IMPRODUCT(COMPLEX(E3,F3),COMPLEX(E3,F3)))))</f>
        <v>123.636894976349</v>
      </c>
      <c r="I3">
        <f t="shared" ref="I3:I66" si="8">IMREAL(IMDIV(IMPRODUCT(COMPLEX(2,0),COMPLEX(E3,F3)),IMSUB(IMPRODUCT(COMPLEX(1 - C3, - D3),COMPLEX(1 - C3, - D3)),IMPRODUCT(COMPLEX(E3,F3),COMPLEX(E3,F3)))))</f>
        <v>227.97033515961999</v>
      </c>
      <c r="J3">
        <f t="shared" ref="J3:J66" si="9">IMAGINARY(IMDIV(IMPRODUCT(COMPLEX(2,0),COMPLEX(E3,F3)),IMSUB(IMPRODUCT(COMPLEX(1 - C3, - D3),COMPLEX(1 - C3, - D3)),IMPRODUCT(COMPLEX(E3,F3),COMPLEX(E3,F3)))))</f>
        <v>123.63605741393</v>
      </c>
      <c r="K3" s="7">
        <f t="shared" ref="K3:K66" si="10">IMREAL(IMSUB(COMPLEX(G3,H3),COMPLEX(I3,J3)))</f>
        <v>-5.18874398380831E-6</v>
      </c>
      <c r="L3" s="7">
        <f t="shared" ref="L3:L66" si="11">IMAGINARY(IMSUB(COMPLEX(G3,H3),COMPLEX(I3,J3)))</f>
        <v>8.3756241899379802E-4</v>
      </c>
      <c r="M3" s="7">
        <f t="shared" ref="M3:M66" si="12">IMREAL(IMDIV(IMSUB(IMPRODUCT(COMPLEX(1 - C3, - D3),COMPLEX(1 - C3, - D3)),IMPRODUCT(COMPLEX(E3,F3),COMPLEX(E3,F3))),IMPRODUCT(COMPLEX(2,0),COMPLEX(E3,F3))))</f>
        <v>3.3895734836009799E-3</v>
      </c>
      <c r="N3" s="7">
        <f t="shared" ref="N3:N66" si="13">IMAGINARY(IMDIV(IMSUB(IMPRODUCT(COMPLEX(1 - C3, - D3),COMPLEX(1 - C3, - D3)),IMPRODUCT(COMPLEX(E3,F3),COMPLEX(E3,F3))),IMPRODUCT(COMPLEX(2,0),COMPLEX(E3,F3))))</f>
        <v>-1.8382808514704201E-3</v>
      </c>
      <c r="O3">
        <v>1.6874332999999999</v>
      </c>
      <c r="P3">
        <v>-1.006138</v>
      </c>
      <c r="Q3">
        <v>1.1196362</v>
      </c>
      <c r="R3">
        <v>-1.5553064999999999</v>
      </c>
      <c r="S3">
        <f t="shared" ref="S3:S66" si="14">IMABS(COMPLEX(Q3,R3))/IMABS(COMPLEX(O3,P3))</f>
        <v>0.97545078419387865</v>
      </c>
      <c r="T3">
        <f t="shared" ref="T3:T66" si="15">IMARGUMENT(IMDIV(COMPLEX(Q3,R3),COMPLEX(O3/B3,P3/B3)))/PI()*180</f>
        <v>-23.444930683227483</v>
      </c>
      <c r="U3" s="8"/>
      <c r="V3" s="8"/>
    </row>
    <row r="4" spans="1:49" ht="18" customHeight="1" x14ac:dyDescent="0.35">
      <c r="A4">
        <v>0.6</v>
      </c>
      <c r="B4" s="9">
        <v>15.2</v>
      </c>
      <c r="C4">
        <v>-1.9688478E-3</v>
      </c>
      <c r="D4">
        <v>1.5929844999999999E-3</v>
      </c>
      <c r="E4">
        <v>0.99805102999999995</v>
      </c>
      <c r="F4">
        <v>-7.5224138000000001E-5</v>
      </c>
      <c r="G4">
        <f t="shared" si="6"/>
        <v>221.43629926630601</v>
      </c>
      <c r="H4">
        <f t="shared" si="7"/>
        <v>85.978413770683204</v>
      </c>
      <c r="I4">
        <f t="shared" si="8"/>
        <v>221.43630990081601</v>
      </c>
      <c r="J4">
        <f t="shared" si="9"/>
        <v>85.977579683524397</v>
      </c>
      <c r="K4" s="7">
        <f t="shared" si="10"/>
        <v>-1.06345100050476E-5</v>
      </c>
      <c r="L4" s="7">
        <f t="shared" si="11"/>
        <v>8.3408715880750595E-4</v>
      </c>
      <c r="M4" s="7">
        <f t="shared" si="12"/>
        <v>3.9243538365791803E-3</v>
      </c>
      <c r="N4" s="7">
        <f t="shared" si="13"/>
        <v>-1.52371778974261E-3</v>
      </c>
      <c r="O4">
        <v>1.7605515</v>
      </c>
      <c r="P4">
        <v>-1.1613503999999999</v>
      </c>
      <c r="Q4">
        <v>1.1281108</v>
      </c>
      <c r="R4">
        <v>-1.7286576</v>
      </c>
      <c r="S4">
        <f t="shared" si="14"/>
        <v>0.97871070077911626</v>
      </c>
      <c r="T4">
        <f t="shared" si="15"/>
        <v>-23.460893389482003</v>
      </c>
      <c r="U4" s="8"/>
      <c r="V4" s="8"/>
    </row>
    <row r="5" spans="1:49" x14ac:dyDescent="0.35">
      <c r="A5">
        <v>0.6</v>
      </c>
      <c r="B5" s="9">
        <v>15.3</v>
      </c>
      <c r="C5">
        <v>-2.2886359000000001E-3</v>
      </c>
      <c r="D5">
        <v>1.4435314E-3</v>
      </c>
      <c r="E5">
        <v>0.99772970999999999</v>
      </c>
      <c r="F5">
        <v>-1.8940759E-4</v>
      </c>
      <c r="G5">
        <f t="shared" si="6"/>
        <v>203.418274091223</v>
      </c>
      <c r="H5">
        <f t="shared" si="7"/>
        <v>56.096684984163801</v>
      </c>
      <c r="I5">
        <f t="shared" si="8"/>
        <v>203.41828393069201</v>
      </c>
      <c r="J5">
        <f t="shared" si="9"/>
        <v>56.095868530191701</v>
      </c>
      <c r="K5" s="7">
        <f t="shared" si="10"/>
        <v>-9.8394690155601E-6</v>
      </c>
      <c r="L5" s="7">
        <f t="shared" si="11"/>
        <v>8.1645397209939596E-4</v>
      </c>
      <c r="M5" s="7">
        <f t="shared" si="12"/>
        <v>4.5685543338001896E-3</v>
      </c>
      <c r="N5" s="7">
        <f t="shared" si="13"/>
        <v>-1.2598524494937301E-3</v>
      </c>
      <c r="O5">
        <v>1.8260350999999999</v>
      </c>
      <c r="P5">
        <v>-1.3436568</v>
      </c>
      <c r="Q5">
        <v>1.1188629000000001</v>
      </c>
      <c r="R5">
        <v>-1.9240364999999999</v>
      </c>
      <c r="S5">
        <f t="shared" si="14"/>
        <v>0.98173457466208136</v>
      </c>
      <c r="T5">
        <f t="shared" si="15"/>
        <v>-23.474345323120755</v>
      </c>
      <c r="U5" s="8"/>
      <c r="V5" s="8"/>
    </row>
    <row r="6" spans="1:49" x14ac:dyDescent="0.35">
      <c r="A6">
        <v>0.6</v>
      </c>
      <c r="B6" s="9">
        <v>15.4</v>
      </c>
      <c r="C6">
        <v>-2.6637128000000002E-3</v>
      </c>
      <c r="D6">
        <v>1.3162444E-3</v>
      </c>
      <c r="E6">
        <v>0.99734750999999999</v>
      </c>
      <c r="F6">
        <v>-2.5607054999999998E-4</v>
      </c>
      <c r="G6">
        <f t="shared" si="6"/>
        <v>180.40948687810501</v>
      </c>
      <c r="H6">
        <f t="shared" si="7"/>
        <v>36.0779314454984</v>
      </c>
      <c r="I6">
        <f t="shared" si="8"/>
        <v>180.40949310750699</v>
      </c>
      <c r="J6">
        <f t="shared" si="9"/>
        <v>36.077145297332102</v>
      </c>
      <c r="K6" s="7">
        <f t="shared" si="10"/>
        <v>-6.2294019755881899E-6</v>
      </c>
      <c r="L6" s="7">
        <f t="shared" si="11"/>
        <v>7.8614816629851703E-4</v>
      </c>
      <c r="M6" s="7">
        <f t="shared" si="12"/>
        <v>5.3298093592539899E-3</v>
      </c>
      <c r="N6" s="7">
        <f t="shared" si="13"/>
        <v>-1.0658214451403801E-3</v>
      </c>
      <c r="O6">
        <v>1.8797949</v>
      </c>
      <c r="P6">
        <v>-1.5586040999999999</v>
      </c>
      <c r="Q6">
        <v>1.0844795</v>
      </c>
      <c r="R6">
        <v>-2.1421342000000001</v>
      </c>
      <c r="S6">
        <f t="shared" si="14"/>
        <v>0.98325362302585417</v>
      </c>
      <c r="T6">
        <f t="shared" si="15"/>
        <v>-23.485352382167413</v>
      </c>
      <c r="U6" s="8"/>
      <c r="V6" s="8"/>
    </row>
    <row r="7" spans="1:49" x14ac:dyDescent="0.35">
      <c r="A7">
        <v>0.6</v>
      </c>
      <c r="B7" s="9">
        <v>15.5</v>
      </c>
      <c r="C7">
        <v>-3.0994349000000002E-3</v>
      </c>
      <c r="D7">
        <v>1.2270096E-3</v>
      </c>
      <c r="E7">
        <v>0.99690789999999996</v>
      </c>
      <c r="F7">
        <v>-2.6423723999999997E-4</v>
      </c>
      <c r="G7">
        <f t="shared" si="6"/>
        <v>157.197755899719</v>
      </c>
      <c r="H7">
        <f t="shared" si="7"/>
        <v>24.522085937990401</v>
      </c>
      <c r="I7">
        <f t="shared" si="8"/>
        <v>157.19776012310399</v>
      </c>
      <c r="J7">
        <f t="shared" si="9"/>
        <v>24.521340320454001</v>
      </c>
      <c r="K7" s="7">
        <f t="shared" si="10"/>
        <v>-4.2233849910644503E-6</v>
      </c>
      <c r="L7" s="7">
        <f t="shared" si="11"/>
        <v>7.4561753639912397E-4</v>
      </c>
      <c r="M7" s="7">
        <f t="shared" si="12"/>
        <v>6.2102985847894299E-3</v>
      </c>
      <c r="N7" s="7">
        <f t="shared" si="13"/>
        <v>-9.68746914523457E-4</v>
      </c>
      <c r="O7">
        <v>1.9060067000000001</v>
      </c>
      <c r="P7">
        <v>-1.8030568</v>
      </c>
      <c r="Q7">
        <v>1.0157311</v>
      </c>
      <c r="R7">
        <v>-2.3819971</v>
      </c>
      <c r="S7">
        <f t="shared" si="14"/>
        <v>0.98696775755471988</v>
      </c>
      <c r="T7">
        <f t="shared" si="15"/>
        <v>-23.49554363271065</v>
      </c>
      <c r="U7" s="8"/>
      <c r="V7" s="8"/>
    </row>
    <row r="8" spans="1:49" x14ac:dyDescent="0.35">
      <c r="A8">
        <v>0.6</v>
      </c>
      <c r="B8" s="9">
        <v>15.6</v>
      </c>
      <c r="C8">
        <v>-3.5972398000000002E-3</v>
      </c>
      <c r="D8">
        <v>1.1970298999999999E-3</v>
      </c>
      <c r="E8">
        <v>0.99641416999999999</v>
      </c>
      <c r="F8">
        <v>-2.0137293000000001E-4</v>
      </c>
      <c r="G8">
        <f t="shared" si="6"/>
        <v>136.091876505979</v>
      </c>
      <c r="H8">
        <f t="shared" si="7"/>
        <v>18.9335718481192</v>
      </c>
      <c r="I8">
        <f t="shared" si="8"/>
        <v>136.091882699721</v>
      </c>
      <c r="J8">
        <f t="shared" si="9"/>
        <v>18.9328726550238</v>
      </c>
      <c r="K8" s="7">
        <f t="shared" si="10"/>
        <v>-6.1937419957303098E-6</v>
      </c>
      <c r="L8" s="7">
        <f t="shared" si="11"/>
        <v>6.9919309540011898E-4</v>
      </c>
      <c r="M8" s="7">
        <f t="shared" si="12"/>
        <v>7.2084648862816396E-3</v>
      </c>
      <c r="N8" s="7">
        <f t="shared" si="13"/>
        <v>-1.0028294489195201E-3</v>
      </c>
      <c r="O8">
        <v>1.9009734</v>
      </c>
      <c r="P8">
        <v>-2.0845883999999999</v>
      </c>
      <c r="Q8">
        <v>0.90148150000000005</v>
      </c>
      <c r="R8">
        <v>-2.6392277000000002</v>
      </c>
      <c r="S8">
        <f t="shared" si="14"/>
        <v>0.98856305829341973</v>
      </c>
      <c r="T8">
        <f t="shared" si="15"/>
        <v>-23.503608737205255</v>
      </c>
      <c r="U8" s="8"/>
      <c r="V8" s="8"/>
    </row>
    <row r="9" spans="1:49" x14ac:dyDescent="0.35">
      <c r="A9">
        <v>0.6</v>
      </c>
      <c r="B9" s="9">
        <v>15.7</v>
      </c>
      <c r="C9">
        <v>-4.1513059E-3</v>
      </c>
      <c r="D9">
        <v>1.2525565999999999E-3</v>
      </c>
      <c r="E9">
        <v>0.99586967999999998</v>
      </c>
      <c r="F9">
        <v>-5.0797785999999998E-5</v>
      </c>
      <c r="G9">
        <f t="shared" si="6"/>
        <v>117.75901073904301</v>
      </c>
      <c r="H9">
        <f t="shared" si="7"/>
        <v>17.1610641657029</v>
      </c>
      <c r="I9">
        <f t="shared" si="8"/>
        <v>117.75902165655199</v>
      </c>
      <c r="J9">
        <f t="shared" si="9"/>
        <v>17.1604125024624</v>
      </c>
      <c r="K9" s="7">
        <f t="shared" si="10"/>
        <v>-1.0917508987518E-5</v>
      </c>
      <c r="L9" s="7">
        <f t="shared" si="11"/>
        <v>6.5166324050025504E-4</v>
      </c>
      <c r="M9" s="7">
        <f t="shared" si="12"/>
        <v>8.3153361935256898E-3</v>
      </c>
      <c r="N9" s="7">
        <f t="shared" si="13"/>
        <v>-1.2117508889784199E-3</v>
      </c>
      <c r="O9">
        <v>1.8427918999999999</v>
      </c>
      <c r="P9">
        <v>-2.3919261999999999</v>
      </c>
      <c r="Q9">
        <v>0.72969061999999996</v>
      </c>
      <c r="R9">
        <v>-2.9051851000000002</v>
      </c>
      <c r="S9">
        <f t="shared" si="14"/>
        <v>0.99203579665184194</v>
      </c>
      <c r="T9">
        <f t="shared" si="15"/>
        <v>-23.51220589624792</v>
      </c>
      <c r="U9" s="8"/>
      <c r="V9" s="8"/>
    </row>
    <row r="10" spans="1:49" x14ac:dyDescent="0.35">
      <c r="A10">
        <v>0.6</v>
      </c>
      <c r="B10" s="9">
        <v>15.8</v>
      </c>
      <c r="C10">
        <v>-4.7442567000000003E-3</v>
      </c>
      <c r="D10">
        <v>1.4228864999999999E-3</v>
      </c>
      <c r="E10">
        <v>0.99528342999999997</v>
      </c>
      <c r="F10">
        <v>2.1660475999999999E-4</v>
      </c>
      <c r="G10">
        <f t="shared" si="6"/>
        <v>102.117368048573</v>
      </c>
      <c r="H10">
        <f t="shared" si="7"/>
        <v>17.783133339872599</v>
      </c>
      <c r="I10">
        <f t="shared" si="8"/>
        <v>102.117382255495</v>
      </c>
      <c r="J10">
        <f t="shared" si="9"/>
        <v>17.782530215920598</v>
      </c>
      <c r="K10" s="7">
        <f t="shared" si="10"/>
        <v>-1.42069220032681E-5</v>
      </c>
      <c r="L10" s="7">
        <f t="shared" si="11"/>
        <v>6.03123952000573E-4</v>
      </c>
      <c r="M10" s="7">
        <f t="shared" si="12"/>
        <v>9.5044386763438894E-3</v>
      </c>
      <c r="N10" s="7">
        <f t="shared" si="13"/>
        <v>-1.65508519915429E-3</v>
      </c>
      <c r="O10">
        <v>1.7206944</v>
      </c>
      <c r="P10">
        <v>-2.7211531999999998</v>
      </c>
      <c r="Q10">
        <v>0.48910819999999999</v>
      </c>
      <c r="R10">
        <v>-3.1640557</v>
      </c>
      <c r="S10">
        <f t="shared" si="14"/>
        <v>0.99443781104713436</v>
      </c>
      <c r="T10">
        <f t="shared" si="15"/>
        <v>-23.519428935298635</v>
      </c>
      <c r="U10" s="8"/>
      <c r="V10" s="8"/>
    </row>
    <row r="11" spans="1:49" x14ac:dyDescent="0.35">
      <c r="A11">
        <v>0.6</v>
      </c>
      <c r="B11" s="9">
        <v>15.9</v>
      </c>
      <c r="C11">
        <v>-5.3436285000000002E-3</v>
      </c>
      <c r="D11">
        <v>1.7330217E-3</v>
      </c>
      <c r="E11">
        <v>0.99468515000000002</v>
      </c>
      <c r="F11">
        <v>6.2582852000000002E-4</v>
      </c>
      <c r="G11">
        <f t="shared" si="6"/>
        <v>88.941266179603105</v>
      </c>
      <c r="H11">
        <f t="shared" si="7"/>
        <v>19.794712528620298</v>
      </c>
      <c r="I11">
        <f t="shared" si="8"/>
        <v>88.941280875101995</v>
      </c>
      <c r="J11">
        <f t="shared" si="9"/>
        <v>19.794158948131301</v>
      </c>
      <c r="K11" s="7">
        <f t="shared" si="10"/>
        <v>-1.4695498890660001E-5</v>
      </c>
      <c r="L11" s="7">
        <f t="shared" si="11"/>
        <v>5.5358048899734101E-4</v>
      </c>
      <c r="M11" s="7">
        <f t="shared" si="12"/>
        <v>1.0712770709859499E-2</v>
      </c>
      <c r="N11" s="7">
        <f t="shared" si="13"/>
        <v>-2.3841604721616398E-3</v>
      </c>
      <c r="O11">
        <v>1.5199876000000001</v>
      </c>
      <c r="P11">
        <v>-3.0520046999999999</v>
      </c>
      <c r="Q11">
        <v>0.17475535</v>
      </c>
      <c r="R11">
        <v>-3.392331</v>
      </c>
      <c r="S11">
        <f t="shared" si="14"/>
        <v>0.99626635299183885</v>
      </c>
      <c r="T11">
        <f t="shared" si="15"/>
        <v>-23.525671821598092</v>
      </c>
      <c r="U11" s="8"/>
      <c r="V11" s="8"/>
    </row>
    <row r="12" spans="1:49" x14ac:dyDescent="0.35">
      <c r="A12">
        <v>0.6</v>
      </c>
      <c r="B12" s="9">
        <v>16</v>
      </c>
      <c r="C12">
        <v>-5.9015176000000004E-3</v>
      </c>
      <c r="D12">
        <v>2.1976995000000002E-3</v>
      </c>
      <c r="E12">
        <v>0.99412294999999995</v>
      </c>
      <c r="F12">
        <v>1.2013780999999999E-3</v>
      </c>
      <c r="G12">
        <f t="shared" si="6"/>
        <v>77.873101155568506</v>
      </c>
      <c r="H12">
        <f t="shared" si="7"/>
        <v>22.6172839158281</v>
      </c>
      <c r="I12">
        <f t="shared" si="8"/>
        <v>77.873113637373805</v>
      </c>
      <c r="J12">
        <f t="shared" si="9"/>
        <v>22.616785767440302</v>
      </c>
      <c r="K12" s="7">
        <f t="shared" si="10"/>
        <v>-1.2481805299557899E-5</v>
      </c>
      <c r="L12" s="7">
        <f t="shared" si="11"/>
        <v>4.9814838779838099E-4</v>
      </c>
      <c r="M12" s="7">
        <f t="shared" si="12"/>
        <v>1.1842485234381301E-2</v>
      </c>
      <c r="N12" s="7">
        <f t="shared" si="13"/>
        <v>-3.4394277946468402E-3</v>
      </c>
      <c r="O12">
        <v>1.2310236999999999</v>
      </c>
      <c r="P12">
        <v>-3.3528117000000002</v>
      </c>
      <c r="Q12">
        <v>-0.20980760000000001</v>
      </c>
      <c r="R12">
        <v>-3.5625159000000002</v>
      </c>
      <c r="S12">
        <f t="shared" si="14"/>
        <v>0.99916766847428018</v>
      </c>
      <c r="T12">
        <f t="shared" si="15"/>
        <v>-23.531729121806045</v>
      </c>
      <c r="U12" s="8"/>
      <c r="V12" s="8"/>
    </row>
    <row r="13" spans="1:49" x14ac:dyDescent="0.35">
      <c r="A13">
        <v>0.6</v>
      </c>
      <c r="B13" s="9">
        <v>16.100000000000001</v>
      </c>
      <c r="C13">
        <v>-6.3602390000000002E-3</v>
      </c>
      <c r="D13">
        <v>2.8080943999999998E-3</v>
      </c>
      <c r="E13">
        <v>0.99366414000000003</v>
      </c>
      <c r="F13">
        <v>1.9391248E-3</v>
      </c>
      <c r="G13">
        <f t="shared" si="6"/>
        <v>68.603052269131894</v>
      </c>
      <c r="H13">
        <f t="shared" si="7"/>
        <v>25.838655161297002</v>
      </c>
      <c r="I13">
        <f t="shared" si="8"/>
        <v>68.603064647253504</v>
      </c>
      <c r="J13">
        <f t="shared" si="9"/>
        <v>25.838220687171098</v>
      </c>
      <c r="K13" s="7">
        <f t="shared" si="10"/>
        <v>-1.2378121610368E-5</v>
      </c>
      <c r="L13" s="7">
        <f t="shared" si="11"/>
        <v>4.3447412590325003E-4</v>
      </c>
      <c r="M13" s="7">
        <f t="shared" si="12"/>
        <v>1.2765749835690701E-2</v>
      </c>
      <c r="N13" s="7">
        <f t="shared" si="13"/>
        <v>-4.8080105923518704E-3</v>
      </c>
      <c r="O13">
        <v>0.86242887000000001</v>
      </c>
      <c r="P13">
        <v>-3.5964063999999998</v>
      </c>
      <c r="Q13">
        <v>-0.64645153</v>
      </c>
      <c r="R13">
        <v>-3.6468392999999999</v>
      </c>
      <c r="S13">
        <f t="shared" si="14"/>
        <v>1.0014397492779172</v>
      </c>
      <c r="T13">
        <f t="shared" si="15"/>
        <v>-23.537090386622257</v>
      </c>
      <c r="U13" s="8"/>
      <c r="V13" s="8"/>
    </row>
    <row r="14" spans="1:49" x14ac:dyDescent="0.35">
      <c r="A14">
        <v>0.6</v>
      </c>
      <c r="B14" s="9">
        <v>16.2</v>
      </c>
      <c r="C14">
        <v>-6.6692321000000002E-3</v>
      </c>
      <c r="D14">
        <v>3.5287134999999999E-3</v>
      </c>
      <c r="E14">
        <v>0.99335196000000003</v>
      </c>
      <c r="F14">
        <v>2.4463277000000001E-3</v>
      </c>
      <c r="G14">
        <f t="shared" si="6"/>
        <v>62.007475185342997</v>
      </c>
      <c r="H14">
        <f t="shared" si="7"/>
        <v>28.045411462313201</v>
      </c>
      <c r="I14">
        <f t="shared" si="8"/>
        <v>62.007486074161001</v>
      </c>
      <c r="J14">
        <f t="shared" si="9"/>
        <v>28.044870281040499</v>
      </c>
      <c r="K14" s="7">
        <f t="shared" si="10"/>
        <v>-1.0888818003707E-5</v>
      </c>
      <c r="L14" s="7">
        <f t="shared" si="11"/>
        <v>5.41181272701863E-4</v>
      </c>
      <c r="M14" s="7">
        <f t="shared" si="12"/>
        <v>1.3388372700606501E-2</v>
      </c>
      <c r="N14" s="7">
        <f t="shared" si="13"/>
        <v>-6.0553200820569397E-3</v>
      </c>
      <c r="O14">
        <v>0.43531051999999998</v>
      </c>
      <c r="P14">
        <v>-3.7482956999999999</v>
      </c>
      <c r="Q14">
        <v>-1.1037572</v>
      </c>
      <c r="R14">
        <v>-3.6220827999999998</v>
      </c>
      <c r="S14">
        <f t="shared" si="14"/>
        <v>1.003454471857818</v>
      </c>
      <c r="T14">
        <f t="shared" si="15"/>
        <v>-23.571953415174161</v>
      </c>
      <c r="U14" s="8"/>
      <c r="V14" s="8"/>
    </row>
    <row r="15" spans="1:49" x14ac:dyDescent="0.35">
      <c r="A15">
        <v>0.6</v>
      </c>
      <c r="B15" s="9">
        <v>16.3</v>
      </c>
      <c r="C15">
        <v>-6.7910521999999997E-3</v>
      </c>
      <c r="D15">
        <v>4.2972072E-3</v>
      </c>
      <c r="E15">
        <v>0.99326272000000004</v>
      </c>
      <c r="F15">
        <v>3.5223890999999999E-3</v>
      </c>
      <c r="G15">
        <f t="shared" si="6"/>
        <v>54.907216293596697</v>
      </c>
      <c r="H15">
        <f t="shared" si="7"/>
        <v>32.026474747847203</v>
      </c>
      <c r="I15">
        <f t="shared" si="8"/>
        <v>54.907243329047503</v>
      </c>
      <c r="J15">
        <f t="shared" si="9"/>
        <v>32.0260873596864</v>
      </c>
      <c r="K15" s="7">
        <f t="shared" si="10"/>
        <v>-2.7035450806067698E-5</v>
      </c>
      <c r="L15" s="7">
        <f t="shared" si="11"/>
        <v>3.8738816080297099E-4</v>
      </c>
      <c r="M15" s="7">
        <f t="shared" si="12"/>
        <v>1.3589301904013799E-2</v>
      </c>
      <c r="N15" s="7">
        <f t="shared" si="13"/>
        <v>-7.9263161569952598E-3</v>
      </c>
      <c r="O15">
        <v>-1.5703768999999999E-2</v>
      </c>
      <c r="P15">
        <v>-3.7987774000000001</v>
      </c>
      <c r="Q15">
        <v>-1.5418662999999999</v>
      </c>
      <c r="R15">
        <v>-3.4963877999999999</v>
      </c>
      <c r="S15">
        <f t="shared" si="14"/>
        <v>1.0059115514363974</v>
      </c>
      <c r="T15">
        <f t="shared" si="15"/>
        <v>-23.560066929489391</v>
      </c>
      <c r="U15" s="8"/>
      <c r="V15" s="8"/>
      <c r="AT15">
        <v>16.3</v>
      </c>
      <c r="AU15">
        <v>1.3589301904013799E-2</v>
      </c>
    </row>
    <row r="16" spans="1:49" x14ac:dyDescent="0.35">
      <c r="A16">
        <v>0.6</v>
      </c>
      <c r="B16" s="9">
        <v>16.399999999999999</v>
      </c>
      <c r="C16">
        <v>-6.7274685999999997E-3</v>
      </c>
      <c r="D16">
        <v>5.0470031999999996E-3</v>
      </c>
      <c r="E16">
        <v>0.99333916</v>
      </c>
      <c r="F16">
        <v>4.2732815999999996E-3</v>
      </c>
      <c r="G16">
        <f t="shared" si="6"/>
        <v>49.810311337748701</v>
      </c>
      <c r="H16">
        <f t="shared" si="7"/>
        <v>35.023780040377197</v>
      </c>
      <c r="I16">
        <f t="shared" si="8"/>
        <v>49.810344800585199</v>
      </c>
      <c r="J16">
        <f t="shared" si="9"/>
        <v>35.023393205409803</v>
      </c>
      <c r="K16" s="7">
        <f t="shared" si="10"/>
        <v>-3.3462836498188201E-5</v>
      </c>
      <c r="L16" s="7">
        <f t="shared" si="11"/>
        <v>3.8683496739366801E-4</v>
      </c>
      <c r="M16" s="7">
        <f t="shared" si="12"/>
        <v>1.3434266615485701E-2</v>
      </c>
      <c r="N16" s="7">
        <f t="shared" si="13"/>
        <v>-9.4461020895189492E-3</v>
      </c>
      <c r="O16">
        <v>-0.45135154</v>
      </c>
      <c r="P16">
        <v>-3.7435953999999998</v>
      </c>
      <c r="Q16">
        <v>-1.9259185999999999</v>
      </c>
      <c r="R16">
        <v>-3.2768294</v>
      </c>
      <c r="S16">
        <f t="shared" si="14"/>
        <v>1.0080051310636715</v>
      </c>
      <c r="T16">
        <f t="shared" si="15"/>
        <v>-23.569632162338287</v>
      </c>
      <c r="U16" s="8"/>
      <c r="V16" s="8"/>
    </row>
    <row r="17" spans="1:22" x14ac:dyDescent="0.35">
      <c r="A17">
        <v>0.6</v>
      </c>
      <c r="B17" s="9">
        <v>16.5</v>
      </c>
      <c r="C17">
        <v>-6.5067928999999998E-3</v>
      </c>
      <c r="D17">
        <v>5.7188865E-3</v>
      </c>
      <c r="E17">
        <v>0.99355305000000005</v>
      </c>
      <c r="F17">
        <v>4.9513010999999996E-3</v>
      </c>
      <c r="G17">
        <f t="shared" si="6"/>
        <v>45.491941032836003</v>
      </c>
      <c r="H17">
        <f t="shared" si="7"/>
        <v>37.884439172416798</v>
      </c>
      <c r="I17">
        <f t="shared" si="8"/>
        <v>45.491971100674299</v>
      </c>
      <c r="J17">
        <f t="shared" si="9"/>
        <v>37.884055402739499</v>
      </c>
      <c r="K17" s="7">
        <f t="shared" si="10"/>
        <v>-3.0067838295622099E-5</v>
      </c>
      <c r="L17" s="7">
        <f t="shared" si="11"/>
        <v>3.8376967729902801E-4</v>
      </c>
      <c r="M17" s="7">
        <f t="shared" si="12"/>
        <v>1.29801972691843E-2</v>
      </c>
      <c r="N17" s="7">
        <f t="shared" si="13"/>
        <v>-1.08094351725503E-2</v>
      </c>
      <c r="O17">
        <v>-0.83913218999999994</v>
      </c>
      <c r="P17">
        <v>-3.6012672999999999</v>
      </c>
      <c r="Q17">
        <v>-2.2321387000000001</v>
      </c>
      <c r="R17">
        <v>-2.9950640000000002</v>
      </c>
      <c r="S17">
        <f t="shared" si="14"/>
        <v>1.0101719561925742</v>
      </c>
      <c r="T17">
        <f t="shared" si="15"/>
        <v>-23.579682656822801</v>
      </c>
      <c r="U17" s="8"/>
      <c r="V17" s="8"/>
    </row>
    <row r="18" spans="1:22" x14ac:dyDescent="0.35">
      <c r="A18">
        <v>0.6</v>
      </c>
      <c r="B18" s="9">
        <v>16.600000000000001</v>
      </c>
      <c r="C18">
        <v>-6.1759377999999997E-3</v>
      </c>
      <c r="D18">
        <v>6.2766419999999998E-3</v>
      </c>
      <c r="E18">
        <v>0.99383995000000003</v>
      </c>
      <c r="F18">
        <v>5.3694525999999996E-3</v>
      </c>
      <c r="G18">
        <f t="shared" si="6"/>
        <v>42.361844432380501</v>
      </c>
      <c r="H18">
        <f t="shared" si="7"/>
        <v>40.465015713599001</v>
      </c>
      <c r="I18">
        <f t="shared" si="8"/>
        <v>42.361852581960598</v>
      </c>
      <c r="J18">
        <f t="shared" si="9"/>
        <v>40.4645621261987</v>
      </c>
      <c r="K18" s="7">
        <f t="shared" si="10"/>
        <v>-8.1495800969832999E-6</v>
      </c>
      <c r="L18" s="7">
        <f t="shared" si="11"/>
        <v>4.5358740030110301E-4</v>
      </c>
      <c r="M18" s="7">
        <f t="shared" si="12"/>
        <v>1.2343530392141E-2</v>
      </c>
      <c r="N18" s="7">
        <f t="shared" si="13"/>
        <v>-1.1790691907136001E-2</v>
      </c>
      <c r="O18">
        <v>-1.1572693999999999</v>
      </c>
      <c r="P18">
        <v>-3.3988144</v>
      </c>
      <c r="Q18">
        <v>-2.4507683999999998</v>
      </c>
      <c r="R18">
        <v>-2.6833003999999998</v>
      </c>
      <c r="S18">
        <f t="shared" si="14"/>
        <v>1.0121498282416654</v>
      </c>
      <c r="T18">
        <f t="shared" si="15"/>
        <v>-23.603432291306387</v>
      </c>
      <c r="U18" s="8"/>
      <c r="V18" s="8"/>
    </row>
    <row r="19" spans="1:22" x14ac:dyDescent="0.35">
      <c r="A19">
        <v>0.6</v>
      </c>
      <c r="B19" s="9">
        <v>16.7</v>
      </c>
      <c r="C19">
        <v>-5.7832159999999999E-3</v>
      </c>
      <c r="D19">
        <v>6.7120468000000004E-3</v>
      </c>
      <c r="E19">
        <v>0.99423474000000001</v>
      </c>
      <c r="F19">
        <v>5.8633278E-3</v>
      </c>
      <c r="G19">
        <f t="shared" si="6"/>
        <v>39.116410676671201</v>
      </c>
      <c r="H19">
        <f t="shared" si="7"/>
        <v>43.139346911006903</v>
      </c>
      <c r="I19">
        <f t="shared" si="8"/>
        <v>39.116419834666701</v>
      </c>
      <c r="J19">
        <f t="shared" si="9"/>
        <v>43.138922559203003</v>
      </c>
      <c r="K19" s="7">
        <f t="shared" si="10"/>
        <v>-9.1579954997200696E-6</v>
      </c>
      <c r="L19" s="7">
        <f t="shared" si="11"/>
        <v>4.2435180390043602E-4</v>
      </c>
      <c r="M19" s="7">
        <f t="shared" si="12"/>
        <v>1.1535156850284599E-2</v>
      </c>
      <c r="N19" s="7">
        <f t="shared" si="13"/>
        <v>-1.27213645874533E-2</v>
      </c>
      <c r="O19">
        <v>-1.4081423</v>
      </c>
      <c r="P19">
        <v>-3.1662276999999999</v>
      </c>
      <c r="Q19">
        <v>-2.5945776</v>
      </c>
      <c r="R19">
        <v>-2.3702592</v>
      </c>
      <c r="S19">
        <f t="shared" si="14"/>
        <v>1.0141447550573466</v>
      </c>
      <c r="T19">
        <f t="shared" si="15"/>
        <v>-23.61040508486348</v>
      </c>
      <c r="U19" s="8"/>
      <c r="V19" s="8"/>
    </row>
    <row r="20" spans="1:22" x14ac:dyDescent="0.35">
      <c r="A20">
        <v>0.6</v>
      </c>
      <c r="B20" s="9">
        <v>16.8</v>
      </c>
      <c r="C20">
        <v>-5.3698226E-3</v>
      </c>
      <c r="D20">
        <v>7.0305619999999997E-3</v>
      </c>
      <c r="E20">
        <v>0.9946566</v>
      </c>
      <c r="F20">
        <v>6.2445833000000003E-3</v>
      </c>
      <c r="G20">
        <f t="shared" si="6"/>
        <v>36.314859641564297</v>
      </c>
      <c r="H20">
        <f t="shared" si="7"/>
        <v>45.618841588429099</v>
      </c>
      <c r="I20">
        <f t="shared" si="8"/>
        <v>36.314873007124199</v>
      </c>
      <c r="J20">
        <f t="shared" si="9"/>
        <v>45.618448609523298</v>
      </c>
      <c r="K20" s="7">
        <f t="shared" si="10"/>
        <v>-1.33655599015015E-5</v>
      </c>
      <c r="L20" s="7">
        <f t="shared" si="11"/>
        <v>3.9297890580058899E-4</v>
      </c>
      <c r="M20" s="7">
        <f t="shared" si="12"/>
        <v>1.06814329362397E-2</v>
      </c>
      <c r="N20" s="7">
        <f t="shared" si="13"/>
        <v>-1.34179293256053E-2</v>
      </c>
      <c r="O20">
        <v>-1.5931191</v>
      </c>
      <c r="P20">
        <v>-2.9248208999999998</v>
      </c>
      <c r="Q20">
        <v>-2.6736772000000002</v>
      </c>
      <c r="R20">
        <v>-2.0743567999999999</v>
      </c>
      <c r="S20">
        <f t="shared" si="14"/>
        <v>1.0160486696245348</v>
      </c>
      <c r="T20">
        <f t="shared" si="15"/>
        <v>-23.617447159047714</v>
      </c>
      <c r="U20" s="8"/>
      <c r="V20" s="8"/>
    </row>
    <row r="21" spans="1:22" x14ac:dyDescent="0.35">
      <c r="A21">
        <v>0.6</v>
      </c>
      <c r="B21" s="9">
        <v>16.899999999999999</v>
      </c>
      <c r="C21">
        <v>-4.9720103999999999E-3</v>
      </c>
      <c r="D21">
        <v>7.2421788000000004E-3</v>
      </c>
      <c r="E21">
        <v>0.99510841000000005</v>
      </c>
      <c r="F21">
        <v>6.6192652999999997E-3</v>
      </c>
      <c r="G21">
        <f t="shared" si="6"/>
        <v>33.579349771966598</v>
      </c>
      <c r="H21">
        <f t="shared" si="7"/>
        <v>47.892331191145203</v>
      </c>
      <c r="I21">
        <f t="shared" si="8"/>
        <v>33.579390077543401</v>
      </c>
      <c r="J21">
        <f t="shared" si="9"/>
        <v>47.892019759471403</v>
      </c>
      <c r="K21" s="7">
        <f t="shared" si="10"/>
        <v>-4.0305576803234497E-5</v>
      </c>
      <c r="L21" s="7">
        <f t="shared" si="11"/>
        <v>3.1143167380065501E-4</v>
      </c>
      <c r="M21" s="7">
        <f t="shared" si="12"/>
        <v>9.8150309875726701E-3</v>
      </c>
      <c r="N21" s="7">
        <f t="shared" si="13"/>
        <v>-1.3998516855462899E-2</v>
      </c>
      <c r="O21">
        <v>-1.7254495000000001</v>
      </c>
      <c r="P21">
        <v>-2.6920172</v>
      </c>
      <c r="Q21">
        <v>-2.7066911</v>
      </c>
      <c r="R21">
        <v>-1.8075048</v>
      </c>
      <c r="S21">
        <f t="shared" si="14"/>
        <v>1.01789124972046</v>
      </c>
      <c r="T21">
        <f t="shared" si="15"/>
        <v>-23.60748797180597</v>
      </c>
      <c r="U21" s="8"/>
      <c r="V21" s="8"/>
    </row>
    <row r="22" spans="1:22" x14ac:dyDescent="0.35">
      <c r="A22">
        <v>0.6</v>
      </c>
      <c r="B22" s="9">
        <v>17</v>
      </c>
      <c r="C22">
        <v>-4.6913737000000002E-3</v>
      </c>
      <c r="D22">
        <v>7.3972107999999998E-3</v>
      </c>
      <c r="E22">
        <v>0.99522728000000005</v>
      </c>
      <c r="F22">
        <v>6.9082170000000004E-3</v>
      </c>
      <c r="G22">
        <f t="shared" si="6"/>
        <v>31.6673643250632</v>
      </c>
      <c r="H22">
        <f t="shared" si="7"/>
        <v>48.622592824265098</v>
      </c>
      <c r="I22">
        <f t="shared" si="8"/>
        <v>31.667323710044801</v>
      </c>
      <c r="J22">
        <f t="shared" si="9"/>
        <v>48.622348307489503</v>
      </c>
      <c r="K22" s="7">
        <f t="shared" si="10"/>
        <v>4.0615018399137198E-5</v>
      </c>
      <c r="L22" s="7">
        <f t="shared" si="11"/>
        <v>2.4451677559511598E-4</v>
      </c>
      <c r="M22" s="7">
        <f t="shared" si="12"/>
        <v>9.4053382221917902E-3</v>
      </c>
      <c r="N22" s="7">
        <f t="shared" si="13"/>
        <v>-1.44410571343639E-2</v>
      </c>
      <c r="O22">
        <v>-1.8131546000000001</v>
      </c>
      <c r="P22">
        <v>-2.5359224999999999</v>
      </c>
      <c r="Q22">
        <v>-2.7160831000000001</v>
      </c>
      <c r="R22">
        <v>-1.6151803</v>
      </c>
      <c r="S22">
        <f t="shared" si="14"/>
        <v>1.0136681860191656</v>
      </c>
      <c r="T22">
        <f t="shared" si="15"/>
        <v>-23.696889188037677</v>
      </c>
      <c r="U22" s="8"/>
      <c r="V22" s="8"/>
    </row>
    <row r="23" spans="1:22" x14ac:dyDescent="0.35">
      <c r="A23">
        <v>0.8</v>
      </c>
      <c r="B23" s="9">
        <v>15</v>
      </c>
      <c r="C23">
        <v>-2.5233891E-3</v>
      </c>
      <c r="D23">
        <v>-2.4393966E-4</v>
      </c>
      <c r="E23">
        <v>0.99735459000000004</v>
      </c>
      <c r="F23">
        <v>-1.9927365999999999E-3</v>
      </c>
      <c r="G23">
        <f t="shared" si="6"/>
        <v>162.45490645265301</v>
      </c>
      <c r="H23">
        <f t="shared" si="7"/>
        <v>-70.514453398841596</v>
      </c>
      <c r="I23">
        <f t="shared" si="8"/>
        <v>162.45484620319201</v>
      </c>
      <c r="J23">
        <f t="shared" si="9"/>
        <v>-70.515327903347497</v>
      </c>
      <c r="K23" s="7">
        <f t="shared" si="10"/>
        <v>6.0249461000694302E-5</v>
      </c>
      <c r="L23" s="7">
        <f t="shared" si="11"/>
        <v>8.7450450590154105E-4</v>
      </c>
      <c r="M23" s="7">
        <f t="shared" si="12"/>
        <v>5.1796615751770097E-3</v>
      </c>
      <c r="N23" s="7">
        <f t="shared" si="13"/>
        <v>2.24828955822679E-3</v>
      </c>
      <c r="O23">
        <v>2.1528421999999998</v>
      </c>
      <c r="P23">
        <v>-1.1608039999999999</v>
      </c>
      <c r="Q23">
        <v>1.4611765999999999</v>
      </c>
      <c r="R23">
        <v>-1.8535535000000001</v>
      </c>
      <c r="S23">
        <f t="shared" si="14"/>
        <v>0.96499373460917137</v>
      </c>
      <c r="T23">
        <f t="shared" si="15"/>
        <v>-23.417528391387986</v>
      </c>
      <c r="U23" s="8"/>
      <c r="V23" s="8"/>
    </row>
    <row r="24" spans="1:22" x14ac:dyDescent="0.35">
      <c r="A24">
        <v>0.8</v>
      </c>
      <c r="B24" s="9">
        <v>15.1</v>
      </c>
      <c r="C24">
        <v>-2.9291021999999999E-3</v>
      </c>
      <c r="D24">
        <v>-5.2905523000000001E-4</v>
      </c>
      <c r="E24">
        <v>0.99690557999999996</v>
      </c>
      <c r="F24">
        <v>-2.2355206000000002E-3</v>
      </c>
      <c r="G24">
        <f t="shared" si="6"/>
        <v>136.62983759862399</v>
      </c>
      <c r="H24">
        <f t="shared" si="7"/>
        <v>-62.937121935024898</v>
      </c>
      <c r="I24">
        <f t="shared" si="8"/>
        <v>136.62975566107701</v>
      </c>
      <c r="J24">
        <f t="shared" si="9"/>
        <v>-62.937975308160603</v>
      </c>
      <c r="K24" s="7">
        <f t="shared" si="10"/>
        <v>8.1937546980270795E-5</v>
      </c>
      <c r="L24" s="7">
        <f t="shared" si="11"/>
        <v>8.5337313570477103E-4</v>
      </c>
      <c r="M24" s="7">
        <f t="shared" si="12"/>
        <v>6.0378490891528297E-3</v>
      </c>
      <c r="N24" s="7">
        <f t="shared" si="13"/>
        <v>2.7813121310862302E-3</v>
      </c>
      <c r="O24">
        <v>2.2547058999999998</v>
      </c>
      <c r="P24">
        <v>-1.3327262</v>
      </c>
      <c r="Q24">
        <v>1.4908796</v>
      </c>
      <c r="R24">
        <v>-2.0532222</v>
      </c>
      <c r="S24">
        <f t="shared" si="14"/>
        <v>0.96879721874521296</v>
      </c>
      <c r="T24">
        <f t="shared" si="15"/>
        <v>-23.429199736411995</v>
      </c>
      <c r="U24" s="8"/>
      <c r="V24" s="8"/>
    </row>
    <row r="25" spans="1:22" x14ac:dyDescent="0.35">
      <c r="A25">
        <v>0.8</v>
      </c>
      <c r="B25" s="9">
        <v>15.2</v>
      </c>
      <c r="C25">
        <v>-3.4024161000000002E-3</v>
      </c>
      <c r="D25" s="4">
        <v>-7.9801315999999999E-4</v>
      </c>
      <c r="E25">
        <v>0.99641654999999996</v>
      </c>
      <c r="F25">
        <v>-2.5102212E-3</v>
      </c>
      <c r="G25">
        <f t="shared" si="6"/>
        <v>116.424685964096</v>
      </c>
      <c r="H25">
        <f t="shared" si="7"/>
        <v>-55.370532260693103</v>
      </c>
      <c r="I25">
        <f t="shared" si="8"/>
        <v>116.424596172064</v>
      </c>
      <c r="J25">
        <f t="shared" si="9"/>
        <v>-55.371388519090203</v>
      </c>
      <c r="K25" s="7">
        <f t="shared" si="10"/>
        <v>8.9792031999991195E-5</v>
      </c>
      <c r="L25" s="7">
        <f t="shared" si="11"/>
        <v>8.5625839709990703E-4</v>
      </c>
      <c r="M25" s="7">
        <f t="shared" si="12"/>
        <v>7.0048045785554604E-3</v>
      </c>
      <c r="N25" s="7">
        <f t="shared" si="13"/>
        <v>3.3314760675336101E-3</v>
      </c>
      <c r="O25">
        <v>2.3551481000000001</v>
      </c>
      <c r="P25">
        <v>-1.5385142999999999</v>
      </c>
      <c r="Q25">
        <v>1.5035224</v>
      </c>
      <c r="R25">
        <v>-2.2801011999999998</v>
      </c>
      <c r="S25">
        <f t="shared" si="14"/>
        <v>0.97087208282436943</v>
      </c>
      <c r="T25">
        <f t="shared" si="15"/>
        <v>-23.443914482877382</v>
      </c>
      <c r="U25" s="8"/>
      <c r="V25" s="8"/>
    </row>
    <row r="26" spans="1:22" x14ac:dyDescent="0.35">
      <c r="A26">
        <v>0.8</v>
      </c>
      <c r="B26" s="9">
        <v>15.3</v>
      </c>
      <c r="C26">
        <v>-3.9582248E-3</v>
      </c>
      <c r="D26" s="4">
        <v>-1.0455886000000001E-3</v>
      </c>
      <c r="E26">
        <v>0.99598496999999997</v>
      </c>
      <c r="F26">
        <v>-2.6295887000000002E-3</v>
      </c>
      <c r="G26">
        <f t="shared" si="6"/>
        <v>102.94168142105799</v>
      </c>
      <c r="H26">
        <f t="shared" si="7"/>
        <v>-47.679814622872399</v>
      </c>
      <c r="I26">
        <f t="shared" si="8"/>
        <v>102.94165364496899</v>
      </c>
      <c r="J26">
        <f t="shared" si="9"/>
        <v>-47.680606667417301</v>
      </c>
      <c r="K26" s="7">
        <f t="shared" si="10"/>
        <v>2.77760889986212E-5</v>
      </c>
      <c r="L26" s="7">
        <f t="shared" si="11"/>
        <v>7.9204454490167098E-4</v>
      </c>
      <c r="M26" s="7">
        <f t="shared" si="12"/>
        <v>7.9983107927771996E-3</v>
      </c>
      <c r="N26" s="7">
        <f t="shared" si="13"/>
        <v>3.7046647048185198E-3</v>
      </c>
      <c r="O26">
        <v>2.4439090999999999</v>
      </c>
      <c r="P26">
        <v>-1.7791912000000001</v>
      </c>
      <c r="Q26">
        <v>1.4932392000000001</v>
      </c>
      <c r="R26">
        <v>-2.5366673</v>
      </c>
      <c r="S26">
        <f t="shared" si="14"/>
        <v>0.97373261836149327</v>
      </c>
      <c r="T26">
        <f t="shared" si="15"/>
        <v>-23.461295458070577</v>
      </c>
      <c r="U26" s="8"/>
      <c r="V26" s="8"/>
    </row>
    <row r="27" spans="1:22" x14ac:dyDescent="0.35">
      <c r="A27">
        <v>0.8</v>
      </c>
      <c r="B27" s="9">
        <v>15.4</v>
      </c>
      <c r="C27">
        <v>-4.6119356000000004E-3</v>
      </c>
      <c r="D27" s="4">
        <v>-1.2583072E-3</v>
      </c>
      <c r="E27">
        <v>0.99532818000000001</v>
      </c>
      <c r="F27">
        <v>-2.8266425E-3</v>
      </c>
      <c r="G27">
        <f t="shared" si="6"/>
        <v>89.743142034409303</v>
      </c>
      <c r="H27">
        <f t="shared" si="7"/>
        <v>-39.707529122416297</v>
      </c>
      <c r="I27">
        <f t="shared" si="8"/>
        <v>89.743112706286496</v>
      </c>
      <c r="J27">
        <f t="shared" si="9"/>
        <v>-39.708313336545501</v>
      </c>
      <c r="K27" s="7">
        <f t="shared" si="10"/>
        <v>2.93281228067599E-5</v>
      </c>
      <c r="L27" s="7">
        <f t="shared" si="11"/>
        <v>7.8421412920448596E-4</v>
      </c>
      <c r="M27" s="7">
        <f t="shared" si="12"/>
        <v>9.31856087676192E-3</v>
      </c>
      <c r="N27" s="7">
        <f t="shared" si="13"/>
        <v>4.1231502226935397E-3</v>
      </c>
      <c r="O27">
        <v>2.5115835</v>
      </c>
      <c r="P27">
        <v>-2.0582492999999999</v>
      </c>
      <c r="Q27">
        <v>1.4505299</v>
      </c>
      <c r="R27">
        <v>-2.823334</v>
      </c>
      <c r="S27">
        <f t="shared" si="14"/>
        <v>0.97749863046334373</v>
      </c>
      <c r="T27">
        <f t="shared" si="15"/>
        <v>-23.472783431293731</v>
      </c>
      <c r="U27" s="8"/>
      <c r="V27" s="8"/>
    </row>
    <row r="28" spans="1:22" x14ac:dyDescent="0.35">
      <c r="A28">
        <v>0.8</v>
      </c>
      <c r="B28" s="9">
        <v>15.5</v>
      </c>
      <c r="C28">
        <v>-5.3714065000000002E-3</v>
      </c>
      <c r="D28">
        <v>-1.4064151999999999E-3</v>
      </c>
      <c r="E28">
        <v>0.99456825999999998</v>
      </c>
      <c r="F28">
        <v>-2.9557553000000001E-3</v>
      </c>
      <c r="G28">
        <f t="shared" si="6"/>
        <v>79.089116025122394</v>
      </c>
      <c r="H28">
        <f t="shared" si="7"/>
        <v>-32.136659895310601</v>
      </c>
      <c r="I28">
        <f t="shared" si="8"/>
        <v>79.089086457630003</v>
      </c>
      <c r="J28">
        <f t="shared" si="9"/>
        <v>-32.137434611636401</v>
      </c>
      <c r="K28" s="7">
        <f t="shared" si="10"/>
        <v>2.9567492390469899E-5</v>
      </c>
      <c r="L28" s="7">
        <f t="shared" si="11"/>
        <v>7.7471632580028405E-4</v>
      </c>
      <c r="M28" s="7">
        <f t="shared" si="12"/>
        <v>1.0852111706379199E-2</v>
      </c>
      <c r="N28" s="7">
        <f t="shared" si="13"/>
        <v>4.4096985561816399E-3</v>
      </c>
      <c r="O28">
        <v>2.5525026</v>
      </c>
      <c r="P28">
        <v>-2.3833506</v>
      </c>
      <c r="Q28">
        <v>1.3635412</v>
      </c>
      <c r="R28">
        <v>-3.1390562000000002</v>
      </c>
      <c r="S28">
        <f t="shared" si="14"/>
        <v>0.98000986287246539</v>
      </c>
      <c r="T28">
        <f t="shared" si="15"/>
        <v>-23.483630622082</v>
      </c>
      <c r="U28" s="8"/>
      <c r="V28" s="8"/>
    </row>
    <row r="29" spans="1:22" x14ac:dyDescent="0.35">
      <c r="A29">
        <v>0.8</v>
      </c>
      <c r="B29" s="9">
        <v>15.6</v>
      </c>
      <c r="C29">
        <v>-6.2410312000000003E-3</v>
      </c>
      <c r="D29">
        <v>-1.4532858E-3</v>
      </c>
      <c r="E29">
        <v>0.99370144999999999</v>
      </c>
      <c r="F29">
        <v>-2.9797304E-3</v>
      </c>
      <c r="G29">
        <f t="shared" si="6"/>
        <v>70.388067258470898</v>
      </c>
      <c r="H29">
        <f t="shared" si="7"/>
        <v>-25.0600955134794</v>
      </c>
      <c r="I29">
        <f t="shared" si="8"/>
        <v>70.388039080802002</v>
      </c>
      <c r="J29">
        <f t="shared" si="9"/>
        <v>-25.060858779236298</v>
      </c>
      <c r="K29" s="7">
        <f t="shared" si="10"/>
        <v>2.8177668895068601E-5</v>
      </c>
      <c r="L29" s="7">
        <f t="shared" si="11"/>
        <v>7.6326575689833497E-4</v>
      </c>
      <c r="M29" s="7">
        <f t="shared" si="12"/>
        <v>1.2608643620409501E-2</v>
      </c>
      <c r="N29" s="7">
        <f t="shared" si="13"/>
        <v>4.4891638024759798E-3</v>
      </c>
      <c r="O29">
        <v>2.5478599000000002</v>
      </c>
      <c r="P29">
        <v>-2.7532074999999998</v>
      </c>
      <c r="Q29">
        <v>1.2173822999999999</v>
      </c>
      <c r="R29">
        <v>-3.4786543999999999</v>
      </c>
      <c r="S29">
        <f t="shared" si="14"/>
        <v>0.98248249508250618</v>
      </c>
      <c r="T29">
        <f t="shared" si="15"/>
        <v>-23.49374784813347</v>
      </c>
      <c r="U29" s="8"/>
      <c r="V29" s="8"/>
    </row>
    <row r="30" spans="1:22" x14ac:dyDescent="0.35">
      <c r="A30">
        <v>0.8</v>
      </c>
      <c r="B30" s="9">
        <v>15.7</v>
      </c>
      <c r="C30">
        <v>-7.2111674000000002E-3</v>
      </c>
      <c r="D30">
        <v>-1.3536745E-3</v>
      </c>
      <c r="E30">
        <v>0.99273624999999999</v>
      </c>
      <c r="F30">
        <v>-2.8523860000000002E-3</v>
      </c>
      <c r="G30">
        <f t="shared" si="6"/>
        <v>63.206060986641504</v>
      </c>
      <c r="H30">
        <f t="shared" si="7"/>
        <v>-18.511060304994501</v>
      </c>
      <c r="I30">
        <f t="shared" si="8"/>
        <v>63.206035256228297</v>
      </c>
      <c r="J30">
        <f t="shared" si="9"/>
        <v>-18.5118096997283</v>
      </c>
      <c r="K30" s="7">
        <f t="shared" si="10"/>
        <v>2.5730413206304099E-5</v>
      </c>
      <c r="L30" s="7">
        <f t="shared" si="11"/>
        <v>7.4939473379842503E-4</v>
      </c>
      <c r="M30" s="7">
        <f t="shared" si="12"/>
        <v>1.45713583462363E-2</v>
      </c>
      <c r="N30" s="7">
        <f t="shared" si="13"/>
        <v>4.26766544806327E-3</v>
      </c>
      <c r="O30">
        <v>2.4786464000000001</v>
      </c>
      <c r="P30">
        <v>-3.1628006000000002</v>
      </c>
      <c r="Q30">
        <v>0.99646080000000004</v>
      </c>
      <c r="R30">
        <v>-3.8304244999999999</v>
      </c>
      <c r="S30">
        <f t="shared" si="14"/>
        <v>0.98496438615181425</v>
      </c>
      <c r="T30">
        <f t="shared" si="15"/>
        <v>-23.503417376291015</v>
      </c>
      <c r="U30" s="8"/>
      <c r="V30" s="8"/>
    </row>
    <row r="31" spans="1:22" x14ac:dyDescent="0.35">
      <c r="A31">
        <v>0.8</v>
      </c>
      <c r="B31" s="9">
        <v>15.8</v>
      </c>
      <c r="C31">
        <v>-8.2534339000000009E-3</v>
      </c>
      <c r="D31">
        <v>-1.0571796999999999E-3</v>
      </c>
      <c r="E31">
        <v>0.99170013999999995</v>
      </c>
      <c r="F31">
        <v>-2.5231107000000001E-3</v>
      </c>
      <c r="G31">
        <f t="shared" si="6"/>
        <v>57.2111742031761</v>
      </c>
      <c r="H31">
        <f t="shared" si="7"/>
        <v>-12.4819058280252</v>
      </c>
      <c r="I31">
        <f t="shared" si="8"/>
        <v>57.2111515268628</v>
      </c>
      <c r="J31">
        <f t="shared" si="9"/>
        <v>-12.482638827161299</v>
      </c>
      <c r="K31" s="7">
        <f t="shared" si="10"/>
        <v>2.2676313299996299E-5</v>
      </c>
      <c r="L31" s="7">
        <f t="shared" si="11"/>
        <v>7.3299913609936596E-4</v>
      </c>
      <c r="M31" s="7">
        <f t="shared" si="12"/>
        <v>1.6684830535911601E-2</v>
      </c>
      <c r="N31" s="7">
        <f t="shared" si="13"/>
        <v>3.6403866713709599E-3</v>
      </c>
      <c r="O31">
        <v>2.3240623999999999</v>
      </c>
      <c r="P31">
        <v>-3.5990739999999999</v>
      </c>
      <c r="Q31">
        <v>0.68649093999999999</v>
      </c>
      <c r="R31">
        <v>-4.1742106999999997</v>
      </c>
      <c r="S31">
        <f t="shared" si="14"/>
        <v>0.98740902198180858</v>
      </c>
      <c r="T31">
        <f t="shared" si="15"/>
        <v>-23.512641123993031</v>
      </c>
      <c r="U31" s="8"/>
      <c r="V31" s="8"/>
    </row>
    <row r="32" spans="1:22" x14ac:dyDescent="0.35">
      <c r="A32">
        <v>0.8</v>
      </c>
      <c r="B32" s="9">
        <v>15.9</v>
      </c>
      <c r="C32">
        <v>-9.3134674000000008E-3</v>
      </c>
      <c r="D32">
        <v>-5.1758062999999999E-4</v>
      </c>
      <c r="E32">
        <v>0.99064688999999995</v>
      </c>
      <c r="F32">
        <v>-1.9459194999999999E-3</v>
      </c>
      <c r="G32">
        <f t="shared" si="6"/>
        <v>52.154604196756097</v>
      </c>
      <c r="H32">
        <f t="shared" si="7"/>
        <v>-6.94867258774247</v>
      </c>
      <c r="I32">
        <f t="shared" si="8"/>
        <v>52.1545848851313</v>
      </c>
      <c r="J32">
        <f t="shared" si="9"/>
        <v>-6.9493867851255597</v>
      </c>
      <c r="K32" s="7">
        <f t="shared" si="10"/>
        <v>1.9311624797069302E-5</v>
      </c>
      <c r="L32" s="7">
        <f t="shared" si="11"/>
        <v>7.14197383089754E-4</v>
      </c>
      <c r="M32" s="7">
        <f t="shared" si="12"/>
        <v>1.8839287931726501E-2</v>
      </c>
      <c r="N32" s="7">
        <f t="shared" si="13"/>
        <v>2.5102586643583899E-3</v>
      </c>
      <c r="O32">
        <v>2.0655952000000002</v>
      </c>
      <c r="P32">
        <v>-4.0380380999999996</v>
      </c>
      <c r="Q32">
        <v>0.27953728</v>
      </c>
      <c r="R32">
        <v>-4.4807981999999997</v>
      </c>
      <c r="S32">
        <f t="shared" si="14"/>
        <v>0.98981953796378008</v>
      </c>
      <c r="T32">
        <f t="shared" si="15"/>
        <v>-23.52149889227676</v>
      </c>
      <c r="U32" s="8"/>
      <c r="V32" s="8"/>
    </row>
    <row r="33" spans="1:49" x14ac:dyDescent="0.35">
      <c r="A33">
        <v>0.8</v>
      </c>
      <c r="B33" s="9">
        <v>16</v>
      </c>
      <c r="C33">
        <v>-1.0309861999999999E-2</v>
      </c>
      <c r="D33">
        <v>2.9185110999999998E-4</v>
      </c>
      <c r="E33">
        <v>0.98965824000000002</v>
      </c>
      <c r="F33">
        <v>-1.0948669E-3</v>
      </c>
      <c r="G33">
        <f t="shared" si="6"/>
        <v>47.849252369356797</v>
      </c>
      <c r="H33">
        <f t="shared" si="7"/>
        <v>-1.87966093692742</v>
      </c>
      <c r="I33">
        <f t="shared" si="8"/>
        <v>47.849236900871901</v>
      </c>
      <c r="J33">
        <f t="shared" si="9"/>
        <v>-1.88035431771636</v>
      </c>
      <c r="K33" s="7">
        <f t="shared" si="10"/>
        <v>1.5468484896530299E-5</v>
      </c>
      <c r="L33" s="7">
        <f t="shared" si="11"/>
        <v>6.9338078893999E-4</v>
      </c>
      <c r="M33" s="7">
        <f t="shared" si="12"/>
        <v>2.0866750528928502E-2</v>
      </c>
      <c r="N33" s="7">
        <f t="shared" si="13"/>
        <v>8.2001066255386402E-4</v>
      </c>
      <c r="O33">
        <v>1.6935464</v>
      </c>
      <c r="P33">
        <v>-4.4445408999999998</v>
      </c>
      <c r="Q33">
        <v>-0.21994205</v>
      </c>
      <c r="R33">
        <v>-4.7139556000000002</v>
      </c>
      <c r="S33">
        <f t="shared" si="14"/>
        <v>0.99218298610178624</v>
      </c>
      <c r="T33">
        <f t="shared" si="15"/>
        <v>-23.530174011306176</v>
      </c>
      <c r="U33" s="8"/>
      <c r="V33" s="8"/>
      <c r="AW33">
        <v>0</v>
      </c>
    </row>
    <row r="34" spans="1:49" x14ac:dyDescent="0.35">
      <c r="A34">
        <v>0.8</v>
      </c>
      <c r="B34" s="9">
        <v>16.100000000000001</v>
      </c>
      <c r="C34">
        <v>-1.1143276000000001E-2</v>
      </c>
      <c r="D34">
        <v>1.3618809999999999E-3</v>
      </c>
      <c r="E34">
        <v>0.98882771000000003</v>
      </c>
      <c r="F34">
        <v>1.9827059999999999E-5</v>
      </c>
      <c r="G34">
        <f t="shared" si="6"/>
        <v>44.140638281285398</v>
      </c>
      <c r="H34">
        <f t="shared" si="7"/>
        <v>2.7643398062460798</v>
      </c>
      <c r="I34">
        <f t="shared" si="8"/>
        <v>44.1406242243715</v>
      </c>
      <c r="J34">
        <f t="shared" si="9"/>
        <v>2.76366876010864</v>
      </c>
      <c r="K34" s="7">
        <f t="shared" si="10"/>
        <v>1.4056913897775299E-5</v>
      </c>
      <c r="L34" s="7">
        <f t="shared" si="11"/>
        <v>6.7104613743973495E-4</v>
      </c>
      <c r="M34" s="7">
        <f t="shared" si="12"/>
        <v>2.2566405517856901E-2</v>
      </c>
      <c r="N34" s="7">
        <f t="shared" si="13"/>
        <v>-1.4128950610356301E-3</v>
      </c>
      <c r="O34">
        <v>1.2136776</v>
      </c>
      <c r="P34">
        <v>-4.7769824999999999</v>
      </c>
      <c r="Q34">
        <v>-0.79071731000000001</v>
      </c>
      <c r="R34">
        <v>-4.8375028999999996</v>
      </c>
      <c r="S34">
        <f t="shared" si="14"/>
        <v>0.99451193184926856</v>
      </c>
      <c r="T34">
        <f t="shared" si="15"/>
        <v>-23.538618105193574</v>
      </c>
      <c r="U34" s="8"/>
      <c r="V34" s="8"/>
    </row>
    <row r="35" spans="1:49" x14ac:dyDescent="0.35">
      <c r="A35">
        <v>0.8</v>
      </c>
      <c r="B35" s="9">
        <v>16.2</v>
      </c>
      <c r="C35">
        <v>-1.1718545E-2</v>
      </c>
      <c r="D35">
        <v>2.6310750000000001E-3</v>
      </c>
      <c r="E35">
        <v>0.98825901000000005</v>
      </c>
      <c r="F35">
        <v>1.3370878000000001E-3</v>
      </c>
      <c r="G35">
        <f t="shared" si="6"/>
        <v>40.940911045642601</v>
      </c>
      <c r="H35">
        <f t="shared" si="7"/>
        <v>7.01002170013426</v>
      </c>
      <c r="I35">
        <f t="shared" si="8"/>
        <v>40.940900241631397</v>
      </c>
      <c r="J35">
        <f t="shared" si="9"/>
        <v>7.0093746922831004</v>
      </c>
      <c r="K35" s="7">
        <f t="shared" si="10"/>
        <v>1.08040112039021E-5</v>
      </c>
      <c r="L35" s="7">
        <f t="shared" si="11"/>
        <v>6.4700785115956395E-4</v>
      </c>
      <c r="M35" s="7">
        <f t="shared" si="12"/>
        <v>2.3729884464532201E-2</v>
      </c>
      <c r="N35" s="7">
        <f t="shared" si="13"/>
        <v>-4.0627257982802402E-3</v>
      </c>
      <c r="O35">
        <v>0.65417882000000005</v>
      </c>
      <c r="P35">
        <v>-4.9958667999999999</v>
      </c>
      <c r="Q35">
        <v>-1.3915770999999999</v>
      </c>
      <c r="R35">
        <v>-4.8254536000000003</v>
      </c>
      <c r="S35">
        <f t="shared" si="14"/>
        <v>0.99674208110982088</v>
      </c>
      <c r="T35">
        <f t="shared" si="15"/>
        <v>-23.546737991750472</v>
      </c>
      <c r="U35" s="8"/>
      <c r="V35" s="8"/>
    </row>
    <row r="36" spans="1:49" x14ac:dyDescent="0.35">
      <c r="A36">
        <v>0.8</v>
      </c>
      <c r="B36" s="9">
        <v>16.3</v>
      </c>
      <c r="C36">
        <v>-1.197495E-2</v>
      </c>
      <c r="D36">
        <v>3.9986706000000004E-3</v>
      </c>
      <c r="E36">
        <v>0.98801101000000002</v>
      </c>
      <c r="F36">
        <v>2.7551328999999999E-3</v>
      </c>
      <c r="G36">
        <f t="shared" si="6"/>
        <v>38.158734783708802</v>
      </c>
      <c r="H36">
        <f t="shared" si="7"/>
        <v>10.8955758529147</v>
      </c>
      <c r="I36">
        <f t="shared" si="8"/>
        <v>38.158728150263997</v>
      </c>
      <c r="J36">
        <f t="shared" si="9"/>
        <v>10.894954075575299</v>
      </c>
      <c r="K36" s="7">
        <f t="shared" si="10"/>
        <v>6.6334448050042704E-6</v>
      </c>
      <c r="L36" s="7">
        <f t="shared" si="11"/>
        <v>6.2177733940060897E-4</v>
      </c>
      <c r="M36" s="7">
        <f t="shared" si="12"/>
        <v>2.4231016886567099E-2</v>
      </c>
      <c r="N36" s="7">
        <f t="shared" si="13"/>
        <v>-6.9183599396724698E-3</v>
      </c>
      <c r="O36">
        <v>5.9025107E-2</v>
      </c>
      <c r="P36">
        <v>-5.0785204000000004</v>
      </c>
      <c r="Q36">
        <v>-1.9727543999999999</v>
      </c>
      <c r="R36">
        <v>-4.6727999999999996</v>
      </c>
      <c r="S36">
        <f t="shared" si="14"/>
        <v>0.99868038458251818</v>
      </c>
      <c r="T36">
        <f t="shared" si="15"/>
        <v>-23.554302325361121</v>
      </c>
      <c r="U36" s="8"/>
      <c r="V36" s="8"/>
      <c r="AT36">
        <v>16.3</v>
      </c>
      <c r="AU36">
        <v>2.4231016886567099E-2</v>
      </c>
    </row>
    <row r="37" spans="1:49" x14ac:dyDescent="0.35">
      <c r="A37">
        <v>0.8</v>
      </c>
      <c r="B37" s="9">
        <v>16.399999999999999</v>
      </c>
      <c r="C37">
        <v>-1.1905478000000001E-2</v>
      </c>
      <c r="D37">
        <v>5.3468468E-3</v>
      </c>
      <c r="E37">
        <v>0.98808857000000005</v>
      </c>
      <c r="F37">
        <v>4.1560974000000002E-3</v>
      </c>
      <c r="G37">
        <f t="shared" si="6"/>
        <v>35.7206229849427</v>
      </c>
      <c r="H37">
        <f t="shared" si="7"/>
        <v>14.452322555509101</v>
      </c>
      <c r="I37">
        <f t="shared" si="8"/>
        <v>35.720620363407903</v>
      </c>
      <c r="J37">
        <f t="shared" si="9"/>
        <v>14.4517271774764</v>
      </c>
      <c r="K37" s="7">
        <f t="shared" si="10"/>
        <v>2.6215347972424798E-6</v>
      </c>
      <c r="L37" s="7">
        <f t="shared" si="11"/>
        <v>5.9537803270082201E-4</v>
      </c>
      <c r="M37" s="7">
        <f t="shared" si="12"/>
        <v>2.4057284613984702E-2</v>
      </c>
      <c r="N37" s="7">
        <f t="shared" si="13"/>
        <v>-9.7330144419428798E-3</v>
      </c>
      <c r="O37">
        <v>-0.52174299999999996</v>
      </c>
      <c r="P37">
        <v>-5.0208368999999999</v>
      </c>
      <c r="Q37">
        <v>-2.4877829</v>
      </c>
      <c r="R37">
        <v>-4.3981342000000003</v>
      </c>
      <c r="S37">
        <f t="shared" si="14"/>
        <v>1.0010125799575065</v>
      </c>
      <c r="T37">
        <f t="shared" si="15"/>
        <v>-23.561827664255308</v>
      </c>
      <c r="U37" s="8"/>
      <c r="V37" s="8"/>
    </row>
    <row r="38" spans="1:49" x14ac:dyDescent="0.35">
      <c r="A38">
        <v>0.8</v>
      </c>
      <c r="B38" s="9">
        <v>16.5</v>
      </c>
      <c r="C38">
        <v>-1.1554821999999999E-2</v>
      </c>
      <c r="D38">
        <v>6.5715421999999997E-3</v>
      </c>
      <c r="E38">
        <v>0.98844390000000004</v>
      </c>
      <c r="F38">
        <v>5.4344724999999998E-3</v>
      </c>
      <c r="G38">
        <f t="shared" si="6"/>
        <v>33.573884077740203</v>
      </c>
      <c r="H38">
        <f t="shared" si="7"/>
        <v>17.701505847166398</v>
      </c>
      <c r="I38">
        <f t="shared" si="8"/>
        <v>33.573883761972198</v>
      </c>
      <c r="J38">
        <f t="shared" si="9"/>
        <v>17.7009373117736</v>
      </c>
      <c r="K38" s="7">
        <f t="shared" si="10"/>
        <v>3.1576800552102197E-7</v>
      </c>
      <c r="L38" s="7">
        <f t="shared" si="11"/>
        <v>5.6853539279799704E-4</v>
      </c>
      <c r="M38" s="7">
        <f t="shared" si="12"/>
        <v>2.3306637490733601E-2</v>
      </c>
      <c r="N38" s="7">
        <f t="shared" si="13"/>
        <v>-1.22878047739888E-2</v>
      </c>
      <c r="O38">
        <v>-1.0446854000000001</v>
      </c>
      <c r="P38">
        <v>-4.8472420999999999</v>
      </c>
      <c r="Q38">
        <v>-2.9046145000000001</v>
      </c>
      <c r="R38">
        <v>-4.0374952000000004</v>
      </c>
      <c r="S38">
        <f t="shared" si="14"/>
        <v>1.0030666072628258</v>
      </c>
      <c r="T38">
        <f t="shared" si="15"/>
        <v>-23.569176041387472</v>
      </c>
      <c r="U38" s="8"/>
      <c r="V38" s="8"/>
    </row>
    <row r="39" spans="1:49" x14ac:dyDescent="0.35">
      <c r="A39">
        <v>0.8</v>
      </c>
      <c r="B39" s="9">
        <v>16.600000000000001</v>
      </c>
      <c r="C39">
        <v>-1.100042E-2</v>
      </c>
      <c r="D39">
        <v>7.6068024000000003E-3</v>
      </c>
      <c r="E39">
        <v>0.98899519000000002</v>
      </c>
      <c r="F39">
        <v>6.5230389999999996E-3</v>
      </c>
      <c r="G39">
        <f t="shared" si="6"/>
        <v>31.6769142325636</v>
      </c>
      <c r="H39">
        <f t="shared" si="7"/>
        <v>20.661481091299802</v>
      </c>
      <c r="I39">
        <f t="shared" si="8"/>
        <v>31.676912331196299</v>
      </c>
      <c r="J39">
        <f t="shared" si="9"/>
        <v>20.6609392073801</v>
      </c>
      <c r="K39" s="7">
        <f t="shared" si="10"/>
        <v>1.9013673018264401E-6</v>
      </c>
      <c r="L39" s="7">
        <f t="shared" si="11"/>
        <v>5.41883919702002E-4</v>
      </c>
      <c r="M39" s="7">
        <f t="shared" si="12"/>
        <v>2.2147022382877701E-2</v>
      </c>
      <c r="N39" s="7">
        <f t="shared" si="13"/>
        <v>-1.44451668234876E-2</v>
      </c>
      <c r="O39">
        <v>-1.4834868000000001</v>
      </c>
      <c r="P39">
        <v>-4.5913202999999996</v>
      </c>
      <c r="Q39">
        <v>-3.2118796000000001</v>
      </c>
      <c r="R39">
        <v>-3.632628</v>
      </c>
      <c r="S39">
        <f t="shared" si="14"/>
        <v>1.0049531986003293</v>
      </c>
      <c r="T39">
        <f t="shared" si="15"/>
        <v>-23.576319234788585</v>
      </c>
      <c r="U39" s="8"/>
      <c r="V39" s="8"/>
    </row>
    <row r="40" spans="1:49" x14ac:dyDescent="0.35">
      <c r="A40">
        <v>0.8</v>
      </c>
      <c r="B40" s="9">
        <v>16.7</v>
      </c>
      <c r="C40">
        <v>-1.0327423000000001E-2</v>
      </c>
      <c r="D40">
        <v>8.4277924000000001E-3</v>
      </c>
      <c r="E40">
        <v>0.98965448</v>
      </c>
      <c r="F40">
        <v>7.3960557000000001E-3</v>
      </c>
      <c r="G40">
        <f t="shared" si="6"/>
        <v>30.001654521799999</v>
      </c>
      <c r="H40">
        <f t="shared" si="7"/>
        <v>23.347368142946401</v>
      </c>
      <c r="I40">
        <f t="shared" si="8"/>
        <v>30.001645739345399</v>
      </c>
      <c r="J40">
        <f t="shared" si="9"/>
        <v>23.346852265397899</v>
      </c>
      <c r="K40" s="7">
        <f t="shared" si="10"/>
        <v>8.7824546000092596E-6</v>
      </c>
      <c r="L40" s="7">
        <f t="shared" si="11"/>
        <v>5.1587754850146396E-4</v>
      </c>
      <c r="M40" s="7">
        <f t="shared" si="12"/>
        <v>2.0759881085626899E-2</v>
      </c>
      <c r="N40" s="7">
        <f t="shared" si="13"/>
        <v>-1.6155042992115998E-2</v>
      </c>
      <c r="O40">
        <v>-1.8290546999999999</v>
      </c>
      <c r="P40">
        <v>-4.2886635999999996</v>
      </c>
      <c r="Q40">
        <v>-3.4154317000000001</v>
      </c>
      <c r="R40">
        <v>-3.2207129000000001</v>
      </c>
      <c r="S40">
        <f t="shared" si="14"/>
        <v>1.0068787166175921</v>
      </c>
      <c r="T40">
        <f t="shared" si="15"/>
        <v>-23.583133713598428</v>
      </c>
      <c r="U40" s="8"/>
      <c r="V40" s="8"/>
    </row>
    <row r="41" spans="1:49" x14ac:dyDescent="0.35">
      <c r="A41">
        <v>0.8</v>
      </c>
      <c r="B41" s="9">
        <v>16.8</v>
      </c>
      <c r="C41">
        <v>-9.6081376999999999E-3</v>
      </c>
      <c r="D41">
        <v>9.0437664999999997E-3</v>
      </c>
      <c r="E41">
        <v>0.99040165000000002</v>
      </c>
      <c r="F41">
        <v>8.1370687999999993E-3</v>
      </c>
      <c r="G41">
        <f t="shared" si="6"/>
        <v>28.4223698676354</v>
      </c>
      <c r="H41">
        <f t="shared" si="7"/>
        <v>25.8722405847818</v>
      </c>
      <c r="I41">
        <f t="shared" si="8"/>
        <v>28.4223749669836</v>
      </c>
      <c r="J41">
        <f t="shared" si="9"/>
        <v>25.871787240462201</v>
      </c>
      <c r="K41" s="7">
        <f t="shared" si="10"/>
        <v>-5.0993482005878798E-6</v>
      </c>
      <c r="L41" s="7">
        <f t="shared" si="11"/>
        <v>4.5334431959886999E-4</v>
      </c>
      <c r="M41" s="7">
        <f t="shared" si="12"/>
        <v>1.92409591781115E-2</v>
      </c>
      <c r="N41" s="7">
        <f t="shared" si="13"/>
        <v>-1.75143000096501E-2</v>
      </c>
      <c r="O41">
        <v>-2.0862696000000001</v>
      </c>
      <c r="P41">
        <v>-3.9699754999999999</v>
      </c>
      <c r="Q41">
        <v>-3.5319132</v>
      </c>
      <c r="R41">
        <v>-2.8276028000000002</v>
      </c>
      <c r="S41">
        <f t="shared" si="14"/>
        <v>1.0088239467431475</v>
      </c>
      <c r="T41">
        <f t="shared" si="15"/>
        <v>-23.597236726920805</v>
      </c>
      <c r="U41" s="8"/>
      <c r="V41" s="8"/>
    </row>
    <row r="42" spans="1:49" x14ac:dyDescent="0.35">
      <c r="A42">
        <v>0.8</v>
      </c>
      <c r="B42" s="9">
        <v>16.899999999999999</v>
      </c>
      <c r="C42">
        <v>-8.9022947000000005E-3</v>
      </c>
      <c r="D42">
        <v>9.4766370999999992E-3</v>
      </c>
      <c r="E42">
        <v>0.99109482000000004</v>
      </c>
      <c r="F42">
        <v>8.6128210999999993E-3</v>
      </c>
      <c r="G42">
        <f t="shared" si="6"/>
        <v>27.1369973542858</v>
      </c>
      <c r="H42">
        <f t="shared" si="7"/>
        <v>28.074847842321901</v>
      </c>
      <c r="I42">
        <f t="shared" si="8"/>
        <v>27.136996098179001</v>
      </c>
      <c r="J42">
        <f t="shared" si="9"/>
        <v>28.074415933156299</v>
      </c>
      <c r="K42" s="7">
        <f t="shared" si="10"/>
        <v>1.25610679901911E-6</v>
      </c>
      <c r="L42" s="7">
        <f t="shared" si="11"/>
        <v>4.3190916560220698E-4</v>
      </c>
      <c r="M42" s="7">
        <f t="shared" si="12"/>
        <v>1.7799544143262E-2</v>
      </c>
      <c r="N42" s="7">
        <f t="shared" si="13"/>
        <v>-1.84144112299904E-2</v>
      </c>
      <c r="O42">
        <v>-2.2694537000000001</v>
      </c>
      <c r="P42">
        <v>-3.6587166</v>
      </c>
      <c r="Q42">
        <v>-3.5815613000000002</v>
      </c>
      <c r="R42">
        <v>-2.4702427</v>
      </c>
      <c r="S42">
        <f t="shared" si="14"/>
        <v>1.0105464520622407</v>
      </c>
      <c r="T42">
        <f t="shared" si="15"/>
        <v>-23.594756537636059</v>
      </c>
      <c r="U42" s="8"/>
      <c r="V42" s="8"/>
    </row>
    <row r="43" spans="1:49" x14ac:dyDescent="0.35">
      <c r="A43">
        <v>0.8</v>
      </c>
      <c r="B43" s="9">
        <v>17</v>
      </c>
      <c r="C43">
        <v>-8.4026446000000001E-3</v>
      </c>
      <c r="D43">
        <v>9.8393332999999993E-3</v>
      </c>
      <c r="E43">
        <v>0.99158263000000002</v>
      </c>
      <c r="F43">
        <v>8.9161542E-3</v>
      </c>
      <c r="G43">
        <f t="shared" si="6"/>
        <v>26.001520452235798</v>
      </c>
      <c r="H43">
        <f t="shared" si="7"/>
        <v>29.5512674853892</v>
      </c>
      <c r="I43">
        <f t="shared" si="8"/>
        <v>26.001513302551299</v>
      </c>
      <c r="J43">
        <f t="shared" si="9"/>
        <v>29.550805889140399</v>
      </c>
      <c r="K43" s="7">
        <f t="shared" si="10"/>
        <v>7.1496844995522199E-6</v>
      </c>
      <c r="L43" s="7">
        <f t="shared" si="11"/>
        <v>4.6159624880104399E-4</v>
      </c>
      <c r="M43" s="7">
        <f t="shared" si="12"/>
        <v>1.67824369631853E-2</v>
      </c>
      <c r="N43" s="7">
        <f t="shared" si="13"/>
        <v>-1.9073295129986199E-2</v>
      </c>
      <c r="O43">
        <v>-2.4166528</v>
      </c>
      <c r="P43">
        <v>-3.4618036000000001</v>
      </c>
      <c r="Q43">
        <v>-3.5946110999999998</v>
      </c>
      <c r="R43">
        <v>-2.201962</v>
      </c>
      <c r="S43">
        <f t="shared" si="14"/>
        <v>0.99847200332542418</v>
      </c>
      <c r="T43">
        <f t="shared" si="15"/>
        <v>-23.590951901855082</v>
      </c>
      <c r="U43" s="8"/>
      <c r="V43" s="8"/>
    </row>
    <row r="44" spans="1:49" x14ac:dyDescent="0.35">
      <c r="A44">
        <v>1</v>
      </c>
      <c r="B44" s="9">
        <v>15</v>
      </c>
      <c r="C44">
        <v>-3.9075359E-3</v>
      </c>
      <c r="D44">
        <v>-2.825588E-3</v>
      </c>
      <c r="E44">
        <v>0.99588378</v>
      </c>
      <c r="F44">
        <v>-4.5766975999999996E-3</v>
      </c>
      <c r="G44">
        <f t="shared" si="6"/>
        <v>66.827848563905604</v>
      </c>
      <c r="H44">
        <f t="shared" si="7"/>
        <v>-62.112565907858603</v>
      </c>
      <c r="I44">
        <f t="shared" si="8"/>
        <v>66.827744977802894</v>
      </c>
      <c r="J44">
        <f t="shared" si="9"/>
        <v>-62.113441644730202</v>
      </c>
      <c r="K44" s="7">
        <f t="shared" si="10"/>
        <v>1.03586102710551E-4</v>
      </c>
      <c r="L44" s="7">
        <f t="shared" si="11"/>
        <v>8.7573687159903102E-4</v>
      </c>
      <c r="M44" s="7">
        <f t="shared" si="12"/>
        <v>8.0282949490555408E-3</v>
      </c>
      <c r="N44" s="7">
        <f t="shared" si="13"/>
        <v>7.4619460822817896E-3</v>
      </c>
      <c r="O44">
        <v>2.6885693000000002</v>
      </c>
      <c r="P44">
        <v>-1.4493369</v>
      </c>
      <c r="Q44">
        <v>1.8029914</v>
      </c>
      <c r="R44">
        <v>-2.2913193000000001</v>
      </c>
      <c r="S44">
        <f t="shared" si="14"/>
        <v>0.9545878086648939</v>
      </c>
      <c r="T44">
        <f t="shared" si="15"/>
        <v>-23.47359250321394</v>
      </c>
      <c r="U44" s="8"/>
      <c r="V44" s="8"/>
    </row>
    <row r="45" spans="1:49" x14ac:dyDescent="0.35">
      <c r="A45">
        <v>1</v>
      </c>
      <c r="B45" s="9">
        <v>15.1</v>
      </c>
      <c r="C45">
        <v>-4.5231929000000004E-3</v>
      </c>
      <c r="D45">
        <v>-3.2540703000000001E-3</v>
      </c>
      <c r="E45">
        <v>0.99536409000000003</v>
      </c>
      <c r="F45">
        <v>-5.0124208000000003E-3</v>
      </c>
      <c r="G45">
        <f t="shared" si="6"/>
        <v>59.668597998313203</v>
      </c>
      <c r="H45">
        <f t="shared" si="7"/>
        <v>-54.304327491730199</v>
      </c>
      <c r="I45">
        <f t="shared" si="8"/>
        <v>59.668542409666003</v>
      </c>
      <c r="J45">
        <f t="shared" si="9"/>
        <v>-54.305206765406901</v>
      </c>
      <c r="K45" s="7">
        <f t="shared" si="10"/>
        <v>5.5588647200011103E-5</v>
      </c>
      <c r="L45" s="7">
        <f t="shared" si="11"/>
        <v>8.7927367670204105E-4</v>
      </c>
      <c r="M45" s="7">
        <f t="shared" si="12"/>
        <v>9.1665330270660605E-3</v>
      </c>
      <c r="N45" s="7">
        <f t="shared" si="13"/>
        <v>8.3425947954129092E-3</v>
      </c>
      <c r="O45">
        <v>2.8214054000000002</v>
      </c>
      <c r="P45">
        <v>-1.6667296</v>
      </c>
      <c r="Q45">
        <v>1.8398254000000001</v>
      </c>
      <c r="R45">
        <v>-2.5379733</v>
      </c>
      <c r="S45">
        <f t="shared" si="14"/>
        <v>0.95659072979922311</v>
      </c>
      <c r="T45">
        <f t="shared" si="15"/>
        <v>-23.488690524222818</v>
      </c>
      <c r="U45" s="8"/>
      <c r="V45" s="8"/>
    </row>
    <row r="46" spans="1:49" x14ac:dyDescent="0.35">
      <c r="A46">
        <v>1</v>
      </c>
      <c r="B46" s="9">
        <v>15.2</v>
      </c>
      <c r="C46">
        <v>-5.2435336999999997E-3</v>
      </c>
      <c r="D46">
        <v>-3.6554593999999999E-3</v>
      </c>
      <c r="E46">
        <v>0.99466582000000003</v>
      </c>
      <c r="F46">
        <v>-5.3972534000000004E-3</v>
      </c>
      <c r="G46">
        <f t="shared" si="6"/>
        <v>54.069427744612</v>
      </c>
      <c r="H46">
        <f t="shared" si="7"/>
        <v>-46.701637315459998</v>
      </c>
      <c r="I46">
        <f t="shared" si="8"/>
        <v>54.069383177971901</v>
      </c>
      <c r="J46">
        <f t="shared" si="9"/>
        <v>-46.702508290748298</v>
      </c>
      <c r="K46" s="7">
        <f t="shared" si="10"/>
        <v>4.4566640099219499E-5</v>
      </c>
      <c r="L46" s="7">
        <f t="shared" si="11"/>
        <v>8.7097528830071302E-4</v>
      </c>
      <c r="M46" s="7">
        <f t="shared" si="12"/>
        <v>1.0592239369733299E-2</v>
      </c>
      <c r="N46" s="7">
        <f t="shared" si="13"/>
        <v>9.1490621476905797E-3</v>
      </c>
      <c r="O46">
        <v>2.9438645999999999</v>
      </c>
      <c r="P46">
        <v>-1.9203802000000001</v>
      </c>
      <c r="Q46">
        <v>1.8556052000000001</v>
      </c>
      <c r="R46">
        <v>-2.8161440999999998</v>
      </c>
      <c r="S46">
        <f t="shared" si="14"/>
        <v>0.9595069804199865</v>
      </c>
      <c r="T46">
        <f t="shared" si="15"/>
        <v>-23.500695040369834</v>
      </c>
      <c r="U46" s="8"/>
      <c r="V46" s="8"/>
    </row>
    <row r="47" spans="1:49" x14ac:dyDescent="0.35">
      <c r="A47">
        <v>1</v>
      </c>
      <c r="B47" s="9">
        <v>15.3</v>
      </c>
      <c r="C47">
        <v>-6.0924172000000002E-3</v>
      </c>
      <c r="D47">
        <v>-4.0266062000000004E-3</v>
      </c>
      <c r="E47">
        <v>0.99383577999999995</v>
      </c>
      <c r="F47">
        <v>-5.7541852999999999E-3</v>
      </c>
      <c r="G47">
        <f t="shared" si="6"/>
        <v>49.346229954030598</v>
      </c>
      <c r="H47">
        <f t="shared" si="7"/>
        <v>-39.776825274603098</v>
      </c>
      <c r="I47">
        <f t="shared" si="8"/>
        <v>49.346194797553899</v>
      </c>
      <c r="J47">
        <f t="shared" si="9"/>
        <v>-39.777689125534401</v>
      </c>
      <c r="K47" s="7">
        <f t="shared" si="10"/>
        <v>3.5156476698716701E-5</v>
      </c>
      <c r="L47" s="7">
        <f t="shared" si="11"/>
        <v>8.6385093130303403E-4</v>
      </c>
      <c r="M47" s="7">
        <f t="shared" si="12"/>
        <v>1.22833877536012E-2</v>
      </c>
      <c r="N47" s="7">
        <f t="shared" si="13"/>
        <v>9.9015695430149705E-3</v>
      </c>
      <c r="O47">
        <v>3.0540207000000001</v>
      </c>
      <c r="P47">
        <v>-2.2174412999999999</v>
      </c>
      <c r="Q47">
        <v>1.8438599</v>
      </c>
      <c r="R47">
        <v>-3.1295004999999998</v>
      </c>
      <c r="S47">
        <f t="shared" si="14"/>
        <v>0.96241904189829841</v>
      </c>
      <c r="T47">
        <f t="shared" si="15"/>
        <v>-23.511595720988144</v>
      </c>
      <c r="U47" s="8"/>
      <c r="V47" s="8"/>
    </row>
    <row r="48" spans="1:49" x14ac:dyDescent="0.35">
      <c r="A48">
        <v>1</v>
      </c>
      <c r="B48" s="9">
        <v>15.4</v>
      </c>
      <c r="C48">
        <v>-7.0875303000000004E-3</v>
      </c>
      <c r="D48">
        <v>-4.3401836000000003E-3</v>
      </c>
      <c r="E48">
        <v>0.99285745999999997</v>
      </c>
      <c r="F48">
        <v>-6.0590968000000002E-3</v>
      </c>
      <c r="G48">
        <f t="shared" si="6"/>
        <v>45.308902588280503</v>
      </c>
      <c r="H48">
        <f t="shared" si="7"/>
        <v>-33.476529505120901</v>
      </c>
      <c r="I48">
        <f t="shared" si="8"/>
        <v>45.308875821400001</v>
      </c>
      <c r="J48">
        <f t="shared" si="9"/>
        <v>-33.477389008366302</v>
      </c>
      <c r="K48" s="7">
        <f t="shared" si="10"/>
        <v>2.6766880502293599E-5</v>
      </c>
      <c r="L48" s="7">
        <f t="shared" si="11"/>
        <v>8.5950324540107204E-4</v>
      </c>
      <c r="M48" s="7">
        <f t="shared" si="12"/>
        <v>1.4276673283800801E-2</v>
      </c>
      <c r="N48" s="7">
        <f t="shared" si="13"/>
        <v>1.0548611869143101E-2</v>
      </c>
      <c r="O48">
        <v>3.1396573999999999</v>
      </c>
      <c r="P48">
        <v>-2.5616926000000002</v>
      </c>
      <c r="Q48">
        <v>1.7933968</v>
      </c>
      <c r="R48">
        <v>-3.4797242000000002</v>
      </c>
      <c r="S48">
        <f t="shared" si="14"/>
        <v>0.96608178683778101</v>
      </c>
      <c r="T48">
        <f t="shared" si="15"/>
        <v>-23.522600800910062</v>
      </c>
      <c r="U48" s="8"/>
      <c r="V48" s="8"/>
    </row>
    <row r="49" spans="1:49" x14ac:dyDescent="0.35">
      <c r="A49">
        <v>1</v>
      </c>
      <c r="B49" s="9">
        <v>15.5</v>
      </c>
      <c r="C49">
        <v>-8.2429323999999998E-3</v>
      </c>
      <c r="D49">
        <v>-4.5563714000000002E-3</v>
      </c>
      <c r="E49">
        <v>0.99171202999999997</v>
      </c>
      <c r="F49">
        <v>-6.2728916000000003E-3</v>
      </c>
      <c r="G49">
        <f t="shared" si="6"/>
        <v>41.827933773177499</v>
      </c>
      <c r="H49">
        <f t="shared" si="7"/>
        <v>-27.728257285579399</v>
      </c>
      <c r="I49">
        <f t="shared" si="8"/>
        <v>41.827911990529998</v>
      </c>
      <c r="J49">
        <f t="shared" si="9"/>
        <v>-27.729115583702399</v>
      </c>
      <c r="K49" s="7">
        <f t="shared" si="10"/>
        <v>2.17826475008565E-5</v>
      </c>
      <c r="L49" s="7">
        <f t="shared" si="11"/>
        <v>8.5829812299920095E-4</v>
      </c>
      <c r="M49" s="7">
        <f t="shared" si="12"/>
        <v>1.6608408247253001E-2</v>
      </c>
      <c r="N49" s="7">
        <f t="shared" si="13"/>
        <v>1.10102668298064E-2</v>
      </c>
      <c r="O49">
        <v>3.1943776000000002</v>
      </c>
      <c r="P49">
        <v>-2.9637183</v>
      </c>
      <c r="Q49">
        <v>1.6897443000000001</v>
      </c>
      <c r="R49">
        <v>-3.8650441999999998</v>
      </c>
      <c r="S49">
        <f t="shared" si="14"/>
        <v>0.96805157182918833</v>
      </c>
      <c r="T49">
        <f t="shared" si="15"/>
        <v>-23.530794400467581</v>
      </c>
      <c r="U49" s="8"/>
      <c r="V49" s="8"/>
    </row>
    <row r="50" spans="1:49" x14ac:dyDescent="0.35">
      <c r="A50">
        <v>1</v>
      </c>
      <c r="B50" s="9">
        <v>15.6</v>
      </c>
      <c r="C50">
        <v>-9.5635167999999996E-3</v>
      </c>
      <c r="D50">
        <v>-4.6215470000000002E-3</v>
      </c>
      <c r="E50">
        <v>0.99038718999999997</v>
      </c>
      <c r="F50">
        <v>-6.3391178000000003E-3</v>
      </c>
      <c r="G50">
        <f t="shared" si="6"/>
        <v>38.806421237209001</v>
      </c>
      <c r="H50">
        <f t="shared" si="7"/>
        <v>-22.466040892738</v>
      </c>
      <c r="I50">
        <f t="shared" si="8"/>
        <v>38.806397327568</v>
      </c>
      <c r="J50">
        <f t="shared" si="9"/>
        <v>-22.466899719838398</v>
      </c>
      <c r="K50" s="7">
        <f t="shared" si="10"/>
        <v>2.3909641001296199E-5</v>
      </c>
      <c r="L50" s="7">
        <f t="shared" si="11"/>
        <v>8.5882710039797395E-4</v>
      </c>
      <c r="M50" s="7">
        <f t="shared" si="12"/>
        <v>1.9299962617876799E-2</v>
      </c>
      <c r="N50" s="7">
        <f t="shared" si="13"/>
        <v>1.1173681521433901E-2</v>
      </c>
      <c r="O50">
        <v>3.1917228</v>
      </c>
      <c r="P50">
        <v>-3.41791</v>
      </c>
      <c r="Q50">
        <v>1.5155949</v>
      </c>
      <c r="R50">
        <v>-4.2798122000000003</v>
      </c>
      <c r="S50">
        <f t="shared" si="14"/>
        <v>0.97087376040269191</v>
      </c>
      <c r="T50">
        <f t="shared" si="15"/>
        <v>-23.539651596620107</v>
      </c>
      <c r="U50" s="8"/>
      <c r="V50" s="8"/>
    </row>
    <row r="51" spans="1:49" x14ac:dyDescent="0.35">
      <c r="A51">
        <v>1</v>
      </c>
      <c r="B51" s="9">
        <v>15.7</v>
      </c>
      <c r="C51">
        <v>-1.1036696E-2</v>
      </c>
      <c r="D51">
        <v>-4.4691818000000003E-3</v>
      </c>
      <c r="E51">
        <v>0.98889026000000002</v>
      </c>
      <c r="F51">
        <v>-6.1830508999999997E-3</v>
      </c>
      <c r="G51">
        <f t="shared" si="6"/>
        <v>36.170267846121703</v>
      </c>
      <c r="H51">
        <f t="shared" si="7"/>
        <v>-17.637625572939001</v>
      </c>
      <c r="I51">
        <f t="shared" si="8"/>
        <v>36.170232057204601</v>
      </c>
      <c r="J51">
        <f t="shared" si="9"/>
        <v>-17.638482569457</v>
      </c>
      <c r="K51" s="7">
        <f t="shared" si="10"/>
        <v>3.5788917102763703E-5</v>
      </c>
      <c r="L51" s="7">
        <f t="shared" si="11"/>
        <v>8.5699651799942E-4</v>
      </c>
      <c r="M51" s="7">
        <f t="shared" si="12"/>
        <v>2.2335551976752001E-2</v>
      </c>
      <c r="N51" s="7">
        <f t="shared" si="13"/>
        <v>1.08919744722144E-2</v>
      </c>
      <c r="O51">
        <v>3.1106273</v>
      </c>
      <c r="P51">
        <v>-3.9200026000000001</v>
      </c>
      <c r="Q51">
        <v>1.2519876000000001</v>
      </c>
      <c r="R51">
        <v>-4.7101845000000004</v>
      </c>
      <c r="S51">
        <f t="shared" si="14"/>
        <v>0.97392139689388191</v>
      </c>
      <c r="T51">
        <f t="shared" si="15"/>
        <v>-23.547662939376256</v>
      </c>
      <c r="U51" s="8"/>
      <c r="V51" s="8"/>
    </row>
    <row r="52" spans="1:49" x14ac:dyDescent="0.35">
      <c r="A52">
        <v>1</v>
      </c>
      <c r="B52" s="9">
        <v>15.8</v>
      </c>
      <c r="C52">
        <v>-1.2623432E-2</v>
      </c>
      <c r="D52">
        <v>-4.0240381999999998E-3</v>
      </c>
      <c r="E52">
        <v>0.98726161000000001</v>
      </c>
      <c r="F52">
        <v>-5.7226559999999996E-3</v>
      </c>
      <c r="G52">
        <f t="shared" si="6"/>
        <v>33.855396476693301</v>
      </c>
      <c r="H52">
        <f t="shared" si="7"/>
        <v>-13.2025410367504</v>
      </c>
      <c r="I52">
        <f t="shared" si="8"/>
        <v>33.855339715838802</v>
      </c>
      <c r="J52">
        <f t="shared" si="9"/>
        <v>-13.203390442680901</v>
      </c>
      <c r="K52" s="7">
        <f t="shared" si="10"/>
        <v>5.676085449835E-5</v>
      </c>
      <c r="L52" s="7">
        <f t="shared" si="11"/>
        <v>8.4940593050042402E-4</v>
      </c>
      <c r="M52" s="7">
        <f t="shared" si="12"/>
        <v>2.5638010156488901E-2</v>
      </c>
      <c r="N52" s="7">
        <f t="shared" si="13"/>
        <v>9.9986785278416094E-3</v>
      </c>
      <c r="O52">
        <v>2.9284382999999998</v>
      </c>
      <c r="P52">
        <v>-4.4586126000000004</v>
      </c>
      <c r="Q52">
        <v>0.88130522</v>
      </c>
      <c r="R52">
        <v>-5.1331619999999996</v>
      </c>
      <c r="S52">
        <f t="shared" si="14"/>
        <v>0.97636941393992593</v>
      </c>
      <c r="T52">
        <f t="shared" si="15"/>
        <v>-23.555053249983544</v>
      </c>
      <c r="U52" s="8"/>
      <c r="V52" s="8"/>
    </row>
    <row r="53" spans="1:49" x14ac:dyDescent="0.35">
      <c r="A53">
        <v>1</v>
      </c>
      <c r="B53" s="9">
        <v>15.9</v>
      </c>
      <c r="C53">
        <v>-1.4243199999999999E-2</v>
      </c>
      <c r="D53">
        <v>-3.216371E-3</v>
      </c>
      <c r="E53">
        <v>0.98558820000000003</v>
      </c>
      <c r="F53">
        <v>-4.8813429999999998E-3</v>
      </c>
      <c r="G53">
        <f t="shared" si="6"/>
        <v>31.817152220962502</v>
      </c>
      <c r="H53">
        <f t="shared" si="7"/>
        <v>-9.1321859358917994</v>
      </c>
      <c r="I53">
        <f t="shared" si="8"/>
        <v>31.817068607063099</v>
      </c>
      <c r="J53">
        <f t="shared" si="9"/>
        <v>-9.1330185616895392</v>
      </c>
      <c r="K53" s="7">
        <f t="shared" si="10"/>
        <v>8.3613899402479306E-5</v>
      </c>
      <c r="L53" s="7">
        <f t="shared" si="11"/>
        <v>8.3262579773979396E-4</v>
      </c>
      <c r="M53" s="7">
        <f t="shared" si="12"/>
        <v>2.9037116546443E-2</v>
      </c>
      <c r="N53" s="7">
        <f t="shared" si="13"/>
        <v>8.3350395245945091E-3</v>
      </c>
      <c r="O53">
        <v>2.6203363999999998</v>
      </c>
      <c r="P53">
        <v>-5.0027799999999996</v>
      </c>
      <c r="Q53">
        <v>0.39351883999999998</v>
      </c>
      <c r="R53">
        <v>-5.5139661000000002</v>
      </c>
      <c r="S53">
        <f t="shared" si="14"/>
        <v>0.97884290049096012</v>
      </c>
      <c r="T53">
        <f t="shared" si="15"/>
        <v>-23.562326510023766</v>
      </c>
      <c r="U53" s="8"/>
      <c r="V53" s="8"/>
    </row>
    <row r="54" spans="1:49" x14ac:dyDescent="0.35">
      <c r="A54">
        <v>1</v>
      </c>
      <c r="B54" s="9">
        <v>16</v>
      </c>
      <c r="C54">
        <v>-1.5770534999999999E-2</v>
      </c>
      <c r="D54">
        <v>-1.9958989000000002E-3</v>
      </c>
      <c r="E54">
        <v>0.98411261999999999</v>
      </c>
      <c r="F54">
        <v>-3.3731104E-3</v>
      </c>
      <c r="G54">
        <f t="shared" si="6"/>
        <v>30.204572713068298</v>
      </c>
      <c r="H54">
        <f t="shared" si="7"/>
        <v>-5.2069784032779403</v>
      </c>
      <c r="I54">
        <f t="shared" si="8"/>
        <v>30.204514761415599</v>
      </c>
      <c r="J54">
        <f t="shared" si="9"/>
        <v>-5.2076670891685204</v>
      </c>
      <c r="K54" s="7">
        <f t="shared" si="10"/>
        <v>5.7951652699728102E-5</v>
      </c>
      <c r="L54" s="7">
        <f t="shared" si="11"/>
        <v>6.8868589058013196E-4</v>
      </c>
      <c r="M54" s="7">
        <f t="shared" si="12"/>
        <v>3.2151873060207399E-2</v>
      </c>
      <c r="N54" s="7">
        <f t="shared" si="13"/>
        <v>5.5434180126163E-3</v>
      </c>
      <c r="O54">
        <v>2.1703239000000001</v>
      </c>
      <c r="P54">
        <v>-5.5091742999999997</v>
      </c>
      <c r="Q54">
        <v>-0.21048082000000001</v>
      </c>
      <c r="R54">
        <v>-5.8098746999999999</v>
      </c>
      <c r="S54">
        <f t="shared" si="14"/>
        <v>0.9818327794586611</v>
      </c>
      <c r="T54">
        <f t="shared" si="15"/>
        <v>-23.576633289264489</v>
      </c>
      <c r="U54" s="8"/>
      <c r="V54" s="8"/>
    </row>
    <row r="55" spans="1:49" x14ac:dyDescent="0.35">
      <c r="A55">
        <v>1</v>
      </c>
      <c r="B55" s="9">
        <v>16.100000000000001</v>
      </c>
      <c r="C55">
        <v>-1.7073294999999999E-2</v>
      </c>
      <c r="D55">
        <v>-3.8860582000000001E-4</v>
      </c>
      <c r="E55">
        <v>0.98278745000000001</v>
      </c>
      <c r="F55">
        <v>-1.7083392E-3</v>
      </c>
      <c r="G55">
        <f t="shared" si="6"/>
        <v>28.557895456602999</v>
      </c>
      <c r="H55">
        <f t="shared" si="7"/>
        <v>-1.7768680633190299</v>
      </c>
      <c r="I55">
        <f t="shared" si="8"/>
        <v>28.557826259769499</v>
      </c>
      <c r="J55">
        <f t="shared" si="9"/>
        <v>-1.7775280216209599</v>
      </c>
      <c r="K55" s="7">
        <f t="shared" si="10"/>
        <v>6.9196833500484404E-5</v>
      </c>
      <c r="L55" s="7">
        <f t="shared" si="11"/>
        <v>6.5995830192999705E-4</v>
      </c>
      <c r="M55" s="7">
        <f t="shared" si="12"/>
        <v>3.4881532554308398E-2</v>
      </c>
      <c r="N55" s="7">
        <f t="shared" si="13"/>
        <v>2.1711351903458001E-3</v>
      </c>
      <c r="O55">
        <v>1.5920639000000001</v>
      </c>
      <c r="P55">
        <v>-5.9327319999999997</v>
      </c>
      <c r="Q55">
        <v>-0.89996953000000002</v>
      </c>
      <c r="R55">
        <v>-5.9771029999999996</v>
      </c>
      <c r="S55">
        <f t="shared" si="14"/>
        <v>0.98402010364709891</v>
      </c>
      <c r="T55">
        <f t="shared" si="15"/>
        <v>-23.58423763612452</v>
      </c>
      <c r="U55" s="8"/>
      <c r="V55" s="8"/>
    </row>
    <row r="56" spans="1:49" x14ac:dyDescent="0.35">
      <c r="A56">
        <v>1</v>
      </c>
      <c r="B56" s="9">
        <v>16.2</v>
      </c>
      <c r="C56">
        <v>-1.8002098000000001E-2</v>
      </c>
      <c r="D56">
        <v>1.5329656000000001E-3</v>
      </c>
      <c r="E56">
        <v>0.98183507999999997</v>
      </c>
      <c r="F56">
        <v>2.6890950999999998E-4</v>
      </c>
      <c r="G56">
        <f t="shared" si="6"/>
        <v>27.081081856586898</v>
      </c>
      <c r="H56">
        <f t="shared" si="7"/>
        <v>1.3744296821339701</v>
      </c>
      <c r="I56">
        <f t="shared" si="8"/>
        <v>27.0810008385155</v>
      </c>
      <c r="J56">
        <f t="shared" si="9"/>
        <v>1.37379755142088</v>
      </c>
      <c r="K56" s="7">
        <f t="shared" si="10"/>
        <v>8.1018071398375496E-5</v>
      </c>
      <c r="L56" s="7">
        <f t="shared" si="11"/>
        <v>6.3213071309009496E-4</v>
      </c>
      <c r="M56" s="7">
        <f t="shared" si="12"/>
        <v>3.6831473094614799E-2</v>
      </c>
      <c r="N56" s="7">
        <f t="shared" si="13"/>
        <v>-1.86843122432322E-3</v>
      </c>
      <c r="O56">
        <v>0.91093449000000004</v>
      </c>
      <c r="P56">
        <v>-6.2218133</v>
      </c>
      <c r="Q56">
        <v>-1.6325635000000001</v>
      </c>
      <c r="R56">
        <v>-5.9833793000000002</v>
      </c>
      <c r="S56">
        <f t="shared" si="14"/>
        <v>0.98631698139052937</v>
      </c>
      <c r="T56">
        <f t="shared" si="15"/>
        <v>-23.591133737447109</v>
      </c>
      <c r="U56" s="8"/>
      <c r="V56" s="8"/>
      <c r="AW56">
        <v>0</v>
      </c>
    </row>
    <row r="57" spans="1:49" x14ac:dyDescent="0.35">
      <c r="A57">
        <v>1</v>
      </c>
      <c r="B57" s="9">
        <v>16.3</v>
      </c>
      <c r="C57">
        <v>-1.8458483000000001E-2</v>
      </c>
      <c r="D57">
        <v>3.6237819999999999E-3</v>
      </c>
      <c r="E57">
        <v>0.98135121000000003</v>
      </c>
      <c r="F57">
        <v>2.4089476E-3</v>
      </c>
      <c r="G57">
        <f t="shared" si="6"/>
        <v>25.755003857675401</v>
      </c>
      <c r="H57">
        <f t="shared" si="7"/>
        <v>4.2687137081550004</v>
      </c>
      <c r="I57">
        <f t="shared" si="8"/>
        <v>25.754909064181099</v>
      </c>
      <c r="J57">
        <f t="shared" si="9"/>
        <v>4.2681061755669401</v>
      </c>
      <c r="K57" s="7">
        <f t="shared" si="10"/>
        <v>9.4793494302081199E-5</v>
      </c>
      <c r="L57" s="7">
        <f t="shared" si="11"/>
        <v>6.0753258806034395E-4</v>
      </c>
      <c r="M57" s="7">
        <f t="shared" si="12"/>
        <v>3.7789724286480003E-2</v>
      </c>
      <c r="N57" s="7">
        <f t="shared" si="13"/>
        <v>-6.2625169903788797E-3</v>
      </c>
      <c r="O57">
        <v>0.17872762</v>
      </c>
      <c r="P57">
        <v>-6.3452348000000001</v>
      </c>
      <c r="Q57">
        <v>-2.3494462999999999</v>
      </c>
      <c r="R57">
        <v>-5.8196304999999997</v>
      </c>
      <c r="S57">
        <f t="shared" si="14"/>
        <v>0.98869431378818839</v>
      </c>
      <c r="T57">
        <f t="shared" si="15"/>
        <v>-23.597886310564149</v>
      </c>
      <c r="U57" s="8"/>
      <c r="V57" s="8"/>
      <c r="AT57">
        <v>16.3</v>
      </c>
      <c r="AU57">
        <v>3.7789724286480003E-2</v>
      </c>
    </row>
    <row r="58" spans="1:49" x14ac:dyDescent="0.35">
      <c r="A58">
        <v>1</v>
      </c>
      <c r="B58" s="9">
        <v>16.399999999999999</v>
      </c>
      <c r="C58">
        <v>-1.8420481999999998E-2</v>
      </c>
      <c r="D58">
        <v>5.7086458000000003E-3</v>
      </c>
      <c r="E58">
        <v>0.98157474</v>
      </c>
      <c r="F58">
        <v>4.3959689E-3</v>
      </c>
      <c r="G58">
        <f t="shared" si="6"/>
        <v>24.741790777325701</v>
      </c>
      <c r="H58">
        <f t="shared" si="7"/>
        <v>6.9226629210104802</v>
      </c>
      <c r="I58">
        <f t="shared" si="8"/>
        <v>24.741788819103</v>
      </c>
      <c r="J58">
        <f t="shared" si="9"/>
        <v>6.9220065797072099</v>
      </c>
      <c r="K58" s="7">
        <f t="shared" si="10"/>
        <v>1.9582227004377698E-6</v>
      </c>
      <c r="L58" s="7">
        <f t="shared" si="11"/>
        <v>6.5634130327030195E-4</v>
      </c>
      <c r="M58" s="7">
        <f t="shared" si="12"/>
        <v>3.7483566870416297E-2</v>
      </c>
      <c r="N58" s="7">
        <f t="shared" si="13"/>
        <v>-1.0486771930879501E-2</v>
      </c>
      <c r="O58">
        <v>-0.54202094999999995</v>
      </c>
      <c r="P58">
        <v>-6.2976362999999997</v>
      </c>
      <c r="Q58">
        <v>-2.9913881999999998</v>
      </c>
      <c r="R58">
        <v>-5.5034321999999998</v>
      </c>
      <c r="S58">
        <f t="shared" si="14"/>
        <v>0.99097595042750131</v>
      </c>
      <c r="T58">
        <f t="shared" si="15"/>
        <v>-23.607098408057595</v>
      </c>
      <c r="U58" s="8"/>
      <c r="V58" s="8"/>
    </row>
    <row r="59" spans="1:49" x14ac:dyDescent="0.35">
      <c r="A59">
        <v>1</v>
      </c>
      <c r="B59" s="9">
        <v>16.5</v>
      </c>
      <c r="C59">
        <v>-1.7946081999999999E-2</v>
      </c>
      <c r="D59">
        <v>7.6278761999999996E-3</v>
      </c>
      <c r="E59">
        <v>0.98205902</v>
      </c>
      <c r="F59">
        <v>6.3529848000000002E-3</v>
      </c>
      <c r="G59">
        <f t="shared" si="6"/>
        <v>23.693321872905599</v>
      </c>
      <c r="H59">
        <f t="shared" si="7"/>
        <v>9.4255397354625394</v>
      </c>
      <c r="I59">
        <f t="shared" si="8"/>
        <v>23.6933248302329</v>
      </c>
      <c r="J59">
        <f t="shared" si="9"/>
        <v>9.42490229327381</v>
      </c>
      <c r="K59" s="7">
        <f t="shared" si="10"/>
        <v>-2.9573273003791201E-6</v>
      </c>
      <c r="L59" s="7">
        <f t="shared" si="11"/>
        <v>6.3744218872940905E-4</v>
      </c>
      <c r="M59" s="7">
        <f t="shared" si="12"/>
        <v>3.64399207514347E-2</v>
      </c>
      <c r="N59" s="7">
        <f t="shared" si="13"/>
        <v>-1.4495335505579901E-2</v>
      </c>
      <c r="O59">
        <v>-1.200968</v>
      </c>
      <c r="P59">
        <v>-6.1048656000000001</v>
      </c>
      <c r="Q59">
        <v>-3.5212104000000002</v>
      </c>
      <c r="R59">
        <v>-5.0769795999999996</v>
      </c>
      <c r="S59">
        <f t="shared" si="14"/>
        <v>0.99303906520707474</v>
      </c>
      <c r="T59">
        <f t="shared" si="15"/>
        <v>-23.614497919493047</v>
      </c>
      <c r="U59" s="8"/>
      <c r="V59" s="8"/>
    </row>
    <row r="60" spans="1:49" x14ac:dyDescent="0.35">
      <c r="A60">
        <v>1</v>
      </c>
      <c r="B60" s="9">
        <v>16.600000000000001</v>
      </c>
      <c r="C60">
        <v>-1.7145645000000001E-2</v>
      </c>
      <c r="D60">
        <v>9.2728606000000002E-3</v>
      </c>
      <c r="E60">
        <v>0.98287159000000002</v>
      </c>
      <c r="F60">
        <v>8.0327343000000002E-3</v>
      </c>
      <c r="G60">
        <f t="shared" si="6"/>
        <v>22.7493400781104</v>
      </c>
      <c r="H60">
        <f t="shared" si="7"/>
        <v>11.7393277459497</v>
      </c>
      <c r="I60">
        <f t="shared" si="8"/>
        <v>22.7493490800044</v>
      </c>
      <c r="J60">
        <f t="shared" si="9"/>
        <v>11.738707693724701</v>
      </c>
      <c r="K60" s="7">
        <f t="shared" si="10"/>
        <v>-9.0018939999936299E-6</v>
      </c>
      <c r="L60" s="7">
        <f t="shared" si="11"/>
        <v>6.2005222499905699E-4</v>
      </c>
      <c r="M60" s="7">
        <f t="shared" si="12"/>
        <v>3.4714333472669001E-2</v>
      </c>
      <c r="N60" s="7">
        <f t="shared" si="13"/>
        <v>-1.7912662555093498E-2</v>
      </c>
      <c r="O60">
        <v>-1.7607550999999999</v>
      </c>
      <c r="P60">
        <v>-5.8037543999999999</v>
      </c>
      <c r="Q60">
        <v>-3.9195009000000001</v>
      </c>
      <c r="R60">
        <v>-4.5893940999999998</v>
      </c>
      <c r="S60">
        <f t="shared" si="14"/>
        <v>0.99511092980934601</v>
      </c>
      <c r="T60">
        <f t="shared" si="15"/>
        <v>-23.62161258453775</v>
      </c>
      <c r="U60" s="8"/>
      <c r="V60" s="8"/>
    </row>
    <row r="61" spans="1:49" x14ac:dyDescent="0.35">
      <c r="A61">
        <v>1</v>
      </c>
      <c r="B61" s="9">
        <v>16.7</v>
      </c>
      <c r="C61">
        <v>-1.6146502E-2</v>
      </c>
      <c r="D61">
        <v>1.0597451000000001E-2</v>
      </c>
      <c r="E61">
        <v>0.98388273999999998</v>
      </c>
      <c r="F61">
        <v>9.3880660000000005E-3</v>
      </c>
      <c r="G61">
        <f t="shared" si="6"/>
        <v>21.899608223523099</v>
      </c>
      <c r="H61">
        <f t="shared" si="7"/>
        <v>13.8755565838509</v>
      </c>
      <c r="I61">
        <f t="shared" si="8"/>
        <v>21.899623209946199</v>
      </c>
      <c r="J61">
        <f t="shared" si="9"/>
        <v>13.874951909253999</v>
      </c>
      <c r="K61" s="7">
        <f t="shared" si="10"/>
        <v>-1.4986423099827601E-5</v>
      </c>
      <c r="L61" s="7">
        <f t="shared" si="11"/>
        <v>6.04674596900168E-4</v>
      </c>
      <c r="M61" s="7">
        <f t="shared" si="12"/>
        <v>3.2583498698136003E-2</v>
      </c>
      <c r="N61" s="7">
        <f t="shared" si="13"/>
        <v>-2.0643938625690601E-2</v>
      </c>
      <c r="O61">
        <v>-2.2075035999999999</v>
      </c>
      <c r="P61">
        <v>-5.4392161000000003</v>
      </c>
      <c r="Q61">
        <v>-4.1904304999999997</v>
      </c>
      <c r="R61">
        <v>-4.0866714000000002</v>
      </c>
      <c r="S61">
        <f t="shared" si="14"/>
        <v>0.99712931456930831</v>
      </c>
      <c r="T61">
        <f t="shared" si="15"/>
        <v>-23.628450431316267</v>
      </c>
      <c r="U61" s="8"/>
      <c r="V61" s="8"/>
    </row>
    <row r="62" spans="1:49" x14ac:dyDescent="0.35">
      <c r="A62">
        <v>1</v>
      </c>
      <c r="B62" s="9">
        <v>16.8</v>
      </c>
      <c r="C62">
        <v>-1.5065782999999999E-2</v>
      </c>
      <c r="D62">
        <v>1.1605882E-2</v>
      </c>
      <c r="E62">
        <v>0.98472643000000004</v>
      </c>
      <c r="F62">
        <v>1.0439604999999999E-2</v>
      </c>
      <c r="G62">
        <f t="shared" si="6"/>
        <v>21.071177219154102</v>
      </c>
      <c r="H62">
        <f t="shared" si="7"/>
        <v>15.6745205890301</v>
      </c>
      <c r="I62">
        <f t="shared" si="8"/>
        <v>21.071073655015599</v>
      </c>
      <c r="J62">
        <f t="shared" si="9"/>
        <v>15.673937329540999</v>
      </c>
      <c r="K62" s="7">
        <f t="shared" si="10"/>
        <v>1.0356413850232099E-4</v>
      </c>
      <c r="L62" s="7">
        <f t="shared" si="11"/>
        <v>5.8325948910109603E-4</v>
      </c>
      <c r="M62" s="7">
        <f t="shared" si="12"/>
        <v>3.05527341091602E-2</v>
      </c>
      <c r="N62" s="7">
        <f t="shared" si="13"/>
        <v>-2.2726969091065599E-2</v>
      </c>
      <c r="O62">
        <v>-2.5471792999999998</v>
      </c>
      <c r="P62">
        <v>-5.0516776999999999</v>
      </c>
      <c r="Q62">
        <v>-4.3545275999999999</v>
      </c>
      <c r="R62">
        <v>-3.6038016000000002</v>
      </c>
      <c r="S62">
        <f t="shared" si="14"/>
        <v>0.99908927907935652</v>
      </c>
      <c r="T62">
        <f t="shared" si="15"/>
        <v>-23.630527890553473</v>
      </c>
      <c r="U62" s="8"/>
      <c r="V62" s="8"/>
    </row>
    <row r="63" spans="1:49" x14ac:dyDescent="0.35">
      <c r="A63">
        <v>1</v>
      </c>
      <c r="B63" s="9">
        <v>16.899999999999999</v>
      </c>
      <c r="C63">
        <v>-1.3989151999999999E-2</v>
      </c>
      <c r="D63">
        <v>1.2337528E-2</v>
      </c>
      <c r="E63">
        <v>0.98584424000000004</v>
      </c>
      <c r="F63">
        <v>1.1224932999999999E-2</v>
      </c>
      <c r="G63">
        <f t="shared" si="6"/>
        <v>20.389506650960602</v>
      </c>
      <c r="H63">
        <f t="shared" si="7"/>
        <v>17.488597501673599</v>
      </c>
      <c r="I63">
        <f t="shared" si="8"/>
        <v>20.389423649564701</v>
      </c>
      <c r="J63">
        <f t="shared" si="9"/>
        <v>17.488041111650599</v>
      </c>
      <c r="K63" s="7">
        <f t="shared" si="10"/>
        <v>8.3001395900339503E-5</v>
      </c>
      <c r="L63" s="7">
        <f t="shared" si="11"/>
        <v>5.5639002300011996E-4</v>
      </c>
      <c r="M63" s="7">
        <f t="shared" si="12"/>
        <v>2.8257412551154801E-2</v>
      </c>
      <c r="N63" s="7">
        <f t="shared" si="13"/>
        <v>-2.4236427713542501E-2</v>
      </c>
      <c r="O63">
        <v>-2.7905761</v>
      </c>
      <c r="P63">
        <v>-4.6683934999999996</v>
      </c>
      <c r="Q63">
        <v>-4.4322018999999999</v>
      </c>
      <c r="R63">
        <v>-3.1608459999999998</v>
      </c>
      <c r="S63">
        <f t="shared" si="14"/>
        <v>1.0009148292997043</v>
      </c>
      <c r="T63">
        <f t="shared" si="15"/>
        <v>-23.635983097869811</v>
      </c>
      <c r="U63" s="8"/>
      <c r="V63" s="8"/>
    </row>
    <row r="64" spans="1:49" x14ac:dyDescent="0.35">
      <c r="A64">
        <v>1</v>
      </c>
      <c r="B64" s="9">
        <v>17</v>
      </c>
      <c r="C64">
        <v>-1.3481055E-2</v>
      </c>
      <c r="D64">
        <v>1.2855715E-2</v>
      </c>
      <c r="E64">
        <v>0.98651356000000001</v>
      </c>
      <c r="F64">
        <v>1.1919595E-2</v>
      </c>
      <c r="G64">
        <f t="shared" si="6"/>
        <v>19.609063741969901</v>
      </c>
      <c r="H64">
        <f t="shared" si="7"/>
        <v>18.4746328352931</v>
      </c>
      <c r="I64">
        <f t="shared" si="8"/>
        <v>19.609061268544501</v>
      </c>
      <c r="J64">
        <f t="shared" si="9"/>
        <v>18.474164772875099</v>
      </c>
      <c r="K64" s="7">
        <f t="shared" si="10"/>
        <v>2.4734254004954399E-6</v>
      </c>
      <c r="L64" s="7">
        <f t="shared" si="11"/>
        <v>4.6806241800112502E-4</v>
      </c>
      <c r="M64" s="7">
        <f t="shared" si="12"/>
        <v>2.70167949942005E-2</v>
      </c>
      <c r="N64" s="7">
        <f t="shared" si="13"/>
        <v>-2.54531675699586E-2</v>
      </c>
      <c r="O64">
        <v>-2.9022378</v>
      </c>
      <c r="P64">
        <v>-4.3839449999999998</v>
      </c>
      <c r="Q64">
        <v>-4.4749195999999998</v>
      </c>
      <c r="R64">
        <v>-2.8897735</v>
      </c>
      <c r="S64">
        <f t="shared" si="14"/>
        <v>1.0131852583243448</v>
      </c>
      <c r="T64">
        <f t="shared" si="15"/>
        <v>-23.641635774383417</v>
      </c>
      <c r="U64" s="8"/>
      <c r="V64" s="8"/>
    </row>
    <row r="65" spans="1:49" x14ac:dyDescent="0.35">
      <c r="A65">
        <v>1.2</v>
      </c>
      <c r="B65" s="9">
        <v>15</v>
      </c>
      <c r="C65">
        <v>-5.5434530999999999E-3</v>
      </c>
      <c r="D65">
        <v>-5.990034E-3</v>
      </c>
      <c r="E65">
        <v>0.99456144999999996</v>
      </c>
      <c r="F65">
        <v>-7.8290818999999998E-3</v>
      </c>
      <c r="G65">
        <f t="shared" si="6"/>
        <v>34.747012688458298</v>
      </c>
      <c r="H65">
        <f t="shared" si="7"/>
        <v>-44.352370756146399</v>
      </c>
      <c r="I65">
        <f t="shared" si="8"/>
        <v>34.747065982647698</v>
      </c>
      <c r="J65">
        <f t="shared" si="9"/>
        <v>-44.353290182865599</v>
      </c>
      <c r="K65" s="7">
        <f t="shared" si="10"/>
        <v>-5.3294189399366601E-5</v>
      </c>
      <c r="L65" s="7">
        <f t="shared" si="11"/>
        <v>9.1942671920008901E-4</v>
      </c>
      <c r="M65" s="7">
        <f t="shared" si="12"/>
        <v>1.0945430012379199E-2</v>
      </c>
      <c r="N65" s="7">
        <f t="shared" si="13"/>
        <v>1.39714194504289E-2</v>
      </c>
      <c r="O65">
        <v>3.1956712</v>
      </c>
      <c r="P65">
        <v>-1.7130487999999999</v>
      </c>
      <c r="Q65">
        <v>2.1465747999999998</v>
      </c>
      <c r="R65">
        <v>-2.7149266999999999</v>
      </c>
      <c r="S65">
        <f t="shared" si="14"/>
        <v>0.95453609424885122</v>
      </c>
      <c r="T65">
        <f t="shared" si="15"/>
        <v>-23.474444230630276</v>
      </c>
      <c r="U65" s="8"/>
      <c r="V65" s="8"/>
    </row>
    <row r="66" spans="1:49" x14ac:dyDescent="0.35">
      <c r="A66">
        <v>1.2</v>
      </c>
      <c r="B66" s="9">
        <v>15.1</v>
      </c>
      <c r="C66">
        <v>-6.4080912000000004E-3</v>
      </c>
      <c r="D66">
        <v>-6.5852057999999996E-3</v>
      </c>
      <c r="E66">
        <v>0.99373012999999999</v>
      </c>
      <c r="F66">
        <v>-8.3595024999999993E-3</v>
      </c>
      <c r="G66">
        <f t="shared" si="6"/>
        <v>32.5090413799863</v>
      </c>
      <c r="H66">
        <f t="shared" si="7"/>
        <v>-38.910467253592799</v>
      </c>
      <c r="I66">
        <f t="shared" si="8"/>
        <v>32.509111272678801</v>
      </c>
      <c r="J66">
        <f t="shared" si="9"/>
        <v>-38.911354278634803</v>
      </c>
      <c r="K66" s="7">
        <f t="shared" si="10"/>
        <v>-6.9892692501127799E-5</v>
      </c>
      <c r="L66" s="7">
        <f t="shared" si="11"/>
        <v>8.8702504200455202E-4</v>
      </c>
      <c r="M66" s="7">
        <f t="shared" si="12"/>
        <v>1.2644855300306001E-2</v>
      </c>
      <c r="N66" s="7">
        <f t="shared" si="13"/>
        <v>1.5135093674670501E-2</v>
      </c>
      <c r="O66">
        <v>3.3504798999999998</v>
      </c>
      <c r="P66">
        <v>-1.9669932999999999</v>
      </c>
      <c r="Q66">
        <v>2.1917578</v>
      </c>
      <c r="R66">
        <v>-3.0057925000000001</v>
      </c>
      <c r="S66">
        <f t="shared" si="14"/>
        <v>0.95748629393473372</v>
      </c>
      <c r="T66">
        <f t="shared" si="15"/>
        <v>-23.485030600927121</v>
      </c>
      <c r="U66" s="8"/>
      <c r="V66" s="8"/>
    </row>
    <row r="67" spans="1:49" x14ac:dyDescent="0.35">
      <c r="A67">
        <v>1.2</v>
      </c>
      <c r="B67" s="9">
        <v>15.2</v>
      </c>
      <c r="C67">
        <v>-7.4209827999999999E-3</v>
      </c>
      <c r="D67">
        <v>-7.1520155E-3</v>
      </c>
      <c r="E67">
        <v>0.99274269999999998</v>
      </c>
      <c r="F67">
        <v>-8.9112693999999996E-3</v>
      </c>
      <c r="G67">
        <f t="shared" ref="G67:G130" si="16">IMREAL(IMDIV(IMSUM(IMPRODUCT(COMPLEX(1 + C67,D67),COMPLEX(1 - C67, - D67)),IMPRODUCT(COMPLEX(E67,F67),COMPLEX(E67,F67))),IMSUB(IMPRODUCT(COMPLEX(1 - C67, - D67),COMPLEX(1 - C67, - D67)),IMPRODUCT(COMPLEX(E67,F67),COMPLEX(E67,F67)))))</f>
        <v>30.500736889972298</v>
      </c>
      <c r="H67">
        <f t="shared" ref="H67:H130" si="17">IMAGINARY(IMDIV(IMSUM(IMPRODUCT(COMPLEX(1 + C67,D67),COMPLEX(1 - C67, - D67)),IMPRODUCT(COMPLEX(E67,F67),COMPLEX(E67,F67))),IMSUB(IMPRODUCT(COMPLEX(1 - C67, - D67),COMPLEX(1 - C67, - D67)),IMPRODUCT(COMPLEX(E67,F67),COMPLEX(E67,F67)))))</f>
        <v>-33.925485998161697</v>
      </c>
      <c r="I67">
        <f t="shared" ref="I67:I130" si="18">IMREAL(IMDIV(IMPRODUCT(COMPLEX(2,0),COMPLEX(E67,F67)),IMSUB(IMPRODUCT(COMPLEX(1 - C67, - D67),COMPLEX(1 - C67, - D67)),IMPRODUCT(COMPLEX(E67,F67),COMPLEX(E67,F67)))))</f>
        <v>30.500819498227798</v>
      </c>
      <c r="J67">
        <f t="shared" ref="J67:J130" si="19">IMAGINARY(IMDIV(IMPRODUCT(COMPLEX(2,0),COMPLEX(E67,F67)),IMSUB(IMPRODUCT(COMPLEX(1 - C67, - D67),COMPLEX(1 - C67, - D67)),IMPRODUCT(COMPLEX(E67,F67),COMPLEX(E67,F67)))))</f>
        <v>-33.926365480469101</v>
      </c>
      <c r="K67" s="7">
        <f t="shared" ref="K67:K130" si="20">IMREAL(IMSUB(COMPLEX(G67,H67),COMPLEX(I67,J67)))</f>
        <v>-8.2608255500105101E-5</v>
      </c>
      <c r="L67" s="7">
        <f t="shared" ref="L67:L130" si="21">IMAGINARY(IMSUB(COMPLEX(G67,H67),COMPLEX(I67,J67)))</f>
        <v>8.7948230740408895E-4</v>
      </c>
      <c r="M67" s="7">
        <f t="shared" ref="M67:M130" si="22">IMREAL(IMDIV(IMSUB(IMPRODUCT(COMPLEX(1 - C67, - D67),COMPLEX(1 - C67, - D67)),IMPRODUCT(COMPLEX(E67,F67),COMPLEX(E67,F67))),IMPRODUCT(COMPLEX(2,0),COMPLEX(E67,F67))))</f>
        <v>1.46547085607086E-2</v>
      </c>
      <c r="N67" s="7">
        <f t="shared" ref="N67:N130" si="23">IMAGINARY(IMDIV(IMSUB(IMPRODUCT(COMPLEX(1 - C67, - D67),COMPLEX(1 - C67, - D67)),IMPRODUCT(COMPLEX(E67,F67),COMPLEX(E67,F67))),IMPRODUCT(COMPLEX(2,0),COMPLEX(E67,F67))))</f>
        <v>1.6300578371976199E-2</v>
      </c>
      <c r="O67">
        <v>3.4907876999999998</v>
      </c>
      <c r="P67">
        <v>-2.2609265999999999</v>
      </c>
      <c r="Q67">
        <v>2.2123688000000001</v>
      </c>
      <c r="R67">
        <v>-3.3325754999999999</v>
      </c>
      <c r="S67">
        <f t="shared" ref="S67:S130" si="24">IMABS(COMPLEX(Q67,R67))/IMABS(COMPLEX(O67,P67))</f>
        <v>0.96178577541877652</v>
      </c>
      <c r="T67">
        <f t="shared" ref="T67:T130" si="25">IMARGUMENT(IMDIV(COMPLEX(Q67,R67),COMPLEX(O67/B67,P67/B67)))/PI()*180</f>
        <v>-23.490868575536375</v>
      </c>
      <c r="U67" s="8"/>
      <c r="V67" s="8"/>
    </row>
    <row r="68" spans="1:49" x14ac:dyDescent="0.35">
      <c r="A68">
        <v>1.2</v>
      </c>
      <c r="B68" s="9">
        <v>15.3</v>
      </c>
      <c r="C68">
        <v>-8.6100455999999995E-3</v>
      </c>
      <c r="D68">
        <v>-7.6759198000000001E-3</v>
      </c>
      <c r="E68">
        <v>0.99159494000000004</v>
      </c>
      <c r="F68">
        <v>-9.4087705999999997E-3</v>
      </c>
      <c r="G68">
        <f t="shared" si="16"/>
        <v>28.7656725010721</v>
      </c>
      <c r="H68">
        <f t="shared" si="17"/>
        <v>-29.3849757967341</v>
      </c>
      <c r="I68">
        <f t="shared" si="18"/>
        <v>28.7657757338301</v>
      </c>
      <c r="J68">
        <f t="shared" si="19"/>
        <v>-29.3858420439065</v>
      </c>
      <c r="K68" s="7">
        <f t="shared" si="20"/>
        <v>-1.03232758000615E-4</v>
      </c>
      <c r="L68" s="7">
        <f t="shared" si="21"/>
        <v>8.6624717240013605E-4</v>
      </c>
      <c r="M68" s="7">
        <f t="shared" si="22"/>
        <v>1.7011127815221499E-2</v>
      </c>
      <c r="N68" s="7">
        <f t="shared" si="23"/>
        <v>1.7377814510975E-2</v>
      </c>
      <c r="O68">
        <v>3.6216526</v>
      </c>
      <c r="P68">
        <v>-2.6073428000000001</v>
      </c>
      <c r="Q68">
        <v>2.2014529999999999</v>
      </c>
      <c r="R68">
        <v>-3.7000448000000001</v>
      </c>
      <c r="S68">
        <f t="shared" si="24"/>
        <v>0.96478532108189463</v>
      </c>
      <c r="T68">
        <f t="shared" si="25"/>
        <v>-23.496883908404584</v>
      </c>
      <c r="U68" s="8"/>
      <c r="V68" s="8"/>
    </row>
    <row r="69" spans="1:49" x14ac:dyDescent="0.35">
      <c r="A69">
        <v>1.2</v>
      </c>
      <c r="B69" s="9">
        <v>15.4</v>
      </c>
      <c r="C69">
        <v>-1.0005295000000001E-2</v>
      </c>
      <c r="D69">
        <v>-8.1207996000000008E-3</v>
      </c>
      <c r="E69">
        <v>0.99011936</v>
      </c>
      <c r="F69">
        <v>-9.8522533000000006E-3</v>
      </c>
      <c r="G69">
        <f t="shared" si="16"/>
        <v>27.1777133933941</v>
      </c>
      <c r="H69">
        <f t="shared" si="17"/>
        <v>-25.014914660175201</v>
      </c>
      <c r="I69">
        <f t="shared" si="18"/>
        <v>27.177776466351901</v>
      </c>
      <c r="J69">
        <f t="shared" si="19"/>
        <v>-25.0157802784694</v>
      </c>
      <c r="K69" s="7">
        <f t="shared" si="20"/>
        <v>-6.3072957800613895E-5</v>
      </c>
      <c r="L69" s="7">
        <f t="shared" si="21"/>
        <v>8.6561829419906601E-4</v>
      </c>
      <c r="M69" s="7">
        <f t="shared" si="22"/>
        <v>1.99189110384148E-2</v>
      </c>
      <c r="N69" s="7">
        <f t="shared" si="23"/>
        <v>1.8334358682369802E-2</v>
      </c>
      <c r="O69">
        <v>3.7248815999999998</v>
      </c>
      <c r="P69">
        <v>-3.0096649000000002</v>
      </c>
      <c r="Q69">
        <v>2.1428208</v>
      </c>
      <c r="R69">
        <v>-4.1085453000000003</v>
      </c>
      <c r="S69">
        <f t="shared" si="24"/>
        <v>0.96762192116909629</v>
      </c>
      <c r="T69">
        <f t="shared" si="25"/>
        <v>-23.517763933598896</v>
      </c>
      <c r="U69" s="8"/>
      <c r="V69" s="8"/>
    </row>
    <row r="70" spans="1:49" x14ac:dyDescent="0.35">
      <c r="A70">
        <v>1.2</v>
      </c>
      <c r="B70" s="9">
        <v>15.5</v>
      </c>
      <c r="C70">
        <v>-1.1619867000000001E-2</v>
      </c>
      <c r="D70">
        <v>-8.4325692999999997E-3</v>
      </c>
      <c r="E70">
        <v>0.98852317000000001</v>
      </c>
      <c r="F70">
        <v>-1.0133128E-2</v>
      </c>
      <c r="G70">
        <f t="shared" si="16"/>
        <v>25.8017272622318</v>
      </c>
      <c r="H70">
        <f t="shared" si="17"/>
        <v>-21.141583987732801</v>
      </c>
      <c r="I70">
        <f t="shared" si="18"/>
        <v>25.801799498436601</v>
      </c>
      <c r="J70">
        <f t="shared" si="19"/>
        <v>-21.142434144859799</v>
      </c>
      <c r="K70" s="7">
        <f t="shared" si="20"/>
        <v>-7.2236204800901801E-5</v>
      </c>
      <c r="L70" s="7">
        <f t="shared" si="21"/>
        <v>8.5015712699743095E-4</v>
      </c>
      <c r="M70" s="7">
        <f t="shared" si="22"/>
        <v>2.3187722783930002E-2</v>
      </c>
      <c r="N70" s="7">
        <f t="shared" si="23"/>
        <v>1.9000415143843399E-2</v>
      </c>
      <c r="O70">
        <v>3.7946317999999999</v>
      </c>
      <c r="P70">
        <v>-3.4796130000000001</v>
      </c>
      <c r="Q70">
        <v>2.0257350999999999</v>
      </c>
      <c r="R70">
        <v>-4.5601289999999999</v>
      </c>
      <c r="S70">
        <f t="shared" si="24"/>
        <v>0.96918294785958037</v>
      </c>
      <c r="T70">
        <f t="shared" si="25"/>
        <v>-23.527591849799112</v>
      </c>
      <c r="U70" s="8"/>
      <c r="V70" s="8"/>
    </row>
    <row r="71" spans="1:49" x14ac:dyDescent="0.35">
      <c r="A71">
        <v>1.2</v>
      </c>
      <c r="B71" s="9">
        <v>15.6</v>
      </c>
      <c r="C71">
        <v>-1.3466087E-2</v>
      </c>
      <c r="D71">
        <v>-8.5380221000000006E-3</v>
      </c>
      <c r="E71">
        <v>0.98662344999999996</v>
      </c>
      <c r="F71">
        <v>-1.017909E-2</v>
      </c>
      <c r="G71">
        <f t="shared" si="16"/>
        <v>24.5664668379349</v>
      </c>
      <c r="H71">
        <f t="shared" si="17"/>
        <v>-17.4782113751445</v>
      </c>
      <c r="I71">
        <f t="shared" si="18"/>
        <v>24.5665122776159</v>
      </c>
      <c r="J71">
        <f t="shared" si="19"/>
        <v>-17.479031835078899</v>
      </c>
      <c r="K71" s="7">
        <f t="shared" si="20"/>
        <v>-4.54396809992375E-5</v>
      </c>
      <c r="L71" s="7">
        <f t="shared" si="21"/>
        <v>8.2045993439905395E-4</v>
      </c>
      <c r="M71" s="7">
        <f t="shared" si="22"/>
        <v>2.7024971818783699E-2</v>
      </c>
      <c r="N71" s="7">
        <f t="shared" si="23"/>
        <v>1.9228221630509499E-2</v>
      </c>
      <c r="O71">
        <v>3.7946184000000001</v>
      </c>
      <c r="P71">
        <v>-4.0055693000000003</v>
      </c>
      <c r="Q71">
        <v>1.8278076000000001</v>
      </c>
      <c r="R71">
        <v>-5.0453475000000001</v>
      </c>
      <c r="S71">
        <f t="shared" si="24"/>
        <v>0.97256888481721504</v>
      </c>
      <c r="T71">
        <f t="shared" si="25"/>
        <v>-23.536622195488878</v>
      </c>
      <c r="U71" s="8"/>
      <c r="V71" s="8"/>
    </row>
    <row r="72" spans="1:49" x14ac:dyDescent="0.35">
      <c r="A72">
        <v>1.2</v>
      </c>
      <c r="B72" s="9">
        <v>15.7</v>
      </c>
      <c r="C72">
        <v>-1.5530187000000001E-2</v>
      </c>
      <c r="D72">
        <v>-8.3485299999999998E-3</v>
      </c>
      <c r="E72">
        <v>0.98457711999999997</v>
      </c>
      <c r="F72">
        <v>-9.9481208999999994E-3</v>
      </c>
      <c r="G72">
        <f t="shared" si="16"/>
        <v>23.4415226028013</v>
      </c>
      <c r="H72">
        <f t="shared" si="17"/>
        <v>-14.151676827929901</v>
      </c>
      <c r="I72">
        <f t="shared" si="18"/>
        <v>23.441576892992099</v>
      </c>
      <c r="J72">
        <f t="shared" si="19"/>
        <v>-14.1524765370516</v>
      </c>
      <c r="K72" s="7">
        <f t="shared" si="20"/>
        <v>-5.4290190799832799E-5</v>
      </c>
      <c r="L72" s="7">
        <f t="shared" si="21"/>
        <v>7.9970912169891105E-4</v>
      </c>
      <c r="M72" s="7">
        <f t="shared" si="22"/>
        <v>3.1263767886490601E-2</v>
      </c>
      <c r="N72" s="7">
        <f t="shared" si="23"/>
        <v>1.8874999045207601E-2</v>
      </c>
      <c r="O72">
        <v>3.7118506</v>
      </c>
      <c r="P72">
        <v>-4.5951788999999996</v>
      </c>
      <c r="Q72">
        <v>1.5276656</v>
      </c>
      <c r="R72">
        <v>-5.5518492999999998</v>
      </c>
      <c r="S72">
        <f t="shared" si="24"/>
        <v>0.97479651124977107</v>
      </c>
      <c r="T72">
        <f t="shared" si="25"/>
        <v>-23.545306113126109</v>
      </c>
      <c r="U72" s="8"/>
      <c r="V72" s="8"/>
    </row>
    <row r="73" spans="1:49" x14ac:dyDescent="0.35">
      <c r="A73">
        <v>1.2</v>
      </c>
      <c r="B73" s="9">
        <v>15.8</v>
      </c>
      <c r="C73">
        <v>-1.7758412000000001E-2</v>
      </c>
      <c r="D73">
        <v>-7.7603958000000001E-3</v>
      </c>
      <c r="E73">
        <v>0.98225594000000005</v>
      </c>
      <c r="F73">
        <v>-9.4040187000000008E-3</v>
      </c>
      <c r="G73">
        <f t="shared" si="16"/>
        <v>22.330541689520398</v>
      </c>
      <c r="H73">
        <f t="shared" si="17"/>
        <v>-11.0374950862641</v>
      </c>
      <c r="I73">
        <f t="shared" si="18"/>
        <v>22.330549540827999</v>
      </c>
      <c r="J73">
        <f t="shared" si="19"/>
        <v>-11.038316885364599</v>
      </c>
      <c r="K73" s="7">
        <f t="shared" si="20"/>
        <v>-7.8513076005037908E-6</v>
      </c>
      <c r="L73" s="7">
        <f t="shared" si="21"/>
        <v>8.2179910049973203E-4</v>
      </c>
      <c r="M73" s="7">
        <f t="shared" si="22"/>
        <v>3.5988115628052798E-2</v>
      </c>
      <c r="N73" s="7">
        <f t="shared" si="23"/>
        <v>1.7789451338099799E-2</v>
      </c>
      <c r="O73">
        <v>3.5094411999999999</v>
      </c>
      <c r="P73">
        <v>-5.2231493000000002</v>
      </c>
      <c r="Q73">
        <v>1.1044598999999999</v>
      </c>
      <c r="R73">
        <v>-6.0515169000000002</v>
      </c>
      <c r="S73">
        <f t="shared" si="24"/>
        <v>0.97756538827280004</v>
      </c>
      <c r="T73">
        <f t="shared" si="25"/>
        <v>-23.554018565005357</v>
      </c>
      <c r="U73" s="8"/>
      <c r="V73" s="8"/>
    </row>
    <row r="74" spans="1:49" x14ac:dyDescent="0.35">
      <c r="A74">
        <v>1.2</v>
      </c>
      <c r="B74" s="9">
        <v>15.9</v>
      </c>
      <c r="C74">
        <v>-2.0042273999999999E-2</v>
      </c>
      <c r="D74">
        <v>-6.6790093000000002E-3</v>
      </c>
      <c r="E74">
        <v>0.98009665000000001</v>
      </c>
      <c r="F74">
        <v>-8.2948099999999997E-3</v>
      </c>
      <c r="G74">
        <f t="shared" si="16"/>
        <v>21.449700256245698</v>
      </c>
      <c r="H74">
        <f t="shared" si="17"/>
        <v>-8.2275654635328195</v>
      </c>
      <c r="I74">
        <f t="shared" si="18"/>
        <v>21.4497703659876</v>
      </c>
      <c r="J74">
        <f t="shared" si="19"/>
        <v>-8.2283732511306091</v>
      </c>
      <c r="K74" s="7">
        <f t="shared" si="20"/>
        <v>-7.0109741901802595E-5</v>
      </c>
      <c r="L74" s="7">
        <f t="shared" si="21"/>
        <v>8.0778759778965504E-4</v>
      </c>
      <c r="M74" s="7">
        <f t="shared" si="22"/>
        <v>4.0640053325955598E-2</v>
      </c>
      <c r="N74" s="7">
        <f t="shared" si="23"/>
        <v>1.55899817110428E-2</v>
      </c>
      <c r="O74">
        <v>3.1663630999999999</v>
      </c>
      <c r="P74">
        <v>-5.8618091000000003</v>
      </c>
      <c r="Q74">
        <v>0.54774045000000005</v>
      </c>
      <c r="R74">
        <v>-6.5069775999999999</v>
      </c>
      <c r="S74">
        <f t="shared" si="24"/>
        <v>0.98013594409775573</v>
      </c>
      <c r="T74">
        <f t="shared" si="25"/>
        <v>-23.564842710566573</v>
      </c>
      <c r="U74" s="8"/>
      <c r="V74" s="8"/>
    </row>
    <row r="75" spans="1:49" x14ac:dyDescent="0.35">
      <c r="A75">
        <v>1.2</v>
      </c>
      <c r="B75" s="9">
        <v>16</v>
      </c>
      <c r="C75">
        <v>-2.2234996E-2</v>
      </c>
      <c r="D75">
        <v>-5.0334647999999999E-3</v>
      </c>
      <c r="E75">
        <v>0.97788220000000003</v>
      </c>
      <c r="F75">
        <v>-6.6477076999999999E-3</v>
      </c>
      <c r="G75">
        <f t="shared" si="16"/>
        <v>20.5840015188998</v>
      </c>
      <c r="H75">
        <f t="shared" si="17"/>
        <v>-5.55248665328683</v>
      </c>
      <c r="I75">
        <f t="shared" si="18"/>
        <v>20.584060764796298</v>
      </c>
      <c r="J75">
        <f t="shared" si="19"/>
        <v>-5.5532936796280596</v>
      </c>
      <c r="K75" s="7">
        <f t="shared" si="20"/>
        <v>-5.9245896498083498E-5</v>
      </c>
      <c r="L75" s="7">
        <f t="shared" si="21"/>
        <v>8.0702634122964401E-4</v>
      </c>
      <c r="M75" s="7">
        <f t="shared" si="22"/>
        <v>4.5285215258129299E-2</v>
      </c>
      <c r="N75" s="7">
        <f t="shared" si="23"/>
        <v>1.2217322060361401E-2</v>
      </c>
      <c r="O75">
        <v>2.6623711000000001</v>
      </c>
      <c r="P75">
        <v>-6.4650594999999997</v>
      </c>
      <c r="Q75">
        <v>-0.14287564999999999</v>
      </c>
      <c r="R75">
        <v>-6.8705213000000001</v>
      </c>
      <c r="S75">
        <f t="shared" si="24"/>
        <v>0.98286713707320361</v>
      </c>
      <c r="T75">
        <f t="shared" si="25"/>
        <v>-23.573636044881532</v>
      </c>
      <c r="U75" s="8"/>
      <c r="V75" s="8"/>
      <c r="AR75" t="s">
        <v>22</v>
      </c>
    </row>
    <row r="76" spans="1:49" x14ac:dyDescent="0.35">
      <c r="A76">
        <v>1.2</v>
      </c>
      <c r="B76" s="9">
        <v>16.100000000000001</v>
      </c>
      <c r="C76">
        <v>-2.4132765E-2</v>
      </c>
      <c r="D76">
        <v>-2.8301883000000001E-3</v>
      </c>
      <c r="E76">
        <v>0.97596340000000004</v>
      </c>
      <c r="F76">
        <v>-4.4368194E-3</v>
      </c>
      <c r="G76">
        <f t="shared" si="16"/>
        <v>19.7980765806244</v>
      </c>
      <c r="H76">
        <f t="shared" si="17"/>
        <v>-3.0618446002661401</v>
      </c>
      <c r="I76">
        <f t="shared" si="18"/>
        <v>19.798125306035001</v>
      </c>
      <c r="J76">
        <f t="shared" si="19"/>
        <v>-3.0626478380525799</v>
      </c>
      <c r="K76" s="7">
        <f t="shared" si="20"/>
        <v>-4.8725410600525299E-5</v>
      </c>
      <c r="L76" s="7">
        <f t="shared" si="21"/>
        <v>8.0323778643975896E-4</v>
      </c>
      <c r="M76" s="7">
        <f t="shared" si="22"/>
        <v>4.9329372042992897E-2</v>
      </c>
      <c r="N76" s="7">
        <f t="shared" si="23"/>
        <v>7.6309495118666998E-3</v>
      </c>
      <c r="O76">
        <v>2.0043631999999998</v>
      </c>
      <c r="P76">
        <v>-6.9810758999999996</v>
      </c>
      <c r="Q76">
        <v>-0.94139572000000005</v>
      </c>
      <c r="R76">
        <v>-7.0912411000000004</v>
      </c>
      <c r="S76">
        <f t="shared" si="24"/>
        <v>0.98490137470311423</v>
      </c>
      <c r="T76">
        <f t="shared" si="25"/>
        <v>-23.581570530415839</v>
      </c>
      <c r="U76" s="8"/>
      <c r="V76" s="8"/>
    </row>
    <row r="77" spans="1:49" x14ac:dyDescent="0.35">
      <c r="A77">
        <v>1.2</v>
      </c>
      <c r="B77" s="9">
        <v>16.2</v>
      </c>
      <c r="C77">
        <v>-2.5534938E-2</v>
      </c>
      <c r="D77">
        <v>-1.6743486E-4</v>
      </c>
      <c r="E77">
        <v>0.97454344000000004</v>
      </c>
      <c r="F77">
        <v>-1.7581058000000001E-3</v>
      </c>
      <c r="G77">
        <f t="shared" si="16"/>
        <v>19.0831675122066</v>
      </c>
      <c r="H77">
        <f t="shared" si="17"/>
        <v>-0.73910257671486701</v>
      </c>
      <c r="I77">
        <f t="shared" si="18"/>
        <v>19.083207332154601</v>
      </c>
      <c r="J77">
        <f t="shared" si="19"/>
        <v>-0.73989784934870995</v>
      </c>
      <c r="K77" s="7">
        <f t="shared" si="20"/>
        <v>-3.9819948000285897E-5</v>
      </c>
      <c r="L77" s="7">
        <f t="shared" si="21"/>
        <v>7.9527263384293601E-4</v>
      </c>
      <c r="M77" s="7">
        <f t="shared" si="22"/>
        <v>5.2323435779371E-2</v>
      </c>
      <c r="N77" s="7">
        <f t="shared" si="23"/>
        <v>2.0286944919609999E-3</v>
      </c>
      <c r="O77">
        <v>1.2200420999999999</v>
      </c>
      <c r="P77">
        <v>-7.3451582000000002</v>
      </c>
      <c r="Q77">
        <v>-1.7984612</v>
      </c>
      <c r="R77">
        <v>-7.1292049000000004</v>
      </c>
      <c r="S77">
        <f t="shared" si="24"/>
        <v>0.98747723405646803</v>
      </c>
      <c r="T77">
        <f t="shared" si="25"/>
        <v>-23.589227633926168</v>
      </c>
      <c r="U77" s="8"/>
      <c r="V77" s="8"/>
      <c r="AW77">
        <v>0</v>
      </c>
    </row>
    <row r="78" spans="1:49" x14ac:dyDescent="0.35">
      <c r="A78">
        <v>1.2</v>
      </c>
      <c r="B78" s="9">
        <v>16.3</v>
      </c>
      <c r="C78">
        <v>-2.6294551999999999E-2</v>
      </c>
      <c r="D78">
        <v>2.7635539000000001E-3</v>
      </c>
      <c r="E78">
        <v>0.97377190000000002</v>
      </c>
      <c r="F78">
        <v>1.1981450000000001E-3</v>
      </c>
      <c r="G78">
        <f t="shared" si="16"/>
        <v>18.4316764983609</v>
      </c>
      <c r="H78">
        <f t="shared" si="17"/>
        <v>1.4283784159246</v>
      </c>
      <c r="I78">
        <f t="shared" si="18"/>
        <v>18.431710335821698</v>
      </c>
      <c r="J78">
        <f t="shared" si="19"/>
        <v>1.42759576396372</v>
      </c>
      <c r="K78" s="7">
        <f t="shared" si="20"/>
        <v>-3.3837460797769802E-5</v>
      </c>
      <c r="L78" s="7">
        <f t="shared" si="21"/>
        <v>7.8265196088000998E-4</v>
      </c>
      <c r="M78" s="7">
        <f t="shared" si="22"/>
        <v>5.3930793740187701E-2</v>
      </c>
      <c r="N78" s="7">
        <f t="shared" si="23"/>
        <v>-4.1771149441873299E-3</v>
      </c>
      <c r="O78">
        <v>0.36779574999999998</v>
      </c>
      <c r="P78">
        <v>-7.5244511000000003</v>
      </c>
      <c r="Q78">
        <v>-2.6472506</v>
      </c>
      <c r="R78">
        <v>-6.9696721999999998</v>
      </c>
      <c r="S78">
        <f t="shared" si="24"/>
        <v>0.98965292322874587</v>
      </c>
      <c r="T78">
        <f t="shared" si="25"/>
        <v>-23.596386803801554</v>
      </c>
      <c r="U78" s="8"/>
      <c r="V78" s="8"/>
    </row>
    <row r="79" spans="1:49" x14ac:dyDescent="0.35">
      <c r="A79">
        <v>1.2</v>
      </c>
      <c r="B79" s="9">
        <v>16.399999999999999</v>
      </c>
      <c r="C79">
        <v>-2.6365469999999998E-2</v>
      </c>
      <c r="D79">
        <v>5.7285482999999996E-3</v>
      </c>
      <c r="E79">
        <v>0.97369766000000002</v>
      </c>
      <c r="F79">
        <v>4.1958024000000003E-3</v>
      </c>
      <c r="G79">
        <f t="shared" si="16"/>
        <v>17.835861933855799</v>
      </c>
      <c r="H79">
        <f t="shared" si="17"/>
        <v>3.4554667085118602</v>
      </c>
      <c r="I79">
        <f t="shared" si="18"/>
        <v>17.835894085131098</v>
      </c>
      <c r="J79">
        <f t="shared" si="19"/>
        <v>3.4547003843907498</v>
      </c>
      <c r="K79" s="7">
        <f t="shared" si="20"/>
        <v>-3.21512752989861E-5</v>
      </c>
      <c r="L79" s="7">
        <f t="shared" si="21"/>
        <v>7.6632412111044001E-4</v>
      </c>
      <c r="M79" s="7">
        <f t="shared" si="22"/>
        <v>5.4039309215870399E-2</v>
      </c>
      <c r="N79" s="7">
        <f t="shared" si="23"/>
        <v>-1.0467073948141E-2</v>
      </c>
      <c r="O79">
        <v>-0.48539093</v>
      </c>
      <c r="P79">
        <v>-7.5052694000000004</v>
      </c>
      <c r="Q79">
        <v>-3.4220839999999999</v>
      </c>
      <c r="R79">
        <v>-6.6290667000000001</v>
      </c>
      <c r="S79">
        <f t="shared" si="24"/>
        <v>0.99192804974917026</v>
      </c>
      <c r="T79">
        <f t="shared" si="25"/>
        <v>-23.60351652537484</v>
      </c>
      <c r="U79" s="8"/>
      <c r="V79" s="8"/>
      <c r="AT79">
        <v>16.399999999999999</v>
      </c>
      <c r="AU79">
        <v>5.4039309215870399E-2</v>
      </c>
    </row>
    <row r="80" spans="1:49" x14ac:dyDescent="0.35">
      <c r="A80">
        <v>1.2</v>
      </c>
      <c r="B80" s="9">
        <v>16.5</v>
      </c>
      <c r="C80">
        <v>-2.5809308E-2</v>
      </c>
      <c r="D80">
        <v>8.4988214000000003E-3</v>
      </c>
      <c r="E80">
        <v>0.97425932000000004</v>
      </c>
      <c r="F80">
        <v>7.0017380000000004E-3</v>
      </c>
      <c r="G80">
        <f t="shared" si="16"/>
        <v>17.290142528513499</v>
      </c>
      <c r="H80">
        <f t="shared" si="17"/>
        <v>5.3496952045228197</v>
      </c>
      <c r="I80">
        <f t="shared" si="18"/>
        <v>17.2901774015928</v>
      </c>
      <c r="J80">
        <f t="shared" si="19"/>
        <v>5.3489467146104603</v>
      </c>
      <c r="K80" s="7">
        <f t="shared" si="20"/>
        <v>-3.4873079300723502E-5</v>
      </c>
      <c r="L80" s="7">
        <f t="shared" si="21"/>
        <v>7.4848991235931795E-4</v>
      </c>
      <c r="M80" s="7">
        <f t="shared" si="22"/>
        <v>5.2784528159899403E-2</v>
      </c>
      <c r="N80" s="7">
        <f t="shared" si="23"/>
        <v>-1.6329596968574001E-2</v>
      </c>
      <c r="O80">
        <v>-1.2747944</v>
      </c>
      <c r="P80">
        <v>-7.3094162999999996</v>
      </c>
      <c r="Q80">
        <v>-4.0715715000000001</v>
      </c>
      <c r="R80">
        <v>-6.1506496000000004</v>
      </c>
      <c r="S80">
        <f t="shared" si="24"/>
        <v>0.99412944219966559</v>
      </c>
      <c r="T80">
        <f t="shared" si="25"/>
        <v>-23.610401239262469</v>
      </c>
      <c r="U80" s="8"/>
      <c r="V80" s="8"/>
    </row>
    <row r="81" spans="1:22" x14ac:dyDescent="0.35">
      <c r="A81">
        <v>1.2</v>
      </c>
      <c r="B81" s="9">
        <v>16.600000000000001</v>
      </c>
      <c r="C81">
        <v>-2.4768601000000001E-2</v>
      </c>
      <c r="D81">
        <v>1.0911011999999999E-2</v>
      </c>
      <c r="E81">
        <v>0.97531029999999996</v>
      </c>
      <c r="F81">
        <v>9.4463748000000007E-3</v>
      </c>
      <c r="G81">
        <f t="shared" si="16"/>
        <v>16.789787019684699</v>
      </c>
      <c r="H81">
        <f t="shared" si="17"/>
        <v>7.1169730885928102</v>
      </c>
      <c r="I81">
        <f t="shared" si="18"/>
        <v>16.789827004855201</v>
      </c>
      <c r="J81">
        <f t="shared" si="19"/>
        <v>7.1162408281627503</v>
      </c>
      <c r="K81" s="7">
        <f t="shared" si="20"/>
        <v>-3.99851705026322E-5</v>
      </c>
      <c r="L81" s="7">
        <f t="shared" si="21"/>
        <v>7.3226043005991703E-4</v>
      </c>
      <c r="M81" s="7">
        <f t="shared" si="22"/>
        <v>5.04897717277712E-2</v>
      </c>
      <c r="N81" s="7">
        <f t="shared" si="23"/>
        <v>-2.13997067908968E-2</v>
      </c>
      <c r="O81">
        <v>-1.9556545999999999</v>
      </c>
      <c r="P81">
        <v>-6.9799560999999999</v>
      </c>
      <c r="Q81">
        <v>-4.5708643000000002</v>
      </c>
      <c r="R81">
        <v>-5.5906808999999997</v>
      </c>
      <c r="S81">
        <f t="shared" si="24"/>
        <v>0.99622597926423873</v>
      </c>
      <c r="T81">
        <f t="shared" si="25"/>
        <v>-23.617074038915082</v>
      </c>
      <c r="U81" s="8"/>
      <c r="V81" s="8"/>
    </row>
    <row r="82" spans="1:22" x14ac:dyDescent="0.35">
      <c r="A82">
        <v>1.2</v>
      </c>
      <c r="B82" s="9">
        <v>16.7</v>
      </c>
      <c r="C82">
        <v>-2.3417455E-2</v>
      </c>
      <c r="D82">
        <v>1.2885982000000001E-2</v>
      </c>
      <c r="E82">
        <v>0.97666991000000003</v>
      </c>
      <c r="F82">
        <v>1.1447934999999999E-2</v>
      </c>
      <c r="G82">
        <f t="shared" si="16"/>
        <v>16.330943945047299</v>
      </c>
      <c r="H82">
        <f t="shared" si="17"/>
        <v>8.7615325158713606</v>
      </c>
      <c r="I82">
        <f t="shared" si="18"/>
        <v>16.330988142566</v>
      </c>
      <c r="J82">
        <f t="shared" si="19"/>
        <v>8.7608135555564104</v>
      </c>
      <c r="K82" s="7">
        <f t="shared" si="20"/>
        <v>-4.41975187008836E-5</v>
      </c>
      <c r="L82" s="7">
        <f t="shared" si="21"/>
        <v>7.1896031495022295E-4</v>
      </c>
      <c r="M82" s="7">
        <f t="shared" si="22"/>
        <v>4.7549407975665203E-2</v>
      </c>
      <c r="N82" s="7">
        <f t="shared" si="23"/>
        <v>-2.5508039949286E-2</v>
      </c>
      <c r="O82">
        <v>-2.5074787999999999</v>
      </c>
      <c r="P82">
        <v>-6.5672435</v>
      </c>
      <c r="Q82">
        <v>-4.9204531999999999</v>
      </c>
      <c r="R82">
        <v>-5.0034042999999997</v>
      </c>
      <c r="S82">
        <f t="shared" si="24"/>
        <v>0.99826603793980129</v>
      </c>
      <c r="T82">
        <f t="shared" si="25"/>
        <v>-23.623432150607115</v>
      </c>
      <c r="U82" s="8"/>
      <c r="V82" s="8"/>
    </row>
    <row r="83" spans="1:22" x14ac:dyDescent="0.35">
      <c r="A83">
        <v>1.2</v>
      </c>
      <c r="B83" s="9">
        <v>16.8</v>
      </c>
      <c r="C83">
        <v>-2.1917425000000001E-2</v>
      </c>
      <c r="D83">
        <v>1.442074E-2</v>
      </c>
      <c r="E83">
        <v>0.97817463000000004</v>
      </c>
      <c r="F83">
        <v>1.3121097E-2</v>
      </c>
      <c r="G83">
        <f t="shared" si="16"/>
        <v>15.8708758049187</v>
      </c>
      <c r="H83">
        <f t="shared" si="17"/>
        <v>10.3079568596934</v>
      </c>
      <c r="I83">
        <f t="shared" si="18"/>
        <v>15.8709222525098</v>
      </c>
      <c r="J83">
        <f t="shared" si="19"/>
        <v>10.307307098282999</v>
      </c>
      <c r="K83" s="7">
        <f t="shared" si="20"/>
        <v>-4.6447591099507697E-5</v>
      </c>
      <c r="L83" s="7">
        <f t="shared" si="21"/>
        <v>6.4976141040062896E-4</v>
      </c>
      <c r="M83" s="7">
        <f t="shared" si="22"/>
        <v>4.4316494453542098E-2</v>
      </c>
      <c r="N83" s="7">
        <f t="shared" si="23"/>
        <v>-2.8781170406135401E-2</v>
      </c>
      <c r="O83">
        <v>-2.9304477000000002</v>
      </c>
      <c r="P83">
        <v>-6.1176627999999997</v>
      </c>
      <c r="Q83">
        <v>-5.1378734000000001</v>
      </c>
      <c r="R83">
        <v>-4.4315693999999999</v>
      </c>
      <c r="S83">
        <f t="shared" si="24"/>
        <v>1.0002523794493765</v>
      </c>
      <c r="T83">
        <f t="shared" si="25"/>
        <v>-23.626162770393108</v>
      </c>
      <c r="U83" s="8"/>
      <c r="V83" s="8"/>
    </row>
    <row r="84" spans="1:22" x14ac:dyDescent="0.35">
      <c r="A84">
        <v>1.2</v>
      </c>
      <c r="B84" s="9">
        <v>16.899999999999999</v>
      </c>
      <c r="C84">
        <v>-2.0408229999999999E-2</v>
      </c>
      <c r="D84">
        <v>1.5538928E-2</v>
      </c>
      <c r="E84">
        <v>0.97963500000000003</v>
      </c>
      <c r="F84">
        <v>1.4183486E-2</v>
      </c>
      <c r="G84">
        <f t="shared" si="16"/>
        <v>15.5153782077205</v>
      </c>
      <c r="H84">
        <f t="shared" si="17"/>
        <v>11.675058496307599</v>
      </c>
      <c r="I84">
        <f t="shared" si="18"/>
        <v>15.5154002815291</v>
      </c>
      <c r="J84">
        <f t="shared" si="19"/>
        <v>11.674380804915801</v>
      </c>
      <c r="K84" s="7">
        <f t="shared" si="20"/>
        <v>-2.2073808599642999E-5</v>
      </c>
      <c r="L84" s="7">
        <f t="shared" si="21"/>
        <v>6.7769139179851801E-4</v>
      </c>
      <c r="M84" s="7">
        <f t="shared" si="22"/>
        <v>4.1152854296618697E-2</v>
      </c>
      <c r="N84" s="7">
        <f t="shared" si="23"/>
        <v>-3.0964982117792399E-2</v>
      </c>
      <c r="O84">
        <v>-3.2380201999999998</v>
      </c>
      <c r="P84">
        <v>-5.6688872999999997</v>
      </c>
      <c r="Q84">
        <v>-5.2493824</v>
      </c>
      <c r="R84">
        <v>-3.9031349</v>
      </c>
      <c r="S84">
        <f t="shared" si="24"/>
        <v>1.001985539229987</v>
      </c>
      <c r="T84">
        <f t="shared" si="25"/>
        <v>-23.633017133839395</v>
      </c>
      <c r="U84" s="8"/>
      <c r="V84" s="8"/>
    </row>
    <row r="85" spans="1:22" x14ac:dyDescent="0.35">
      <c r="A85">
        <v>1.2</v>
      </c>
      <c r="B85" s="9">
        <v>17</v>
      </c>
      <c r="C85">
        <v>-1.9770175000000001E-2</v>
      </c>
      <c r="D85">
        <v>1.6228474E-2</v>
      </c>
      <c r="E85">
        <v>0.98023585000000002</v>
      </c>
      <c r="F85">
        <v>1.5000617000000001E-2</v>
      </c>
      <c r="G85">
        <f t="shared" si="16"/>
        <v>15.0756146506008</v>
      </c>
      <c r="H85">
        <f t="shared" si="17"/>
        <v>12.303851799042</v>
      </c>
      <c r="I85">
        <f t="shared" si="18"/>
        <v>15.075618039996399</v>
      </c>
      <c r="J85">
        <f t="shared" si="19"/>
        <v>12.3032378744723</v>
      </c>
      <c r="K85" s="7">
        <f t="shared" si="20"/>
        <v>-3.38939559973994E-6</v>
      </c>
      <c r="L85" s="7">
        <f t="shared" si="21"/>
        <v>6.1392456970032995E-4</v>
      </c>
      <c r="M85" s="7">
        <f t="shared" si="22"/>
        <v>3.9814763118136497E-2</v>
      </c>
      <c r="N85" s="7">
        <f t="shared" si="23"/>
        <v>-3.2492896825762202E-2</v>
      </c>
      <c r="O85">
        <v>-3.4013971000000001</v>
      </c>
      <c r="P85">
        <v>-5.4439045000000004</v>
      </c>
      <c r="Q85">
        <v>-5.3014402</v>
      </c>
      <c r="R85">
        <v>-3.6362469000000002</v>
      </c>
      <c r="S85">
        <f t="shared" si="24"/>
        <v>1.0014788180115664</v>
      </c>
      <c r="T85">
        <f t="shared" si="25"/>
        <v>-23.556367031355048</v>
      </c>
      <c r="U85" s="8"/>
      <c r="V85" s="8"/>
    </row>
    <row r="86" spans="1:22" x14ac:dyDescent="0.35">
      <c r="A86">
        <v>1.4</v>
      </c>
      <c r="B86" s="9">
        <v>15</v>
      </c>
      <c r="C86">
        <v>-7.3697347E-3</v>
      </c>
      <c r="D86">
        <v>-9.6318570000000006E-3</v>
      </c>
      <c r="E86">
        <v>0.99258848</v>
      </c>
      <c r="F86">
        <v>-1.1614144E-2</v>
      </c>
      <c r="G86">
        <f t="shared" si="16"/>
        <v>21.565600434229601</v>
      </c>
      <c r="H86">
        <f t="shared" si="17"/>
        <v>-31.715726534983101</v>
      </c>
      <c r="I86">
        <f t="shared" si="18"/>
        <v>21.5655805235691</v>
      </c>
      <c r="J86">
        <f t="shared" si="19"/>
        <v>-31.716717718925899</v>
      </c>
      <c r="K86" s="7">
        <f t="shared" si="20"/>
        <v>1.99106605016652E-5</v>
      </c>
      <c r="L86" s="7">
        <f t="shared" si="21"/>
        <v>9.9118394279784595E-4</v>
      </c>
      <c r="M86" s="7">
        <f t="shared" si="22"/>
        <v>1.46602461839182E-2</v>
      </c>
      <c r="N86" s="7">
        <f t="shared" si="23"/>
        <v>2.1560972559821499E-2</v>
      </c>
      <c r="O86">
        <v>3.6275770000000001</v>
      </c>
      <c r="P86">
        <v>-1.9291402</v>
      </c>
      <c r="Q86">
        <v>2.4813600999999998</v>
      </c>
      <c r="R86">
        <v>-3.1076793</v>
      </c>
      <c r="S86">
        <f t="shared" si="24"/>
        <v>0.9679086022268284</v>
      </c>
      <c r="T86">
        <f t="shared" si="25"/>
        <v>-23.390025626925805</v>
      </c>
      <c r="U86" s="8"/>
      <c r="V86" s="8"/>
    </row>
    <row r="87" spans="1:22" x14ac:dyDescent="0.35">
      <c r="A87">
        <v>1.4</v>
      </c>
      <c r="B87" s="9">
        <v>15.1</v>
      </c>
      <c r="C87">
        <v>-8.4927191000000006E-3</v>
      </c>
      <c r="D87">
        <v>-1.0414339E-2</v>
      </c>
      <c r="E87">
        <v>0.99146162000000004</v>
      </c>
      <c r="F87">
        <v>-1.2344552E-2</v>
      </c>
      <c r="G87">
        <f t="shared" si="16"/>
        <v>20.577439849218099</v>
      </c>
      <c r="H87">
        <f t="shared" si="17"/>
        <v>-28.165574358247301</v>
      </c>
      <c r="I87">
        <f t="shared" si="18"/>
        <v>20.577417949740401</v>
      </c>
      <c r="J87">
        <f t="shared" si="19"/>
        <v>-28.166539507917498</v>
      </c>
      <c r="K87" s="7">
        <f t="shared" si="20"/>
        <v>2.18994776979287E-5</v>
      </c>
      <c r="L87" s="7">
        <f t="shared" si="21"/>
        <v>9.6514967019700705E-4</v>
      </c>
      <c r="M87" s="7">
        <f t="shared" si="22"/>
        <v>1.6911314285854399E-2</v>
      </c>
      <c r="N87" s="7">
        <f t="shared" si="23"/>
        <v>2.3148346557704799E-2</v>
      </c>
      <c r="O87">
        <v>3.8013072000000001</v>
      </c>
      <c r="P87">
        <v>-2.2116139000000001</v>
      </c>
      <c r="Q87">
        <v>2.5338012999999999</v>
      </c>
      <c r="R87">
        <v>-3.4358008</v>
      </c>
      <c r="S87">
        <f t="shared" si="24"/>
        <v>0.97071310806391164</v>
      </c>
      <c r="T87">
        <f t="shared" si="25"/>
        <v>-23.40132966442075</v>
      </c>
      <c r="U87" s="8"/>
      <c r="V87" s="8"/>
    </row>
    <row r="88" spans="1:22" x14ac:dyDescent="0.35">
      <c r="A88">
        <v>1.4</v>
      </c>
      <c r="B88" s="9">
        <v>15.2</v>
      </c>
      <c r="C88">
        <v>-9.8266369999999992E-3</v>
      </c>
      <c r="D88">
        <v>-1.1166858E-2</v>
      </c>
      <c r="E88">
        <v>0.99013596000000004</v>
      </c>
      <c r="F88">
        <v>-1.3071803999999999E-2</v>
      </c>
      <c r="G88">
        <f t="shared" si="16"/>
        <v>19.690698300359902</v>
      </c>
      <c r="H88">
        <f t="shared" si="17"/>
        <v>-24.853686758786399</v>
      </c>
      <c r="I88">
        <f t="shared" si="18"/>
        <v>19.690680505765101</v>
      </c>
      <c r="J88">
        <f t="shared" si="19"/>
        <v>-24.854639266548499</v>
      </c>
      <c r="K88" s="7">
        <f t="shared" si="20"/>
        <v>1.77945948003355E-5</v>
      </c>
      <c r="L88" s="7">
        <f t="shared" si="21"/>
        <v>9.5250776210065201E-4</v>
      </c>
      <c r="M88" s="7">
        <f t="shared" si="22"/>
        <v>1.95834417384033E-2</v>
      </c>
      <c r="N88" s="7">
        <f t="shared" si="23"/>
        <v>2.4719276708744301E-2</v>
      </c>
      <c r="O88">
        <v>3.9661713999999999</v>
      </c>
      <c r="P88">
        <v>-2.5423152</v>
      </c>
      <c r="Q88">
        <v>2.5602429999999998</v>
      </c>
      <c r="R88">
        <v>-3.8061957999999998</v>
      </c>
      <c r="S88">
        <f t="shared" si="24"/>
        <v>0.97370313396703023</v>
      </c>
      <c r="T88">
        <f t="shared" si="25"/>
        <v>-23.41333014653463</v>
      </c>
      <c r="U88" s="8"/>
      <c r="V88" s="8"/>
    </row>
    <row r="89" spans="1:22" x14ac:dyDescent="0.35">
      <c r="A89">
        <v>1.4</v>
      </c>
      <c r="B89" s="9">
        <v>15.3</v>
      </c>
      <c r="C89">
        <v>-1.1389491999999999E-2</v>
      </c>
      <c r="D89">
        <v>-1.1865614E-2</v>
      </c>
      <c r="E89">
        <v>0.98857138</v>
      </c>
      <c r="F89">
        <v>-1.3767234999999999E-2</v>
      </c>
      <c r="G89">
        <f t="shared" si="16"/>
        <v>18.875006424004201</v>
      </c>
      <c r="H89">
        <f t="shared" si="17"/>
        <v>-21.7645319041928</v>
      </c>
      <c r="I89">
        <f t="shared" si="18"/>
        <v>18.874987763714302</v>
      </c>
      <c r="J89">
        <f t="shared" si="19"/>
        <v>-21.765482751037499</v>
      </c>
      <c r="K89" s="7">
        <f t="shared" si="20"/>
        <v>1.86602898999411E-5</v>
      </c>
      <c r="L89" s="7">
        <f t="shared" si="21"/>
        <v>9.5084684469881598E-4</v>
      </c>
      <c r="M89" s="7">
        <f t="shared" si="22"/>
        <v>2.27409106871789E-2</v>
      </c>
      <c r="N89" s="7">
        <f t="shared" si="23"/>
        <v>2.6223428883816999E-2</v>
      </c>
      <c r="O89">
        <v>4.1160867000000003</v>
      </c>
      <c r="P89">
        <v>-2.9281747999999999</v>
      </c>
      <c r="Q89">
        <v>2.5515490999999999</v>
      </c>
      <c r="R89">
        <v>-4.2219267</v>
      </c>
      <c r="S89">
        <f t="shared" si="24"/>
        <v>0.97657763158330513</v>
      </c>
      <c r="T89">
        <f t="shared" si="25"/>
        <v>-23.425096400700607</v>
      </c>
      <c r="U89" s="8"/>
      <c r="V89" s="8"/>
    </row>
    <row r="90" spans="1:22" x14ac:dyDescent="0.35">
      <c r="A90">
        <v>1.4</v>
      </c>
      <c r="B90" s="9">
        <v>15.4</v>
      </c>
      <c r="C90">
        <v>-1.3214317E-2</v>
      </c>
      <c r="D90">
        <v>-1.2465303E-2</v>
      </c>
      <c r="E90">
        <v>0.98673337000000005</v>
      </c>
      <c r="F90">
        <v>-1.4362863999999999E-2</v>
      </c>
      <c r="G90">
        <f t="shared" si="16"/>
        <v>18.135560047552399</v>
      </c>
      <c r="H90">
        <f t="shared" si="17"/>
        <v>-18.8794235850701</v>
      </c>
      <c r="I90">
        <f t="shared" si="18"/>
        <v>18.135534790622501</v>
      </c>
      <c r="J90">
        <f t="shared" si="19"/>
        <v>-18.880372414351399</v>
      </c>
      <c r="K90" s="7">
        <f t="shared" si="20"/>
        <v>2.52569298986316E-5</v>
      </c>
      <c r="L90" s="7">
        <f t="shared" si="21"/>
        <v>9.4882928129891297E-4</v>
      </c>
      <c r="M90" s="7">
        <f t="shared" si="22"/>
        <v>2.6461091666035701E-2</v>
      </c>
      <c r="N90" s="7">
        <f t="shared" si="23"/>
        <v>2.7547865056804101E-2</v>
      </c>
      <c r="O90">
        <v>4.2343802000000004</v>
      </c>
      <c r="P90">
        <v>-3.3727513999999998</v>
      </c>
      <c r="Q90">
        <v>2.4939369</v>
      </c>
      <c r="R90">
        <v>-4.6855608999999996</v>
      </c>
      <c r="S90">
        <f t="shared" si="24"/>
        <v>0.98050944548560204</v>
      </c>
      <c r="T90">
        <f t="shared" si="25"/>
        <v>-23.437529476979265</v>
      </c>
      <c r="U90" s="8"/>
      <c r="V90" s="8"/>
    </row>
    <row r="91" spans="1:22" x14ac:dyDescent="0.35">
      <c r="A91">
        <v>1.4</v>
      </c>
      <c r="B91" s="9">
        <v>15.5</v>
      </c>
      <c r="C91">
        <v>-1.5328259E-2</v>
      </c>
      <c r="D91">
        <v>-1.2898936E-2</v>
      </c>
      <c r="E91">
        <v>0.98459684000000003</v>
      </c>
      <c r="F91">
        <v>-1.4787962999999999E-2</v>
      </c>
      <c r="G91">
        <f t="shared" si="16"/>
        <v>17.4612675955476</v>
      </c>
      <c r="H91">
        <f t="shared" si="17"/>
        <v>-16.181380414726199</v>
      </c>
      <c r="I91">
        <f t="shared" si="18"/>
        <v>17.461231035850201</v>
      </c>
      <c r="J91">
        <f t="shared" si="19"/>
        <v>-16.182324998132401</v>
      </c>
      <c r="K91" s="7">
        <f t="shared" si="20"/>
        <v>3.6559697399240997E-5</v>
      </c>
      <c r="L91" s="7">
        <f t="shared" si="21"/>
        <v>9.4458340620207104E-4</v>
      </c>
      <c r="M91" s="7">
        <f t="shared" si="22"/>
        <v>3.0808741410933999E-2</v>
      </c>
      <c r="N91" s="7">
        <f t="shared" si="23"/>
        <v>2.8552228950613701E-2</v>
      </c>
      <c r="O91">
        <v>4.3133641999999996</v>
      </c>
      <c r="P91">
        <v>-3.8885263999999999</v>
      </c>
      <c r="Q91">
        <v>2.3697788000000002</v>
      </c>
      <c r="R91">
        <v>-5.1962279999999996</v>
      </c>
      <c r="S91">
        <f t="shared" si="24"/>
        <v>0.98341944869067555</v>
      </c>
      <c r="T91">
        <f t="shared" si="25"/>
        <v>-23.449417249542925</v>
      </c>
      <c r="U91" s="8"/>
      <c r="V91" s="8"/>
    </row>
    <row r="92" spans="1:22" x14ac:dyDescent="0.35">
      <c r="A92">
        <v>1.4</v>
      </c>
      <c r="B92" s="9">
        <v>15.6</v>
      </c>
      <c r="C92">
        <v>-1.7743964000000001E-2</v>
      </c>
      <c r="D92">
        <v>-1.3075562000000001E-2</v>
      </c>
      <c r="E92">
        <v>0.98215291999999998</v>
      </c>
      <c r="F92">
        <v>-1.4950379E-2</v>
      </c>
      <c r="G92">
        <f t="shared" si="16"/>
        <v>16.8431030212381</v>
      </c>
      <c r="H92">
        <f t="shared" si="17"/>
        <v>-13.656227348894699</v>
      </c>
      <c r="I92">
        <f t="shared" si="18"/>
        <v>16.843052339449599</v>
      </c>
      <c r="J92">
        <f t="shared" si="19"/>
        <v>-13.657164853240101</v>
      </c>
      <c r="K92" s="7">
        <f t="shared" si="20"/>
        <v>5.0681788501094602E-5</v>
      </c>
      <c r="L92" s="7">
        <f t="shared" si="21"/>
        <v>9.3750434540140802E-4</v>
      </c>
      <c r="M92" s="7">
        <f t="shared" si="22"/>
        <v>3.5820538527552202E-2</v>
      </c>
      <c r="N92" s="7">
        <f t="shared" si="23"/>
        <v>2.9045032334003001E-2</v>
      </c>
      <c r="O92">
        <v>4.3322982000000003</v>
      </c>
      <c r="P92">
        <v>-4.4803644</v>
      </c>
      <c r="Q92">
        <v>2.1574209</v>
      </c>
      <c r="R92">
        <v>-5.7467217000000002</v>
      </c>
      <c r="S92">
        <f t="shared" si="24"/>
        <v>0.98491292070676995</v>
      </c>
      <c r="T92">
        <f t="shared" si="25"/>
        <v>-23.460410949232578</v>
      </c>
      <c r="U92" s="8"/>
      <c r="V92" s="8"/>
    </row>
    <row r="93" spans="1:22" x14ac:dyDescent="0.35">
      <c r="A93">
        <v>1.4</v>
      </c>
      <c r="B93" s="9">
        <v>15.7</v>
      </c>
      <c r="C93">
        <v>-2.0446479E-2</v>
      </c>
      <c r="D93">
        <v>-1.2880578E-2</v>
      </c>
      <c r="E93">
        <v>0.97942021999999995</v>
      </c>
      <c r="F93">
        <v>-1.4735332E-2</v>
      </c>
      <c r="G93">
        <f t="shared" si="16"/>
        <v>16.274252486730798</v>
      </c>
      <c r="H93">
        <f t="shared" si="17"/>
        <v>-11.2907275453941</v>
      </c>
      <c r="I93">
        <f t="shared" si="18"/>
        <v>16.274186691987499</v>
      </c>
      <c r="J93">
        <f t="shared" si="19"/>
        <v>-11.2916550452289</v>
      </c>
      <c r="K93" s="7">
        <f t="shared" si="20"/>
        <v>6.5794743299818506E-5</v>
      </c>
      <c r="L93" s="7">
        <f t="shared" si="21"/>
        <v>9.27499834800116E-4</v>
      </c>
      <c r="M93" s="7">
        <f t="shared" si="22"/>
        <v>4.1478681586013803E-2</v>
      </c>
      <c r="N93" s="7">
        <f t="shared" si="23"/>
        <v>2.8779500509893599E-2</v>
      </c>
      <c r="O93">
        <v>4.2482730999999996</v>
      </c>
      <c r="P93">
        <v>-5.1276845</v>
      </c>
      <c r="Q93">
        <v>1.8332174999999999</v>
      </c>
      <c r="R93">
        <v>-6.3221192000000004</v>
      </c>
      <c r="S93">
        <f t="shared" si="24"/>
        <v>0.98853288932344452</v>
      </c>
      <c r="T93">
        <f t="shared" si="25"/>
        <v>-23.471147183901991</v>
      </c>
      <c r="U93" s="8"/>
      <c r="V93" s="8"/>
    </row>
    <row r="94" spans="1:22" x14ac:dyDescent="0.35">
      <c r="A94">
        <v>1.4</v>
      </c>
      <c r="B94" s="9">
        <v>15.8</v>
      </c>
      <c r="C94">
        <v>-2.3366754E-2</v>
      </c>
      <c r="D94">
        <v>-1.2175217E-2</v>
      </c>
      <c r="E94">
        <v>0.97647494000000001</v>
      </c>
      <c r="F94">
        <v>-1.3918387000000001E-2</v>
      </c>
      <c r="G94">
        <f t="shared" si="16"/>
        <v>15.7835112795337</v>
      </c>
      <c r="H94">
        <f t="shared" si="17"/>
        <v>-9.0607293178121999</v>
      </c>
      <c r="I94">
        <f t="shared" si="18"/>
        <v>15.7834328801083</v>
      </c>
      <c r="J94">
        <f t="shared" si="19"/>
        <v>-9.0616010401434099</v>
      </c>
      <c r="K94" s="7">
        <f t="shared" si="20"/>
        <v>7.8399425399666698E-5</v>
      </c>
      <c r="L94" s="7">
        <f t="shared" si="21"/>
        <v>8.7172233121002296E-4</v>
      </c>
      <c r="M94" s="7">
        <f t="shared" si="22"/>
        <v>4.7651067380366403E-2</v>
      </c>
      <c r="N94" s="7">
        <f t="shared" si="23"/>
        <v>2.7357480784934898E-2</v>
      </c>
      <c r="O94">
        <v>4.0433798999999997</v>
      </c>
      <c r="P94">
        <v>-5.8315267999999998</v>
      </c>
      <c r="Q94">
        <v>1.3707587000000001</v>
      </c>
      <c r="R94">
        <v>-6.8954367000000003</v>
      </c>
      <c r="S94">
        <f t="shared" si="24"/>
        <v>0.99072666217811223</v>
      </c>
      <c r="T94">
        <f t="shared" si="25"/>
        <v>-23.492732725482089</v>
      </c>
      <c r="U94" s="8"/>
      <c r="V94" s="8"/>
    </row>
    <row r="95" spans="1:22" x14ac:dyDescent="0.35">
      <c r="A95">
        <v>1.4</v>
      </c>
      <c r="B95" s="9">
        <v>15.9</v>
      </c>
      <c r="C95">
        <v>-2.6403249E-2</v>
      </c>
      <c r="D95">
        <v>-1.0844645E-2</v>
      </c>
      <c r="E95">
        <v>0.97342972999999999</v>
      </c>
      <c r="F95">
        <v>-1.2548034E-2</v>
      </c>
      <c r="G95">
        <f t="shared" si="16"/>
        <v>15.296946902918901</v>
      </c>
      <c r="H95">
        <f t="shared" si="17"/>
        <v>-6.9753602236333503</v>
      </c>
      <c r="I95">
        <f t="shared" si="18"/>
        <v>15.2968641110091</v>
      </c>
      <c r="J95">
        <f t="shared" si="19"/>
        <v>-6.9762120597840198</v>
      </c>
      <c r="K95" s="7">
        <f t="shared" si="20"/>
        <v>8.2791909800761205E-5</v>
      </c>
      <c r="L95" s="7">
        <f t="shared" si="21"/>
        <v>8.5183615066952701E-4</v>
      </c>
      <c r="M95" s="7">
        <f t="shared" si="22"/>
        <v>5.4117237186050597E-2</v>
      </c>
      <c r="N95" s="7">
        <f t="shared" si="23"/>
        <v>2.4680439072986799E-2</v>
      </c>
      <c r="O95">
        <v>3.6855568000000001</v>
      </c>
      <c r="P95">
        <v>-6.5533847999999999</v>
      </c>
      <c r="Q95">
        <v>0.76112318000000001</v>
      </c>
      <c r="R95">
        <v>-7.4272426999999999</v>
      </c>
      <c r="S95">
        <f t="shared" si="24"/>
        <v>0.99301526604387402</v>
      </c>
      <c r="T95">
        <f t="shared" si="25"/>
        <v>-23.501869821872383</v>
      </c>
      <c r="U95" s="8"/>
      <c r="V95" s="8"/>
    </row>
    <row r="96" spans="1:22" x14ac:dyDescent="0.35">
      <c r="A96">
        <v>1.4</v>
      </c>
      <c r="B96" s="9">
        <v>16</v>
      </c>
      <c r="C96">
        <v>-2.9351282999999999E-2</v>
      </c>
      <c r="D96">
        <v>-8.7914801000000004E-3</v>
      </c>
      <c r="E96">
        <v>0.97047865</v>
      </c>
      <c r="F96">
        <v>-1.0454274E-2</v>
      </c>
      <c r="G96">
        <f t="shared" si="16"/>
        <v>14.8458998393749</v>
      </c>
      <c r="H96">
        <f t="shared" si="17"/>
        <v>-5.0162207907211398</v>
      </c>
      <c r="I96">
        <f t="shared" si="18"/>
        <v>14.845815490040399</v>
      </c>
      <c r="J96">
        <f t="shared" si="19"/>
        <v>-5.0170523285074804</v>
      </c>
      <c r="K96" s="7">
        <f t="shared" si="20"/>
        <v>8.4349334500188902E-5</v>
      </c>
      <c r="L96" s="7">
        <f t="shared" si="21"/>
        <v>8.3153778634059705E-4</v>
      </c>
      <c r="M96" s="7">
        <f t="shared" si="22"/>
        <v>6.0454749454054699E-2</v>
      </c>
      <c r="N96" s="7">
        <f t="shared" si="23"/>
        <v>2.0430311943542601E-2</v>
      </c>
      <c r="O96">
        <v>3.1530125</v>
      </c>
      <c r="P96">
        <v>-7.2451508999999996</v>
      </c>
      <c r="Q96">
        <v>1.0444992E-3</v>
      </c>
      <c r="R96">
        <v>-7.8646716000000003</v>
      </c>
      <c r="S96">
        <f t="shared" si="24"/>
        <v>0.99533909378748375</v>
      </c>
      <c r="T96">
        <f t="shared" si="25"/>
        <v>-23.510552835880247</v>
      </c>
      <c r="U96" s="8"/>
      <c r="V96" s="8"/>
    </row>
    <row r="97" spans="1:49" x14ac:dyDescent="0.35">
      <c r="A97">
        <v>1.4</v>
      </c>
      <c r="B97" s="9">
        <v>16.100000000000001</v>
      </c>
      <c r="C97">
        <v>-3.1960796E-2</v>
      </c>
      <c r="D97">
        <v>-6.0089770000000004E-3</v>
      </c>
      <c r="E97">
        <v>0.96786870000000003</v>
      </c>
      <c r="F97">
        <v>-7.6209638999999996E-3</v>
      </c>
      <c r="G97">
        <f t="shared" si="16"/>
        <v>14.427495512718</v>
      </c>
      <c r="H97">
        <f t="shared" si="17"/>
        <v>-3.1740960963388201</v>
      </c>
      <c r="I97">
        <f t="shared" si="18"/>
        <v>14.427410903240601</v>
      </c>
      <c r="J97">
        <f t="shared" si="19"/>
        <v>-3.1749022267077298</v>
      </c>
      <c r="K97" s="7">
        <f t="shared" si="20"/>
        <v>8.4609477399410994E-5</v>
      </c>
      <c r="L97" s="7">
        <f t="shared" si="21"/>
        <v>8.0613036890975198E-4</v>
      </c>
      <c r="M97" s="7">
        <f t="shared" si="22"/>
        <v>6.6110976373008903E-2</v>
      </c>
      <c r="N97" s="7">
        <f t="shared" si="23"/>
        <v>1.45484097946737E-2</v>
      </c>
      <c r="O97">
        <v>2.4461040000000001</v>
      </c>
      <c r="P97">
        <v>-7.8461220000000003</v>
      </c>
      <c r="Q97">
        <v>-0.88611249999999997</v>
      </c>
      <c r="R97">
        <v>-8.1518472000000006</v>
      </c>
      <c r="S97">
        <f t="shared" si="24"/>
        <v>0.9977230214846784</v>
      </c>
      <c r="T97">
        <f t="shared" si="25"/>
        <v>-23.519110547690563</v>
      </c>
      <c r="U97" s="8"/>
      <c r="V97" s="8"/>
    </row>
    <row r="98" spans="1:49" x14ac:dyDescent="0.35">
      <c r="A98">
        <v>1.4</v>
      </c>
      <c r="B98" s="9">
        <v>16.2</v>
      </c>
      <c r="C98">
        <v>-3.3977819999999999E-2</v>
      </c>
      <c r="D98">
        <v>-2.5796512000000001E-3</v>
      </c>
      <c r="E98">
        <v>0.96585354000000001</v>
      </c>
      <c r="F98">
        <v>-4.1533029999999997E-3</v>
      </c>
      <c r="G98">
        <f t="shared" si="16"/>
        <v>14.037097522085199</v>
      </c>
      <c r="H98">
        <f t="shared" si="17"/>
        <v>-1.4363531554225499</v>
      </c>
      <c r="I98">
        <f t="shared" si="18"/>
        <v>14.037013814226</v>
      </c>
      <c r="J98">
        <f t="shared" si="19"/>
        <v>-1.43714011354238</v>
      </c>
      <c r="K98" s="7">
        <f t="shared" si="20"/>
        <v>8.37078591988671E-5</v>
      </c>
      <c r="L98" s="7">
        <f t="shared" si="21"/>
        <v>7.8695811983009499E-4</v>
      </c>
      <c r="M98" s="7">
        <f t="shared" si="22"/>
        <v>7.0501221744197498E-2</v>
      </c>
      <c r="N98" s="7">
        <f t="shared" si="23"/>
        <v>7.2180689684616601E-3</v>
      </c>
      <c r="O98">
        <v>1.5897318</v>
      </c>
      <c r="P98">
        <v>-8.2949318000000005</v>
      </c>
      <c r="Q98">
        <v>-1.8539322</v>
      </c>
      <c r="R98">
        <v>-8.2414301000000005</v>
      </c>
      <c r="S98">
        <f t="shared" si="24"/>
        <v>1.0001758770608065</v>
      </c>
      <c r="T98">
        <f t="shared" si="25"/>
        <v>-23.527043236635706</v>
      </c>
      <c r="U98" s="8"/>
      <c r="V98" s="8"/>
    </row>
    <row r="99" spans="1:49" x14ac:dyDescent="0.35">
      <c r="A99">
        <v>1.4</v>
      </c>
      <c r="B99" s="9">
        <v>16.3</v>
      </c>
      <c r="C99">
        <v>-3.5185793999999999E-2</v>
      </c>
      <c r="D99">
        <v>1.2607848000000001E-3</v>
      </c>
      <c r="E99">
        <v>0.96464673999999995</v>
      </c>
      <c r="F99">
        <v>-2.7864817999999998E-4</v>
      </c>
      <c r="G99">
        <f t="shared" si="16"/>
        <v>13.6738378257477</v>
      </c>
      <c r="H99">
        <f t="shared" si="17"/>
        <v>0.19773098191609101</v>
      </c>
      <c r="I99">
        <f t="shared" si="18"/>
        <v>13.673754678347899</v>
      </c>
      <c r="J99">
        <f t="shared" si="19"/>
        <v>0.19696113696473899</v>
      </c>
      <c r="K99" s="7">
        <f t="shared" si="20"/>
        <v>8.3147399800864705E-5</v>
      </c>
      <c r="L99" s="7">
        <f t="shared" si="21"/>
        <v>7.6984495135201702E-4</v>
      </c>
      <c r="M99" s="7">
        <f t="shared" si="22"/>
        <v>7.3117631705906197E-2</v>
      </c>
      <c r="N99" s="7">
        <f t="shared" si="23"/>
        <v>-1.05320975926009E-3</v>
      </c>
      <c r="O99">
        <v>0.64327513999999997</v>
      </c>
      <c r="P99">
        <v>-8.5446407999999998</v>
      </c>
      <c r="Q99">
        <v>-2.8287686999999999</v>
      </c>
      <c r="R99">
        <v>-8.1098721000000005</v>
      </c>
      <c r="S99">
        <f t="shared" si="24"/>
        <v>1.0023620044690948</v>
      </c>
      <c r="T99">
        <f t="shared" si="25"/>
        <v>-23.534393752928761</v>
      </c>
      <c r="U99" s="8"/>
      <c r="V99" s="8"/>
      <c r="AW99">
        <v>0</v>
      </c>
    </row>
    <row r="100" spans="1:49" x14ac:dyDescent="0.35">
      <c r="A100">
        <v>1.4</v>
      </c>
      <c r="B100" s="9">
        <v>16.399999999999999</v>
      </c>
      <c r="C100">
        <v>-3.5491243999999998E-2</v>
      </c>
      <c r="D100">
        <v>5.2083418000000003E-3</v>
      </c>
      <c r="E100">
        <v>0.96450040000000004</v>
      </c>
      <c r="F100">
        <v>3.5500166999999998E-3</v>
      </c>
      <c r="G100">
        <f t="shared" si="16"/>
        <v>13.375133134414201</v>
      </c>
      <c r="H100">
        <f t="shared" si="17"/>
        <v>1.7122321667456999</v>
      </c>
      <c r="I100">
        <f t="shared" si="18"/>
        <v>13.3751296439154</v>
      </c>
      <c r="J100">
        <f t="shared" si="19"/>
        <v>1.71140299783724</v>
      </c>
      <c r="K100" s="7">
        <f t="shared" si="20"/>
        <v>3.4904988002182302E-6</v>
      </c>
      <c r="L100" s="7">
        <f t="shared" si="21"/>
        <v>8.2916890845985403E-4</v>
      </c>
      <c r="M100" s="7">
        <f t="shared" si="22"/>
        <v>7.3561266414088097E-2</v>
      </c>
      <c r="N100" s="7">
        <f t="shared" si="23"/>
        <v>-9.4124674090949705E-3</v>
      </c>
      <c r="O100">
        <v>-0.31987011999999998</v>
      </c>
      <c r="P100">
        <v>-8.5750533000000004</v>
      </c>
      <c r="Q100">
        <v>-3.7348319000000001</v>
      </c>
      <c r="R100">
        <v>-7.7680294999999999</v>
      </c>
      <c r="S100">
        <f t="shared" si="24"/>
        <v>1.0044540303972302</v>
      </c>
      <c r="T100">
        <f t="shared" si="25"/>
        <v>-23.541747916596545</v>
      </c>
      <c r="U100" s="8"/>
      <c r="V100" s="8"/>
      <c r="AT100">
        <v>16.399999999999999</v>
      </c>
      <c r="AU100">
        <v>7.3561266414088097E-2</v>
      </c>
    </row>
    <row r="101" spans="1:49" x14ac:dyDescent="0.35">
      <c r="A101">
        <v>1.4</v>
      </c>
      <c r="B101" s="9">
        <v>16.5</v>
      </c>
      <c r="C101">
        <v>-3.4954645999999999E-2</v>
      </c>
      <c r="D101">
        <v>8.9675121999999996E-3</v>
      </c>
      <c r="E101">
        <v>0.96505443000000002</v>
      </c>
      <c r="F101">
        <v>7.3450546000000004E-3</v>
      </c>
      <c r="G101">
        <f t="shared" si="16"/>
        <v>13.067217151379401</v>
      </c>
      <c r="H101">
        <f t="shared" si="17"/>
        <v>3.1665786370492</v>
      </c>
      <c r="I101">
        <f t="shared" si="18"/>
        <v>13.0672223474416</v>
      </c>
      <c r="J101">
        <f t="shared" si="19"/>
        <v>3.1657674161457101</v>
      </c>
      <c r="K101" s="7">
        <f t="shared" si="20"/>
        <v>-5.1960621991753399E-6</v>
      </c>
      <c r="L101" s="7">
        <f t="shared" si="21"/>
        <v>8.1122090348983999E-4</v>
      </c>
      <c r="M101" s="7">
        <f t="shared" si="22"/>
        <v>7.2284701600767998E-2</v>
      </c>
      <c r="N101" s="7">
        <f t="shared" si="23"/>
        <v>-1.7512256769575098E-2</v>
      </c>
      <c r="O101">
        <v>-1.2271494000000001</v>
      </c>
      <c r="P101">
        <v>-8.4015641999999993</v>
      </c>
      <c r="Q101">
        <v>-4.5114551000000001</v>
      </c>
      <c r="R101">
        <v>-7.2597262000000002</v>
      </c>
      <c r="S101">
        <f t="shared" si="24"/>
        <v>1.0066683328738468</v>
      </c>
      <c r="T101">
        <f t="shared" si="25"/>
        <v>-23.548331092453498</v>
      </c>
      <c r="U101" s="8"/>
      <c r="V101" s="8"/>
    </row>
    <row r="102" spans="1:49" x14ac:dyDescent="0.35">
      <c r="A102">
        <v>1.4</v>
      </c>
      <c r="B102" s="9">
        <v>16.600000000000001</v>
      </c>
      <c r="C102">
        <v>-3.3735471000000003E-2</v>
      </c>
      <c r="D102">
        <v>1.2304561E-2</v>
      </c>
      <c r="E102">
        <v>0.96635548999999998</v>
      </c>
      <c r="F102">
        <v>1.0760598E-2</v>
      </c>
      <c r="G102">
        <f t="shared" si="16"/>
        <v>12.784507477566001</v>
      </c>
      <c r="H102">
        <f t="shared" si="17"/>
        <v>4.5478762339022101</v>
      </c>
      <c r="I102">
        <f t="shared" si="18"/>
        <v>12.784553551871401</v>
      </c>
      <c r="J102">
        <f t="shared" si="19"/>
        <v>4.5471043230776198</v>
      </c>
      <c r="K102" s="7">
        <f t="shared" si="20"/>
        <v>-4.6074305400267697E-5</v>
      </c>
      <c r="L102" s="7">
        <f t="shared" si="21"/>
        <v>7.7191082459027204E-4</v>
      </c>
      <c r="M102" s="7">
        <f t="shared" si="22"/>
        <v>6.94356201964587E-2</v>
      </c>
      <c r="N102" s="7">
        <f t="shared" si="23"/>
        <v>-2.4696287397902601E-2</v>
      </c>
      <c r="O102">
        <v>-2.0243639999999998</v>
      </c>
      <c r="P102">
        <v>-8.0684068999999994</v>
      </c>
      <c r="Q102">
        <v>-5.1240791000000003</v>
      </c>
      <c r="R102">
        <v>-6.6442465000000004</v>
      </c>
      <c r="S102">
        <f t="shared" si="24"/>
        <v>1.0086691192613182</v>
      </c>
      <c r="T102">
        <f t="shared" si="25"/>
        <v>-23.554834417184857</v>
      </c>
      <c r="U102" s="8"/>
      <c r="V102" s="8"/>
    </row>
    <row r="103" spans="1:49" x14ac:dyDescent="0.35">
      <c r="A103">
        <v>1.4</v>
      </c>
      <c r="B103" s="9">
        <v>16.7</v>
      </c>
      <c r="C103">
        <v>-3.2056880000000003E-2</v>
      </c>
      <c r="D103">
        <v>1.5087193E-2</v>
      </c>
      <c r="E103">
        <v>0.96792836000000004</v>
      </c>
      <c r="F103">
        <v>1.3545323999999999E-2</v>
      </c>
      <c r="G103">
        <f t="shared" si="16"/>
        <v>12.501782406346001</v>
      </c>
      <c r="H103">
        <f t="shared" si="17"/>
        <v>5.80550398525574</v>
      </c>
      <c r="I103">
        <f t="shared" si="18"/>
        <v>12.501775620644301</v>
      </c>
      <c r="J103">
        <f t="shared" si="19"/>
        <v>5.8047330398348302</v>
      </c>
      <c r="K103" s="7">
        <f t="shared" si="20"/>
        <v>6.7857017000960704E-6</v>
      </c>
      <c r="L103" s="7">
        <f t="shared" si="21"/>
        <v>7.7094542090971896E-4</v>
      </c>
      <c r="M103" s="7">
        <f t="shared" si="22"/>
        <v>6.5802518081306896E-2</v>
      </c>
      <c r="N103" s="7">
        <f t="shared" si="23"/>
        <v>-3.0552944029818101E-2</v>
      </c>
      <c r="O103">
        <v>-2.6837027999999998</v>
      </c>
      <c r="P103">
        <v>-7.6296784000000004</v>
      </c>
      <c r="Q103">
        <v>-5.5680614000000004</v>
      </c>
      <c r="R103">
        <v>-5.9835142000000001</v>
      </c>
      <c r="S103">
        <f t="shared" si="24"/>
        <v>1.0105800672837328</v>
      </c>
      <c r="T103">
        <f t="shared" si="25"/>
        <v>-23.561164903880687</v>
      </c>
      <c r="U103" s="8"/>
      <c r="V103" s="8"/>
    </row>
    <row r="104" spans="1:49" x14ac:dyDescent="0.35">
      <c r="A104">
        <v>1.4</v>
      </c>
      <c r="B104" s="9">
        <v>16.8</v>
      </c>
      <c r="C104">
        <v>-3.0131462000000001E-2</v>
      </c>
      <c r="D104">
        <v>1.7290777E-2</v>
      </c>
      <c r="E104">
        <v>0.96982214</v>
      </c>
      <c r="F104">
        <v>1.5779339E-2</v>
      </c>
      <c r="G104">
        <f t="shared" si="16"/>
        <v>12.2481140053809</v>
      </c>
      <c r="H104">
        <f t="shared" si="17"/>
        <v>6.9906941462896599</v>
      </c>
      <c r="I104">
        <f t="shared" si="18"/>
        <v>12.248091376993299</v>
      </c>
      <c r="J104">
        <f t="shared" si="19"/>
        <v>6.9899383926562297</v>
      </c>
      <c r="K104" s="7">
        <f t="shared" si="20"/>
        <v>2.2628387601031401E-5</v>
      </c>
      <c r="L104" s="7">
        <f t="shared" si="21"/>
        <v>7.55753633430167E-4</v>
      </c>
      <c r="M104" s="7">
        <f t="shared" si="22"/>
        <v>6.15868889514899E-2</v>
      </c>
      <c r="N104" s="7">
        <f t="shared" si="23"/>
        <v>-3.51473994041962E-2</v>
      </c>
      <c r="O104">
        <v>-3.1987877</v>
      </c>
      <c r="P104">
        <v>-7.1375834999999999</v>
      </c>
      <c r="Q104">
        <v>-5.8578181999999996</v>
      </c>
      <c r="R104">
        <v>-5.3290230999999997</v>
      </c>
      <c r="S104">
        <f t="shared" si="24"/>
        <v>1.0124692273199689</v>
      </c>
      <c r="T104">
        <f t="shared" si="25"/>
        <v>-23.566252316623657</v>
      </c>
      <c r="U104" s="8"/>
      <c r="V104" s="8"/>
    </row>
    <row r="105" spans="1:49" x14ac:dyDescent="0.35">
      <c r="A105">
        <v>1.4</v>
      </c>
      <c r="B105" s="9">
        <v>16.899999999999999</v>
      </c>
      <c r="C105">
        <v>-2.8129846E-2</v>
      </c>
      <c r="D105">
        <v>1.8961362999999998E-2</v>
      </c>
      <c r="E105">
        <v>0.97185263</v>
      </c>
      <c r="F105">
        <v>1.7414250999999999E-2</v>
      </c>
      <c r="G105">
        <f t="shared" si="16"/>
        <v>12.033038951722901</v>
      </c>
      <c r="H105">
        <f t="shared" si="17"/>
        <v>8.1012999262968197</v>
      </c>
      <c r="I105">
        <f t="shared" si="18"/>
        <v>12.033030788050301</v>
      </c>
      <c r="J105">
        <f t="shared" si="19"/>
        <v>8.1005263572037496</v>
      </c>
      <c r="K105" s="7">
        <f t="shared" si="20"/>
        <v>8.16367260014772E-6</v>
      </c>
      <c r="L105" s="7">
        <f t="shared" si="21"/>
        <v>7.7356909307013698E-4</v>
      </c>
      <c r="M105" s="7">
        <f t="shared" si="22"/>
        <v>5.7187852213667602E-2</v>
      </c>
      <c r="N105" s="7">
        <f t="shared" si="23"/>
        <v>-3.8498339473105103E-2</v>
      </c>
      <c r="O105">
        <v>-3.5836356</v>
      </c>
      <c r="P105">
        <v>-6.6298646999999997</v>
      </c>
      <c r="Q105">
        <v>-6.0206390000000001</v>
      </c>
      <c r="R105">
        <v>-4.7099168000000002</v>
      </c>
      <c r="S105">
        <f t="shared" si="24"/>
        <v>1.0142812158093526</v>
      </c>
      <c r="T105">
        <f t="shared" si="25"/>
        <v>-23.571582166123395</v>
      </c>
      <c r="U105" s="8"/>
      <c r="V105" s="8"/>
    </row>
    <row r="106" spans="1:49" x14ac:dyDescent="0.35">
      <c r="A106">
        <v>1.4</v>
      </c>
      <c r="B106" s="9">
        <v>17</v>
      </c>
      <c r="C106">
        <v>-2.7135820000000001E-2</v>
      </c>
      <c r="D106">
        <v>2.0093012E-2</v>
      </c>
      <c r="E106">
        <v>0.97278927000000004</v>
      </c>
      <c r="F106">
        <v>1.8618315999999999E-2</v>
      </c>
      <c r="G106">
        <f t="shared" si="16"/>
        <v>11.7069262231916</v>
      </c>
      <c r="H106">
        <f t="shared" si="17"/>
        <v>8.6954120929258192</v>
      </c>
      <c r="I106">
        <f t="shared" si="18"/>
        <v>11.7068893105315</v>
      </c>
      <c r="J106">
        <f t="shared" si="19"/>
        <v>8.6946746900889096</v>
      </c>
      <c r="K106" s="7">
        <f t="shared" si="20"/>
        <v>3.69126601000858E-5</v>
      </c>
      <c r="L106" s="7">
        <f t="shared" si="21"/>
        <v>7.3740283690959497E-4</v>
      </c>
      <c r="M106" s="7">
        <f t="shared" si="22"/>
        <v>5.5052739204229102E-2</v>
      </c>
      <c r="N106" s="7">
        <f t="shared" si="23"/>
        <v>-4.0887518920032E-2</v>
      </c>
      <c r="O106">
        <v>-3.7456950999999998</v>
      </c>
      <c r="P106">
        <v>-6.2539593</v>
      </c>
      <c r="Q106">
        <v>-6.1083705000000004</v>
      </c>
      <c r="R106">
        <v>-4.3664396999999999</v>
      </c>
      <c r="S106">
        <f t="shared" si="24"/>
        <v>1.0299943800922855</v>
      </c>
      <c r="T106">
        <f t="shared" si="25"/>
        <v>-23.522987077528619</v>
      </c>
      <c r="U106" s="8"/>
      <c r="V106" s="8"/>
    </row>
    <row r="107" spans="1:49" x14ac:dyDescent="0.35">
      <c r="A107">
        <v>1.6</v>
      </c>
      <c r="B107" s="9">
        <v>15</v>
      </c>
      <c r="C107">
        <v>-9.4283148000000004E-3</v>
      </c>
      <c r="D107">
        <v>-1.3706448E-2</v>
      </c>
      <c r="E107">
        <v>0.99060826000000002</v>
      </c>
      <c r="F107">
        <v>-1.5933267000000001E-2</v>
      </c>
      <c r="G107">
        <f t="shared" si="16"/>
        <v>14.7672453392685</v>
      </c>
      <c r="H107">
        <f t="shared" si="17"/>
        <v>-24.043852053812898</v>
      </c>
      <c r="I107">
        <f t="shared" si="18"/>
        <v>14.767264865945201</v>
      </c>
      <c r="J107">
        <f t="shared" si="19"/>
        <v>-24.044965421211099</v>
      </c>
      <c r="K107" s="7">
        <f t="shared" si="20"/>
        <v>-1.95266767004654E-5</v>
      </c>
      <c r="L107" s="7">
        <f t="shared" si="21"/>
        <v>1.1133673982008901E-3</v>
      </c>
      <c r="M107" s="7">
        <f t="shared" si="22"/>
        <v>1.8546423755866299E-2</v>
      </c>
      <c r="N107" s="7">
        <f t="shared" si="23"/>
        <v>3.0198423468745E-2</v>
      </c>
      <c r="O107">
        <v>4.0776911</v>
      </c>
      <c r="P107">
        <v>-2.1670378000000001</v>
      </c>
      <c r="Q107">
        <v>2.7967792999999999</v>
      </c>
      <c r="R107">
        <v>-3.5003665000000002</v>
      </c>
      <c r="S107">
        <f t="shared" si="24"/>
        <v>0.97026945587472369</v>
      </c>
      <c r="T107">
        <f t="shared" si="25"/>
        <v>-23.387430146725084</v>
      </c>
      <c r="U107" s="8"/>
      <c r="V107" s="8"/>
    </row>
    <row r="108" spans="1:49" x14ac:dyDescent="0.35">
      <c r="A108">
        <v>1.6</v>
      </c>
      <c r="B108" s="9">
        <v>15.1</v>
      </c>
      <c r="C108">
        <v>-1.0844357000000001E-2</v>
      </c>
      <c r="D108">
        <v>-1.4653129000000001E-2</v>
      </c>
      <c r="E108">
        <v>0.98920492999999998</v>
      </c>
      <c r="F108">
        <v>-1.6790023000000001E-2</v>
      </c>
      <c r="G108">
        <f t="shared" si="16"/>
        <v>14.3526765608089</v>
      </c>
      <c r="H108">
        <f t="shared" si="17"/>
        <v>-21.581154268644902</v>
      </c>
      <c r="I108">
        <f t="shared" si="18"/>
        <v>14.352702345194899</v>
      </c>
      <c r="J108">
        <f t="shared" si="19"/>
        <v>-21.5822226617667</v>
      </c>
      <c r="K108" s="7">
        <f t="shared" si="20"/>
        <v>-2.5784385998761599E-5</v>
      </c>
      <c r="L108" s="7">
        <f t="shared" si="21"/>
        <v>1.0683931217982899E-3</v>
      </c>
      <c r="M108" s="7">
        <f t="shared" si="22"/>
        <v>2.1364788218891099E-2</v>
      </c>
      <c r="N108" s="7">
        <f t="shared" si="23"/>
        <v>3.2126327528555397E-2</v>
      </c>
      <c r="O108">
        <v>4.2627613999999996</v>
      </c>
      <c r="P108">
        <v>-2.4715677999999999</v>
      </c>
      <c r="Q108">
        <v>2.8534402999999999</v>
      </c>
      <c r="R108">
        <v>-3.8563640000000001</v>
      </c>
      <c r="S108">
        <f t="shared" si="24"/>
        <v>0.97357743435558475</v>
      </c>
      <c r="T108">
        <f t="shared" si="25"/>
        <v>-23.395795752454529</v>
      </c>
      <c r="U108" s="8"/>
      <c r="V108" s="8"/>
    </row>
    <row r="109" spans="1:49" x14ac:dyDescent="0.35">
      <c r="A109">
        <v>1.6</v>
      </c>
      <c r="B109" s="9">
        <v>15.2</v>
      </c>
      <c r="C109">
        <v>-1.2519356000000001E-2</v>
      </c>
      <c r="D109">
        <v>-1.5592135E-2</v>
      </c>
      <c r="E109">
        <v>0.98753588999999997</v>
      </c>
      <c r="F109">
        <v>-1.7672499000000001E-2</v>
      </c>
      <c r="G109">
        <f t="shared" si="16"/>
        <v>13.9353757252624</v>
      </c>
      <c r="H109">
        <f t="shared" si="17"/>
        <v>-19.219710132511899</v>
      </c>
      <c r="I109">
        <f t="shared" si="18"/>
        <v>13.9354044293872</v>
      </c>
      <c r="J109">
        <f t="shared" si="19"/>
        <v>-19.220750255923001</v>
      </c>
      <c r="K109" s="7">
        <f t="shared" si="20"/>
        <v>-2.87041247997166E-5</v>
      </c>
      <c r="L109" s="7">
        <f t="shared" si="21"/>
        <v>1.0401234111014901E-3</v>
      </c>
      <c r="M109" s="7">
        <f t="shared" si="22"/>
        <v>2.4724263716980499E-2</v>
      </c>
      <c r="N109" s="7">
        <f t="shared" si="23"/>
        <v>3.4101550520020299E-2</v>
      </c>
      <c r="O109">
        <v>4.4459209</v>
      </c>
      <c r="P109">
        <v>-2.835321</v>
      </c>
      <c r="Q109">
        <v>2.8841011000000001</v>
      </c>
      <c r="R109">
        <v>-4.2648225000000002</v>
      </c>
      <c r="S109">
        <f t="shared" si="24"/>
        <v>0.97637079121980819</v>
      </c>
      <c r="T109">
        <f t="shared" si="25"/>
        <v>-23.404240998059819</v>
      </c>
      <c r="U109" s="8"/>
      <c r="V109" s="8"/>
    </row>
    <row r="110" spans="1:49" x14ac:dyDescent="0.35">
      <c r="A110">
        <v>1.6</v>
      </c>
      <c r="B110" s="9">
        <v>15.3</v>
      </c>
      <c r="C110">
        <v>-1.4476978999999999E-2</v>
      </c>
      <c r="D110">
        <v>-1.647297E-2</v>
      </c>
      <c r="E110">
        <v>0.98561668999999996</v>
      </c>
      <c r="F110">
        <v>-1.8477618000000001E-2</v>
      </c>
      <c r="G110">
        <f t="shared" si="16"/>
        <v>13.5476044840214</v>
      </c>
      <c r="H110">
        <f t="shared" si="17"/>
        <v>-17.0115555793456</v>
      </c>
      <c r="I110">
        <f t="shared" si="18"/>
        <v>13.547652320839299</v>
      </c>
      <c r="J110">
        <f t="shared" si="19"/>
        <v>-17.012557808458801</v>
      </c>
      <c r="K110" s="7">
        <f t="shared" si="20"/>
        <v>-4.7836817898883102E-5</v>
      </c>
      <c r="L110" s="7">
        <f t="shared" si="21"/>
        <v>1.00222911320103E-3</v>
      </c>
      <c r="M110" s="7">
        <f t="shared" si="22"/>
        <v>2.86440296596451E-2</v>
      </c>
      <c r="N110" s="7">
        <f t="shared" si="23"/>
        <v>3.5969937736173699E-2</v>
      </c>
      <c r="O110">
        <v>4.6131359999999999</v>
      </c>
      <c r="P110">
        <v>-3.2581966000000002</v>
      </c>
      <c r="Q110">
        <v>2.8771580999999999</v>
      </c>
      <c r="R110">
        <v>-4.7222967000000002</v>
      </c>
      <c r="S110">
        <f t="shared" si="24"/>
        <v>0.97910980235669787</v>
      </c>
      <c r="T110">
        <f t="shared" si="25"/>
        <v>-23.414210377856637</v>
      </c>
      <c r="U110" s="8"/>
      <c r="V110" s="8"/>
    </row>
    <row r="111" spans="1:49" x14ac:dyDescent="0.35">
      <c r="A111">
        <v>1.6</v>
      </c>
      <c r="B111" s="9">
        <v>15.4</v>
      </c>
      <c r="C111">
        <v>-1.6760247999999998E-2</v>
      </c>
      <c r="D111">
        <v>-1.7235555E-2</v>
      </c>
      <c r="E111">
        <v>0.98324973000000004</v>
      </c>
      <c r="F111">
        <v>-1.9236145999999999E-2</v>
      </c>
      <c r="G111">
        <f t="shared" si="16"/>
        <v>13.160253192130799</v>
      </c>
      <c r="H111">
        <f t="shared" si="17"/>
        <v>-14.8668552126256</v>
      </c>
      <c r="I111">
        <f t="shared" si="18"/>
        <v>13.160259181681001</v>
      </c>
      <c r="J111">
        <f t="shared" si="19"/>
        <v>-14.8678554971438</v>
      </c>
      <c r="K111" s="7">
        <f t="shared" si="20"/>
        <v>-5.9895502015905297E-6</v>
      </c>
      <c r="L111" s="7">
        <f t="shared" si="21"/>
        <v>1.00028451820044E-3</v>
      </c>
      <c r="M111" s="7">
        <f t="shared" si="22"/>
        <v>3.3380869413250497E-2</v>
      </c>
      <c r="N111" s="7">
        <f t="shared" si="23"/>
        <v>3.7712170858768997E-2</v>
      </c>
      <c r="O111">
        <v>4.7536265999999996</v>
      </c>
      <c r="P111">
        <v>-3.7510216000000001</v>
      </c>
      <c r="Q111">
        <v>2.8166856999999998</v>
      </c>
      <c r="R111">
        <v>-5.2322006999999999</v>
      </c>
      <c r="S111">
        <f t="shared" si="24"/>
        <v>0.9813144808836346</v>
      </c>
      <c r="T111">
        <f t="shared" si="25"/>
        <v>-23.428302064911087</v>
      </c>
      <c r="U111" s="8"/>
      <c r="V111" s="8"/>
    </row>
    <row r="112" spans="1:49" x14ac:dyDescent="0.35">
      <c r="A112">
        <v>1.6</v>
      </c>
      <c r="B112" s="9">
        <v>15.5</v>
      </c>
      <c r="C112">
        <v>-1.9400543999999999E-2</v>
      </c>
      <c r="D112">
        <v>-1.7800040999999999E-2</v>
      </c>
      <c r="E112">
        <v>0.98057958000000001</v>
      </c>
      <c r="F112">
        <v>-1.9779739000000001E-2</v>
      </c>
      <c r="G112">
        <f t="shared" si="16"/>
        <v>12.7980106591663</v>
      </c>
      <c r="H112">
        <f t="shared" si="17"/>
        <v>-12.8723473449806</v>
      </c>
      <c r="I112">
        <f t="shared" si="18"/>
        <v>12.798001700896901</v>
      </c>
      <c r="J112">
        <f t="shared" si="19"/>
        <v>-12.8733372126853</v>
      </c>
      <c r="K112" s="7">
        <f t="shared" si="20"/>
        <v>8.9582693991729894E-6</v>
      </c>
      <c r="L112" s="7">
        <f t="shared" si="21"/>
        <v>9.8986770469977592E-4</v>
      </c>
      <c r="M112" s="7">
        <f t="shared" si="22"/>
        <v>3.8839298609588603E-2</v>
      </c>
      <c r="N112" s="7">
        <f t="shared" si="23"/>
        <v>3.9067926367784098E-2</v>
      </c>
      <c r="O112">
        <v>4.8462339999999999</v>
      </c>
      <c r="P112">
        <v>-4.3159212</v>
      </c>
      <c r="Q112">
        <v>2.6858384000000002</v>
      </c>
      <c r="R112">
        <v>-5.7939844000000003</v>
      </c>
      <c r="S112">
        <f t="shared" si="24"/>
        <v>0.98409246206069434</v>
      </c>
      <c r="T112">
        <f t="shared" si="25"/>
        <v>-23.442247489295713</v>
      </c>
      <c r="U112" s="8"/>
      <c r="V112" s="8"/>
    </row>
    <row r="113" spans="1:49" x14ac:dyDescent="0.35">
      <c r="A113">
        <v>1.6</v>
      </c>
      <c r="B113" s="9">
        <v>15.6</v>
      </c>
      <c r="C113">
        <v>-2.2414093E-2</v>
      </c>
      <c r="D113">
        <v>-1.8057976999999999E-2</v>
      </c>
      <c r="E113">
        <v>0.97763416000000003</v>
      </c>
      <c r="F113">
        <v>-1.9971551000000001E-2</v>
      </c>
      <c r="G113">
        <f t="shared" si="16"/>
        <v>12.4740846781296</v>
      </c>
      <c r="H113">
        <f t="shared" si="17"/>
        <v>-11.0178229011632</v>
      </c>
      <c r="I113">
        <f t="shared" si="18"/>
        <v>12.474109719421801</v>
      </c>
      <c r="J113">
        <f t="shared" si="19"/>
        <v>-11.018779641121199</v>
      </c>
      <c r="K113" s="7">
        <f t="shared" si="20"/>
        <v>-2.5041292200711499E-5</v>
      </c>
      <c r="L113" s="7">
        <f t="shared" si="21"/>
        <v>9.5673995799927503E-4</v>
      </c>
      <c r="M113" s="7">
        <f t="shared" si="22"/>
        <v>4.5030136809876699E-2</v>
      </c>
      <c r="N113" s="7">
        <f t="shared" si="23"/>
        <v>3.9776558478160598E-2</v>
      </c>
      <c r="O113">
        <v>4.8708698999999998</v>
      </c>
      <c r="P113">
        <v>-4.9570521999999997</v>
      </c>
      <c r="Q113">
        <v>2.4624633999999999</v>
      </c>
      <c r="R113">
        <v>-6.4006369000000003</v>
      </c>
      <c r="S113">
        <f t="shared" si="24"/>
        <v>0.98680822030342008</v>
      </c>
      <c r="T113">
        <f t="shared" si="25"/>
        <v>-23.454765582503104</v>
      </c>
      <c r="U113" s="8"/>
      <c r="V113" s="8"/>
    </row>
    <row r="114" spans="1:49" x14ac:dyDescent="0.35">
      <c r="A114">
        <v>1.6</v>
      </c>
      <c r="B114" s="9">
        <v>15.7</v>
      </c>
      <c r="C114">
        <v>-2.5790091000000001E-2</v>
      </c>
      <c r="D114">
        <v>-1.7870515999999999E-2</v>
      </c>
      <c r="E114">
        <v>0.97425072000000001</v>
      </c>
      <c r="F114">
        <v>-1.979533E-2</v>
      </c>
      <c r="G114">
        <f t="shared" si="16"/>
        <v>12.1476172292328</v>
      </c>
      <c r="H114">
        <f t="shared" si="17"/>
        <v>-9.2426196792829902</v>
      </c>
      <c r="I114">
        <f t="shared" si="18"/>
        <v>12.147638560486101</v>
      </c>
      <c r="J114">
        <f t="shared" si="19"/>
        <v>-9.2435820461160496</v>
      </c>
      <c r="K114" s="7">
        <f t="shared" si="20"/>
        <v>-2.1331253300615999E-5</v>
      </c>
      <c r="L114" s="7">
        <f t="shared" si="21"/>
        <v>9.6236683305939196E-4</v>
      </c>
      <c r="M114" s="7">
        <f t="shared" si="22"/>
        <v>5.2133789357400998E-2</v>
      </c>
      <c r="N114" s="7">
        <f t="shared" si="23"/>
        <v>3.9670505250922299E-2</v>
      </c>
      <c r="O114">
        <v>4.7935698000000002</v>
      </c>
      <c r="P114">
        <v>-5.6673755999999997</v>
      </c>
      <c r="Q114">
        <v>2.1187469000000001</v>
      </c>
      <c r="R114">
        <v>-7.0370613999999998</v>
      </c>
      <c r="S114">
        <f t="shared" si="24"/>
        <v>0.99007610978447247</v>
      </c>
      <c r="T114">
        <f t="shared" si="25"/>
        <v>-23.468941658032925</v>
      </c>
      <c r="U114" s="8"/>
      <c r="V114" s="8"/>
    </row>
    <row r="115" spans="1:49" x14ac:dyDescent="0.35">
      <c r="A115">
        <v>1.6</v>
      </c>
      <c r="B115" s="9">
        <v>15.8</v>
      </c>
      <c r="C115">
        <v>-2.9459019999999999E-2</v>
      </c>
      <c r="D115">
        <v>-1.7079967000000001E-2</v>
      </c>
      <c r="E115">
        <v>0.97058332999999997</v>
      </c>
      <c r="F115">
        <v>-1.9015691000000001E-2</v>
      </c>
      <c r="G115">
        <f t="shared" si="16"/>
        <v>11.844858993794601</v>
      </c>
      <c r="H115">
        <f t="shared" si="17"/>
        <v>-7.5679404660904197</v>
      </c>
      <c r="I115">
        <f t="shared" si="18"/>
        <v>11.8448811050428</v>
      </c>
      <c r="J115">
        <f t="shared" si="19"/>
        <v>-7.5689082861961996</v>
      </c>
      <c r="K115" s="7">
        <f t="shared" si="20"/>
        <v>-2.21112481995078E-5</v>
      </c>
      <c r="L115" s="7">
        <f t="shared" si="21"/>
        <v>9.6782010577989297E-4</v>
      </c>
      <c r="M115" s="7">
        <f t="shared" si="22"/>
        <v>5.9946891140974901E-2</v>
      </c>
      <c r="N115" s="7">
        <f t="shared" si="23"/>
        <v>3.8306211524188102E-2</v>
      </c>
      <c r="O115">
        <v>4.5907084999999999</v>
      </c>
      <c r="P115">
        <v>-6.4398343999999996</v>
      </c>
      <c r="Q115">
        <v>1.6318406000000001</v>
      </c>
      <c r="R115">
        <v>-7.6748633000000002</v>
      </c>
      <c r="S115">
        <f t="shared" si="24"/>
        <v>0.99213773554177465</v>
      </c>
      <c r="T115">
        <f t="shared" si="25"/>
        <v>-23.480041742427733</v>
      </c>
      <c r="U115" s="8"/>
      <c r="V115" s="8"/>
    </row>
    <row r="116" spans="1:49" x14ac:dyDescent="0.35">
      <c r="A116">
        <v>1.6</v>
      </c>
      <c r="B116" s="9">
        <v>15.9</v>
      </c>
      <c r="C116">
        <v>-3.3288192000000001E-2</v>
      </c>
      <c r="D116">
        <v>-1.552657E-2</v>
      </c>
      <c r="E116">
        <v>0.96675593999999998</v>
      </c>
      <c r="F116">
        <v>-1.7470658E-2</v>
      </c>
      <c r="G116">
        <f t="shared" si="16"/>
        <v>11.5630779048084</v>
      </c>
      <c r="H116">
        <f t="shared" si="17"/>
        <v>-5.98230429603512</v>
      </c>
      <c r="I116">
        <f t="shared" si="18"/>
        <v>11.563100915127499</v>
      </c>
      <c r="J116">
        <f t="shared" si="19"/>
        <v>-5.98327629621991</v>
      </c>
      <c r="K116" s="7">
        <f t="shared" si="20"/>
        <v>-2.3010319099015001E-5</v>
      </c>
      <c r="L116" s="7">
        <f t="shared" si="21"/>
        <v>9.72000184789934E-4</v>
      </c>
      <c r="M116" s="7">
        <f t="shared" si="22"/>
        <v>6.8216913203433399E-2</v>
      </c>
      <c r="N116" s="7">
        <f t="shared" si="23"/>
        <v>3.5298545153870799E-2</v>
      </c>
      <c r="O116">
        <v>4.2209022999999997</v>
      </c>
      <c r="P116">
        <v>-7.2335805999999998</v>
      </c>
      <c r="Q116">
        <v>0.98290370999999999</v>
      </c>
      <c r="R116">
        <v>-8.2748532000000008</v>
      </c>
      <c r="S116">
        <f t="shared" si="24"/>
        <v>0.99498742067905033</v>
      </c>
      <c r="T116">
        <f t="shared" si="25"/>
        <v>-23.49023119949949</v>
      </c>
      <c r="U116" s="8"/>
      <c r="V116" s="8"/>
    </row>
    <row r="117" spans="1:49" x14ac:dyDescent="0.35">
      <c r="A117">
        <v>1.6</v>
      </c>
      <c r="B117" s="9">
        <v>16</v>
      </c>
      <c r="C117">
        <v>-3.7051569999999999E-2</v>
      </c>
      <c r="D117">
        <v>-1.3089431E-2</v>
      </c>
      <c r="E117">
        <v>0.96299186999999997</v>
      </c>
      <c r="F117">
        <v>-1.5037986E-2</v>
      </c>
      <c r="G117">
        <f t="shared" si="16"/>
        <v>11.3004681335507</v>
      </c>
      <c r="H117">
        <f t="shared" si="17"/>
        <v>-4.4812621580298098</v>
      </c>
      <c r="I117">
        <f t="shared" si="18"/>
        <v>11.300490802232799</v>
      </c>
      <c r="J117">
        <f t="shared" si="19"/>
        <v>-4.4822363922838599</v>
      </c>
      <c r="K117" s="7">
        <f t="shared" si="20"/>
        <v>-2.2668682099435999E-5</v>
      </c>
      <c r="L117" s="7">
        <f t="shared" si="21"/>
        <v>9.7423425405018804E-4</v>
      </c>
      <c r="M117" s="7">
        <f t="shared" si="22"/>
        <v>7.64623682134669E-2</v>
      </c>
      <c r="N117" s="7">
        <f t="shared" si="23"/>
        <v>3.0328099499792701E-2</v>
      </c>
      <c r="O117">
        <v>3.6664914999999998</v>
      </c>
      <c r="P117">
        <v>-8.0078303000000002</v>
      </c>
      <c r="Q117">
        <v>0.16892108</v>
      </c>
      <c r="R117">
        <v>-8.7818714</v>
      </c>
      <c r="S117">
        <f t="shared" si="24"/>
        <v>0.99729740199751693</v>
      </c>
      <c r="T117">
        <f t="shared" si="25"/>
        <v>-23.499344441510114</v>
      </c>
      <c r="U117" s="8"/>
      <c r="V117" s="8"/>
    </row>
    <row r="118" spans="1:49" x14ac:dyDescent="0.35">
      <c r="A118">
        <v>1.6</v>
      </c>
      <c r="B118" s="9">
        <v>16.100000000000001</v>
      </c>
      <c r="C118">
        <v>-4.0461026999999997E-2</v>
      </c>
      <c r="D118">
        <v>-9.7251196999999998E-3</v>
      </c>
      <c r="E118">
        <v>0.95958460999999995</v>
      </c>
      <c r="F118">
        <v>-1.1676280000000001E-2</v>
      </c>
      <c r="G118">
        <f t="shared" si="16"/>
        <v>11.0553884182141</v>
      </c>
      <c r="H118">
        <f t="shared" si="17"/>
        <v>-3.0572854346827398</v>
      </c>
      <c r="I118">
        <f t="shared" si="18"/>
        <v>11.055412187884</v>
      </c>
      <c r="J118">
        <f t="shared" si="19"/>
        <v>-3.0582609693832801</v>
      </c>
      <c r="K118" s="7">
        <f t="shared" si="20"/>
        <v>-2.3769669899920101E-5</v>
      </c>
      <c r="L118" s="7">
        <f t="shared" si="21"/>
        <v>9.7553470054023705E-4</v>
      </c>
      <c r="M118" s="7">
        <f t="shared" si="22"/>
        <v>8.4023590243438695E-2</v>
      </c>
      <c r="N118" s="7">
        <f t="shared" si="23"/>
        <v>2.32434632180047E-2</v>
      </c>
      <c r="O118">
        <v>2.9180410000000001</v>
      </c>
      <c r="P118">
        <v>-8.6958651000000007</v>
      </c>
      <c r="Q118">
        <v>-0.79259360999999995</v>
      </c>
      <c r="R118">
        <v>-9.1362033</v>
      </c>
      <c r="S118">
        <f t="shared" si="24"/>
        <v>0.99979424664737238</v>
      </c>
      <c r="T118">
        <f t="shared" si="25"/>
        <v>-23.508198015886883</v>
      </c>
      <c r="U118" s="8"/>
      <c r="V118" s="8"/>
    </row>
    <row r="119" spans="1:49" x14ac:dyDescent="0.35">
      <c r="A119">
        <v>1.6</v>
      </c>
      <c r="B119" s="9">
        <v>16.2</v>
      </c>
      <c r="C119">
        <v>-4.3181833000000003E-2</v>
      </c>
      <c r="D119">
        <v>-5.5472285000000001E-3</v>
      </c>
      <c r="E119">
        <v>0.95685993000000003</v>
      </c>
      <c r="F119">
        <v>-7.4947286999999998E-3</v>
      </c>
      <c r="G119">
        <f t="shared" si="16"/>
        <v>10.8259987729974</v>
      </c>
      <c r="H119">
        <f t="shared" si="17"/>
        <v>-1.7107049575419</v>
      </c>
      <c r="I119">
        <f t="shared" si="18"/>
        <v>10.826020602190299</v>
      </c>
      <c r="J119">
        <f t="shared" si="19"/>
        <v>-1.7116786660532199</v>
      </c>
      <c r="K119" s="7">
        <f t="shared" si="20"/>
        <v>-2.18291928995029E-5</v>
      </c>
      <c r="L119" s="7">
        <f t="shared" si="21"/>
        <v>9.7370851131994797E-4</v>
      </c>
      <c r="M119" s="7">
        <f t="shared" si="22"/>
        <v>9.0117284334537306E-2</v>
      </c>
      <c r="N119" s="7">
        <f t="shared" si="23"/>
        <v>1.42482486137955E-2</v>
      </c>
      <c r="O119">
        <v>2.0041408999999999</v>
      </c>
      <c r="P119">
        <v>-9.2294605999999995</v>
      </c>
      <c r="Q119">
        <v>-1.8490107</v>
      </c>
      <c r="R119">
        <v>-9.2831676000000005</v>
      </c>
      <c r="S119">
        <f t="shared" si="24"/>
        <v>1.0022201792452623</v>
      </c>
      <c r="T119">
        <f t="shared" si="25"/>
        <v>-23.51604182581849</v>
      </c>
      <c r="U119" s="8"/>
      <c r="V119" s="8"/>
    </row>
    <row r="120" spans="1:49" x14ac:dyDescent="0.35">
      <c r="A120">
        <v>1.6</v>
      </c>
      <c r="B120" s="9">
        <v>16.3</v>
      </c>
      <c r="C120">
        <v>-4.4949174000000001E-2</v>
      </c>
      <c r="D120">
        <v>-7.9484146000000002E-4</v>
      </c>
      <c r="E120">
        <v>0.95508844999999998</v>
      </c>
      <c r="F120">
        <v>-2.7344176E-3</v>
      </c>
      <c r="G120">
        <f t="shared" si="16"/>
        <v>10.6111833554653</v>
      </c>
      <c r="H120">
        <f t="shared" si="17"/>
        <v>-0.43590465764522102</v>
      </c>
      <c r="I120">
        <f t="shared" si="18"/>
        <v>10.6112031075464</v>
      </c>
      <c r="J120">
        <f t="shared" si="19"/>
        <v>-0.43687440831693802</v>
      </c>
      <c r="K120" s="7">
        <f t="shared" si="20"/>
        <v>-1.9752081099611002E-5</v>
      </c>
      <c r="L120" s="7">
        <f t="shared" si="21"/>
        <v>9.6975067171700701E-4</v>
      </c>
      <c r="M120" s="7">
        <f t="shared" si="22"/>
        <v>9.4080548888455198E-2</v>
      </c>
      <c r="N120" s="7">
        <f t="shared" si="23"/>
        <v>3.8733952892247101E-3</v>
      </c>
      <c r="O120">
        <v>0.97847435999999999</v>
      </c>
      <c r="P120">
        <v>-9.5580589000000007</v>
      </c>
      <c r="Q120">
        <v>-2.9301237000000002</v>
      </c>
      <c r="R120">
        <v>-9.1933638000000002</v>
      </c>
      <c r="S120">
        <f t="shared" si="24"/>
        <v>1.0042679342346439</v>
      </c>
      <c r="T120">
        <f t="shared" si="25"/>
        <v>-23.523306327871062</v>
      </c>
      <c r="U120" s="8"/>
      <c r="V120" s="8"/>
      <c r="AW120">
        <v>0</v>
      </c>
    </row>
    <row r="121" spans="1:49" x14ac:dyDescent="0.35">
      <c r="A121">
        <v>1.6</v>
      </c>
      <c r="B121" s="9">
        <v>16.399999999999999</v>
      </c>
      <c r="C121">
        <v>-4.5620555E-2</v>
      </c>
      <c r="D121">
        <v>4.170778E-3</v>
      </c>
      <c r="E121">
        <v>0.95441673000000005</v>
      </c>
      <c r="F121">
        <v>2.2440721999999998E-3</v>
      </c>
      <c r="G121">
        <f t="shared" si="16"/>
        <v>10.410467880593799</v>
      </c>
      <c r="H121">
        <f t="shared" si="17"/>
        <v>0.76787359402614497</v>
      </c>
      <c r="I121">
        <f t="shared" si="18"/>
        <v>10.4104874507424</v>
      </c>
      <c r="J121">
        <f t="shared" si="19"/>
        <v>0.76691027793772504</v>
      </c>
      <c r="K121" s="7">
        <f t="shared" si="20"/>
        <v>-1.9570148600322999E-5</v>
      </c>
      <c r="L121" s="7">
        <f t="shared" si="21"/>
        <v>9.6331608841992999E-4</v>
      </c>
      <c r="M121" s="7">
        <f t="shared" si="22"/>
        <v>9.5538509289069498E-2</v>
      </c>
      <c r="N121" s="7">
        <f t="shared" si="23"/>
        <v>-7.0380436131654402E-3</v>
      </c>
      <c r="O121">
        <v>-8.1926580999999998E-2</v>
      </c>
      <c r="P121">
        <v>-9.6494768000000004</v>
      </c>
      <c r="Q121">
        <v>-3.9532867</v>
      </c>
      <c r="R121">
        <v>-8.8720893000000007</v>
      </c>
      <c r="S121">
        <f t="shared" si="24"/>
        <v>1.0065471959489649</v>
      </c>
      <c r="T121">
        <f t="shared" si="25"/>
        <v>-23.530681671342407</v>
      </c>
      <c r="U121" s="8"/>
      <c r="V121" s="8"/>
      <c r="AT121">
        <v>16.399999999999999</v>
      </c>
      <c r="AU121">
        <v>9.5538509289069498E-2</v>
      </c>
    </row>
    <row r="122" spans="1:49" x14ac:dyDescent="0.35">
      <c r="A122">
        <v>1.6</v>
      </c>
      <c r="B122" s="9">
        <v>16.5</v>
      </c>
      <c r="C122">
        <v>-4.5222084000000003E-2</v>
      </c>
      <c r="D122">
        <v>8.9948301000000001E-3</v>
      </c>
      <c r="E122">
        <v>0.95482376000000002</v>
      </c>
      <c r="F122">
        <v>7.0881646999999999E-3</v>
      </c>
      <c r="G122">
        <f t="shared" si="16"/>
        <v>10.222734389568201</v>
      </c>
      <c r="H122">
        <f t="shared" si="17"/>
        <v>1.90818759963721</v>
      </c>
      <c r="I122">
        <f t="shared" si="18"/>
        <v>10.222758219822699</v>
      </c>
      <c r="J122">
        <f t="shared" si="19"/>
        <v>1.9072343115066399</v>
      </c>
      <c r="K122" s="7">
        <f t="shared" si="20"/>
        <v>-2.38302544985913E-5</v>
      </c>
      <c r="L122" s="7">
        <f t="shared" si="21"/>
        <v>9.5328813057005103E-4</v>
      </c>
      <c r="M122" s="7">
        <f t="shared" si="22"/>
        <v>9.4530591089993204E-2</v>
      </c>
      <c r="N122" s="7">
        <f t="shared" si="23"/>
        <v>-1.7636334826371999E-2</v>
      </c>
      <c r="O122">
        <v>-1.1013980000000001</v>
      </c>
      <c r="P122">
        <v>-9.5147706999999997</v>
      </c>
      <c r="Q122">
        <v>-4.8519870000000003</v>
      </c>
      <c r="R122">
        <v>-8.3564276</v>
      </c>
      <c r="S122">
        <f t="shared" si="24"/>
        <v>1.0088319983818534</v>
      </c>
      <c r="T122">
        <f t="shared" si="25"/>
        <v>-23.537727580945756</v>
      </c>
      <c r="U122" s="8"/>
      <c r="V122" s="8"/>
    </row>
    <row r="123" spans="1:49" x14ac:dyDescent="0.35">
      <c r="A123">
        <v>1.6</v>
      </c>
      <c r="B123" s="9">
        <v>16.600000000000001</v>
      </c>
      <c r="C123">
        <v>-4.3923585000000001E-2</v>
      </c>
      <c r="D123">
        <v>1.3360667999999999E-2</v>
      </c>
      <c r="E123">
        <v>0.95614383999999997</v>
      </c>
      <c r="F123">
        <v>1.1492351E-2</v>
      </c>
      <c r="G123">
        <f t="shared" si="16"/>
        <v>10.0466854710566</v>
      </c>
      <c r="H123">
        <f t="shared" si="17"/>
        <v>2.9865477674157401</v>
      </c>
      <c r="I123">
        <f t="shared" si="18"/>
        <v>10.046720054983201</v>
      </c>
      <c r="J123">
        <f t="shared" si="19"/>
        <v>2.98561367271328</v>
      </c>
      <c r="K123" s="7">
        <f t="shared" si="20"/>
        <v>-3.4583926600717498E-5</v>
      </c>
      <c r="L123" s="7">
        <f t="shared" si="21"/>
        <v>9.3409470246008696E-4</v>
      </c>
      <c r="M123" s="7">
        <f t="shared" si="22"/>
        <v>9.1458141170209506E-2</v>
      </c>
      <c r="N123" s="7">
        <f t="shared" si="23"/>
        <v>-2.7178887762805901E-2</v>
      </c>
      <c r="O123">
        <v>-2.0150636999999998</v>
      </c>
      <c r="P123">
        <v>-9.1965313000000002</v>
      </c>
      <c r="Q123">
        <v>-5.5804637000000001</v>
      </c>
      <c r="R123">
        <v>-7.7081559999999998</v>
      </c>
      <c r="S123">
        <f t="shared" si="24"/>
        <v>1.0107759116704984</v>
      </c>
      <c r="T123">
        <f t="shared" si="25"/>
        <v>-23.544521832220585</v>
      </c>
      <c r="U123" s="8"/>
      <c r="V123" s="8"/>
    </row>
    <row r="124" spans="1:49" x14ac:dyDescent="0.35">
      <c r="A124">
        <v>1.6</v>
      </c>
      <c r="B124" s="9">
        <v>16.7</v>
      </c>
      <c r="C124">
        <v>-4.1980384000000003E-2</v>
      </c>
      <c r="D124">
        <v>1.7080167E-2</v>
      </c>
      <c r="E124">
        <v>0.95808859000000002</v>
      </c>
      <c r="F124">
        <v>1.5303788E-2</v>
      </c>
      <c r="G124">
        <f t="shared" si="16"/>
        <v>9.8742156534368792</v>
      </c>
      <c r="H124">
        <f t="shared" si="17"/>
        <v>4.0051111238986197</v>
      </c>
      <c r="I124">
        <f t="shared" si="18"/>
        <v>9.8742509280459192</v>
      </c>
      <c r="J124">
        <f t="shared" si="19"/>
        <v>4.0042229963580098</v>
      </c>
      <c r="K124" s="7">
        <f t="shared" si="20"/>
        <v>-3.52746090399592E-5</v>
      </c>
      <c r="L124" s="7">
        <f t="shared" si="21"/>
        <v>8.88127540609851E-4</v>
      </c>
      <c r="M124" s="7">
        <f t="shared" si="22"/>
        <v>8.6971267270694597E-2</v>
      </c>
      <c r="N124" s="7">
        <f t="shared" si="23"/>
        <v>-3.5268735923914003E-2</v>
      </c>
      <c r="O124">
        <v>-2.7845078000000001</v>
      </c>
      <c r="P124">
        <v>-8.7470639000000006</v>
      </c>
      <c r="Q124">
        <v>-6.1251433999999998</v>
      </c>
      <c r="R124">
        <v>-6.9941728000000003</v>
      </c>
      <c r="S124">
        <f t="shared" si="24"/>
        <v>1.0128014314181486</v>
      </c>
      <c r="T124">
        <f t="shared" si="25"/>
        <v>-23.552077881102051</v>
      </c>
      <c r="U124" s="8"/>
      <c r="V124" s="8"/>
    </row>
    <row r="125" spans="1:49" x14ac:dyDescent="0.35">
      <c r="A125">
        <v>1.6</v>
      </c>
      <c r="B125" s="9">
        <v>16.8</v>
      </c>
      <c r="C125">
        <v>-3.9663834000000002E-2</v>
      </c>
      <c r="D125">
        <v>2.0084289000000002E-2</v>
      </c>
      <c r="E125">
        <v>0.96034520999999995</v>
      </c>
      <c r="F125">
        <v>1.8318201999999999E-2</v>
      </c>
      <c r="G125">
        <f t="shared" si="16"/>
        <v>9.7133154059240798</v>
      </c>
      <c r="H125">
        <f t="shared" si="17"/>
        <v>4.9452682803689498</v>
      </c>
      <c r="I125">
        <f t="shared" si="18"/>
        <v>9.7133207076582604</v>
      </c>
      <c r="J125">
        <f t="shared" si="19"/>
        <v>4.9443852455436899</v>
      </c>
      <c r="K125" s="7">
        <f t="shared" si="20"/>
        <v>-5.3017341805627902E-6</v>
      </c>
      <c r="L125" s="7">
        <f t="shared" si="21"/>
        <v>8.8303482525997601E-4</v>
      </c>
      <c r="M125" s="7">
        <f t="shared" si="22"/>
        <v>8.1765025264409097E-2</v>
      </c>
      <c r="N125" s="7">
        <f t="shared" si="23"/>
        <v>-4.1620965340937101E-2</v>
      </c>
      <c r="O125">
        <v>-3.3994651</v>
      </c>
      <c r="P125">
        <v>-8.2253630999999992</v>
      </c>
      <c r="Q125">
        <v>-6.4978746000000003</v>
      </c>
      <c r="R125">
        <v>-6.2713578999999999</v>
      </c>
      <c r="S125">
        <f t="shared" si="24"/>
        <v>1.0146587248015</v>
      </c>
      <c r="T125">
        <f t="shared" si="25"/>
        <v>-23.561431081998411</v>
      </c>
      <c r="U125" s="8"/>
      <c r="V125" s="8"/>
    </row>
    <row r="126" spans="1:49" x14ac:dyDescent="0.35">
      <c r="A126">
        <v>1.6</v>
      </c>
      <c r="B126" s="9">
        <v>16.899999999999999</v>
      </c>
      <c r="C126">
        <v>-3.7188984000000001E-2</v>
      </c>
      <c r="D126">
        <v>2.2405799000000001E-2</v>
      </c>
      <c r="E126">
        <v>0.96286936999999995</v>
      </c>
      <c r="F126">
        <v>2.0608939E-2</v>
      </c>
      <c r="G126">
        <f t="shared" si="16"/>
        <v>9.5790347465054406</v>
      </c>
      <c r="H126">
        <f t="shared" si="17"/>
        <v>5.83400590973348</v>
      </c>
      <c r="I126">
        <f t="shared" si="18"/>
        <v>9.5790647297593203</v>
      </c>
      <c r="J126">
        <f t="shared" si="19"/>
        <v>5.83310753288327</v>
      </c>
      <c r="K126" s="7">
        <f t="shared" si="20"/>
        <v>-2.9983253879706199E-5</v>
      </c>
      <c r="L126" s="7">
        <f t="shared" si="21"/>
        <v>8.9837685020999203E-4</v>
      </c>
      <c r="M126" s="7">
        <f t="shared" si="22"/>
        <v>7.6155101756718094E-2</v>
      </c>
      <c r="N126" s="7">
        <f t="shared" si="23"/>
        <v>-4.63741409267798E-2</v>
      </c>
      <c r="O126">
        <v>-3.8695810000000002</v>
      </c>
      <c r="P126">
        <v>-7.6753555999999996</v>
      </c>
      <c r="Q126">
        <v>-6.7239507999999999</v>
      </c>
      <c r="R126">
        <v>-5.5790403</v>
      </c>
      <c r="S126">
        <f t="shared" si="24"/>
        <v>1.0164610715774285</v>
      </c>
      <c r="T126">
        <f t="shared" si="25"/>
        <v>-23.561348219734434</v>
      </c>
      <c r="U126" s="8"/>
      <c r="V126" s="8"/>
    </row>
    <row r="127" spans="1:49" x14ac:dyDescent="0.35">
      <c r="A127">
        <v>1.6</v>
      </c>
      <c r="B127" s="9">
        <v>17</v>
      </c>
      <c r="C127">
        <v>-3.6082112999999999E-2</v>
      </c>
      <c r="D127">
        <v>2.3838568000000001E-2</v>
      </c>
      <c r="E127">
        <v>0.96392557000000001</v>
      </c>
      <c r="F127">
        <v>2.2062370000000001E-2</v>
      </c>
      <c r="G127">
        <f t="shared" si="16"/>
        <v>9.3662600703524301</v>
      </c>
      <c r="H127">
        <f t="shared" si="17"/>
        <v>6.2766690312712203</v>
      </c>
      <c r="I127">
        <f t="shared" si="18"/>
        <v>9.3662647005478092</v>
      </c>
      <c r="J127">
        <f t="shared" si="19"/>
        <v>6.2757809397949096</v>
      </c>
      <c r="K127" s="7">
        <f t="shared" si="20"/>
        <v>-4.6301953791072501E-6</v>
      </c>
      <c r="L127" s="7">
        <f t="shared" si="21"/>
        <v>8.8809147631074804E-4</v>
      </c>
      <c r="M127" s="7">
        <f t="shared" si="22"/>
        <v>7.3684936004501905E-2</v>
      </c>
      <c r="N127" s="7">
        <f t="shared" si="23"/>
        <v>-4.9371924850684E-2</v>
      </c>
      <c r="O127">
        <v>-4.0971038000000002</v>
      </c>
      <c r="P127">
        <v>-7.3782515999999996</v>
      </c>
      <c r="Q127">
        <v>-6.8361928000000001</v>
      </c>
      <c r="R127">
        <v>-5.2336339000000001</v>
      </c>
      <c r="S127">
        <f t="shared" si="24"/>
        <v>1.0201521949954022</v>
      </c>
      <c r="T127">
        <f t="shared" si="25"/>
        <v>-23.519971490207112</v>
      </c>
      <c r="U127" s="8"/>
      <c r="V127" s="8"/>
    </row>
    <row r="128" spans="1:49" x14ac:dyDescent="0.35">
      <c r="A128">
        <v>1.8</v>
      </c>
      <c r="B128" s="9">
        <v>15</v>
      </c>
      <c r="C128">
        <v>-1.1636191000000001E-2</v>
      </c>
      <c r="D128">
        <v>-1.8185423999999999E-2</v>
      </c>
      <c r="E128">
        <v>0.98826468000000001</v>
      </c>
      <c r="F128">
        <v>-2.0582719999999999E-2</v>
      </c>
      <c r="G128">
        <f t="shared" si="16"/>
        <v>10.905231336117801</v>
      </c>
      <c r="H128">
        <f t="shared" si="17"/>
        <v>-18.918105438746199</v>
      </c>
      <c r="I128">
        <f t="shared" si="18"/>
        <v>10.905183206129699</v>
      </c>
      <c r="J128">
        <f t="shared" si="19"/>
        <v>-18.919304203853301</v>
      </c>
      <c r="K128" s="7">
        <f t="shared" si="20"/>
        <v>4.8129988101663898E-5</v>
      </c>
      <c r="L128" s="7">
        <f t="shared" si="21"/>
        <v>1.19876510710171E-3</v>
      </c>
      <c r="M128" s="7">
        <f t="shared" si="22"/>
        <v>2.2868582999658601E-2</v>
      </c>
      <c r="N128" s="7">
        <f t="shared" si="23"/>
        <v>3.9674498841836901E-2</v>
      </c>
      <c r="O128">
        <v>4.4508058000000004</v>
      </c>
      <c r="P128">
        <v>-2.3460122999999999</v>
      </c>
      <c r="Q128">
        <v>3.1038249000000002</v>
      </c>
      <c r="R128">
        <v>-3.8568262</v>
      </c>
      <c r="S128">
        <f t="shared" si="24"/>
        <v>0.98397874983749667</v>
      </c>
      <c r="T128">
        <f t="shared" si="25"/>
        <v>-23.380591198504661</v>
      </c>
      <c r="U128" s="8"/>
      <c r="V128" s="8"/>
    </row>
    <row r="129" spans="1:49" x14ac:dyDescent="0.35">
      <c r="A129">
        <v>1.8</v>
      </c>
      <c r="B129" s="9">
        <v>15.1</v>
      </c>
      <c r="C129">
        <v>-1.3375846E-2</v>
      </c>
      <c r="D129">
        <v>-1.9369462E-2</v>
      </c>
      <c r="E129">
        <v>0.98662097000000004</v>
      </c>
      <c r="F129">
        <v>-2.1682745999999999E-2</v>
      </c>
      <c r="G129">
        <f t="shared" si="16"/>
        <v>10.6427247493456</v>
      </c>
      <c r="H129">
        <f t="shared" si="17"/>
        <v>-17.096621040006699</v>
      </c>
      <c r="I129">
        <f t="shared" si="18"/>
        <v>10.6427244951684</v>
      </c>
      <c r="J129">
        <f t="shared" si="19"/>
        <v>-17.097777684142098</v>
      </c>
      <c r="K129" s="7">
        <f t="shared" si="20"/>
        <v>2.5417720017628701E-7</v>
      </c>
      <c r="L129" s="7">
        <f t="shared" si="21"/>
        <v>1.15664413539918E-3</v>
      </c>
      <c r="M129" s="7">
        <f t="shared" si="22"/>
        <v>2.6239356184968698E-2</v>
      </c>
      <c r="N129" s="7">
        <f t="shared" si="23"/>
        <v>4.2154119354427103E-2</v>
      </c>
      <c r="O129">
        <v>4.6551954999999996</v>
      </c>
      <c r="P129">
        <v>-2.6780073</v>
      </c>
      <c r="Q129">
        <v>3.1680131</v>
      </c>
      <c r="R129">
        <v>-4.2511396000000001</v>
      </c>
      <c r="S129">
        <f t="shared" si="24"/>
        <v>0.98719246379276371</v>
      </c>
      <c r="T129">
        <f t="shared" si="25"/>
        <v>-23.395320865077494</v>
      </c>
      <c r="U129" s="8"/>
      <c r="V129" s="8"/>
    </row>
    <row r="130" spans="1:49" x14ac:dyDescent="0.35">
      <c r="A130">
        <v>1.8</v>
      </c>
      <c r="B130" s="9">
        <v>15.2</v>
      </c>
      <c r="C130">
        <v>-1.5415046E-2</v>
      </c>
      <c r="D130">
        <v>-2.0535072000000001E-2</v>
      </c>
      <c r="E130">
        <v>0.98457808000000002</v>
      </c>
      <c r="F130">
        <v>-2.2836332000000001E-2</v>
      </c>
      <c r="G130">
        <f t="shared" si="16"/>
        <v>10.388771168317501</v>
      </c>
      <c r="H130">
        <f t="shared" si="17"/>
        <v>-15.3142013554149</v>
      </c>
      <c r="I130">
        <f t="shared" si="18"/>
        <v>10.388769055267</v>
      </c>
      <c r="J130">
        <f t="shared" si="19"/>
        <v>-15.3153519918011</v>
      </c>
      <c r="K130" s="7">
        <f t="shared" si="20"/>
        <v>2.1130505007960201E-6</v>
      </c>
      <c r="L130" s="7">
        <f t="shared" si="21"/>
        <v>1.15063638619972E-3</v>
      </c>
      <c r="M130" s="7">
        <f t="shared" si="22"/>
        <v>3.0333365467157002E-2</v>
      </c>
      <c r="N130" s="7">
        <f t="shared" si="23"/>
        <v>4.4718114990718802E-2</v>
      </c>
      <c r="O130">
        <v>4.8537708000000004</v>
      </c>
      <c r="P130">
        <v>-3.0666644999999999</v>
      </c>
      <c r="Q130">
        <v>3.2046131</v>
      </c>
      <c r="R130">
        <v>-4.6960198999999996</v>
      </c>
      <c r="S130">
        <f t="shared" si="24"/>
        <v>0.99022366825054942</v>
      </c>
      <c r="T130">
        <f t="shared" si="25"/>
        <v>-23.404826698579043</v>
      </c>
      <c r="U130" s="8"/>
      <c r="V130" s="8"/>
    </row>
    <row r="131" spans="1:49" x14ac:dyDescent="0.35">
      <c r="A131">
        <v>1.8</v>
      </c>
      <c r="B131" s="9">
        <v>15.3</v>
      </c>
      <c r="C131">
        <v>-1.7789341E-2</v>
      </c>
      <c r="D131">
        <v>-2.1630104000000001E-2</v>
      </c>
      <c r="E131">
        <v>0.98219033</v>
      </c>
      <c r="F131">
        <v>-2.3980484999999999E-2</v>
      </c>
      <c r="G131">
        <f t="shared" ref="G131:G194" si="26">IMREAL(IMDIV(IMSUM(IMPRODUCT(COMPLEX(1 + C131,D131),COMPLEX(1 - C131, - D131)),IMPRODUCT(COMPLEX(E131,F131),COMPLEX(E131,F131))),IMSUB(IMPRODUCT(COMPLEX(1 - C131, - D131),COMPLEX(1 - C131, - D131)),IMPRODUCT(COMPLEX(E131,F131),COMPLEX(E131,F131)))))</f>
        <v>10.1341444009705</v>
      </c>
      <c r="H131">
        <f t="shared" ref="H131:H194" si="27">IMAGINARY(IMDIV(IMSUM(IMPRODUCT(COMPLEX(1 + C131,D131),COMPLEX(1 - C131, - D131)),IMPRODUCT(COMPLEX(E131,F131),COMPLEX(E131,F131))),IMSUB(IMPRODUCT(COMPLEX(1 - C131, - D131),COMPLEX(1 - C131, - D131)),IMPRODUCT(COMPLEX(E131,F131),COMPLEX(E131,F131)))))</f>
        <v>-13.624211951369499</v>
      </c>
      <c r="I131">
        <f t="shared" ref="I131:I194" si="28">IMREAL(IMDIV(IMPRODUCT(COMPLEX(2,0),COMPLEX(E131,F131)),IMSUB(IMPRODUCT(COMPLEX(1 - C131, - D131),COMPLEX(1 - C131, - D131)),IMPRODUCT(COMPLEX(E131,F131),COMPLEX(E131,F131)))))</f>
        <v>10.1341356174801</v>
      </c>
      <c r="J131">
        <f t="shared" ref="J131:J194" si="29">IMAGINARY(IMDIV(IMPRODUCT(COMPLEX(2,0),COMPLEX(E131,F131)),IMSUB(IMPRODUCT(COMPLEX(1 - C131, - D131),COMPLEX(1 - C131, - D131)),IMPRODUCT(COMPLEX(E131,F131),COMPLEX(E131,F131)))))</f>
        <v>-13.6253871641372</v>
      </c>
      <c r="K131" s="7">
        <f t="shared" ref="K131:K194" si="30">IMREAL(IMSUB(COMPLEX(G131,H131),COMPLEX(I131,J131)))</f>
        <v>8.7834904007877395E-6</v>
      </c>
      <c r="L131" s="7">
        <f t="shared" ref="L131:L194" si="31">IMAGINARY(IMSUB(COMPLEX(G131,H131),COMPLEX(I131,J131)))</f>
        <v>1.17521276770027E-3</v>
      </c>
      <c r="M131" s="7">
        <f t="shared" ref="M131:M194" si="32">IMREAL(IMDIV(IMSUB(IMPRODUCT(COMPLEX(1 - C131, - D131),COMPLEX(1 - C131, - D131)),IMPRODUCT(COMPLEX(E131,F131),COMPLEX(E131,F131))),IMPRODUCT(COMPLEX(2,0),COMPLEX(E131,F131))))</f>
        <v>3.5145030490016702E-2</v>
      </c>
      <c r="N131" s="7">
        <f t="shared" ref="N131:N194" si="33">IMAGINARY(IMDIV(IMSUB(IMPRODUCT(COMPLEX(1 - C131, - D131),COMPLEX(1 - C131, - D131)),IMPRODUCT(COMPLEX(E131,F131),COMPLEX(E131,F131))),IMPRODUCT(COMPLEX(2,0),COMPLEX(E131,F131))))</f>
        <v>4.7252638547278202E-2</v>
      </c>
      <c r="O131">
        <v>5.0361770999999997</v>
      </c>
      <c r="P131">
        <v>-3.5171046000000001</v>
      </c>
      <c r="Q131">
        <v>3.2028218000000002</v>
      </c>
      <c r="R131">
        <v>-5.1927414000000001</v>
      </c>
      <c r="S131">
        <f t="shared" ref="S131:S194" si="34">IMABS(COMPLEX(Q131,R131))/IMABS(COMPLEX(O131,P131))</f>
        <v>0.99321269617589758</v>
      </c>
      <c r="T131">
        <f t="shared" ref="T131:T194" si="35">IMARGUMENT(IMDIV(COMPLEX(Q131,R131),COMPLEX(O131/B131,P131/B131)))/PI()*180</f>
        <v>-23.404989487166546</v>
      </c>
      <c r="U131" s="8"/>
      <c r="V131" s="8"/>
    </row>
    <row r="132" spans="1:49" x14ac:dyDescent="0.35">
      <c r="A132">
        <v>1.8</v>
      </c>
      <c r="B132" s="9">
        <v>15.4</v>
      </c>
      <c r="C132">
        <v>-2.0553926E-2</v>
      </c>
      <c r="D132">
        <v>-2.2587385000000001E-2</v>
      </c>
      <c r="E132">
        <v>0.97940890999999997</v>
      </c>
      <c r="F132">
        <v>-2.4915122000000001E-2</v>
      </c>
      <c r="G132">
        <f t="shared" si="26"/>
        <v>9.9180494950692708</v>
      </c>
      <c r="H132">
        <f t="shared" si="27"/>
        <v>-12.027194626327301</v>
      </c>
      <c r="I132">
        <f t="shared" si="28"/>
        <v>9.9180322673875807</v>
      </c>
      <c r="J132">
        <f t="shared" si="29"/>
        <v>-12.0283585365059</v>
      </c>
      <c r="K132" s="7">
        <f t="shared" si="30"/>
        <v>1.72276816901018E-5</v>
      </c>
      <c r="L132" s="7">
        <f t="shared" si="31"/>
        <v>1.1639101785991799E-3</v>
      </c>
      <c r="M132" s="7">
        <f t="shared" si="32"/>
        <v>4.0806757175803197E-2</v>
      </c>
      <c r="N132" s="7">
        <f t="shared" si="33"/>
        <v>4.9489484687065002E-2</v>
      </c>
      <c r="O132">
        <v>5.1908867000000001</v>
      </c>
      <c r="P132">
        <v>-4.0389552999999996</v>
      </c>
      <c r="Q132">
        <v>3.1453448000000002</v>
      </c>
      <c r="R132">
        <v>-5.7452290000000001</v>
      </c>
      <c r="S132">
        <f t="shared" si="34"/>
        <v>0.99585795934844756</v>
      </c>
      <c r="T132">
        <f t="shared" si="35"/>
        <v>-23.414605902577303</v>
      </c>
      <c r="U132" s="8"/>
      <c r="V132" s="8"/>
    </row>
    <row r="133" spans="1:49" x14ac:dyDescent="0.35">
      <c r="A133">
        <v>1.8</v>
      </c>
      <c r="B133" s="9">
        <v>15.5</v>
      </c>
      <c r="C133">
        <v>-2.3745951000000001E-2</v>
      </c>
      <c r="D133">
        <v>-2.3316191999999999E-2</v>
      </c>
      <c r="E133">
        <v>0.97619255999999999</v>
      </c>
      <c r="F133">
        <v>-2.5618642E-2</v>
      </c>
      <c r="G133">
        <f t="shared" si="26"/>
        <v>9.7134969763111005</v>
      </c>
      <c r="H133">
        <f t="shared" si="27"/>
        <v>-10.5096119284234</v>
      </c>
      <c r="I133">
        <f t="shared" si="28"/>
        <v>9.7134675563053694</v>
      </c>
      <c r="J133">
        <f t="shared" si="29"/>
        <v>-10.510763222688499</v>
      </c>
      <c r="K133" s="7">
        <f t="shared" si="30"/>
        <v>2.9420005731139999E-5</v>
      </c>
      <c r="L133" s="7">
        <f t="shared" si="31"/>
        <v>1.15129426509952E-3</v>
      </c>
      <c r="M133" s="7">
        <f t="shared" si="32"/>
        <v>4.7422650903212099E-2</v>
      </c>
      <c r="N133" s="7">
        <f t="shared" si="33"/>
        <v>5.1315171656934597E-2</v>
      </c>
      <c r="O133">
        <v>5.2986640999999999</v>
      </c>
      <c r="P133">
        <v>-4.6378009000000002</v>
      </c>
      <c r="Q133">
        <v>3.0140931000000002</v>
      </c>
      <c r="R133">
        <v>-6.3536440000000001</v>
      </c>
      <c r="S133">
        <f t="shared" si="34"/>
        <v>0.99867322453696861</v>
      </c>
      <c r="T133">
        <f t="shared" si="35"/>
        <v>-23.425968416104148</v>
      </c>
      <c r="U133" s="8"/>
      <c r="V133" s="8"/>
    </row>
    <row r="134" spans="1:49" x14ac:dyDescent="0.35">
      <c r="A134">
        <v>1.8</v>
      </c>
      <c r="B134" s="9">
        <v>15.6</v>
      </c>
      <c r="C134">
        <v>-2.7388638999999999E-2</v>
      </c>
      <c r="D134">
        <v>-2.3691877E-2</v>
      </c>
      <c r="E134">
        <v>0.97252309000000003</v>
      </c>
      <c r="F134">
        <v>-2.5967534E-2</v>
      </c>
      <c r="G134">
        <f t="shared" si="26"/>
        <v>9.5187737890153308</v>
      </c>
      <c r="H134">
        <f t="shared" si="27"/>
        <v>-9.0675138423801709</v>
      </c>
      <c r="I134">
        <f t="shared" si="28"/>
        <v>9.5187309463907397</v>
      </c>
      <c r="J134">
        <f t="shared" si="29"/>
        <v>-9.0686517698507192</v>
      </c>
      <c r="K134" s="7">
        <f t="shared" si="30"/>
        <v>4.2842624591088499E-5</v>
      </c>
      <c r="L134" s="7">
        <f t="shared" si="31"/>
        <v>1.1379274705483099E-3</v>
      </c>
      <c r="M134" s="7">
        <f t="shared" si="32"/>
        <v>5.50703706876755E-2</v>
      </c>
      <c r="N134" s="7">
        <f t="shared" si="33"/>
        <v>5.2466449300417398E-2</v>
      </c>
      <c r="O134">
        <v>5.3366267000000001</v>
      </c>
      <c r="P134">
        <v>-5.3171593000000001</v>
      </c>
      <c r="Q134">
        <v>2.7853810000000001</v>
      </c>
      <c r="R134">
        <v>-7.0105221999999996</v>
      </c>
      <c r="S134">
        <f t="shared" si="34"/>
        <v>1.001355877966567</v>
      </c>
      <c r="T134">
        <f t="shared" si="35"/>
        <v>-23.436060862569487</v>
      </c>
      <c r="U134" s="8"/>
      <c r="V134" s="8"/>
    </row>
    <row r="135" spans="1:49" x14ac:dyDescent="0.35">
      <c r="A135">
        <v>1.8</v>
      </c>
      <c r="B135" s="9">
        <v>15.7</v>
      </c>
      <c r="C135">
        <v>-3.1471046000000003E-2</v>
      </c>
      <c r="D135">
        <v>-2.3556437E-2</v>
      </c>
      <c r="E135">
        <v>0.96841540000000004</v>
      </c>
      <c r="F135">
        <v>-2.5805383000000001E-2</v>
      </c>
      <c r="G135">
        <f t="shared" si="26"/>
        <v>9.3331077825419495</v>
      </c>
      <c r="H135">
        <f t="shared" si="27"/>
        <v>-7.6970628460562596</v>
      </c>
      <c r="I135">
        <f t="shared" si="28"/>
        <v>9.3330522669714906</v>
      </c>
      <c r="J135">
        <f t="shared" si="29"/>
        <v>-7.6981874453334198</v>
      </c>
      <c r="K135" s="7">
        <f t="shared" si="30"/>
        <v>5.5515570458908301E-5</v>
      </c>
      <c r="L135" s="7">
        <f t="shared" si="31"/>
        <v>1.1245992771602401E-3</v>
      </c>
      <c r="M135" s="7">
        <f t="shared" si="32"/>
        <v>6.3764314360554297E-2</v>
      </c>
      <c r="N135" s="7">
        <f t="shared" si="33"/>
        <v>5.2594760023774702E-2</v>
      </c>
      <c r="O135">
        <v>5.2761060999999998</v>
      </c>
      <c r="P135">
        <v>-6.0742181000000004</v>
      </c>
      <c r="Q135">
        <v>2.4331618000000002</v>
      </c>
      <c r="R135">
        <v>-7.7018692</v>
      </c>
      <c r="S135">
        <f t="shared" si="34"/>
        <v>1.0038979929013461</v>
      </c>
      <c r="T135">
        <f t="shared" si="35"/>
        <v>-23.445514655143949</v>
      </c>
      <c r="U135" s="8"/>
      <c r="V135" s="8"/>
    </row>
    <row r="136" spans="1:49" x14ac:dyDescent="0.35">
      <c r="A136">
        <v>1.8</v>
      </c>
      <c r="B136" s="9">
        <v>15.8</v>
      </c>
      <c r="C136">
        <v>-3.5927885E-2</v>
      </c>
      <c r="D136">
        <v>-2.2724797000000001E-2</v>
      </c>
      <c r="E136">
        <v>0.96393656000000005</v>
      </c>
      <c r="F136">
        <v>-2.4947708999999998E-2</v>
      </c>
      <c r="G136">
        <f t="shared" si="26"/>
        <v>9.1562749764168494</v>
      </c>
      <c r="H136">
        <f t="shared" si="27"/>
        <v>-6.3937874120532801</v>
      </c>
      <c r="I136">
        <f t="shared" si="28"/>
        <v>9.15620842990689</v>
      </c>
      <c r="J136">
        <f t="shared" si="29"/>
        <v>-6.3948990173586298</v>
      </c>
      <c r="K136" s="7">
        <f t="shared" si="30"/>
        <v>6.6546509959408695E-5</v>
      </c>
      <c r="L136" s="7">
        <f t="shared" si="31"/>
        <v>1.11160530534971E-3</v>
      </c>
      <c r="M136" s="7">
        <f t="shared" si="32"/>
        <v>7.3407707624662297E-2</v>
      </c>
      <c r="N136" s="7">
        <f t="shared" si="33"/>
        <v>5.1269570909088201E-2</v>
      </c>
      <c r="O136">
        <v>5.0828303000000004</v>
      </c>
      <c r="P136">
        <v>-6.8947915999999996</v>
      </c>
      <c r="Q136">
        <v>1.9307882999999999</v>
      </c>
      <c r="R136">
        <v>-8.4020294999999994</v>
      </c>
      <c r="S136">
        <f t="shared" si="34"/>
        <v>1.0064443113960868</v>
      </c>
      <c r="T136">
        <f t="shared" si="35"/>
        <v>-23.455692435741945</v>
      </c>
      <c r="U136" s="8"/>
      <c r="V136" s="8"/>
    </row>
    <row r="137" spans="1:49" x14ac:dyDescent="0.35">
      <c r="A137">
        <v>1.8</v>
      </c>
      <c r="B137" s="9">
        <v>15.9</v>
      </c>
      <c r="C137">
        <v>-4.0612276000000003E-2</v>
      </c>
      <c r="D137">
        <v>-2.1003040000000001E-2</v>
      </c>
      <c r="E137">
        <v>0.95930400999999998</v>
      </c>
      <c r="F137">
        <v>-2.3154348000000002E-2</v>
      </c>
      <c r="G137">
        <f t="shared" si="26"/>
        <v>8.9976409502415198</v>
      </c>
      <c r="H137">
        <f t="shared" si="27"/>
        <v>-5.1574877331124904</v>
      </c>
      <c r="I137">
        <f t="shared" si="28"/>
        <v>8.9976002486649094</v>
      </c>
      <c r="J137">
        <f t="shared" si="29"/>
        <v>-5.1585634759206602</v>
      </c>
      <c r="K137" s="7">
        <f t="shared" si="30"/>
        <v>4.0701576610402399E-5</v>
      </c>
      <c r="L137" s="7">
        <f t="shared" si="31"/>
        <v>1.0757428081697999E-3</v>
      </c>
      <c r="M137" s="7">
        <f t="shared" si="32"/>
        <v>8.3646017063914696E-2</v>
      </c>
      <c r="N137" s="7">
        <f t="shared" si="33"/>
        <v>4.7956485796996101E-2</v>
      </c>
      <c r="O137">
        <v>4.7227769000000004</v>
      </c>
      <c r="P137">
        <v>-7.7498225999999999</v>
      </c>
      <c r="Q137">
        <v>1.2563591000000001</v>
      </c>
      <c r="R137">
        <v>-9.0709301999999994</v>
      </c>
      <c r="S137">
        <f t="shared" si="34"/>
        <v>1.009039772041034</v>
      </c>
      <c r="T137">
        <f t="shared" si="35"/>
        <v>-23.472798358343773</v>
      </c>
      <c r="U137" s="8"/>
      <c r="V137" s="8"/>
    </row>
    <row r="138" spans="1:49" x14ac:dyDescent="0.35">
      <c r="A138">
        <v>1.8</v>
      </c>
      <c r="B138" s="9">
        <v>16</v>
      </c>
      <c r="C138">
        <v>-4.5272630000000001E-2</v>
      </c>
      <c r="D138">
        <v>-1.8244592E-2</v>
      </c>
      <c r="E138">
        <v>0.95464015000000002</v>
      </c>
      <c r="F138">
        <v>-2.0373941999999999E-2</v>
      </c>
      <c r="G138">
        <f t="shared" si="26"/>
        <v>8.83814859788591</v>
      </c>
      <c r="H138">
        <f t="shared" si="27"/>
        <v>-3.9784472153875901</v>
      </c>
      <c r="I138">
        <f t="shared" si="28"/>
        <v>8.8381061196638893</v>
      </c>
      <c r="J138">
        <f t="shared" si="29"/>
        <v>-3.97951198204757</v>
      </c>
      <c r="K138" s="7">
        <f t="shared" si="30"/>
        <v>4.2478222020747601E-5</v>
      </c>
      <c r="L138" s="7">
        <f t="shared" si="31"/>
        <v>1.0647666599798999E-3</v>
      </c>
      <c r="M138" s="7">
        <f t="shared" si="32"/>
        <v>9.4073810463033203E-2</v>
      </c>
      <c r="N138" s="7">
        <f t="shared" si="33"/>
        <v>4.23583798232047E-2</v>
      </c>
      <c r="O138">
        <v>4.1693194</v>
      </c>
      <c r="P138">
        <v>-8.5909946999999995</v>
      </c>
      <c r="Q138">
        <v>0.40545795000000001</v>
      </c>
      <c r="R138">
        <v>-9.6506561000000008</v>
      </c>
      <c r="S138">
        <f t="shared" si="34"/>
        <v>1.0115094967910114</v>
      </c>
      <c r="T138">
        <f t="shared" si="35"/>
        <v>-23.482109018258875</v>
      </c>
      <c r="U138" s="8"/>
      <c r="V138" s="8"/>
    </row>
    <row r="139" spans="1:49" x14ac:dyDescent="0.35">
      <c r="A139">
        <v>1.8</v>
      </c>
      <c r="B139" s="9">
        <v>16.100000000000001</v>
      </c>
      <c r="C139">
        <v>-4.9580749E-2</v>
      </c>
      <c r="D139">
        <v>-1.4380301E-2</v>
      </c>
      <c r="E139">
        <v>0.95033082999999996</v>
      </c>
      <c r="F139">
        <v>-1.6489564000000002E-2</v>
      </c>
      <c r="G139">
        <f t="shared" si="26"/>
        <v>8.6868559145463191</v>
      </c>
      <c r="H139">
        <f t="shared" si="27"/>
        <v>-2.8568687899362599</v>
      </c>
      <c r="I139">
        <f t="shared" si="28"/>
        <v>8.6868128144855596</v>
      </c>
      <c r="J139">
        <f t="shared" si="29"/>
        <v>-2.8579235135208001</v>
      </c>
      <c r="K139" s="7">
        <f t="shared" si="30"/>
        <v>4.3100060759471101E-5</v>
      </c>
      <c r="L139" s="7">
        <f t="shared" si="31"/>
        <v>1.05472358454017E-3</v>
      </c>
      <c r="M139" s="7">
        <f t="shared" si="32"/>
        <v>0.103873902609127</v>
      </c>
      <c r="N139" s="7">
        <f t="shared" si="33"/>
        <v>3.4174060734077798E-2</v>
      </c>
      <c r="O139">
        <v>3.4134866000000001</v>
      </c>
      <c r="P139">
        <v>-9.3565635999999994</v>
      </c>
      <c r="Q139">
        <v>-0.60734115</v>
      </c>
      <c r="R139">
        <v>-10.080377</v>
      </c>
      <c r="S139">
        <f t="shared" si="34"/>
        <v>1.0139439621406694</v>
      </c>
      <c r="T139">
        <f t="shared" si="35"/>
        <v>-23.491010156489001</v>
      </c>
      <c r="U139" s="8"/>
      <c r="V139" s="8"/>
    </row>
    <row r="140" spans="1:49" x14ac:dyDescent="0.35">
      <c r="A140">
        <v>1.8</v>
      </c>
      <c r="B140" s="9">
        <v>16.2</v>
      </c>
      <c r="C140">
        <v>-5.3157791000000003E-2</v>
      </c>
      <c r="D140">
        <v>-9.4905226000000006E-3</v>
      </c>
      <c r="E140">
        <v>0.94686576</v>
      </c>
      <c r="F140">
        <v>-1.1611595000000001E-2</v>
      </c>
      <c r="G140">
        <f t="shared" si="26"/>
        <v>8.5512886930180496</v>
      </c>
      <c r="H140">
        <f t="shared" si="27"/>
        <v>-1.7964200219143001</v>
      </c>
      <c r="I140">
        <f t="shared" si="28"/>
        <v>8.5513015930754008</v>
      </c>
      <c r="J140">
        <f t="shared" si="29"/>
        <v>-1.79748053194528</v>
      </c>
      <c r="K140" s="7">
        <f t="shared" si="30"/>
        <v>-1.29000573512172E-5</v>
      </c>
      <c r="L140" s="7">
        <f t="shared" si="31"/>
        <v>1.0605100309799601E-3</v>
      </c>
      <c r="M140" s="7">
        <f t="shared" si="32"/>
        <v>0.111992976697412</v>
      </c>
      <c r="N140" s="7">
        <f t="shared" si="33"/>
        <v>2.3540883587968801E-2</v>
      </c>
      <c r="O140">
        <v>2.4728390999999998</v>
      </c>
      <c r="P140">
        <v>-9.9770705</v>
      </c>
      <c r="Q140">
        <v>-1.7385695000000001</v>
      </c>
      <c r="R140">
        <v>-10.300326999999999</v>
      </c>
      <c r="S140">
        <f t="shared" si="34"/>
        <v>1.0162534597680448</v>
      </c>
      <c r="T140">
        <f t="shared" si="35"/>
        <v>-23.50089377240829</v>
      </c>
      <c r="U140" s="8"/>
      <c r="V140" s="8"/>
    </row>
    <row r="141" spans="1:49" x14ac:dyDescent="0.35">
      <c r="A141">
        <v>1.8</v>
      </c>
      <c r="B141" s="9">
        <v>16.3</v>
      </c>
      <c r="C141">
        <v>-5.5662595000000002E-2</v>
      </c>
      <c r="D141">
        <v>-3.8267562999999998E-3</v>
      </c>
      <c r="E141">
        <v>0.94437316999999998</v>
      </c>
      <c r="F141">
        <v>-5.9425403000000002E-3</v>
      </c>
      <c r="G141">
        <f t="shared" si="26"/>
        <v>8.4168584476118706</v>
      </c>
      <c r="H141">
        <f t="shared" si="27"/>
        <v>-0.78221865019385795</v>
      </c>
      <c r="I141">
        <f t="shared" si="28"/>
        <v>8.4168774488662805</v>
      </c>
      <c r="J141">
        <f t="shared" si="29"/>
        <v>-0.783276503175526</v>
      </c>
      <c r="K141" s="7">
        <f t="shared" si="30"/>
        <v>-1.9001254409900502E-5</v>
      </c>
      <c r="L141" s="7">
        <f t="shared" si="31"/>
        <v>1.05785298166805E-3</v>
      </c>
      <c r="M141" s="7">
        <f t="shared" si="32"/>
        <v>0.11778883034759501</v>
      </c>
      <c r="N141" s="7">
        <f t="shared" si="33"/>
        <v>1.09614549704804E-2</v>
      </c>
      <c r="O141">
        <v>1.3982597999999999</v>
      </c>
      <c r="P141">
        <v>-10.388512</v>
      </c>
      <c r="Q141">
        <v>-2.9157023999999998</v>
      </c>
      <c r="R141">
        <v>-10.274043000000001</v>
      </c>
      <c r="S141">
        <f t="shared" si="34"/>
        <v>1.0188481666336824</v>
      </c>
      <c r="T141">
        <f t="shared" si="35"/>
        <v>-23.509330284130161</v>
      </c>
      <c r="U141" s="8"/>
      <c r="V141" s="8"/>
    </row>
    <row r="142" spans="1:49" x14ac:dyDescent="0.35">
      <c r="A142">
        <v>1.8</v>
      </c>
      <c r="B142" s="9">
        <v>16.399999999999999</v>
      </c>
      <c r="C142">
        <v>-5.6884127E-2</v>
      </c>
      <c r="D142">
        <v>2.2221578000000001E-3</v>
      </c>
      <c r="E142">
        <v>0.94316392999999998</v>
      </c>
      <c r="F142">
        <v>1.0460288999999999E-4</v>
      </c>
      <c r="G142">
        <f t="shared" si="26"/>
        <v>8.2898204859081801</v>
      </c>
      <c r="H142">
        <f t="shared" si="27"/>
        <v>0.18037286082360601</v>
      </c>
      <c r="I142">
        <f t="shared" si="28"/>
        <v>8.2898456347584393</v>
      </c>
      <c r="J142">
        <f t="shared" si="29"/>
        <v>0.17931413543522501</v>
      </c>
      <c r="K142" s="7">
        <f t="shared" si="30"/>
        <v>-2.51488502591712E-5</v>
      </c>
      <c r="L142" s="7">
        <f t="shared" si="31"/>
        <v>1.058725388381E-3</v>
      </c>
      <c r="M142" s="7">
        <f t="shared" si="32"/>
        <v>0.120573094003717</v>
      </c>
      <c r="N142" s="7">
        <f t="shared" si="33"/>
        <v>-2.60806546473848E-3</v>
      </c>
      <c r="O142">
        <v>0.26428360000000001</v>
      </c>
      <c r="P142">
        <v>-10.563729</v>
      </c>
      <c r="Q142">
        <v>-4.0555263999999998</v>
      </c>
      <c r="R142">
        <v>-9.9954690999999993</v>
      </c>
      <c r="S142">
        <f t="shared" si="34"/>
        <v>1.0208044872908635</v>
      </c>
      <c r="T142">
        <f t="shared" si="35"/>
        <v>-23.517317139359267</v>
      </c>
      <c r="U142" s="8"/>
      <c r="V142" s="8"/>
      <c r="AT142">
        <v>16.399999999999999</v>
      </c>
      <c r="AU142">
        <v>0.120573094003717</v>
      </c>
      <c r="AW142">
        <v>0</v>
      </c>
    </row>
    <row r="143" spans="1:49" x14ac:dyDescent="0.35">
      <c r="A143">
        <v>1.8</v>
      </c>
      <c r="B143" s="9">
        <v>16.5</v>
      </c>
      <c r="C143">
        <v>-5.6800215000000001E-2</v>
      </c>
      <c r="D143">
        <v>8.2175300000000007E-3</v>
      </c>
      <c r="E143">
        <v>0.94318882999999998</v>
      </c>
      <c r="F143">
        <v>6.1880644000000002E-3</v>
      </c>
      <c r="G143">
        <f t="shared" si="26"/>
        <v>8.1626630213254394</v>
      </c>
      <c r="H143">
        <f t="shared" si="27"/>
        <v>1.0989076582755599</v>
      </c>
      <c r="I143">
        <f t="shared" si="28"/>
        <v>8.1626585734939692</v>
      </c>
      <c r="J143">
        <f t="shared" si="29"/>
        <v>1.0978929154039501</v>
      </c>
      <c r="K143" s="7">
        <f t="shared" si="30"/>
        <v>4.4478314702445198E-6</v>
      </c>
      <c r="L143" s="7">
        <f t="shared" si="31"/>
        <v>1.01474287160985E-3</v>
      </c>
      <c r="M143" s="7">
        <f t="shared" si="32"/>
        <v>0.120332204966369</v>
      </c>
      <c r="N143" s="7">
        <f t="shared" si="33"/>
        <v>-1.61849076667877E-2</v>
      </c>
      <c r="O143">
        <v>-0.84862243000000004</v>
      </c>
      <c r="P143">
        <v>-10.491472999999999</v>
      </c>
      <c r="Q143">
        <v>-5.0795921999999996</v>
      </c>
      <c r="R143">
        <v>-9.4953669999999999</v>
      </c>
      <c r="S143">
        <f t="shared" si="34"/>
        <v>1.0230797727659235</v>
      </c>
      <c r="T143">
        <f t="shared" si="35"/>
        <v>-23.520359376260647</v>
      </c>
      <c r="U143" s="8"/>
      <c r="V143" s="8"/>
    </row>
    <row r="144" spans="1:49" x14ac:dyDescent="0.35">
      <c r="A144">
        <v>1.8</v>
      </c>
      <c r="B144" s="9">
        <v>16.600000000000001</v>
      </c>
      <c r="C144">
        <v>-5.5565145000000003E-2</v>
      </c>
      <c r="D144">
        <v>1.3762391000000001E-2</v>
      </c>
      <c r="E144">
        <v>0.94442988000000005</v>
      </c>
      <c r="F144">
        <v>1.1749426E-2</v>
      </c>
      <c r="G144">
        <f t="shared" si="26"/>
        <v>8.0476180524429406</v>
      </c>
      <c r="H144">
        <f t="shared" si="27"/>
        <v>1.9626639375233099</v>
      </c>
      <c r="I144">
        <f t="shared" si="28"/>
        <v>8.0476165779503201</v>
      </c>
      <c r="J144">
        <f t="shared" si="29"/>
        <v>1.9616574510356199</v>
      </c>
      <c r="K144" s="7">
        <f t="shared" si="30"/>
        <v>1.47449262044574E-6</v>
      </c>
      <c r="L144" s="7">
        <f t="shared" si="31"/>
        <v>1.00648648768997E-3</v>
      </c>
      <c r="M144" s="7">
        <f t="shared" si="32"/>
        <v>0.117291279993733</v>
      </c>
      <c r="N144" s="7">
        <f t="shared" si="33"/>
        <v>-2.8590491496777101E-2</v>
      </c>
      <c r="O144">
        <v>-1.8672244</v>
      </c>
      <c r="P144">
        <v>-10.212119</v>
      </c>
      <c r="Q144">
        <v>-5.9338499000000002</v>
      </c>
      <c r="R144">
        <v>-8.8343278999999999</v>
      </c>
      <c r="S144">
        <f t="shared" si="34"/>
        <v>1.0251175333268969</v>
      </c>
      <c r="T144">
        <f t="shared" si="35"/>
        <v>-23.526777365894297</v>
      </c>
      <c r="U144" s="8"/>
      <c r="V144" s="8"/>
    </row>
    <row r="145" spans="1:22" x14ac:dyDescent="0.35">
      <c r="A145">
        <v>1.8</v>
      </c>
      <c r="B145" s="9">
        <v>16.7</v>
      </c>
      <c r="C145">
        <v>-5.3458660999999998E-2</v>
      </c>
      <c r="D145">
        <v>1.8589951E-2</v>
      </c>
      <c r="E145">
        <v>0.94658507000000003</v>
      </c>
      <c r="F145">
        <v>1.6540961999999999E-2</v>
      </c>
      <c r="G145">
        <f t="shared" si="26"/>
        <v>7.94439138147421</v>
      </c>
      <c r="H145">
        <f t="shared" si="27"/>
        <v>2.7763109851574099</v>
      </c>
      <c r="I145">
        <f t="shared" si="28"/>
        <v>7.9444142960151503</v>
      </c>
      <c r="J145">
        <f t="shared" si="29"/>
        <v>2.7752865365333101</v>
      </c>
      <c r="K145" s="7">
        <f t="shared" si="30"/>
        <v>-2.2914540940277599E-5</v>
      </c>
      <c r="L145" s="7">
        <f t="shared" si="31"/>
        <v>1.02444862409978E-3</v>
      </c>
      <c r="M145" s="7">
        <f t="shared" si="32"/>
        <v>0.11218399394381</v>
      </c>
      <c r="N145" s="7">
        <f t="shared" si="33"/>
        <v>-3.9190142458073798E-2</v>
      </c>
      <c r="O145">
        <v>-2.7445398999999999</v>
      </c>
      <c r="P145">
        <v>-9.7778068000000005</v>
      </c>
      <c r="Q145">
        <v>-6.5946204000000002</v>
      </c>
      <c r="R145">
        <v>-8.0816487000000006</v>
      </c>
      <c r="S145">
        <f t="shared" si="34"/>
        <v>1.0270916616416867</v>
      </c>
      <c r="T145">
        <f t="shared" si="35"/>
        <v>-23.535484578460739</v>
      </c>
      <c r="U145" s="8"/>
      <c r="V145" s="8"/>
    </row>
    <row r="146" spans="1:22" x14ac:dyDescent="0.35">
      <c r="A146">
        <v>1.8</v>
      </c>
      <c r="B146" s="9">
        <v>16.8</v>
      </c>
      <c r="C146">
        <v>-5.0800325E-2</v>
      </c>
      <c r="D146">
        <v>2.2581517999999998E-2</v>
      </c>
      <c r="E146">
        <v>0.94925110000000001</v>
      </c>
      <c r="F146">
        <v>2.0533109000000001E-2</v>
      </c>
      <c r="G146">
        <f t="shared" si="26"/>
        <v>7.8434469620970502</v>
      </c>
      <c r="H146">
        <f t="shared" si="27"/>
        <v>3.5428845607920199</v>
      </c>
      <c r="I146">
        <f t="shared" si="28"/>
        <v>7.8434737228487901</v>
      </c>
      <c r="J146">
        <f t="shared" si="29"/>
        <v>3.5418604100339799</v>
      </c>
      <c r="K146" s="7">
        <f t="shared" si="30"/>
        <v>-2.67607517399071E-5</v>
      </c>
      <c r="L146" s="7">
        <f t="shared" si="31"/>
        <v>1.0241507580399699E-3</v>
      </c>
      <c r="M146" s="7">
        <f t="shared" si="32"/>
        <v>0.10590007502370199</v>
      </c>
      <c r="N146" s="7">
        <f t="shared" si="33"/>
        <v>-4.7821067093451998E-2</v>
      </c>
      <c r="O146">
        <v>-3.4619943000000002</v>
      </c>
      <c r="P146">
        <v>-9.2460514000000007</v>
      </c>
      <c r="Q146">
        <v>-7.0652746999999998</v>
      </c>
      <c r="R146">
        <v>-7.2992008000000004</v>
      </c>
      <c r="S146">
        <f t="shared" si="34"/>
        <v>1.0289304524003196</v>
      </c>
      <c r="T146">
        <f t="shared" si="35"/>
        <v>-23.539636262543603</v>
      </c>
      <c r="U146" s="8"/>
      <c r="V146" s="8"/>
    </row>
    <row r="147" spans="1:22" x14ac:dyDescent="0.35">
      <c r="A147">
        <v>1.8</v>
      </c>
      <c r="B147" s="9">
        <v>16.899999999999999</v>
      </c>
      <c r="C147">
        <v>-4.7884391999999998E-2</v>
      </c>
      <c r="D147">
        <v>2.5721034E-2</v>
      </c>
      <c r="E147">
        <v>0.95213974000000001</v>
      </c>
      <c r="F147">
        <v>2.3688214999999999E-2</v>
      </c>
      <c r="G147">
        <f t="shared" si="26"/>
        <v>7.7479324915959102</v>
      </c>
      <c r="H147">
        <f t="shared" si="27"/>
        <v>4.2568762010690699</v>
      </c>
      <c r="I147">
        <f t="shared" si="28"/>
        <v>7.7479455905001302</v>
      </c>
      <c r="J147">
        <f t="shared" si="29"/>
        <v>4.25585981714661</v>
      </c>
      <c r="K147" s="7">
        <f t="shared" si="30"/>
        <v>-1.30989042199658E-5</v>
      </c>
      <c r="L147" s="7">
        <f t="shared" si="31"/>
        <v>1.01638392245995E-3</v>
      </c>
      <c r="M147" s="7">
        <f t="shared" si="32"/>
        <v>9.9150854560865503E-2</v>
      </c>
      <c r="N147" s="7">
        <f t="shared" si="33"/>
        <v>-5.44624549607991E-2</v>
      </c>
      <c r="O147">
        <v>-4.0188452999999997</v>
      </c>
      <c r="P147">
        <v>-8.6777944999999992</v>
      </c>
      <c r="Q147">
        <v>-7.3712492999999997</v>
      </c>
      <c r="R147">
        <v>-6.5451341999999997</v>
      </c>
      <c r="S147">
        <f t="shared" si="34"/>
        <v>1.0307918450775797</v>
      </c>
      <c r="T147">
        <f t="shared" si="35"/>
        <v>-23.547532295555971</v>
      </c>
      <c r="U147" s="8"/>
      <c r="V147" s="8"/>
    </row>
    <row r="148" spans="1:22" x14ac:dyDescent="0.35">
      <c r="A148">
        <v>1.8</v>
      </c>
      <c r="B148" s="9">
        <v>17</v>
      </c>
      <c r="C148">
        <v>-4.6522345999999999E-2</v>
      </c>
      <c r="D148">
        <v>2.7559030000000002E-2</v>
      </c>
      <c r="E148">
        <v>0.95344207000000003</v>
      </c>
      <c r="F148">
        <v>2.5584875999999999E-2</v>
      </c>
      <c r="G148">
        <f t="shared" si="26"/>
        <v>7.60225023258434</v>
      </c>
      <c r="H148">
        <f t="shared" si="27"/>
        <v>4.6264443624240696</v>
      </c>
      <c r="I148">
        <f t="shared" si="28"/>
        <v>7.60223341463983</v>
      </c>
      <c r="J148">
        <f t="shared" si="29"/>
        <v>4.6254572512607801</v>
      </c>
      <c r="K148" s="7">
        <f t="shared" si="30"/>
        <v>1.6817944509917E-5</v>
      </c>
      <c r="L148" s="7">
        <f t="shared" si="31"/>
        <v>9.8711116328953396E-4</v>
      </c>
      <c r="M148" s="7">
        <f t="shared" si="32"/>
        <v>9.6001362287776504E-2</v>
      </c>
      <c r="N148" s="7">
        <f t="shared" si="33"/>
        <v>-5.84104924310518E-2</v>
      </c>
      <c r="O148">
        <v>-4.3905054000000003</v>
      </c>
      <c r="P148">
        <v>-8.5572963000000009</v>
      </c>
      <c r="Q148">
        <v>-7.5225967999999996</v>
      </c>
      <c r="R148">
        <v>-6.1721805999999999</v>
      </c>
      <c r="S148">
        <f t="shared" si="34"/>
        <v>1.01172225315038</v>
      </c>
      <c r="T148">
        <f t="shared" si="35"/>
        <v>-23.470553240111911</v>
      </c>
      <c r="U148" s="8"/>
      <c r="V148" s="8"/>
    </row>
    <row r="149" spans="1:22" x14ac:dyDescent="0.35">
      <c r="A149">
        <v>2</v>
      </c>
      <c r="B149" s="9">
        <v>15</v>
      </c>
      <c r="C149">
        <v>-1.4005749E-2</v>
      </c>
      <c r="D149">
        <v>-2.2872935E-2</v>
      </c>
      <c r="E149">
        <v>0.98587933000000005</v>
      </c>
      <c r="F149">
        <v>-2.5540127999999999E-2</v>
      </c>
      <c r="G149">
        <f t="shared" si="26"/>
        <v>8.47200096143062</v>
      </c>
      <c r="H149">
        <f t="shared" si="27"/>
        <v>-15.442489961893999</v>
      </c>
      <c r="I149">
        <f t="shared" si="28"/>
        <v>8.4719452764118195</v>
      </c>
      <c r="J149">
        <f t="shared" si="29"/>
        <v>-15.4438237092932</v>
      </c>
      <c r="K149" s="7">
        <f t="shared" si="30"/>
        <v>5.5685018800488699E-5</v>
      </c>
      <c r="L149" s="7">
        <f t="shared" si="31"/>
        <v>1.3337473992010001E-3</v>
      </c>
      <c r="M149" s="7">
        <f t="shared" si="32"/>
        <v>2.7303705711868801E-2</v>
      </c>
      <c r="N149" s="7">
        <f t="shared" si="33"/>
        <v>4.9772939256179601E-2</v>
      </c>
      <c r="O149">
        <v>4.9273632999999997</v>
      </c>
      <c r="P149">
        <v>-2.5921778999999998</v>
      </c>
      <c r="Q149">
        <v>3.3851703</v>
      </c>
      <c r="R149">
        <v>-4.1972667000000001</v>
      </c>
      <c r="S149">
        <f t="shared" si="34"/>
        <v>0.96850441184881475</v>
      </c>
      <c r="T149">
        <f t="shared" si="35"/>
        <v>-23.365330971917928</v>
      </c>
      <c r="U149" s="8"/>
      <c r="V149" s="8"/>
    </row>
    <row r="150" spans="1:22" x14ac:dyDescent="0.35">
      <c r="A150">
        <v>2</v>
      </c>
      <c r="B150" s="9">
        <v>15.1</v>
      </c>
      <c r="C150">
        <v>-1.6058705E-2</v>
      </c>
      <c r="D150">
        <v>-2.4317564E-2</v>
      </c>
      <c r="E150">
        <v>0.98383388999999999</v>
      </c>
      <c r="F150">
        <v>-2.6896367000000001E-2</v>
      </c>
      <c r="G150">
        <f t="shared" si="26"/>
        <v>8.3014810251972495</v>
      </c>
      <c r="H150">
        <f t="shared" si="27"/>
        <v>-13.9872434243845</v>
      </c>
      <c r="I150">
        <f t="shared" si="28"/>
        <v>8.30142898263448</v>
      </c>
      <c r="J150">
        <f t="shared" si="29"/>
        <v>-13.988532962239701</v>
      </c>
      <c r="K150" s="7">
        <f t="shared" si="30"/>
        <v>5.2042562769472097E-5</v>
      </c>
      <c r="L150" s="7">
        <f t="shared" si="31"/>
        <v>1.2895378552002499E-3</v>
      </c>
      <c r="M150" s="7">
        <f t="shared" si="32"/>
        <v>3.1374359717093701E-2</v>
      </c>
      <c r="N150" s="7">
        <f t="shared" si="33"/>
        <v>5.2868158721807203E-2</v>
      </c>
      <c r="O150">
        <v>5.1499329999999999</v>
      </c>
      <c r="P150">
        <v>-2.9506717</v>
      </c>
      <c r="Q150">
        <v>3.4575358999999999</v>
      </c>
      <c r="R150">
        <v>-4.6190880999999999</v>
      </c>
      <c r="S150">
        <f t="shared" si="34"/>
        <v>0.97210834567248483</v>
      </c>
      <c r="T150">
        <f t="shared" si="35"/>
        <v>-23.373266295361415</v>
      </c>
      <c r="U150" s="8"/>
      <c r="V150" s="8"/>
    </row>
    <row r="151" spans="1:22" x14ac:dyDescent="0.35">
      <c r="A151">
        <v>2</v>
      </c>
      <c r="B151" s="9">
        <v>15.2</v>
      </c>
      <c r="C151">
        <v>-1.8476474999999999E-2</v>
      </c>
      <c r="D151">
        <v>-2.5716109000000001E-2</v>
      </c>
      <c r="E151">
        <v>0.98140565000000002</v>
      </c>
      <c r="F151">
        <v>-2.8282614000000001E-2</v>
      </c>
      <c r="G151">
        <f t="shared" si="26"/>
        <v>8.1410287542438908</v>
      </c>
      <c r="H151">
        <f t="shared" si="27"/>
        <v>-12.586155901741501</v>
      </c>
      <c r="I151">
        <f t="shared" si="28"/>
        <v>8.1409714602955408</v>
      </c>
      <c r="J151">
        <f t="shared" si="29"/>
        <v>-12.587439303404601</v>
      </c>
      <c r="K151" s="7">
        <f t="shared" si="30"/>
        <v>5.7293948350078902E-5</v>
      </c>
      <c r="L151" s="7">
        <f t="shared" si="31"/>
        <v>1.2834016631000399E-3</v>
      </c>
      <c r="M151" s="7">
        <f t="shared" si="32"/>
        <v>3.6227332121177097E-2</v>
      </c>
      <c r="N151" s="7">
        <f t="shared" si="33"/>
        <v>5.6014119005773001E-2</v>
      </c>
      <c r="O151">
        <v>5.3656692000000001</v>
      </c>
      <c r="P151">
        <v>-3.3715316999999998</v>
      </c>
      <c r="Q151">
        <v>3.4991542</v>
      </c>
      <c r="R151">
        <v>-5.0968268999999999</v>
      </c>
      <c r="S151">
        <f t="shared" si="34"/>
        <v>0.97559842752949788</v>
      </c>
      <c r="T151">
        <f t="shared" si="35"/>
        <v>-23.385703597362443</v>
      </c>
      <c r="U151" s="8"/>
      <c r="V151" s="8"/>
    </row>
    <row r="152" spans="1:22" x14ac:dyDescent="0.35">
      <c r="A152">
        <v>2</v>
      </c>
      <c r="B152" s="9">
        <v>15.3</v>
      </c>
      <c r="C152">
        <v>-2.1285223999999998E-2</v>
      </c>
      <c r="D152">
        <v>-2.7027257999999998E-2</v>
      </c>
      <c r="E152">
        <v>0.97858274999999995</v>
      </c>
      <c r="F152">
        <v>-2.9581702000000001E-2</v>
      </c>
      <c r="G152">
        <f t="shared" si="26"/>
        <v>7.9928388000851998</v>
      </c>
      <c r="H152">
        <f t="shared" si="27"/>
        <v>-11.2579349779519</v>
      </c>
      <c r="I152">
        <f t="shared" si="28"/>
        <v>7.9927744143436499</v>
      </c>
      <c r="J152">
        <f t="shared" si="29"/>
        <v>-11.259212366511001</v>
      </c>
      <c r="K152" s="7">
        <f t="shared" si="30"/>
        <v>6.4385741549877196E-5</v>
      </c>
      <c r="L152" s="7">
        <f t="shared" si="31"/>
        <v>1.2773885591013099E-3</v>
      </c>
      <c r="M152" s="7">
        <f t="shared" si="32"/>
        <v>4.1922863343685501E-2</v>
      </c>
      <c r="N152" s="7">
        <f t="shared" si="33"/>
        <v>5.9055641624478003E-2</v>
      </c>
      <c r="O152">
        <v>5.5687429000000002</v>
      </c>
      <c r="P152">
        <v>-3.8609553999999999</v>
      </c>
      <c r="Q152">
        <v>3.4994353</v>
      </c>
      <c r="R152">
        <v>-5.6290700999999999</v>
      </c>
      <c r="S152">
        <f t="shared" si="34"/>
        <v>0.97814212272323553</v>
      </c>
      <c r="T152">
        <f t="shared" si="35"/>
        <v>-23.397356306317661</v>
      </c>
      <c r="U152" s="8"/>
      <c r="V152" s="8"/>
    </row>
    <row r="153" spans="1:22" x14ac:dyDescent="0.35">
      <c r="A153">
        <v>2</v>
      </c>
      <c r="B153" s="9">
        <v>15.4</v>
      </c>
      <c r="C153">
        <v>-2.4541811E-2</v>
      </c>
      <c r="D153">
        <v>-2.8183059E-2</v>
      </c>
      <c r="E153">
        <v>0.97531171000000005</v>
      </c>
      <c r="F153">
        <v>-3.0726105E-2</v>
      </c>
      <c r="G153">
        <f t="shared" si="26"/>
        <v>7.8527672960400103</v>
      </c>
      <c r="H153">
        <f t="shared" si="27"/>
        <v>-9.99431477083027</v>
      </c>
      <c r="I153">
        <f t="shared" si="28"/>
        <v>7.8526956682989999</v>
      </c>
      <c r="J153">
        <f t="shared" si="29"/>
        <v>-9.9955864780457997</v>
      </c>
      <c r="K153" s="7">
        <f t="shared" si="30"/>
        <v>7.1627741010438201E-5</v>
      </c>
      <c r="L153" s="7">
        <f t="shared" si="31"/>
        <v>1.2717072155297199E-3</v>
      </c>
      <c r="M153" s="7">
        <f t="shared" si="32"/>
        <v>4.8600457757972802E-2</v>
      </c>
      <c r="N153" s="7">
        <f t="shared" si="33"/>
        <v>6.1862842890186398E-2</v>
      </c>
      <c r="O153">
        <v>5.7393175999999997</v>
      </c>
      <c r="P153">
        <v>-4.4234429999999998</v>
      </c>
      <c r="Q153">
        <v>3.4431615</v>
      </c>
      <c r="R153">
        <v>-6.2196904999999996</v>
      </c>
      <c r="S153">
        <f t="shared" si="34"/>
        <v>0.9810931153050092</v>
      </c>
      <c r="T153">
        <f t="shared" si="35"/>
        <v>-23.409116984512561</v>
      </c>
      <c r="U153" s="8"/>
      <c r="V153" s="8"/>
    </row>
    <row r="154" spans="1:22" x14ac:dyDescent="0.35">
      <c r="A154">
        <v>2</v>
      </c>
      <c r="B154" s="9">
        <v>15.5</v>
      </c>
      <c r="C154">
        <v>-2.8294349999999999E-2</v>
      </c>
      <c r="D154">
        <v>-2.90808E-2</v>
      </c>
      <c r="E154">
        <v>0.97154501999999998</v>
      </c>
      <c r="F154">
        <v>-3.1612678999999998E-2</v>
      </c>
      <c r="G154">
        <f t="shared" si="26"/>
        <v>7.7195947802802403</v>
      </c>
      <c r="H154">
        <f t="shared" si="27"/>
        <v>-8.7901916730022798</v>
      </c>
      <c r="I154">
        <f t="shared" si="28"/>
        <v>7.7195160618156802</v>
      </c>
      <c r="J154">
        <f t="shared" si="29"/>
        <v>-8.7914578138452004</v>
      </c>
      <c r="K154" s="7">
        <f t="shared" si="30"/>
        <v>7.8718464560090199E-5</v>
      </c>
      <c r="L154" s="7">
        <f t="shared" si="31"/>
        <v>1.26614084292065E-3</v>
      </c>
      <c r="M154" s="7">
        <f t="shared" si="32"/>
        <v>5.6395959326408902E-2</v>
      </c>
      <c r="N154" s="7">
        <f t="shared" si="33"/>
        <v>6.4227173480721794E-2</v>
      </c>
      <c r="O154">
        <v>5.8630089999999999</v>
      </c>
      <c r="P154">
        <v>-5.0688250000000004</v>
      </c>
      <c r="Q154">
        <v>3.3108314000000001</v>
      </c>
      <c r="R154">
        <v>-6.8685198999999999</v>
      </c>
      <c r="S154">
        <f t="shared" si="34"/>
        <v>0.98380628870564257</v>
      </c>
      <c r="T154">
        <f t="shared" si="35"/>
        <v>-23.419713448538062</v>
      </c>
      <c r="U154" s="8"/>
      <c r="V154" s="8"/>
    </row>
    <row r="155" spans="1:22" x14ac:dyDescent="0.35">
      <c r="A155">
        <v>2</v>
      </c>
      <c r="B155" s="9">
        <v>15.6</v>
      </c>
      <c r="C155">
        <v>-3.2571296999999999E-2</v>
      </c>
      <c r="D155">
        <v>-2.9581007999999999E-2</v>
      </c>
      <c r="E155">
        <v>0.96725463</v>
      </c>
      <c r="F155">
        <v>-3.2101507000000001E-2</v>
      </c>
      <c r="G155">
        <f t="shared" si="26"/>
        <v>7.5928032128176302</v>
      </c>
      <c r="H155">
        <f t="shared" si="27"/>
        <v>-7.6418574031822599</v>
      </c>
      <c r="I155">
        <f t="shared" si="28"/>
        <v>7.5927177573826699</v>
      </c>
      <c r="J155">
        <f t="shared" si="29"/>
        <v>-7.6431178700840503</v>
      </c>
      <c r="K155" s="7">
        <f t="shared" si="30"/>
        <v>8.5455434960302098E-5</v>
      </c>
      <c r="L155" s="7">
        <f t="shared" si="31"/>
        <v>1.26046690179038E-3</v>
      </c>
      <c r="M155" s="7">
        <f t="shared" si="32"/>
        <v>6.5416897366774293E-2</v>
      </c>
      <c r="N155" s="7">
        <f t="shared" si="33"/>
        <v>6.5851131735179994E-2</v>
      </c>
      <c r="O155">
        <v>5.9149422999999999</v>
      </c>
      <c r="P155">
        <v>-5.8002767999999998</v>
      </c>
      <c r="Q155">
        <v>3.0785529</v>
      </c>
      <c r="R155">
        <v>-7.5700716999999997</v>
      </c>
      <c r="S155">
        <f t="shared" si="34"/>
        <v>0.98645728104340569</v>
      </c>
      <c r="T155">
        <f t="shared" si="35"/>
        <v>-23.430470779774737</v>
      </c>
      <c r="U155" s="8"/>
      <c r="V155" s="8"/>
    </row>
    <row r="156" spans="1:22" x14ac:dyDescent="0.35">
      <c r="A156">
        <v>2</v>
      </c>
      <c r="B156" s="9">
        <v>15.7</v>
      </c>
      <c r="C156">
        <v>-3.7363527000000001E-2</v>
      </c>
      <c r="D156">
        <v>-2.9504338000000001E-2</v>
      </c>
      <c r="E156">
        <v>0.96246597</v>
      </c>
      <c r="F156">
        <v>-3.1893972E-2</v>
      </c>
      <c r="G156">
        <f t="shared" si="26"/>
        <v>7.48536984954952</v>
      </c>
      <c r="H156">
        <f t="shared" si="27"/>
        <v>-6.54548569519718</v>
      </c>
      <c r="I156">
        <f t="shared" si="28"/>
        <v>7.4852860187318901</v>
      </c>
      <c r="J156">
        <f t="shared" si="29"/>
        <v>-6.5466807142368397</v>
      </c>
      <c r="K156" s="7">
        <f t="shared" si="30"/>
        <v>8.3830817629859693E-5</v>
      </c>
      <c r="L156" s="7">
        <f t="shared" si="31"/>
        <v>1.1950190396596799E-3</v>
      </c>
      <c r="M156" s="7">
        <f t="shared" si="32"/>
        <v>7.5694174323591198E-2</v>
      </c>
      <c r="N156" s="7">
        <f t="shared" si="33"/>
        <v>6.6202626056537595E-2</v>
      </c>
      <c r="O156">
        <v>5.8629102</v>
      </c>
      <c r="P156">
        <v>-6.6129661000000004</v>
      </c>
      <c r="Q156">
        <v>2.7183180999999998</v>
      </c>
      <c r="R156">
        <v>-8.3092948999999994</v>
      </c>
      <c r="S156">
        <f t="shared" si="34"/>
        <v>0.98924243286984292</v>
      </c>
      <c r="T156">
        <f t="shared" si="35"/>
        <v>-23.444403708042731</v>
      </c>
      <c r="U156" s="8"/>
      <c r="V156" s="8"/>
    </row>
    <row r="157" spans="1:22" x14ac:dyDescent="0.35">
      <c r="A157">
        <v>2</v>
      </c>
      <c r="B157" s="9">
        <v>15.8</v>
      </c>
      <c r="C157">
        <v>-4.2607022000000001E-2</v>
      </c>
      <c r="D157">
        <v>-2.8648040999999999E-2</v>
      </c>
      <c r="E157">
        <v>0.95722207000000004</v>
      </c>
      <c r="F157">
        <v>-3.1015353999999998E-2</v>
      </c>
      <c r="G157">
        <f t="shared" si="26"/>
        <v>7.3693974905559401</v>
      </c>
      <c r="H157">
        <f t="shared" si="27"/>
        <v>-5.4981810079124402</v>
      </c>
      <c r="I157">
        <f t="shared" si="28"/>
        <v>7.3693134306529098</v>
      </c>
      <c r="J157">
        <f t="shared" si="29"/>
        <v>-5.4993648650758198</v>
      </c>
      <c r="K157" s="7">
        <f t="shared" si="30"/>
        <v>8.4059903030286903E-5</v>
      </c>
      <c r="L157" s="7">
        <f t="shared" si="31"/>
        <v>1.1838571633795399E-3</v>
      </c>
      <c r="M157" s="7">
        <f t="shared" si="32"/>
        <v>8.71594483058373E-2</v>
      </c>
      <c r="N157" s="7">
        <f t="shared" si="33"/>
        <v>6.5042912366674505E-2</v>
      </c>
      <c r="O157">
        <v>5.6769771999999996</v>
      </c>
      <c r="P157">
        <v>-7.4984947999999996</v>
      </c>
      <c r="Q157">
        <v>2.2048185</v>
      </c>
      <c r="R157">
        <v>-9.0619306999999996</v>
      </c>
      <c r="S157">
        <f t="shared" si="34"/>
        <v>0.99162353754161459</v>
      </c>
      <c r="T157">
        <f t="shared" si="35"/>
        <v>-23.454036249183954</v>
      </c>
      <c r="U157" s="8"/>
      <c r="V157" s="8"/>
    </row>
    <row r="158" spans="1:22" x14ac:dyDescent="0.35">
      <c r="A158">
        <v>2</v>
      </c>
      <c r="B158" s="9">
        <v>15.9</v>
      </c>
      <c r="C158">
        <v>-4.8145681000000003E-2</v>
      </c>
      <c r="D158">
        <v>-2.6790669E-2</v>
      </c>
      <c r="E158">
        <v>0.95182197000000002</v>
      </c>
      <c r="F158">
        <v>-2.9103206E-2</v>
      </c>
      <c r="G158">
        <f t="shared" si="26"/>
        <v>7.2665563467212797</v>
      </c>
      <c r="H158">
        <f t="shared" si="27"/>
        <v>-4.5061264841757902</v>
      </c>
      <c r="I158">
        <f t="shared" si="28"/>
        <v>7.2665415089795804</v>
      </c>
      <c r="J158">
        <f t="shared" si="29"/>
        <v>-4.5072827885348401</v>
      </c>
      <c r="K158" s="7">
        <f t="shared" si="30"/>
        <v>1.4837741699302901E-5</v>
      </c>
      <c r="L158" s="7">
        <f t="shared" si="31"/>
        <v>1.1563043590499E-3</v>
      </c>
      <c r="M158" s="7">
        <f t="shared" si="32"/>
        <v>9.9380717247735104E-2</v>
      </c>
      <c r="N158" s="7">
        <f t="shared" si="33"/>
        <v>6.1643767645093397E-2</v>
      </c>
      <c r="O158">
        <v>5.3156268000000004</v>
      </c>
      <c r="P158">
        <v>-8.4209710999999992</v>
      </c>
      <c r="Q158">
        <v>1.5147695999999999</v>
      </c>
      <c r="R158">
        <v>-9.7859829999999999</v>
      </c>
      <c r="S158">
        <f t="shared" si="34"/>
        <v>0.99439455721674175</v>
      </c>
      <c r="T158">
        <f t="shared" si="35"/>
        <v>-23.462660942328224</v>
      </c>
      <c r="U158" s="8"/>
      <c r="V158" s="8"/>
    </row>
    <row r="159" spans="1:22" x14ac:dyDescent="0.35">
      <c r="A159">
        <v>2</v>
      </c>
      <c r="B159" s="9">
        <v>16</v>
      </c>
      <c r="C159">
        <v>-5.3708707000000001E-2</v>
      </c>
      <c r="D159">
        <v>-2.3752632999999999E-2</v>
      </c>
      <c r="E159">
        <v>0.94627843</v>
      </c>
      <c r="F159">
        <v>-2.6050951999999999E-2</v>
      </c>
      <c r="G159">
        <f t="shared" si="26"/>
        <v>7.1617391504689598</v>
      </c>
      <c r="H159">
        <f t="shared" si="27"/>
        <v>-3.5513286611203698</v>
      </c>
      <c r="I159">
        <f t="shared" si="28"/>
        <v>7.1617340395188798</v>
      </c>
      <c r="J159">
        <f t="shared" si="29"/>
        <v>-3.5524778338845699</v>
      </c>
      <c r="K159" s="7">
        <f t="shared" si="30"/>
        <v>5.11095008004503E-6</v>
      </c>
      <c r="L159" s="7">
        <f t="shared" si="31"/>
        <v>1.14917276420012E-3</v>
      </c>
      <c r="M159" s="7">
        <f t="shared" si="32"/>
        <v>0.112058743363091</v>
      </c>
      <c r="N159" s="7">
        <f t="shared" si="33"/>
        <v>5.5585169694054103E-2</v>
      </c>
      <c r="O159">
        <v>4.7547579000000004</v>
      </c>
      <c r="P159">
        <v>-9.3402223000000006</v>
      </c>
      <c r="Q159">
        <v>0.63924270000000005</v>
      </c>
      <c r="R159">
        <v>-10.429029</v>
      </c>
      <c r="S159">
        <f t="shared" si="34"/>
        <v>0.99692648437835674</v>
      </c>
      <c r="T159">
        <f t="shared" si="35"/>
        <v>-23.47141169186596</v>
      </c>
      <c r="U159" s="8"/>
      <c r="V159" s="8"/>
    </row>
    <row r="160" spans="1:22" x14ac:dyDescent="0.35">
      <c r="A160">
        <v>2</v>
      </c>
      <c r="B160" s="9">
        <v>16.100000000000001</v>
      </c>
      <c r="C160">
        <v>-5.8942926E-2</v>
      </c>
      <c r="D160">
        <v>-1.9433249999999999E-2</v>
      </c>
      <c r="E160">
        <v>0.94106698</v>
      </c>
      <c r="F160">
        <v>-2.1719809999999999E-2</v>
      </c>
      <c r="G160">
        <f t="shared" si="26"/>
        <v>7.06181231817708</v>
      </c>
      <c r="H160">
        <f t="shared" si="27"/>
        <v>-2.6394228301543401</v>
      </c>
      <c r="I160">
        <f t="shared" si="28"/>
        <v>7.0618185782205503</v>
      </c>
      <c r="J160">
        <f t="shared" si="29"/>
        <v>-2.6405660973347498</v>
      </c>
      <c r="K160" s="7">
        <f t="shared" si="30"/>
        <v>-6.2600434702631E-6</v>
      </c>
      <c r="L160" s="7">
        <f t="shared" si="31"/>
        <v>1.1432671804096899E-3</v>
      </c>
      <c r="M160" s="7">
        <f t="shared" si="32"/>
        <v>0.12423620934148299</v>
      </c>
      <c r="N160" s="7">
        <f t="shared" si="33"/>
        <v>4.6454595061427503E-2</v>
      </c>
      <c r="O160">
        <v>3.9808159999999999</v>
      </c>
      <c r="P160">
        <v>-10.197785</v>
      </c>
      <c r="Q160">
        <v>-0.41137228999999997</v>
      </c>
      <c r="R160">
        <v>-10.927474999999999</v>
      </c>
      <c r="S160">
        <f t="shared" si="34"/>
        <v>0.99890304430901444</v>
      </c>
      <c r="T160">
        <f t="shared" si="35"/>
        <v>-23.479647813460709</v>
      </c>
      <c r="U160" s="8"/>
      <c r="V160" s="8"/>
    </row>
    <row r="161" spans="1:49" x14ac:dyDescent="0.35">
      <c r="A161">
        <v>2</v>
      </c>
      <c r="B161" s="9">
        <v>16.2</v>
      </c>
      <c r="C161">
        <v>-6.3419001000000003E-2</v>
      </c>
      <c r="D161">
        <v>-1.3891535E-2</v>
      </c>
      <c r="E161">
        <v>0.93661784999999997</v>
      </c>
      <c r="F161">
        <v>-1.6170843000000001E-2</v>
      </c>
      <c r="G161">
        <f t="shared" si="26"/>
        <v>6.9666649575880699</v>
      </c>
      <c r="H161">
        <f t="shared" si="27"/>
        <v>-1.7696507255282199</v>
      </c>
      <c r="I161">
        <f t="shared" si="28"/>
        <v>6.9666846814863401</v>
      </c>
      <c r="J161">
        <f t="shared" si="29"/>
        <v>-1.7707903360519099</v>
      </c>
      <c r="K161" s="7">
        <f t="shared" si="30"/>
        <v>-1.9723898270207499E-5</v>
      </c>
      <c r="L161" s="7">
        <f t="shared" si="31"/>
        <v>1.13961052369005E-3</v>
      </c>
      <c r="M161" s="7">
        <f t="shared" si="32"/>
        <v>0.13482933185335</v>
      </c>
      <c r="N161" s="7">
        <f t="shared" si="33"/>
        <v>3.4270889063879699E-2</v>
      </c>
      <c r="O161">
        <v>3.0032516999999999</v>
      </c>
      <c r="P161">
        <v>-10.912095000000001</v>
      </c>
      <c r="Q161">
        <v>-1.5966349</v>
      </c>
      <c r="R161">
        <v>-11.219137999999999</v>
      </c>
      <c r="S161">
        <f t="shared" si="34"/>
        <v>1.0012676559510438</v>
      </c>
      <c r="T161">
        <f t="shared" si="35"/>
        <v>-23.487666111583628</v>
      </c>
      <c r="U161" s="8"/>
      <c r="V161" s="8"/>
    </row>
    <row r="162" spans="1:49" x14ac:dyDescent="0.35">
      <c r="A162">
        <v>2</v>
      </c>
      <c r="B162" s="9">
        <v>16.3</v>
      </c>
      <c r="C162">
        <v>-6.6737363999999993E-2</v>
      </c>
      <c r="D162">
        <v>-7.3672449000000001E-3</v>
      </c>
      <c r="E162">
        <v>0.93320108000000002</v>
      </c>
      <c r="F162">
        <v>-9.6689258000000004E-3</v>
      </c>
      <c r="G162">
        <f t="shared" si="26"/>
        <v>6.8686842689150502</v>
      </c>
      <c r="H162">
        <f t="shared" si="27"/>
        <v>-0.93949797223394205</v>
      </c>
      <c r="I162">
        <f t="shared" si="28"/>
        <v>6.8686548145220199</v>
      </c>
      <c r="J162">
        <f t="shared" si="29"/>
        <v>-0.94064888200395003</v>
      </c>
      <c r="K162" s="7">
        <f t="shared" si="30"/>
        <v>2.94543930303703E-5</v>
      </c>
      <c r="L162" s="7">
        <f t="shared" si="31"/>
        <v>1.15090977000798E-3</v>
      </c>
      <c r="M162" s="7">
        <f t="shared" si="32"/>
        <v>0.14290869523938499</v>
      </c>
      <c r="N162" s="7">
        <f t="shared" si="33"/>
        <v>1.9571067120938999E-2</v>
      </c>
      <c r="O162">
        <v>1.8682628999999999</v>
      </c>
      <c r="P162">
        <v>-11.420487</v>
      </c>
      <c r="Q162">
        <v>-2.8500952000000002</v>
      </c>
      <c r="R162">
        <v>-11.259166</v>
      </c>
      <c r="S162">
        <f t="shared" si="34"/>
        <v>1.0036297146365816</v>
      </c>
      <c r="T162">
        <f t="shared" si="35"/>
        <v>-23.495854572338597</v>
      </c>
      <c r="U162" s="8"/>
      <c r="V162" s="8"/>
    </row>
    <row r="163" spans="1:49" x14ac:dyDescent="0.35">
      <c r="A163">
        <v>2</v>
      </c>
      <c r="B163" s="9">
        <v>16.399999999999999</v>
      </c>
      <c r="C163">
        <v>-6.8609657000000004E-2</v>
      </c>
      <c r="D163">
        <v>-2.8107935000000001E-4</v>
      </c>
      <c r="E163">
        <v>0.93133853</v>
      </c>
      <c r="F163">
        <v>-2.5716325000000001E-3</v>
      </c>
      <c r="G163">
        <f t="shared" si="26"/>
        <v>6.7817206505650702</v>
      </c>
      <c r="H163">
        <f t="shared" si="27"/>
        <v>-0.15075278746319301</v>
      </c>
      <c r="I163">
        <f t="shared" si="28"/>
        <v>6.78169605515256</v>
      </c>
      <c r="J163">
        <f t="shared" si="29"/>
        <v>-0.151898121878349</v>
      </c>
      <c r="K163" s="7">
        <f t="shared" si="30"/>
        <v>2.4595412510208799E-5</v>
      </c>
      <c r="L163" s="7">
        <f t="shared" si="31"/>
        <v>1.1453344151559899E-3</v>
      </c>
      <c r="M163" s="7">
        <f t="shared" si="32"/>
        <v>0.14738179975016399</v>
      </c>
      <c r="N163" s="7">
        <f t="shared" si="33"/>
        <v>3.30109435737564E-3</v>
      </c>
      <c r="O163">
        <v>0.64986537</v>
      </c>
      <c r="P163">
        <v>-11.678312</v>
      </c>
      <c r="Q163">
        <v>-4.0854868</v>
      </c>
      <c r="R163">
        <v>-11.033639000000001</v>
      </c>
      <c r="S163">
        <f t="shared" si="34"/>
        <v>1.0059291797847689</v>
      </c>
      <c r="T163">
        <f t="shared" si="35"/>
        <v>-23.503424259995057</v>
      </c>
      <c r="U163" s="8"/>
      <c r="V163" s="8"/>
      <c r="AW163">
        <v>0</v>
      </c>
    </row>
    <row r="164" spans="1:49" x14ac:dyDescent="0.35">
      <c r="A164">
        <v>2</v>
      </c>
      <c r="B164" s="9">
        <v>16.5</v>
      </c>
      <c r="C164">
        <v>-6.8958262000000006E-2</v>
      </c>
      <c r="D164">
        <v>6.8732313000000001E-3</v>
      </c>
      <c r="E164">
        <v>0.93097856000000001</v>
      </c>
      <c r="F164">
        <v>4.5427252000000001E-3</v>
      </c>
      <c r="G164">
        <f t="shared" si="26"/>
        <v>6.69818411067057</v>
      </c>
      <c r="H164">
        <f t="shared" si="27"/>
        <v>0.59613391342715805</v>
      </c>
      <c r="I164">
        <f t="shared" si="28"/>
        <v>6.6981538786141996</v>
      </c>
      <c r="J164">
        <f t="shared" si="29"/>
        <v>0.59496858833770905</v>
      </c>
      <c r="K164" s="7">
        <f t="shared" si="30"/>
        <v>3.0232056370316199E-5</v>
      </c>
      <c r="L164" s="7">
        <f t="shared" si="31"/>
        <v>1.1653250894489999E-3</v>
      </c>
      <c r="M164" s="7">
        <f t="shared" si="32"/>
        <v>0.14812615056276601</v>
      </c>
      <c r="N164" s="7">
        <f t="shared" si="33"/>
        <v>-1.31574174456651E-2</v>
      </c>
      <c r="O164">
        <v>-0.56776086000000003</v>
      </c>
      <c r="P164">
        <v>-11.679337</v>
      </c>
      <c r="Q164">
        <v>-5.2203131999999997</v>
      </c>
      <c r="R164">
        <v>-10.566458000000001</v>
      </c>
      <c r="S164">
        <f t="shared" si="34"/>
        <v>1.0079130024928378</v>
      </c>
      <c r="T164">
        <f t="shared" si="35"/>
        <v>-23.508381240175417</v>
      </c>
      <c r="U164" s="8"/>
      <c r="V164" s="8"/>
      <c r="AT164">
        <v>16.5</v>
      </c>
      <c r="AU164">
        <v>0.14812615056276601</v>
      </c>
    </row>
    <row r="165" spans="1:49" x14ac:dyDescent="0.35">
      <c r="A165">
        <v>2</v>
      </c>
      <c r="B165" s="9">
        <v>16.600000000000001</v>
      </c>
      <c r="C165">
        <v>-6.7911062999999994E-2</v>
      </c>
      <c r="D165">
        <v>1.3627148E-2</v>
      </c>
      <c r="E165">
        <v>0.93205711000000002</v>
      </c>
      <c r="F165">
        <v>1.1338997999999999E-2</v>
      </c>
      <c r="G165">
        <f t="shared" si="26"/>
        <v>6.6203828582934099</v>
      </c>
      <c r="H165">
        <f t="shared" si="27"/>
        <v>1.3090973630396601</v>
      </c>
      <c r="I165">
        <f t="shared" si="28"/>
        <v>6.62036825350856</v>
      </c>
      <c r="J165">
        <f t="shared" si="29"/>
        <v>1.3079532531239</v>
      </c>
      <c r="K165" s="7">
        <f t="shared" si="30"/>
        <v>1.4604784849936401E-5</v>
      </c>
      <c r="L165" s="7">
        <f t="shared" si="31"/>
        <v>1.1441099157600801E-3</v>
      </c>
      <c r="M165" s="7">
        <f t="shared" si="32"/>
        <v>0.14537474101669601</v>
      </c>
      <c r="N165" s="7">
        <f t="shared" si="33"/>
        <v>-2.87209650813703E-2</v>
      </c>
      <c r="O165">
        <v>-1.7052153999999999</v>
      </c>
      <c r="P165">
        <v>-11.444936</v>
      </c>
      <c r="Q165">
        <v>-6.1913178999999996</v>
      </c>
      <c r="R165">
        <v>-9.9114574999999991</v>
      </c>
      <c r="S165">
        <f t="shared" si="34"/>
        <v>1.0099401449216876</v>
      </c>
      <c r="T165">
        <f t="shared" si="35"/>
        <v>-23.517153951202936</v>
      </c>
      <c r="U165" s="8"/>
      <c r="V165" s="8"/>
    </row>
    <row r="166" spans="1:49" x14ac:dyDescent="0.35">
      <c r="A166">
        <v>2</v>
      </c>
      <c r="B166" s="9">
        <v>16.7</v>
      </c>
      <c r="C166">
        <v>-6.5756260999999996E-2</v>
      </c>
      <c r="D166">
        <v>1.9629944E-2</v>
      </c>
      <c r="E166">
        <v>0.93419015000000005</v>
      </c>
      <c r="F166">
        <v>1.7284074E-2</v>
      </c>
      <c r="G166">
        <f t="shared" si="26"/>
        <v>6.5460760019020396</v>
      </c>
      <c r="H166">
        <f t="shared" si="27"/>
        <v>1.9775280161303499</v>
      </c>
      <c r="I166">
        <f t="shared" si="28"/>
        <v>6.5460505825692898</v>
      </c>
      <c r="J166">
        <f t="shared" si="29"/>
        <v>1.97635501988527</v>
      </c>
      <c r="K166" s="7">
        <f t="shared" si="30"/>
        <v>2.5419332749798701E-5</v>
      </c>
      <c r="L166" s="7">
        <f t="shared" si="31"/>
        <v>1.17299624507994E-3</v>
      </c>
      <c r="M166" s="7">
        <f t="shared" si="32"/>
        <v>0.14000223598448</v>
      </c>
      <c r="N166" s="7">
        <f t="shared" si="33"/>
        <v>-4.2268864010899403E-2</v>
      </c>
      <c r="O166">
        <v>-2.7065421000000001</v>
      </c>
      <c r="P166">
        <v>-11.028</v>
      </c>
      <c r="Q166">
        <v>-6.9647166</v>
      </c>
      <c r="R166">
        <v>-9.1392015999999998</v>
      </c>
      <c r="S166">
        <f t="shared" si="34"/>
        <v>1.0119116736677523</v>
      </c>
      <c r="T166">
        <f t="shared" si="35"/>
        <v>-23.520712003173173</v>
      </c>
      <c r="U166" s="8"/>
      <c r="V166" s="8"/>
    </row>
    <row r="167" spans="1:49" x14ac:dyDescent="0.35">
      <c r="A167">
        <v>2</v>
      </c>
      <c r="B167" s="9">
        <v>16.8</v>
      </c>
      <c r="C167">
        <v>-6.2847634999999999E-2</v>
      </c>
      <c r="D167">
        <v>2.4696329E-2</v>
      </c>
      <c r="E167">
        <v>0.93720870999999994</v>
      </c>
      <c r="F167">
        <v>2.2340734000000001E-2</v>
      </c>
      <c r="G167">
        <f t="shared" si="26"/>
        <v>6.4808466731480197</v>
      </c>
      <c r="H167">
        <f t="shared" si="27"/>
        <v>2.6141039034851401</v>
      </c>
      <c r="I167">
        <f t="shared" si="28"/>
        <v>6.4808762319421396</v>
      </c>
      <c r="J167">
        <f t="shared" si="29"/>
        <v>2.6129261739789902</v>
      </c>
      <c r="K167" s="7">
        <f t="shared" si="30"/>
        <v>-2.9558794119921599E-5</v>
      </c>
      <c r="L167" s="7">
        <f t="shared" si="31"/>
        <v>1.1777295061499199E-3</v>
      </c>
      <c r="M167" s="7">
        <f t="shared" si="32"/>
        <v>0.132725586442316</v>
      </c>
      <c r="N167" s="7">
        <f t="shared" si="33"/>
        <v>-5.35116157692632E-2</v>
      </c>
      <c r="O167">
        <v>-3.5414443000000002</v>
      </c>
      <c r="P167">
        <v>-10.490627999999999</v>
      </c>
      <c r="Q167">
        <v>-7.5365801000000001</v>
      </c>
      <c r="R167">
        <v>-8.3178734999999993</v>
      </c>
      <c r="S167">
        <f t="shared" si="34"/>
        <v>1.0137395885083125</v>
      </c>
      <c r="T167">
        <f t="shared" si="35"/>
        <v>-23.525054727011657</v>
      </c>
      <c r="U167" s="8"/>
      <c r="V167" s="8"/>
    </row>
    <row r="168" spans="1:49" x14ac:dyDescent="0.35">
      <c r="A168">
        <v>2</v>
      </c>
      <c r="B168" s="9">
        <v>16.899999999999999</v>
      </c>
      <c r="C168">
        <v>-5.9561948000000003E-2</v>
      </c>
      <c r="D168">
        <v>2.8756074E-2</v>
      </c>
      <c r="E168">
        <v>0.94043529999999997</v>
      </c>
      <c r="F168">
        <v>2.6390522E-2</v>
      </c>
      <c r="G168">
        <f t="shared" si="26"/>
        <v>6.4129838190987796</v>
      </c>
      <c r="H168">
        <f t="shared" si="27"/>
        <v>3.2007781888139801</v>
      </c>
      <c r="I168">
        <f t="shared" si="28"/>
        <v>6.4129838420597602</v>
      </c>
      <c r="J168">
        <f t="shared" si="29"/>
        <v>3.19959541121362</v>
      </c>
      <c r="K168" s="7">
        <f t="shared" si="30"/>
        <v>-2.2960980672337401E-8</v>
      </c>
      <c r="L168" s="7">
        <f t="shared" si="31"/>
        <v>1.18277760036012E-3</v>
      </c>
      <c r="M168" s="7">
        <f t="shared" si="32"/>
        <v>0.12485422162712601</v>
      </c>
      <c r="N168" s="7">
        <f t="shared" si="33"/>
        <v>-6.2292842836867701E-2</v>
      </c>
      <c r="O168">
        <v>-4.2037936</v>
      </c>
      <c r="P168">
        <v>-9.8968074000000001</v>
      </c>
      <c r="Q168">
        <v>-7.9269258999999996</v>
      </c>
      <c r="R168">
        <v>-7.5100648000000003</v>
      </c>
      <c r="S168">
        <f t="shared" si="34"/>
        <v>1.0155280796400157</v>
      </c>
      <c r="T168">
        <f t="shared" si="35"/>
        <v>-23.532871764887609</v>
      </c>
      <c r="U168" s="8"/>
      <c r="V168" s="8"/>
    </row>
    <row r="169" spans="1:49" x14ac:dyDescent="0.35">
      <c r="A169">
        <v>2</v>
      </c>
      <c r="B169" s="9">
        <v>17</v>
      </c>
      <c r="C169">
        <v>-5.8260197E-2</v>
      </c>
      <c r="D169">
        <v>3.1072683E-2</v>
      </c>
      <c r="E169">
        <v>0.94161613</v>
      </c>
      <c r="F169">
        <v>2.8697618000000001E-2</v>
      </c>
      <c r="G169">
        <f t="shared" si="26"/>
        <v>6.2902179506886204</v>
      </c>
      <c r="H169">
        <f t="shared" si="27"/>
        <v>3.47999553712856</v>
      </c>
      <c r="I169">
        <f t="shared" si="28"/>
        <v>6.2901575208577398</v>
      </c>
      <c r="J169">
        <f t="shared" si="29"/>
        <v>3.4788078594243501</v>
      </c>
      <c r="K169" s="7">
        <f t="shared" si="30"/>
        <v>6.0429830880615002E-5</v>
      </c>
      <c r="L169" s="7">
        <f t="shared" si="31"/>
        <v>1.1876777042099101E-3</v>
      </c>
      <c r="M169" s="7">
        <f t="shared" si="32"/>
        <v>0.121741404857453</v>
      </c>
      <c r="N169" s="7">
        <f t="shared" si="33"/>
        <v>-6.7329785403803105E-2</v>
      </c>
      <c r="O169">
        <v>-4.7450650999999997</v>
      </c>
      <c r="P169">
        <v>-10.052481</v>
      </c>
      <c r="Q169">
        <v>-8.1248298999999999</v>
      </c>
      <c r="R169">
        <v>-7.1401425999999999</v>
      </c>
      <c r="S169">
        <f t="shared" si="34"/>
        <v>0.97303772655626108</v>
      </c>
      <c r="T169">
        <f t="shared" si="35"/>
        <v>-23.422145469484647</v>
      </c>
      <c r="U169" s="8"/>
      <c r="V169" s="8"/>
    </row>
    <row r="170" spans="1:49" x14ac:dyDescent="0.35">
      <c r="A170">
        <v>2.2000000000000002</v>
      </c>
      <c r="B170" s="9">
        <v>15</v>
      </c>
      <c r="C170">
        <v>-1.655879E-2</v>
      </c>
      <c r="D170">
        <v>-2.7921568000000001E-2</v>
      </c>
      <c r="E170">
        <v>0.98343311</v>
      </c>
      <c r="F170">
        <v>-3.0691303E-2</v>
      </c>
      <c r="G170">
        <f t="shared" si="26"/>
        <v>6.8080294619917696</v>
      </c>
      <c r="H170">
        <f t="shared" si="27"/>
        <v>-12.9301976036078</v>
      </c>
      <c r="I170">
        <f t="shared" si="28"/>
        <v>6.8080273298530098</v>
      </c>
      <c r="J170">
        <f t="shared" si="29"/>
        <v>-12.9315824796693</v>
      </c>
      <c r="K170" s="7">
        <f t="shared" si="30"/>
        <v>2.1321387597694799E-6</v>
      </c>
      <c r="L170" s="7">
        <f t="shared" si="31"/>
        <v>1.3848760615005099E-3</v>
      </c>
      <c r="M170" s="7">
        <f t="shared" si="32"/>
        <v>3.1876508803810003E-2</v>
      </c>
      <c r="N170" s="7">
        <f t="shared" si="33"/>
        <v>6.0548185662068002E-2</v>
      </c>
      <c r="O170">
        <v>5.3228200000000001</v>
      </c>
      <c r="P170">
        <v>-2.7939606000000001</v>
      </c>
      <c r="Q170">
        <v>3.6586188000000002</v>
      </c>
      <c r="R170">
        <v>-4.5200009000000003</v>
      </c>
      <c r="S170">
        <f t="shared" si="34"/>
        <v>0.96732996084046052</v>
      </c>
      <c r="T170">
        <f t="shared" si="35"/>
        <v>-23.317209937925192</v>
      </c>
      <c r="U170" s="8"/>
      <c r="V170" s="8"/>
    </row>
    <row r="171" spans="1:49" x14ac:dyDescent="0.35">
      <c r="A171">
        <v>2.2000000000000002</v>
      </c>
      <c r="B171" s="9">
        <v>15.1</v>
      </c>
      <c r="C171">
        <v>-1.8961947999999999E-2</v>
      </c>
      <c r="D171">
        <v>-2.9588336E-2</v>
      </c>
      <c r="E171">
        <v>0.98103377000000003</v>
      </c>
      <c r="F171">
        <v>-3.2321937000000002E-2</v>
      </c>
      <c r="G171">
        <f t="shared" si="26"/>
        <v>6.69504742905991</v>
      </c>
      <c r="H171">
        <f t="shared" si="27"/>
        <v>-11.7438127912694</v>
      </c>
      <c r="I171">
        <f t="shared" si="28"/>
        <v>6.69504715620746</v>
      </c>
      <c r="J171">
        <f t="shared" si="29"/>
        <v>-11.7451795950687</v>
      </c>
      <c r="K171" s="7">
        <f t="shared" si="30"/>
        <v>2.72852449967331E-7</v>
      </c>
      <c r="L171" s="7">
        <f t="shared" si="31"/>
        <v>1.3668037992999899E-3</v>
      </c>
      <c r="M171" s="7">
        <f t="shared" si="32"/>
        <v>3.6630414853204001E-2</v>
      </c>
      <c r="N171" s="7">
        <f t="shared" si="33"/>
        <v>6.4261056129209598E-2</v>
      </c>
      <c r="O171">
        <v>5.5575634000000003</v>
      </c>
      <c r="P171">
        <v>-3.1746756999999999</v>
      </c>
      <c r="Q171">
        <v>3.7359727999999999</v>
      </c>
      <c r="R171">
        <v>-4.9676821000000002</v>
      </c>
      <c r="S171">
        <f t="shared" si="34"/>
        <v>0.97114836912215807</v>
      </c>
      <c r="T171">
        <f t="shared" si="35"/>
        <v>-23.318274436737298</v>
      </c>
      <c r="U171" s="8"/>
      <c r="V171" s="8"/>
    </row>
    <row r="172" spans="1:49" x14ac:dyDescent="0.35">
      <c r="A172">
        <v>2.2000000000000002</v>
      </c>
      <c r="B172" s="9">
        <v>15.2</v>
      </c>
      <c r="C172">
        <v>-2.1747223999999999E-2</v>
      </c>
      <c r="D172">
        <v>-3.1204685999999999E-2</v>
      </c>
      <c r="E172">
        <v>0.97824708999999999</v>
      </c>
      <c r="F172">
        <v>-3.3930266000000001E-2</v>
      </c>
      <c r="G172">
        <f t="shared" si="26"/>
        <v>6.5906907267398003</v>
      </c>
      <c r="H172">
        <f t="shared" si="27"/>
        <v>-10.616567920014701</v>
      </c>
      <c r="I172">
        <f t="shared" si="28"/>
        <v>6.5906897409406904</v>
      </c>
      <c r="J172">
        <f t="shared" si="29"/>
        <v>-10.6179307152326</v>
      </c>
      <c r="K172" s="7">
        <f t="shared" si="30"/>
        <v>9.85799109898267E-7</v>
      </c>
      <c r="L172" s="7">
        <f t="shared" si="31"/>
        <v>1.3627952178989499E-3</v>
      </c>
      <c r="M172" s="7">
        <f t="shared" si="32"/>
        <v>4.2199956247843402E-2</v>
      </c>
      <c r="N172" s="7">
        <f t="shared" si="33"/>
        <v>6.7986239564888695E-2</v>
      </c>
      <c r="O172">
        <v>5.7919264000000004</v>
      </c>
      <c r="P172">
        <v>-3.6195699000000001</v>
      </c>
      <c r="Q172">
        <v>3.7825323000000002</v>
      </c>
      <c r="R172">
        <v>-5.4690155999999996</v>
      </c>
      <c r="S172">
        <f t="shared" si="34"/>
        <v>0.97360518985164646</v>
      </c>
      <c r="T172">
        <f t="shared" si="35"/>
        <v>-23.328473317075826</v>
      </c>
      <c r="U172" s="8"/>
      <c r="V172" s="8"/>
    </row>
    <row r="173" spans="1:49" x14ac:dyDescent="0.35">
      <c r="A173">
        <v>2.2000000000000002</v>
      </c>
      <c r="B173" s="9">
        <v>15.3</v>
      </c>
      <c r="C173">
        <v>-2.4977526E-2</v>
      </c>
      <c r="D173">
        <v>-3.2730913E-2</v>
      </c>
      <c r="E173">
        <v>0.97501353999999996</v>
      </c>
      <c r="F173">
        <v>-3.5450515000000002E-2</v>
      </c>
      <c r="G173">
        <f t="shared" si="26"/>
        <v>6.4927567501777004</v>
      </c>
      <c r="H173">
        <f t="shared" si="27"/>
        <v>-9.54171432312382</v>
      </c>
      <c r="I173">
        <f t="shared" si="28"/>
        <v>6.4927541322378604</v>
      </c>
      <c r="J173">
        <f t="shared" si="29"/>
        <v>-9.5430741337579708</v>
      </c>
      <c r="K173" s="7">
        <f t="shared" si="30"/>
        <v>2.6179398400216799E-6</v>
      </c>
      <c r="L173" s="7">
        <f t="shared" si="31"/>
        <v>1.3598106341507999E-3</v>
      </c>
      <c r="M173" s="7">
        <f t="shared" si="32"/>
        <v>4.8734843626877002E-2</v>
      </c>
      <c r="N173" s="7">
        <f t="shared" si="33"/>
        <v>7.1630654134763896E-2</v>
      </c>
      <c r="O173">
        <v>6.0089553000000002</v>
      </c>
      <c r="P173">
        <v>-4.1326596999999996</v>
      </c>
      <c r="Q173">
        <v>3.7876378000000002</v>
      </c>
      <c r="R173">
        <v>-6.0278244000000001</v>
      </c>
      <c r="S173">
        <f t="shared" si="34"/>
        <v>0.97616141900616293</v>
      </c>
      <c r="T173">
        <f t="shared" si="35"/>
        <v>-23.338176435759113</v>
      </c>
      <c r="U173" s="8"/>
      <c r="V173" s="8"/>
    </row>
    <row r="174" spans="1:49" x14ac:dyDescent="0.35">
      <c r="A174">
        <v>2.2000000000000002</v>
      </c>
      <c r="B174" s="9">
        <v>15.4</v>
      </c>
      <c r="C174">
        <v>-2.8714142000000002E-2</v>
      </c>
      <c r="D174">
        <v>-3.4090526000000003E-2</v>
      </c>
      <c r="E174">
        <v>0.97127101000000005</v>
      </c>
      <c r="F174">
        <v>-3.6805065999999997E-2</v>
      </c>
      <c r="G174">
        <f t="shared" si="26"/>
        <v>6.3993341765718501</v>
      </c>
      <c r="H174">
        <f t="shared" si="27"/>
        <v>-8.5143894933032005</v>
      </c>
      <c r="I174">
        <f t="shared" si="28"/>
        <v>6.3993285947362102</v>
      </c>
      <c r="J174">
        <f t="shared" si="29"/>
        <v>-8.5157467809557499</v>
      </c>
      <c r="K174" s="7">
        <f t="shared" si="30"/>
        <v>5.5818356399228702E-6</v>
      </c>
      <c r="L174" s="7">
        <f t="shared" si="31"/>
        <v>1.3572876525493899E-3</v>
      </c>
      <c r="M174" s="7">
        <f t="shared" si="32"/>
        <v>5.6396979550971803E-2</v>
      </c>
      <c r="N174" s="7">
        <f t="shared" si="33"/>
        <v>7.5048872699216701E-2</v>
      </c>
      <c r="O174">
        <v>6.1961029999999999</v>
      </c>
      <c r="P174">
        <v>-4.7229910999999998</v>
      </c>
      <c r="Q174">
        <v>3.7359466000000001</v>
      </c>
      <c r="R174">
        <v>-6.6476277000000001</v>
      </c>
      <c r="S174">
        <f t="shared" si="34"/>
        <v>0.97876838071311345</v>
      </c>
      <c r="T174">
        <f t="shared" si="35"/>
        <v>-23.347615959544633</v>
      </c>
      <c r="U174" s="8"/>
      <c r="V174" s="8"/>
    </row>
    <row r="175" spans="1:49" x14ac:dyDescent="0.35">
      <c r="A175">
        <v>2.2000000000000002</v>
      </c>
      <c r="B175" s="9">
        <v>15.5</v>
      </c>
      <c r="C175">
        <v>-3.3011205000000002E-2</v>
      </c>
      <c r="D175">
        <v>-3.5171157000000002E-2</v>
      </c>
      <c r="E175">
        <v>0.96696618999999995</v>
      </c>
      <c r="F175">
        <v>-3.7881694E-2</v>
      </c>
      <c r="G175">
        <f t="shared" si="26"/>
        <v>6.3097077496666198</v>
      </c>
      <c r="H175">
        <f t="shared" si="27"/>
        <v>-7.5315822782966197</v>
      </c>
      <c r="I175">
        <f t="shared" si="28"/>
        <v>6.3096982838504596</v>
      </c>
      <c r="J175">
        <f t="shared" si="29"/>
        <v>-7.5329375749435599</v>
      </c>
      <c r="K175" s="7">
        <f t="shared" si="30"/>
        <v>9.4658161602367807E-6</v>
      </c>
      <c r="L175" s="7">
        <f t="shared" si="31"/>
        <v>1.3552966469401199E-3</v>
      </c>
      <c r="M175" s="7">
        <f t="shared" si="32"/>
        <v>6.5346577356906202E-2</v>
      </c>
      <c r="N175" s="7">
        <f t="shared" si="33"/>
        <v>7.8015091343702103E-2</v>
      </c>
      <c r="O175">
        <v>6.3355554999999999</v>
      </c>
      <c r="P175">
        <v>-5.3981791000000001</v>
      </c>
      <c r="Q175">
        <v>3.6077461999999998</v>
      </c>
      <c r="R175">
        <v>-7.3284551999999996</v>
      </c>
      <c r="S175">
        <f t="shared" si="34"/>
        <v>0.98136852740731029</v>
      </c>
      <c r="T175">
        <f t="shared" si="35"/>
        <v>-23.356810983575922</v>
      </c>
      <c r="U175" s="8"/>
      <c r="V175" s="8"/>
    </row>
    <row r="176" spans="1:49" x14ac:dyDescent="0.35">
      <c r="A176">
        <v>2.2000000000000002</v>
      </c>
      <c r="B176" s="9">
        <v>15.6</v>
      </c>
      <c r="C176">
        <v>-3.7903499E-2</v>
      </c>
      <c r="D176">
        <v>-3.5821526999999999E-2</v>
      </c>
      <c r="E176">
        <v>0.96206524000000004</v>
      </c>
      <c r="F176">
        <v>-3.8529648E-2</v>
      </c>
      <c r="G176">
        <f t="shared" si="26"/>
        <v>6.2235317400956101</v>
      </c>
      <c r="H176">
        <f t="shared" si="27"/>
        <v>-6.5910087123853298</v>
      </c>
      <c r="I176">
        <f t="shared" si="28"/>
        <v>6.2235179429137597</v>
      </c>
      <c r="J176">
        <f t="shared" si="29"/>
        <v>-6.5923628127328202</v>
      </c>
      <c r="K176" s="7">
        <f t="shared" si="30"/>
        <v>1.37971818503502E-5</v>
      </c>
      <c r="L176" s="7">
        <f t="shared" si="31"/>
        <v>1.35410034749039E-3</v>
      </c>
      <c r="M176" s="7">
        <f t="shared" si="32"/>
        <v>7.5719797914305803E-2</v>
      </c>
      <c r="N176" s="7">
        <f t="shared" si="33"/>
        <v>8.0207430031801003E-2</v>
      </c>
      <c r="O176">
        <v>6.4036111</v>
      </c>
      <c r="P176">
        <v>-6.1625215999999998</v>
      </c>
      <c r="Q176">
        <v>3.3793628999999998</v>
      </c>
      <c r="R176">
        <v>-8.0654982999999998</v>
      </c>
      <c r="S176">
        <f t="shared" si="34"/>
        <v>0.98397865539307217</v>
      </c>
      <c r="T176">
        <f t="shared" si="35"/>
        <v>-23.365927060614638</v>
      </c>
      <c r="U176" s="8"/>
      <c r="V176" s="8"/>
    </row>
    <row r="177" spans="1:49" x14ac:dyDescent="0.35">
      <c r="A177">
        <v>2.2000000000000002</v>
      </c>
      <c r="B177" s="9">
        <v>15.7</v>
      </c>
      <c r="C177">
        <v>-4.3383237999999998E-2</v>
      </c>
      <c r="D177">
        <v>-3.5849810000000003E-2</v>
      </c>
      <c r="E177">
        <v>0.95657636999999995</v>
      </c>
      <c r="F177">
        <v>-3.8557935000000002E-2</v>
      </c>
      <c r="G177">
        <f t="shared" si="26"/>
        <v>6.1407094757928196</v>
      </c>
      <c r="H177">
        <f t="shared" si="27"/>
        <v>-5.69149391379392</v>
      </c>
      <c r="I177">
        <f t="shared" si="28"/>
        <v>6.1406911129779003</v>
      </c>
      <c r="J177">
        <f t="shared" si="29"/>
        <v>-5.6928480285059999</v>
      </c>
      <c r="K177" s="7">
        <f t="shared" si="30"/>
        <v>1.8362814919292699E-5</v>
      </c>
      <c r="L177" s="7">
        <f t="shared" si="31"/>
        <v>1.35411471207991E-3</v>
      </c>
      <c r="M177" s="7">
        <f t="shared" si="32"/>
        <v>8.7578270847388506E-2</v>
      </c>
      <c r="N177" s="7">
        <f t="shared" si="33"/>
        <v>8.1191152161982097E-2</v>
      </c>
      <c r="O177">
        <v>6.3705967000000001</v>
      </c>
      <c r="P177">
        <v>-7.0133932000000003</v>
      </c>
      <c r="Q177">
        <v>3.0239932999999999</v>
      </c>
      <c r="R177">
        <v>-8.8446856</v>
      </c>
      <c r="S177">
        <f t="shared" si="34"/>
        <v>0.98654686191300067</v>
      </c>
      <c r="T177">
        <f t="shared" si="35"/>
        <v>-23.374822032870529</v>
      </c>
      <c r="U177" s="8"/>
      <c r="V177" s="8"/>
    </row>
    <row r="178" spans="1:49" x14ac:dyDescent="0.35">
      <c r="A178">
        <v>2.2000000000000002</v>
      </c>
      <c r="B178" s="9">
        <v>15.8</v>
      </c>
      <c r="C178">
        <v>-4.9399775E-2</v>
      </c>
      <c r="D178">
        <v>-3.5026272999999997E-2</v>
      </c>
      <c r="E178">
        <v>0.95063286999999996</v>
      </c>
      <c r="F178">
        <v>-3.7729751999999998E-2</v>
      </c>
      <c r="G178">
        <f t="shared" si="26"/>
        <v>6.0632995975720698</v>
      </c>
      <c r="H178">
        <f t="shared" si="27"/>
        <v>-4.8341445809005297</v>
      </c>
      <c r="I178">
        <f t="shared" si="28"/>
        <v>6.0633177469125403</v>
      </c>
      <c r="J178">
        <f t="shared" si="29"/>
        <v>-4.8354962738043596</v>
      </c>
      <c r="K178" s="7">
        <f t="shared" si="30"/>
        <v>-1.8149340470508E-5</v>
      </c>
      <c r="L178" s="7">
        <f t="shared" si="31"/>
        <v>1.3516929038299699E-3</v>
      </c>
      <c r="M178" s="7">
        <f t="shared" si="32"/>
        <v>0.100810249061225</v>
      </c>
      <c r="N178" s="7">
        <f t="shared" si="33"/>
        <v>8.0396179788707806E-2</v>
      </c>
      <c r="O178">
        <v>6.2006499000000002</v>
      </c>
      <c r="P178">
        <v>-7.9413944000000001</v>
      </c>
      <c r="Q178">
        <v>2.5115661999999999</v>
      </c>
      <c r="R178">
        <v>-9.6435858000000003</v>
      </c>
      <c r="S178">
        <f t="shared" si="34"/>
        <v>0.98906936299264714</v>
      </c>
      <c r="T178">
        <f t="shared" si="35"/>
        <v>-23.384983270004987</v>
      </c>
      <c r="U178" s="8"/>
      <c r="V178" s="8"/>
    </row>
    <row r="179" spans="1:49" x14ac:dyDescent="0.35">
      <c r="A179" s="10">
        <v>2.2000000000000002</v>
      </c>
      <c r="B179" s="11">
        <v>15.9</v>
      </c>
      <c r="C179" s="10">
        <v>-5.5792692999999997E-2</v>
      </c>
      <c r="D179" s="10">
        <v>-3.3111236000000002E-2</v>
      </c>
      <c r="E179" s="10">
        <v>0.94423842999999996</v>
      </c>
      <c r="F179" s="10">
        <v>-3.5822457000000002E-2</v>
      </c>
      <c r="G179">
        <f t="shared" si="26"/>
        <v>5.98713459627057</v>
      </c>
      <c r="H179">
        <f t="shared" si="27"/>
        <v>-4.0079789225041402</v>
      </c>
      <c r="I179">
        <f t="shared" si="28"/>
        <v>5.9871519951190804</v>
      </c>
      <c r="J179">
        <f t="shared" si="29"/>
        <v>-4.0093344883234501</v>
      </c>
      <c r="K179" s="7">
        <f t="shared" si="30"/>
        <v>-1.73988485103749E-5</v>
      </c>
      <c r="L179" s="7">
        <f t="shared" si="31"/>
        <v>1.35556581930985E-3</v>
      </c>
      <c r="M179" s="7">
        <f t="shared" si="32"/>
        <v>0.115313275684686</v>
      </c>
      <c r="N179" s="7">
        <f t="shared" si="33"/>
        <v>7.7220269928184204E-2</v>
      </c>
      <c r="O179" s="10">
        <v>5.8588379000000002</v>
      </c>
      <c r="P179" s="10">
        <v>-8.9196404000000005</v>
      </c>
      <c r="Q179" s="10">
        <v>1.8202689999999999</v>
      </c>
      <c r="R179" s="10">
        <v>-10.423666000000001</v>
      </c>
      <c r="S179">
        <f t="shared" si="34"/>
        <v>0.99153568401624781</v>
      </c>
      <c r="T179">
        <f t="shared" si="35"/>
        <v>-23.393194741424502</v>
      </c>
      <c r="U179" s="10"/>
      <c r="V179" s="10"/>
    </row>
    <row r="180" spans="1:49" x14ac:dyDescent="0.35">
      <c r="A180" s="12">
        <v>2.2000000000000002</v>
      </c>
      <c r="B180" s="13">
        <v>16</v>
      </c>
      <c r="C180" s="12">
        <v>-6.2289875000000001E-2</v>
      </c>
      <c r="D180" s="12">
        <v>-2.9886005E-2</v>
      </c>
      <c r="E180" s="12">
        <v>0.93773938999999995</v>
      </c>
      <c r="F180" s="12">
        <v>-3.2607896999999997E-2</v>
      </c>
      <c r="G180">
        <f t="shared" si="26"/>
        <v>5.9140657909600201</v>
      </c>
      <c r="H180">
        <f t="shared" si="27"/>
        <v>-3.2176170445526799</v>
      </c>
      <c r="I180">
        <f t="shared" si="28"/>
        <v>5.9140822753352102</v>
      </c>
      <c r="J180">
        <f t="shared" si="29"/>
        <v>-3.2189779482049201</v>
      </c>
      <c r="K180" s="7">
        <f t="shared" si="30"/>
        <v>-1.6484375190195501E-5</v>
      </c>
      <c r="L180" s="7">
        <f t="shared" si="31"/>
        <v>1.3609036522401799E-3</v>
      </c>
      <c r="M180" s="7">
        <f t="shared" si="32"/>
        <v>0.130443727713389</v>
      </c>
      <c r="N180" s="7">
        <f t="shared" si="33"/>
        <v>7.0999263020439796E-2</v>
      </c>
      <c r="O180" s="12">
        <v>5.3129654000000004</v>
      </c>
      <c r="P180" s="12">
        <v>-9.9045047999999998</v>
      </c>
      <c r="Q180" s="12">
        <v>0.93646784999999999</v>
      </c>
      <c r="R180" s="12">
        <v>-11.131963000000001</v>
      </c>
      <c r="S180">
        <f t="shared" si="34"/>
        <v>0.99392883978972979</v>
      </c>
      <c r="T180">
        <f t="shared" si="35"/>
        <v>-23.401316572992684</v>
      </c>
      <c r="U180" s="12"/>
      <c r="V180" s="12"/>
    </row>
    <row r="181" spans="1:49" x14ac:dyDescent="0.35">
      <c r="A181" s="10">
        <v>2.2000000000000002</v>
      </c>
      <c r="B181" s="11">
        <v>16.100000000000001</v>
      </c>
      <c r="C181" s="10">
        <v>-6.8506224000000004E-2</v>
      </c>
      <c r="D181" s="10">
        <v>-2.5221566000000001E-2</v>
      </c>
      <c r="E181" s="10">
        <v>0.93152086000000001</v>
      </c>
      <c r="F181" s="10">
        <v>-2.7956807E-2</v>
      </c>
      <c r="G181">
        <f t="shared" si="26"/>
        <v>5.8439839804853104</v>
      </c>
      <c r="H181">
        <f t="shared" si="27"/>
        <v>-2.46208410215438</v>
      </c>
      <c r="I181">
        <f t="shared" si="28"/>
        <v>5.8439993926082696</v>
      </c>
      <c r="J181">
        <f t="shared" si="29"/>
        <v>-2.4634516830566602</v>
      </c>
      <c r="K181" s="7">
        <f t="shared" si="30"/>
        <v>-1.54121229591908E-5</v>
      </c>
      <c r="L181" s="7">
        <f t="shared" si="31"/>
        <v>1.36758090228017E-3</v>
      </c>
      <c r="M181" s="7">
        <f t="shared" si="32"/>
        <v>0.14529749550311299</v>
      </c>
      <c r="N181" s="7">
        <f t="shared" si="33"/>
        <v>6.1248014552121699E-2</v>
      </c>
      <c r="O181" s="10">
        <v>4.5456785000000002</v>
      </c>
      <c r="P181" s="10">
        <v>-10.835375000000001</v>
      </c>
      <c r="Q181" s="10">
        <v>-0.13282111999999999</v>
      </c>
      <c r="R181" s="10">
        <v>-11.705318999999999</v>
      </c>
      <c r="S181">
        <f t="shared" si="34"/>
        <v>0.99623968528338558</v>
      </c>
      <c r="T181">
        <f t="shared" si="35"/>
        <v>-23.409234021272134</v>
      </c>
      <c r="U181" s="10"/>
      <c r="V181" s="10"/>
    </row>
    <row r="182" spans="1:49" x14ac:dyDescent="0.35">
      <c r="A182" s="12">
        <v>2.2000000000000002</v>
      </c>
      <c r="B182" s="13">
        <v>16.2</v>
      </c>
      <c r="C182" s="12">
        <v>-7.3985395999999995E-2</v>
      </c>
      <c r="D182" s="12">
        <v>-1.9135783999999999E-2</v>
      </c>
      <c r="E182" s="12">
        <v>0.92603782000000001</v>
      </c>
      <c r="F182" s="12">
        <v>-2.1958037E-2</v>
      </c>
      <c r="G182">
        <f t="shared" si="26"/>
        <v>5.7750239616272703</v>
      </c>
      <c r="H182">
        <f t="shared" si="27"/>
        <v>-1.7422428545053601</v>
      </c>
      <c r="I182">
        <f t="shared" si="28"/>
        <v>5.7750375606972</v>
      </c>
      <c r="J182">
        <f t="shared" si="29"/>
        <v>-1.7436539454354001</v>
      </c>
      <c r="K182" s="7">
        <f t="shared" si="30"/>
        <v>-1.35990699297039E-5</v>
      </c>
      <c r="L182" s="7">
        <f t="shared" si="31"/>
        <v>1.4110909300399899E-3</v>
      </c>
      <c r="M182" s="7">
        <f t="shared" si="32"/>
        <v>0.158692424019516</v>
      </c>
      <c r="N182" s="7">
        <f t="shared" si="33"/>
        <v>4.7913917155359802E-2</v>
      </c>
      <c r="O182" s="12">
        <v>3.5625791000000002</v>
      </c>
      <c r="P182" s="12">
        <v>-11.639547</v>
      </c>
      <c r="Q182" s="12">
        <v>-1.3566476999999999</v>
      </c>
      <c r="R182" s="12">
        <v>-12.079672</v>
      </c>
      <c r="S182">
        <f t="shared" si="34"/>
        <v>0.99860855900544865</v>
      </c>
      <c r="T182">
        <f t="shared" si="35"/>
        <v>-23.426002728174058</v>
      </c>
      <c r="U182" s="12"/>
      <c r="V182" s="12"/>
    </row>
    <row r="183" spans="1:49" x14ac:dyDescent="0.35">
      <c r="A183" s="10">
        <v>2.2000000000000002</v>
      </c>
      <c r="B183" s="11">
        <v>16.3</v>
      </c>
      <c r="C183" s="10">
        <v>-7.8255685000000005E-2</v>
      </c>
      <c r="D183" s="10">
        <v>-1.1851802999999999E-2</v>
      </c>
      <c r="E183" s="10">
        <v>0.92175490000000004</v>
      </c>
      <c r="F183" s="10">
        <v>-1.4688644000000001E-2</v>
      </c>
      <c r="G183">
        <f t="shared" si="26"/>
        <v>5.7111112348811597</v>
      </c>
      <c r="H183">
        <f t="shared" si="27"/>
        <v>-1.0526130901397499</v>
      </c>
      <c r="I183">
        <f t="shared" si="28"/>
        <v>5.7111185392338797</v>
      </c>
      <c r="J183">
        <f t="shared" si="29"/>
        <v>-1.0540314927722101</v>
      </c>
      <c r="K183" s="7">
        <f t="shared" si="30"/>
        <v>-7.3043527200056204E-6</v>
      </c>
      <c r="L183" s="7">
        <f t="shared" si="31"/>
        <v>1.41840263246018E-3</v>
      </c>
      <c r="M183" s="7">
        <f t="shared" si="32"/>
        <v>0.16932942044891899</v>
      </c>
      <c r="N183" s="7">
        <f t="shared" si="33"/>
        <v>3.1251065895398202E-2</v>
      </c>
      <c r="O183" s="10">
        <v>2.4027251000000001</v>
      </c>
      <c r="P183" s="10">
        <v>-12.248161</v>
      </c>
      <c r="Q183" s="10">
        <v>-2.6686551000000001</v>
      </c>
      <c r="R183" s="10">
        <v>-12.203726</v>
      </c>
      <c r="S183">
        <f t="shared" si="34"/>
        <v>1.0008408802887048</v>
      </c>
      <c r="T183">
        <f t="shared" si="35"/>
        <v>-23.43380038842994</v>
      </c>
      <c r="U183" s="10"/>
      <c r="V183" s="10"/>
    </row>
    <row r="184" spans="1:49" x14ac:dyDescent="0.35">
      <c r="A184" s="12">
        <v>2.2000000000000002</v>
      </c>
      <c r="B184" s="13">
        <v>16.399999999999999</v>
      </c>
      <c r="C184" s="12">
        <v>-8.0964868999999995E-2</v>
      </c>
      <c r="D184" s="12">
        <v>-3.7825145E-3</v>
      </c>
      <c r="E184" s="12">
        <v>0.91903332000000004</v>
      </c>
      <c r="F184" s="12">
        <v>-6.6323813999999998E-3</v>
      </c>
      <c r="G184">
        <f t="shared" si="26"/>
        <v>5.6500079751645496</v>
      </c>
      <c r="H184">
        <f t="shared" si="27"/>
        <v>-0.39483552330176802</v>
      </c>
      <c r="I184">
        <f t="shared" si="28"/>
        <v>5.6500091001004602</v>
      </c>
      <c r="J184">
        <f t="shared" si="29"/>
        <v>-0.39626045643908597</v>
      </c>
      <c r="K184" s="7">
        <f t="shared" si="30"/>
        <v>-1.1249359106457699E-6</v>
      </c>
      <c r="L184" s="7">
        <f t="shared" si="31"/>
        <v>1.42493313731795E-3</v>
      </c>
      <c r="M184" s="7">
        <f t="shared" si="32"/>
        <v>0.176124536003779</v>
      </c>
      <c r="N184" s="7">
        <f t="shared" si="33"/>
        <v>1.23524029413933E-2</v>
      </c>
      <c r="O184" s="12">
        <v>1.1324917000000001</v>
      </c>
      <c r="P184" s="12">
        <v>-12.60844</v>
      </c>
      <c r="Q184" s="12">
        <v>-3.9888265999999999</v>
      </c>
      <c r="R184" s="12">
        <v>-12.054683000000001</v>
      </c>
      <c r="S184">
        <f t="shared" si="34"/>
        <v>1.0030244158583741</v>
      </c>
      <c r="T184">
        <f t="shared" si="35"/>
        <v>-23.441629592280155</v>
      </c>
      <c r="U184" s="12"/>
      <c r="V184" s="12"/>
    </row>
    <row r="185" spans="1:49" x14ac:dyDescent="0.35">
      <c r="A185" s="10">
        <v>2.2000000000000002</v>
      </c>
      <c r="B185" s="11">
        <v>16.5</v>
      </c>
      <c r="C185" s="10">
        <v>-8.1955191999999996E-2</v>
      </c>
      <c r="D185" s="10">
        <v>4.5362262999999996E-3</v>
      </c>
      <c r="E185" s="10">
        <v>0.91803533999999998</v>
      </c>
      <c r="F185" s="10">
        <v>1.6743265E-3</v>
      </c>
      <c r="G185">
        <f t="shared" si="26"/>
        <v>5.59179903941126</v>
      </c>
      <c r="H185">
        <f t="shared" si="27"/>
        <v>0.23151992998068999</v>
      </c>
      <c r="I185">
        <f t="shared" si="28"/>
        <v>5.5917963530313397</v>
      </c>
      <c r="J185">
        <f t="shared" si="29"/>
        <v>0.230088969462447</v>
      </c>
      <c r="K185" s="7">
        <f t="shared" si="30"/>
        <v>2.6863799202914198E-6</v>
      </c>
      <c r="L185" s="7">
        <f t="shared" si="31"/>
        <v>1.43096051824299E-3</v>
      </c>
      <c r="M185" s="7">
        <f t="shared" si="32"/>
        <v>0.17853113279815899</v>
      </c>
      <c r="N185" s="7">
        <f t="shared" si="33"/>
        <v>-7.3461266772033296E-3</v>
      </c>
      <c r="O185" s="10">
        <v>-0.16372526000000001</v>
      </c>
      <c r="P185" s="10">
        <v>-12.699733</v>
      </c>
      <c r="Q185" s="10">
        <v>-5.2307401000000002</v>
      </c>
      <c r="R185" s="10">
        <v>-11.645505999999999</v>
      </c>
      <c r="S185">
        <f t="shared" si="34"/>
        <v>1.0051581908831095</v>
      </c>
      <c r="T185">
        <f t="shared" si="35"/>
        <v>-23.449274138606707</v>
      </c>
      <c r="U185" s="10"/>
      <c r="V185" s="10"/>
      <c r="AT185">
        <v>16.5</v>
      </c>
      <c r="AU185">
        <v>0.17853113279815899</v>
      </c>
      <c r="AW185">
        <v>0</v>
      </c>
    </row>
    <row r="186" spans="1:49" x14ac:dyDescent="0.35">
      <c r="A186" s="12">
        <v>2.2000000000000002</v>
      </c>
      <c r="B186" s="13">
        <v>16.600000000000001</v>
      </c>
      <c r="C186" s="12">
        <v>-8.1300153E-2</v>
      </c>
      <c r="D186" s="12">
        <v>1.2561688999999999E-2</v>
      </c>
      <c r="E186" s="12">
        <v>0.91869343999999997</v>
      </c>
      <c r="F186" s="12">
        <v>9.7119561000000004E-3</v>
      </c>
      <c r="G186">
        <f t="shared" si="26"/>
        <v>5.5365436535752401</v>
      </c>
      <c r="H186">
        <f t="shared" si="27"/>
        <v>0.82758984763496002</v>
      </c>
      <c r="I186">
        <f t="shared" si="28"/>
        <v>5.5365424803247798</v>
      </c>
      <c r="J186">
        <f t="shared" si="29"/>
        <v>0.82616497494865704</v>
      </c>
      <c r="K186" s="7">
        <f t="shared" si="30"/>
        <v>1.1732504603401099E-6</v>
      </c>
      <c r="L186" s="7">
        <f t="shared" si="31"/>
        <v>1.4248726863029799E-3</v>
      </c>
      <c r="M186" s="7">
        <f t="shared" si="32"/>
        <v>0.17668396638043801</v>
      </c>
      <c r="N186" s="7">
        <f t="shared" si="33"/>
        <v>-2.6364848671758302E-2</v>
      </c>
      <c r="O186" s="12">
        <v>-1.4023622</v>
      </c>
      <c r="P186" s="12">
        <v>-12.537409999999999</v>
      </c>
      <c r="Q186" s="12">
        <v>-6.3223352000000004</v>
      </c>
      <c r="R186" s="12">
        <v>-11.022645000000001</v>
      </c>
      <c r="S186">
        <f t="shared" si="34"/>
        <v>1.007253954998103</v>
      </c>
      <c r="T186">
        <f t="shared" si="35"/>
        <v>-23.455343008084995</v>
      </c>
      <c r="U186" s="12"/>
      <c r="V186" s="12"/>
    </row>
    <row r="187" spans="1:49" x14ac:dyDescent="0.35">
      <c r="A187" s="10">
        <v>2.2000000000000002</v>
      </c>
      <c r="B187" s="11">
        <v>16.7</v>
      </c>
      <c r="C187" s="10">
        <v>-7.9272648000000001E-2</v>
      </c>
      <c r="D187" s="10">
        <v>1.9857003000000002E-2</v>
      </c>
      <c r="E187" s="10">
        <v>0.92071946000000005</v>
      </c>
      <c r="F187" s="10">
        <v>1.7071749000000001E-2</v>
      </c>
      <c r="G187">
        <f t="shared" si="26"/>
        <v>5.4824976418492</v>
      </c>
      <c r="H187">
        <f t="shared" si="27"/>
        <v>1.3940844764882601</v>
      </c>
      <c r="I187">
        <f t="shared" si="28"/>
        <v>5.48249563526279</v>
      </c>
      <c r="J187">
        <f t="shared" si="29"/>
        <v>1.3926918411985001</v>
      </c>
      <c r="K187" s="7">
        <f t="shared" si="30"/>
        <v>2.0065864099194599E-6</v>
      </c>
      <c r="L187" s="7">
        <f t="shared" si="31"/>
        <v>1.3926352897599701E-3</v>
      </c>
      <c r="M187" s="7">
        <f t="shared" si="32"/>
        <v>0.17134218347076499</v>
      </c>
      <c r="N187" s="7">
        <f t="shared" si="33"/>
        <v>-4.3525225891298501E-2</v>
      </c>
      <c r="O187" s="10">
        <v>-2.5171999999999999</v>
      </c>
      <c r="P187" s="10">
        <v>-12.167828</v>
      </c>
      <c r="Q187" s="10">
        <v>-7.2189110000000003</v>
      </c>
      <c r="R187" s="10">
        <v>-10.252806</v>
      </c>
      <c r="S187">
        <f t="shared" si="34"/>
        <v>1.0091566332564827</v>
      </c>
      <c r="T187">
        <f t="shared" si="35"/>
        <v>-23.460943732154142</v>
      </c>
      <c r="U187" s="10"/>
      <c r="V187" s="10"/>
    </row>
    <row r="188" spans="1:49" x14ac:dyDescent="0.35">
      <c r="A188" s="12">
        <v>2.2000000000000002</v>
      </c>
      <c r="B188" s="13">
        <v>16.8</v>
      </c>
      <c r="C188" s="12">
        <v>-7.6253341000000002E-2</v>
      </c>
      <c r="D188" s="12">
        <v>2.6148734E-2</v>
      </c>
      <c r="E188" s="12">
        <v>0.9236837</v>
      </c>
      <c r="F188" s="12">
        <v>2.3270705999999999E-2</v>
      </c>
      <c r="G188">
        <f t="shared" si="26"/>
        <v>5.4320118807489397</v>
      </c>
      <c r="H188">
        <f t="shared" si="27"/>
        <v>1.9221763792934801</v>
      </c>
      <c r="I188">
        <f t="shared" si="28"/>
        <v>5.4319824712105298</v>
      </c>
      <c r="J188">
        <f t="shared" si="29"/>
        <v>1.92073727767055</v>
      </c>
      <c r="K188" s="7">
        <f t="shared" si="30"/>
        <v>2.9409538409907999E-5</v>
      </c>
      <c r="L188" s="7">
        <f t="shared" si="31"/>
        <v>1.4391016229300399E-3</v>
      </c>
      <c r="M188" s="7">
        <f t="shared" si="32"/>
        <v>0.16363529482224301</v>
      </c>
      <c r="N188" s="7">
        <f t="shared" si="33"/>
        <v>-5.7861087065999198E-2</v>
      </c>
      <c r="O188" s="12">
        <v>-3.4682792999999998</v>
      </c>
      <c r="P188" s="12">
        <v>-11.651325999999999</v>
      </c>
      <c r="Q188" s="12">
        <v>-7.9083353000000001</v>
      </c>
      <c r="R188" s="12">
        <v>-9.4089332999999993</v>
      </c>
      <c r="S188">
        <f t="shared" si="34"/>
        <v>1.0110613758542004</v>
      </c>
      <c r="T188">
        <f t="shared" si="35"/>
        <v>-23.47068327999262</v>
      </c>
      <c r="U188" s="12"/>
      <c r="V188" s="12"/>
    </row>
    <row r="189" spans="1:49" x14ac:dyDescent="0.35">
      <c r="A189">
        <v>2.2000000000000002</v>
      </c>
      <c r="B189">
        <v>16.899999999999999</v>
      </c>
      <c r="C189">
        <v>-7.2627595000000003E-2</v>
      </c>
      <c r="D189">
        <v>3.1364820000000002E-2</v>
      </c>
      <c r="E189">
        <v>0.92729868000000004</v>
      </c>
      <c r="F189">
        <v>2.8524614E-2</v>
      </c>
      <c r="G189">
        <f t="shared" si="26"/>
        <v>5.3820555509896701</v>
      </c>
      <c r="H189">
        <f t="shared" si="27"/>
        <v>2.4246732498999699</v>
      </c>
      <c r="I189">
        <f t="shared" si="28"/>
        <v>5.3820207040422803</v>
      </c>
      <c r="J189">
        <f t="shared" si="29"/>
        <v>2.4232530450614198</v>
      </c>
      <c r="K189" s="7">
        <f t="shared" si="30"/>
        <v>3.4846947389865998E-5</v>
      </c>
      <c r="L189" s="7">
        <f t="shared" si="31"/>
        <v>1.4202048385501E-3</v>
      </c>
      <c r="M189" s="7">
        <f t="shared" si="32"/>
        <v>0.15448573459084899</v>
      </c>
      <c r="N189" s="7">
        <f t="shared" si="33"/>
        <v>-6.9557150994356998E-2</v>
      </c>
      <c r="O189">
        <v>-4.2496881999999996</v>
      </c>
      <c r="P189">
        <v>-11.046944999999999</v>
      </c>
      <c r="Q189">
        <v>-8.4043475000000001</v>
      </c>
      <c r="R189">
        <v>-8.5471613000000008</v>
      </c>
      <c r="S189">
        <f t="shared" si="34"/>
        <v>1.0127393814656926</v>
      </c>
      <c r="T189">
        <f t="shared" si="35"/>
        <v>-23.475892440725367</v>
      </c>
    </row>
    <row r="190" spans="1:49" x14ac:dyDescent="0.35">
      <c r="A190">
        <v>2.2000000000000002</v>
      </c>
      <c r="B190">
        <v>17</v>
      </c>
      <c r="C190">
        <v>-7.1151101999999994E-2</v>
      </c>
      <c r="D190">
        <v>3.4246462999999998E-2</v>
      </c>
      <c r="E190">
        <v>0.92883903999999995</v>
      </c>
      <c r="F190">
        <v>3.1416613000000003E-2</v>
      </c>
      <c r="G190">
        <f t="shared" si="26"/>
        <v>5.2934374529480399</v>
      </c>
      <c r="H190">
        <f t="shared" si="27"/>
        <v>2.67381066346181</v>
      </c>
      <c r="I190">
        <f t="shared" si="28"/>
        <v>5.2934345259620796</v>
      </c>
      <c r="J190">
        <f t="shared" si="29"/>
        <v>2.6723957273461201</v>
      </c>
      <c r="K190" s="7">
        <f t="shared" si="30"/>
        <v>2.9269859602720801E-6</v>
      </c>
      <c r="L190" s="7">
        <f t="shared" si="31"/>
        <v>1.4149361156898801E-3</v>
      </c>
      <c r="M190" s="7">
        <f t="shared" si="32"/>
        <v>0.15054354828755101</v>
      </c>
      <c r="N190" s="7">
        <f t="shared" si="33"/>
        <v>-7.6002061279875105E-2</v>
      </c>
      <c r="O190">
        <v>-4.6971132999999998</v>
      </c>
      <c r="P190">
        <v>-10.856441</v>
      </c>
      <c r="Q190">
        <v>-8.6580895000000009</v>
      </c>
      <c r="R190">
        <v>-8.1319409999999994</v>
      </c>
      <c r="S190">
        <f t="shared" si="34"/>
        <v>1.0041571341418873</v>
      </c>
      <c r="T190">
        <f t="shared" si="35"/>
        <v>-23.398836612520064</v>
      </c>
    </row>
    <row r="191" spans="1:49" x14ac:dyDescent="0.35">
      <c r="A191">
        <v>2.4</v>
      </c>
      <c r="B191">
        <v>15</v>
      </c>
      <c r="C191">
        <v>-1.9120082E-2</v>
      </c>
      <c r="D191">
        <v>-3.3224686000000003E-2</v>
      </c>
      <c r="E191">
        <v>0.98087548999999996</v>
      </c>
      <c r="F191">
        <v>-3.6174480000000002E-2</v>
      </c>
      <c r="G191">
        <f t="shared" si="26"/>
        <v>5.5909768272240203</v>
      </c>
      <c r="H191">
        <f t="shared" si="27"/>
        <v>-11.052033372774799</v>
      </c>
      <c r="I191">
        <f t="shared" si="28"/>
        <v>5.5909767885499999</v>
      </c>
      <c r="J191">
        <f t="shared" si="29"/>
        <v>-11.0535082730973</v>
      </c>
      <c r="K191" s="7">
        <f t="shared" si="30"/>
        <v>3.8674020430562503E-8</v>
      </c>
      <c r="L191" s="7">
        <f t="shared" si="31"/>
        <v>1.4749003225009701E-3</v>
      </c>
      <c r="M191" s="7">
        <f t="shared" si="32"/>
        <v>3.6437765900653597E-2</v>
      </c>
      <c r="N191" s="7">
        <f t="shared" si="33"/>
        <v>7.2038422277283506E-2</v>
      </c>
      <c r="O191">
        <v>5.7671054000000002</v>
      </c>
      <c r="P191">
        <v>-3.0054604999999999</v>
      </c>
      <c r="Q191">
        <v>3.9130433999999998</v>
      </c>
      <c r="R191">
        <v>-4.8033668</v>
      </c>
      <c r="S191">
        <f t="shared" si="34"/>
        <v>0.952677352038513</v>
      </c>
      <c r="T191">
        <f t="shared" si="35"/>
        <v>-23.306403103633436</v>
      </c>
    </row>
    <row r="192" spans="1:49" x14ac:dyDescent="0.35">
      <c r="A192">
        <v>2.4</v>
      </c>
      <c r="B192">
        <v>15.1</v>
      </c>
      <c r="C192">
        <v>-2.1827348999999999E-2</v>
      </c>
      <c r="D192">
        <v>-3.5141407999999999E-2</v>
      </c>
      <c r="E192">
        <v>0.97814593000000005</v>
      </c>
      <c r="F192">
        <v>-3.8095770000000001E-2</v>
      </c>
      <c r="G192">
        <f t="shared" si="26"/>
        <v>5.5070073910614399</v>
      </c>
      <c r="H192">
        <f t="shared" si="27"/>
        <v>-10.070725878469799</v>
      </c>
      <c r="I192">
        <f t="shared" si="28"/>
        <v>5.5069962125293603</v>
      </c>
      <c r="J192">
        <f t="shared" si="29"/>
        <v>-10.072203095718899</v>
      </c>
      <c r="K192" s="7">
        <f t="shared" si="30"/>
        <v>1.1178532079547701E-5</v>
      </c>
      <c r="L192" s="7">
        <f t="shared" si="31"/>
        <v>1.4772172490999901E-3</v>
      </c>
      <c r="M192" s="7">
        <f t="shared" si="32"/>
        <v>4.1790496048522002E-2</v>
      </c>
      <c r="N192" s="7">
        <f t="shared" si="33"/>
        <v>7.6434111705738994E-2</v>
      </c>
      <c r="O192">
        <v>6.0103534999999999</v>
      </c>
      <c r="P192">
        <v>-3.4008683999999998</v>
      </c>
      <c r="Q192">
        <v>3.9970205999999999</v>
      </c>
      <c r="R192">
        <v>-5.2669432</v>
      </c>
      <c r="S192">
        <f t="shared" si="34"/>
        <v>0.95743583749302619</v>
      </c>
      <c r="T192">
        <f t="shared" si="35"/>
        <v>-23.302868709205271</v>
      </c>
    </row>
    <row r="193" spans="1:49" x14ac:dyDescent="0.35">
      <c r="A193">
        <v>2.4</v>
      </c>
      <c r="B193">
        <v>15.2</v>
      </c>
      <c r="C193">
        <v>-2.4975813999999999E-2</v>
      </c>
      <c r="D193">
        <v>-3.7006885000000003E-2</v>
      </c>
      <c r="E193">
        <v>0.97498960999999995</v>
      </c>
      <c r="F193">
        <v>-3.9965263000000001E-2</v>
      </c>
      <c r="G193">
        <f t="shared" si="26"/>
        <v>5.4342629091394903</v>
      </c>
      <c r="H193">
        <f t="shared" si="27"/>
        <v>-9.1372293652706595</v>
      </c>
      <c r="I193">
        <f t="shared" si="28"/>
        <v>5.4342478089494097</v>
      </c>
      <c r="J193">
        <f t="shared" si="29"/>
        <v>-9.1387086021797597</v>
      </c>
      <c r="K193" s="7">
        <f t="shared" si="30"/>
        <v>1.51001900805525E-5</v>
      </c>
      <c r="L193" s="7">
        <f t="shared" si="31"/>
        <v>1.4792369091001199E-3</v>
      </c>
      <c r="M193" s="7">
        <f t="shared" si="32"/>
        <v>4.8070675789061199E-2</v>
      </c>
      <c r="N193" s="7">
        <f t="shared" si="33"/>
        <v>8.0839872194017101E-2</v>
      </c>
      <c r="O193">
        <v>6.2593744999999998</v>
      </c>
      <c r="P193">
        <v>-3.8674160999999998</v>
      </c>
      <c r="Q193">
        <v>4.050243</v>
      </c>
      <c r="R193">
        <v>-5.7891203999999998</v>
      </c>
      <c r="S193">
        <f t="shared" si="34"/>
        <v>0.96025032111530617</v>
      </c>
      <c r="T193">
        <f t="shared" si="35"/>
        <v>-23.311951941106795</v>
      </c>
    </row>
    <row r="194" spans="1:49" x14ac:dyDescent="0.35">
      <c r="A194">
        <v>2.4</v>
      </c>
      <c r="B194">
        <v>15.3</v>
      </c>
      <c r="C194">
        <v>-2.8615183999999998E-2</v>
      </c>
      <c r="D194">
        <v>-3.8775996E-2</v>
      </c>
      <c r="E194">
        <v>0.97134324000000005</v>
      </c>
      <c r="F194">
        <v>-4.1742107000000001E-2</v>
      </c>
      <c r="G194">
        <f t="shared" si="26"/>
        <v>5.3660887089176397</v>
      </c>
      <c r="H194">
        <f t="shared" si="27"/>
        <v>-8.2463259164795595</v>
      </c>
      <c r="I194">
        <f t="shared" si="28"/>
        <v>5.3660701200714298</v>
      </c>
      <c r="J194">
        <f t="shared" si="29"/>
        <v>-8.2478090303788107</v>
      </c>
      <c r="K194" s="7">
        <f t="shared" si="30"/>
        <v>1.8588846209865999E-5</v>
      </c>
      <c r="L194" s="7">
        <f t="shared" si="31"/>
        <v>1.4831138992512599E-3</v>
      </c>
      <c r="M194" s="7">
        <f t="shared" si="32"/>
        <v>5.54225495016583E-2</v>
      </c>
      <c r="N194" s="7">
        <f t="shared" si="33"/>
        <v>8.5186103430998306E-2</v>
      </c>
      <c r="O194">
        <v>6.4877073999999997</v>
      </c>
      <c r="P194">
        <v>-4.4012798999999996</v>
      </c>
      <c r="Q194">
        <v>4.0620725000000002</v>
      </c>
      <c r="R194">
        <v>-6.3700755999999998</v>
      </c>
      <c r="S194">
        <f t="shared" si="34"/>
        <v>0.96368151074409136</v>
      </c>
      <c r="T194">
        <f t="shared" si="35"/>
        <v>-23.322054971881126</v>
      </c>
    </row>
    <row r="195" spans="1:49" x14ac:dyDescent="0.35">
      <c r="A195">
        <v>2.4</v>
      </c>
      <c r="B195">
        <v>15.4</v>
      </c>
      <c r="C195">
        <v>-3.281212E-2</v>
      </c>
      <c r="D195">
        <v>-4.0368070999999998E-2</v>
      </c>
      <c r="E195">
        <v>0.96713987000000001</v>
      </c>
      <c r="F195">
        <v>-4.3343307999999997E-2</v>
      </c>
      <c r="G195">
        <f t="shared" ref="G195:G258" si="36">IMREAL(IMDIV(IMSUM(IMPRODUCT(COMPLEX(1 + C195,D195),COMPLEX(1 - C195, - D195)),IMPRODUCT(COMPLEX(E195,F195),COMPLEX(E195,F195))),IMSUB(IMPRODUCT(COMPLEX(1 - C195, - D195),COMPLEX(1 - C195, - D195)),IMPRODUCT(COMPLEX(E195,F195),COMPLEX(E195,F195)))))</f>
        <v>5.3012212303186601</v>
      </c>
      <c r="H195">
        <f t="shared" ref="H195:H258" si="37">IMAGINARY(IMDIV(IMSUM(IMPRODUCT(COMPLEX(1 + C195,D195),COMPLEX(1 - C195, - D195)),IMPRODUCT(COMPLEX(E195,F195),COMPLEX(E195,F195))),IMSUB(IMPRODUCT(COMPLEX(1 - C195, - D195),COMPLEX(1 - C195, - D195)),IMPRODUCT(COMPLEX(E195,F195),COMPLEX(E195,F195)))))</f>
        <v>-7.3939672703984698</v>
      </c>
      <c r="I195">
        <f t="shared" ref="I195:I258" si="38">IMREAL(IMDIV(IMPRODUCT(COMPLEX(2,0),COMPLEX(E195,F195)),IMSUB(IMPRODUCT(COMPLEX(1 - C195, - D195),COMPLEX(1 - C195, - D195)),IMPRODUCT(COMPLEX(E195,F195),COMPLEX(E195,F195)))))</f>
        <v>5.3011994379056899</v>
      </c>
      <c r="J195">
        <f t="shared" ref="J195:J258" si="39">IMAGINARY(IMDIV(IMPRODUCT(COMPLEX(2,0),COMPLEX(E195,F195)),IMSUB(IMPRODUCT(COMPLEX(1 - C195, - D195),COMPLEX(1 - C195, - D195)),IMPRODUCT(COMPLEX(E195,F195),COMPLEX(E195,F195)))))</f>
        <v>-7.3954549570291901</v>
      </c>
      <c r="K195" s="7">
        <f t="shared" ref="K195:K258" si="40">IMREAL(IMSUB(COMPLEX(G195,H195),COMPLEX(I195,J195)))</f>
        <v>2.1792412970178501E-5</v>
      </c>
      <c r="L195" s="7">
        <f t="shared" ref="L195:L258" si="41">IMAGINARY(IMSUB(COMPLEX(G195,H195),COMPLEX(I195,J195)))</f>
        <v>1.4876866307203E-3</v>
      </c>
      <c r="M195" s="7">
        <f t="shared" ref="M195:M258" si="42">IMREAL(IMDIV(IMSUB(IMPRODUCT(COMPLEX(1 - C195, - D195),COMPLEX(1 - C195, - D195)),IMPRODUCT(COMPLEX(E195,F195),COMPLEX(E195,F195))),IMPRODUCT(COMPLEX(2,0),COMPLEX(E195,F195))))</f>
        <v>6.4027651148038794E-2</v>
      </c>
      <c r="N195" s="7">
        <f t="shared" ref="N195:N258" si="43">IMAGINARY(IMDIV(IMSUB(IMPRODUCT(COMPLEX(1 - C195, - D195),COMPLEX(1 - C195, - D195)),IMPRODUCT(COMPLEX(E195,F195),COMPLEX(E195,F195))),IMPRODUCT(COMPLEX(2,0),COMPLEX(E195,F195))))</f>
        <v>8.9321976208608295E-2</v>
      </c>
      <c r="O195">
        <v>6.6934049</v>
      </c>
      <c r="P195">
        <v>-5.0185772000000002</v>
      </c>
      <c r="Q195">
        <v>4.0173753000000003</v>
      </c>
      <c r="R195">
        <v>-7.0130204000000003</v>
      </c>
      <c r="S195">
        <f t="shared" ref="S195:S258" si="44">IMABS(COMPLEX(Q195,R195))/IMABS(COMPLEX(O195,P195))</f>
        <v>0.9660904932835862</v>
      </c>
      <c r="T195">
        <f t="shared" ref="T195:T258" si="45">IMARGUMENT(IMDIV(COMPLEX(Q195,R195),COMPLEX(O195/B195,P195/B195)))/PI()*180</f>
        <v>-23.332159305441522</v>
      </c>
    </row>
    <row r="196" spans="1:49" x14ac:dyDescent="0.35">
      <c r="A196">
        <v>2.4</v>
      </c>
      <c r="B196">
        <v>15.5</v>
      </c>
      <c r="C196">
        <v>-3.7626646E-2</v>
      </c>
      <c r="D196">
        <v>-4.1665842000000002E-2</v>
      </c>
      <c r="E196">
        <v>0.96231928</v>
      </c>
      <c r="F196">
        <v>-4.4651047999999999E-2</v>
      </c>
      <c r="G196">
        <f t="shared" si="36"/>
        <v>5.2391135977166696</v>
      </c>
      <c r="H196">
        <f t="shared" si="37"/>
        <v>-6.5773799796653902</v>
      </c>
      <c r="I196">
        <f t="shared" si="38"/>
        <v>5.2390887880251196</v>
      </c>
      <c r="J196">
        <f t="shared" si="39"/>
        <v>-6.5788726600540102</v>
      </c>
      <c r="K196" s="7">
        <f t="shared" si="40"/>
        <v>2.4809691550054E-5</v>
      </c>
      <c r="L196" s="7">
        <f t="shared" si="41"/>
        <v>1.49268038861994E-3</v>
      </c>
      <c r="M196" s="7">
        <f t="shared" si="42"/>
        <v>7.4072065205638901E-2</v>
      </c>
      <c r="N196" s="7">
        <f t="shared" si="43"/>
        <v>9.3014397039605803E-2</v>
      </c>
      <c r="O196">
        <v>6.8473262000000004</v>
      </c>
      <c r="P196">
        <v>-5.7188318999999996</v>
      </c>
      <c r="Q196">
        <v>3.8970726999999998</v>
      </c>
      <c r="R196">
        <v>-7.7183818000000004</v>
      </c>
      <c r="S196">
        <f t="shared" si="44"/>
        <v>0.96918039928537925</v>
      </c>
      <c r="T196">
        <f t="shared" si="45"/>
        <v>-23.342063080631785</v>
      </c>
    </row>
    <row r="197" spans="1:49" x14ac:dyDescent="0.35">
      <c r="A197">
        <v>2.4</v>
      </c>
      <c r="B197">
        <v>15.6</v>
      </c>
      <c r="C197">
        <v>-4.3100082999999997E-2</v>
      </c>
      <c r="D197">
        <v>-4.2511279999999999E-2</v>
      </c>
      <c r="E197">
        <v>0.95684013999999995</v>
      </c>
      <c r="F197">
        <v>-4.5507209999999999E-2</v>
      </c>
      <c r="G197">
        <f t="shared" si="36"/>
        <v>5.1794817762432297</v>
      </c>
      <c r="H197">
        <f t="shared" si="37"/>
        <v>-5.7945039724148701</v>
      </c>
      <c r="I197">
        <f t="shared" si="38"/>
        <v>5.1794541309451896</v>
      </c>
      <c r="J197">
        <f t="shared" si="39"/>
        <v>-5.7960020236010497</v>
      </c>
      <c r="K197" s="7">
        <f t="shared" si="40"/>
        <v>2.7645298040113199E-5</v>
      </c>
      <c r="L197" s="7">
        <f t="shared" si="41"/>
        <v>1.49805118617952E-3</v>
      </c>
      <c r="M197" s="7">
        <f t="shared" si="42"/>
        <v>8.5723620750451798E-2</v>
      </c>
      <c r="N197" s="7">
        <f t="shared" si="43"/>
        <v>9.5927923441105498E-2</v>
      </c>
      <c r="O197">
        <v>6.9348786000000002</v>
      </c>
      <c r="P197">
        <v>-6.5134752999999996</v>
      </c>
      <c r="Q197">
        <v>3.6780564</v>
      </c>
      <c r="R197">
        <v>-8.4819078999999995</v>
      </c>
      <c r="S197">
        <f t="shared" si="44"/>
        <v>0.97172147167786327</v>
      </c>
      <c r="T197">
        <f t="shared" si="45"/>
        <v>-23.351505076905003</v>
      </c>
    </row>
    <row r="198" spans="1:49" x14ac:dyDescent="0.35">
      <c r="A198">
        <v>2.4</v>
      </c>
      <c r="B198">
        <v>15.7</v>
      </c>
      <c r="C198">
        <v>-4.9237112999999999E-2</v>
      </c>
      <c r="D198">
        <v>-4.2703230000000002E-2</v>
      </c>
      <c r="E198">
        <v>0.95069773000000002</v>
      </c>
      <c r="F198">
        <v>-4.5710687999999999E-2</v>
      </c>
      <c r="G198">
        <f t="shared" si="36"/>
        <v>5.1221529628292197</v>
      </c>
      <c r="H198">
        <f t="shared" si="37"/>
        <v>-5.0436802292752896</v>
      </c>
      <c r="I198">
        <f t="shared" si="38"/>
        <v>5.1221226446846302</v>
      </c>
      <c r="J198">
        <f t="shared" si="39"/>
        <v>-5.04518405285787</v>
      </c>
      <c r="K198" s="7">
        <f t="shared" si="40"/>
        <v>3.0318144589536199E-5</v>
      </c>
      <c r="L198" s="7">
        <f t="shared" si="41"/>
        <v>1.50382358258039E-3</v>
      </c>
      <c r="M198" s="7">
        <f t="shared" si="42"/>
        <v>9.9093062752244804E-2</v>
      </c>
      <c r="N198" s="7">
        <f t="shared" si="43"/>
        <v>9.7604601573778094E-2</v>
      </c>
      <c r="O198">
        <v>6.9225810000000001</v>
      </c>
      <c r="P198">
        <v>-7.3981231000000003</v>
      </c>
      <c r="Q198">
        <v>3.3338934999999998</v>
      </c>
      <c r="R198">
        <v>-9.2921294000000003</v>
      </c>
      <c r="S198">
        <f t="shared" si="44"/>
        <v>0.97436395321733282</v>
      </c>
      <c r="T198">
        <f t="shared" si="45"/>
        <v>-23.36078287709606</v>
      </c>
    </row>
    <row r="199" spans="1:49" x14ac:dyDescent="0.35">
      <c r="A199">
        <v>2.4</v>
      </c>
      <c r="B199">
        <v>15.8</v>
      </c>
      <c r="C199">
        <v>-5.5976664000000002E-2</v>
      </c>
      <c r="D199">
        <v>-4.2002910999999997E-2</v>
      </c>
      <c r="E199">
        <v>0.94395364000000004</v>
      </c>
      <c r="F199">
        <v>-4.5023758999999997E-2</v>
      </c>
      <c r="G199">
        <f t="shared" si="36"/>
        <v>5.0669865100156102</v>
      </c>
      <c r="H199">
        <f t="shared" si="37"/>
        <v>-4.3240242643427003</v>
      </c>
      <c r="I199">
        <f t="shared" si="38"/>
        <v>5.0669539424151697</v>
      </c>
      <c r="J199">
        <f t="shared" si="39"/>
        <v>-4.3255347901723997</v>
      </c>
      <c r="K199" s="7">
        <f t="shared" si="40"/>
        <v>3.2567600440458498E-5</v>
      </c>
      <c r="L199" s="7">
        <f t="shared" si="41"/>
        <v>1.5105258296994599E-3</v>
      </c>
      <c r="M199" s="7">
        <f t="shared" si="42"/>
        <v>0.114161020236291</v>
      </c>
      <c r="N199" s="7">
        <f t="shared" si="43"/>
        <v>9.7456473914242697E-2</v>
      </c>
      <c r="O199">
        <v>6.7778324999999997</v>
      </c>
      <c r="P199">
        <v>-8.3634634000000005</v>
      </c>
      <c r="Q199">
        <v>2.8372003000000001</v>
      </c>
      <c r="R199">
        <v>-10.126353999999999</v>
      </c>
      <c r="S199">
        <f t="shared" si="44"/>
        <v>0.97689265547884063</v>
      </c>
      <c r="T199">
        <f t="shared" si="45"/>
        <v>-23.369845380470576</v>
      </c>
    </row>
    <row r="200" spans="1:49" x14ac:dyDescent="0.35">
      <c r="A200">
        <v>2.4</v>
      </c>
      <c r="B200">
        <v>15.9</v>
      </c>
      <c r="C200">
        <v>-6.3191016000000003E-2</v>
      </c>
      <c r="D200">
        <v>-4.0142535999999999E-2</v>
      </c>
      <c r="E200">
        <v>0.93682609999999999</v>
      </c>
      <c r="F200">
        <v>-4.3140339999999999E-2</v>
      </c>
      <c r="G200">
        <f t="shared" si="36"/>
        <v>5.0171183278844502</v>
      </c>
      <c r="H200">
        <f t="shared" si="37"/>
        <v>-3.6354016886890799</v>
      </c>
      <c r="I200">
        <f t="shared" si="38"/>
        <v>5.0171291324557004</v>
      </c>
      <c r="J200">
        <f t="shared" si="39"/>
        <v>-3.63690056166674</v>
      </c>
      <c r="K200" s="7">
        <f t="shared" si="40"/>
        <v>-1.08045712501337E-5</v>
      </c>
      <c r="L200" s="7">
        <f t="shared" si="41"/>
        <v>1.4988729776601599E-3</v>
      </c>
      <c r="M200" s="7">
        <f t="shared" si="42"/>
        <v>0.13065906457182899</v>
      </c>
      <c r="N200" s="7">
        <f t="shared" si="43"/>
        <v>9.4714330204123398E-2</v>
      </c>
      <c r="O200">
        <v>6.4630137999999997</v>
      </c>
      <c r="P200">
        <v>-9.3897096999999992</v>
      </c>
      <c r="Q200">
        <v>2.160469</v>
      </c>
      <c r="R200">
        <v>-10.952278</v>
      </c>
      <c r="S200">
        <f t="shared" si="44"/>
        <v>0.97932572578755828</v>
      </c>
      <c r="T200">
        <f t="shared" si="45"/>
        <v>-23.380938798807371</v>
      </c>
    </row>
    <row r="201" spans="1:49" x14ac:dyDescent="0.35">
      <c r="A201">
        <v>2.4</v>
      </c>
      <c r="B201">
        <v>16</v>
      </c>
      <c r="C201">
        <v>-7.0593865000000006E-2</v>
      </c>
      <c r="D201">
        <v>-3.6888839E-2</v>
      </c>
      <c r="E201">
        <v>0.92942473000000003</v>
      </c>
      <c r="F201">
        <v>-3.9899924000000003E-2</v>
      </c>
      <c r="G201">
        <f t="shared" si="36"/>
        <v>4.9663186959558496</v>
      </c>
      <c r="H201">
        <f t="shared" si="37"/>
        <v>-2.9726471651870598</v>
      </c>
      <c r="I201">
        <f t="shared" si="38"/>
        <v>4.9663302599592596</v>
      </c>
      <c r="J201">
        <f t="shared" si="39"/>
        <v>-2.9741526762794699</v>
      </c>
      <c r="K201" s="7">
        <f t="shared" si="40"/>
        <v>-1.15640034099584E-5</v>
      </c>
      <c r="L201" s="7">
        <f t="shared" si="41"/>
        <v>1.5055110924100401E-3</v>
      </c>
      <c r="M201" s="7">
        <f t="shared" si="42"/>
        <v>0.14820433415866399</v>
      </c>
      <c r="N201" s="7">
        <f t="shared" si="43"/>
        <v>8.87541291057478E-2</v>
      </c>
      <c r="O201">
        <v>5.9466229999999998</v>
      </c>
      <c r="P201">
        <v>-10.434016</v>
      </c>
      <c r="Q201">
        <v>1.2917122000000001</v>
      </c>
      <c r="R201">
        <v>-11.718006000000001</v>
      </c>
      <c r="S201">
        <f t="shared" si="44"/>
        <v>0.9816283958726868</v>
      </c>
      <c r="T201">
        <f t="shared" si="45"/>
        <v>-23.38947029664206</v>
      </c>
    </row>
    <row r="202" spans="1:49" x14ac:dyDescent="0.35">
      <c r="A202">
        <v>2.4</v>
      </c>
      <c r="B202">
        <v>16.100000000000001</v>
      </c>
      <c r="C202">
        <v>-7.7822268999999999E-2</v>
      </c>
      <c r="D202">
        <v>-3.2058011999999997E-2</v>
      </c>
      <c r="E202">
        <v>0.92219711000000004</v>
      </c>
      <c r="F202">
        <v>-3.5083304000000003E-2</v>
      </c>
      <c r="G202">
        <f t="shared" si="36"/>
        <v>4.9173493128317602</v>
      </c>
      <c r="H202">
        <f t="shared" si="37"/>
        <v>-2.3364516777689102</v>
      </c>
      <c r="I202">
        <f t="shared" si="38"/>
        <v>4.9173612902640498</v>
      </c>
      <c r="J202">
        <f t="shared" si="39"/>
        <v>-2.3379642909948299</v>
      </c>
      <c r="K202" s="7">
        <f t="shared" si="40"/>
        <v>-1.1977432289533901E-5</v>
      </c>
      <c r="L202" s="7">
        <f t="shared" si="41"/>
        <v>1.51261322591978E-3</v>
      </c>
      <c r="M202" s="7">
        <f t="shared" si="42"/>
        <v>0.16586639652948801</v>
      </c>
      <c r="N202" s="7">
        <f t="shared" si="43"/>
        <v>7.8861342348328395E-2</v>
      </c>
      <c r="O202">
        <v>5.2046545000000002</v>
      </c>
      <c r="P202">
        <v>-11.443770000000001</v>
      </c>
      <c r="Q202">
        <v>0.22849633</v>
      </c>
      <c r="R202">
        <v>-12.365252</v>
      </c>
      <c r="S202">
        <f t="shared" si="44"/>
        <v>0.98374421933262524</v>
      </c>
      <c r="T202">
        <f t="shared" si="45"/>
        <v>-23.397513599466027</v>
      </c>
    </row>
    <row r="203" spans="1:49" x14ac:dyDescent="0.35">
      <c r="A203">
        <v>2.4</v>
      </c>
      <c r="B203">
        <v>16.2</v>
      </c>
      <c r="C203">
        <v>-8.4375258999999994E-2</v>
      </c>
      <c r="D203">
        <v>-2.5634904E-2</v>
      </c>
      <c r="E203">
        <v>0.91564482000000003</v>
      </c>
      <c r="F203">
        <v>-2.8673743000000002E-2</v>
      </c>
      <c r="G203">
        <f t="shared" si="36"/>
        <v>4.8702584304988097</v>
      </c>
      <c r="H203">
        <f t="shared" si="37"/>
        <v>-1.72774766153092</v>
      </c>
      <c r="I203">
        <f t="shared" si="38"/>
        <v>4.8702707784587904</v>
      </c>
      <c r="J203">
        <f t="shared" si="39"/>
        <v>-1.72926704701532</v>
      </c>
      <c r="K203" s="7">
        <f t="shared" si="40"/>
        <v>-1.2347959980729701E-5</v>
      </c>
      <c r="L203" s="7">
        <f t="shared" si="41"/>
        <v>1.5193854844E-3</v>
      </c>
      <c r="M203" s="7">
        <f t="shared" si="42"/>
        <v>0.182339522733698</v>
      </c>
      <c r="N203" s="7">
        <f t="shared" si="43"/>
        <v>6.4742545615023794E-2</v>
      </c>
      <c r="O203">
        <v>4.2366294</v>
      </c>
      <c r="P203">
        <v>-12.342370000000001</v>
      </c>
      <c r="Q203">
        <v>-1.0006816999999999</v>
      </c>
      <c r="R203">
        <v>-12.827984000000001</v>
      </c>
      <c r="S203">
        <f t="shared" si="44"/>
        <v>0.98602967067057701</v>
      </c>
      <c r="T203">
        <f t="shared" si="45"/>
        <v>-23.405723689245004</v>
      </c>
    </row>
    <row r="204" spans="1:49" x14ac:dyDescent="0.35">
      <c r="A204">
        <v>2.4</v>
      </c>
      <c r="B204">
        <v>16.3</v>
      </c>
      <c r="C204">
        <v>-8.9751639999999994E-2</v>
      </c>
      <c r="D204">
        <v>-1.7790019000000001E-2</v>
      </c>
      <c r="E204">
        <v>0.91030303000000001</v>
      </c>
      <c r="F204">
        <v>-2.0888079E-2</v>
      </c>
      <c r="G204">
        <f t="shared" si="36"/>
        <v>4.8252175187237603</v>
      </c>
      <c r="H204">
        <f t="shared" si="37"/>
        <v>-1.1470185384567799</v>
      </c>
      <c r="I204">
        <f t="shared" si="38"/>
        <v>4.8252472522680101</v>
      </c>
      <c r="J204">
        <f t="shared" si="39"/>
        <v>-1.1485674800583101</v>
      </c>
      <c r="K204" s="7">
        <f t="shared" si="40"/>
        <v>-2.9733544249843599E-5</v>
      </c>
      <c r="L204" s="7">
        <f t="shared" si="41"/>
        <v>1.5489416015301799E-3</v>
      </c>
      <c r="M204" s="7">
        <f t="shared" si="42"/>
        <v>0.19613057623837801</v>
      </c>
      <c r="N204" s="7">
        <f t="shared" si="43"/>
        <v>4.6685525100628601E-2</v>
      </c>
      <c r="O204">
        <v>3.0718597000000001</v>
      </c>
      <c r="P204">
        <v>-13.060179</v>
      </c>
      <c r="Q204">
        <v>-2.3429416999999999</v>
      </c>
      <c r="R204">
        <v>-13.052648</v>
      </c>
      <c r="S204">
        <f t="shared" si="44"/>
        <v>0.98842327844071953</v>
      </c>
      <c r="T204">
        <f t="shared" si="45"/>
        <v>-23.412034973243806</v>
      </c>
    </row>
    <row r="205" spans="1:49" x14ac:dyDescent="0.35">
      <c r="A205">
        <v>2.4</v>
      </c>
      <c r="B205">
        <v>16.399999999999999</v>
      </c>
      <c r="C205">
        <v>-9.3518013999999997E-2</v>
      </c>
      <c r="D205">
        <v>-8.9096078999999998E-3</v>
      </c>
      <c r="E205">
        <v>0.90653969999999995</v>
      </c>
      <c r="F205">
        <v>-1.2015358E-2</v>
      </c>
      <c r="G205">
        <f t="shared" si="36"/>
        <v>4.78204503630805</v>
      </c>
      <c r="H205">
        <f t="shared" si="37"/>
        <v>-0.59034531218656106</v>
      </c>
      <c r="I205">
        <f t="shared" si="38"/>
        <v>4.7820763036817002</v>
      </c>
      <c r="J205">
        <f t="shared" si="39"/>
        <v>-0.59189809387361503</v>
      </c>
      <c r="K205" s="7">
        <f t="shared" si="40"/>
        <v>-3.1267373650223403E-5</v>
      </c>
      <c r="L205" s="7">
        <f t="shared" si="41"/>
        <v>1.55278168705397E-3</v>
      </c>
      <c r="M205" s="7">
        <f t="shared" si="42"/>
        <v>0.205958881898304</v>
      </c>
      <c r="N205" s="7">
        <f t="shared" si="43"/>
        <v>2.54924141461506E-2</v>
      </c>
      <c r="O205">
        <v>1.7695839</v>
      </c>
      <c r="P205">
        <v>-13.540171000000001</v>
      </c>
      <c r="Q205">
        <v>-3.7222251000000002</v>
      </c>
      <c r="R205">
        <v>-13.003615</v>
      </c>
      <c r="S205">
        <f t="shared" si="44"/>
        <v>0.99051992892655183</v>
      </c>
      <c r="T205">
        <f t="shared" si="45"/>
        <v>-23.419391018440553</v>
      </c>
    </row>
    <row r="206" spans="1:49" x14ac:dyDescent="0.35">
      <c r="A206">
        <v>2.4</v>
      </c>
      <c r="B206">
        <v>16.5</v>
      </c>
      <c r="C206">
        <v>-9.5429696999999994E-2</v>
      </c>
      <c r="D206">
        <v>4.6627970000000002E-4</v>
      </c>
      <c r="E206">
        <v>0.90457328000000004</v>
      </c>
      <c r="F206">
        <v>-2.5889962000000002E-3</v>
      </c>
      <c r="G206">
        <f t="shared" si="36"/>
        <v>4.7388909215551598</v>
      </c>
      <c r="H206">
        <f t="shared" si="37"/>
        <v>-5.7503464915966002E-2</v>
      </c>
      <c r="I206">
        <f t="shared" si="38"/>
        <v>4.7388947437147904</v>
      </c>
      <c r="J206">
        <f t="shared" si="39"/>
        <v>-5.9031094753212901E-2</v>
      </c>
      <c r="K206" s="7">
        <f t="shared" si="40"/>
        <v>-3.8221596305731998E-6</v>
      </c>
      <c r="L206" s="7">
        <f t="shared" si="41"/>
        <v>1.5276298372469E-3</v>
      </c>
      <c r="M206" s="7">
        <f t="shared" si="42"/>
        <v>0.21098693012231901</v>
      </c>
      <c r="N206" s="7">
        <f t="shared" si="43"/>
        <v>2.62820554946044E-3</v>
      </c>
      <c r="O206">
        <v>0.40858228000000002</v>
      </c>
      <c r="P206">
        <v>-13.748704999999999</v>
      </c>
      <c r="Q206">
        <v>-5.0544624000000002</v>
      </c>
      <c r="R206">
        <v>-12.683377999999999</v>
      </c>
      <c r="S206">
        <f t="shared" si="44"/>
        <v>0.99263074440935206</v>
      </c>
      <c r="T206">
        <f t="shared" si="45"/>
        <v>-23.430020786845493</v>
      </c>
      <c r="AT206">
        <v>16.5</v>
      </c>
      <c r="AU206">
        <v>0.21098693012231901</v>
      </c>
      <c r="AW206">
        <v>0</v>
      </c>
    </row>
    <row r="207" spans="1:49" x14ac:dyDescent="0.35">
      <c r="A207">
        <v>2.4</v>
      </c>
      <c r="B207">
        <v>16.600000000000001</v>
      </c>
      <c r="C207">
        <v>-9.5477632000000007E-2</v>
      </c>
      <c r="D207">
        <v>9.7364387000000007E-3</v>
      </c>
      <c r="E207">
        <v>0.90452772999999997</v>
      </c>
      <c r="F207">
        <v>6.6912385000000001E-3</v>
      </c>
      <c r="G207">
        <f t="shared" si="36"/>
        <v>4.6984970813788403</v>
      </c>
      <c r="H207">
        <f t="shared" si="37"/>
        <v>0.447995213397756</v>
      </c>
      <c r="I207">
        <f t="shared" si="38"/>
        <v>4.6985020806586899</v>
      </c>
      <c r="J207">
        <f t="shared" si="39"/>
        <v>0.44647262499172002</v>
      </c>
      <c r="K207" s="7">
        <f t="shared" si="40"/>
        <v>-4.9992798496489897E-6</v>
      </c>
      <c r="L207" s="7">
        <f t="shared" si="41"/>
        <v>1.5225884060359701E-3</v>
      </c>
      <c r="M207" s="7">
        <f t="shared" si="42"/>
        <v>0.21092917270512701</v>
      </c>
      <c r="N207" s="7">
        <f t="shared" si="43"/>
        <v>-2.0043430822911799E-2</v>
      </c>
      <c r="O207">
        <v>-0.92364743000000005</v>
      </c>
      <c r="P207">
        <v>-13.688639999999999</v>
      </c>
      <c r="Q207">
        <v>-6.2585017000000001</v>
      </c>
      <c r="R207">
        <v>-12.126818</v>
      </c>
      <c r="S207">
        <f t="shared" si="44"/>
        <v>0.99466405606249098</v>
      </c>
      <c r="T207">
        <f t="shared" si="45"/>
        <v>-23.437494135152303</v>
      </c>
    </row>
    <row r="208" spans="1:49" x14ac:dyDescent="0.35">
      <c r="A208">
        <v>2.4</v>
      </c>
      <c r="B208">
        <v>16.7</v>
      </c>
      <c r="C208">
        <v>-9.3882729999999998E-2</v>
      </c>
      <c r="D208">
        <v>1.8387124000000001E-2</v>
      </c>
      <c r="E208">
        <v>0.90610975000000005</v>
      </c>
      <c r="F208">
        <v>1.5216811E-2</v>
      </c>
      <c r="G208">
        <f t="shared" si="36"/>
        <v>4.6603120192521601</v>
      </c>
      <c r="H208">
        <f t="shared" si="37"/>
        <v>0.92428417679240704</v>
      </c>
      <c r="I208">
        <f t="shared" si="38"/>
        <v>4.66031077198119</v>
      </c>
      <c r="J208">
        <f t="shared" si="39"/>
        <v>0.92269901235506901</v>
      </c>
      <c r="K208" s="7">
        <f t="shared" si="40"/>
        <v>1.24727097006172E-6</v>
      </c>
      <c r="L208" s="7">
        <f t="shared" si="41"/>
        <v>1.58516443733803E-3</v>
      </c>
      <c r="M208" s="7">
        <f t="shared" si="42"/>
        <v>0.206483722789677</v>
      </c>
      <c r="N208" s="7">
        <f t="shared" si="43"/>
        <v>-4.0881893162768301E-2</v>
      </c>
      <c r="O208">
        <v>-2.1556101000000001</v>
      </c>
      <c r="P208">
        <v>-13.397504</v>
      </c>
      <c r="Q208">
        <v>-7.2821873999999998</v>
      </c>
      <c r="R208">
        <v>-11.394575</v>
      </c>
      <c r="S208">
        <f t="shared" si="44"/>
        <v>0.99653691332396099</v>
      </c>
      <c r="T208">
        <f t="shared" si="45"/>
        <v>-23.44199319877945</v>
      </c>
    </row>
    <row r="209" spans="1:20" x14ac:dyDescent="0.35">
      <c r="A209">
        <v>2.4</v>
      </c>
      <c r="B209">
        <v>16.8</v>
      </c>
      <c r="C209">
        <v>-9.1013786999999999E-2</v>
      </c>
      <c r="D209">
        <v>2.6040904E-2</v>
      </c>
      <c r="E209">
        <v>0.90899507000000002</v>
      </c>
      <c r="F209">
        <v>2.2835556999999999E-2</v>
      </c>
      <c r="G209">
        <f t="shared" si="36"/>
        <v>4.6244374567674003</v>
      </c>
      <c r="H209">
        <f t="shared" si="37"/>
        <v>1.37683859796466</v>
      </c>
      <c r="I209">
        <f t="shared" si="38"/>
        <v>4.6244444537694198</v>
      </c>
      <c r="J209">
        <f t="shared" si="39"/>
        <v>1.37523594277592</v>
      </c>
      <c r="K209" s="7">
        <f t="shared" si="40"/>
        <v>-6.9970020195597701E-6</v>
      </c>
      <c r="L209" s="7">
        <f t="shared" si="41"/>
        <v>1.60265518874003E-3</v>
      </c>
      <c r="M209" s="7">
        <f t="shared" si="42"/>
        <v>0.19867216800989301</v>
      </c>
      <c r="N209" s="7">
        <f t="shared" si="43"/>
        <v>-5.9081930598975603E-2</v>
      </c>
      <c r="O209">
        <v>-3.2344482999999999</v>
      </c>
      <c r="P209">
        <v>-12.929202</v>
      </c>
      <c r="Q209">
        <v>-8.0983552999999997</v>
      </c>
      <c r="R209">
        <v>-10.556927</v>
      </c>
      <c r="S209">
        <f t="shared" si="44"/>
        <v>0.99832695841823038</v>
      </c>
      <c r="T209">
        <f t="shared" si="45"/>
        <v>-23.447078850530705</v>
      </c>
    </row>
    <row r="210" spans="1:20" x14ac:dyDescent="0.35">
      <c r="A210">
        <v>2.4</v>
      </c>
      <c r="B210">
        <v>16.899999999999999</v>
      </c>
      <c r="C210">
        <v>-8.7332072999999996E-2</v>
      </c>
      <c r="D210">
        <v>3.2471044999999997E-2</v>
      </c>
      <c r="E210">
        <v>0.91265227000000004</v>
      </c>
      <c r="F210">
        <v>2.9365385000000001E-2</v>
      </c>
      <c r="G210">
        <f t="shared" si="36"/>
        <v>4.5872536083382798</v>
      </c>
      <c r="H210">
        <f t="shared" si="37"/>
        <v>1.80165682903184</v>
      </c>
      <c r="I210">
        <f t="shared" si="38"/>
        <v>4.5872481911088201</v>
      </c>
      <c r="J210">
        <f t="shared" si="39"/>
        <v>1.8001039784633099</v>
      </c>
      <c r="K210" s="7">
        <f t="shared" si="40"/>
        <v>5.4172294596810397E-6</v>
      </c>
      <c r="L210" s="7">
        <f t="shared" si="41"/>
        <v>1.55285056853005E-3</v>
      </c>
      <c r="M210" s="7">
        <f t="shared" si="42"/>
        <v>0.188906089654342</v>
      </c>
      <c r="N210" s="7">
        <f t="shared" si="43"/>
        <v>-7.41295411488367E-2</v>
      </c>
      <c r="O210">
        <v>-4.1315910000000002</v>
      </c>
      <c r="P210">
        <v>-12.350031</v>
      </c>
      <c r="Q210">
        <v>-8.7071886000000003</v>
      </c>
      <c r="R210">
        <v>-9.6867695999999999</v>
      </c>
      <c r="S210">
        <f t="shared" si="44"/>
        <v>1.0001631084248728</v>
      </c>
      <c r="T210">
        <f t="shared" si="45"/>
        <v>-23.454361513669699</v>
      </c>
    </row>
    <row r="211" spans="1:20" x14ac:dyDescent="0.35">
      <c r="A211">
        <v>2.4</v>
      </c>
      <c r="B211">
        <v>17</v>
      </c>
      <c r="C211">
        <v>-8.5706721E-2</v>
      </c>
      <c r="D211">
        <v>3.6152081000000003E-2</v>
      </c>
      <c r="E211">
        <v>0.91425301000000003</v>
      </c>
      <c r="F211">
        <v>3.3022471999999997E-2</v>
      </c>
      <c r="G211">
        <f t="shared" si="36"/>
        <v>4.5159894790039496</v>
      </c>
      <c r="H211">
        <f t="shared" si="37"/>
        <v>2.0245252620391998</v>
      </c>
      <c r="I211">
        <f t="shared" si="38"/>
        <v>4.5159717928535796</v>
      </c>
      <c r="J211">
        <f t="shared" si="39"/>
        <v>2.02296039835608</v>
      </c>
      <c r="K211" s="7">
        <f t="shared" si="40"/>
        <v>1.7686150370011002E-5</v>
      </c>
      <c r="L211" s="7">
        <f t="shared" si="41"/>
        <v>1.56486368311981E-3</v>
      </c>
      <c r="M211" s="7">
        <f t="shared" si="42"/>
        <v>0.18442798142525599</v>
      </c>
      <c r="N211" s="7">
        <f t="shared" si="43"/>
        <v>-8.2615773500279793E-2</v>
      </c>
      <c r="O211">
        <v>-4.6439801999999997</v>
      </c>
      <c r="P211">
        <v>-12.145891000000001</v>
      </c>
      <c r="Q211">
        <v>-9.0370641999999997</v>
      </c>
      <c r="R211">
        <v>-9.2638684999999992</v>
      </c>
      <c r="S211">
        <f t="shared" si="44"/>
        <v>0.99525327173196776</v>
      </c>
      <c r="T211">
        <f t="shared" si="45"/>
        <v>-23.36561743589775</v>
      </c>
    </row>
    <row r="212" spans="1:20" x14ac:dyDescent="0.35">
      <c r="A212">
        <v>2.6</v>
      </c>
      <c r="B212">
        <v>15</v>
      </c>
      <c r="C212">
        <v>-2.1904785E-2</v>
      </c>
      <c r="D212">
        <v>-3.8868667000000003E-2</v>
      </c>
      <c r="E212">
        <v>0.97798326000000002</v>
      </c>
      <c r="F212">
        <v>-4.2091999999999997E-2</v>
      </c>
      <c r="G212">
        <f t="shared" si="36"/>
        <v>4.6771746215985397</v>
      </c>
      <c r="H212">
        <f t="shared" si="37"/>
        <v>-9.54224499930449</v>
      </c>
      <c r="I212">
        <f t="shared" si="38"/>
        <v>4.6771212388632897</v>
      </c>
      <c r="J212">
        <f t="shared" si="39"/>
        <v>-9.5438568420665799</v>
      </c>
      <c r="K212" s="7">
        <f t="shared" si="40"/>
        <v>5.3382735250018202E-5</v>
      </c>
      <c r="L212" s="7">
        <f t="shared" si="41"/>
        <v>1.6118427620899201E-3</v>
      </c>
      <c r="M212" s="7">
        <f t="shared" si="42"/>
        <v>4.14048658137205E-2</v>
      </c>
      <c r="N212" s="7">
        <f t="shared" si="43"/>
        <v>8.4488319141191301E-2</v>
      </c>
      <c r="O212">
        <v>6.0178851</v>
      </c>
      <c r="P212">
        <v>-3.1362760999999999</v>
      </c>
      <c r="Q212">
        <v>4.1657728000000001</v>
      </c>
      <c r="R212">
        <v>-5.1123035999999997</v>
      </c>
      <c r="S212">
        <f t="shared" si="44"/>
        <v>0.97178666501099453</v>
      </c>
      <c r="T212">
        <f t="shared" si="45"/>
        <v>-23.29836145000279</v>
      </c>
    </row>
    <row r="213" spans="1:20" x14ac:dyDescent="0.35">
      <c r="A213">
        <v>2.6</v>
      </c>
      <c r="B213">
        <v>15.1</v>
      </c>
      <c r="C213">
        <v>-2.4938549000000001E-2</v>
      </c>
      <c r="D213">
        <v>-4.1022988000000003E-2</v>
      </c>
      <c r="E213">
        <v>0.97496024000000003</v>
      </c>
      <c r="F213">
        <v>-4.4212336999999997E-2</v>
      </c>
      <c r="G213">
        <f t="shared" si="36"/>
        <v>4.61923553324492</v>
      </c>
      <c r="H213">
        <f t="shared" si="37"/>
        <v>-8.7297431876519092</v>
      </c>
      <c r="I213">
        <f t="shared" si="38"/>
        <v>4.6191874685502698</v>
      </c>
      <c r="J213">
        <f t="shared" si="39"/>
        <v>-8.7313380195067101</v>
      </c>
      <c r="K213" s="7">
        <f t="shared" si="40"/>
        <v>4.8064694650129498E-5</v>
      </c>
      <c r="L213" s="7">
        <f t="shared" si="41"/>
        <v>1.59483185480092E-3</v>
      </c>
      <c r="M213" s="7">
        <f t="shared" si="42"/>
        <v>4.73407608728292E-2</v>
      </c>
      <c r="N213" s="7">
        <f t="shared" si="43"/>
        <v>8.9485042141196902E-2</v>
      </c>
      <c r="O213">
        <v>6.2758877999999996</v>
      </c>
      <c r="P213">
        <v>-3.5443292</v>
      </c>
      <c r="Q213">
        <v>4.2561787000000004</v>
      </c>
      <c r="R213">
        <v>-5.5974969000000003</v>
      </c>
      <c r="S213">
        <f t="shared" si="44"/>
        <v>0.97562146865255173</v>
      </c>
      <c r="T213">
        <f t="shared" si="45"/>
        <v>-23.295927358173106</v>
      </c>
    </row>
    <row r="214" spans="1:20" x14ac:dyDescent="0.35">
      <c r="A214">
        <v>2.6</v>
      </c>
      <c r="B214">
        <v>15.2</v>
      </c>
      <c r="C214">
        <v>-2.8465280999999999E-2</v>
      </c>
      <c r="D214">
        <v>-4.3114479999999997E-2</v>
      </c>
      <c r="E214">
        <v>0.97143018999999997</v>
      </c>
      <c r="F214">
        <v>-4.6313807999999998E-2</v>
      </c>
      <c r="G214">
        <f t="shared" si="36"/>
        <v>4.5696213205035896</v>
      </c>
      <c r="H214">
        <f t="shared" si="37"/>
        <v>-7.9480842716848503</v>
      </c>
      <c r="I214">
        <f t="shared" si="38"/>
        <v>4.5695716125915098</v>
      </c>
      <c r="J214">
        <f t="shared" si="39"/>
        <v>-7.9496840988150002</v>
      </c>
      <c r="K214" s="7">
        <f t="shared" si="40"/>
        <v>4.9707912079810499E-5</v>
      </c>
      <c r="L214" s="7">
        <f t="shared" si="41"/>
        <v>1.59982713014983E-3</v>
      </c>
      <c r="M214" s="7">
        <f t="shared" si="42"/>
        <v>5.4348896307616003E-2</v>
      </c>
      <c r="N214" s="7">
        <f t="shared" si="43"/>
        <v>9.4550779240282101E-2</v>
      </c>
      <c r="O214">
        <v>6.5301521999999999</v>
      </c>
      <c r="P214">
        <v>-4.0196376999999996</v>
      </c>
      <c r="Q214">
        <v>4.3129251000000002</v>
      </c>
      <c r="R214">
        <v>-6.1412494000000004</v>
      </c>
      <c r="S214">
        <f t="shared" si="44"/>
        <v>0.97864883217486098</v>
      </c>
      <c r="T214">
        <f t="shared" si="45"/>
        <v>-23.305705982790187</v>
      </c>
    </row>
    <row r="215" spans="1:20" x14ac:dyDescent="0.35">
      <c r="A215">
        <v>2.6</v>
      </c>
      <c r="B215">
        <v>15.3</v>
      </c>
      <c r="C215">
        <v>-3.2533608999999998E-2</v>
      </c>
      <c r="D215">
        <v>-4.5106384999999999E-2</v>
      </c>
      <c r="E215">
        <v>0.96735894</v>
      </c>
      <c r="F215">
        <v>-4.8317069999999997E-2</v>
      </c>
      <c r="G215">
        <f t="shared" si="36"/>
        <v>4.52285843630046</v>
      </c>
      <c r="H215">
        <f t="shared" si="37"/>
        <v>-7.1990865105972697</v>
      </c>
      <c r="I215">
        <f t="shared" si="38"/>
        <v>4.5228072854472003</v>
      </c>
      <c r="J215">
        <f t="shared" si="39"/>
        <v>-7.2006920214687904</v>
      </c>
      <c r="K215" s="7">
        <f t="shared" si="40"/>
        <v>5.1150853259684902E-5</v>
      </c>
      <c r="L215" s="7">
        <f t="shared" si="41"/>
        <v>1.6055108715207201E-3</v>
      </c>
      <c r="M215" s="7">
        <f t="shared" si="42"/>
        <v>6.2551141538474603E-2</v>
      </c>
      <c r="N215" s="7">
        <f t="shared" si="43"/>
        <v>9.9586711832521393E-2</v>
      </c>
      <c r="O215">
        <v>6.7689214</v>
      </c>
      <c r="P215">
        <v>-4.5655923999999999</v>
      </c>
      <c r="Q215">
        <v>4.3275134</v>
      </c>
      <c r="R215">
        <v>-6.7449741999999997</v>
      </c>
      <c r="S215">
        <f t="shared" si="44"/>
        <v>0.98152163641523782</v>
      </c>
      <c r="T215">
        <f t="shared" si="45"/>
        <v>-23.316740277641522</v>
      </c>
    </row>
    <row r="216" spans="1:20" x14ac:dyDescent="0.35">
      <c r="A216">
        <v>2.6</v>
      </c>
      <c r="B216">
        <v>15.4</v>
      </c>
      <c r="C216">
        <v>-3.7214601999999999E-2</v>
      </c>
      <c r="D216">
        <v>-4.6912051000000003E-2</v>
      </c>
      <c r="E216">
        <v>0.96267502999999999</v>
      </c>
      <c r="F216">
        <v>-5.0134837000000002E-2</v>
      </c>
      <c r="G216">
        <f t="shared" si="36"/>
        <v>4.4778776461784604</v>
      </c>
      <c r="H216">
        <f t="shared" si="37"/>
        <v>-6.4801139428549801</v>
      </c>
      <c r="I216">
        <f t="shared" si="38"/>
        <v>4.4778250561436002</v>
      </c>
      <c r="J216">
        <f t="shared" si="39"/>
        <v>-6.4817255095308903</v>
      </c>
      <c r="K216" s="7">
        <f t="shared" si="40"/>
        <v>5.25900348602448E-5</v>
      </c>
      <c r="L216" s="7">
        <f t="shared" si="41"/>
        <v>1.61156667591023E-3</v>
      </c>
      <c r="M216" s="7">
        <f t="shared" si="42"/>
        <v>7.2148877622029206E-2</v>
      </c>
      <c r="N216" s="7">
        <f t="shared" si="43"/>
        <v>0.104436688504637</v>
      </c>
      <c r="O216">
        <v>6.9794131000000004</v>
      </c>
      <c r="P216">
        <v>-5.1906528999999999</v>
      </c>
      <c r="Q216">
        <v>4.2852908999999997</v>
      </c>
      <c r="R216">
        <v>-7.4122358999999998</v>
      </c>
      <c r="S216">
        <f t="shared" si="44"/>
        <v>0.98434562853701113</v>
      </c>
      <c r="T216">
        <f t="shared" si="45"/>
        <v>-23.327669834725459</v>
      </c>
    </row>
    <row r="217" spans="1:20" x14ac:dyDescent="0.35">
      <c r="A217">
        <v>2.6</v>
      </c>
      <c r="B217">
        <v>15.5</v>
      </c>
      <c r="C217">
        <v>-4.2579715999999997E-2</v>
      </c>
      <c r="D217">
        <v>-4.8406671999999998E-2</v>
      </c>
      <c r="E217">
        <v>0.95730870999999995</v>
      </c>
      <c r="F217">
        <v>-5.1643520999999998E-2</v>
      </c>
      <c r="G217">
        <f t="shared" si="36"/>
        <v>4.4343527393516604</v>
      </c>
      <c r="H217">
        <f t="shared" si="37"/>
        <v>-5.7887352025294403</v>
      </c>
      <c r="I217">
        <f t="shared" si="38"/>
        <v>4.4342995689687204</v>
      </c>
      <c r="J217">
        <f t="shared" si="39"/>
        <v>-5.7903538033785802</v>
      </c>
      <c r="K217" s="7">
        <f t="shared" si="40"/>
        <v>5.3170382940059797E-5</v>
      </c>
      <c r="L217" s="7">
        <f t="shared" si="41"/>
        <v>1.6186008491399001E-3</v>
      </c>
      <c r="M217" s="7">
        <f t="shared" si="42"/>
        <v>8.3365269988579405E-2</v>
      </c>
      <c r="N217" s="7">
        <f t="shared" si="43"/>
        <v>0.10885922356849601</v>
      </c>
      <c r="O217">
        <v>7.1454084</v>
      </c>
      <c r="P217">
        <v>-5.9038383000000003</v>
      </c>
      <c r="Q217">
        <v>4.1670407000000003</v>
      </c>
      <c r="R217">
        <v>-8.1442519000000004</v>
      </c>
      <c r="S217">
        <f t="shared" si="44"/>
        <v>0.98700056924806934</v>
      </c>
      <c r="T217">
        <f t="shared" si="45"/>
        <v>-23.338297407508975</v>
      </c>
    </row>
    <row r="218" spans="1:20" x14ac:dyDescent="0.35">
      <c r="A218">
        <v>2.6</v>
      </c>
      <c r="B218">
        <v>15.6</v>
      </c>
      <c r="C218">
        <v>-4.8666346999999999E-2</v>
      </c>
      <c r="D218">
        <v>-4.9419943000000001E-2</v>
      </c>
      <c r="E218">
        <v>0.95122013999999999</v>
      </c>
      <c r="F218">
        <v>-5.2670385E-2</v>
      </c>
      <c r="G218">
        <f t="shared" si="36"/>
        <v>4.3923474077434301</v>
      </c>
      <c r="H218">
        <f t="shared" si="37"/>
        <v>-5.1246673407864698</v>
      </c>
      <c r="I218">
        <f t="shared" si="38"/>
        <v>4.3922932898080598</v>
      </c>
      <c r="J218">
        <f t="shared" si="39"/>
        <v>-5.1262927419921596</v>
      </c>
      <c r="K218" s="7">
        <f t="shared" si="40"/>
        <v>5.4117935370356897E-5</v>
      </c>
      <c r="L218" s="7">
        <f t="shared" si="41"/>
        <v>1.62540120568977E-3</v>
      </c>
      <c r="M218" s="7">
        <f t="shared" si="42"/>
        <v>9.6383269034683902E-2</v>
      </c>
      <c r="N218" s="7">
        <f t="shared" si="43"/>
        <v>0.112489949987736</v>
      </c>
      <c r="O218">
        <v>7.2433874999999999</v>
      </c>
      <c r="P218">
        <v>-6.7084286000000004</v>
      </c>
      <c r="Q218">
        <v>3.9502557999999999</v>
      </c>
      <c r="R218">
        <v>-8.9363613999999991</v>
      </c>
      <c r="S218">
        <f t="shared" si="44"/>
        <v>0.98965300802254896</v>
      </c>
      <c r="T218">
        <f t="shared" si="45"/>
        <v>-23.348345905062459</v>
      </c>
    </row>
    <row r="219" spans="1:20" x14ac:dyDescent="0.35">
      <c r="A219">
        <v>2.6</v>
      </c>
      <c r="B219">
        <v>15.7</v>
      </c>
      <c r="C219">
        <v>-5.5486523000000003E-2</v>
      </c>
      <c r="D219">
        <v>-4.9739567999999998E-2</v>
      </c>
      <c r="E219">
        <v>0.94439850000000003</v>
      </c>
      <c r="F219">
        <v>-5.3004226000000002E-2</v>
      </c>
      <c r="G219">
        <f t="shared" si="36"/>
        <v>4.3517031083146103</v>
      </c>
      <c r="H219">
        <f t="shared" si="37"/>
        <v>-4.4864322760139803</v>
      </c>
      <c r="I219">
        <f t="shared" si="38"/>
        <v>4.3516482814599398</v>
      </c>
      <c r="J219">
        <f t="shared" si="39"/>
        <v>-4.4880647883601199</v>
      </c>
      <c r="K219" s="7">
        <f t="shared" si="40"/>
        <v>5.4826854670508899E-5</v>
      </c>
      <c r="L219" s="7">
        <f t="shared" si="41"/>
        <v>1.6325123461395901E-3</v>
      </c>
      <c r="M219" s="7">
        <f t="shared" si="42"/>
        <v>0.111353540216582</v>
      </c>
      <c r="N219" s="7">
        <f t="shared" si="43"/>
        <v>0.11484427751996901</v>
      </c>
      <c r="O219">
        <v>7.2459224000000004</v>
      </c>
      <c r="P219">
        <v>-7.6050221999999996</v>
      </c>
      <c r="Q219">
        <v>3.6085357999999998</v>
      </c>
      <c r="R219">
        <v>-9.7776378000000008</v>
      </c>
      <c r="S219">
        <f t="shared" si="44"/>
        <v>0.99219344426023237</v>
      </c>
      <c r="T219">
        <f t="shared" si="45"/>
        <v>-23.357752085645696</v>
      </c>
    </row>
    <row r="220" spans="1:20" x14ac:dyDescent="0.35">
      <c r="A220">
        <v>2.6</v>
      </c>
      <c r="B220">
        <v>15.8</v>
      </c>
      <c r="C220">
        <v>-6.2993975999999993E-2</v>
      </c>
      <c r="D220">
        <v>-4.9106575E-2</v>
      </c>
      <c r="E220">
        <v>0.93699703000000001</v>
      </c>
      <c r="F220">
        <v>-5.2343321999999998E-2</v>
      </c>
      <c r="G220">
        <f t="shared" si="36"/>
        <v>4.3150520984563201</v>
      </c>
      <c r="H220">
        <f t="shared" si="37"/>
        <v>-3.8761613196126699</v>
      </c>
      <c r="I220">
        <f t="shared" si="38"/>
        <v>4.3150502205973504</v>
      </c>
      <c r="J220">
        <f t="shared" si="39"/>
        <v>-3.8777797034296202</v>
      </c>
      <c r="K220" s="7">
        <f t="shared" si="40"/>
        <v>1.87785896965664E-6</v>
      </c>
      <c r="L220" s="7">
        <f t="shared" si="41"/>
        <v>1.61838381695034E-3</v>
      </c>
      <c r="M220" s="7">
        <f t="shared" si="42"/>
        <v>0.12820725329666499</v>
      </c>
      <c r="N220" s="7">
        <f t="shared" si="43"/>
        <v>0.115215225605751</v>
      </c>
      <c r="O220">
        <v>7.1177792999999996</v>
      </c>
      <c r="P220">
        <v>-8.5828100000000003</v>
      </c>
      <c r="Q220">
        <v>3.1135299000000001</v>
      </c>
      <c r="R220">
        <v>-10.648334999999999</v>
      </c>
      <c r="S220">
        <f t="shared" si="44"/>
        <v>0.9949751947132125</v>
      </c>
      <c r="T220">
        <f t="shared" si="45"/>
        <v>-23.370429514199994</v>
      </c>
    </row>
    <row r="221" spans="1:20" x14ac:dyDescent="0.35">
      <c r="A221">
        <v>2.6</v>
      </c>
      <c r="B221">
        <v>15.9</v>
      </c>
      <c r="C221">
        <v>-7.1038352999999999E-2</v>
      </c>
      <c r="D221">
        <v>-4.7247427000000002E-2</v>
      </c>
      <c r="E221">
        <v>0.92895764999999997</v>
      </c>
      <c r="F221">
        <v>-5.0501207999999999E-2</v>
      </c>
      <c r="G221">
        <f t="shared" si="36"/>
        <v>4.27715090842349</v>
      </c>
      <c r="H221">
        <f t="shared" si="37"/>
        <v>-3.2857694766790901</v>
      </c>
      <c r="I221">
        <f t="shared" si="38"/>
        <v>4.2771515567010603</v>
      </c>
      <c r="J221">
        <f t="shared" si="39"/>
        <v>-3.28739636937576</v>
      </c>
      <c r="K221" s="7">
        <f t="shared" si="40"/>
        <v>-6.4827757029206602E-7</v>
      </c>
      <c r="L221" s="7">
        <f t="shared" si="41"/>
        <v>1.6268926966698199E-3</v>
      </c>
      <c r="M221" s="7">
        <f t="shared" si="42"/>
        <v>0.14697610076759399</v>
      </c>
      <c r="N221" s="7">
        <f t="shared" si="43"/>
        <v>0.112965064165521</v>
      </c>
      <c r="O221">
        <v>6.8260532999999999</v>
      </c>
      <c r="P221">
        <v>-9.6248710000000006</v>
      </c>
      <c r="Q221">
        <v>2.4401525999999998</v>
      </c>
      <c r="R221">
        <v>-11.514315</v>
      </c>
      <c r="S221">
        <f t="shared" si="44"/>
        <v>0.99748540051670875</v>
      </c>
      <c r="T221">
        <f t="shared" si="45"/>
        <v>-23.379355962228413</v>
      </c>
    </row>
    <row r="222" spans="1:20" x14ac:dyDescent="0.35">
      <c r="A222">
        <v>2.6</v>
      </c>
      <c r="B222">
        <v>16</v>
      </c>
      <c r="C222">
        <v>-7.9351224999999997E-2</v>
      </c>
      <c r="D222">
        <v>-4.3894101999999997E-2</v>
      </c>
      <c r="E222">
        <v>0.92065246000000001</v>
      </c>
      <c r="F222">
        <v>-4.7163836000000001E-2</v>
      </c>
      <c r="G222">
        <f t="shared" si="36"/>
        <v>4.2405507979169803</v>
      </c>
      <c r="H222">
        <f t="shared" si="37"/>
        <v>-2.7192099532455498</v>
      </c>
      <c r="I222">
        <f t="shared" si="38"/>
        <v>4.2405553131817797</v>
      </c>
      <c r="J222">
        <f t="shared" si="39"/>
        <v>-2.7208448098514699</v>
      </c>
      <c r="K222" s="7">
        <f t="shared" si="40"/>
        <v>-4.5152647993873504E-6</v>
      </c>
      <c r="L222" s="7">
        <f t="shared" si="41"/>
        <v>1.6348566059201099E-3</v>
      </c>
      <c r="M222" s="7">
        <f t="shared" si="42"/>
        <v>0.167047635326244</v>
      </c>
      <c r="N222" s="7">
        <f t="shared" si="43"/>
        <v>0.107181880203879</v>
      </c>
      <c r="O222">
        <v>6.3385235</v>
      </c>
      <c r="P222">
        <v>-10.695304</v>
      </c>
      <c r="Q222">
        <v>1.5715744</v>
      </c>
      <c r="R222">
        <v>-12.328227</v>
      </c>
      <c r="S222">
        <f t="shared" si="44"/>
        <v>0.99963963441897785</v>
      </c>
      <c r="T222">
        <f t="shared" si="45"/>
        <v>-23.38815738080071</v>
      </c>
    </row>
    <row r="223" spans="1:20" x14ac:dyDescent="0.35">
      <c r="A223">
        <v>2.6</v>
      </c>
      <c r="B223">
        <v>16.100000000000001</v>
      </c>
      <c r="C223">
        <v>-8.7545916000000001E-2</v>
      </c>
      <c r="D223">
        <v>-3.8846068999999997E-2</v>
      </c>
      <c r="E223">
        <v>0.91246841999999995</v>
      </c>
      <c r="F223">
        <v>-4.2131046999999998E-2</v>
      </c>
      <c r="G223">
        <f t="shared" si="36"/>
        <v>4.2051875225967903</v>
      </c>
      <c r="H223">
        <f t="shared" si="37"/>
        <v>-2.1754317087308102</v>
      </c>
      <c r="I223">
        <f t="shared" si="38"/>
        <v>4.20519738825024</v>
      </c>
      <c r="J223">
        <f t="shared" si="39"/>
        <v>-2.1770741697534302</v>
      </c>
      <c r="K223" s="7">
        <f t="shared" si="40"/>
        <v>-9.8656534497365606E-6</v>
      </c>
      <c r="L223" s="7">
        <f t="shared" si="41"/>
        <v>1.6424610226200001E-3</v>
      </c>
      <c r="M223" s="7">
        <f t="shared" si="42"/>
        <v>0.18753664476804999</v>
      </c>
      <c r="N223" s="7">
        <f t="shared" si="43"/>
        <v>9.7089660130467895E-2</v>
      </c>
      <c r="O223">
        <v>5.6260009999999996</v>
      </c>
      <c r="P223">
        <v>-11.732987</v>
      </c>
      <c r="Q223">
        <v>0.50555969000000001</v>
      </c>
      <c r="R223">
        <v>-13.032368999999999</v>
      </c>
      <c r="S223">
        <f t="shared" si="44"/>
        <v>1.0023106569363627</v>
      </c>
      <c r="T223">
        <f t="shared" si="45"/>
        <v>-23.396312560931282</v>
      </c>
    </row>
    <row r="224" spans="1:20" x14ac:dyDescent="0.35">
      <c r="A224">
        <v>2.6</v>
      </c>
      <c r="B224">
        <v>16.2</v>
      </c>
      <c r="C224">
        <v>-9.5123945000000001E-2</v>
      </c>
      <c r="D224">
        <v>-3.2042163999999998E-2</v>
      </c>
      <c r="E224">
        <v>0.90491029999999995</v>
      </c>
      <c r="F224">
        <v>-3.5426944000000002E-2</v>
      </c>
      <c r="G224">
        <f t="shared" si="36"/>
        <v>4.16972195426737</v>
      </c>
      <c r="H224">
        <f t="shared" si="37"/>
        <v>-1.65551581342486</v>
      </c>
      <c r="I224">
        <f t="shared" si="38"/>
        <v>4.1697419405027798</v>
      </c>
      <c r="J224">
        <f t="shared" si="39"/>
        <v>-1.65720814062348</v>
      </c>
      <c r="K224" s="7">
        <f t="shared" si="40"/>
        <v>-1.9986235409774602E-5</v>
      </c>
      <c r="L224" s="7">
        <f t="shared" si="41"/>
        <v>1.69232719862E-3</v>
      </c>
      <c r="M224" s="7">
        <f t="shared" si="42"/>
        <v>0.20710892514839099</v>
      </c>
      <c r="N224" s="7">
        <f t="shared" si="43"/>
        <v>8.2312671059520795E-2</v>
      </c>
      <c r="O224">
        <v>4.6893649999999996</v>
      </c>
      <c r="P224">
        <v>-12.681604</v>
      </c>
      <c r="Q224">
        <v>-0.73669231999999996</v>
      </c>
      <c r="R224">
        <v>-13.564271</v>
      </c>
      <c r="S224">
        <f t="shared" si="44"/>
        <v>1.0046903538931755</v>
      </c>
      <c r="T224">
        <f t="shared" si="45"/>
        <v>-23.401982909530275</v>
      </c>
    </row>
    <row r="225" spans="1:49" x14ac:dyDescent="0.35">
      <c r="A225">
        <v>2.6</v>
      </c>
      <c r="B225">
        <v>16.3</v>
      </c>
      <c r="C225">
        <v>-0.10153402</v>
      </c>
      <c r="D225">
        <v>-2.3621805999999999E-2</v>
      </c>
      <c r="E225">
        <v>0.89852012000000003</v>
      </c>
      <c r="F225">
        <v>-2.7025045000000001E-2</v>
      </c>
      <c r="G225">
        <f t="shared" si="36"/>
        <v>4.13714976636897</v>
      </c>
      <c r="H225">
        <f t="shared" si="37"/>
        <v>-1.15600496188768</v>
      </c>
      <c r="I225">
        <f t="shared" si="38"/>
        <v>4.1371797309016198</v>
      </c>
      <c r="J225">
        <f t="shared" si="39"/>
        <v>-1.1577064843392399</v>
      </c>
      <c r="K225" s="7">
        <f t="shared" si="40"/>
        <v>-2.9964532649806599E-5</v>
      </c>
      <c r="L225" s="7">
        <f t="shared" si="41"/>
        <v>1.70152245155997E-3</v>
      </c>
      <c r="M225" s="7">
        <f t="shared" si="42"/>
        <v>0.224157920964003</v>
      </c>
      <c r="N225" s="7">
        <f t="shared" si="43"/>
        <v>6.2726082862122307E-2</v>
      </c>
      <c r="O225">
        <v>3.5493942000000001</v>
      </c>
      <c r="P225">
        <v>-13.470300999999999</v>
      </c>
      <c r="Q225">
        <v>-2.1083563999999999</v>
      </c>
      <c r="R225">
        <v>-13.862947999999999</v>
      </c>
      <c r="S225">
        <f t="shared" si="44"/>
        <v>1.00662408714815</v>
      </c>
      <c r="T225">
        <f t="shared" si="45"/>
        <v>-23.409376091729857</v>
      </c>
    </row>
    <row r="226" spans="1:49" x14ac:dyDescent="0.35">
      <c r="A226">
        <v>2.6</v>
      </c>
      <c r="B226">
        <v>16.399999999999999</v>
      </c>
      <c r="C226">
        <v>-0.1062927</v>
      </c>
      <c r="D226">
        <v>-1.3944451E-2</v>
      </c>
      <c r="E226">
        <v>0.89370152000000003</v>
      </c>
      <c r="F226">
        <v>-1.7308272999999999E-2</v>
      </c>
      <c r="G226">
        <f t="shared" si="36"/>
        <v>4.1043568982524299</v>
      </c>
      <c r="H226">
        <f t="shared" si="37"/>
        <v>-0.67603893130973203</v>
      </c>
      <c r="I226">
        <f t="shared" si="38"/>
        <v>4.1043568370852102</v>
      </c>
      <c r="J226">
        <f t="shared" si="39"/>
        <v>-0.67772084727334703</v>
      </c>
      <c r="K226" s="7">
        <f t="shared" si="40"/>
        <v>6.1167219733704301E-8</v>
      </c>
      <c r="L226" s="7">
        <f t="shared" si="41"/>
        <v>1.681915963615E-3</v>
      </c>
      <c r="M226" s="7">
        <f t="shared" si="42"/>
        <v>0.23717681812242999</v>
      </c>
      <c r="N226" s="7">
        <f t="shared" si="43"/>
        <v>3.9163182079870497E-2</v>
      </c>
      <c r="O226">
        <v>2.2538410999999998</v>
      </c>
      <c r="P226">
        <v>-14.028810999999999</v>
      </c>
      <c r="Q226">
        <v>-3.5380869000000001</v>
      </c>
      <c r="R226">
        <v>-13.891164</v>
      </c>
      <c r="S226">
        <f t="shared" si="44"/>
        <v>1.0088645825320828</v>
      </c>
      <c r="T226">
        <f t="shared" si="45"/>
        <v>-23.416474429003749</v>
      </c>
    </row>
    <row r="227" spans="1:49" x14ac:dyDescent="0.35">
      <c r="A227">
        <v>2.6</v>
      </c>
      <c r="B227">
        <v>16.5</v>
      </c>
      <c r="C227">
        <v>-0.10907913</v>
      </c>
      <c r="D227">
        <v>-3.5645223999999998E-3</v>
      </c>
      <c r="E227">
        <v>0.89086580999999998</v>
      </c>
      <c r="F227">
        <v>-6.9978304000000002E-3</v>
      </c>
      <c r="G227">
        <f t="shared" si="36"/>
        <v>4.07197219375752</v>
      </c>
      <c r="H227">
        <f t="shared" si="37"/>
        <v>-0.22044183795209699</v>
      </c>
      <c r="I227">
        <f t="shared" si="38"/>
        <v>4.0719476101352701</v>
      </c>
      <c r="J227">
        <f t="shared" si="39"/>
        <v>-0.22215858141561901</v>
      </c>
      <c r="K227" s="7">
        <f t="shared" si="40"/>
        <v>2.4583622249885199E-5</v>
      </c>
      <c r="L227" s="7">
        <f t="shared" si="41"/>
        <v>1.71674346352202E-3</v>
      </c>
      <c r="M227" s="7">
        <f t="shared" si="42"/>
        <v>0.24485389306046601</v>
      </c>
      <c r="N227" s="7">
        <f t="shared" si="43"/>
        <v>1.33588146863701E-2</v>
      </c>
      <c r="O227">
        <v>0.87883935000000002</v>
      </c>
      <c r="P227">
        <v>-14.326245999999999</v>
      </c>
      <c r="Q227">
        <v>-4.9426626999999996</v>
      </c>
      <c r="R227">
        <v>-13.642466000000001</v>
      </c>
      <c r="S227">
        <f t="shared" si="44"/>
        <v>1.0109420988061397</v>
      </c>
      <c r="T227">
        <f t="shared" si="45"/>
        <v>-23.425835383118176</v>
      </c>
    </row>
    <row r="228" spans="1:49" x14ac:dyDescent="0.35">
      <c r="A228">
        <v>2.6</v>
      </c>
      <c r="B228">
        <v>16.600000000000001</v>
      </c>
      <c r="C228">
        <v>-0.10981319</v>
      </c>
      <c r="D228">
        <v>6.8919621000000002E-3</v>
      </c>
      <c r="E228">
        <v>0.89007482000000004</v>
      </c>
      <c r="F228">
        <v>3.3921012999999999E-3</v>
      </c>
      <c r="G228">
        <f t="shared" si="36"/>
        <v>4.04094672743134</v>
      </c>
      <c r="H228">
        <f t="shared" si="37"/>
        <v>0.21339648699910199</v>
      </c>
      <c r="I228">
        <f t="shared" si="38"/>
        <v>4.0408937920572097</v>
      </c>
      <c r="J228">
        <f t="shared" si="39"/>
        <v>0.21164636596785399</v>
      </c>
      <c r="K228" s="7">
        <f t="shared" si="40"/>
        <v>5.2935374130314003E-5</v>
      </c>
      <c r="L228" s="7">
        <f t="shared" si="41"/>
        <v>1.7501210312479999E-3</v>
      </c>
      <c r="M228" s="7">
        <f t="shared" si="42"/>
        <v>0.24679298628768601</v>
      </c>
      <c r="N228" s="7">
        <f t="shared" si="43"/>
        <v>-1.2926060763292601E-2</v>
      </c>
      <c r="O228">
        <v>-0.49252409000000003</v>
      </c>
      <c r="P228">
        <v>-14.352819</v>
      </c>
      <c r="Q228">
        <v>-6.2388998000000004</v>
      </c>
      <c r="R228">
        <v>-13.141909999999999</v>
      </c>
      <c r="S228">
        <f t="shared" si="44"/>
        <v>1.0129770839581984</v>
      </c>
      <c r="T228">
        <f t="shared" si="45"/>
        <v>-23.429878324062198</v>
      </c>
      <c r="AT228">
        <v>16.600000000000001</v>
      </c>
      <c r="AU228">
        <v>0.24679298628768601</v>
      </c>
      <c r="AW228">
        <v>0</v>
      </c>
    </row>
    <row r="229" spans="1:49" x14ac:dyDescent="0.35">
      <c r="A229">
        <v>2.6</v>
      </c>
      <c r="B229">
        <v>16.7</v>
      </c>
      <c r="C229">
        <v>-0.10866452</v>
      </c>
      <c r="D229">
        <v>1.6825224999999999E-2</v>
      </c>
      <c r="E229">
        <v>0.89130887999999997</v>
      </c>
      <c r="F229">
        <v>1.3259099E-2</v>
      </c>
      <c r="G229">
        <f t="shared" si="36"/>
        <v>4.0142776931916</v>
      </c>
      <c r="H229">
        <f t="shared" si="37"/>
        <v>0.62571472471715694</v>
      </c>
      <c r="I229">
        <f t="shared" si="38"/>
        <v>4.01426757244512</v>
      </c>
      <c r="J229">
        <f t="shared" si="39"/>
        <v>0.62393161995593605</v>
      </c>
      <c r="K229" s="7">
        <f t="shared" si="40"/>
        <v>1.01207464799913E-5</v>
      </c>
      <c r="L229" s="7">
        <f t="shared" si="41"/>
        <v>1.7831047612209001E-3</v>
      </c>
      <c r="M229" s="7">
        <f t="shared" si="42"/>
        <v>0.24323536110472499</v>
      </c>
      <c r="N229" s="7">
        <f t="shared" si="43"/>
        <v>-3.7805709297100698E-2</v>
      </c>
      <c r="O229">
        <v>-1.7822499999999999</v>
      </c>
      <c r="P229">
        <v>-14.135389999999999</v>
      </c>
      <c r="Q229">
        <v>-7.3657368999999999</v>
      </c>
      <c r="R229">
        <v>-12.444232</v>
      </c>
      <c r="S229">
        <f t="shared" si="44"/>
        <v>1.0149807863841269</v>
      </c>
      <c r="T229">
        <f t="shared" si="45"/>
        <v>-23.435100960065572</v>
      </c>
    </row>
    <row r="230" spans="1:49" x14ac:dyDescent="0.35">
      <c r="A230">
        <v>2.6</v>
      </c>
      <c r="B230">
        <v>16.8</v>
      </c>
      <c r="C230">
        <v>-0.10599156999999999</v>
      </c>
      <c r="D230">
        <v>2.5790977999999999E-2</v>
      </c>
      <c r="E230">
        <v>0.89395988999999998</v>
      </c>
      <c r="F230">
        <v>2.2212234000000001E-2</v>
      </c>
      <c r="G230">
        <f t="shared" si="36"/>
        <v>3.9863386388998299</v>
      </c>
      <c r="H230">
        <f t="shared" si="37"/>
        <v>1.01658332134794</v>
      </c>
      <c r="I230">
        <f t="shared" si="38"/>
        <v>3.98631757038582</v>
      </c>
      <c r="J230">
        <f t="shared" si="39"/>
        <v>1.01479386821851</v>
      </c>
      <c r="K230" s="7">
        <f t="shared" si="40"/>
        <v>2.1068514009847702E-5</v>
      </c>
      <c r="L230" s="7">
        <f t="shared" si="41"/>
        <v>1.78945312943002E-3</v>
      </c>
      <c r="M230" s="7">
        <f t="shared" si="42"/>
        <v>0.235590524739827</v>
      </c>
      <c r="N230" s="7">
        <f t="shared" si="43"/>
        <v>-5.9974102839282298E-2</v>
      </c>
      <c r="O230">
        <v>-2.9354298999999999</v>
      </c>
      <c r="P230">
        <v>-13.726041</v>
      </c>
      <c r="Q230">
        <v>-8.2903775</v>
      </c>
      <c r="R230">
        <v>-11.617241999999999</v>
      </c>
      <c r="S230">
        <f t="shared" si="44"/>
        <v>1.0167855473761502</v>
      </c>
      <c r="T230">
        <f t="shared" si="45"/>
        <v>-23.441329266320004</v>
      </c>
    </row>
    <row r="231" spans="1:49" x14ac:dyDescent="0.35">
      <c r="A231">
        <v>2.6</v>
      </c>
      <c r="B231">
        <v>16.899999999999999</v>
      </c>
      <c r="C231">
        <v>-0.1022943</v>
      </c>
      <c r="D231">
        <v>3.3441574000000002E-2</v>
      </c>
      <c r="E231">
        <v>0.89761371000000001</v>
      </c>
      <c r="F231">
        <v>2.9864211000000002E-2</v>
      </c>
      <c r="G231">
        <f t="shared" si="36"/>
        <v>3.9591219155319499</v>
      </c>
      <c r="H231">
        <f t="shared" si="37"/>
        <v>1.3800523491844101</v>
      </c>
      <c r="I231">
        <f t="shared" si="38"/>
        <v>3.9590791182290901</v>
      </c>
      <c r="J231">
        <f t="shared" si="39"/>
        <v>1.3782635088559501</v>
      </c>
      <c r="K231" s="7">
        <f t="shared" si="40"/>
        <v>4.2797302859831598E-5</v>
      </c>
      <c r="L231" s="7">
        <f t="shared" si="41"/>
        <v>1.78884032846005E-3</v>
      </c>
      <c r="M231" s="7">
        <f t="shared" si="42"/>
        <v>0.22528153206024501</v>
      </c>
      <c r="N231" s="7">
        <f t="shared" si="43"/>
        <v>-7.8426650639072198E-2</v>
      </c>
      <c r="O231">
        <v>-3.9101378000000002</v>
      </c>
      <c r="P231">
        <v>-13.187898000000001</v>
      </c>
      <c r="Q231">
        <v>-8.9984670999999992</v>
      </c>
      <c r="R231">
        <v>-10.739115999999999</v>
      </c>
      <c r="S231">
        <f t="shared" si="44"/>
        <v>1.0185666017546786</v>
      </c>
      <c r="T231">
        <f t="shared" si="45"/>
        <v>-23.445353842383003</v>
      </c>
    </row>
    <row r="232" spans="1:49" x14ac:dyDescent="0.35">
      <c r="A232">
        <v>2.6</v>
      </c>
      <c r="B232">
        <v>17</v>
      </c>
      <c r="C232">
        <v>-0.10108235</v>
      </c>
      <c r="D232">
        <v>3.7338089999999997E-2</v>
      </c>
      <c r="E232">
        <v>0.89887665999999999</v>
      </c>
      <c r="F232">
        <v>3.3803911999999998E-2</v>
      </c>
      <c r="G232">
        <f t="shared" si="36"/>
        <v>3.9007281407276202</v>
      </c>
      <c r="H232">
        <f t="shared" si="37"/>
        <v>1.5491881396506</v>
      </c>
      <c r="I232">
        <f t="shared" si="38"/>
        <v>3.9007107680933499</v>
      </c>
      <c r="J232">
        <f t="shared" si="39"/>
        <v>1.54742098373375</v>
      </c>
      <c r="K232" s="7">
        <f t="shared" si="40"/>
        <v>1.7372634270262901E-5</v>
      </c>
      <c r="L232" s="7">
        <f t="shared" si="41"/>
        <v>1.76715591684995E-3</v>
      </c>
      <c r="M232" s="7">
        <f t="shared" si="42"/>
        <v>0.22150473141075899</v>
      </c>
      <c r="N232" s="7">
        <f t="shared" si="43"/>
        <v>-8.7871439273324206E-2</v>
      </c>
      <c r="O232">
        <v>-4.5530394999999997</v>
      </c>
      <c r="P232">
        <v>-13.514412</v>
      </c>
      <c r="Q232">
        <v>-9.3260909000000005</v>
      </c>
      <c r="R232">
        <v>-10.37438</v>
      </c>
      <c r="S232">
        <f t="shared" si="44"/>
        <v>0.97821129090268666</v>
      </c>
      <c r="T232">
        <f t="shared" si="45"/>
        <v>-23.33528465272444</v>
      </c>
    </row>
    <row r="233" spans="1:49" x14ac:dyDescent="0.35">
      <c r="A233">
        <v>2.8</v>
      </c>
      <c r="B233">
        <v>15</v>
      </c>
      <c r="C233">
        <v>-2.4577793000000001E-2</v>
      </c>
      <c r="D233">
        <v>-4.4445951999999997E-2</v>
      </c>
      <c r="E233">
        <v>0.97549098000000001</v>
      </c>
      <c r="F233">
        <v>-4.7845523000000001E-2</v>
      </c>
      <c r="G233">
        <f t="shared" si="36"/>
        <v>3.9921359121386701</v>
      </c>
      <c r="H233">
        <f t="shared" si="37"/>
        <v>-8.4451572308022893</v>
      </c>
      <c r="I233">
        <f t="shared" si="38"/>
        <v>3.99217318642062</v>
      </c>
      <c r="J233">
        <f t="shared" si="39"/>
        <v>-8.4468568944984899</v>
      </c>
      <c r="K233" s="7">
        <f t="shared" si="40"/>
        <v>-3.72742819498839E-5</v>
      </c>
      <c r="L233" s="7">
        <f t="shared" si="41"/>
        <v>1.69966369620056E-3</v>
      </c>
      <c r="M233" s="7">
        <f t="shared" si="42"/>
        <v>4.5736256131991997E-2</v>
      </c>
      <c r="N233" s="7">
        <f t="shared" si="43"/>
        <v>9.6771255252943097E-2</v>
      </c>
      <c r="O233">
        <v>6.3137156000000001</v>
      </c>
      <c r="P233">
        <v>-3.2659558</v>
      </c>
      <c r="Q233">
        <v>4.3963378000000004</v>
      </c>
      <c r="R233">
        <v>-5.3551541</v>
      </c>
      <c r="S233">
        <f t="shared" si="44"/>
        <v>0.97470444043040028</v>
      </c>
      <c r="T233">
        <f t="shared" si="45"/>
        <v>-23.263962250991788</v>
      </c>
    </row>
    <row r="234" spans="1:49" x14ac:dyDescent="0.35">
      <c r="A234">
        <v>2.8</v>
      </c>
      <c r="B234">
        <v>15.1</v>
      </c>
      <c r="C234">
        <v>-2.7900233999999999E-2</v>
      </c>
      <c r="D234">
        <v>-4.6817795000000002E-2</v>
      </c>
      <c r="E234">
        <v>0.97216243000000002</v>
      </c>
      <c r="F234">
        <v>-5.0200719999999997E-2</v>
      </c>
      <c r="G234">
        <f t="shared" si="36"/>
        <v>3.9521348654040298</v>
      </c>
      <c r="H234">
        <f t="shared" si="37"/>
        <v>-7.7486733371377801</v>
      </c>
      <c r="I234">
        <f t="shared" si="38"/>
        <v>3.95216905719065</v>
      </c>
      <c r="J234">
        <f t="shared" si="39"/>
        <v>-7.7503646888102002</v>
      </c>
      <c r="K234" s="7">
        <f t="shared" si="40"/>
        <v>-3.4191786620230099E-5</v>
      </c>
      <c r="L234" s="7">
        <f t="shared" si="41"/>
        <v>1.6913516724201801E-3</v>
      </c>
      <c r="M234" s="7">
        <f t="shared" si="42"/>
        <v>5.2216730031161097E-2</v>
      </c>
      <c r="N234" s="7">
        <f t="shared" si="43"/>
        <v>0.102399136965644</v>
      </c>
      <c r="O234">
        <v>6.5795199000000002</v>
      </c>
      <c r="P234">
        <v>-3.6830522999999999</v>
      </c>
      <c r="Q234">
        <v>4.4902167000000004</v>
      </c>
      <c r="R234">
        <v>-5.8531383999999997</v>
      </c>
      <c r="S234">
        <f t="shared" si="44"/>
        <v>0.97836338617424157</v>
      </c>
      <c r="T234">
        <f t="shared" si="45"/>
        <v>-23.267474957037564</v>
      </c>
    </row>
    <row r="235" spans="1:49" x14ac:dyDescent="0.35">
      <c r="A235">
        <v>2.8</v>
      </c>
      <c r="B235">
        <v>15.2</v>
      </c>
      <c r="C235">
        <v>-3.1744789000000002E-2</v>
      </c>
      <c r="D235">
        <v>-4.9147890999999999E-2</v>
      </c>
      <c r="E235">
        <v>0.96829228000000001</v>
      </c>
      <c r="F235">
        <v>-5.2588385000000001E-2</v>
      </c>
      <c r="G235">
        <f t="shared" si="36"/>
        <v>3.9136191225428698</v>
      </c>
      <c r="H235">
        <f t="shared" si="37"/>
        <v>-7.07571219478577</v>
      </c>
      <c r="I235">
        <f t="shared" si="38"/>
        <v>3.9136406157758001</v>
      </c>
      <c r="J235">
        <f t="shared" si="39"/>
        <v>-7.0774323729294704</v>
      </c>
      <c r="K235" s="7">
        <f t="shared" si="40"/>
        <v>-2.1493232930325201E-5</v>
      </c>
      <c r="L235" s="7">
        <f t="shared" si="41"/>
        <v>1.7201781437004E-3</v>
      </c>
      <c r="M235" s="7">
        <f t="shared" si="42"/>
        <v>5.9835532029578198E-2</v>
      </c>
      <c r="N235" s="7">
        <f t="shared" si="43"/>
        <v>0.108206647726045</v>
      </c>
      <c r="O235">
        <v>6.8395083999999997</v>
      </c>
      <c r="P235">
        <v>-4.1629031000000003</v>
      </c>
      <c r="Q235">
        <v>4.5530188999999996</v>
      </c>
      <c r="R235">
        <v>-6.4079370000000004</v>
      </c>
      <c r="S235">
        <f t="shared" si="44"/>
        <v>0.98176281721578085</v>
      </c>
      <c r="T235">
        <f t="shared" si="45"/>
        <v>-23.278132355740144</v>
      </c>
    </row>
    <row r="236" spans="1:49" x14ac:dyDescent="0.35">
      <c r="A236">
        <v>2.8</v>
      </c>
      <c r="B236">
        <v>15.3</v>
      </c>
      <c r="C236">
        <v>-3.6168177000000003E-2</v>
      </c>
      <c r="D236">
        <v>-5.1377979999999997E-2</v>
      </c>
      <c r="E236">
        <v>0.96382502000000003</v>
      </c>
      <c r="F236">
        <v>-5.4845244000000001E-2</v>
      </c>
      <c r="G236">
        <f t="shared" si="36"/>
        <v>3.8799463207364799</v>
      </c>
      <c r="H236">
        <f t="shared" si="37"/>
        <v>-6.4303150283962998</v>
      </c>
      <c r="I236">
        <f t="shared" si="38"/>
        <v>3.8799459247264498</v>
      </c>
      <c r="J236">
        <f t="shared" si="39"/>
        <v>-6.4320486669798003</v>
      </c>
      <c r="K236" s="7">
        <f t="shared" si="40"/>
        <v>3.9601003010147901E-7</v>
      </c>
      <c r="L236" s="7">
        <f t="shared" si="41"/>
        <v>1.7336385835005101E-3</v>
      </c>
      <c r="M236" s="7">
        <f t="shared" si="42"/>
        <v>6.8762606637821896E-2</v>
      </c>
      <c r="N236" s="7">
        <f t="shared" si="43"/>
        <v>0.113992421787178</v>
      </c>
      <c r="O236">
        <v>7.0918846999999996</v>
      </c>
      <c r="P236">
        <v>-4.7166043999999996</v>
      </c>
      <c r="Q236">
        <v>4.5753098999999997</v>
      </c>
      <c r="R236">
        <v>-7.0230001</v>
      </c>
      <c r="S236">
        <f t="shared" si="44"/>
        <v>0.98412294475462547</v>
      </c>
      <c r="T236">
        <f t="shared" si="45"/>
        <v>-23.290043905715876</v>
      </c>
    </row>
    <row r="237" spans="1:49" x14ac:dyDescent="0.35">
      <c r="A237">
        <v>2.8</v>
      </c>
      <c r="B237">
        <v>15.4</v>
      </c>
      <c r="C237">
        <v>-4.1243602999999997E-2</v>
      </c>
      <c r="D237">
        <v>-5.3421521999999999E-2</v>
      </c>
      <c r="E237">
        <v>0.95874165</v>
      </c>
      <c r="F237">
        <v>-5.6913632999999998E-2</v>
      </c>
      <c r="G237">
        <f t="shared" si="36"/>
        <v>3.8466898936276501</v>
      </c>
      <c r="H237">
        <f t="shared" si="37"/>
        <v>-5.8122313446973504</v>
      </c>
      <c r="I237">
        <f t="shared" si="38"/>
        <v>3.84668556884123</v>
      </c>
      <c r="J237">
        <f t="shared" si="39"/>
        <v>-5.8139774206233499</v>
      </c>
      <c r="K237" s="7">
        <f t="shared" si="40"/>
        <v>4.3247864200957096E-6</v>
      </c>
      <c r="L237" s="7">
        <f t="shared" si="41"/>
        <v>1.7460759259995101E-3</v>
      </c>
      <c r="M237" s="7">
        <f t="shared" si="42"/>
        <v>7.9151010890893395E-2</v>
      </c>
      <c r="N237" s="7">
        <f t="shared" si="43"/>
        <v>0.11963083072521299</v>
      </c>
      <c r="O237">
        <v>7.3088565000000001</v>
      </c>
      <c r="P237">
        <v>-5.3423593</v>
      </c>
      <c r="Q237">
        <v>4.5428008000000002</v>
      </c>
      <c r="R237">
        <v>-7.7013876999999997</v>
      </c>
      <c r="S237">
        <f t="shared" si="44"/>
        <v>0.98765087224887738</v>
      </c>
      <c r="T237">
        <f t="shared" si="45"/>
        <v>-23.300328732723564</v>
      </c>
    </row>
    <row r="238" spans="1:49" x14ac:dyDescent="0.35">
      <c r="A238">
        <v>2.8</v>
      </c>
      <c r="B238">
        <v>15.5</v>
      </c>
      <c r="C238">
        <v>-4.7039023999999999E-2</v>
      </c>
      <c r="D238">
        <v>-5.5152671E-2</v>
      </c>
      <c r="E238">
        <v>0.95298442000000005</v>
      </c>
      <c r="F238">
        <v>-5.8654792999999997E-2</v>
      </c>
      <c r="G238">
        <f t="shared" si="36"/>
        <v>3.8147391970263902</v>
      </c>
      <c r="H238">
        <f t="shared" si="37"/>
        <v>-5.2200317789187602</v>
      </c>
      <c r="I238">
        <f t="shared" si="38"/>
        <v>3.8147539849864001</v>
      </c>
      <c r="J238">
        <f t="shared" si="39"/>
        <v>-5.2217827934987602</v>
      </c>
      <c r="K238" s="7">
        <f t="shared" si="40"/>
        <v>-1.47879600098655E-5</v>
      </c>
      <c r="L238" s="7">
        <f t="shared" si="41"/>
        <v>1.75101457999993E-3</v>
      </c>
      <c r="M238" s="7">
        <f t="shared" si="42"/>
        <v>9.1219800229997705E-2</v>
      </c>
      <c r="N238" s="7">
        <f t="shared" si="43"/>
        <v>0.124865190558047</v>
      </c>
      <c r="O238">
        <v>7.4957478999999996</v>
      </c>
      <c r="P238">
        <v>-6.0620178999999998</v>
      </c>
      <c r="Q238">
        <v>4.4385177999999996</v>
      </c>
      <c r="R238">
        <v>-8.4434918999999997</v>
      </c>
      <c r="S238">
        <f t="shared" si="44"/>
        <v>0.98950039348890217</v>
      </c>
      <c r="T238">
        <f t="shared" si="45"/>
        <v>-23.306873391884952</v>
      </c>
    </row>
    <row r="239" spans="1:49" x14ac:dyDescent="0.35">
      <c r="A239">
        <v>2.8</v>
      </c>
      <c r="B239">
        <v>15.6</v>
      </c>
      <c r="C239">
        <v>-5.3606962000000001E-2</v>
      </c>
      <c r="D239">
        <v>-5.6400779999999998E-2</v>
      </c>
      <c r="E239">
        <v>0.9463819</v>
      </c>
      <c r="F239">
        <v>-5.9879077000000003E-2</v>
      </c>
      <c r="G239">
        <f t="shared" si="36"/>
        <v>3.7858803638126401</v>
      </c>
      <c r="H239">
        <f t="shared" si="37"/>
        <v>-4.6469375507139397</v>
      </c>
      <c r="I239">
        <f t="shared" si="38"/>
        <v>3.7858778194605098</v>
      </c>
      <c r="J239">
        <f t="shared" si="39"/>
        <v>-4.6486767133243401</v>
      </c>
      <c r="K239" s="7">
        <f t="shared" si="40"/>
        <v>2.5443521303181201E-6</v>
      </c>
      <c r="L239" s="7">
        <f t="shared" si="41"/>
        <v>1.7391626104004099E-3</v>
      </c>
      <c r="M239" s="7">
        <f t="shared" si="42"/>
        <v>0.105329851780347</v>
      </c>
      <c r="N239" s="7">
        <f t="shared" si="43"/>
        <v>0.12933445096201801</v>
      </c>
      <c r="O239">
        <v>7.6136637</v>
      </c>
      <c r="P239">
        <v>-6.8678224999999999</v>
      </c>
      <c r="Q239">
        <v>4.2403927000000001</v>
      </c>
      <c r="R239">
        <v>-9.2471096999999993</v>
      </c>
      <c r="S239">
        <f t="shared" si="44"/>
        <v>0.99214638511778985</v>
      </c>
      <c r="T239">
        <f t="shared" si="45"/>
        <v>-23.313813052891152</v>
      </c>
    </row>
    <row r="240" spans="1:49" x14ac:dyDescent="0.35">
      <c r="A240">
        <v>2.8</v>
      </c>
      <c r="B240">
        <v>15.7</v>
      </c>
      <c r="C240">
        <v>-6.0966675999999997E-2</v>
      </c>
      <c r="D240">
        <v>-5.6954987999999998E-2</v>
      </c>
      <c r="E240">
        <v>0.93901915000000002</v>
      </c>
      <c r="F240">
        <v>-6.0483699000000002E-2</v>
      </c>
      <c r="G240">
        <f t="shared" si="36"/>
        <v>3.7545230600788901</v>
      </c>
      <c r="H240">
        <f t="shared" si="37"/>
        <v>-4.0963339268532</v>
      </c>
      <c r="I240">
        <f t="shared" si="38"/>
        <v>3.75451908603549</v>
      </c>
      <c r="J240">
        <f t="shared" si="39"/>
        <v>-4.0980983018689496</v>
      </c>
      <c r="K240" s="7">
        <f t="shared" si="40"/>
        <v>3.9740434001345201E-6</v>
      </c>
      <c r="L240" s="7">
        <f t="shared" si="41"/>
        <v>1.7643750157496599E-3</v>
      </c>
      <c r="M240" s="7">
        <f t="shared" si="42"/>
        <v>0.121541567686093</v>
      </c>
      <c r="N240" s="7">
        <f t="shared" si="43"/>
        <v>0.13266393930276099</v>
      </c>
      <c r="O240">
        <v>7.6411132999999998</v>
      </c>
      <c r="P240">
        <v>-7.7672118000000001</v>
      </c>
      <c r="Q240">
        <v>3.9205630999999999</v>
      </c>
      <c r="R240">
        <v>-10.104927999999999</v>
      </c>
      <c r="S240">
        <f t="shared" si="44"/>
        <v>0.99478150517013209</v>
      </c>
      <c r="T240">
        <f t="shared" si="45"/>
        <v>-23.325594825134818</v>
      </c>
    </row>
    <row r="241" spans="1:49" x14ac:dyDescent="0.35">
      <c r="A241">
        <v>2.8</v>
      </c>
      <c r="B241">
        <v>15.8</v>
      </c>
      <c r="C241">
        <v>-6.9076489000000005E-2</v>
      </c>
      <c r="D241">
        <v>-5.6557390999999999E-2</v>
      </c>
      <c r="E241">
        <v>0.93091162000000005</v>
      </c>
      <c r="F241">
        <v>-6.0127845999999999E-2</v>
      </c>
      <c r="G241">
        <f t="shared" si="36"/>
        <v>3.7245839277892099</v>
      </c>
      <c r="H241">
        <f t="shared" si="37"/>
        <v>-3.56692037952073</v>
      </c>
      <c r="I241">
        <f t="shared" si="38"/>
        <v>3.7245811693377799</v>
      </c>
      <c r="J241">
        <f t="shared" si="39"/>
        <v>-3.5687056225593698</v>
      </c>
      <c r="K241" s="7">
        <f t="shared" si="40"/>
        <v>2.7584514299405799E-6</v>
      </c>
      <c r="L241" s="7">
        <f t="shared" si="41"/>
        <v>1.78524303863981E-3</v>
      </c>
      <c r="M241" s="7">
        <f t="shared" si="42"/>
        <v>0.13997888280854601</v>
      </c>
      <c r="N241" s="7">
        <f t="shared" si="43"/>
        <v>0.13412069798099099</v>
      </c>
      <c r="O241">
        <v>7.5481318999999996</v>
      </c>
      <c r="P241">
        <v>-8.7517460000000007</v>
      </c>
      <c r="Q241">
        <v>3.4547998999999998</v>
      </c>
      <c r="R241">
        <v>-10.996854000000001</v>
      </c>
      <c r="S241">
        <f t="shared" si="44"/>
        <v>0.99737273023741124</v>
      </c>
      <c r="T241">
        <f t="shared" si="45"/>
        <v>-23.336068163504482</v>
      </c>
    </row>
    <row r="242" spans="1:49" x14ac:dyDescent="0.35">
      <c r="A242">
        <v>2.8</v>
      </c>
      <c r="B242">
        <v>15.9</v>
      </c>
      <c r="C242">
        <v>-7.7817023999999999E-2</v>
      </c>
      <c r="D242">
        <v>-5.4919540000000003E-2</v>
      </c>
      <c r="E242">
        <v>0.92217437000000002</v>
      </c>
      <c r="F242">
        <v>-5.8525414999999997E-2</v>
      </c>
      <c r="G242">
        <f t="shared" si="36"/>
        <v>3.6958543754352799</v>
      </c>
      <c r="H242">
        <f t="shared" si="37"/>
        <v>-3.0573761828342798</v>
      </c>
      <c r="I242">
        <f t="shared" si="38"/>
        <v>3.6958533230317898</v>
      </c>
      <c r="J242">
        <f t="shared" si="39"/>
        <v>-3.0591791299897801</v>
      </c>
      <c r="K242" s="7">
        <f t="shared" si="40"/>
        <v>1.05240349013158E-6</v>
      </c>
      <c r="L242" s="7">
        <f t="shared" si="41"/>
        <v>1.8029471555003299E-3</v>
      </c>
      <c r="M242" s="7">
        <f t="shared" si="42"/>
        <v>0.16056425306159</v>
      </c>
      <c r="N242" s="7">
        <f t="shared" si="43"/>
        <v>0.13290430356837701</v>
      </c>
      <c r="O242">
        <v>7.3003336000000001</v>
      </c>
      <c r="P242">
        <v>-9.8050926</v>
      </c>
      <c r="Q242">
        <v>2.8168769</v>
      </c>
      <c r="R242">
        <v>-11.894264</v>
      </c>
      <c r="S242">
        <f t="shared" si="44"/>
        <v>0.99991166322658864</v>
      </c>
      <c r="T242">
        <f t="shared" si="45"/>
        <v>-23.345661226276889</v>
      </c>
    </row>
    <row r="243" spans="1:49" x14ac:dyDescent="0.35">
      <c r="A243">
        <v>2.8</v>
      </c>
      <c r="B243">
        <v>16</v>
      </c>
      <c r="C243">
        <v>-8.6939913999999993E-2</v>
      </c>
      <c r="D243">
        <v>-5.1758209999999999E-2</v>
      </c>
      <c r="E243">
        <v>0.91305628999999999</v>
      </c>
      <c r="F243">
        <v>-5.5399232E-2</v>
      </c>
      <c r="G243">
        <f t="shared" si="36"/>
        <v>3.6680480170049998</v>
      </c>
      <c r="H243">
        <f t="shared" si="37"/>
        <v>-2.5676895307618199</v>
      </c>
      <c r="I243">
        <f t="shared" si="38"/>
        <v>3.6680494332695899</v>
      </c>
      <c r="J243">
        <f t="shared" si="39"/>
        <v>-2.5695100426388202</v>
      </c>
      <c r="K243" s="7">
        <f t="shared" si="40"/>
        <v>-1.4162645900484001E-6</v>
      </c>
      <c r="L243" s="7">
        <f t="shared" si="41"/>
        <v>1.8205118770002701E-3</v>
      </c>
      <c r="M243" s="7">
        <f t="shared" si="42"/>
        <v>0.18288154725446601</v>
      </c>
      <c r="N243" s="7">
        <f t="shared" si="43"/>
        <v>0.12811058870185599</v>
      </c>
      <c r="O243">
        <v>6.8638187999999998</v>
      </c>
      <c r="P243">
        <v>-10.893886</v>
      </c>
      <c r="Q243">
        <v>1.9879260999999999</v>
      </c>
      <c r="R243">
        <v>-12.754856</v>
      </c>
      <c r="S243">
        <f t="shared" si="44"/>
        <v>1.0025585443128184</v>
      </c>
      <c r="T243">
        <f t="shared" si="45"/>
        <v>-23.354808219400073</v>
      </c>
    </row>
    <row r="244" spans="1:49" x14ac:dyDescent="0.35">
      <c r="A244">
        <v>2.8</v>
      </c>
      <c r="B244">
        <v>16.100000000000001</v>
      </c>
      <c r="C244">
        <v>-9.6077574999999998E-2</v>
      </c>
      <c r="D244">
        <v>-4.6840012E-2</v>
      </c>
      <c r="E244">
        <v>0.90392424999999998</v>
      </c>
      <c r="F244">
        <v>-5.0515689000000003E-2</v>
      </c>
      <c r="G244">
        <f t="shared" si="36"/>
        <v>3.6411411290856401</v>
      </c>
      <c r="H244">
        <f t="shared" si="37"/>
        <v>-2.0972175939483102</v>
      </c>
      <c r="I244">
        <f t="shared" si="38"/>
        <v>3.6411454192144999</v>
      </c>
      <c r="J244">
        <f t="shared" si="39"/>
        <v>-2.0990554228867202</v>
      </c>
      <c r="K244" s="7">
        <f t="shared" si="40"/>
        <v>-4.29012885971858E-6</v>
      </c>
      <c r="L244" s="7">
        <f t="shared" si="41"/>
        <v>1.83782893841E-3</v>
      </c>
      <c r="M244" s="7">
        <f t="shared" si="42"/>
        <v>0.206133993122222</v>
      </c>
      <c r="N244" s="7">
        <f t="shared" si="43"/>
        <v>0.118832572250805</v>
      </c>
      <c r="O244">
        <v>6.2152064999999999</v>
      </c>
      <c r="P244">
        <v>-11.976153999999999</v>
      </c>
      <c r="Q244">
        <v>0.96095786000000005</v>
      </c>
      <c r="R244">
        <v>-13.524476999999999</v>
      </c>
      <c r="S244">
        <f t="shared" si="44"/>
        <v>1.0048708420726336</v>
      </c>
      <c r="T244">
        <f t="shared" si="45"/>
        <v>-23.363519052157109</v>
      </c>
    </row>
    <row r="245" spans="1:49" x14ac:dyDescent="0.35">
      <c r="A245">
        <v>2.8</v>
      </c>
      <c r="B245">
        <v>16.2</v>
      </c>
      <c r="C245">
        <v>-0.10475248</v>
      </c>
      <c r="D245">
        <v>-4.0039900000000003E-2</v>
      </c>
      <c r="E245">
        <v>0.89525376999999995</v>
      </c>
      <c r="F245">
        <v>-4.3750476000000003E-2</v>
      </c>
      <c r="G245">
        <f t="shared" si="36"/>
        <v>3.6150330917251501</v>
      </c>
      <c r="H245">
        <f t="shared" si="37"/>
        <v>-1.6449080130262499</v>
      </c>
      <c r="I245">
        <f t="shared" si="38"/>
        <v>3.6150396587648301</v>
      </c>
      <c r="J245">
        <f t="shared" si="39"/>
        <v>-1.64676328304478</v>
      </c>
      <c r="K245" s="7">
        <f t="shared" si="40"/>
        <v>-6.5670396800499003E-6</v>
      </c>
      <c r="L245" s="7">
        <f t="shared" si="41"/>
        <v>1.8552700185301401E-3</v>
      </c>
      <c r="M245" s="7">
        <f t="shared" si="42"/>
        <v>0.229085014607457</v>
      </c>
      <c r="N245" s="7">
        <f t="shared" si="43"/>
        <v>0.10435536712209501</v>
      </c>
      <c r="O245">
        <v>5.3397711000000001</v>
      </c>
      <c r="P245">
        <v>-12.989727999999999</v>
      </c>
      <c r="Q245">
        <v>-0.25308573000000001</v>
      </c>
      <c r="R245">
        <v>-14.143485999999999</v>
      </c>
      <c r="S245">
        <f t="shared" si="44"/>
        <v>1.0072138153838877</v>
      </c>
      <c r="T245">
        <f t="shared" si="45"/>
        <v>-23.371559008724091</v>
      </c>
    </row>
    <row r="246" spans="1:49" x14ac:dyDescent="0.35">
      <c r="A246">
        <v>2.8</v>
      </c>
      <c r="B246">
        <v>16.3</v>
      </c>
      <c r="C246">
        <v>-0.11237976</v>
      </c>
      <c r="D246">
        <v>-3.1452344E-2</v>
      </c>
      <c r="E246">
        <v>0.88763210000000003</v>
      </c>
      <c r="F246">
        <v>-3.5196591999999999E-2</v>
      </c>
      <c r="G246">
        <f t="shared" si="36"/>
        <v>3.5897672974816701</v>
      </c>
      <c r="H246">
        <f t="shared" si="37"/>
        <v>-1.2118861605084399</v>
      </c>
      <c r="I246">
        <f t="shared" si="38"/>
        <v>3.5897767322201402</v>
      </c>
      <c r="J246">
        <f t="shared" si="39"/>
        <v>-1.2137582557439099</v>
      </c>
      <c r="K246" s="7">
        <f t="shared" si="40"/>
        <v>-9.4347384700377307E-6</v>
      </c>
      <c r="L246" s="7">
        <f t="shared" si="41"/>
        <v>1.87209523547005E-3</v>
      </c>
      <c r="M246" s="7">
        <f t="shared" si="42"/>
        <v>0.24998956869849401</v>
      </c>
      <c r="N246" s="7">
        <f t="shared" si="43"/>
        <v>8.4525285412388004E-2</v>
      </c>
      <c r="O246">
        <v>4.2531521000000003</v>
      </c>
      <c r="P246">
        <v>-13.863982</v>
      </c>
      <c r="Q246">
        <v>-1.6127168999999999</v>
      </c>
      <c r="R246">
        <v>-14.550528999999999</v>
      </c>
      <c r="S246">
        <f t="shared" si="44"/>
        <v>1.0095112673793114</v>
      </c>
      <c r="T246">
        <f t="shared" si="45"/>
        <v>-23.379413184166161</v>
      </c>
    </row>
    <row r="247" spans="1:49" x14ac:dyDescent="0.35">
      <c r="A247">
        <v>2.8</v>
      </c>
      <c r="B247">
        <v>16.399999999999999</v>
      </c>
      <c r="C247">
        <v>-0.11843956</v>
      </c>
      <c r="D247">
        <v>-2.1361371000000001E-2</v>
      </c>
      <c r="E247">
        <v>0.88159770000000004</v>
      </c>
      <c r="F247">
        <v>-2.5208655E-2</v>
      </c>
      <c r="G247">
        <f t="shared" si="36"/>
        <v>3.5650478763655999</v>
      </c>
      <c r="H247">
        <f t="shared" si="37"/>
        <v>-0.79834753493248101</v>
      </c>
      <c r="I247">
        <f t="shared" si="38"/>
        <v>3.56507020619657</v>
      </c>
      <c r="J247">
        <f t="shared" si="39"/>
        <v>-0.80027109814189701</v>
      </c>
      <c r="K247" s="7">
        <f t="shared" si="40"/>
        <v>-2.2329830970058099E-5</v>
      </c>
      <c r="L247" s="7">
        <f t="shared" si="41"/>
        <v>1.923563209416E-3</v>
      </c>
      <c r="M247" s="7">
        <f t="shared" si="42"/>
        <v>0.26704326876371698</v>
      </c>
      <c r="N247" s="7">
        <f t="shared" si="43"/>
        <v>5.9944684840565102E-2</v>
      </c>
      <c r="O247">
        <v>2.9936821999999998</v>
      </c>
      <c r="P247">
        <v>-14.541925000000001</v>
      </c>
      <c r="Q247">
        <v>-3.0593976999999999</v>
      </c>
      <c r="R247">
        <v>-14.703404000000001</v>
      </c>
      <c r="S247">
        <f t="shared" si="44"/>
        <v>1.0115476574618665</v>
      </c>
      <c r="T247">
        <f t="shared" si="45"/>
        <v>-23.386767083713409</v>
      </c>
    </row>
    <row r="248" spans="1:49" x14ac:dyDescent="0.35">
      <c r="A248">
        <v>2.8</v>
      </c>
      <c r="B248">
        <v>16.5</v>
      </c>
      <c r="C248">
        <v>-0.12251839</v>
      </c>
      <c r="D248">
        <v>-1.0270553999999999E-2</v>
      </c>
      <c r="E248">
        <v>0.87752799000000004</v>
      </c>
      <c r="F248">
        <v>-1.4159204E-2</v>
      </c>
      <c r="G248">
        <f t="shared" si="36"/>
        <v>3.5415913255032998</v>
      </c>
      <c r="H248">
        <f t="shared" si="37"/>
        <v>-0.40204542265196702</v>
      </c>
      <c r="I248">
        <f t="shared" si="38"/>
        <v>3.54161829508796</v>
      </c>
      <c r="J248">
        <f t="shared" si="39"/>
        <v>-0.403989650127694</v>
      </c>
      <c r="K248" s="7">
        <f t="shared" si="40"/>
        <v>-2.69695846601969E-5</v>
      </c>
      <c r="L248" s="7">
        <f t="shared" si="41"/>
        <v>1.9442274757269799E-3</v>
      </c>
      <c r="M248" s="7">
        <f t="shared" si="42"/>
        <v>0.27873002166113497</v>
      </c>
      <c r="N248" s="7">
        <f t="shared" si="43"/>
        <v>3.17945172372592E-2</v>
      </c>
      <c r="O248">
        <v>1.6242265</v>
      </c>
      <c r="P248">
        <v>-14.969032</v>
      </c>
      <c r="Q248">
        <v>-4.5136151</v>
      </c>
      <c r="R248">
        <v>-14.580303000000001</v>
      </c>
      <c r="S248">
        <f t="shared" si="44"/>
        <v>1.0136859017828082</v>
      </c>
      <c r="T248">
        <f t="shared" si="45"/>
        <v>-23.39361884189654</v>
      </c>
    </row>
    <row r="249" spans="1:49" x14ac:dyDescent="0.35">
      <c r="A249">
        <v>2.8</v>
      </c>
      <c r="B249">
        <v>16.600000000000001</v>
      </c>
      <c r="C249">
        <v>-0.12443472</v>
      </c>
      <c r="D249">
        <v>1.1925245000000001E-3</v>
      </c>
      <c r="E249">
        <v>0.87554482</v>
      </c>
      <c r="F249">
        <v>-2.6538301999999999E-3</v>
      </c>
      <c r="G249">
        <f t="shared" si="36"/>
        <v>3.5177055874811201</v>
      </c>
      <c r="H249">
        <f t="shared" si="37"/>
        <v>-2.2627505507552301E-2</v>
      </c>
      <c r="I249">
        <f t="shared" si="38"/>
        <v>3.5176990560874102</v>
      </c>
      <c r="J249">
        <f t="shared" si="39"/>
        <v>-2.4550715093014801E-2</v>
      </c>
      <c r="K249" s="7">
        <f t="shared" si="40"/>
        <v>6.5313937098743199E-6</v>
      </c>
      <c r="L249" s="7">
        <f t="shared" si="41"/>
        <v>1.9232095854625E-3</v>
      </c>
      <c r="M249" s="7">
        <f t="shared" si="42"/>
        <v>0.28426288810855399</v>
      </c>
      <c r="N249" s="7">
        <f t="shared" si="43"/>
        <v>1.9839267277266602E-3</v>
      </c>
      <c r="O249">
        <v>0.22330752000000001</v>
      </c>
      <c r="P249">
        <v>-15.130756</v>
      </c>
      <c r="Q249">
        <v>-5.8954946000000001</v>
      </c>
      <c r="R249">
        <v>-14.194319</v>
      </c>
      <c r="S249">
        <f t="shared" si="44"/>
        <v>1.0156982514168353</v>
      </c>
      <c r="T249">
        <f t="shared" si="45"/>
        <v>-23.40069585643451</v>
      </c>
      <c r="AT249">
        <v>16.600000000000001</v>
      </c>
      <c r="AU249">
        <v>0.28426288810855399</v>
      </c>
      <c r="AW249">
        <v>0</v>
      </c>
    </row>
    <row r="250" spans="1:49" x14ac:dyDescent="0.35">
      <c r="A250">
        <v>2.8</v>
      </c>
      <c r="B250">
        <v>16.7</v>
      </c>
      <c r="C250">
        <v>-0.12425696999999999</v>
      </c>
      <c r="D250">
        <v>1.2375957999999999E-2</v>
      </c>
      <c r="E250">
        <v>0.87570979000000004</v>
      </c>
      <c r="F250">
        <v>8.4648093000000008E-3</v>
      </c>
      <c r="G250">
        <f t="shared" si="36"/>
        <v>3.4952969799721099</v>
      </c>
      <c r="H250">
        <f t="shared" si="37"/>
        <v>0.33598431778814403</v>
      </c>
      <c r="I250">
        <f t="shared" si="38"/>
        <v>3.49528418414297</v>
      </c>
      <c r="J250">
        <f t="shared" si="39"/>
        <v>0.33402868591234602</v>
      </c>
      <c r="K250" s="7">
        <f t="shared" si="40"/>
        <v>1.27958291398222E-5</v>
      </c>
      <c r="L250" s="7">
        <f t="shared" si="41"/>
        <v>1.9556318757979999E-3</v>
      </c>
      <c r="M250" s="7">
        <f t="shared" si="42"/>
        <v>0.28351053302109303</v>
      </c>
      <c r="N250" s="7">
        <f t="shared" si="43"/>
        <v>-2.7093834377465601E-2</v>
      </c>
      <c r="O250">
        <v>-1.1312304</v>
      </c>
      <c r="P250">
        <v>-15.038644</v>
      </c>
      <c r="Q250">
        <v>-7.1363633999999996</v>
      </c>
      <c r="R250">
        <v>-13.587707</v>
      </c>
      <c r="S250">
        <f t="shared" si="44"/>
        <v>1.0176790899104331</v>
      </c>
      <c r="T250">
        <f t="shared" si="45"/>
        <v>-23.40700761060679</v>
      </c>
    </row>
    <row r="251" spans="1:49" x14ac:dyDescent="0.35">
      <c r="A251">
        <v>2.8</v>
      </c>
      <c r="B251">
        <v>16.8</v>
      </c>
      <c r="C251">
        <v>-0.12227704</v>
      </c>
      <c r="D251">
        <v>2.2741915000000001E-2</v>
      </c>
      <c r="E251">
        <v>0.87772468999999997</v>
      </c>
      <c r="F251">
        <v>1.8776879999999999E-2</v>
      </c>
      <c r="G251">
        <f t="shared" si="36"/>
        <v>3.4745416050330098</v>
      </c>
      <c r="H251">
        <f t="shared" si="37"/>
        <v>0.67576815741709095</v>
      </c>
      <c r="I251">
        <f t="shared" si="38"/>
        <v>3.4745464003822502</v>
      </c>
      <c r="J251">
        <f t="shared" si="39"/>
        <v>0.67378565113882105</v>
      </c>
      <c r="K251" s="7">
        <f t="shared" si="40"/>
        <v>-4.7953492403607399E-6</v>
      </c>
      <c r="L251" s="7">
        <f t="shared" si="41"/>
        <v>1.9825062782698999E-3</v>
      </c>
      <c r="M251" s="7">
        <f t="shared" si="42"/>
        <v>0.27737656592937399</v>
      </c>
      <c r="N251" s="7">
        <f t="shared" si="43"/>
        <v>-5.3788992446557202E-2</v>
      </c>
      <c r="O251">
        <v>-2.3751256000000001</v>
      </c>
      <c r="P251">
        <v>-14.732752</v>
      </c>
      <c r="Q251">
        <v>-8.1901410000000006</v>
      </c>
      <c r="R251">
        <v>-12.821577</v>
      </c>
      <c r="S251">
        <f t="shared" si="44"/>
        <v>1.0195137652060648</v>
      </c>
      <c r="T251">
        <f t="shared" si="45"/>
        <v>-23.411460239489671</v>
      </c>
    </row>
    <row r="252" spans="1:49" x14ac:dyDescent="0.35">
      <c r="A252">
        <v>2.8</v>
      </c>
      <c r="B252">
        <v>16.899999999999999</v>
      </c>
      <c r="C252">
        <v>-0.11895418000000001</v>
      </c>
      <c r="D252">
        <v>3.1847703999999998E-2</v>
      </c>
      <c r="E252">
        <v>0.88100847000000004</v>
      </c>
      <c r="F252">
        <v>2.7882262000000001E-2</v>
      </c>
      <c r="G252">
        <f t="shared" si="36"/>
        <v>3.4535245205374498</v>
      </c>
      <c r="H252">
        <f t="shared" si="37"/>
        <v>0.99341712328033105</v>
      </c>
      <c r="I252">
        <f t="shared" si="38"/>
        <v>3.4535097765760501</v>
      </c>
      <c r="J252">
        <f t="shared" si="39"/>
        <v>0.99143433601861897</v>
      </c>
      <c r="K252" s="7">
        <f t="shared" si="40"/>
        <v>1.47439613997769E-5</v>
      </c>
      <c r="L252" s="7">
        <f t="shared" si="41"/>
        <v>1.9827872617120801E-3</v>
      </c>
      <c r="M252" s="7">
        <f t="shared" si="42"/>
        <v>0.267513367097994</v>
      </c>
      <c r="N252" s="7">
        <f t="shared" si="43"/>
        <v>-7.67977954728295E-2</v>
      </c>
      <c r="O252">
        <v>-3.4583982</v>
      </c>
      <c r="P252">
        <v>-14.27087</v>
      </c>
      <c r="Q252">
        <v>-9.0332641999999996</v>
      </c>
      <c r="R252">
        <v>-11.970176</v>
      </c>
      <c r="S252">
        <f t="shared" si="44"/>
        <v>1.0212626843538026</v>
      </c>
      <c r="T252">
        <f t="shared" si="45"/>
        <v>-23.417521711773688</v>
      </c>
    </row>
    <row r="253" spans="1:49" x14ac:dyDescent="0.35">
      <c r="A253">
        <v>2.8</v>
      </c>
      <c r="B253">
        <v>17</v>
      </c>
      <c r="C253">
        <v>-0.11724703</v>
      </c>
      <c r="D253">
        <v>3.7427057E-2</v>
      </c>
      <c r="E253">
        <v>0.88271759999999999</v>
      </c>
      <c r="F253">
        <v>3.3440723999999998E-2</v>
      </c>
      <c r="G253">
        <f t="shared" si="36"/>
        <v>3.4071183380206498</v>
      </c>
      <c r="H253">
        <f t="shared" si="37"/>
        <v>1.1816088764477299</v>
      </c>
      <c r="I253">
        <f t="shared" si="38"/>
        <v>3.4071046256155699</v>
      </c>
      <c r="J253">
        <f t="shared" si="39"/>
        <v>1.1796156473663699</v>
      </c>
      <c r="K253" s="7">
        <f t="shared" si="40"/>
        <v>1.37124050798576E-5</v>
      </c>
      <c r="L253" s="7">
        <f t="shared" si="41"/>
        <v>1.9932290813600199E-3</v>
      </c>
      <c r="M253" s="7">
        <f t="shared" si="42"/>
        <v>0.26208789438033098</v>
      </c>
      <c r="N253" s="7">
        <f t="shared" si="43"/>
        <v>-9.0740677251871696E-2</v>
      </c>
      <c r="O253">
        <v>-4.2211125000000003</v>
      </c>
      <c r="P253">
        <v>-14.43468</v>
      </c>
      <c r="Q253">
        <v>-9.5102297</v>
      </c>
      <c r="R253">
        <v>-11.480608999999999</v>
      </c>
      <c r="S253">
        <f t="shared" si="44"/>
        <v>0.99127646921476198</v>
      </c>
      <c r="T253">
        <f t="shared" si="45"/>
        <v>-23.337015947440026</v>
      </c>
    </row>
    <row r="254" spans="1:49" x14ac:dyDescent="0.35">
      <c r="A254">
        <v>3</v>
      </c>
      <c r="B254">
        <v>15</v>
      </c>
      <c r="C254">
        <v>-2.7464470000000001E-2</v>
      </c>
      <c r="D254">
        <v>-5.0387951E-2</v>
      </c>
      <c r="E254">
        <v>0.97244626000000001</v>
      </c>
      <c r="F254">
        <v>-5.4110811000000002E-2</v>
      </c>
      <c r="G254">
        <f t="shared" si="36"/>
        <v>3.4448281388632802</v>
      </c>
      <c r="H254">
        <f t="shared" si="37"/>
        <v>-7.4916340418025396</v>
      </c>
      <c r="I254">
        <f t="shared" si="38"/>
        <v>3.4447869672445499</v>
      </c>
      <c r="J254">
        <f t="shared" si="39"/>
        <v>-7.4934956315326797</v>
      </c>
      <c r="K254" s="7">
        <f t="shared" si="40"/>
        <v>4.11716187302957E-5</v>
      </c>
      <c r="L254" s="7">
        <f t="shared" si="41"/>
        <v>1.86158973014017E-3</v>
      </c>
      <c r="M254" s="7">
        <f t="shared" si="42"/>
        <v>5.0644455870259501E-2</v>
      </c>
      <c r="N254" s="7">
        <f t="shared" si="43"/>
        <v>0.11016762790666899</v>
      </c>
      <c r="O254">
        <v>6.7097284999999998</v>
      </c>
      <c r="P254">
        <v>-3.4642054999999998</v>
      </c>
      <c r="Q254">
        <v>4.6088892000000001</v>
      </c>
      <c r="R254">
        <v>-5.6032289000000004</v>
      </c>
      <c r="S254">
        <f t="shared" si="44"/>
        <v>0.96079723171788167</v>
      </c>
      <c r="T254">
        <f t="shared" si="45"/>
        <v>-23.254156918293706</v>
      </c>
    </row>
    <row r="255" spans="1:49" x14ac:dyDescent="0.35">
      <c r="A255">
        <v>3</v>
      </c>
      <c r="B255">
        <v>15.1</v>
      </c>
      <c r="C255">
        <v>-3.1151311000000001E-2</v>
      </c>
      <c r="D255">
        <v>-5.3003539000000002E-2</v>
      </c>
      <c r="E255">
        <v>0.96878933</v>
      </c>
      <c r="F255">
        <v>-5.675322E-2</v>
      </c>
      <c r="G255">
        <f t="shared" si="36"/>
        <v>3.4133973603668699</v>
      </c>
      <c r="H255">
        <f t="shared" si="37"/>
        <v>-6.8865983011147698</v>
      </c>
      <c r="I255">
        <f t="shared" si="38"/>
        <v>3.4133711953135002</v>
      </c>
      <c r="J255">
        <f t="shared" si="39"/>
        <v>-6.8884732463175</v>
      </c>
      <c r="K255" s="7">
        <f t="shared" si="40"/>
        <v>2.6165053369720001E-5</v>
      </c>
      <c r="L255" s="7">
        <f t="shared" si="41"/>
        <v>1.87494520273024E-3</v>
      </c>
      <c r="M255" s="7">
        <f t="shared" si="42"/>
        <v>5.7753740559824199E-2</v>
      </c>
      <c r="N255" s="7">
        <f t="shared" si="43"/>
        <v>0.116551958154253</v>
      </c>
      <c r="O255">
        <v>6.9945798000000003</v>
      </c>
      <c r="P255">
        <v>-3.9043583000000002</v>
      </c>
      <c r="Q255">
        <v>4.7077492000000003</v>
      </c>
      <c r="R255">
        <v>-6.1166147000000004</v>
      </c>
      <c r="S255">
        <f t="shared" si="44"/>
        <v>0.96355260809651877</v>
      </c>
      <c r="T255">
        <f t="shared" si="45"/>
        <v>-23.24559748322557</v>
      </c>
    </row>
    <row r="256" spans="1:49" x14ac:dyDescent="0.35">
      <c r="A256">
        <v>3</v>
      </c>
      <c r="B256">
        <v>15.2</v>
      </c>
      <c r="C256">
        <v>-3.5373202999999999E-2</v>
      </c>
      <c r="D256">
        <v>-5.556125E-2</v>
      </c>
      <c r="E256">
        <v>0.96456865999999997</v>
      </c>
      <c r="F256">
        <v>-5.9343158999999999E-2</v>
      </c>
      <c r="G256">
        <f t="shared" si="36"/>
        <v>3.3868897562105098</v>
      </c>
      <c r="H256">
        <f t="shared" si="37"/>
        <v>-6.3068320051129598</v>
      </c>
      <c r="I256">
        <f t="shared" si="38"/>
        <v>3.38686426287348</v>
      </c>
      <c r="J256">
        <f t="shared" si="39"/>
        <v>-6.3087230627899098</v>
      </c>
      <c r="K256" s="7">
        <f t="shared" si="40"/>
        <v>2.5493337029836E-5</v>
      </c>
      <c r="L256" s="7">
        <f t="shared" si="41"/>
        <v>1.8910576769499701E-3</v>
      </c>
      <c r="M256" s="7">
        <f t="shared" si="42"/>
        <v>6.6058299663101103E-2</v>
      </c>
      <c r="N256" s="7">
        <f t="shared" si="43"/>
        <v>0.123047009335922</v>
      </c>
      <c r="O256">
        <v>7.2681937000000003</v>
      </c>
      <c r="P256">
        <v>-4.4048997999999999</v>
      </c>
      <c r="Q256">
        <v>4.7743177000000001</v>
      </c>
      <c r="R256">
        <v>-6.6866760999999997</v>
      </c>
      <c r="S256">
        <f t="shared" si="44"/>
        <v>0.96674563797199775</v>
      </c>
      <c r="T256">
        <f t="shared" si="45"/>
        <v>-23.254965887584941</v>
      </c>
    </row>
    <row r="257" spans="1:49" x14ac:dyDescent="0.35">
      <c r="A257">
        <v>3</v>
      </c>
      <c r="B257">
        <v>15.3</v>
      </c>
      <c r="C257">
        <v>-4.0203797999999999E-2</v>
      </c>
      <c r="D257">
        <v>-5.8015847000000002E-2</v>
      </c>
      <c r="E257">
        <v>0.95973613999999996</v>
      </c>
      <c r="F257">
        <v>-6.1831358000000003E-2</v>
      </c>
      <c r="G257">
        <f t="shared" si="36"/>
        <v>3.36152230412721</v>
      </c>
      <c r="H257">
        <f t="shared" si="37"/>
        <v>-5.7503141578719497</v>
      </c>
      <c r="I257">
        <f t="shared" si="38"/>
        <v>3.3614959120710601</v>
      </c>
      <c r="J257">
        <f t="shared" si="39"/>
        <v>-5.7522220210165997</v>
      </c>
      <c r="K257" s="7">
        <f t="shared" si="40"/>
        <v>2.6392056149848701E-5</v>
      </c>
      <c r="L257" s="7">
        <f t="shared" si="41"/>
        <v>1.90786314465008E-3</v>
      </c>
      <c r="M257" s="7">
        <f t="shared" si="42"/>
        <v>7.5730324654598294E-2</v>
      </c>
      <c r="N257" s="7">
        <f t="shared" si="43"/>
        <v>0.12959041228419299</v>
      </c>
      <c r="O257">
        <v>7.5305838999999999</v>
      </c>
      <c r="P257">
        <v>-4.9776195000000003</v>
      </c>
      <c r="Q257">
        <v>4.8003143000000001</v>
      </c>
      <c r="R257">
        <v>-7.3158314999999998</v>
      </c>
      <c r="S257">
        <f t="shared" si="44"/>
        <v>0.96932837453624543</v>
      </c>
      <c r="T257">
        <f t="shared" si="45"/>
        <v>-23.2647520166006</v>
      </c>
    </row>
    <row r="258" spans="1:49" x14ac:dyDescent="0.35">
      <c r="A258">
        <v>3</v>
      </c>
      <c r="B258">
        <v>15.4</v>
      </c>
      <c r="C258">
        <v>-4.5726573E-2</v>
      </c>
      <c r="D258">
        <v>-6.0275989000000002E-2</v>
      </c>
      <c r="E258">
        <v>0.95421078999999998</v>
      </c>
      <c r="F258">
        <v>-6.4126531000000001E-2</v>
      </c>
      <c r="G258">
        <f t="shared" si="36"/>
        <v>3.3369724823199398</v>
      </c>
      <c r="H258">
        <f t="shared" si="37"/>
        <v>-5.2148297404288799</v>
      </c>
      <c r="I258">
        <f t="shared" si="38"/>
        <v>3.3369448698420401</v>
      </c>
      <c r="J258">
        <f t="shared" si="39"/>
        <v>-5.2167551248905397</v>
      </c>
      <c r="K258" s="7">
        <f t="shared" si="40"/>
        <v>2.7612477899730002E-5</v>
      </c>
      <c r="L258" s="7">
        <f t="shared" si="41"/>
        <v>1.9253844616598001E-3</v>
      </c>
      <c r="M258" s="7">
        <f t="shared" si="42"/>
        <v>8.7013505083248094E-2</v>
      </c>
      <c r="N258" s="7">
        <f t="shared" si="43"/>
        <v>0.136031060231214</v>
      </c>
      <c r="O258">
        <v>7.7580330000000002</v>
      </c>
      <c r="P258">
        <v>-5.6231163000000004</v>
      </c>
      <c r="Q258">
        <v>4.7721030000000004</v>
      </c>
      <c r="R258">
        <v>-8.0085809999999995</v>
      </c>
      <c r="S258">
        <f t="shared" si="44"/>
        <v>0.9729689255902656</v>
      </c>
      <c r="T258">
        <f t="shared" si="45"/>
        <v>-23.275341722100947</v>
      </c>
    </row>
    <row r="259" spans="1:49" x14ac:dyDescent="0.35">
      <c r="A259">
        <v>3</v>
      </c>
      <c r="B259">
        <v>15.5</v>
      </c>
      <c r="C259">
        <v>-5.2014840999999999E-2</v>
      </c>
      <c r="D259">
        <v>-6.2211506E-2</v>
      </c>
      <c r="E259">
        <v>0.94791968000000004</v>
      </c>
      <c r="F259">
        <v>-6.6098461999999997E-2</v>
      </c>
      <c r="G259">
        <f t="shared" ref="G259:G322" si="46">IMREAL(IMDIV(IMSUM(IMPRODUCT(COMPLEX(1 + C259,D259),COMPLEX(1 - C259, - D259)),IMPRODUCT(COMPLEX(E259,F259),COMPLEX(E259,F259))),IMSUB(IMPRODUCT(COMPLEX(1 - C259, - D259),COMPLEX(1 - C259, - D259)),IMPRODUCT(COMPLEX(E259,F259),COMPLEX(E259,F259)))))</f>
        <v>3.31312873757172</v>
      </c>
      <c r="H259">
        <f t="shared" ref="H259:H322" si="47">IMAGINARY(IMDIV(IMSUM(IMPRODUCT(COMPLEX(1 + C259,D259),COMPLEX(1 - C259, - D259)),IMPRODUCT(COMPLEX(E259,F259),COMPLEX(E259,F259))),IMSUB(IMPRODUCT(COMPLEX(1 - C259, - D259),COMPLEX(1 - C259, - D259)),IMPRODUCT(COMPLEX(E259,F259),COMPLEX(E259,F259)))))</f>
        <v>-4.6991560789329903</v>
      </c>
      <c r="I259">
        <f t="shared" ref="I259:I322" si="48">IMREAL(IMDIV(IMPRODUCT(COMPLEX(2,0),COMPLEX(E259,F259)),IMSUB(IMPRODUCT(COMPLEX(1 - C259, - D259),COMPLEX(1 - C259, - D259)),IMPRODUCT(COMPLEX(E259,F259),COMPLEX(E259,F259)))))</f>
        <v>3.31309977446328</v>
      </c>
      <c r="J259">
        <f t="shared" ref="J259:J322" si="49">IMAGINARY(IMDIV(IMPRODUCT(COMPLEX(2,0),COMPLEX(E259,F259)),IMSUB(IMPRODUCT(COMPLEX(1 - C259, - D259),COMPLEX(1 - C259, - D259)),IMPRODUCT(COMPLEX(E259,F259),COMPLEX(E259,F259)))))</f>
        <v>-4.7010996768545796</v>
      </c>
      <c r="K259" s="7">
        <f t="shared" ref="K259:K322" si="50">IMREAL(IMSUB(COMPLEX(G259,H259),COMPLEX(I259,J259)))</f>
        <v>2.89631084400277E-5</v>
      </c>
      <c r="L259" s="7">
        <f t="shared" ref="L259:L322" si="51">IMAGINARY(IMSUB(COMPLEX(G259,H259),COMPLEX(I259,J259)))</f>
        <v>1.9435979215893799E-3</v>
      </c>
      <c r="M259" s="7">
        <f t="shared" ref="M259:M322" si="52">IMREAL(IMDIV(IMSUB(IMPRODUCT(COMPLEX(1 - C259, - D259),COMPLEX(1 - C259, - D259)),IMPRODUCT(COMPLEX(E259,F259),COMPLEX(E259,F259))),IMPRODUCT(COMPLEX(2,0),COMPLEX(E259,F259))))</f>
        <v>0.100163344647831</v>
      </c>
      <c r="N259" s="7">
        <f t="shared" ref="N259:N322" si="53">IMAGINARY(IMDIV(IMSUB(IMPRODUCT(COMPLEX(1 - C259, - D259),COMPLEX(1 - C259, - D259)),IMPRODUCT(COMPLEX(E259,F259),COMPLEX(E259,F259))),IMPRODUCT(COMPLEX(2,0),COMPLEX(E259,F259))))</f>
        <v>0.14212607503885799</v>
      </c>
      <c r="O259">
        <v>7.9565818000000004</v>
      </c>
      <c r="P259">
        <v>-6.3644208000000004</v>
      </c>
      <c r="Q259">
        <v>4.6722935000000003</v>
      </c>
      <c r="R259">
        <v>-8.7654983000000009</v>
      </c>
      <c r="S259">
        <f t="shared" ref="S259:S322" si="54">IMABS(COMPLEX(Q259,R259))/IMABS(COMPLEX(O259,P259))</f>
        <v>0.97488642674414538</v>
      </c>
      <c r="T259">
        <f t="shared" ref="T259:T322" si="55">IMARGUMENT(IMDIV(COMPLEX(Q259,R259),COMPLEX(O259/B259,P259/B259)))/PI()*180</f>
        <v>-23.284844843175133</v>
      </c>
    </row>
    <row r="260" spans="1:49" x14ac:dyDescent="0.35">
      <c r="A260">
        <v>3</v>
      </c>
      <c r="B260">
        <v>15.6</v>
      </c>
      <c r="C260">
        <v>-5.9119144999999998E-2</v>
      </c>
      <c r="D260">
        <v>-6.3649017000000002E-2</v>
      </c>
      <c r="E260">
        <v>0.94081230999999998</v>
      </c>
      <c r="F260">
        <v>-6.7573988000000001E-2</v>
      </c>
      <c r="G260">
        <f t="shared" si="46"/>
        <v>3.2899593004008398</v>
      </c>
      <c r="H260">
        <f t="shared" si="47"/>
        <v>-4.2027306111454799</v>
      </c>
      <c r="I260">
        <f t="shared" si="48"/>
        <v>3.2899288784567098</v>
      </c>
      <c r="J260">
        <f t="shared" si="49"/>
        <v>-4.2046932236117298</v>
      </c>
      <c r="K260" s="7">
        <f t="shared" si="50"/>
        <v>3.0421944130054599E-5</v>
      </c>
      <c r="L260" s="7">
        <f t="shared" si="51"/>
        <v>1.9626124662499599E-3</v>
      </c>
      <c r="M260" s="7">
        <f t="shared" si="52"/>
        <v>0.115423638768994</v>
      </c>
      <c r="N260" s="7">
        <f t="shared" si="53"/>
        <v>0.147517168214365</v>
      </c>
      <c r="O260">
        <v>8.0831810999999991</v>
      </c>
      <c r="P260">
        <v>-7.1893349999999998</v>
      </c>
      <c r="Q260">
        <v>4.4803252999999996</v>
      </c>
      <c r="R260">
        <v>-9.5840791000000003</v>
      </c>
      <c r="S260">
        <f t="shared" si="54"/>
        <v>0.97798236922757042</v>
      </c>
      <c r="T260">
        <f t="shared" si="55"/>
        <v>-23.294545273040796</v>
      </c>
    </row>
    <row r="261" spans="1:49" x14ac:dyDescent="0.35">
      <c r="A261">
        <v>3</v>
      </c>
      <c r="B261">
        <v>15.7</v>
      </c>
      <c r="C261">
        <v>-6.7069917000000007E-2</v>
      </c>
      <c r="D261">
        <v>-6.437321E-2</v>
      </c>
      <c r="E261">
        <v>0.93285837999999999</v>
      </c>
      <c r="F261">
        <v>-6.8337369999999995E-2</v>
      </c>
      <c r="G261">
        <f t="shared" si="46"/>
        <v>3.2673748310584401</v>
      </c>
      <c r="H261">
        <f t="shared" si="47"/>
        <v>-3.7242354402190299</v>
      </c>
      <c r="I261">
        <f t="shared" si="48"/>
        <v>3.2673429073213298</v>
      </c>
      <c r="J261">
        <f t="shared" si="49"/>
        <v>-3.7262176545597998</v>
      </c>
      <c r="K261" s="7">
        <f t="shared" si="50"/>
        <v>3.1923737110251003E-5</v>
      </c>
      <c r="L261" s="7">
        <f t="shared" si="51"/>
        <v>1.98221434076995E-3</v>
      </c>
      <c r="M261" s="7">
        <f t="shared" si="52"/>
        <v>0.13303390137378401</v>
      </c>
      <c r="N261" s="7">
        <f t="shared" si="53"/>
        <v>0.15171755338051199</v>
      </c>
      <c r="O261">
        <v>8.1279079999999997</v>
      </c>
      <c r="P261">
        <v>-8.1123598000000001</v>
      </c>
      <c r="Q261">
        <v>4.1719283000000003</v>
      </c>
      <c r="R261">
        <v>-10.456441999999999</v>
      </c>
      <c r="S261">
        <f t="shared" si="54"/>
        <v>0.98035230245370075</v>
      </c>
      <c r="T261">
        <f t="shared" si="55"/>
        <v>-23.303762447449017</v>
      </c>
    </row>
    <row r="262" spans="1:49" x14ac:dyDescent="0.35">
      <c r="A262">
        <v>3</v>
      </c>
      <c r="B262">
        <v>15.8</v>
      </c>
      <c r="C262">
        <v>-7.5840017999999995E-2</v>
      </c>
      <c r="D262">
        <v>-6.4116057000000004E-2</v>
      </c>
      <c r="E262">
        <v>0.92410095000000003</v>
      </c>
      <c r="F262">
        <v>-6.8066246999999996E-2</v>
      </c>
      <c r="G262">
        <f t="shared" si="46"/>
        <v>3.2469426860627499</v>
      </c>
      <c r="H262">
        <f t="shared" si="47"/>
        <v>-3.2630223248781101</v>
      </c>
      <c r="I262">
        <f t="shared" si="48"/>
        <v>3.2469170705220298</v>
      </c>
      <c r="J262">
        <f t="shared" si="49"/>
        <v>-3.2649975287713602</v>
      </c>
      <c r="K262" s="7">
        <f t="shared" si="50"/>
        <v>2.56155407201142E-5</v>
      </c>
      <c r="L262" s="7">
        <f t="shared" si="51"/>
        <v>1.9752038932501202E-3</v>
      </c>
      <c r="M262" s="7">
        <f t="shared" si="52"/>
        <v>0.153137111618801</v>
      </c>
      <c r="N262" s="7">
        <f t="shared" si="53"/>
        <v>0.15398985565041901</v>
      </c>
      <c r="O262">
        <v>8.0540392999999995</v>
      </c>
      <c r="P262">
        <v>-9.1237838999999994</v>
      </c>
      <c r="Q262">
        <v>3.7192932999999999</v>
      </c>
      <c r="R262">
        <v>-11.367413000000001</v>
      </c>
      <c r="S262">
        <f t="shared" si="54"/>
        <v>0.9827705961733042</v>
      </c>
      <c r="T262">
        <f t="shared" si="55"/>
        <v>-23.318990904350066</v>
      </c>
    </row>
    <row r="263" spans="1:49" x14ac:dyDescent="0.35">
      <c r="A263">
        <v>3</v>
      </c>
      <c r="B263">
        <v>15.9</v>
      </c>
      <c r="C263">
        <v>-8.5303202999999994E-2</v>
      </c>
      <c r="D263">
        <v>-6.2590179999999995E-2</v>
      </c>
      <c r="E263">
        <v>0.91463989999999995</v>
      </c>
      <c r="F263">
        <v>-6.6578877999999994E-2</v>
      </c>
      <c r="G263">
        <f t="shared" si="46"/>
        <v>3.2254223199481902</v>
      </c>
      <c r="H263">
        <f t="shared" si="47"/>
        <v>-2.8186347778336298</v>
      </c>
      <c r="I263">
        <f t="shared" si="48"/>
        <v>3.22539784839045</v>
      </c>
      <c r="J263">
        <f t="shared" si="49"/>
        <v>-2.8206292323777</v>
      </c>
      <c r="K263" s="7">
        <f t="shared" si="50"/>
        <v>2.4471557740213301E-5</v>
      </c>
      <c r="L263" s="7">
        <f t="shared" si="51"/>
        <v>1.99445454407021E-3</v>
      </c>
      <c r="M263" s="7">
        <f t="shared" si="52"/>
        <v>0.17568348802292399</v>
      </c>
      <c r="N263" s="7">
        <f t="shared" si="53"/>
        <v>0.15363623504952201</v>
      </c>
      <c r="O263">
        <v>7.8288479000000004</v>
      </c>
      <c r="P263">
        <v>-10.207084</v>
      </c>
      <c r="Q263">
        <v>3.1003262999999999</v>
      </c>
      <c r="R263">
        <v>-12.287912</v>
      </c>
      <c r="S263">
        <f t="shared" si="54"/>
        <v>0.98517303483221252</v>
      </c>
      <c r="T263">
        <f t="shared" si="55"/>
        <v>-23.327675128220271</v>
      </c>
    </row>
    <row r="264" spans="1:49" x14ac:dyDescent="0.35">
      <c r="A264">
        <v>3</v>
      </c>
      <c r="B264">
        <v>16</v>
      </c>
      <c r="C264">
        <v>-9.5221679000000004E-2</v>
      </c>
      <c r="D264">
        <v>-5.9496559999999997E-2</v>
      </c>
      <c r="E264">
        <v>0.90472383000000001</v>
      </c>
      <c r="F264">
        <v>-6.3524469E-2</v>
      </c>
      <c r="G264">
        <f t="shared" si="46"/>
        <v>3.2044942448965101</v>
      </c>
      <c r="H264">
        <f t="shared" si="47"/>
        <v>-2.3912996037709302</v>
      </c>
      <c r="I264">
        <f t="shared" si="48"/>
        <v>3.2044710549820001</v>
      </c>
      <c r="J264">
        <f t="shared" si="49"/>
        <v>-2.39331365984832</v>
      </c>
      <c r="K264" s="7">
        <f t="shared" si="50"/>
        <v>2.31899145100023E-5</v>
      </c>
      <c r="L264" s="7">
        <f t="shared" si="51"/>
        <v>2.0140560773898E-3</v>
      </c>
      <c r="M264" s="7">
        <f t="shared" si="52"/>
        <v>0.20032219699703599</v>
      </c>
      <c r="N264" s="7">
        <f t="shared" si="53"/>
        <v>0.149614036830964</v>
      </c>
      <c r="O264">
        <v>7.4196891000000003</v>
      </c>
      <c r="P264">
        <v>-11.333335999999999</v>
      </c>
      <c r="Q264">
        <v>2.2944792999999999</v>
      </c>
      <c r="R264">
        <v>-13.179513</v>
      </c>
      <c r="S264">
        <f t="shared" si="54"/>
        <v>0.98757351423523965</v>
      </c>
      <c r="T264">
        <f t="shared" si="55"/>
        <v>-23.336006309901606</v>
      </c>
    </row>
    <row r="265" spans="1:49" x14ac:dyDescent="0.35">
      <c r="A265">
        <v>3</v>
      </c>
      <c r="B265">
        <v>16.100000000000001</v>
      </c>
      <c r="C265">
        <v>-0.10524677</v>
      </c>
      <c r="D265">
        <v>-5.4582195E-2</v>
      </c>
      <c r="E265">
        <v>0.89478433000000002</v>
      </c>
      <c r="F265">
        <v>-5.8678596999999999E-2</v>
      </c>
      <c r="G265">
        <f t="shared" si="46"/>
        <v>3.1843989022865302</v>
      </c>
      <c r="H265">
        <f t="shared" si="47"/>
        <v>-1.98174804389129</v>
      </c>
      <c r="I265">
        <f t="shared" si="48"/>
        <v>3.1844186469587701</v>
      </c>
      <c r="J265">
        <f t="shared" si="49"/>
        <v>-1.9837961726018301</v>
      </c>
      <c r="K265" s="7">
        <f t="shared" si="50"/>
        <v>-1.9744672239863099E-5</v>
      </c>
      <c r="L265" s="7">
        <f t="shared" si="51"/>
        <v>2.0481287105400502E-3</v>
      </c>
      <c r="M265" s="7">
        <f t="shared" si="52"/>
        <v>0.22623085930745701</v>
      </c>
      <c r="N265" s="7">
        <f t="shared" si="53"/>
        <v>0.14093495943040399</v>
      </c>
      <c r="O265">
        <v>6.7978522000000003</v>
      </c>
      <c r="P265">
        <v>-12.456166</v>
      </c>
      <c r="Q265">
        <v>1.2931972</v>
      </c>
      <c r="R265">
        <v>-13.992807000000001</v>
      </c>
      <c r="S265">
        <f t="shared" si="54"/>
        <v>0.99027921728791313</v>
      </c>
      <c r="T265">
        <f t="shared" si="55"/>
        <v>-23.342945768057604</v>
      </c>
    </row>
    <row r="266" spans="1:49" x14ac:dyDescent="0.35">
      <c r="A266">
        <v>3</v>
      </c>
      <c r="B266">
        <v>16.2</v>
      </c>
      <c r="C266">
        <v>-0.11489897</v>
      </c>
      <c r="D266">
        <v>-4.7691052999999997E-2</v>
      </c>
      <c r="E266">
        <v>0.88513805999999995</v>
      </c>
      <c r="F266">
        <v>-5.1838976000000002E-2</v>
      </c>
      <c r="G266">
        <f t="shared" si="46"/>
        <v>3.1646530311927399</v>
      </c>
      <c r="H266">
        <f t="shared" si="47"/>
        <v>-1.5864574618041001</v>
      </c>
      <c r="I266">
        <f t="shared" si="48"/>
        <v>3.1646758469088399</v>
      </c>
      <c r="J266">
        <f t="shared" si="49"/>
        <v>-1.58853133758737</v>
      </c>
      <c r="K266" s="7">
        <f t="shared" si="50"/>
        <v>-2.2815716099966499E-5</v>
      </c>
      <c r="L266" s="7">
        <f t="shared" si="51"/>
        <v>2.0738757832699001E-3</v>
      </c>
      <c r="M266" s="7">
        <f t="shared" si="52"/>
        <v>0.252394571821909</v>
      </c>
      <c r="N266" s="7">
        <f t="shared" si="53"/>
        <v>0.126691233532708</v>
      </c>
      <c r="O266">
        <v>5.9534317999999997</v>
      </c>
      <c r="P266">
        <v>-13.531415000000001</v>
      </c>
      <c r="Q266">
        <v>0.10177665</v>
      </c>
      <c r="R266">
        <v>-14.669983</v>
      </c>
      <c r="S266">
        <f t="shared" si="54"/>
        <v>0.99236643556907378</v>
      </c>
      <c r="T266">
        <f t="shared" si="55"/>
        <v>-23.350610799849818</v>
      </c>
    </row>
    <row r="267" spans="1:49" x14ac:dyDescent="0.35">
      <c r="A267">
        <v>3</v>
      </c>
      <c r="B267">
        <v>16.3</v>
      </c>
      <c r="C267">
        <v>-0.12359721999999999</v>
      </c>
      <c r="D267">
        <v>-3.8866247999999999E-2</v>
      </c>
      <c r="E267">
        <v>0.87644756999999995</v>
      </c>
      <c r="F267">
        <v>-4.3069347000000001E-2</v>
      </c>
      <c r="G267">
        <f t="shared" si="46"/>
        <v>3.1454557050463299</v>
      </c>
      <c r="H267">
        <f t="shared" si="47"/>
        <v>-1.2075032061781701</v>
      </c>
      <c r="I267">
        <f t="shared" si="48"/>
        <v>3.1454825157388902</v>
      </c>
      <c r="J267">
        <f t="shared" si="49"/>
        <v>-1.2096046522722801</v>
      </c>
      <c r="K267" s="7">
        <f t="shared" si="50"/>
        <v>-2.6810692560275098E-5</v>
      </c>
      <c r="L267" s="7">
        <f t="shared" si="51"/>
        <v>2.10144609411E-3</v>
      </c>
      <c r="M267" s="7">
        <f t="shared" si="52"/>
        <v>0.276959241613286</v>
      </c>
      <c r="N267" s="7">
        <f t="shared" si="53"/>
        <v>0.106505499702814</v>
      </c>
      <c r="O267">
        <v>4.8905352999999998</v>
      </c>
      <c r="P267">
        <v>-14.483726000000001</v>
      </c>
      <c r="Q267">
        <v>-1.2458487</v>
      </c>
      <c r="R267">
        <v>-15.15199</v>
      </c>
      <c r="S267">
        <f t="shared" si="54"/>
        <v>0.99450617114425699</v>
      </c>
      <c r="T267">
        <f t="shared" si="55"/>
        <v>-23.35810967428927</v>
      </c>
    </row>
    <row r="268" spans="1:49" x14ac:dyDescent="0.35">
      <c r="A268">
        <v>3</v>
      </c>
      <c r="B268">
        <v>16.399999999999999</v>
      </c>
      <c r="C268">
        <v>-0.13078389000000001</v>
      </c>
      <c r="D268">
        <v>-2.8347900999999998E-2</v>
      </c>
      <c r="E268">
        <v>0.86926915000000005</v>
      </c>
      <c r="F268">
        <v>-3.2608435999999998E-2</v>
      </c>
      <c r="G268">
        <f t="shared" si="46"/>
        <v>3.1268125646682301</v>
      </c>
      <c r="H268">
        <f t="shared" si="47"/>
        <v>-0.84431043293652397</v>
      </c>
      <c r="I268">
        <f t="shared" si="48"/>
        <v>3.1268436216229398</v>
      </c>
      <c r="J268">
        <f t="shared" si="49"/>
        <v>-0.846440577785461</v>
      </c>
      <c r="K268" s="7">
        <f t="shared" si="50"/>
        <v>-3.1056954709729501E-5</v>
      </c>
      <c r="L268" s="7">
        <f t="shared" si="51"/>
        <v>2.1301448489370301E-3</v>
      </c>
      <c r="M268" s="7">
        <f t="shared" si="52"/>
        <v>0.29797589402670199</v>
      </c>
      <c r="N268" s="7">
        <f t="shared" si="53"/>
        <v>8.0662456594228604E-2</v>
      </c>
      <c r="O268">
        <v>3.6407129</v>
      </c>
      <c r="P268">
        <v>-15.250655</v>
      </c>
      <c r="Q268">
        <v>-2.6969726000000001</v>
      </c>
      <c r="R268">
        <v>-15.391818000000001</v>
      </c>
      <c r="S268">
        <f t="shared" si="54"/>
        <v>0.99662715405817004</v>
      </c>
      <c r="T268">
        <f t="shared" si="55"/>
        <v>-23.365182324014761</v>
      </c>
    </row>
    <row r="269" spans="1:49" x14ac:dyDescent="0.35">
      <c r="A269">
        <v>3</v>
      </c>
      <c r="B269">
        <v>16.5</v>
      </c>
      <c r="C269">
        <v>-0.13600101000000001</v>
      </c>
      <c r="D269">
        <v>-1.6591168999999999E-2</v>
      </c>
      <c r="E269">
        <v>0.86400332999999996</v>
      </c>
      <c r="F269">
        <v>-2.0893703999999999E-2</v>
      </c>
      <c r="G269">
        <f t="shared" si="46"/>
        <v>3.1079741054630401</v>
      </c>
      <c r="H269">
        <f t="shared" si="47"/>
        <v>-0.49615133216907997</v>
      </c>
      <c r="I269">
        <f t="shared" si="48"/>
        <v>3.1079809033586399</v>
      </c>
      <c r="J269">
        <f t="shared" si="49"/>
        <v>-0.49830258037677799</v>
      </c>
      <c r="K269" s="7">
        <f t="shared" si="50"/>
        <v>-6.7978955997638496E-6</v>
      </c>
      <c r="L269" s="7">
        <f t="shared" si="51"/>
        <v>2.1512482076980199E-3</v>
      </c>
      <c r="M269" s="7">
        <f t="shared" si="52"/>
        <v>0.31368870802618098</v>
      </c>
      <c r="N269" s="7">
        <f t="shared" si="53"/>
        <v>5.0293710773957799E-2</v>
      </c>
      <c r="O269">
        <v>2.2597504000000002</v>
      </c>
      <c r="P269">
        <v>-15.781008</v>
      </c>
      <c r="Q269">
        <v>-4.1804316999999998</v>
      </c>
      <c r="R269">
        <v>-15.364013999999999</v>
      </c>
      <c r="S269">
        <f t="shared" si="54"/>
        <v>0.99878391917566944</v>
      </c>
      <c r="T269">
        <f t="shared" si="55"/>
        <v>-23.370289729845201</v>
      </c>
    </row>
    <row r="270" spans="1:49" x14ac:dyDescent="0.35">
      <c r="A270">
        <v>3</v>
      </c>
      <c r="B270">
        <v>16.600000000000001</v>
      </c>
      <c r="C270">
        <v>-0.13897103999999999</v>
      </c>
      <c r="D270">
        <v>-4.2340260000000001E-3</v>
      </c>
      <c r="E270">
        <v>0.86103205000000005</v>
      </c>
      <c r="F270">
        <v>-8.5914448000000004E-3</v>
      </c>
      <c r="G270">
        <f t="shared" si="46"/>
        <v>3.0902638095539001</v>
      </c>
      <c r="H270">
        <f t="shared" si="47"/>
        <v>-0.16458321385064001</v>
      </c>
      <c r="I270">
        <f t="shared" si="48"/>
        <v>3.09027010128163</v>
      </c>
      <c r="J270">
        <f t="shared" si="49"/>
        <v>-0.16676190617671399</v>
      </c>
      <c r="K270" s="7">
        <f t="shared" si="50"/>
        <v>-6.2917277299234797E-6</v>
      </c>
      <c r="L270" s="7">
        <f t="shared" si="51"/>
        <v>2.1786923260739802E-3</v>
      </c>
      <c r="M270" s="7">
        <f t="shared" si="52"/>
        <v>0.32265671266347801</v>
      </c>
      <c r="N270" s="7">
        <f t="shared" si="53"/>
        <v>1.7411697580143101E-2</v>
      </c>
      <c r="O270">
        <v>0.82280091</v>
      </c>
      <c r="P270">
        <v>-16.050384000000001</v>
      </c>
      <c r="Q270">
        <v>-5.6173197000000004</v>
      </c>
      <c r="R270">
        <v>-15.070738</v>
      </c>
      <c r="S270">
        <f t="shared" si="54"/>
        <v>1.0007538949117765</v>
      </c>
      <c r="T270">
        <f t="shared" si="55"/>
        <v>-23.37656614766173</v>
      </c>
    </row>
    <row r="271" spans="1:49" x14ac:dyDescent="0.35">
      <c r="A271">
        <v>3</v>
      </c>
      <c r="B271">
        <v>16.7</v>
      </c>
      <c r="C271">
        <v>-0.13968955</v>
      </c>
      <c r="D271">
        <v>8.0550308999999994E-3</v>
      </c>
      <c r="E271">
        <v>0.86022224000000003</v>
      </c>
      <c r="F271">
        <v>3.7090742000000002E-3</v>
      </c>
      <c r="G271">
        <f t="shared" si="46"/>
        <v>3.07192642715472</v>
      </c>
      <c r="H271">
        <f t="shared" si="47"/>
        <v>0.151445082416168</v>
      </c>
      <c r="I271">
        <f t="shared" si="48"/>
        <v>3.0718870426468201</v>
      </c>
      <c r="J271">
        <f t="shared" si="49"/>
        <v>0.14927192263727301</v>
      </c>
      <c r="K271" s="7">
        <f t="shared" si="50"/>
        <v>3.9384507899864501E-5</v>
      </c>
      <c r="L271" s="7">
        <f t="shared" si="51"/>
        <v>2.1731597788949798E-3</v>
      </c>
      <c r="M271" s="7">
        <f t="shared" si="52"/>
        <v>0.32476594287609201</v>
      </c>
      <c r="N271" s="7">
        <f t="shared" si="53"/>
        <v>-1.5781321392094799E-2</v>
      </c>
      <c r="O271">
        <v>-0.59412619</v>
      </c>
      <c r="P271">
        <v>-16.058713000000001</v>
      </c>
      <c r="Q271">
        <v>-6.9366767999999999</v>
      </c>
      <c r="R271">
        <v>-14.542603</v>
      </c>
      <c r="S271">
        <f t="shared" si="54"/>
        <v>1.0026482187884311</v>
      </c>
      <c r="T271">
        <f t="shared" si="55"/>
        <v>-23.381864534838385</v>
      </c>
      <c r="AT271">
        <v>16.7</v>
      </c>
      <c r="AU271">
        <v>0.32476594287609201</v>
      </c>
      <c r="AW271">
        <v>0</v>
      </c>
    </row>
    <row r="272" spans="1:49" x14ac:dyDescent="0.35">
      <c r="A272">
        <v>3</v>
      </c>
      <c r="B272">
        <v>16.8</v>
      </c>
      <c r="C272">
        <v>-0.13838682999999999</v>
      </c>
      <c r="D272">
        <v>1.9683636000000001E-2</v>
      </c>
      <c r="E272">
        <v>0.86159543000000005</v>
      </c>
      <c r="F272">
        <v>1.5214966999999999E-2</v>
      </c>
      <c r="G272">
        <f t="shared" si="46"/>
        <v>3.0562970826450702</v>
      </c>
      <c r="H272">
        <f t="shared" si="47"/>
        <v>0.44950442319688</v>
      </c>
      <c r="I272">
        <f t="shared" si="48"/>
        <v>3.05629320492497</v>
      </c>
      <c r="J272">
        <f t="shared" si="49"/>
        <v>0.44727006021395599</v>
      </c>
      <c r="K272" s="7">
        <f t="shared" si="50"/>
        <v>3.8777201001316499E-6</v>
      </c>
      <c r="L272" s="7">
        <f t="shared" si="51"/>
        <v>2.2343629829240101E-3</v>
      </c>
      <c r="M272" s="7">
        <f t="shared" si="52"/>
        <v>0.32033330263518001</v>
      </c>
      <c r="N272" s="7">
        <f t="shared" si="53"/>
        <v>-4.6878845042516E-2</v>
      </c>
      <c r="O272">
        <v>-1.9207764000000001</v>
      </c>
      <c r="P272">
        <v>-15.839364</v>
      </c>
      <c r="Q272">
        <v>-8.0866120000000006</v>
      </c>
      <c r="R272">
        <v>-13.837327999999999</v>
      </c>
      <c r="S272">
        <f t="shared" si="54"/>
        <v>1.0044878328677229</v>
      </c>
      <c r="T272">
        <f t="shared" si="55"/>
        <v>-23.38798464961215</v>
      </c>
    </row>
    <row r="273" spans="1:20" x14ac:dyDescent="0.35">
      <c r="A273">
        <v>3</v>
      </c>
      <c r="B273">
        <v>16.899999999999999</v>
      </c>
      <c r="C273">
        <v>-0.13546501</v>
      </c>
      <c r="D273">
        <v>3.0216698E-2</v>
      </c>
      <c r="E273">
        <v>0.86452300999999998</v>
      </c>
      <c r="F273">
        <v>2.5686444999999999E-2</v>
      </c>
      <c r="G273">
        <f t="shared" si="46"/>
        <v>3.0401188096367102</v>
      </c>
      <c r="H273">
        <f t="shared" si="47"/>
        <v>0.73156101708383103</v>
      </c>
      <c r="I273">
        <f t="shared" si="48"/>
        <v>3.04011795046475</v>
      </c>
      <c r="J273">
        <f t="shared" si="49"/>
        <v>0.729295875069496</v>
      </c>
      <c r="K273" s="7">
        <f t="shared" si="50"/>
        <v>8.5917196024354304E-7</v>
      </c>
      <c r="L273" s="7">
        <f t="shared" si="51"/>
        <v>2.2651420143350301E-3</v>
      </c>
      <c r="M273" s="7">
        <f t="shared" si="52"/>
        <v>0.311035294663914</v>
      </c>
      <c r="N273" s="7">
        <f t="shared" si="53"/>
        <v>-7.4614459404359804E-2</v>
      </c>
      <c r="O273">
        <v>-3.1124127000000001</v>
      </c>
      <c r="P273">
        <v>-15.437519999999999</v>
      </c>
      <c r="Q273">
        <v>-9.0417345999999998</v>
      </c>
      <c r="R273">
        <v>-13.013332999999999</v>
      </c>
      <c r="S273">
        <f t="shared" si="54"/>
        <v>1.0062217981347994</v>
      </c>
      <c r="T273">
        <f t="shared" si="55"/>
        <v>-23.392986373481111</v>
      </c>
    </row>
    <row r="274" spans="1:20" x14ac:dyDescent="0.35">
      <c r="A274">
        <v>3</v>
      </c>
      <c r="B274">
        <v>17</v>
      </c>
      <c r="C274">
        <v>-0.13406929000000001</v>
      </c>
      <c r="D274">
        <v>3.6126572000000003E-2</v>
      </c>
      <c r="E274">
        <v>0.86589439000000001</v>
      </c>
      <c r="F274">
        <v>3.1645382999999999E-2</v>
      </c>
      <c r="G274">
        <f t="shared" si="46"/>
        <v>3.0050653049357301</v>
      </c>
      <c r="H274">
        <f t="shared" si="47"/>
        <v>0.88690301690925499</v>
      </c>
      <c r="I274">
        <f t="shared" si="48"/>
        <v>3.00505216511797</v>
      </c>
      <c r="J274">
        <f t="shared" si="49"/>
        <v>0.884662352277783</v>
      </c>
      <c r="K274" s="7">
        <f t="shared" si="50"/>
        <v>1.3139817760077199E-5</v>
      </c>
      <c r="L274" s="7">
        <f t="shared" si="51"/>
        <v>2.24066463147199E-3</v>
      </c>
      <c r="M274" s="7">
        <f t="shared" si="52"/>
        <v>0.306232811504557</v>
      </c>
      <c r="N274" s="7">
        <f t="shared" si="53"/>
        <v>-9.0152391534150098E-2</v>
      </c>
      <c r="O274">
        <v>-3.8508102000000002</v>
      </c>
      <c r="P274">
        <v>-15.610742</v>
      </c>
      <c r="Q274">
        <v>-9.5374271000000004</v>
      </c>
      <c r="R274">
        <v>-12.588609</v>
      </c>
      <c r="S274">
        <f t="shared" si="54"/>
        <v>0.98226523647231478</v>
      </c>
      <c r="T274">
        <f t="shared" si="55"/>
        <v>-23.291520968732865</v>
      </c>
    </row>
    <row r="275" spans="1:20" x14ac:dyDescent="0.35">
      <c r="A275">
        <v>3.2</v>
      </c>
      <c r="B275">
        <v>15</v>
      </c>
      <c r="C275">
        <v>-3.0155666000000001E-2</v>
      </c>
      <c r="D275">
        <v>-5.6122651000000003E-2</v>
      </c>
      <c r="E275">
        <v>0.96985741000000003</v>
      </c>
      <c r="F275">
        <v>-6.0067404999999997E-2</v>
      </c>
      <c r="G275">
        <f t="shared" si="46"/>
        <v>3.0187987699406298</v>
      </c>
      <c r="H275">
        <f t="shared" si="47"/>
        <v>-6.77947580303608</v>
      </c>
      <c r="I275">
        <f t="shared" si="48"/>
        <v>3.01880919807749</v>
      </c>
      <c r="J275">
        <f t="shared" si="49"/>
        <v>-6.7814481465727097</v>
      </c>
      <c r="K275" s="7">
        <f t="shared" si="50"/>
        <v>-1.04281368602521E-5</v>
      </c>
      <c r="L275" s="7">
        <f t="shared" si="51"/>
        <v>1.9723435366296701E-3</v>
      </c>
      <c r="M275" s="7">
        <f t="shared" si="52"/>
        <v>5.4786584895802001E-2</v>
      </c>
      <c r="N275" s="7">
        <f t="shared" si="53"/>
        <v>0.12307249654443</v>
      </c>
      <c r="O275">
        <v>6.9695292999999996</v>
      </c>
      <c r="P275">
        <v>-3.5750009999999999</v>
      </c>
      <c r="Q275">
        <v>4.8108478000000003</v>
      </c>
      <c r="R275">
        <v>-5.8020996</v>
      </c>
      <c r="S275">
        <f t="shared" si="54"/>
        <v>0.96223739073812797</v>
      </c>
      <c r="T275">
        <f t="shared" si="55"/>
        <v>-23.180527430232829</v>
      </c>
    </row>
    <row r="276" spans="1:20" x14ac:dyDescent="0.35">
      <c r="A276">
        <v>3.2</v>
      </c>
      <c r="B276">
        <v>15.1</v>
      </c>
      <c r="C276">
        <v>-3.4086314E-2</v>
      </c>
      <c r="D276">
        <v>-5.8968393000000001E-2</v>
      </c>
      <c r="E276">
        <v>0.96590103999999999</v>
      </c>
      <c r="F276">
        <v>-6.2944074000000003E-2</v>
      </c>
      <c r="G276">
        <f t="shared" si="46"/>
        <v>2.99455270024119</v>
      </c>
      <c r="H276">
        <f t="shared" si="47"/>
        <v>-6.2471205274937702</v>
      </c>
      <c r="I276">
        <f t="shared" si="48"/>
        <v>2.9945503287704098</v>
      </c>
      <c r="J276">
        <f t="shared" si="49"/>
        <v>-6.2491083852770997</v>
      </c>
      <c r="K276" s="7">
        <f t="shared" si="50"/>
        <v>2.3714707801936198E-6</v>
      </c>
      <c r="L276" s="7">
        <f t="shared" si="51"/>
        <v>1.9878577833294399E-3</v>
      </c>
      <c r="M276" s="7">
        <f t="shared" si="52"/>
        <v>6.2362186437008797E-2</v>
      </c>
      <c r="N276" s="7">
        <f t="shared" si="53"/>
        <v>0.13013909248529601</v>
      </c>
      <c r="O276">
        <v>7.2634208999999998</v>
      </c>
      <c r="P276">
        <v>-4.0182934000000001</v>
      </c>
      <c r="Q276">
        <v>4.9157754000000002</v>
      </c>
      <c r="R276">
        <v>-6.3214169</v>
      </c>
      <c r="S276">
        <f t="shared" si="54"/>
        <v>0.96469965230575194</v>
      </c>
      <c r="T276">
        <f t="shared" si="55"/>
        <v>-23.177609726024919</v>
      </c>
    </row>
    <row r="277" spans="1:20" x14ac:dyDescent="0.35">
      <c r="A277">
        <v>3.2</v>
      </c>
      <c r="B277">
        <v>15.2</v>
      </c>
      <c r="C277">
        <v>-3.8583777E-2</v>
      </c>
      <c r="D277">
        <v>-6.1749282000000003E-2</v>
      </c>
      <c r="E277">
        <v>0.96139967000000004</v>
      </c>
      <c r="F277">
        <v>-6.5767652999999995E-2</v>
      </c>
      <c r="G277">
        <f t="shared" si="46"/>
        <v>2.9739540071239801</v>
      </c>
      <c r="H277">
        <f t="shared" si="47"/>
        <v>-5.7383595490780301</v>
      </c>
      <c r="I277">
        <f t="shared" si="48"/>
        <v>2.9739497674657902</v>
      </c>
      <c r="J277">
        <f t="shared" si="49"/>
        <v>-5.74036875972552</v>
      </c>
      <c r="K277" s="7">
        <f t="shared" si="50"/>
        <v>4.2396581898529504E-6</v>
      </c>
      <c r="L277" s="7">
        <f t="shared" si="51"/>
        <v>2.00921064748982E-3</v>
      </c>
      <c r="M277" s="7">
        <f t="shared" si="52"/>
        <v>7.1153573887336993E-2</v>
      </c>
      <c r="N277" s="7">
        <f t="shared" si="53"/>
        <v>0.137341846575218</v>
      </c>
      <c r="O277">
        <v>7.5434688000000003</v>
      </c>
      <c r="P277">
        <v>-4.5198637000000002</v>
      </c>
      <c r="Q277">
        <v>4.9890306000000004</v>
      </c>
      <c r="R277">
        <v>-6.8960485</v>
      </c>
      <c r="S277">
        <f t="shared" si="54"/>
        <v>0.96788611485918929</v>
      </c>
      <c r="T277">
        <f t="shared" si="55"/>
        <v>-23.186662813290909</v>
      </c>
    </row>
    <row r="278" spans="1:20" x14ac:dyDescent="0.35">
      <c r="A278">
        <v>3.2</v>
      </c>
      <c r="B278">
        <v>15.3</v>
      </c>
      <c r="C278">
        <v>-4.3723093999999997E-2</v>
      </c>
      <c r="D278">
        <v>-6.4433196999999998E-2</v>
      </c>
      <c r="E278">
        <v>0.95625817999999996</v>
      </c>
      <c r="F278">
        <v>-6.8497824999999998E-2</v>
      </c>
      <c r="G278">
        <f t="shared" si="46"/>
        <v>2.9542783603489902</v>
      </c>
      <c r="H278">
        <f t="shared" si="47"/>
        <v>-5.2488649967517302</v>
      </c>
      <c r="I278">
        <f t="shared" si="48"/>
        <v>2.9542731276604699</v>
      </c>
      <c r="J278">
        <f t="shared" si="49"/>
        <v>-5.2508973404150296</v>
      </c>
      <c r="K278" s="7">
        <f t="shared" si="50"/>
        <v>5.2326885202624902E-6</v>
      </c>
      <c r="L278" s="7">
        <f t="shared" si="51"/>
        <v>2.03234366329941E-3</v>
      </c>
      <c r="M278" s="7">
        <f t="shared" si="52"/>
        <v>8.1385713544802799E-2</v>
      </c>
      <c r="N278" s="7">
        <f t="shared" si="53"/>
        <v>0.14465420370208201</v>
      </c>
      <c r="O278">
        <v>7.8111999000000001</v>
      </c>
      <c r="P278">
        <v>-5.0910571999999998</v>
      </c>
      <c r="Q278">
        <v>5.0234611999999998</v>
      </c>
      <c r="R278">
        <v>-7.5300454999999999</v>
      </c>
      <c r="S278">
        <f t="shared" si="54"/>
        <v>0.97083463236611234</v>
      </c>
      <c r="T278">
        <f t="shared" si="55"/>
        <v>-23.197010985605079</v>
      </c>
    </row>
    <row r="279" spans="1:20" x14ac:dyDescent="0.35">
      <c r="A279">
        <v>3.2</v>
      </c>
      <c r="B279">
        <v>15.4</v>
      </c>
      <c r="C279">
        <v>-4.9582003999999999E-2</v>
      </c>
      <c r="D279">
        <v>-6.6928643999999995E-2</v>
      </c>
      <c r="E279">
        <v>0.95039711000000004</v>
      </c>
      <c r="F279">
        <v>-7.104125E-2</v>
      </c>
      <c r="G279">
        <f t="shared" si="46"/>
        <v>2.9351758894454698</v>
      </c>
      <c r="H279">
        <f t="shared" si="47"/>
        <v>-4.7774255404978803</v>
      </c>
      <c r="I279">
        <f t="shared" si="48"/>
        <v>2.93516967483303</v>
      </c>
      <c r="J279">
        <f t="shared" si="49"/>
        <v>-4.7794818777513504</v>
      </c>
      <c r="K279" s="7">
        <f t="shared" si="50"/>
        <v>6.2146124397699501E-6</v>
      </c>
      <c r="L279" s="7">
        <f t="shared" si="51"/>
        <v>2.0563372534701E-3</v>
      </c>
      <c r="M279" s="7">
        <f t="shared" si="52"/>
        <v>9.3302414174636597E-2</v>
      </c>
      <c r="N279" s="7">
        <f t="shared" si="53"/>
        <v>0.151928933281683</v>
      </c>
      <c r="O279">
        <v>8.0550415999999991</v>
      </c>
      <c r="P279">
        <v>-5.7393827999999996</v>
      </c>
      <c r="Q279">
        <v>5.0062287000000003</v>
      </c>
      <c r="R279">
        <v>-8.2267033999999999</v>
      </c>
      <c r="S279">
        <f t="shared" si="54"/>
        <v>0.97367193675870145</v>
      </c>
      <c r="T279">
        <f t="shared" si="55"/>
        <v>-23.207412076718608</v>
      </c>
    </row>
    <row r="280" spans="1:20" x14ac:dyDescent="0.35">
      <c r="A280">
        <v>3.2</v>
      </c>
      <c r="B280">
        <v>15.5</v>
      </c>
      <c r="C280">
        <v>-5.6235284000000003E-2</v>
      </c>
      <c r="D280">
        <v>-6.9107633000000002E-2</v>
      </c>
      <c r="E280">
        <v>0.94374146000000003</v>
      </c>
      <c r="F280">
        <v>-7.3269675000000006E-2</v>
      </c>
      <c r="G280">
        <f t="shared" si="46"/>
        <v>2.9165523718082702</v>
      </c>
      <c r="H280">
        <f t="shared" si="47"/>
        <v>-4.3230991652476298</v>
      </c>
      <c r="I280">
        <f t="shared" si="48"/>
        <v>2.91654507445377</v>
      </c>
      <c r="J280">
        <f t="shared" si="49"/>
        <v>-4.3251802256321401</v>
      </c>
      <c r="K280" s="7">
        <f t="shared" si="50"/>
        <v>7.2973545002241701E-6</v>
      </c>
      <c r="L280" s="7">
        <f t="shared" si="51"/>
        <v>2.08106038451028E-3</v>
      </c>
      <c r="M280" s="7">
        <f t="shared" si="52"/>
        <v>0.107173047891786</v>
      </c>
      <c r="N280" s="7">
        <f t="shared" si="53"/>
        <v>0.15893556781360299</v>
      </c>
      <c r="O280">
        <v>8.2603705999999999</v>
      </c>
      <c r="P280">
        <v>-6.4720858999999997</v>
      </c>
      <c r="Q280">
        <v>4.9211562999999998</v>
      </c>
      <c r="R280">
        <v>-8.9874167000000007</v>
      </c>
      <c r="S280">
        <f t="shared" si="54"/>
        <v>0.97642895610144143</v>
      </c>
      <c r="T280">
        <f t="shared" si="55"/>
        <v>-23.21755176857846</v>
      </c>
    </row>
    <row r="281" spans="1:20" x14ac:dyDescent="0.35">
      <c r="A281">
        <v>3.2</v>
      </c>
      <c r="B281">
        <v>15.6</v>
      </c>
      <c r="C281">
        <v>-6.3744980000000007E-2</v>
      </c>
      <c r="D281">
        <v>-7.0801508999999999E-2</v>
      </c>
      <c r="E281">
        <v>0.93622923999999996</v>
      </c>
      <c r="F281">
        <v>-7.5014340999999998E-2</v>
      </c>
      <c r="G281">
        <f t="shared" si="46"/>
        <v>2.8983825712863398</v>
      </c>
      <c r="H281">
        <f t="shared" si="47"/>
        <v>-3.8850350827342601</v>
      </c>
      <c r="I281">
        <f t="shared" si="48"/>
        <v>2.8983741182604499</v>
      </c>
      <c r="J281">
        <f t="shared" si="49"/>
        <v>-3.8871415436921302</v>
      </c>
      <c r="K281" s="7">
        <f t="shared" si="50"/>
        <v>8.4530258899207007E-6</v>
      </c>
      <c r="L281" s="7">
        <f t="shared" si="51"/>
        <v>2.1064609578700399E-3</v>
      </c>
      <c r="M281" s="7">
        <f t="shared" si="52"/>
        <v>0.123280290916838</v>
      </c>
      <c r="N281" s="7">
        <f t="shared" si="53"/>
        <v>0.16533681325753199</v>
      </c>
      <c r="O281">
        <v>8.4003067999999992</v>
      </c>
      <c r="P281">
        <v>-7.2878518999999997</v>
      </c>
      <c r="Q281">
        <v>4.748456</v>
      </c>
      <c r="R281">
        <v>-9.8104013999999999</v>
      </c>
      <c r="S281">
        <f t="shared" si="54"/>
        <v>0.98004750856992873</v>
      </c>
      <c r="T281">
        <f t="shared" si="55"/>
        <v>-23.228050786597869</v>
      </c>
    </row>
    <row r="282" spans="1:20" x14ac:dyDescent="0.35">
      <c r="A282">
        <v>3.2</v>
      </c>
      <c r="B282">
        <v>15.7</v>
      </c>
      <c r="C282">
        <v>-7.2137098999999996E-2</v>
      </c>
      <c r="D282">
        <v>-7.1796467000000003E-2</v>
      </c>
      <c r="E282">
        <v>0.92783426999999996</v>
      </c>
      <c r="F282">
        <v>-7.6061663000000002E-2</v>
      </c>
      <c r="G282">
        <f t="shared" si="46"/>
        <v>2.8806234391480801</v>
      </c>
      <c r="H282">
        <f t="shared" si="47"/>
        <v>-3.4628431586213102</v>
      </c>
      <c r="I282">
        <f t="shared" si="48"/>
        <v>2.8806136715920201</v>
      </c>
      <c r="J282">
        <f t="shared" si="49"/>
        <v>-3.4649758079815198</v>
      </c>
      <c r="K282" s="7">
        <f t="shared" si="50"/>
        <v>9.7675560599697098E-6</v>
      </c>
      <c r="L282" s="7">
        <f t="shared" si="51"/>
        <v>2.1326493602096298E-3</v>
      </c>
      <c r="M282" s="7">
        <f t="shared" si="52"/>
        <v>0.141874248385323</v>
      </c>
      <c r="N282" s="7">
        <f t="shared" si="53"/>
        <v>0.17065490012724199</v>
      </c>
      <c r="O282">
        <v>8.4707279</v>
      </c>
      <c r="P282">
        <v>-8.2043494999999993</v>
      </c>
      <c r="Q282">
        <v>4.4663906000000004</v>
      </c>
      <c r="R282">
        <v>-10.68854</v>
      </c>
      <c r="S282">
        <f t="shared" si="54"/>
        <v>0.98233026642559873</v>
      </c>
      <c r="T282">
        <f t="shared" si="55"/>
        <v>-23.236750216209799</v>
      </c>
    </row>
    <row r="283" spans="1:20" x14ac:dyDescent="0.35">
      <c r="A283">
        <v>3.2</v>
      </c>
      <c r="B283">
        <v>15.8</v>
      </c>
      <c r="C283">
        <v>-8.1387099000000004E-2</v>
      </c>
      <c r="D283">
        <v>-7.1835631999999996E-2</v>
      </c>
      <c r="E283">
        <v>0.91858119999999999</v>
      </c>
      <c r="F283">
        <v>-7.6155705000000004E-2</v>
      </c>
      <c r="G283">
        <f t="shared" si="46"/>
        <v>2.86326375471493</v>
      </c>
      <c r="H283">
        <f t="shared" si="47"/>
        <v>-3.0561376281686101</v>
      </c>
      <c r="I283">
        <f t="shared" si="48"/>
        <v>2.8632525699214701</v>
      </c>
      <c r="J283">
        <f t="shared" si="49"/>
        <v>-3.0582977230667598</v>
      </c>
      <c r="K283" s="7">
        <f t="shared" si="50"/>
        <v>1.11847934598508E-5</v>
      </c>
      <c r="L283" s="7">
        <f t="shared" si="51"/>
        <v>2.16009489814972E-3</v>
      </c>
      <c r="M283" s="7">
        <f t="shared" si="52"/>
        <v>0.163135278691736</v>
      </c>
      <c r="N283" s="7">
        <f t="shared" si="53"/>
        <v>0.174248075987401</v>
      </c>
      <c r="O283">
        <v>8.4353501000000009</v>
      </c>
      <c r="P283">
        <v>-9.2118119000000007</v>
      </c>
      <c r="Q283">
        <v>4.0499717999999998</v>
      </c>
      <c r="R283">
        <v>-11.607518000000001</v>
      </c>
      <c r="S283">
        <f t="shared" si="54"/>
        <v>0.98424945375063166</v>
      </c>
      <c r="T283">
        <f t="shared" si="55"/>
        <v>-23.246295604833243</v>
      </c>
    </row>
    <row r="284" spans="1:20" x14ac:dyDescent="0.35">
      <c r="A284">
        <v>3.2</v>
      </c>
      <c r="B284">
        <v>15.9</v>
      </c>
      <c r="C284">
        <v>-9.1444447999999998E-2</v>
      </c>
      <c r="D284">
        <v>-7.0620585E-2</v>
      </c>
      <c r="E284">
        <v>0.9085221</v>
      </c>
      <c r="F284">
        <v>-7.4992277999999996E-2</v>
      </c>
      <c r="G284">
        <f t="shared" si="46"/>
        <v>2.8463286199401998</v>
      </c>
      <c r="H284">
        <f t="shared" si="47"/>
        <v>-2.6627019633890998</v>
      </c>
      <c r="I284">
        <f t="shared" si="48"/>
        <v>2.8463166718022799</v>
      </c>
      <c r="J284">
        <f t="shared" si="49"/>
        <v>-2.6648878725674101</v>
      </c>
      <c r="K284" s="7">
        <f t="shared" si="50"/>
        <v>1.19481379199371E-5</v>
      </c>
      <c r="L284" s="7">
        <f t="shared" si="51"/>
        <v>2.1859091783102999E-3</v>
      </c>
      <c r="M284" s="7">
        <f t="shared" si="52"/>
        <v>0.18721892676065999</v>
      </c>
      <c r="N284" s="7">
        <f t="shared" si="53"/>
        <v>0.175285291472385</v>
      </c>
      <c r="O284">
        <v>8.2512819999999998</v>
      </c>
      <c r="P284">
        <v>-10.290386</v>
      </c>
      <c r="Q284">
        <v>3.4725674</v>
      </c>
      <c r="R284">
        <v>-12.547793</v>
      </c>
      <c r="S284">
        <f t="shared" si="54"/>
        <v>0.98707017558111487</v>
      </c>
      <c r="T284">
        <f t="shared" si="55"/>
        <v>-23.254883498236328</v>
      </c>
    </row>
    <row r="285" spans="1:20" x14ac:dyDescent="0.35">
      <c r="A285">
        <v>3.2</v>
      </c>
      <c r="B285">
        <v>16</v>
      </c>
      <c r="C285">
        <v>-0.10204544</v>
      </c>
      <c r="D285">
        <v>-6.7852555999999994E-2</v>
      </c>
      <c r="E285">
        <v>0.89791834000000004</v>
      </c>
      <c r="F285">
        <v>-7.2281265999999997E-2</v>
      </c>
      <c r="G285">
        <f t="shared" si="46"/>
        <v>2.8296844095834301</v>
      </c>
      <c r="H285">
        <f t="shared" si="47"/>
        <v>-2.2847258644477701</v>
      </c>
      <c r="I285">
        <f t="shared" si="48"/>
        <v>2.8296712028658901</v>
      </c>
      <c r="J285">
        <f t="shared" si="49"/>
        <v>-2.28694028879536</v>
      </c>
      <c r="K285" s="7">
        <f t="shared" si="50"/>
        <v>1.32067175400152E-5</v>
      </c>
      <c r="L285" s="7">
        <f t="shared" si="51"/>
        <v>2.21442434758989E-3</v>
      </c>
      <c r="M285" s="7">
        <f t="shared" si="52"/>
        <v>0.21376764705394999</v>
      </c>
      <c r="N285" s="7">
        <f t="shared" si="53"/>
        <v>0.172767014059278</v>
      </c>
      <c r="O285">
        <v>7.9025121</v>
      </c>
      <c r="P285">
        <v>-11.42787</v>
      </c>
      <c r="Q285">
        <v>2.7165218000000002</v>
      </c>
      <c r="R285">
        <v>-13.470599</v>
      </c>
      <c r="S285">
        <f t="shared" si="54"/>
        <v>0.98903736879756898</v>
      </c>
      <c r="T285">
        <f t="shared" si="55"/>
        <v>-23.262810173573154</v>
      </c>
    </row>
    <row r="286" spans="1:20" x14ac:dyDescent="0.35">
      <c r="A286">
        <v>3.2</v>
      </c>
      <c r="B286">
        <v>16.100000000000001</v>
      </c>
      <c r="C286">
        <v>-0.11288498</v>
      </c>
      <c r="D286">
        <v>-6.3253904E-2</v>
      </c>
      <c r="E286">
        <v>0.88716013999999999</v>
      </c>
      <c r="F286">
        <v>-6.7748528000000002E-2</v>
      </c>
      <c r="G286">
        <f t="shared" si="46"/>
        <v>2.8139455175643602</v>
      </c>
      <c r="H286">
        <f t="shared" si="47"/>
        <v>-1.9221770471885</v>
      </c>
      <c r="I286">
        <f t="shared" si="48"/>
        <v>2.81397312709935</v>
      </c>
      <c r="J286">
        <f t="shared" si="49"/>
        <v>-1.9244242464444501</v>
      </c>
      <c r="K286" s="7">
        <f t="shared" si="50"/>
        <v>-2.7609534989814201E-5</v>
      </c>
      <c r="L286" s="7">
        <f t="shared" si="51"/>
        <v>2.2471992559500698E-3</v>
      </c>
      <c r="M286" s="7">
        <f t="shared" si="52"/>
        <v>0.24212774163299799</v>
      </c>
      <c r="N286" s="7">
        <f t="shared" si="53"/>
        <v>0.16558669030918799</v>
      </c>
      <c r="O286">
        <v>7.3520713000000004</v>
      </c>
      <c r="P286">
        <v>-12.57938</v>
      </c>
      <c r="Q286">
        <v>1.7675765000000001</v>
      </c>
      <c r="R286">
        <v>-14.333971</v>
      </c>
      <c r="S286">
        <f t="shared" si="54"/>
        <v>0.99123143047846718</v>
      </c>
      <c r="T286">
        <f t="shared" si="55"/>
        <v>-23.274458178969525</v>
      </c>
    </row>
    <row r="287" spans="1:20" x14ac:dyDescent="0.35">
      <c r="A287">
        <v>3.2</v>
      </c>
      <c r="B287">
        <v>16.2</v>
      </c>
      <c r="C287">
        <v>-0.12350398999999999</v>
      </c>
      <c r="D287">
        <v>-5.6641481E-2</v>
      </c>
      <c r="E287">
        <v>0.87654239</v>
      </c>
      <c r="F287">
        <v>-6.1199809000000001E-2</v>
      </c>
      <c r="G287">
        <f t="shared" si="46"/>
        <v>2.7982337927371899</v>
      </c>
      <c r="H287">
        <f t="shared" si="47"/>
        <v>-1.5726670816903501</v>
      </c>
      <c r="I287">
        <f t="shared" si="48"/>
        <v>2.7982621763996098</v>
      </c>
      <c r="J287">
        <f t="shared" si="49"/>
        <v>-1.57494612814824</v>
      </c>
      <c r="K287" s="7">
        <f t="shared" si="50"/>
        <v>-2.8383662419972901E-5</v>
      </c>
      <c r="L287" s="7">
        <f t="shared" si="51"/>
        <v>2.2790464578898999E-3</v>
      </c>
      <c r="M287" s="7">
        <f t="shared" si="52"/>
        <v>0.271393307977016</v>
      </c>
      <c r="N287" s="7">
        <f t="shared" si="53"/>
        <v>0.15274831758391499</v>
      </c>
      <c r="O287">
        <v>6.5801216</v>
      </c>
      <c r="P287">
        <v>-13.687265999999999</v>
      </c>
      <c r="Q287">
        <v>0.63040907999999996</v>
      </c>
      <c r="R287">
        <v>-15.081113</v>
      </c>
      <c r="S287">
        <f t="shared" si="54"/>
        <v>0.99390730887804501</v>
      </c>
      <c r="T287">
        <f t="shared" si="55"/>
        <v>-23.282172928382671</v>
      </c>
    </row>
    <row r="288" spans="1:20" x14ac:dyDescent="0.35">
      <c r="A288">
        <v>3.2</v>
      </c>
      <c r="B288">
        <v>16.3</v>
      </c>
      <c r="C288">
        <v>-0.13335860999999999</v>
      </c>
      <c r="D288">
        <v>-4.7978686E-2</v>
      </c>
      <c r="E288">
        <v>0.86668957999999996</v>
      </c>
      <c r="F288">
        <v>-5.2602211000000003E-2</v>
      </c>
      <c r="G288">
        <f t="shared" si="46"/>
        <v>2.7829186712559202</v>
      </c>
      <c r="H288">
        <f t="shared" si="47"/>
        <v>-1.2370846512046101</v>
      </c>
      <c r="I288">
        <f t="shared" si="48"/>
        <v>2.7829481095063802</v>
      </c>
      <c r="J288">
        <f t="shared" si="49"/>
        <v>-1.2393962899514399</v>
      </c>
      <c r="K288" s="7">
        <f t="shared" si="50"/>
        <v>-2.9438250459978801E-5</v>
      </c>
      <c r="L288" s="7">
        <f t="shared" si="51"/>
        <v>2.3116387468298202E-3</v>
      </c>
      <c r="M288" s="7">
        <f t="shared" si="52"/>
        <v>0.29985746068353702</v>
      </c>
      <c r="N288" s="7">
        <f t="shared" si="53"/>
        <v>0.13354263524207599</v>
      </c>
      <c r="O288">
        <v>5.5955142999999996</v>
      </c>
      <c r="P288">
        <v>-14.711662</v>
      </c>
      <c r="Q288">
        <v>-0.67406648999999996</v>
      </c>
      <c r="R288">
        <v>-15.657635000000001</v>
      </c>
      <c r="S288">
        <f t="shared" si="54"/>
        <v>0.99569823145143965</v>
      </c>
      <c r="T288">
        <f t="shared" si="55"/>
        <v>-23.289167027877731</v>
      </c>
    </row>
    <row r="289" spans="1:49" x14ac:dyDescent="0.35">
      <c r="A289">
        <v>3.2</v>
      </c>
      <c r="B289">
        <v>16.399999999999999</v>
      </c>
      <c r="C289">
        <v>-0.14187206999999999</v>
      </c>
      <c r="D289">
        <v>-3.7429483999999999E-2</v>
      </c>
      <c r="E289">
        <v>0.85817500999999996</v>
      </c>
      <c r="F289">
        <v>-4.2142257000000002E-2</v>
      </c>
      <c r="G289">
        <f t="shared" si="46"/>
        <v>2.7677943053546099</v>
      </c>
      <c r="H289">
        <f t="shared" si="47"/>
        <v>-0.91538138312519002</v>
      </c>
      <c r="I289">
        <f t="shared" si="48"/>
        <v>2.7678233969348902</v>
      </c>
      <c r="J289">
        <f t="shared" si="49"/>
        <v>-0.91773764560776305</v>
      </c>
      <c r="K289" s="7">
        <f t="shared" si="50"/>
        <v>-2.90915802803049E-5</v>
      </c>
      <c r="L289" s="7">
        <f t="shared" si="51"/>
        <v>2.3562624825730302E-3</v>
      </c>
      <c r="M289" s="7">
        <f t="shared" si="52"/>
        <v>0.325507998406243</v>
      </c>
      <c r="N289" s="7">
        <f t="shared" si="53"/>
        <v>0.107929915042505</v>
      </c>
      <c r="O289">
        <v>4.4119234000000001</v>
      </c>
      <c r="P289">
        <v>-15.576164</v>
      </c>
      <c r="Q289">
        <v>-2.1026273999999998</v>
      </c>
      <c r="R289">
        <v>-16.014828999999999</v>
      </c>
      <c r="S289">
        <f t="shared" si="54"/>
        <v>0.99773447138737914</v>
      </c>
      <c r="T289">
        <f t="shared" si="55"/>
        <v>-23.294414462801498</v>
      </c>
    </row>
    <row r="290" spans="1:49" x14ac:dyDescent="0.35">
      <c r="A290">
        <v>3.2</v>
      </c>
      <c r="B290">
        <v>16.5</v>
      </c>
      <c r="C290">
        <v>-0.14850938</v>
      </c>
      <c r="D290">
        <v>-2.5402014000000001E-2</v>
      </c>
      <c r="E290">
        <v>0.85153546000000002</v>
      </c>
      <c r="F290">
        <v>-3.0158219E-2</v>
      </c>
      <c r="G290">
        <f t="shared" si="46"/>
        <v>2.7534090603603198</v>
      </c>
      <c r="H290">
        <f t="shared" si="47"/>
        <v>-0.60748716913886203</v>
      </c>
      <c r="I290">
        <f t="shared" si="48"/>
        <v>2.7534371348168301</v>
      </c>
      <c r="J290">
        <f t="shared" si="49"/>
        <v>-0.60986515156056098</v>
      </c>
      <c r="K290" s="7">
        <f t="shared" si="50"/>
        <v>-2.8074456510207599E-5</v>
      </c>
      <c r="L290" s="7">
        <f t="shared" si="51"/>
        <v>2.3779824216989499E-3</v>
      </c>
      <c r="M290" s="7">
        <f t="shared" si="52"/>
        <v>0.34619834349989798</v>
      </c>
      <c r="N290" s="7">
        <f t="shared" si="53"/>
        <v>7.6680270836336203E-2</v>
      </c>
      <c r="O290">
        <v>3.0778156000000001</v>
      </c>
      <c r="P290">
        <v>-16.226921000000001</v>
      </c>
      <c r="Q290">
        <v>-3.5909049</v>
      </c>
      <c r="R290">
        <v>-16.117729000000001</v>
      </c>
      <c r="S290">
        <f t="shared" si="54"/>
        <v>0.99979812189480721</v>
      </c>
      <c r="T290">
        <f t="shared" si="55"/>
        <v>-23.299832777984484</v>
      </c>
    </row>
    <row r="291" spans="1:49" x14ac:dyDescent="0.35">
      <c r="A291">
        <v>3.2</v>
      </c>
      <c r="B291">
        <v>16.600000000000001</v>
      </c>
      <c r="C291">
        <v>-0.15293666</v>
      </c>
      <c r="D291">
        <v>-1.2431029E-2</v>
      </c>
      <c r="E291">
        <v>0.84708125000000001</v>
      </c>
      <c r="F291">
        <v>-1.7184602E-2</v>
      </c>
      <c r="G291">
        <f t="shared" si="46"/>
        <v>2.7391417498606399</v>
      </c>
      <c r="H291">
        <f t="shared" si="47"/>
        <v>-0.31245474824191499</v>
      </c>
      <c r="I291">
        <f t="shared" si="48"/>
        <v>2.7391563537108401</v>
      </c>
      <c r="J291">
        <f t="shared" si="49"/>
        <v>-0.314831478748059</v>
      </c>
      <c r="K291" s="7">
        <f t="shared" si="50"/>
        <v>-1.46038502002455E-5</v>
      </c>
      <c r="L291" s="7">
        <f t="shared" si="51"/>
        <v>2.37673050614401E-3</v>
      </c>
      <c r="M291" s="7">
        <f t="shared" si="52"/>
        <v>0.36031591986696199</v>
      </c>
      <c r="N291" s="7">
        <f t="shared" si="53"/>
        <v>4.1413770964371197E-2</v>
      </c>
      <c r="O291">
        <v>1.6543603</v>
      </c>
      <c r="P291">
        <v>-16.632981000000001</v>
      </c>
      <c r="Q291">
        <v>-5.0699085000000004</v>
      </c>
      <c r="R291">
        <v>-15.958246000000001</v>
      </c>
      <c r="S291">
        <f t="shared" si="54"/>
        <v>1.0017462334543465</v>
      </c>
      <c r="T291">
        <f t="shared" si="55"/>
        <v>-23.305075095108926</v>
      </c>
    </row>
    <row r="292" spans="1:49" x14ac:dyDescent="0.35">
      <c r="A292">
        <v>3.2</v>
      </c>
      <c r="B292">
        <v>16.7</v>
      </c>
      <c r="C292">
        <v>-0.15502305999999999</v>
      </c>
      <c r="D292">
        <v>7.9684674999999996E-4</v>
      </c>
      <c r="E292">
        <v>0.84497955000000002</v>
      </c>
      <c r="F292">
        <v>-4.1021212000000003E-3</v>
      </c>
      <c r="G292">
        <f t="shared" si="46"/>
        <v>2.7249835850789101</v>
      </c>
      <c r="H292">
        <f t="shared" si="47"/>
        <v>-3.3155823460160098E-2</v>
      </c>
      <c r="I292">
        <f t="shared" si="48"/>
        <v>2.7249908899894701</v>
      </c>
      <c r="J292">
        <f t="shared" si="49"/>
        <v>-3.56052863453497E-2</v>
      </c>
      <c r="K292" s="7">
        <f t="shared" si="50"/>
        <v>-7.30491056000204E-6</v>
      </c>
      <c r="L292" s="7">
        <f t="shared" si="51"/>
        <v>2.4494628851895999E-3</v>
      </c>
      <c r="M292" s="7">
        <f t="shared" si="52"/>
        <v>0.36691106276108598</v>
      </c>
      <c r="N292" s="7">
        <f t="shared" si="53"/>
        <v>4.7941347256891496E-3</v>
      </c>
      <c r="O292">
        <v>0.21549131999999999</v>
      </c>
      <c r="P292">
        <v>-16.785008999999999</v>
      </c>
      <c r="Q292">
        <v>-6.4680302000000003</v>
      </c>
      <c r="R292">
        <v>-15.555211999999999</v>
      </c>
      <c r="S292">
        <f t="shared" si="54"/>
        <v>1.0035727400927508</v>
      </c>
      <c r="T292">
        <f t="shared" si="55"/>
        <v>-23.313625808312107</v>
      </c>
      <c r="AT292">
        <v>16.7</v>
      </c>
      <c r="AU292">
        <v>0.36691106276108598</v>
      </c>
      <c r="AW292">
        <v>0</v>
      </c>
    </row>
    <row r="293" spans="1:49" x14ac:dyDescent="0.35">
      <c r="A293">
        <v>3.2</v>
      </c>
      <c r="B293">
        <v>16.8</v>
      </c>
      <c r="C293">
        <v>-0.15488172</v>
      </c>
      <c r="D293">
        <v>1.3639787E-2</v>
      </c>
      <c r="E293">
        <v>0.84511977999999999</v>
      </c>
      <c r="F293">
        <v>8.7403537E-3</v>
      </c>
      <c r="G293">
        <f t="shared" si="46"/>
        <v>2.7115180872639999</v>
      </c>
      <c r="H293">
        <f t="shared" si="47"/>
        <v>0.23325562153757701</v>
      </c>
      <c r="I293">
        <f t="shared" si="48"/>
        <v>2.7115248383255901</v>
      </c>
      <c r="J293">
        <f t="shared" si="49"/>
        <v>0.230805923263039</v>
      </c>
      <c r="K293" s="7">
        <f t="shared" si="50"/>
        <v>-6.7510615902044401E-6</v>
      </c>
      <c r="L293" s="7">
        <f t="shared" si="51"/>
        <v>2.4496982745380001E-3</v>
      </c>
      <c r="M293" s="7">
        <f t="shared" si="52"/>
        <v>0.36614329785437799</v>
      </c>
      <c r="N293" s="7">
        <f t="shared" si="53"/>
        <v>-3.11662429616682E-2</v>
      </c>
      <c r="O293">
        <v>-1.1691937999999999</v>
      </c>
      <c r="P293">
        <v>-16.694527000000001</v>
      </c>
      <c r="Q293">
        <v>-7.724628</v>
      </c>
      <c r="R293">
        <v>-14.949278</v>
      </c>
      <c r="S293">
        <f t="shared" si="54"/>
        <v>1.0054773723951886</v>
      </c>
      <c r="T293">
        <f t="shared" si="55"/>
        <v>-23.32027207396866</v>
      </c>
    </row>
    <row r="294" spans="1:49" x14ac:dyDescent="0.35">
      <c r="A294">
        <v>3.2</v>
      </c>
      <c r="B294">
        <v>16.899999999999999</v>
      </c>
      <c r="C294">
        <v>-0.15286190999999999</v>
      </c>
      <c r="D294">
        <v>2.5494940000000001E-2</v>
      </c>
      <c r="E294">
        <v>0.84715196999999998</v>
      </c>
      <c r="F294">
        <v>2.0506913000000002E-2</v>
      </c>
      <c r="G294">
        <f t="shared" si="46"/>
        <v>2.6986413759452299</v>
      </c>
      <c r="H294">
        <f t="shared" si="47"/>
        <v>0.48256509998266101</v>
      </c>
      <c r="I294">
        <f t="shared" si="48"/>
        <v>2.69865453583221</v>
      </c>
      <c r="J294">
        <f t="shared" si="49"/>
        <v>0.48007113661170198</v>
      </c>
      <c r="K294" s="7">
        <f t="shared" si="50"/>
        <v>-1.31598869801408E-5</v>
      </c>
      <c r="L294" s="7">
        <f t="shared" si="51"/>
        <v>2.4939633709590301E-3</v>
      </c>
      <c r="M294" s="7">
        <f t="shared" si="52"/>
        <v>0.35918821322143202</v>
      </c>
      <c r="N294" s="7">
        <f t="shared" si="53"/>
        <v>-6.3896986994507396E-2</v>
      </c>
      <c r="O294">
        <v>-2.4366796000000002</v>
      </c>
      <c r="P294">
        <v>-16.407492999999999</v>
      </c>
      <c r="Q294">
        <v>-8.7963515999999995</v>
      </c>
      <c r="R294">
        <v>-14.202612999999999</v>
      </c>
      <c r="S294">
        <f t="shared" si="54"/>
        <v>1.007146696662699</v>
      </c>
      <c r="T294">
        <f t="shared" si="55"/>
        <v>-23.32463154310388</v>
      </c>
    </row>
    <row r="295" spans="1:49" x14ac:dyDescent="0.35">
      <c r="A295">
        <v>3.2</v>
      </c>
      <c r="B295">
        <v>17</v>
      </c>
      <c r="C295">
        <v>-0.15117821000000001</v>
      </c>
      <c r="D295">
        <v>3.3522046E-2</v>
      </c>
      <c r="E295">
        <v>0.84886435999999998</v>
      </c>
      <c r="F295">
        <v>2.8574626999999998E-2</v>
      </c>
      <c r="G295">
        <f t="shared" si="46"/>
        <v>2.67389629211941</v>
      </c>
      <c r="H295">
        <f t="shared" si="47"/>
        <v>0.65317269166661396</v>
      </c>
      <c r="I295">
        <f t="shared" si="48"/>
        <v>2.6739236954768901</v>
      </c>
      <c r="J295">
        <f t="shared" si="49"/>
        <v>0.65069910260490404</v>
      </c>
      <c r="K295" s="7">
        <f t="shared" si="50"/>
        <v>-2.7403357480082501E-5</v>
      </c>
      <c r="L295" s="7">
        <f t="shared" si="51"/>
        <v>2.4735890617099102E-3</v>
      </c>
      <c r="M295" s="7">
        <f t="shared" si="52"/>
        <v>0.35307352507072598</v>
      </c>
      <c r="N295" s="7">
        <f t="shared" si="53"/>
        <v>-8.5920412129074003E-2</v>
      </c>
      <c r="O295">
        <v>-3.3799526000000002</v>
      </c>
      <c r="P295">
        <v>-16.702006000000001</v>
      </c>
      <c r="Q295">
        <v>-9.4685029000000007</v>
      </c>
      <c r="R295">
        <v>-13.661716</v>
      </c>
      <c r="S295">
        <f t="shared" si="54"/>
        <v>0.97544407778485853</v>
      </c>
      <c r="T295">
        <f t="shared" si="55"/>
        <v>-23.284270200430157</v>
      </c>
    </row>
    <row r="296" spans="1:49" x14ac:dyDescent="0.35">
      <c r="A296">
        <v>3.4</v>
      </c>
      <c r="B296">
        <v>15</v>
      </c>
      <c r="C296">
        <v>-3.3014343000000002E-2</v>
      </c>
      <c r="D296">
        <v>-6.2023436000000001E-2</v>
      </c>
      <c r="E296">
        <v>0.96698687999999999</v>
      </c>
      <c r="F296">
        <v>-6.6278300999999998E-2</v>
      </c>
      <c r="G296">
        <f t="shared" si="46"/>
        <v>2.6711988535934199</v>
      </c>
      <c r="H296">
        <f t="shared" si="47"/>
        <v>-6.1610790161375197</v>
      </c>
      <c r="I296">
        <f t="shared" si="48"/>
        <v>2.6712039910333099</v>
      </c>
      <c r="J296">
        <f t="shared" si="49"/>
        <v>-6.1632064364070596</v>
      </c>
      <c r="K296" s="7">
        <f t="shared" si="50"/>
        <v>-5.1374398899461903E-6</v>
      </c>
      <c r="L296" s="7">
        <f t="shared" si="51"/>
        <v>2.1274202695398298E-3</v>
      </c>
      <c r="M296" s="7">
        <f t="shared" si="52"/>
        <v>5.9201633098633598E-2</v>
      </c>
      <c r="N296" s="7">
        <f t="shared" si="53"/>
        <v>0.13659454215556299</v>
      </c>
      <c r="O296">
        <v>7.2659469999999997</v>
      </c>
      <c r="P296">
        <v>-3.7169139000000002</v>
      </c>
      <c r="Q296">
        <v>4.9920076</v>
      </c>
      <c r="R296">
        <v>-6.0054648999999998</v>
      </c>
      <c r="S296">
        <f t="shared" si="54"/>
        <v>0.95685538484082688</v>
      </c>
      <c r="T296">
        <f t="shared" si="55"/>
        <v>-23.173013149674478</v>
      </c>
    </row>
    <row r="297" spans="1:49" x14ac:dyDescent="0.35">
      <c r="A297">
        <v>3.4</v>
      </c>
      <c r="B297">
        <v>15.1</v>
      </c>
      <c r="C297">
        <v>-3.7263070000000002E-2</v>
      </c>
      <c r="D297">
        <v>-6.5086828999999999E-2</v>
      </c>
      <c r="E297">
        <v>0.96272853000000003</v>
      </c>
      <c r="F297">
        <v>-6.9382627000000002E-2</v>
      </c>
      <c r="G297">
        <f t="shared" si="46"/>
        <v>2.65324161799564</v>
      </c>
      <c r="H297">
        <f t="shared" si="47"/>
        <v>-5.6877612201566299</v>
      </c>
      <c r="I297">
        <f t="shared" si="48"/>
        <v>2.6532420314849698</v>
      </c>
      <c r="J297">
        <f t="shared" si="49"/>
        <v>-5.6899091272897104</v>
      </c>
      <c r="K297" s="7">
        <f t="shared" si="50"/>
        <v>-4.1348932988682902E-7</v>
      </c>
      <c r="L297" s="7">
        <f t="shared" si="51"/>
        <v>2.1479071330805502E-3</v>
      </c>
      <c r="M297" s="7">
        <f t="shared" si="52"/>
        <v>6.7315951902377602E-2</v>
      </c>
      <c r="N297" s="7">
        <f t="shared" si="53"/>
        <v>0.14435986035060799</v>
      </c>
      <c r="O297">
        <v>7.5515045000000001</v>
      </c>
      <c r="P297">
        <v>-4.1646321000000004</v>
      </c>
      <c r="Q297">
        <v>5.0985944999999999</v>
      </c>
      <c r="R297">
        <v>-6.5377255999999999</v>
      </c>
      <c r="S297">
        <f t="shared" si="54"/>
        <v>0.9613905588422994</v>
      </c>
      <c r="T297">
        <f t="shared" si="55"/>
        <v>-23.173696015783186</v>
      </c>
    </row>
    <row r="298" spans="1:49" x14ac:dyDescent="0.35">
      <c r="A298">
        <v>3.4</v>
      </c>
      <c r="B298">
        <v>15.2</v>
      </c>
      <c r="C298">
        <v>-4.2077782000000001E-2</v>
      </c>
      <c r="D298">
        <v>-6.8085877000000003E-2</v>
      </c>
      <c r="E298">
        <v>0.95790878000000002</v>
      </c>
      <c r="F298">
        <v>-7.2435856000000007E-2</v>
      </c>
      <c r="G298">
        <f t="shared" si="46"/>
        <v>2.63703268682942</v>
      </c>
      <c r="H298">
        <f t="shared" si="47"/>
        <v>-5.2362459493092803</v>
      </c>
      <c r="I298">
        <f t="shared" si="48"/>
        <v>2.6370306984365701</v>
      </c>
      <c r="J298">
        <f t="shared" si="49"/>
        <v>-5.2384209577478904</v>
      </c>
      <c r="K298" s="7">
        <f t="shared" si="50"/>
        <v>1.9883928499275799E-6</v>
      </c>
      <c r="L298" s="7">
        <f t="shared" si="51"/>
        <v>2.1750084386100701E-3</v>
      </c>
      <c r="M298" s="7">
        <f t="shared" si="52"/>
        <v>7.6669046250430195E-2</v>
      </c>
      <c r="N298" s="7">
        <f t="shared" si="53"/>
        <v>0.15230188216121601</v>
      </c>
      <c r="O298">
        <v>7.8372260999999996</v>
      </c>
      <c r="P298">
        <v>-4.6731667999999997</v>
      </c>
      <c r="Q298">
        <v>5.1748415999999997</v>
      </c>
      <c r="R298">
        <v>-7.1200093999999998</v>
      </c>
      <c r="S298">
        <f t="shared" si="54"/>
        <v>0.96462135520082848</v>
      </c>
      <c r="T298">
        <f t="shared" si="55"/>
        <v>-23.183546069787571</v>
      </c>
    </row>
    <row r="299" spans="1:49" x14ac:dyDescent="0.35">
      <c r="A299">
        <v>3.4</v>
      </c>
      <c r="B299">
        <v>15.3</v>
      </c>
      <c r="C299">
        <v>-4.7553679000000001E-2</v>
      </c>
      <c r="D299">
        <v>-7.0981904999999998E-2</v>
      </c>
      <c r="E299">
        <v>0.95243093999999995</v>
      </c>
      <c r="F299">
        <v>-7.5389855000000006E-2</v>
      </c>
      <c r="G299">
        <f t="shared" si="46"/>
        <v>2.6215402490360402</v>
      </c>
      <c r="H299">
        <f t="shared" si="47"/>
        <v>-4.8022198735966004</v>
      </c>
      <c r="I299">
        <f t="shared" si="48"/>
        <v>2.6215374160711802</v>
      </c>
      <c r="J299">
        <f t="shared" si="49"/>
        <v>-4.8044238717902497</v>
      </c>
      <c r="K299" s="7">
        <f t="shared" si="50"/>
        <v>2.83296486003337E-6</v>
      </c>
      <c r="L299" s="7">
        <f t="shared" si="51"/>
        <v>2.2039981936492498E-3</v>
      </c>
      <c r="M299" s="7">
        <f t="shared" si="52"/>
        <v>8.7516008682831506E-2</v>
      </c>
      <c r="N299" s="7">
        <f t="shared" si="53"/>
        <v>0.160388327361635</v>
      </c>
      <c r="O299">
        <v>8.1108402000000002</v>
      </c>
      <c r="P299">
        <v>-5.2496533999999997</v>
      </c>
      <c r="Q299">
        <v>5.2131445999999997</v>
      </c>
      <c r="R299">
        <v>-7.7599232000000002</v>
      </c>
      <c r="S299">
        <f t="shared" si="54"/>
        <v>0.96759687283340712</v>
      </c>
      <c r="T299">
        <f t="shared" si="55"/>
        <v>-23.194125285517202</v>
      </c>
    </row>
    <row r="300" spans="1:49" x14ac:dyDescent="0.35">
      <c r="A300">
        <v>3.4</v>
      </c>
      <c r="B300">
        <v>15.4</v>
      </c>
      <c r="C300">
        <v>-5.3774672000000003E-2</v>
      </c>
      <c r="D300">
        <v>-7.3686134E-2</v>
      </c>
      <c r="E300">
        <v>0.94620846999999997</v>
      </c>
      <c r="F300">
        <v>-7.8154130000000002E-2</v>
      </c>
      <c r="G300">
        <f t="shared" si="46"/>
        <v>2.6065212764178902</v>
      </c>
      <c r="H300">
        <f t="shared" si="47"/>
        <v>-4.3840406016812796</v>
      </c>
      <c r="I300">
        <f t="shared" si="48"/>
        <v>2.6065178381952099</v>
      </c>
      <c r="J300">
        <f t="shared" si="49"/>
        <v>-4.3862746261928596</v>
      </c>
      <c r="K300" s="7">
        <f t="shared" si="50"/>
        <v>3.4382226803408902E-6</v>
      </c>
      <c r="L300" s="7">
        <f t="shared" si="51"/>
        <v>2.2340245115799501E-3</v>
      </c>
      <c r="M300" s="7">
        <f t="shared" si="52"/>
        <v>0.100122297194008</v>
      </c>
      <c r="N300" s="7">
        <f t="shared" si="53"/>
        <v>0.16848681611260399</v>
      </c>
      <c r="O300">
        <v>8.3616126000000008</v>
      </c>
      <c r="P300">
        <v>-5.9018854999999997</v>
      </c>
      <c r="Q300">
        <v>5.2012345</v>
      </c>
      <c r="R300">
        <v>-8.4611287999999991</v>
      </c>
      <c r="S300">
        <f t="shared" si="54"/>
        <v>0.97042005154883992</v>
      </c>
      <c r="T300">
        <f t="shared" si="55"/>
        <v>-23.204450086806666</v>
      </c>
    </row>
    <row r="301" spans="1:49" x14ac:dyDescent="0.35">
      <c r="A301">
        <v>3.4</v>
      </c>
      <c r="B301">
        <v>15.5</v>
      </c>
      <c r="C301">
        <v>-6.0817636000000001E-2</v>
      </c>
      <c r="D301">
        <v>-7.6071807000000005E-2</v>
      </c>
      <c r="E301">
        <v>0.93916383000000003</v>
      </c>
      <c r="F301">
        <v>-8.0601750999999999E-2</v>
      </c>
      <c r="G301">
        <f t="shared" si="46"/>
        <v>2.5918799200109599</v>
      </c>
      <c r="H301">
        <f t="shared" si="47"/>
        <v>-3.9807856963297299</v>
      </c>
      <c r="I301">
        <f t="shared" si="48"/>
        <v>2.59187578313955</v>
      </c>
      <c r="J301">
        <f t="shared" si="49"/>
        <v>-3.9830506986894001</v>
      </c>
      <c r="K301" s="7">
        <f t="shared" si="50"/>
        <v>4.1368714098766199E-6</v>
      </c>
      <c r="L301" s="7">
        <f t="shared" si="51"/>
        <v>2.2650023596702002E-3</v>
      </c>
      <c r="M301" s="7">
        <f t="shared" si="52"/>
        <v>0.11477357677677</v>
      </c>
      <c r="N301" s="7">
        <f t="shared" si="53"/>
        <v>0.17637765596082999</v>
      </c>
      <c r="O301">
        <v>8.5768538000000003</v>
      </c>
      <c r="P301">
        <v>-6.6377629999999996</v>
      </c>
      <c r="Q301">
        <v>5.1239128999999997</v>
      </c>
      <c r="R301">
        <v>-9.2256795999999994</v>
      </c>
      <c r="S301">
        <f t="shared" si="54"/>
        <v>0.9730488743540745</v>
      </c>
      <c r="T301">
        <f t="shared" si="55"/>
        <v>-23.215491821918668</v>
      </c>
    </row>
    <row r="302" spans="1:49" x14ac:dyDescent="0.35">
      <c r="A302">
        <v>3.4</v>
      </c>
      <c r="B302">
        <v>15.6</v>
      </c>
      <c r="C302">
        <v>-6.8744404999999995E-2</v>
      </c>
      <c r="D302">
        <v>-7.7971962000000006E-2</v>
      </c>
      <c r="E302">
        <v>0.93123489999999998</v>
      </c>
      <c r="F302">
        <v>-8.2565851999999995E-2</v>
      </c>
      <c r="G302">
        <f t="shared" si="46"/>
        <v>2.5775684867124098</v>
      </c>
      <c r="H302">
        <f t="shared" si="47"/>
        <v>-3.5918083036302901</v>
      </c>
      <c r="I302">
        <f t="shared" si="48"/>
        <v>2.5775634151976199</v>
      </c>
      <c r="J302">
        <f t="shared" si="49"/>
        <v>-3.5941052840472798</v>
      </c>
      <c r="K302" s="7">
        <f t="shared" si="50"/>
        <v>5.0715147899005297E-6</v>
      </c>
      <c r="L302" s="7">
        <f t="shared" si="51"/>
        <v>2.2969804169896699E-3</v>
      </c>
      <c r="M302" s="7">
        <f t="shared" si="52"/>
        <v>0.131767664663022</v>
      </c>
      <c r="N302" s="7">
        <f t="shared" si="53"/>
        <v>0.18373431941174001</v>
      </c>
      <c r="O302">
        <v>8.7406524000000001</v>
      </c>
      <c r="P302">
        <v>-7.4645565999999999</v>
      </c>
      <c r="Q302">
        <v>4.9627192999999998</v>
      </c>
      <c r="R302">
        <v>-10.051106000000001</v>
      </c>
      <c r="S302">
        <f t="shared" si="54"/>
        <v>0.97522534026335239</v>
      </c>
      <c r="T302">
        <f t="shared" si="55"/>
        <v>-23.224732417857375</v>
      </c>
    </row>
    <row r="303" spans="1:49" x14ac:dyDescent="0.35">
      <c r="A303">
        <v>3.4</v>
      </c>
      <c r="B303">
        <v>15.7</v>
      </c>
      <c r="C303">
        <v>-7.7588234000000006E-2</v>
      </c>
      <c r="D303">
        <v>-7.9176211999999996E-2</v>
      </c>
      <c r="E303">
        <v>0.92238821999999998</v>
      </c>
      <c r="F303">
        <v>-8.3836224000000001E-2</v>
      </c>
      <c r="G303">
        <f t="shared" si="46"/>
        <v>2.56355847842726</v>
      </c>
      <c r="H303">
        <f t="shared" si="47"/>
        <v>-3.2166028126764599</v>
      </c>
      <c r="I303">
        <f t="shared" si="48"/>
        <v>2.5635521343788898</v>
      </c>
      <c r="J303">
        <f t="shared" si="49"/>
        <v>-3.2189328608897898</v>
      </c>
      <c r="K303" s="7">
        <f t="shared" si="50"/>
        <v>6.3440483701882002E-6</v>
      </c>
      <c r="L303" s="7">
        <f t="shared" si="51"/>
        <v>2.33004821332994E-3</v>
      </c>
      <c r="M303" s="7">
        <f t="shared" si="52"/>
        <v>0.15139091900071</v>
      </c>
      <c r="N303" s="7">
        <f t="shared" si="53"/>
        <v>0.19009451669675501</v>
      </c>
      <c r="O303">
        <v>8.8194817000000008</v>
      </c>
      <c r="P303">
        <v>-8.3741757999999997</v>
      </c>
      <c r="Q303">
        <v>4.6966415000000001</v>
      </c>
      <c r="R303">
        <v>-10.931817000000001</v>
      </c>
      <c r="S303">
        <f t="shared" si="54"/>
        <v>0.97830910329779608</v>
      </c>
      <c r="T303">
        <f t="shared" si="55"/>
        <v>-23.233763239069468</v>
      </c>
    </row>
    <row r="304" spans="1:49" x14ac:dyDescent="0.35">
      <c r="A304">
        <v>3.4</v>
      </c>
      <c r="B304">
        <v>15.8</v>
      </c>
      <c r="C304">
        <v>-8.7375762999999995E-2</v>
      </c>
      <c r="D304">
        <v>-7.9426505999999994E-2</v>
      </c>
      <c r="E304">
        <v>0.91260178999999997</v>
      </c>
      <c r="F304">
        <v>-8.4156195000000003E-2</v>
      </c>
      <c r="G304">
        <f t="shared" si="46"/>
        <v>2.5498804148330798</v>
      </c>
      <c r="H304">
        <f t="shared" si="47"/>
        <v>-2.8534028650962999</v>
      </c>
      <c r="I304">
        <f t="shared" si="48"/>
        <v>2.54987478385365</v>
      </c>
      <c r="J304">
        <f t="shared" si="49"/>
        <v>-2.8557677494549698</v>
      </c>
      <c r="K304" s="7">
        <f t="shared" si="50"/>
        <v>5.6309794298492502E-6</v>
      </c>
      <c r="L304" s="7">
        <f t="shared" si="51"/>
        <v>2.3648843586698801E-3</v>
      </c>
      <c r="M304" s="7">
        <f t="shared" si="52"/>
        <v>0.17396654599433301</v>
      </c>
      <c r="N304" s="7">
        <f t="shared" si="53"/>
        <v>0.19483625418808201</v>
      </c>
      <c r="O304">
        <v>8.8040157000000008</v>
      </c>
      <c r="P304">
        <v>-9.3834038</v>
      </c>
      <c r="Q304">
        <v>4.3005947000000004</v>
      </c>
      <c r="R304">
        <v>-11.859265000000001</v>
      </c>
      <c r="S304">
        <f t="shared" si="54"/>
        <v>0.98041426813430022</v>
      </c>
      <c r="T304">
        <f t="shared" si="55"/>
        <v>-23.242912061870303</v>
      </c>
    </row>
    <row r="305" spans="1:49" x14ac:dyDescent="0.35">
      <c r="A305">
        <v>3.4</v>
      </c>
      <c r="B305">
        <v>15.9</v>
      </c>
      <c r="C305">
        <v>-9.7964203E-2</v>
      </c>
      <c r="D305">
        <v>-7.8437004000000005E-2</v>
      </c>
      <c r="E305">
        <v>0.90200926000000003</v>
      </c>
      <c r="F305">
        <v>-8.3233198999999994E-2</v>
      </c>
      <c r="G305">
        <f t="shared" si="46"/>
        <v>2.5363892659906</v>
      </c>
      <c r="H305">
        <f t="shared" si="47"/>
        <v>-2.5039332481633201</v>
      </c>
      <c r="I305">
        <f t="shared" si="48"/>
        <v>2.5363817483820101</v>
      </c>
      <c r="J305">
        <f t="shared" si="49"/>
        <v>-2.50633139551109</v>
      </c>
      <c r="K305" s="7">
        <f t="shared" si="50"/>
        <v>7.5176085898576204E-6</v>
      </c>
      <c r="L305" s="7">
        <f t="shared" si="51"/>
        <v>2.3981473477698899E-3</v>
      </c>
      <c r="M305" s="7">
        <f t="shared" si="52"/>
        <v>0.199480599622643</v>
      </c>
      <c r="N305" s="7">
        <f t="shared" si="53"/>
        <v>0.19711720838101099</v>
      </c>
      <c r="O305">
        <v>8.6552796999999995</v>
      </c>
      <c r="P305">
        <v>-10.467521</v>
      </c>
      <c r="Q305">
        <v>3.7536323</v>
      </c>
      <c r="R305">
        <v>-12.807423999999999</v>
      </c>
      <c r="S305">
        <f t="shared" si="54"/>
        <v>0.98260317745531855</v>
      </c>
      <c r="T305">
        <f t="shared" si="55"/>
        <v>-23.25138723671218</v>
      </c>
    </row>
    <row r="306" spans="1:49" x14ac:dyDescent="0.35">
      <c r="A306">
        <v>3.4</v>
      </c>
      <c r="B306">
        <v>16</v>
      </c>
      <c r="C306">
        <v>-0.10918847</v>
      </c>
      <c r="D306">
        <v>-7.5896025000000006E-2</v>
      </c>
      <c r="E306">
        <v>0.89085245999999996</v>
      </c>
      <c r="F306">
        <v>-8.0720921000000001E-2</v>
      </c>
      <c r="G306">
        <f t="shared" si="46"/>
        <v>2.5240530543262998</v>
      </c>
      <c r="H306">
        <f t="shared" si="47"/>
        <v>-2.1680192028529501</v>
      </c>
      <c r="I306">
        <f t="shared" si="48"/>
        <v>2.52407933842168</v>
      </c>
      <c r="J306">
        <f t="shared" si="49"/>
        <v>-2.1704315380754999</v>
      </c>
      <c r="K306" s="7">
        <f t="shared" si="50"/>
        <v>-2.6284095380191298E-5</v>
      </c>
      <c r="L306" s="7">
        <f t="shared" si="51"/>
        <v>2.4123352225498E-3</v>
      </c>
      <c r="M306" s="7">
        <f t="shared" si="52"/>
        <v>0.22776902897020501</v>
      </c>
      <c r="N306" s="7">
        <f t="shared" si="53"/>
        <v>0.195856396567506</v>
      </c>
      <c r="O306">
        <v>8.3401510000000005</v>
      </c>
      <c r="P306">
        <v>-11.603783</v>
      </c>
      <c r="Q306">
        <v>3.034408</v>
      </c>
      <c r="R306">
        <v>-13.747083</v>
      </c>
      <c r="S306">
        <f t="shared" si="54"/>
        <v>0.98515971171874972</v>
      </c>
      <c r="T306">
        <f t="shared" si="55"/>
        <v>-23.259105388285406</v>
      </c>
    </row>
    <row r="307" spans="1:49" x14ac:dyDescent="0.35">
      <c r="A307">
        <v>3.4</v>
      </c>
      <c r="B307">
        <v>16.100000000000001</v>
      </c>
      <c r="C307">
        <v>-0.12074529000000001</v>
      </c>
      <c r="D307">
        <v>-7.1520851999999996E-2</v>
      </c>
      <c r="E307">
        <v>0.87929690999999999</v>
      </c>
      <c r="F307">
        <v>-7.6418894000000001E-2</v>
      </c>
      <c r="G307">
        <f t="shared" si="46"/>
        <v>2.5111846927824701</v>
      </c>
      <c r="H307">
        <f t="shared" si="47"/>
        <v>-1.8437906319033299</v>
      </c>
      <c r="I307">
        <f t="shared" si="48"/>
        <v>2.5112117896255102</v>
      </c>
      <c r="J307">
        <f t="shared" si="49"/>
        <v>-1.8462395348707299</v>
      </c>
      <c r="K307" s="7">
        <f t="shared" si="50"/>
        <v>-2.7096843040030901E-5</v>
      </c>
      <c r="L307" s="7">
        <f t="shared" si="51"/>
        <v>2.4489029673999698E-3</v>
      </c>
      <c r="M307" s="7">
        <f t="shared" si="52"/>
        <v>0.25849380824088902</v>
      </c>
      <c r="N307" s="7">
        <f t="shared" si="53"/>
        <v>0.190044300630172</v>
      </c>
      <c r="O307">
        <v>7.8375639000000001</v>
      </c>
      <c r="P307">
        <v>-12.76806</v>
      </c>
      <c r="Q307">
        <v>2.1293001</v>
      </c>
      <c r="R307">
        <v>-14.638208000000001</v>
      </c>
      <c r="S307">
        <f t="shared" si="54"/>
        <v>0.98735671324686769</v>
      </c>
      <c r="T307">
        <f t="shared" si="55"/>
        <v>-23.267025615460511</v>
      </c>
    </row>
    <row r="308" spans="1:49" x14ac:dyDescent="0.35">
      <c r="A308">
        <v>3.4</v>
      </c>
      <c r="B308">
        <v>16.2</v>
      </c>
      <c r="C308">
        <v>-0.13220993</v>
      </c>
      <c r="D308">
        <v>-6.5100146999999997E-2</v>
      </c>
      <c r="E308">
        <v>0.86783301000000002</v>
      </c>
      <c r="F308">
        <v>-7.0072983000000005E-2</v>
      </c>
      <c r="G308">
        <f t="shared" si="46"/>
        <v>2.4985811950660399</v>
      </c>
      <c r="H308">
        <f t="shared" si="47"/>
        <v>-1.5319068507800899</v>
      </c>
      <c r="I308">
        <f t="shared" si="48"/>
        <v>2.4986088464431599</v>
      </c>
      <c r="J308">
        <f t="shared" si="49"/>
        <v>-1.53439314664644</v>
      </c>
      <c r="K308" s="7">
        <f t="shared" si="50"/>
        <v>-2.7651377120019301E-5</v>
      </c>
      <c r="L308" s="7">
        <f t="shared" si="51"/>
        <v>2.4862958663500702E-3</v>
      </c>
      <c r="M308" s="7">
        <f t="shared" si="52"/>
        <v>0.29062348818318701</v>
      </c>
      <c r="N308" s="7">
        <f t="shared" si="53"/>
        <v>0.178471587962861</v>
      </c>
      <c r="O308">
        <v>7.1252978000000002</v>
      </c>
      <c r="P308">
        <v>-13.912172</v>
      </c>
      <c r="Q308">
        <v>1.0371941</v>
      </c>
      <c r="R308">
        <v>-15.431336</v>
      </c>
      <c r="S308">
        <f t="shared" si="54"/>
        <v>0.98947363827505519</v>
      </c>
      <c r="T308">
        <f t="shared" si="55"/>
        <v>-23.274572766092593</v>
      </c>
    </row>
    <row r="309" spans="1:49" x14ac:dyDescent="0.35">
      <c r="A309">
        <v>3.4</v>
      </c>
      <c r="B309">
        <v>16.3</v>
      </c>
      <c r="C309">
        <v>-0.14305643000000001</v>
      </c>
      <c r="D309">
        <v>-5.6556996999999998E-2</v>
      </c>
      <c r="E309">
        <v>0.85703468000000005</v>
      </c>
      <c r="F309">
        <v>-6.1643583000000002E-2</v>
      </c>
      <c r="G309">
        <f t="shared" si="46"/>
        <v>2.4862163342447099</v>
      </c>
      <c r="H309">
        <f t="shared" si="47"/>
        <v>-1.2328149662090799</v>
      </c>
      <c r="I309">
        <f t="shared" si="48"/>
        <v>2.4862683545830802</v>
      </c>
      <c r="J309">
        <f t="shared" si="49"/>
        <v>-1.23535801105771</v>
      </c>
      <c r="K309" s="7">
        <f t="shared" si="50"/>
        <v>-5.2020338370262202E-5</v>
      </c>
      <c r="L309" s="7">
        <f t="shared" si="51"/>
        <v>2.5430448486301002E-3</v>
      </c>
      <c r="M309" s="7">
        <f t="shared" si="52"/>
        <v>0.32257194632334601</v>
      </c>
      <c r="N309" s="7">
        <f t="shared" si="53"/>
        <v>0.16027708243901401</v>
      </c>
      <c r="O309">
        <v>6.1974020000000003</v>
      </c>
      <c r="P309">
        <v>-14.978806000000001</v>
      </c>
      <c r="Q309">
        <v>-0.22604461000000001</v>
      </c>
      <c r="R309">
        <v>-16.074394999999999</v>
      </c>
      <c r="S309">
        <f t="shared" si="54"/>
        <v>0.99171682665642569</v>
      </c>
      <c r="T309">
        <f t="shared" si="55"/>
        <v>-23.282731005554087</v>
      </c>
    </row>
    <row r="310" spans="1:49" x14ac:dyDescent="0.35">
      <c r="A310">
        <v>3.4</v>
      </c>
      <c r="B310">
        <v>16.399999999999999</v>
      </c>
      <c r="C310">
        <v>-0.15269228000000001</v>
      </c>
      <c r="D310">
        <v>-4.5994762000000002E-2</v>
      </c>
      <c r="E310">
        <v>0.84736597000000002</v>
      </c>
      <c r="F310">
        <v>-5.1135201999999998E-2</v>
      </c>
      <c r="G310">
        <f t="shared" si="46"/>
        <v>2.4741796014849</v>
      </c>
      <c r="H310">
        <f t="shared" si="47"/>
        <v>-0.94486236832915305</v>
      </c>
      <c r="I310">
        <f t="shared" si="48"/>
        <v>2.4742153310466999</v>
      </c>
      <c r="J310">
        <f t="shared" si="49"/>
        <v>-0.94743242164351404</v>
      </c>
      <c r="K310" s="7">
        <f t="shared" si="50"/>
        <v>-3.57295617998687E-5</v>
      </c>
      <c r="L310" s="7">
        <f t="shared" si="51"/>
        <v>2.570053314361E-3</v>
      </c>
      <c r="M310" s="7">
        <f t="shared" si="52"/>
        <v>0.35248397470260201</v>
      </c>
      <c r="N310" s="7">
        <f t="shared" si="53"/>
        <v>0.134974002283681</v>
      </c>
      <c r="O310">
        <v>5.0677804999999996</v>
      </c>
      <c r="P310">
        <v>-15.908561000000001</v>
      </c>
      <c r="Q310">
        <v>-1.6246788000000001</v>
      </c>
      <c r="R310">
        <v>-16.515446000000001</v>
      </c>
      <c r="S310">
        <f t="shared" si="54"/>
        <v>0.99394580447586267</v>
      </c>
      <c r="T310">
        <f t="shared" si="55"/>
        <v>-23.287930211765929</v>
      </c>
    </row>
    <row r="311" spans="1:49" x14ac:dyDescent="0.35">
      <c r="A311">
        <v>3.4</v>
      </c>
      <c r="B311">
        <v>16.5</v>
      </c>
      <c r="C311">
        <v>-0.16058286999999999</v>
      </c>
      <c r="D311">
        <v>-3.3738900000000002E-2</v>
      </c>
      <c r="E311">
        <v>0.83941493</v>
      </c>
      <c r="F311">
        <v>-3.8951837000000003E-2</v>
      </c>
      <c r="G311">
        <f t="shared" si="46"/>
        <v>2.4619051071316398</v>
      </c>
      <c r="H311">
        <f t="shared" si="47"/>
        <v>-0.66907275042048198</v>
      </c>
      <c r="I311">
        <f t="shared" si="48"/>
        <v>2.4619108007847501</v>
      </c>
      <c r="J311">
        <f t="shared" si="49"/>
        <v>-0.67167920694725702</v>
      </c>
      <c r="K311" s="7">
        <f t="shared" si="50"/>
        <v>-5.69365311031689E-6</v>
      </c>
      <c r="L311" s="7">
        <f t="shared" si="51"/>
        <v>2.6064565267750498E-3</v>
      </c>
      <c r="M311" s="7">
        <f t="shared" si="52"/>
        <v>0.37804839747869101</v>
      </c>
      <c r="N311" s="7">
        <f t="shared" si="53"/>
        <v>0.10314234281974299</v>
      </c>
      <c r="O311">
        <v>3.7755052999999998</v>
      </c>
      <c r="P311">
        <v>-16.654253000000001</v>
      </c>
      <c r="Q311">
        <v>-3.1060753999999999</v>
      </c>
      <c r="R311">
        <v>-16.719887</v>
      </c>
      <c r="S311">
        <f t="shared" si="54"/>
        <v>0.99584854388542854</v>
      </c>
      <c r="T311">
        <f t="shared" si="55"/>
        <v>-23.296956643257616</v>
      </c>
    </row>
    <row r="312" spans="1:49" x14ac:dyDescent="0.35">
      <c r="A312">
        <v>3.4</v>
      </c>
      <c r="B312">
        <v>16.600000000000001</v>
      </c>
      <c r="C312">
        <v>-0.16629805</v>
      </c>
      <c r="D312">
        <v>-2.0320305E-2</v>
      </c>
      <c r="E312">
        <v>0.83369247000000002</v>
      </c>
      <c r="F312">
        <v>-2.5604246000000001E-2</v>
      </c>
      <c r="G312">
        <f t="shared" si="46"/>
        <v>2.4503159771254901</v>
      </c>
      <c r="H312">
        <f t="shared" si="47"/>
        <v>-0.40604435990005799</v>
      </c>
      <c r="I312">
        <f t="shared" si="48"/>
        <v>2.45031821716168</v>
      </c>
      <c r="J312">
        <f t="shared" si="49"/>
        <v>-0.40868633700492102</v>
      </c>
      <c r="K312" s="7">
        <f t="shared" si="50"/>
        <v>-2.2400361898711201E-6</v>
      </c>
      <c r="L312" s="7">
        <f t="shared" si="51"/>
        <v>2.64197710486302E-3</v>
      </c>
      <c r="M312" s="7">
        <f t="shared" si="52"/>
        <v>0.39706448038425801</v>
      </c>
      <c r="N312" s="7">
        <f t="shared" si="53"/>
        <v>6.6226021953579101E-2</v>
      </c>
      <c r="O312">
        <v>2.3748315</v>
      </c>
      <c r="P312">
        <v>-17.168824999999998</v>
      </c>
      <c r="Q312">
        <v>-4.6005561000000004</v>
      </c>
      <c r="R312">
        <v>-16.67041</v>
      </c>
      <c r="S312">
        <f t="shared" si="54"/>
        <v>0.99776605809216845</v>
      </c>
      <c r="T312">
        <f t="shared" si="55"/>
        <v>-23.303293367561974</v>
      </c>
    </row>
    <row r="313" spans="1:49" x14ac:dyDescent="0.35">
      <c r="A313">
        <v>3.4</v>
      </c>
      <c r="B313">
        <v>16.7</v>
      </c>
      <c r="C313">
        <v>-0.16963813</v>
      </c>
      <c r="D313">
        <v>-6.3790128000000001E-3</v>
      </c>
      <c r="E313">
        <v>0.83035369000000003</v>
      </c>
      <c r="F313">
        <v>-1.1803093000000001E-2</v>
      </c>
      <c r="G313">
        <f t="shared" si="46"/>
        <v>2.43893769012274</v>
      </c>
      <c r="H313">
        <f t="shared" si="47"/>
        <v>-0.156140460855138</v>
      </c>
      <c r="I313">
        <f t="shared" si="48"/>
        <v>2.4389409553036501</v>
      </c>
      <c r="J313">
        <f t="shared" si="49"/>
        <v>-0.15885250319208999</v>
      </c>
      <c r="K313" s="7">
        <f t="shared" si="50"/>
        <v>-3.2651809100947602E-6</v>
      </c>
      <c r="L313" s="7">
        <f t="shared" si="51"/>
        <v>2.7120423369519902E-3</v>
      </c>
      <c r="M313" s="7">
        <f t="shared" si="52"/>
        <v>0.40828203412981101</v>
      </c>
      <c r="N313" s="7">
        <f t="shared" si="53"/>
        <v>2.6592125155323301E-2</v>
      </c>
      <c r="O313">
        <v>0.93326381999999997</v>
      </c>
      <c r="P313">
        <v>-17.436347000000001</v>
      </c>
      <c r="Q313">
        <v>-6.0402234999999997</v>
      </c>
      <c r="R313">
        <v>-16.375674</v>
      </c>
      <c r="S313">
        <f t="shared" si="54"/>
        <v>0.9995896476956142</v>
      </c>
      <c r="T313">
        <f t="shared" si="55"/>
        <v>-23.310447353956768</v>
      </c>
    </row>
    <row r="314" spans="1:49" x14ac:dyDescent="0.35">
      <c r="A314">
        <v>3.4</v>
      </c>
      <c r="B314">
        <v>16.8</v>
      </c>
      <c r="C314">
        <v>-0.17062978000000001</v>
      </c>
      <c r="D314">
        <v>7.4038068E-3</v>
      </c>
      <c r="E314">
        <v>0.82939954999999999</v>
      </c>
      <c r="F314">
        <v>1.9021902000000001E-3</v>
      </c>
      <c r="G314">
        <f t="shared" si="46"/>
        <v>2.4283835819114401</v>
      </c>
      <c r="H314">
        <f t="shared" si="47"/>
        <v>8.1238243249065797E-2</v>
      </c>
      <c r="I314">
        <f t="shared" si="48"/>
        <v>2.4284058132525299</v>
      </c>
      <c r="J314">
        <f t="shared" si="49"/>
        <v>7.8487536442338704E-2</v>
      </c>
      <c r="K314" s="7">
        <f t="shared" si="50"/>
        <v>-2.2231341089806699E-5</v>
      </c>
      <c r="L314" s="7">
        <f t="shared" si="51"/>
        <v>2.75070680672709E-3</v>
      </c>
      <c r="M314" s="7">
        <f t="shared" si="52"/>
        <v>0.41136306928824101</v>
      </c>
      <c r="N314" s="7">
        <f t="shared" si="53"/>
        <v>-1.3295501812585901E-2</v>
      </c>
      <c r="O314">
        <v>-0.47952873000000001</v>
      </c>
      <c r="P314">
        <v>-17.46218</v>
      </c>
      <c r="Q314">
        <v>-7.361605</v>
      </c>
      <c r="R314">
        <v>-15.868796</v>
      </c>
      <c r="S314">
        <f t="shared" si="54"/>
        <v>1.0013986859657198</v>
      </c>
      <c r="T314">
        <f t="shared" si="55"/>
        <v>-23.313791528196369</v>
      </c>
      <c r="AT314">
        <v>16.8</v>
      </c>
      <c r="AU314">
        <v>0.41136306928824101</v>
      </c>
      <c r="AW314">
        <v>0</v>
      </c>
    </row>
    <row r="315" spans="1:49" x14ac:dyDescent="0.35">
      <c r="A315">
        <v>3.4</v>
      </c>
      <c r="B315">
        <v>16.899999999999999</v>
      </c>
      <c r="C315">
        <v>-0.16956624000000001</v>
      </c>
      <c r="D315">
        <v>2.0325631E-2</v>
      </c>
      <c r="E315">
        <v>0.83043228999999996</v>
      </c>
      <c r="F315">
        <v>1.4805216E-2</v>
      </c>
      <c r="G315">
        <f t="shared" si="46"/>
        <v>2.4173779189543501</v>
      </c>
      <c r="H315">
        <f t="shared" si="47"/>
        <v>0.30359129596266998</v>
      </c>
      <c r="I315">
        <f t="shared" si="48"/>
        <v>2.4173848026579998</v>
      </c>
      <c r="J315">
        <f t="shared" si="49"/>
        <v>0.30083110543438002</v>
      </c>
      <c r="K315" s="7">
        <f t="shared" si="50"/>
        <v>-6.8837036497626497E-6</v>
      </c>
      <c r="L315" s="7">
        <f t="shared" si="51"/>
        <v>2.76019052828996E-3</v>
      </c>
      <c r="M315" s="7">
        <f t="shared" si="52"/>
        <v>0.40736156337129098</v>
      </c>
      <c r="N315" s="7">
        <f t="shared" si="53"/>
        <v>-5.0694051392114997E-2</v>
      </c>
      <c r="O315">
        <v>-1.7932515</v>
      </c>
      <c r="P315">
        <v>-17.280754000000002</v>
      </c>
      <c r="Q315">
        <v>-8.5137213999999997</v>
      </c>
      <c r="R315">
        <v>-15.206015000000001</v>
      </c>
      <c r="S315">
        <f t="shared" si="54"/>
        <v>1.0030864990357142</v>
      </c>
      <c r="T315">
        <f t="shared" si="55"/>
        <v>-23.319632322275538</v>
      </c>
    </row>
    <row r="316" spans="1:49" x14ac:dyDescent="0.35">
      <c r="A316">
        <v>3.4</v>
      </c>
      <c r="B316">
        <v>17</v>
      </c>
      <c r="C316">
        <v>-0.16842291000000001</v>
      </c>
      <c r="D316">
        <v>2.9386922999999999E-2</v>
      </c>
      <c r="E316">
        <v>0.83155095000000001</v>
      </c>
      <c r="F316">
        <v>2.3790674000000001E-2</v>
      </c>
      <c r="G316">
        <f t="shared" si="46"/>
        <v>2.3963167528879898</v>
      </c>
      <c r="H316">
        <f t="shared" si="47"/>
        <v>0.45860254799794598</v>
      </c>
      <c r="I316">
        <f t="shared" si="48"/>
        <v>2.3963115124635799</v>
      </c>
      <c r="J316">
        <f t="shared" si="49"/>
        <v>0.45580437226242898</v>
      </c>
      <c r="K316" s="7">
        <f t="shared" si="50"/>
        <v>5.24042440996908E-6</v>
      </c>
      <c r="L316" s="7">
        <f t="shared" si="51"/>
        <v>2.7981757355169902E-3</v>
      </c>
      <c r="M316" s="7">
        <f t="shared" si="52"/>
        <v>0.40273693012907702</v>
      </c>
      <c r="N316" s="7">
        <f t="shared" si="53"/>
        <v>-7.6604920799992093E-2</v>
      </c>
      <c r="O316">
        <v>-2.7568796999999998</v>
      </c>
      <c r="P316">
        <v>-17.512221</v>
      </c>
      <c r="Q316">
        <v>-9.2714458999999998</v>
      </c>
      <c r="R316">
        <v>-14.714332000000001</v>
      </c>
      <c r="S316">
        <f t="shared" si="54"/>
        <v>0.98103588087868143</v>
      </c>
      <c r="T316">
        <f t="shared" si="55"/>
        <v>-23.268452836688294</v>
      </c>
    </row>
    <row r="317" spans="1:49" x14ac:dyDescent="0.35">
      <c r="A317">
        <v>3.6</v>
      </c>
      <c r="B317">
        <v>15</v>
      </c>
      <c r="C317">
        <v>-3.5909770000000001E-2</v>
      </c>
      <c r="D317">
        <v>-6.8169224E-2</v>
      </c>
      <c r="E317">
        <v>0.96394491000000004</v>
      </c>
      <c r="F317">
        <v>-7.2511919999999994E-2</v>
      </c>
      <c r="G317">
        <f t="shared" si="46"/>
        <v>2.3820723700679798</v>
      </c>
      <c r="H317">
        <f t="shared" si="47"/>
        <v>-5.6328924580638002</v>
      </c>
      <c r="I317">
        <f t="shared" si="48"/>
        <v>2.3820044205458899</v>
      </c>
      <c r="J317">
        <f t="shared" si="49"/>
        <v>-5.6350641113981901</v>
      </c>
      <c r="K317" s="7">
        <f t="shared" si="50"/>
        <v>6.7949522089882905E-5</v>
      </c>
      <c r="L317" s="7">
        <f t="shared" si="51"/>
        <v>2.17165333438984E-3</v>
      </c>
      <c r="M317" s="7">
        <f t="shared" si="52"/>
        <v>6.3642493742893796E-2</v>
      </c>
      <c r="N317" s="7">
        <f t="shared" si="53"/>
        <v>0.150557878632432</v>
      </c>
      <c r="O317">
        <v>7.3758293999999998</v>
      </c>
      <c r="P317">
        <v>-3.7675537000000001</v>
      </c>
      <c r="Q317">
        <v>5.1800227999999997</v>
      </c>
      <c r="R317">
        <v>-6.2172326</v>
      </c>
      <c r="S317">
        <f t="shared" si="54"/>
        <v>0.97706330734473912</v>
      </c>
      <c r="T317">
        <f t="shared" si="55"/>
        <v>-23.142069582446251</v>
      </c>
    </row>
    <row r="318" spans="1:49" x14ac:dyDescent="0.35">
      <c r="A318">
        <v>3.6</v>
      </c>
      <c r="B318">
        <v>15.1</v>
      </c>
      <c r="C318">
        <v>-4.046901E-2</v>
      </c>
      <c r="D318">
        <v>-7.1451145999999993E-2</v>
      </c>
      <c r="E318">
        <v>0.95946474000000004</v>
      </c>
      <c r="F318">
        <v>-7.5914495999999998E-2</v>
      </c>
      <c r="G318">
        <f t="shared" si="46"/>
        <v>2.3645498006361101</v>
      </c>
      <c r="H318">
        <f t="shared" si="47"/>
        <v>-5.2101420511489396</v>
      </c>
      <c r="I318">
        <f t="shared" si="48"/>
        <v>2.3645216553822701</v>
      </c>
      <c r="J318">
        <f t="shared" si="49"/>
        <v>-5.2123738628887804</v>
      </c>
      <c r="K318" s="7">
        <f t="shared" si="50"/>
        <v>2.8145253839984001E-5</v>
      </c>
      <c r="L318" s="7">
        <f t="shared" si="51"/>
        <v>2.23181173984077E-3</v>
      </c>
      <c r="M318" s="7">
        <f t="shared" si="52"/>
        <v>7.2177527659522595E-2</v>
      </c>
      <c r="N318" s="7">
        <f t="shared" si="53"/>
        <v>0.15910882347136099</v>
      </c>
      <c r="O318">
        <v>7.6710364000000002</v>
      </c>
      <c r="P318">
        <v>-4.2182556</v>
      </c>
      <c r="Q318">
        <v>5.2879798999999998</v>
      </c>
      <c r="R318">
        <v>-6.7577375000000002</v>
      </c>
      <c r="S318">
        <f t="shared" si="54"/>
        <v>0.98017408303879405</v>
      </c>
      <c r="T318">
        <f t="shared" si="55"/>
        <v>-23.150432097031441</v>
      </c>
    </row>
    <row r="319" spans="1:49" x14ac:dyDescent="0.35">
      <c r="A319">
        <v>3.6</v>
      </c>
      <c r="B319">
        <v>15.2</v>
      </c>
      <c r="C319">
        <v>-4.5609558000000001E-2</v>
      </c>
      <c r="D319">
        <v>-7.4667125000000001E-2</v>
      </c>
      <c r="E319">
        <v>0.95432024000000004</v>
      </c>
      <c r="F319">
        <v>-7.9187487000000001E-2</v>
      </c>
      <c r="G319">
        <f t="shared" si="46"/>
        <v>2.3523621793585101</v>
      </c>
      <c r="H319">
        <f t="shared" si="47"/>
        <v>-4.8060781566801003</v>
      </c>
      <c r="I319">
        <f t="shared" si="48"/>
        <v>2.3523321860564099</v>
      </c>
      <c r="J319">
        <f t="shared" si="49"/>
        <v>-4.8083384848101796</v>
      </c>
      <c r="K319" s="7">
        <f t="shared" si="50"/>
        <v>2.9993302100184101E-5</v>
      </c>
      <c r="L319" s="7">
        <f t="shared" si="51"/>
        <v>2.2603281300792601E-3</v>
      </c>
      <c r="M319" s="7">
        <f t="shared" si="52"/>
        <v>8.2095560773581697E-2</v>
      </c>
      <c r="N319" s="7">
        <f t="shared" si="53"/>
        <v>0.167809311388736</v>
      </c>
      <c r="O319">
        <v>7.9572278000000001</v>
      </c>
      <c r="P319">
        <v>-4.7241014000000003</v>
      </c>
      <c r="Q319">
        <v>5.3672547000000002</v>
      </c>
      <c r="R319">
        <v>-7.3489690000000003</v>
      </c>
      <c r="S319">
        <f t="shared" si="54"/>
        <v>0.98339781270006632</v>
      </c>
      <c r="T319">
        <f t="shared" si="55"/>
        <v>-23.160758703540939</v>
      </c>
    </row>
    <row r="320" spans="1:49" x14ac:dyDescent="0.35">
      <c r="A320">
        <v>3.6</v>
      </c>
      <c r="B320">
        <v>15.3</v>
      </c>
      <c r="C320">
        <v>-5.1438787E-2</v>
      </c>
      <c r="D320">
        <v>-7.7773618000000003E-2</v>
      </c>
      <c r="E320">
        <v>0.94843029999999995</v>
      </c>
      <c r="F320">
        <v>-8.2363326000000001E-2</v>
      </c>
      <c r="G320">
        <f t="shared" si="46"/>
        <v>2.3412838302205601</v>
      </c>
      <c r="H320">
        <f t="shared" si="47"/>
        <v>-4.4158641068222</v>
      </c>
      <c r="I320">
        <f t="shared" si="48"/>
        <v>2.34122363679715</v>
      </c>
      <c r="J320">
        <f t="shared" si="49"/>
        <v>-4.4181592491892996</v>
      </c>
      <c r="K320" s="7">
        <f t="shared" si="50"/>
        <v>6.0193423410126497E-5</v>
      </c>
      <c r="L320" s="7">
        <f t="shared" si="51"/>
        <v>2.2951423670995999E-3</v>
      </c>
      <c r="M320" s="7">
        <f t="shared" si="52"/>
        <v>9.3643479431966395E-2</v>
      </c>
      <c r="N320" s="7">
        <f t="shared" si="53"/>
        <v>0.17671605491930101</v>
      </c>
      <c r="O320">
        <v>8.231071</v>
      </c>
      <c r="P320">
        <v>-5.2963120000000004</v>
      </c>
      <c r="Q320">
        <v>5.4088542000000004</v>
      </c>
      <c r="R320">
        <v>-7.9977016000000001</v>
      </c>
      <c r="S320">
        <f t="shared" si="54"/>
        <v>0.98642943943731254</v>
      </c>
      <c r="T320">
        <f t="shared" si="55"/>
        <v>-23.170068796616622</v>
      </c>
    </row>
    <row r="321" spans="1:49" x14ac:dyDescent="0.35">
      <c r="A321">
        <v>3.6</v>
      </c>
      <c r="B321">
        <v>15.4</v>
      </c>
      <c r="C321">
        <v>-5.8043167999999999E-2</v>
      </c>
      <c r="D321">
        <v>-8.0688438000000001E-2</v>
      </c>
      <c r="E321">
        <v>0.94182549999999998</v>
      </c>
      <c r="F321">
        <v>-8.5318272000000001E-2</v>
      </c>
      <c r="G321">
        <f t="shared" si="46"/>
        <v>2.3301362617189199</v>
      </c>
      <c r="H321">
        <f t="shared" si="47"/>
        <v>-4.0413998809168596</v>
      </c>
      <c r="I321">
        <f t="shared" si="48"/>
        <v>2.3300759512744298</v>
      </c>
      <c r="J321">
        <f t="shared" si="49"/>
        <v>-4.0437150895610401</v>
      </c>
      <c r="K321" s="7">
        <f t="shared" si="50"/>
        <v>6.0310444490063703E-5</v>
      </c>
      <c r="L321" s="7">
        <f t="shared" si="51"/>
        <v>2.3152086441804399E-3</v>
      </c>
      <c r="M321" s="7">
        <f t="shared" si="52"/>
        <v>0.106978016743313</v>
      </c>
      <c r="N321" s="7">
        <f t="shared" si="53"/>
        <v>0.185654300375764</v>
      </c>
      <c r="O321">
        <v>8.4828268999999992</v>
      </c>
      <c r="P321">
        <v>-5.9409922000000002</v>
      </c>
      <c r="Q321">
        <v>5.4011985999999998</v>
      </c>
      <c r="R321">
        <v>-8.7065382000000007</v>
      </c>
      <c r="S321">
        <f t="shared" si="54"/>
        <v>0.98932810248162906</v>
      </c>
      <c r="T321">
        <f t="shared" si="55"/>
        <v>-23.180462324779608</v>
      </c>
    </row>
    <row r="322" spans="1:49" x14ac:dyDescent="0.35">
      <c r="A322">
        <v>3.6</v>
      </c>
      <c r="B322">
        <v>15.5</v>
      </c>
      <c r="C322">
        <v>-6.5501726999999996E-2</v>
      </c>
      <c r="D322">
        <v>-8.3278006000000002E-2</v>
      </c>
      <c r="E322">
        <v>0.93438796999999996</v>
      </c>
      <c r="F322">
        <v>-8.7961236999999998E-2</v>
      </c>
      <c r="G322">
        <f t="shared" si="46"/>
        <v>2.3188452978766501</v>
      </c>
      <c r="H322">
        <f t="shared" si="47"/>
        <v>-3.6803091309337601</v>
      </c>
      <c r="I322">
        <f t="shared" si="48"/>
        <v>2.3187956273751902</v>
      </c>
      <c r="J322">
        <f t="shared" si="49"/>
        <v>-3.6826509919001298</v>
      </c>
      <c r="K322" s="7">
        <f t="shared" si="50"/>
        <v>4.9670501459875303E-5</v>
      </c>
      <c r="L322" s="7">
        <f t="shared" si="51"/>
        <v>2.3418609663696799E-3</v>
      </c>
      <c r="M322" s="7">
        <f t="shared" si="52"/>
        <v>0.12243669163581899</v>
      </c>
      <c r="N322" s="7">
        <f t="shared" si="53"/>
        <v>0.194450773744133</v>
      </c>
      <c r="O322">
        <v>8.6975938999999993</v>
      </c>
      <c r="P322">
        <v>-6.6639432000000003</v>
      </c>
      <c r="Q322">
        <v>5.3300025</v>
      </c>
      <c r="R322">
        <v>-9.4780449999999998</v>
      </c>
      <c r="S322">
        <f t="shared" si="54"/>
        <v>0.99241639195813636</v>
      </c>
      <c r="T322">
        <f t="shared" si="55"/>
        <v>-23.189966031882527</v>
      </c>
    </row>
    <row r="323" spans="1:49" x14ac:dyDescent="0.35">
      <c r="A323">
        <v>3.6</v>
      </c>
      <c r="B323">
        <v>15.6</v>
      </c>
      <c r="C323">
        <v>-7.3877457999999993E-2</v>
      </c>
      <c r="D323">
        <v>-8.5375850000000003E-2</v>
      </c>
      <c r="E323">
        <v>0.92601571000000005</v>
      </c>
      <c r="F323">
        <v>-9.0124843999999996E-2</v>
      </c>
      <c r="G323">
        <f t="shared" ref="G323:G386" si="56">IMREAL(IMDIV(IMSUM(IMPRODUCT(COMPLEX(1 + C323,D323),COMPLEX(1 - C323, - D323)),IMPRODUCT(COMPLEX(E323,F323),COMPLEX(E323,F323))),IMSUB(IMPRODUCT(COMPLEX(1 - C323, - D323),COMPLEX(1 - C323, - D323)),IMPRODUCT(COMPLEX(E323,F323),COMPLEX(E323,F323)))))</f>
        <v>2.3076894454119898</v>
      </c>
      <c r="H323">
        <f t="shared" ref="H323:H386" si="57">IMAGINARY(IMDIV(IMSUM(IMPRODUCT(COMPLEX(1 + C323,D323),COMPLEX(1 - C323, - D323)),IMPRODUCT(COMPLEX(E323,F323),COMPLEX(E323,F323))),IMSUB(IMPRODUCT(COMPLEX(1 - C323, - D323),COMPLEX(1 - C323, - D323)),IMPRODUCT(COMPLEX(E323,F323),COMPLEX(E323,F323)))))</f>
        <v>-3.3312989584891</v>
      </c>
      <c r="I323">
        <f t="shared" ref="I323:I386" si="58">IMREAL(IMDIV(IMPRODUCT(COMPLEX(2,0),COMPLEX(E323,F323)),IMSUB(IMPRODUCT(COMPLEX(1 - C323, - D323),COMPLEX(1 - C323, - D323)),IMPRODUCT(COMPLEX(E323,F323),COMPLEX(E323,F323)))))</f>
        <v>2.3076416656663898</v>
      </c>
      <c r="J323">
        <f t="shared" ref="J323:J386" si="59">IMAGINARY(IMDIV(IMPRODUCT(COMPLEX(2,0),COMPLEX(E323,F323)),IMSUB(IMPRODUCT(COMPLEX(1 - C323, - D323),COMPLEX(1 - C323, - D323)),IMPRODUCT(COMPLEX(E323,F323),COMPLEX(E323,F323)))))</f>
        <v>-3.3336736957909299</v>
      </c>
      <c r="K323" s="7">
        <f t="shared" ref="K323:K386" si="60">IMREAL(IMSUB(COMPLEX(G323,H323),COMPLEX(I323,J323)))</f>
        <v>4.7779745599996197E-5</v>
      </c>
      <c r="L323" s="7">
        <f t="shared" ref="L323:L386" si="61">IMAGINARY(IMSUB(COMPLEX(G323,H323),COMPLEX(I323,J323)))</f>
        <v>2.3747373018299101E-3</v>
      </c>
      <c r="M323" s="7">
        <f t="shared" ref="M323:M386" si="62">IMREAL(IMDIV(IMSUB(IMPRODUCT(COMPLEX(1 - C323, - D323),COMPLEX(1 - C323, - D323)),IMPRODUCT(COMPLEX(E323,F323),COMPLEX(E323,F323))),IMPRODUCT(COMPLEX(2,0),COMPLEX(E323,F323))))</f>
        <v>0.14037953462731001</v>
      </c>
      <c r="N323" s="7">
        <f t="shared" ref="N323:N386" si="63">IMAGINARY(IMDIV(IMSUB(IMPRODUCT(COMPLEX(1 - C323, - D323),COMPLEX(1 - C323, - D323)),IMPRODUCT(COMPLEX(E323,F323),COMPLEX(E323,F323))),IMPRODUCT(COMPLEX(2,0),COMPLEX(E323,F323))))</f>
        <v>0.20279559386413401</v>
      </c>
      <c r="O323">
        <v>8.8662887999999995</v>
      </c>
      <c r="P323">
        <v>-7.4771231</v>
      </c>
      <c r="Q323">
        <v>5.1762879999999996</v>
      </c>
      <c r="R323">
        <v>-10.310529000000001</v>
      </c>
      <c r="S323">
        <f t="shared" ref="S323:S386" si="64">IMABS(COMPLEX(Q323,R323))/IMABS(COMPLEX(O323,P323))</f>
        <v>0.99471732236438049</v>
      </c>
      <c r="T323">
        <f t="shared" ref="T323:T386" si="65">IMARGUMENT(IMDIV(COMPLEX(Q323,R323),COMPLEX(O323/B323,P323/B323)))/PI()*180</f>
        <v>-23.199941024461875</v>
      </c>
    </row>
    <row r="324" spans="1:49" x14ac:dyDescent="0.35">
      <c r="A324">
        <v>3.6</v>
      </c>
      <c r="B324">
        <v>15.7</v>
      </c>
      <c r="C324">
        <v>-8.3206076000000004E-2</v>
      </c>
      <c r="D324">
        <v>-8.6771944000000004E-2</v>
      </c>
      <c r="E324">
        <v>0.91668844999999999</v>
      </c>
      <c r="F324">
        <v>-9.1589852999999999E-2</v>
      </c>
      <c r="G324">
        <f t="shared" si="56"/>
        <v>2.29670953387759</v>
      </c>
      <c r="H324">
        <f t="shared" si="57"/>
        <v>-2.99440592364168</v>
      </c>
      <c r="I324">
        <f t="shared" si="58"/>
        <v>2.2966625980425599</v>
      </c>
      <c r="J324">
        <f t="shared" si="59"/>
        <v>-2.99681511826167</v>
      </c>
      <c r="K324" s="7">
        <f t="shared" si="60"/>
        <v>4.69358350301263E-5</v>
      </c>
      <c r="L324" s="7">
        <f t="shared" si="61"/>
        <v>2.4091946199900102E-3</v>
      </c>
      <c r="M324" s="7">
        <f t="shared" si="62"/>
        <v>0.16110644600002499</v>
      </c>
      <c r="N324" s="7">
        <f t="shared" si="63"/>
        <v>0.21022079317779599</v>
      </c>
      <c r="O324">
        <v>8.9585559999999997</v>
      </c>
      <c r="P324">
        <v>-8.3739036000000002</v>
      </c>
      <c r="Q324">
        <v>4.9209854000000002</v>
      </c>
      <c r="R324">
        <v>-11.198484000000001</v>
      </c>
      <c r="S324">
        <f t="shared" si="64"/>
        <v>0.9974836806592029</v>
      </c>
      <c r="T324">
        <f t="shared" si="65"/>
        <v>-23.209668580706357</v>
      </c>
    </row>
    <row r="325" spans="1:49" x14ac:dyDescent="0.35">
      <c r="A325">
        <v>3.6</v>
      </c>
      <c r="B325">
        <v>15.8</v>
      </c>
      <c r="C325">
        <v>-9.3477758999999994E-2</v>
      </c>
      <c r="D325">
        <v>-8.7213268999999996E-2</v>
      </c>
      <c r="E325">
        <v>0.90641894999999995</v>
      </c>
      <c r="F325">
        <v>-9.2100825999999997E-2</v>
      </c>
      <c r="G325">
        <f t="shared" si="56"/>
        <v>2.2859351620607198</v>
      </c>
      <c r="H325">
        <f t="shared" si="57"/>
        <v>-2.6693464076034101</v>
      </c>
      <c r="I325">
        <f t="shared" si="58"/>
        <v>2.2858894868364001</v>
      </c>
      <c r="J325">
        <f t="shared" si="59"/>
        <v>-2.6717904239460002</v>
      </c>
      <c r="K325" s="7">
        <f t="shared" si="60"/>
        <v>4.5675224319641203E-5</v>
      </c>
      <c r="L325" s="7">
        <f t="shared" si="61"/>
        <v>2.4440163425900599E-3</v>
      </c>
      <c r="M325" s="7">
        <f t="shared" si="62"/>
        <v>0.18488634892429301</v>
      </c>
      <c r="N325" s="7">
        <f t="shared" si="63"/>
        <v>0.21609862568549401</v>
      </c>
      <c r="O325">
        <v>8.9578606999999995</v>
      </c>
      <c r="P325">
        <v>-9.3586582000000007</v>
      </c>
      <c r="Q325">
        <v>4.5421690999999997</v>
      </c>
      <c r="R325">
        <v>-12.130938</v>
      </c>
      <c r="S325">
        <f t="shared" si="64"/>
        <v>0.99989037346688314</v>
      </c>
      <c r="T325">
        <f t="shared" si="65"/>
        <v>-23.219135043117706</v>
      </c>
    </row>
    <row r="326" spans="1:49" x14ac:dyDescent="0.35">
      <c r="A326">
        <v>3.6</v>
      </c>
      <c r="B326">
        <v>15.9</v>
      </c>
      <c r="C326">
        <v>-0.10462299999999999</v>
      </c>
      <c r="D326">
        <v>-8.6417153999999996E-2</v>
      </c>
      <c r="E326">
        <v>0.89527294999999996</v>
      </c>
      <c r="F326">
        <v>-9.1368370000000004E-2</v>
      </c>
      <c r="G326">
        <f t="shared" si="56"/>
        <v>2.2752555682420401</v>
      </c>
      <c r="H326">
        <f t="shared" si="57"/>
        <v>-2.3555620154588102</v>
      </c>
      <c r="I326">
        <f t="shared" si="58"/>
        <v>2.2752096700893198</v>
      </c>
      <c r="J326">
        <f t="shared" si="59"/>
        <v>-2.3580378658907599</v>
      </c>
      <c r="K326" s="7">
        <f t="shared" si="60"/>
        <v>4.5898152720269502E-5</v>
      </c>
      <c r="L326" s="7">
        <f t="shared" si="61"/>
        <v>2.4758504319497602E-3</v>
      </c>
      <c r="M326" s="7">
        <f t="shared" si="62"/>
        <v>0.21190521367731399</v>
      </c>
      <c r="N326" s="7">
        <f t="shared" si="63"/>
        <v>0.21961954733216399</v>
      </c>
      <c r="O326">
        <v>8.8320097000000004</v>
      </c>
      <c r="P326">
        <v>-10.418345</v>
      </c>
      <c r="Q326">
        <v>4.0169600000000001</v>
      </c>
      <c r="R326">
        <v>-13.088272</v>
      </c>
      <c r="S326">
        <f t="shared" si="64"/>
        <v>1.0023893764036766</v>
      </c>
      <c r="T326">
        <f t="shared" si="65"/>
        <v>-23.227228665572863</v>
      </c>
    </row>
    <row r="327" spans="1:49" x14ac:dyDescent="0.35">
      <c r="A327">
        <v>3.6</v>
      </c>
      <c r="B327">
        <v>16</v>
      </c>
      <c r="C327">
        <v>-0.1164618</v>
      </c>
      <c r="D327">
        <v>-8.4066864000000005E-2</v>
      </c>
      <c r="E327">
        <v>0.88343879000000003</v>
      </c>
      <c r="F327">
        <v>-8.9085084999999994E-2</v>
      </c>
      <c r="G327">
        <f t="shared" si="56"/>
        <v>2.2648456101332899</v>
      </c>
      <c r="H327">
        <f t="shared" si="57"/>
        <v>-2.05319758023521</v>
      </c>
      <c r="I327">
        <f t="shared" si="58"/>
        <v>2.2648021991973</v>
      </c>
      <c r="J327">
        <f t="shared" si="59"/>
        <v>-2.0557069243849999</v>
      </c>
      <c r="K327" s="7">
        <f t="shared" si="60"/>
        <v>4.34109359899182E-5</v>
      </c>
      <c r="L327" s="7">
        <f t="shared" si="61"/>
        <v>2.5093441497898699E-3</v>
      </c>
      <c r="M327" s="7">
        <f t="shared" si="62"/>
        <v>0.24208864411797101</v>
      </c>
      <c r="N327" s="7">
        <f t="shared" si="63"/>
        <v>0.219738086710033</v>
      </c>
      <c r="O327">
        <v>8.5557209000000007</v>
      </c>
      <c r="P327">
        <v>-11.537981</v>
      </c>
      <c r="Q327">
        <v>3.3254049999999999</v>
      </c>
      <c r="R327">
        <v>-14.043412</v>
      </c>
      <c r="S327">
        <f t="shared" si="64"/>
        <v>1.0047153335213517</v>
      </c>
      <c r="T327">
        <f t="shared" si="65"/>
        <v>-23.235964315425196</v>
      </c>
    </row>
    <row r="328" spans="1:49" x14ac:dyDescent="0.35">
      <c r="A328">
        <v>3.6</v>
      </c>
      <c r="B328">
        <v>16.100000000000001</v>
      </c>
      <c r="C328">
        <v>-0.12871158999999999</v>
      </c>
      <c r="D328">
        <v>-7.9874138999999997E-2</v>
      </c>
      <c r="E328">
        <v>0.87119590000000002</v>
      </c>
      <c r="F328">
        <v>-8.4960462E-2</v>
      </c>
      <c r="G328">
        <f t="shared" si="56"/>
        <v>2.2546469067352199</v>
      </c>
      <c r="H328">
        <f t="shared" si="57"/>
        <v>-1.7619523079420301</v>
      </c>
      <c r="I328">
        <f t="shared" si="58"/>
        <v>2.25460711812174</v>
      </c>
      <c r="J328">
        <f t="shared" si="59"/>
        <v>-1.7644956882749601</v>
      </c>
      <c r="K328" s="7">
        <f t="shared" si="60"/>
        <v>3.9788613479974102E-5</v>
      </c>
      <c r="L328" s="7">
        <f t="shared" si="61"/>
        <v>2.54338033293E-3</v>
      </c>
      <c r="M328" s="7">
        <f t="shared" si="62"/>
        <v>0.27506284092341399</v>
      </c>
      <c r="N328" s="7">
        <f t="shared" si="63"/>
        <v>0.21526907855163499</v>
      </c>
      <c r="O328">
        <v>8.1010262999999991</v>
      </c>
      <c r="P328">
        <v>-12.687194999999999</v>
      </c>
      <c r="Q328">
        <v>2.4536357</v>
      </c>
      <c r="R328">
        <v>-14.9588</v>
      </c>
      <c r="S328">
        <f t="shared" si="64"/>
        <v>1.0070243160724233</v>
      </c>
      <c r="T328">
        <f t="shared" si="65"/>
        <v>-23.243977773263207</v>
      </c>
    </row>
    <row r="329" spans="1:49" x14ac:dyDescent="0.35">
      <c r="A329">
        <v>3.6</v>
      </c>
      <c r="B329">
        <v>16.2</v>
      </c>
      <c r="C329">
        <v>-0.14096786</v>
      </c>
      <c r="D329">
        <v>-7.3611529999999994E-2</v>
      </c>
      <c r="E329">
        <v>0.85895111000000002</v>
      </c>
      <c r="F329">
        <v>-7.8767392000000006E-2</v>
      </c>
      <c r="G329">
        <f t="shared" si="56"/>
        <v>2.2446311572228201</v>
      </c>
      <c r="H329">
        <f t="shared" si="57"/>
        <v>-1.4816773102121701</v>
      </c>
      <c r="I329">
        <f t="shared" si="58"/>
        <v>2.2445972870731801</v>
      </c>
      <c r="J329">
        <f t="shared" si="59"/>
        <v>-1.48425543297972</v>
      </c>
      <c r="K329" s="7">
        <f t="shared" si="60"/>
        <v>3.38701496400695E-5</v>
      </c>
      <c r="L329" s="7">
        <f t="shared" si="61"/>
        <v>2.57812276754987E-3</v>
      </c>
      <c r="M329" s="7">
        <f t="shared" si="62"/>
        <v>0.30997453802026997</v>
      </c>
      <c r="N329" s="7">
        <f t="shared" si="63"/>
        <v>0.20497280059617401</v>
      </c>
      <c r="O329">
        <v>7.4483367999999999</v>
      </c>
      <c r="P329">
        <v>-13.826150999999999</v>
      </c>
      <c r="Q329">
        <v>1.398026</v>
      </c>
      <c r="R329">
        <v>-15.788743</v>
      </c>
      <c r="S329">
        <f t="shared" si="64"/>
        <v>1.0092796541099793</v>
      </c>
      <c r="T329">
        <f t="shared" si="65"/>
        <v>-23.251853761016267</v>
      </c>
    </row>
    <row r="330" spans="1:49" x14ac:dyDescent="0.35">
      <c r="A330">
        <v>3.6</v>
      </c>
      <c r="B330">
        <v>16.3</v>
      </c>
      <c r="C330">
        <v>-0.15274926999999999</v>
      </c>
      <c r="D330">
        <v>-6.5138101000000004E-2</v>
      </c>
      <c r="E330">
        <v>0.84718729000000004</v>
      </c>
      <c r="F330">
        <v>-7.0378098E-2</v>
      </c>
      <c r="G330">
        <f t="shared" si="56"/>
        <v>2.2347696251998999</v>
      </c>
      <c r="H330">
        <f t="shared" si="57"/>
        <v>-1.2115499184157601</v>
      </c>
      <c r="I330">
        <f t="shared" si="58"/>
        <v>2.23474476919198</v>
      </c>
      <c r="J330">
        <f t="shared" si="59"/>
        <v>-1.21417006514952</v>
      </c>
      <c r="K330" s="7">
        <f t="shared" si="60"/>
        <v>2.4856007919904499E-5</v>
      </c>
      <c r="L330" s="7">
        <f t="shared" si="61"/>
        <v>2.62014673375988E-3</v>
      </c>
      <c r="M330" s="7">
        <f t="shared" si="62"/>
        <v>0.34549219153999</v>
      </c>
      <c r="N330" s="7">
        <f t="shared" si="63"/>
        <v>0.18771104534789099</v>
      </c>
      <c r="O330">
        <v>6.5876431999999996</v>
      </c>
      <c r="P330">
        <v>-14.908130999999999</v>
      </c>
      <c r="Q330">
        <v>0.16706607000000001</v>
      </c>
      <c r="R330">
        <v>-16.484286000000001</v>
      </c>
      <c r="S330">
        <f t="shared" si="64"/>
        <v>1.0114350836936163</v>
      </c>
      <c r="T330">
        <f t="shared" si="65"/>
        <v>-23.259134371225883</v>
      </c>
    </row>
    <row r="331" spans="1:49" x14ac:dyDescent="0.35">
      <c r="A331">
        <v>3.6</v>
      </c>
      <c r="B331">
        <v>16.399999999999999</v>
      </c>
      <c r="C331">
        <v>-0.16342533000000001</v>
      </c>
      <c r="D331">
        <v>-5.4560168999999999E-2</v>
      </c>
      <c r="E331">
        <v>0.8365302</v>
      </c>
      <c r="F331">
        <v>-5.9882564999999999E-2</v>
      </c>
      <c r="G331">
        <f t="shared" si="56"/>
        <v>2.2250973110392498</v>
      </c>
      <c r="H331">
        <f t="shared" si="57"/>
        <v>-0.95269616593685102</v>
      </c>
      <c r="I331">
        <f t="shared" si="58"/>
        <v>2.2250821579419102</v>
      </c>
      <c r="J331">
        <f t="shared" si="59"/>
        <v>-0.95535746343619399</v>
      </c>
      <c r="K331" s="7">
        <f t="shared" si="60"/>
        <v>1.51530973395708E-5</v>
      </c>
      <c r="L331" s="7">
        <f t="shared" si="61"/>
        <v>2.6612974993429602E-3</v>
      </c>
      <c r="M331" s="7">
        <f t="shared" si="62"/>
        <v>0.37946735507884</v>
      </c>
      <c r="N331" s="7">
        <f t="shared" si="63"/>
        <v>0.162927453492451</v>
      </c>
      <c r="O331">
        <v>5.5301394000000004</v>
      </c>
      <c r="P331">
        <v>-15.871335</v>
      </c>
      <c r="Q331">
        <v>-1.2051054999999999</v>
      </c>
      <c r="R331">
        <v>-16.994589999999999</v>
      </c>
      <c r="S331">
        <f t="shared" si="64"/>
        <v>1.013688884315167</v>
      </c>
      <c r="T331">
        <f t="shared" si="65"/>
        <v>-23.266278402795709</v>
      </c>
    </row>
    <row r="332" spans="1:49" x14ac:dyDescent="0.35">
      <c r="A332">
        <v>3.6</v>
      </c>
      <c r="B332">
        <v>16.5</v>
      </c>
      <c r="C332">
        <v>-0.17245345000000001</v>
      </c>
      <c r="D332">
        <v>-4.2142732000000002E-2</v>
      </c>
      <c r="E332">
        <v>0.82756814000000001</v>
      </c>
      <c r="F332">
        <v>-4.7616585000000003E-2</v>
      </c>
      <c r="G332">
        <f t="shared" si="56"/>
        <v>2.2155673675591001</v>
      </c>
      <c r="H332">
        <f t="shared" si="57"/>
        <v>-0.70538331618826799</v>
      </c>
      <c r="I332">
        <f t="shared" si="58"/>
        <v>2.2155856529105402</v>
      </c>
      <c r="J332">
        <f t="shared" si="59"/>
        <v>-0.70812016309834203</v>
      </c>
      <c r="K332" s="7">
        <f t="shared" si="60"/>
        <v>-1.8285351440105999E-5</v>
      </c>
      <c r="L332" s="7">
        <f t="shared" si="61"/>
        <v>2.7368469100740298E-3</v>
      </c>
      <c r="M332" s="7">
        <f t="shared" si="62"/>
        <v>0.40951601774542201</v>
      </c>
      <c r="N332" s="7">
        <f t="shared" si="63"/>
        <v>0.13088482898249801</v>
      </c>
      <c r="O332">
        <v>4.3066658000000002</v>
      </c>
      <c r="P332">
        <v>-16.672011000000001</v>
      </c>
      <c r="Q332">
        <v>-2.6724584999999998</v>
      </c>
      <c r="R332">
        <v>-17.282087000000001</v>
      </c>
      <c r="S332">
        <f t="shared" si="64"/>
        <v>1.0155770589678597</v>
      </c>
      <c r="T332">
        <f t="shared" si="65"/>
        <v>-23.274311204274131</v>
      </c>
    </row>
    <row r="333" spans="1:49" x14ac:dyDescent="0.35">
      <c r="A333">
        <v>3.6</v>
      </c>
      <c r="B333">
        <v>16.600000000000001</v>
      </c>
      <c r="C333">
        <v>-0.17936389999999999</v>
      </c>
      <c r="D333">
        <v>-2.8357819999999999E-2</v>
      </c>
      <c r="E333">
        <v>0.82067866</v>
      </c>
      <c r="F333">
        <v>-3.3927684999999999E-2</v>
      </c>
      <c r="G333">
        <f t="shared" si="56"/>
        <v>2.20633747797645</v>
      </c>
      <c r="H333">
        <f t="shared" si="57"/>
        <v>-0.468564217416781</v>
      </c>
      <c r="I333">
        <f t="shared" si="58"/>
        <v>2.2063665128173899</v>
      </c>
      <c r="J333">
        <f t="shared" si="59"/>
        <v>-0.47134900979632699</v>
      </c>
      <c r="K333" s="7">
        <f t="shared" si="60"/>
        <v>-2.9034840939967699E-5</v>
      </c>
      <c r="L333" s="7">
        <f t="shared" si="61"/>
        <v>2.78479237954599E-3</v>
      </c>
      <c r="M333" s="7">
        <f t="shared" si="62"/>
        <v>0.43345183090086897</v>
      </c>
      <c r="N333" s="7">
        <f t="shared" si="63"/>
        <v>9.2598890575365897E-2</v>
      </c>
      <c r="O333">
        <v>2.9624495</v>
      </c>
      <c r="P333">
        <v>-17.259602999999998</v>
      </c>
      <c r="Q333">
        <v>-4.1726084999999999</v>
      </c>
      <c r="R333">
        <v>-17.325061000000002</v>
      </c>
      <c r="S333">
        <f t="shared" si="64"/>
        <v>1.0176138100533192</v>
      </c>
      <c r="T333">
        <f t="shared" si="65"/>
        <v>-23.280741907364693</v>
      </c>
    </row>
    <row r="334" spans="1:49" x14ac:dyDescent="0.35">
      <c r="A334">
        <v>3.6</v>
      </c>
      <c r="B334">
        <v>16.7</v>
      </c>
      <c r="C334">
        <v>-0.18388592000000001</v>
      </c>
      <c r="D334">
        <v>-1.3823518999999999E-2</v>
      </c>
      <c r="E334">
        <v>0.81612706000000002</v>
      </c>
      <c r="F334">
        <v>-1.9411529E-2</v>
      </c>
      <c r="G334">
        <f t="shared" si="56"/>
        <v>2.1971381761408302</v>
      </c>
      <c r="H334">
        <f t="shared" si="57"/>
        <v>-0.24234903530673599</v>
      </c>
      <c r="I334">
        <f t="shared" si="58"/>
        <v>2.1971524723497202</v>
      </c>
      <c r="J334">
        <f t="shared" si="59"/>
        <v>-0.24514298223034101</v>
      </c>
      <c r="K334" s="7">
        <f t="shared" si="60"/>
        <v>-1.42962088900411E-5</v>
      </c>
      <c r="L334" s="7">
        <f t="shared" si="61"/>
        <v>2.79394692360502E-3</v>
      </c>
      <c r="M334" s="7">
        <f t="shared" si="62"/>
        <v>0.44953845027433997</v>
      </c>
      <c r="N334" s="7">
        <f t="shared" si="63"/>
        <v>5.0156371810466199E-2</v>
      </c>
      <c r="O334">
        <v>1.5591937</v>
      </c>
      <c r="P334">
        <v>-17.616527999999999</v>
      </c>
      <c r="Q334">
        <v>-5.6393700000000004</v>
      </c>
      <c r="R334">
        <v>-17.125862000000001</v>
      </c>
      <c r="S334">
        <f t="shared" si="64"/>
        <v>1.0195116266538566</v>
      </c>
      <c r="T334">
        <f t="shared" si="65"/>
        <v>-23.284104545573868</v>
      </c>
    </row>
    <row r="335" spans="1:49" x14ac:dyDescent="0.35">
      <c r="A335">
        <v>3.6</v>
      </c>
      <c r="B335">
        <v>16.8</v>
      </c>
      <c r="C335">
        <v>-0.18599260000000001</v>
      </c>
      <c r="D335">
        <v>7.7670840999999997E-4</v>
      </c>
      <c r="E335">
        <v>0.81404907000000004</v>
      </c>
      <c r="F335">
        <v>-4.9656463000000003E-3</v>
      </c>
      <c r="G335">
        <f t="shared" si="56"/>
        <v>2.1882246591816901</v>
      </c>
      <c r="H335">
        <f t="shared" si="57"/>
        <v>-2.8840226806082201E-2</v>
      </c>
      <c r="I335">
        <f t="shared" si="58"/>
        <v>2.18825373682381</v>
      </c>
      <c r="J335">
        <f t="shared" si="59"/>
        <v>-3.1711260856020197E-2</v>
      </c>
      <c r="K335" s="7">
        <f t="shared" si="60"/>
        <v>-2.9077642119901301E-5</v>
      </c>
      <c r="L335" s="7">
        <f t="shared" si="61"/>
        <v>2.8710340499380001E-3</v>
      </c>
      <c r="M335" s="7">
        <f t="shared" si="62"/>
        <v>0.45688944626863698</v>
      </c>
      <c r="N335" s="7">
        <f t="shared" si="63"/>
        <v>6.62105137497311E-3</v>
      </c>
      <c r="O335">
        <v>0.16196650000000001</v>
      </c>
      <c r="P335">
        <v>-17.741233000000001</v>
      </c>
      <c r="Q335">
        <v>-7.0122871</v>
      </c>
      <c r="R335">
        <v>-16.708248999999999</v>
      </c>
      <c r="S335">
        <f t="shared" si="64"/>
        <v>1.0213121889298529</v>
      </c>
      <c r="T335">
        <f t="shared" si="65"/>
        <v>-23.290372320950606</v>
      </c>
      <c r="AT335">
        <v>16.8</v>
      </c>
      <c r="AU335">
        <v>0.45688944626863698</v>
      </c>
      <c r="AW335">
        <v>0</v>
      </c>
    </row>
    <row r="336" spans="1:49" x14ac:dyDescent="0.35">
      <c r="A336">
        <v>3.6</v>
      </c>
      <c r="B336">
        <v>16.899999999999999</v>
      </c>
      <c r="C336">
        <v>-0.18586448</v>
      </c>
      <c r="D336">
        <v>1.4806312E-2</v>
      </c>
      <c r="E336">
        <v>0.81417108999999999</v>
      </c>
      <c r="F336">
        <v>8.9783611000000003E-3</v>
      </c>
      <c r="G336">
        <f t="shared" si="56"/>
        <v>2.1794049003515998</v>
      </c>
      <c r="H336">
        <f t="shared" si="57"/>
        <v>0.17291297803149</v>
      </c>
      <c r="I336">
        <f t="shared" si="58"/>
        <v>2.1794311757630802</v>
      </c>
      <c r="J336">
        <f t="shared" si="59"/>
        <v>0.169999130970164</v>
      </c>
      <c r="K336" s="7">
        <f t="shared" si="60"/>
        <v>-2.6275411480369799E-5</v>
      </c>
      <c r="L336" s="7">
        <f t="shared" si="61"/>
        <v>2.9138470613260001E-3</v>
      </c>
      <c r="M336" s="7">
        <f t="shared" si="62"/>
        <v>0.45606053305019401</v>
      </c>
      <c r="N336" s="7">
        <f t="shared" si="63"/>
        <v>-3.5573453821581301E-2</v>
      </c>
      <c r="O336">
        <v>-1.1691260000000001</v>
      </c>
      <c r="P336">
        <v>-17.655087999999999</v>
      </c>
      <c r="Q336">
        <v>-8.2414438000000008</v>
      </c>
      <c r="R336">
        <v>-16.115964999999999</v>
      </c>
      <c r="S336">
        <f t="shared" si="64"/>
        <v>1.0230155320483378</v>
      </c>
      <c r="T336">
        <f t="shared" si="65"/>
        <v>-23.295852907367056</v>
      </c>
    </row>
    <row r="337" spans="1:20" x14ac:dyDescent="0.35">
      <c r="A337">
        <v>3.6</v>
      </c>
      <c r="B337">
        <v>17</v>
      </c>
      <c r="C337">
        <v>-0.18542786</v>
      </c>
      <c r="D337">
        <v>2.4077828999999999E-2</v>
      </c>
      <c r="E337">
        <v>0.81450259999999997</v>
      </c>
      <c r="F337">
        <v>1.806812E-2</v>
      </c>
      <c r="G337">
        <f t="shared" si="56"/>
        <v>2.1616115398265201</v>
      </c>
      <c r="H337">
        <f t="shared" si="57"/>
        <v>0.30392355514805502</v>
      </c>
      <c r="I337">
        <f t="shared" si="58"/>
        <v>2.1615857986284501</v>
      </c>
      <c r="J337">
        <f t="shared" si="59"/>
        <v>0.30091851881438703</v>
      </c>
      <c r="K337" s="7">
        <f t="shared" si="60"/>
        <v>2.5741198069972898E-5</v>
      </c>
      <c r="L337" s="7">
        <f t="shared" si="61"/>
        <v>3.0050363336679999E-3</v>
      </c>
      <c r="M337" s="7">
        <f t="shared" si="62"/>
        <v>0.45382814930089499</v>
      </c>
      <c r="N337" s="7">
        <f t="shared" si="63"/>
        <v>-6.31782900177046E-2</v>
      </c>
      <c r="O337">
        <v>-2.0870899999999999</v>
      </c>
      <c r="P337">
        <v>-18.155283000000001</v>
      </c>
      <c r="Q337">
        <v>-8.9736700000000003</v>
      </c>
      <c r="R337">
        <v>-15.673605999999999</v>
      </c>
      <c r="S337">
        <f t="shared" si="64"/>
        <v>0.98828124489266556</v>
      </c>
      <c r="T337">
        <f t="shared" si="65"/>
        <v>-23.234792289969104</v>
      </c>
    </row>
    <row r="338" spans="1:20" x14ac:dyDescent="0.35">
      <c r="A338">
        <v>3.8</v>
      </c>
      <c r="B338">
        <v>15</v>
      </c>
      <c r="C338">
        <v>-3.8917121999999998E-2</v>
      </c>
      <c r="D338">
        <v>-7.4105169999999998E-2</v>
      </c>
      <c r="E338">
        <v>0.96104029000000002</v>
      </c>
      <c r="F338">
        <v>-7.8811376000000002E-2</v>
      </c>
      <c r="G338">
        <f t="shared" si="56"/>
        <v>2.1445377387692099</v>
      </c>
      <c r="H338">
        <f t="shared" si="57"/>
        <v>-5.1915406949915397</v>
      </c>
      <c r="I338">
        <f t="shared" si="58"/>
        <v>2.1445219817325598</v>
      </c>
      <c r="J338">
        <f t="shared" si="59"/>
        <v>-5.1938938851782899</v>
      </c>
      <c r="K338" s="7">
        <f t="shared" si="60"/>
        <v>1.5757036650132499E-5</v>
      </c>
      <c r="L338" s="7">
        <f t="shared" si="61"/>
        <v>2.3531901867501798E-3</v>
      </c>
      <c r="M338" s="7">
        <f t="shared" si="62"/>
        <v>6.7917259375469302E-2</v>
      </c>
      <c r="N338" s="7">
        <f t="shared" si="63"/>
        <v>0.164491220501889</v>
      </c>
      <c r="O338">
        <v>7.6515554999999997</v>
      </c>
      <c r="P338">
        <v>-3.9113099</v>
      </c>
      <c r="Q338">
        <v>5.3341516999999996</v>
      </c>
      <c r="R338">
        <v>-6.4016736999999999</v>
      </c>
      <c r="S338">
        <f t="shared" si="64"/>
        <v>0.96968005328920903</v>
      </c>
      <c r="T338">
        <f t="shared" si="65"/>
        <v>-23.122336534601629</v>
      </c>
    </row>
    <row r="339" spans="1:20" x14ac:dyDescent="0.35">
      <c r="A339">
        <v>3.8</v>
      </c>
      <c r="B339">
        <v>15.1</v>
      </c>
      <c r="C339">
        <v>-4.3738863000000003E-2</v>
      </c>
      <c r="D339">
        <v>-7.7580704E-2</v>
      </c>
      <c r="E339">
        <v>0.95619865999999998</v>
      </c>
      <c r="F339">
        <v>-8.2403056000000002E-2</v>
      </c>
      <c r="G339">
        <f t="shared" si="56"/>
        <v>2.1321603015752202</v>
      </c>
      <c r="H339">
        <f t="shared" si="57"/>
        <v>-4.8091655072012101</v>
      </c>
      <c r="I339">
        <f t="shared" si="58"/>
        <v>2.13213487638011</v>
      </c>
      <c r="J339">
        <f t="shared" si="59"/>
        <v>-4.81157681983162</v>
      </c>
      <c r="K339" s="7">
        <f t="shared" si="60"/>
        <v>2.5425195110173601E-5</v>
      </c>
      <c r="L339" s="7">
        <f t="shared" si="61"/>
        <v>2.41131263040995E-3</v>
      </c>
      <c r="M339" s="7">
        <f t="shared" si="62"/>
        <v>7.69799633078595E-2</v>
      </c>
      <c r="N339" s="7">
        <f t="shared" si="63"/>
        <v>0.17372025154076201</v>
      </c>
      <c r="O339">
        <v>7.9507703000000003</v>
      </c>
      <c r="P339">
        <v>-4.3682137000000001</v>
      </c>
      <c r="Q339">
        <v>5.4413976999999996</v>
      </c>
      <c r="R339">
        <v>-6.9402832999999999</v>
      </c>
      <c r="S339">
        <f t="shared" si="64"/>
        <v>0.97215225394724736</v>
      </c>
      <c r="T339">
        <f t="shared" si="65"/>
        <v>-23.117723149680312</v>
      </c>
    </row>
    <row r="340" spans="1:20" x14ac:dyDescent="0.35">
      <c r="A340">
        <v>3.8</v>
      </c>
      <c r="B340">
        <v>15.2</v>
      </c>
      <c r="C340">
        <v>-4.9168173000000003E-2</v>
      </c>
      <c r="D340">
        <v>-8.0979466999999999E-2</v>
      </c>
      <c r="E340">
        <v>0.95076578</v>
      </c>
      <c r="F340">
        <v>-8.5882929999999996E-2</v>
      </c>
      <c r="G340">
        <f t="shared" si="56"/>
        <v>2.12225290688195</v>
      </c>
      <c r="H340">
        <f t="shared" si="57"/>
        <v>-4.4453442965182299</v>
      </c>
      <c r="I340">
        <f t="shared" si="58"/>
        <v>2.1222258938381202</v>
      </c>
      <c r="J340">
        <f t="shared" si="59"/>
        <v>-4.4477961752165696</v>
      </c>
      <c r="K340" s="7">
        <f t="shared" si="60"/>
        <v>2.7013043829793301E-5</v>
      </c>
      <c r="L340" s="7">
        <f t="shared" si="61"/>
        <v>2.4518786983396298E-3</v>
      </c>
      <c r="M340" s="7">
        <f t="shared" si="62"/>
        <v>8.7382104659311996E-2</v>
      </c>
      <c r="N340" s="7">
        <f t="shared" si="63"/>
        <v>0.18313686210998001</v>
      </c>
      <c r="O340">
        <v>8.2426476999999991</v>
      </c>
      <c r="P340">
        <v>-4.881246</v>
      </c>
      <c r="Q340">
        <v>5.5222477999999997</v>
      </c>
      <c r="R340">
        <v>-7.5345446999999997</v>
      </c>
      <c r="S340">
        <f t="shared" si="64"/>
        <v>0.975155431692035</v>
      </c>
      <c r="T340">
        <f t="shared" si="65"/>
        <v>-23.127660498992427</v>
      </c>
    </row>
    <row r="341" spans="1:20" x14ac:dyDescent="0.35">
      <c r="A341">
        <v>3.8</v>
      </c>
      <c r="B341">
        <v>15.3</v>
      </c>
      <c r="C341">
        <v>-5.5303586000000002E-2</v>
      </c>
      <c r="D341">
        <v>-8.4271945000000001E-2</v>
      </c>
      <c r="E341">
        <v>0.94462617000000004</v>
      </c>
      <c r="F341">
        <v>-8.9255984999999996E-2</v>
      </c>
      <c r="G341">
        <f t="shared" si="56"/>
        <v>2.11270738034698</v>
      </c>
      <c r="H341">
        <f t="shared" si="57"/>
        <v>-4.0951198286926997</v>
      </c>
      <c r="I341">
        <f t="shared" si="58"/>
        <v>2.1126784678928798</v>
      </c>
      <c r="J341">
        <f t="shared" si="59"/>
        <v>-4.0976120082734502</v>
      </c>
      <c r="K341" s="7">
        <f t="shared" si="60"/>
        <v>2.89124541001939E-5</v>
      </c>
      <c r="L341" s="7">
        <f t="shared" si="61"/>
        <v>2.4921795807504301E-3</v>
      </c>
      <c r="M341" s="7">
        <f t="shared" si="62"/>
        <v>9.9402226453577602E-2</v>
      </c>
      <c r="N341" s="7">
        <f t="shared" si="63"/>
        <v>0.19279401146712799</v>
      </c>
      <c r="O341">
        <v>8.5217007000000002</v>
      </c>
      <c r="P341">
        <v>-5.4584568999999998</v>
      </c>
      <c r="Q341">
        <v>5.5663694000000001</v>
      </c>
      <c r="R341">
        <v>-8.1843599999999999</v>
      </c>
      <c r="S341">
        <f t="shared" si="64"/>
        <v>0.97805359141637027</v>
      </c>
      <c r="T341">
        <f t="shared" si="65"/>
        <v>-23.138460645220352</v>
      </c>
    </row>
    <row r="342" spans="1:20" x14ac:dyDescent="0.35">
      <c r="A342">
        <v>3.8</v>
      </c>
      <c r="B342">
        <v>15.4</v>
      </c>
      <c r="C342">
        <v>-6.2232852999999998E-2</v>
      </c>
      <c r="D342">
        <v>-8.7367607999999999E-2</v>
      </c>
      <c r="E342">
        <v>0.93769228000000004</v>
      </c>
      <c r="F342">
        <v>-9.2432918000000003E-2</v>
      </c>
      <c r="G342">
        <f t="shared" si="56"/>
        <v>2.1033654412813201</v>
      </c>
      <c r="H342">
        <f t="shared" si="57"/>
        <v>-3.7572170722916098</v>
      </c>
      <c r="I342">
        <f t="shared" si="58"/>
        <v>2.1033344214005898</v>
      </c>
      <c r="J342">
        <f t="shared" si="59"/>
        <v>-3.7597499006669102</v>
      </c>
      <c r="K342" s="7">
        <f t="shared" si="60"/>
        <v>3.1019880730287497E-5</v>
      </c>
      <c r="L342" s="7">
        <f t="shared" si="61"/>
        <v>2.5328283753003299E-3</v>
      </c>
      <c r="M342" s="7">
        <f t="shared" si="62"/>
        <v>0.113327826122972</v>
      </c>
      <c r="N342" s="7">
        <f t="shared" si="63"/>
        <v>0.202575624053598</v>
      </c>
      <c r="O342">
        <v>8.7789646000000001</v>
      </c>
      <c r="P342">
        <v>-6.1073563000000002</v>
      </c>
      <c r="Q342">
        <v>5.5626363999999997</v>
      </c>
      <c r="R342">
        <v>-8.8933415999999994</v>
      </c>
      <c r="S342">
        <f t="shared" si="64"/>
        <v>0.98086273764372323</v>
      </c>
      <c r="T342">
        <f t="shared" si="65"/>
        <v>-23.149118790024261</v>
      </c>
    </row>
    <row r="343" spans="1:20" x14ac:dyDescent="0.35">
      <c r="A343">
        <v>3.8</v>
      </c>
      <c r="B343">
        <v>15.5</v>
      </c>
      <c r="C343">
        <v>-7.0034576000000001E-2</v>
      </c>
      <c r="D343">
        <v>-9.0139313999999998E-2</v>
      </c>
      <c r="E343">
        <v>0.92988568999999999</v>
      </c>
      <c r="F343">
        <v>-9.5287109999999994E-2</v>
      </c>
      <c r="G343">
        <f t="shared" si="56"/>
        <v>2.0941812630122398</v>
      </c>
      <c r="H343">
        <f t="shared" si="57"/>
        <v>-3.4309676574768599</v>
      </c>
      <c r="I343">
        <f t="shared" si="58"/>
        <v>2.0941480201222298</v>
      </c>
      <c r="J343">
        <f t="shared" si="59"/>
        <v>-3.4335417436617699</v>
      </c>
      <c r="K343" s="7">
        <f t="shared" si="60"/>
        <v>3.3242890010054497E-5</v>
      </c>
      <c r="L343" s="7">
        <f t="shared" si="61"/>
        <v>2.5740861849099499E-3</v>
      </c>
      <c r="M343" s="7">
        <f t="shared" si="62"/>
        <v>0.12947087568124599</v>
      </c>
      <c r="N343" s="7">
        <f t="shared" si="63"/>
        <v>0.2122790041432</v>
      </c>
      <c r="O343">
        <v>9.0023877999999993</v>
      </c>
      <c r="P343">
        <v>-6.8345029999999998</v>
      </c>
      <c r="Q343">
        <v>5.4973308999999997</v>
      </c>
      <c r="R343">
        <v>-9.6632186000000004</v>
      </c>
      <c r="S343">
        <f t="shared" si="64"/>
        <v>0.98360387919257997</v>
      </c>
      <c r="T343">
        <f t="shared" si="65"/>
        <v>-23.159459691903137</v>
      </c>
    </row>
    <row r="344" spans="1:20" x14ac:dyDescent="0.35">
      <c r="A344">
        <v>3.8</v>
      </c>
      <c r="B344">
        <v>15.6</v>
      </c>
      <c r="C344">
        <v>-7.8778893000000003E-2</v>
      </c>
      <c r="D344">
        <v>-9.2411804E-2</v>
      </c>
      <c r="E344">
        <v>0.92117331000000002</v>
      </c>
      <c r="F344">
        <v>-9.7599852000000001E-2</v>
      </c>
      <c r="G344">
        <f t="shared" si="56"/>
        <v>2.0860829211167999</v>
      </c>
      <c r="H344">
        <f t="shared" si="57"/>
        <v>-3.1165129629199302</v>
      </c>
      <c r="I344">
        <f t="shared" si="58"/>
        <v>2.0860657514433401</v>
      </c>
      <c r="J344">
        <f t="shared" si="59"/>
        <v>-3.1191070934543101</v>
      </c>
      <c r="K344" s="7">
        <f t="shared" si="60"/>
        <v>1.71696734598825E-5</v>
      </c>
      <c r="L344" s="7">
        <f t="shared" si="61"/>
        <v>2.59413053437996E-3</v>
      </c>
      <c r="M344" s="7">
        <f t="shared" si="62"/>
        <v>0.148152824354988</v>
      </c>
      <c r="N344" s="7">
        <f t="shared" si="63"/>
        <v>0.221519635726345</v>
      </c>
      <c r="O344">
        <v>9.1753885999999998</v>
      </c>
      <c r="P344">
        <v>-7.6454513000000004</v>
      </c>
      <c r="Q344">
        <v>5.3516212000000003</v>
      </c>
      <c r="R344">
        <v>-10.492273000000001</v>
      </c>
      <c r="S344">
        <f t="shared" si="64"/>
        <v>0.98618819572511951</v>
      </c>
      <c r="T344">
        <f t="shared" si="65"/>
        <v>-23.173013437328212</v>
      </c>
    </row>
    <row r="345" spans="1:20" x14ac:dyDescent="0.35">
      <c r="A345">
        <v>3.8</v>
      </c>
      <c r="B345">
        <v>15.7</v>
      </c>
      <c r="C345">
        <v>-8.8491033999999996E-2</v>
      </c>
      <c r="D345">
        <v>-9.3998494000000002E-2</v>
      </c>
      <c r="E345">
        <v>0.91146059000000001</v>
      </c>
      <c r="F345">
        <v>-9.9270406000000005E-2</v>
      </c>
      <c r="G345">
        <f t="shared" si="56"/>
        <v>2.0771468552180901</v>
      </c>
      <c r="H345">
        <f t="shared" si="57"/>
        <v>-2.8122131354129198</v>
      </c>
      <c r="I345">
        <f t="shared" si="58"/>
        <v>2.0771296153529901</v>
      </c>
      <c r="J345">
        <f t="shared" si="59"/>
        <v>-2.8148492006175898</v>
      </c>
      <c r="K345" s="7">
        <f t="shared" si="60"/>
        <v>1.72398650999384E-5</v>
      </c>
      <c r="L345" s="7">
        <f t="shared" si="61"/>
        <v>2.6360652046699701E-3</v>
      </c>
      <c r="M345" s="7">
        <f t="shared" si="62"/>
        <v>0.169730036336838</v>
      </c>
      <c r="N345" s="7">
        <f t="shared" si="63"/>
        <v>0.23001186520676101</v>
      </c>
      <c r="O345">
        <v>9.2716603000000006</v>
      </c>
      <c r="P345">
        <v>-8.5328570999999993</v>
      </c>
      <c r="Q345">
        <v>5.1115238999999999</v>
      </c>
      <c r="R345">
        <v>-11.377255</v>
      </c>
      <c r="S345">
        <f t="shared" si="64"/>
        <v>0.9898595900151993</v>
      </c>
      <c r="T345">
        <f t="shared" si="65"/>
        <v>-23.182916681408301</v>
      </c>
    </row>
    <row r="346" spans="1:20" x14ac:dyDescent="0.35">
      <c r="A346">
        <v>3.8</v>
      </c>
      <c r="B346">
        <v>15.8</v>
      </c>
      <c r="C346">
        <v>-9.9174008999999994E-2</v>
      </c>
      <c r="D346">
        <v>-9.4642572999999994E-2</v>
      </c>
      <c r="E346">
        <v>0.90077689999999999</v>
      </c>
      <c r="F346">
        <v>-9.9999571999999995E-2</v>
      </c>
      <c r="G346">
        <f t="shared" si="56"/>
        <v>2.0683565420610699</v>
      </c>
      <c r="H346">
        <f t="shared" si="57"/>
        <v>-2.5183987003811699</v>
      </c>
      <c r="I346">
        <f t="shared" si="58"/>
        <v>2.0683391707949901</v>
      </c>
      <c r="J346">
        <f t="shared" si="59"/>
        <v>-2.5210773121579702</v>
      </c>
      <c r="K346" s="7">
        <f t="shared" si="60"/>
        <v>1.73712660798131E-5</v>
      </c>
      <c r="L346" s="7">
        <f t="shared" si="61"/>
        <v>2.6786117768002899E-3</v>
      </c>
      <c r="M346" s="7">
        <f t="shared" si="62"/>
        <v>0.19450506311990201</v>
      </c>
      <c r="N346" s="7">
        <f t="shared" si="63"/>
        <v>0.23708021810705299</v>
      </c>
      <c r="O346">
        <v>9.2972207000000004</v>
      </c>
      <c r="P346">
        <v>-9.5232483999999999</v>
      </c>
      <c r="Q346">
        <v>4.7534973000000003</v>
      </c>
      <c r="R346">
        <v>-12.306069000000001</v>
      </c>
      <c r="S346">
        <f t="shared" si="64"/>
        <v>0.99122357716889986</v>
      </c>
      <c r="T346">
        <f t="shared" si="65"/>
        <v>-23.191748811440398</v>
      </c>
    </row>
    <row r="347" spans="1:20" x14ac:dyDescent="0.35">
      <c r="A347">
        <v>3.8</v>
      </c>
      <c r="B347">
        <v>15.9</v>
      </c>
      <c r="C347">
        <v>-0.11075628</v>
      </c>
      <c r="D347">
        <v>-9.4062994999999996E-2</v>
      </c>
      <c r="E347">
        <v>0.88919351999999996</v>
      </c>
      <c r="F347">
        <v>-9.9505415999999999E-2</v>
      </c>
      <c r="G347">
        <f t="shared" si="56"/>
        <v>2.0596884517765899</v>
      </c>
      <c r="H347">
        <f t="shared" si="57"/>
        <v>-2.2349046441718299</v>
      </c>
      <c r="I347">
        <f t="shared" si="58"/>
        <v>2.05967075663593</v>
      </c>
      <c r="J347">
        <f t="shared" si="59"/>
        <v>-2.23762597112934</v>
      </c>
      <c r="K347" s="7">
        <f t="shared" si="60"/>
        <v>1.76951406598569E-5</v>
      </c>
      <c r="L347" s="7">
        <f t="shared" si="61"/>
        <v>2.7213269575101502E-3</v>
      </c>
      <c r="M347" s="7">
        <f t="shared" si="62"/>
        <v>0.22268604045121901</v>
      </c>
      <c r="N347" s="7">
        <f t="shared" si="63"/>
        <v>0.24192607770742</v>
      </c>
      <c r="O347">
        <v>9.1962869999999999</v>
      </c>
      <c r="P347">
        <v>-10.580721</v>
      </c>
      <c r="Q347">
        <v>4.2568482999999997</v>
      </c>
      <c r="R347">
        <v>-13.261882</v>
      </c>
      <c r="S347">
        <f t="shared" si="64"/>
        <v>0.99355485397031951</v>
      </c>
      <c r="T347">
        <f t="shared" si="65"/>
        <v>-23.199916944445942</v>
      </c>
    </row>
    <row r="348" spans="1:20" x14ac:dyDescent="0.35">
      <c r="A348">
        <v>3.8</v>
      </c>
      <c r="B348">
        <v>16</v>
      </c>
      <c r="C348">
        <v>-0.12308387</v>
      </c>
      <c r="D348">
        <v>-9.1958682E-2</v>
      </c>
      <c r="E348">
        <v>0.87686483999999998</v>
      </c>
      <c r="F348">
        <v>-9.7487193999999999E-2</v>
      </c>
      <c r="G348">
        <f t="shared" si="56"/>
        <v>2.0511433069531599</v>
      </c>
      <c r="H348">
        <f t="shared" si="57"/>
        <v>-1.96151187876903</v>
      </c>
      <c r="I348">
        <f t="shared" si="58"/>
        <v>2.05112530293622</v>
      </c>
      <c r="J348">
        <f t="shared" si="59"/>
        <v>-1.9642762554291899</v>
      </c>
      <c r="K348" s="7">
        <f t="shared" si="60"/>
        <v>1.8004016939965299E-5</v>
      </c>
      <c r="L348" s="7">
        <f t="shared" si="61"/>
        <v>2.76437666015994E-3</v>
      </c>
      <c r="M348" s="7">
        <f t="shared" si="62"/>
        <v>0.25430863123713399</v>
      </c>
      <c r="N348" s="7">
        <f t="shared" si="63"/>
        <v>0.243540657986478</v>
      </c>
      <c r="O348">
        <v>8.9445356</v>
      </c>
      <c r="P348">
        <v>-11.689085</v>
      </c>
      <c r="Q348">
        <v>3.6025684</v>
      </c>
      <c r="R348">
        <v>-14.221904</v>
      </c>
      <c r="S348">
        <f t="shared" si="64"/>
        <v>0.99676735512495174</v>
      </c>
      <c r="T348">
        <f t="shared" si="65"/>
        <v>-23.20869934184838</v>
      </c>
    </row>
    <row r="349" spans="1:20" x14ac:dyDescent="0.35">
      <c r="A349">
        <v>3.8</v>
      </c>
      <c r="B349">
        <v>16.100000000000001</v>
      </c>
      <c r="C349">
        <v>-0.13591576</v>
      </c>
      <c r="D349">
        <v>-8.8029048999999998E-2</v>
      </c>
      <c r="E349">
        <v>0.86407391</v>
      </c>
      <c r="F349">
        <v>-9.3687900000000005E-2</v>
      </c>
      <c r="G349">
        <f t="shared" si="56"/>
        <v>2.04250034123252</v>
      </c>
      <c r="H349">
        <f t="shared" si="57"/>
        <v>-1.6981604705647699</v>
      </c>
      <c r="I349">
        <f t="shared" si="58"/>
        <v>2.0425031819144599</v>
      </c>
      <c r="J349">
        <f t="shared" si="59"/>
        <v>-1.70098990264129</v>
      </c>
      <c r="K349" s="7">
        <f t="shared" si="60"/>
        <v>-2.8406819398973899E-6</v>
      </c>
      <c r="L349" s="7">
        <f t="shared" si="61"/>
        <v>2.82943207652009E-3</v>
      </c>
      <c r="M349" s="7">
        <f t="shared" si="62"/>
        <v>0.28909404673646999</v>
      </c>
      <c r="N349" s="7">
        <f t="shared" si="63"/>
        <v>0.24075656712148899</v>
      </c>
      <c r="O349">
        <v>8.5334540000000008</v>
      </c>
      <c r="P349">
        <v>-12.846579</v>
      </c>
      <c r="Q349">
        <v>2.7748594</v>
      </c>
      <c r="R349">
        <v>-15.152079000000001</v>
      </c>
      <c r="S349">
        <f t="shared" si="64"/>
        <v>0.9988029920910092</v>
      </c>
      <c r="T349">
        <f t="shared" si="65"/>
        <v>-23.216650196076063</v>
      </c>
    </row>
    <row r="350" spans="1:20" x14ac:dyDescent="0.35">
      <c r="A350">
        <v>3.8</v>
      </c>
      <c r="B350">
        <v>16.2</v>
      </c>
      <c r="C350">
        <v>-0.14887558000000001</v>
      </c>
      <c r="D350">
        <v>-8.2038496000000002E-2</v>
      </c>
      <c r="E350">
        <v>0.85110686000000002</v>
      </c>
      <c r="F350">
        <v>-8.7783056999999998E-2</v>
      </c>
      <c r="G350">
        <f t="shared" si="56"/>
        <v>2.0340820008314799</v>
      </c>
      <c r="H350">
        <f t="shared" si="57"/>
        <v>-1.44378514367886</v>
      </c>
      <c r="I350">
        <f t="shared" si="58"/>
        <v>2.0340814708988999</v>
      </c>
      <c r="J350">
        <f t="shared" si="59"/>
        <v>-1.44665745091983</v>
      </c>
      <c r="K350" s="7">
        <f t="shared" si="60"/>
        <v>5.2993258004008205E-7</v>
      </c>
      <c r="L350" s="7">
        <f t="shared" si="61"/>
        <v>2.8723072409699798E-3</v>
      </c>
      <c r="M350" s="7">
        <f t="shared" si="62"/>
        <v>0.32648183389997099</v>
      </c>
      <c r="N350" s="7">
        <f t="shared" si="63"/>
        <v>0.232196883142857</v>
      </c>
      <c r="O350">
        <v>7.9335747999999997</v>
      </c>
      <c r="P350">
        <v>-14.009114</v>
      </c>
      <c r="Q350">
        <v>1.7674193</v>
      </c>
      <c r="R350">
        <v>-16.012091999999999</v>
      </c>
      <c r="S350">
        <f t="shared" si="64"/>
        <v>1.0006054895319347</v>
      </c>
      <c r="T350">
        <f t="shared" si="65"/>
        <v>-23.224713026719968</v>
      </c>
    </row>
    <row r="351" spans="1:20" x14ac:dyDescent="0.35">
      <c r="A351">
        <v>3.8</v>
      </c>
      <c r="B351">
        <v>16.3</v>
      </c>
      <c r="C351">
        <v>-0.16144555999999999</v>
      </c>
      <c r="D351">
        <v>-7.3843191000000002E-2</v>
      </c>
      <c r="E351">
        <v>0.83853785000000003</v>
      </c>
      <c r="F351">
        <v>-7.9673849000000005E-2</v>
      </c>
      <c r="G351">
        <f t="shared" si="56"/>
        <v>2.0259355541016899</v>
      </c>
      <c r="H351">
        <f t="shared" si="57"/>
        <v>-1.1994246599365901</v>
      </c>
      <c r="I351">
        <f t="shared" si="58"/>
        <v>2.0259357583153199</v>
      </c>
      <c r="J351">
        <f t="shared" si="59"/>
        <v>-1.20234001252409</v>
      </c>
      <c r="K351" s="7">
        <f t="shared" si="60"/>
        <v>-2.04213630006223E-7</v>
      </c>
      <c r="L351" s="7">
        <f t="shared" si="61"/>
        <v>2.9153525874998599E-3</v>
      </c>
      <c r="M351" s="7">
        <f t="shared" si="62"/>
        <v>0.36503102310543101</v>
      </c>
      <c r="N351" s="7">
        <f t="shared" si="63"/>
        <v>0.21663638794609499</v>
      </c>
      <c r="O351">
        <v>7.1297492</v>
      </c>
      <c r="P351">
        <v>-15.117984999999999</v>
      </c>
      <c r="Q351">
        <v>0.58995794000000001</v>
      </c>
      <c r="R351">
        <v>-16.751581999999999</v>
      </c>
      <c r="S351">
        <f t="shared" si="64"/>
        <v>1.0028178449923701</v>
      </c>
      <c r="T351">
        <f t="shared" si="65"/>
        <v>-23.231886471614466</v>
      </c>
    </row>
    <row r="352" spans="1:20" x14ac:dyDescent="0.35">
      <c r="A352">
        <v>3.8</v>
      </c>
      <c r="B352">
        <v>16.399999999999999</v>
      </c>
      <c r="C352">
        <v>-0.17307381999999999</v>
      </c>
      <c r="D352">
        <v>-6.3466626999999998E-2</v>
      </c>
      <c r="E352">
        <v>0.82685945999999999</v>
      </c>
      <c r="F352">
        <v>-6.9362837999999996E-2</v>
      </c>
      <c r="G352">
        <f t="shared" si="56"/>
        <v>2.0177875512695</v>
      </c>
      <c r="H352">
        <f t="shared" si="57"/>
        <v>-0.96450178204450898</v>
      </c>
      <c r="I352">
        <f t="shared" si="58"/>
        <v>2.01776288227695</v>
      </c>
      <c r="J352">
        <f t="shared" si="59"/>
        <v>-0.96745005862581002</v>
      </c>
      <c r="K352" s="7">
        <f t="shared" si="60"/>
        <v>2.4668992550047599E-5</v>
      </c>
      <c r="L352" s="7">
        <f t="shared" si="61"/>
        <v>2.94827658130103E-3</v>
      </c>
      <c r="M352" s="7">
        <f t="shared" si="62"/>
        <v>0.402962102786038</v>
      </c>
      <c r="N352" s="7">
        <f t="shared" si="63"/>
        <v>0.19320689927867499</v>
      </c>
      <c r="O352">
        <v>6.1319486999999997</v>
      </c>
      <c r="P352">
        <v>-16.131876999999999</v>
      </c>
      <c r="Q352">
        <v>-0.73450293</v>
      </c>
      <c r="R352">
        <v>-17.325337000000001</v>
      </c>
      <c r="S352">
        <f t="shared" si="64"/>
        <v>1.0048040714578939</v>
      </c>
      <c r="T352">
        <f t="shared" si="65"/>
        <v>-23.240072434969935</v>
      </c>
    </row>
    <row r="353" spans="1:49" x14ac:dyDescent="0.35">
      <c r="A353">
        <v>3.8</v>
      </c>
      <c r="B353">
        <v>16.5</v>
      </c>
      <c r="C353">
        <v>-0.18319436</v>
      </c>
      <c r="D353">
        <v>-5.1134969000000002E-2</v>
      </c>
      <c r="E353">
        <v>0.81674254000000002</v>
      </c>
      <c r="F353">
        <v>-5.7113713000000003E-2</v>
      </c>
      <c r="G353">
        <f t="shared" si="56"/>
        <v>2.0098742498911299</v>
      </c>
      <c r="H353">
        <f t="shared" si="57"/>
        <v>-0.73991062590898904</v>
      </c>
      <c r="I353">
        <f t="shared" si="58"/>
        <v>2.0098516360066601</v>
      </c>
      <c r="J353">
        <f t="shared" si="59"/>
        <v>-0.74290015983009605</v>
      </c>
      <c r="K353" s="7">
        <f t="shared" si="60"/>
        <v>2.2613884469890901E-5</v>
      </c>
      <c r="L353" s="7">
        <f t="shared" si="61"/>
        <v>2.9895339211070101E-3</v>
      </c>
      <c r="M353" s="7">
        <f t="shared" si="62"/>
        <v>0.437742252308779</v>
      </c>
      <c r="N353" s="7">
        <f t="shared" si="63"/>
        <v>0.16180238549881701</v>
      </c>
      <c r="O353">
        <v>4.9617247999999998</v>
      </c>
      <c r="P353">
        <v>-16.995439000000001</v>
      </c>
      <c r="Q353">
        <v>-2.1640136999999999</v>
      </c>
      <c r="R353">
        <v>-17.695582999999999</v>
      </c>
      <c r="S353">
        <f t="shared" si="64"/>
        <v>1.0069193750842611</v>
      </c>
      <c r="T353">
        <f t="shared" si="65"/>
        <v>-23.247023291035603</v>
      </c>
    </row>
    <row r="354" spans="1:49" x14ac:dyDescent="0.35">
      <c r="A354">
        <v>3.8</v>
      </c>
      <c r="B354">
        <v>16.600000000000001</v>
      </c>
      <c r="C354">
        <v>-0.19132752</v>
      </c>
      <c r="D354">
        <v>-3.7252199999999999E-2</v>
      </c>
      <c r="E354">
        <v>0.80863065000000001</v>
      </c>
      <c r="F354">
        <v>-4.3397193000000001E-2</v>
      </c>
      <c r="G354">
        <f t="shared" si="56"/>
        <v>2.0019266343879001</v>
      </c>
      <c r="H354">
        <f t="shared" si="57"/>
        <v>-0.52571756137033199</v>
      </c>
      <c r="I354">
        <f t="shared" si="58"/>
        <v>2.0019151596884202</v>
      </c>
      <c r="J354">
        <f t="shared" si="59"/>
        <v>-0.52879015738965196</v>
      </c>
      <c r="K354" s="7">
        <f t="shared" si="60"/>
        <v>1.1474699479929701E-5</v>
      </c>
      <c r="L354" s="7">
        <f t="shared" si="61"/>
        <v>3.07259601931997E-3</v>
      </c>
      <c r="M354" s="7">
        <f t="shared" si="62"/>
        <v>0.46694258397736599</v>
      </c>
      <c r="N354" s="7">
        <f t="shared" si="63"/>
        <v>0.123339214091247</v>
      </c>
      <c r="O354">
        <v>3.6597542000000001</v>
      </c>
      <c r="P354">
        <v>-17.670493</v>
      </c>
      <c r="Q354">
        <v>-3.6463386</v>
      </c>
      <c r="R354">
        <v>-17.836509</v>
      </c>
      <c r="S354">
        <f t="shared" si="64"/>
        <v>1.0088612315857304</v>
      </c>
      <c r="T354">
        <f t="shared" si="65"/>
        <v>-23.254999734747681</v>
      </c>
    </row>
    <row r="355" spans="1:49" x14ac:dyDescent="0.35">
      <c r="A355">
        <v>3.8</v>
      </c>
      <c r="B355">
        <v>16.7</v>
      </c>
      <c r="C355">
        <v>-0.19713687999999999</v>
      </c>
      <c r="D355">
        <v>-2.2396527999999999E-2</v>
      </c>
      <c r="E355">
        <v>0.80282220000000004</v>
      </c>
      <c r="F355">
        <v>-2.8647028000000001E-2</v>
      </c>
      <c r="G355">
        <f t="shared" si="56"/>
        <v>1.9942548150783701</v>
      </c>
      <c r="H355">
        <f t="shared" si="57"/>
        <v>-0.32131488805296599</v>
      </c>
      <c r="I355">
        <f t="shared" si="58"/>
        <v>1.99424412235144</v>
      </c>
      <c r="J355">
        <f t="shared" si="59"/>
        <v>-0.32444023541501799</v>
      </c>
      <c r="K355" s="7">
        <f t="shared" si="60"/>
        <v>1.0692726930106E-5</v>
      </c>
      <c r="L355" s="7">
        <f t="shared" si="61"/>
        <v>3.125347362052E-3</v>
      </c>
      <c r="M355" s="7">
        <f t="shared" si="62"/>
        <v>0.48851339864338</v>
      </c>
      <c r="N355" s="7">
        <f t="shared" si="63"/>
        <v>7.9475426444966704E-2</v>
      </c>
      <c r="O355">
        <v>2.2804017000000001</v>
      </c>
      <c r="P355">
        <v>-18.128855999999999</v>
      </c>
      <c r="Q355">
        <v>-5.1184450000000004</v>
      </c>
      <c r="R355">
        <v>-17.742846</v>
      </c>
      <c r="S355">
        <f t="shared" si="64"/>
        <v>1.0106535853664962</v>
      </c>
      <c r="T355">
        <f t="shared" si="65"/>
        <v>-23.261254431577441</v>
      </c>
    </row>
    <row r="356" spans="1:49" x14ac:dyDescent="0.35">
      <c r="A356">
        <v>3.8</v>
      </c>
      <c r="B356">
        <v>16.8</v>
      </c>
      <c r="C356">
        <v>-0.20050594999999999</v>
      </c>
      <c r="D356">
        <v>-7.2135499000000004E-3</v>
      </c>
      <c r="E356">
        <v>0.79944813999999997</v>
      </c>
      <c r="F356">
        <v>-1.3554191E-2</v>
      </c>
      <c r="G356">
        <f t="shared" si="56"/>
        <v>1.9867445921851401</v>
      </c>
      <c r="H356">
        <f t="shared" si="57"/>
        <v>-0.127184082702512</v>
      </c>
      <c r="I356">
        <f t="shared" si="58"/>
        <v>1.9867316881817401</v>
      </c>
      <c r="J356">
        <f t="shared" si="59"/>
        <v>-0.13035451693965799</v>
      </c>
      <c r="K356" s="7">
        <f t="shared" si="60"/>
        <v>1.29040034000383E-5</v>
      </c>
      <c r="L356" s="7">
        <f t="shared" si="61"/>
        <v>3.1704342371460001E-3</v>
      </c>
      <c r="M356" s="7">
        <f t="shared" si="62"/>
        <v>0.50118164110761099</v>
      </c>
      <c r="N356" s="7">
        <f t="shared" si="63"/>
        <v>3.2883801629699998E-2</v>
      </c>
      <c r="O356">
        <v>0.88307093999999997</v>
      </c>
      <c r="P356">
        <v>-18.360202000000001</v>
      </c>
      <c r="Q356">
        <v>-6.5207812000000001</v>
      </c>
      <c r="R356">
        <v>-17.430296999999999</v>
      </c>
      <c r="S356">
        <f t="shared" si="64"/>
        <v>1.0124405056859394</v>
      </c>
      <c r="T356">
        <f t="shared" si="65"/>
        <v>-23.264765949088201</v>
      </c>
    </row>
    <row r="357" spans="1:49" x14ac:dyDescent="0.35">
      <c r="A357">
        <v>3.8</v>
      </c>
      <c r="B357">
        <v>16.899999999999999</v>
      </c>
      <c r="C357">
        <v>-0.2015605</v>
      </c>
      <c r="D357">
        <v>7.5589604000000001E-3</v>
      </c>
      <c r="E357">
        <v>0.79840904999999995</v>
      </c>
      <c r="F357">
        <v>1.111145E-3</v>
      </c>
      <c r="G357">
        <f t="shared" si="56"/>
        <v>1.97931313920867</v>
      </c>
      <c r="H357">
        <f t="shared" si="57"/>
        <v>5.4931614058783503E-2</v>
      </c>
      <c r="I357">
        <f t="shared" si="58"/>
        <v>1.97930830792443</v>
      </c>
      <c r="J357">
        <f t="shared" si="59"/>
        <v>5.1707641698189803E-2</v>
      </c>
      <c r="K357" s="7">
        <f t="shared" si="60"/>
        <v>4.8312842400033401E-6</v>
      </c>
      <c r="L357" s="7">
        <f t="shared" si="61"/>
        <v>3.2239723605937002E-3</v>
      </c>
      <c r="M357" s="7">
        <f t="shared" si="62"/>
        <v>0.50488243444164205</v>
      </c>
      <c r="N357" s="7">
        <f t="shared" si="63"/>
        <v>-1.31895975555188E-2</v>
      </c>
      <c r="O357">
        <v>-0.46489195</v>
      </c>
      <c r="P357">
        <v>-18.380801000000002</v>
      </c>
      <c r="Q357">
        <v>-7.7975383000000003</v>
      </c>
      <c r="R357">
        <v>-16.937615999999998</v>
      </c>
      <c r="S357">
        <f t="shared" si="64"/>
        <v>1.0141199576023805</v>
      </c>
      <c r="T357">
        <f t="shared" si="65"/>
        <v>-23.271004856115191</v>
      </c>
      <c r="AW357">
        <v>0</v>
      </c>
    </row>
    <row r="358" spans="1:49" x14ac:dyDescent="0.35">
      <c r="A358">
        <v>3.8</v>
      </c>
      <c r="B358">
        <v>17</v>
      </c>
      <c r="C358">
        <v>-0.20188935</v>
      </c>
      <c r="D358">
        <v>1.7160515000000001E-2</v>
      </c>
      <c r="E358">
        <v>0.79813447000000004</v>
      </c>
      <c r="F358">
        <v>1.0482817E-2</v>
      </c>
      <c r="G358">
        <f t="shared" si="56"/>
        <v>1.96518301743256</v>
      </c>
      <c r="H358">
        <f t="shared" si="57"/>
        <v>0.17045046242144901</v>
      </c>
      <c r="I358">
        <f t="shared" si="58"/>
        <v>1.96520607468078</v>
      </c>
      <c r="J358">
        <f t="shared" si="59"/>
        <v>0.16711173017042</v>
      </c>
      <c r="K358" s="7">
        <f t="shared" si="60"/>
        <v>-2.30572482200486E-5</v>
      </c>
      <c r="L358" s="7">
        <f t="shared" si="61"/>
        <v>3.3387322510290102E-3</v>
      </c>
      <c r="M358" s="7">
        <f t="shared" si="62"/>
        <v>0.50519939666198499</v>
      </c>
      <c r="N358" s="7">
        <f t="shared" si="63"/>
        <v>-4.29597416499694E-2</v>
      </c>
      <c r="O358">
        <v>-1.3463194000000001</v>
      </c>
      <c r="P358">
        <v>-18.788067000000002</v>
      </c>
      <c r="Q358">
        <v>-8.5790950000000006</v>
      </c>
      <c r="R358">
        <v>-16.601206999999999</v>
      </c>
      <c r="S358">
        <f t="shared" si="64"/>
        <v>0.99207253922943706</v>
      </c>
      <c r="T358">
        <f t="shared" si="65"/>
        <v>-23.230099786681627</v>
      </c>
      <c r="AT358">
        <v>17</v>
      </c>
      <c r="AU358">
        <v>0.50519939666198499</v>
      </c>
    </row>
    <row r="359" spans="1:49" x14ac:dyDescent="0.35">
      <c r="A359">
        <v>4</v>
      </c>
      <c r="B359">
        <v>15</v>
      </c>
      <c r="C359">
        <v>-4.1817212999999999E-2</v>
      </c>
      <c r="D359">
        <v>-8.0108894999999999E-2</v>
      </c>
      <c r="E359">
        <v>0.95805112000000003</v>
      </c>
      <c r="F359">
        <v>-8.5097021999999994E-2</v>
      </c>
      <c r="G359">
        <f t="shared" si="56"/>
        <v>1.9414957128886901</v>
      </c>
      <c r="H359">
        <f t="shared" si="57"/>
        <v>-4.8138826474156797</v>
      </c>
      <c r="I359">
        <f t="shared" si="58"/>
        <v>1.9414360965970701</v>
      </c>
      <c r="J359">
        <f t="shared" si="59"/>
        <v>-4.8163770238160302</v>
      </c>
      <c r="K359" s="7">
        <f t="shared" si="60"/>
        <v>5.9616291619990498E-5</v>
      </c>
      <c r="L359" s="7">
        <f t="shared" si="61"/>
        <v>2.4943764003504398E-3</v>
      </c>
      <c r="M359" s="7">
        <f t="shared" si="62"/>
        <v>7.1993935118860194E-2</v>
      </c>
      <c r="N359" s="7">
        <f t="shared" si="63"/>
        <v>0.178604866556442</v>
      </c>
      <c r="O359">
        <v>7.8545591000000003</v>
      </c>
      <c r="P359">
        <v>-4.0114124000000002</v>
      </c>
      <c r="Q359">
        <v>5.4823795999999998</v>
      </c>
      <c r="R359">
        <v>-6.5709797999999999</v>
      </c>
      <c r="S359">
        <f t="shared" si="64"/>
        <v>0.97030384260587199</v>
      </c>
      <c r="T359">
        <f t="shared" si="65"/>
        <v>-23.106755795352161</v>
      </c>
    </row>
    <row r="360" spans="1:49" x14ac:dyDescent="0.35">
      <c r="A360">
        <v>4</v>
      </c>
      <c r="B360">
        <v>15.1</v>
      </c>
      <c r="C360">
        <v>-4.6898268E-2</v>
      </c>
      <c r="D360">
        <v>-8.3735793000000003E-2</v>
      </c>
      <c r="E360">
        <v>0.95300468999999999</v>
      </c>
      <c r="F360">
        <v>-8.8825694999999996E-2</v>
      </c>
      <c r="G360">
        <f t="shared" si="56"/>
        <v>1.9329086395737001</v>
      </c>
      <c r="H360">
        <f t="shared" si="57"/>
        <v>-4.4699885564242399</v>
      </c>
      <c r="I360">
        <f t="shared" si="58"/>
        <v>1.9328665938958001</v>
      </c>
      <c r="J360">
        <f t="shared" si="59"/>
        <v>-4.4725337379231798</v>
      </c>
      <c r="K360" s="7">
        <f t="shared" si="60"/>
        <v>4.2045677900004497E-5</v>
      </c>
      <c r="L360" s="7">
        <f t="shared" si="61"/>
        <v>2.5451814989398999E-3</v>
      </c>
      <c r="M360" s="7">
        <f t="shared" si="62"/>
        <v>8.1419745357550102E-2</v>
      </c>
      <c r="N360" s="7">
        <f t="shared" si="63"/>
        <v>0.18840025441734501</v>
      </c>
      <c r="O360">
        <v>8.1432021999999993</v>
      </c>
      <c r="P360">
        <v>-4.4632857000000001</v>
      </c>
      <c r="Q360">
        <v>5.5885835999999998</v>
      </c>
      <c r="R360">
        <v>-7.1113916000000001</v>
      </c>
      <c r="S360">
        <f t="shared" si="64"/>
        <v>0.97398393224971869</v>
      </c>
      <c r="T360">
        <f t="shared" si="65"/>
        <v>-23.110356335272254</v>
      </c>
    </row>
    <row r="361" spans="1:49" x14ac:dyDescent="0.35">
      <c r="A361">
        <v>4</v>
      </c>
      <c r="B361">
        <v>15.2</v>
      </c>
      <c r="C361">
        <v>-5.2600610999999999E-2</v>
      </c>
      <c r="D361">
        <v>-8.7322422999999996E-2</v>
      </c>
      <c r="E361">
        <v>0.94730650999999999</v>
      </c>
      <c r="F361">
        <v>-9.2500140999999994E-2</v>
      </c>
      <c r="G361">
        <f t="shared" si="56"/>
        <v>1.9248660474701</v>
      </c>
      <c r="H361">
        <f t="shared" si="57"/>
        <v>-4.1398876612229598</v>
      </c>
      <c r="I361">
        <f t="shared" si="58"/>
        <v>1.9248263088931901</v>
      </c>
      <c r="J361">
        <f t="shared" si="59"/>
        <v>-4.1424767433362</v>
      </c>
      <c r="K361" s="7">
        <f t="shared" si="60"/>
        <v>3.97385769099756E-5</v>
      </c>
      <c r="L361" s="7">
        <f t="shared" si="61"/>
        <v>2.5890821132401598E-3</v>
      </c>
      <c r="M361" s="7">
        <f t="shared" si="62"/>
        <v>9.2251131636761005E-2</v>
      </c>
      <c r="N361" s="7">
        <f t="shared" si="63"/>
        <v>0.19853644226811901</v>
      </c>
      <c r="O361">
        <v>8.4331905000000003</v>
      </c>
      <c r="P361">
        <v>-4.9741019</v>
      </c>
      <c r="Q361">
        <v>5.6709285999999999</v>
      </c>
      <c r="R361">
        <v>-7.7065010999999997</v>
      </c>
      <c r="S361">
        <f t="shared" si="64"/>
        <v>0.97725657958247436</v>
      </c>
      <c r="T361">
        <f t="shared" si="65"/>
        <v>-23.118882588138923</v>
      </c>
    </row>
    <row r="362" spans="1:49" x14ac:dyDescent="0.35">
      <c r="A362">
        <v>4</v>
      </c>
      <c r="B362">
        <v>15.3</v>
      </c>
      <c r="C362">
        <v>-5.9024251999999999E-2</v>
      </c>
      <c r="D362">
        <v>-9.0803307999999999E-2</v>
      </c>
      <c r="E362">
        <v>0.94088154000000002</v>
      </c>
      <c r="F362">
        <v>-9.6068027E-2</v>
      </c>
      <c r="G362">
        <f t="shared" si="56"/>
        <v>1.9170844286162401</v>
      </c>
      <c r="H362">
        <f t="shared" si="57"/>
        <v>-3.8218568192084899</v>
      </c>
      <c r="I362">
        <f t="shared" si="58"/>
        <v>1.9170442526451501</v>
      </c>
      <c r="J362">
        <f t="shared" si="59"/>
        <v>-3.8244894084715799</v>
      </c>
      <c r="K362" s="7">
        <f t="shared" si="60"/>
        <v>4.0175971089961801E-5</v>
      </c>
      <c r="L362" s="7">
        <f t="shared" si="61"/>
        <v>2.63258926309007E-3</v>
      </c>
      <c r="M362" s="7">
        <f t="shared" si="62"/>
        <v>0.10474634010415</v>
      </c>
      <c r="N362" s="7">
        <f t="shared" si="63"/>
        <v>0.20896819035436001</v>
      </c>
      <c r="O362">
        <v>8.7072777000000006</v>
      </c>
      <c r="P362">
        <v>-5.5450621</v>
      </c>
      <c r="Q362">
        <v>5.7177319999999998</v>
      </c>
      <c r="R362">
        <v>-8.3566892999999993</v>
      </c>
      <c r="S362">
        <f t="shared" si="64"/>
        <v>0.9808722604804152</v>
      </c>
      <c r="T362">
        <f t="shared" si="65"/>
        <v>-23.12943101626993</v>
      </c>
    </row>
    <row r="363" spans="1:49" x14ac:dyDescent="0.35">
      <c r="A363">
        <v>4</v>
      </c>
      <c r="B363">
        <v>15.4</v>
      </c>
      <c r="C363">
        <v>-6.6257927999999994E-2</v>
      </c>
      <c r="D363">
        <v>-9.4086307999999994E-2</v>
      </c>
      <c r="E363">
        <v>0.93364559999999996</v>
      </c>
      <c r="F363">
        <v>-9.9438863000000002E-2</v>
      </c>
      <c r="G363">
        <f t="shared" si="56"/>
        <v>1.90948811551899</v>
      </c>
      <c r="H363">
        <f t="shared" si="57"/>
        <v>-3.5148704690753401</v>
      </c>
      <c r="I363">
        <f t="shared" si="58"/>
        <v>1.9094470406386701</v>
      </c>
      <c r="J363">
        <f t="shared" si="59"/>
        <v>-3.5175469856075599</v>
      </c>
      <c r="K363" s="7">
        <f t="shared" si="60"/>
        <v>4.1074880319902403E-5</v>
      </c>
      <c r="L363" s="7">
        <f t="shared" si="61"/>
        <v>2.6765165322197898E-3</v>
      </c>
      <c r="M363" s="7">
        <f t="shared" si="62"/>
        <v>0.1191979627377</v>
      </c>
      <c r="N363" s="7">
        <f t="shared" si="63"/>
        <v>0.21958421762685601</v>
      </c>
      <c r="O363">
        <v>8.9726809999999997</v>
      </c>
      <c r="P363">
        <v>-6.1934198</v>
      </c>
      <c r="Q363">
        <v>5.7183776999999996</v>
      </c>
      <c r="R363">
        <v>-9.0646114000000004</v>
      </c>
      <c r="S363">
        <f t="shared" si="64"/>
        <v>0.98302871634677824</v>
      </c>
      <c r="T363">
        <f t="shared" si="65"/>
        <v>-23.138874242168285</v>
      </c>
    </row>
    <row r="364" spans="1:49" x14ac:dyDescent="0.35">
      <c r="A364">
        <v>4</v>
      </c>
      <c r="B364">
        <v>15.5</v>
      </c>
      <c r="C364">
        <v>-7.4379297999999996E-2</v>
      </c>
      <c r="D364">
        <v>-9.7045734999999994E-2</v>
      </c>
      <c r="E364">
        <v>0.92552199000000002</v>
      </c>
      <c r="F364">
        <v>-0.10248744999999999</v>
      </c>
      <c r="G364">
        <f t="shared" si="56"/>
        <v>1.9020304632707099</v>
      </c>
      <c r="H364">
        <f t="shared" si="57"/>
        <v>-3.2183712129832198</v>
      </c>
      <c r="I364">
        <f t="shared" si="58"/>
        <v>1.90198850894155</v>
      </c>
      <c r="J364">
        <f t="shared" si="59"/>
        <v>-3.22109231893787</v>
      </c>
      <c r="K364" s="7">
        <f t="shared" si="60"/>
        <v>4.1954329159876702E-5</v>
      </c>
      <c r="L364" s="7">
        <f t="shared" si="61"/>
        <v>2.7211059546501399E-3</v>
      </c>
      <c r="M364" s="7">
        <f t="shared" si="62"/>
        <v>0.135924322916014</v>
      </c>
      <c r="N364" s="7">
        <f t="shared" si="63"/>
        <v>0.23019318489219101</v>
      </c>
      <c r="O364">
        <v>9.1950907999999991</v>
      </c>
      <c r="P364">
        <v>-6.9100970000000004</v>
      </c>
      <c r="Q364">
        <v>5.6600226999999999</v>
      </c>
      <c r="R364">
        <v>-9.8326993999999992</v>
      </c>
      <c r="S364">
        <f t="shared" si="64"/>
        <v>0.98637228126660292</v>
      </c>
      <c r="T364">
        <f t="shared" si="65"/>
        <v>-23.149057331935904</v>
      </c>
    </row>
    <row r="365" spans="1:49" x14ac:dyDescent="0.35">
      <c r="A365">
        <v>4</v>
      </c>
      <c r="B365">
        <v>15.6</v>
      </c>
      <c r="C365">
        <v>-8.3451747000000007E-2</v>
      </c>
      <c r="D365">
        <v>-9.9519786999999998E-2</v>
      </c>
      <c r="E365">
        <v>0.91644751000000002</v>
      </c>
      <c r="F365">
        <v>-0.10505214</v>
      </c>
      <c r="G365">
        <f t="shared" si="56"/>
        <v>1.89468762229165</v>
      </c>
      <c r="H365">
        <f t="shared" si="57"/>
        <v>-2.9319644661095099</v>
      </c>
      <c r="I365">
        <f t="shared" si="58"/>
        <v>1.8946449010845099</v>
      </c>
      <c r="J365">
        <f t="shared" si="59"/>
        <v>-2.9347309001333501</v>
      </c>
      <c r="K365" s="7">
        <f t="shared" si="60"/>
        <v>4.2721207140106201E-5</v>
      </c>
      <c r="L365" s="7">
        <f t="shared" si="61"/>
        <v>2.76643402384025E-3</v>
      </c>
      <c r="M365" s="7">
        <f t="shared" si="62"/>
        <v>0.155269175239337</v>
      </c>
      <c r="N365" s="7">
        <f t="shared" si="63"/>
        <v>0.24050588379504301</v>
      </c>
      <c r="O365">
        <v>9.3812975999999999</v>
      </c>
      <c r="P365">
        <v>-7.7151262999999997</v>
      </c>
      <c r="Q365">
        <v>5.5266868999999996</v>
      </c>
      <c r="R365">
        <v>-10.658258999999999</v>
      </c>
      <c r="S365">
        <f t="shared" si="64"/>
        <v>0.98844705373972386</v>
      </c>
      <c r="T365">
        <f t="shared" si="65"/>
        <v>-23.15796604301125</v>
      </c>
    </row>
    <row r="366" spans="1:49" x14ac:dyDescent="0.35">
      <c r="A366">
        <v>4</v>
      </c>
      <c r="B366">
        <v>15.7</v>
      </c>
      <c r="C366">
        <v>-9.3513868E-2</v>
      </c>
      <c r="D366">
        <v>-0.10130778999999999</v>
      </c>
      <c r="E366">
        <v>0.90638357000000003</v>
      </c>
      <c r="F366">
        <v>-0.10693229999999999</v>
      </c>
      <c r="G366">
        <f t="shared" si="56"/>
        <v>1.8874455034027</v>
      </c>
      <c r="H366">
        <f t="shared" si="57"/>
        <v>-2.65533802795292</v>
      </c>
      <c r="I366">
        <f t="shared" si="58"/>
        <v>1.8874021297052801</v>
      </c>
      <c r="J366">
        <f t="shared" si="59"/>
        <v>-2.6581505491597199</v>
      </c>
      <c r="K366" s="7">
        <f t="shared" si="60"/>
        <v>4.3373697419912802E-5</v>
      </c>
      <c r="L366" s="7">
        <f t="shared" si="61"/>
        <v>2.81252120679998E-3</v>
      </c>
      <c r="M366" s="7">
        <f t="shared" si="62"/>
        <v>0.17758685055496101</v>
      </c>
      <c r="N366" s="7">
        <f t="shared" si="63"/>
        <v>0.25010705291507102</v>
      </c>
      <c r="O366">
        <v>9.4933666999999993</v>
      </c>
      <c r="P366">
        <v>-8.5949568999999997</v>
      </c>
      <c r="Q366">
        <v>5.3010371000000003</v>
      </c>
      <c r="R366">
        <v>-11.538183</v>
      </c>
      <c r="S366">
        <f t="shared" si="64"/>
        <v>0.99152912284317318</v>
      </c>
      <c r="T366">
        <f t="shared" si="65"/>
        <v>-23.167753628518653</v>
      </c>
    </row>
    <row r="367" spans="1:49" x14ac:dyDescent="0.35">
      <c r="A367">
        <v>4</v>
      </c>
      <c r="B367">
        <v>15.8</v>
      </c>
      <c r="C367">
        <v>-0.10456169999999999</v>
      </c>
      <c r="D367">
        <v>-0.10216956000000001</v>
      </c>
      <c r="E367">
        <v>0.89533465999999995</v>
      </c>
      <c r="F367">
        <v>-0.10788731</v>
      </c>
      <c r="G367">
        <f t="shared" si="56"/>
        <v>1.8803109474817301</v>
      </c>
      <c r="H367">
        <f t="shared" si="57"/>
        <v>-2.3883001805581801</v>
      </c>
      <c r="I367">
        <f t="shared" si="58"/>
        <v>1.88026729916646</v>
      </c>
      <c r="J367">
        <f t="shared" si="59"/>
        <v>-2.3911593285042998</v>
      </c>
      <c r="K367" s="7">
        <f t="shared" si="60"/>
        <v>4.3648315270150602E-5</v>
      </c>
      <c r="L367" s="7">
        <f t="shared" si="61"/>
        <v>2.8591479461197401E-3</v>
      </c>
      <c r="M367" s="7">
        <f t="shared" si="62"/>
        <v>0.20320518048568201</v>
      </c>
      <c r="N367" s="7">
        <f t="shared" si="63"/>
        <v>0.25841855736901898</v>
      </c>
      <c r="O367">
        <v>9.5256811999999993</v>
      </c>
      <c r="P367">
        <v>-9.5607603000000001</v>
      </c>
      <c r="Q367">
        <v>4.9640380999999998</v>
      </c>
      <c r="R367">
        <v>-12.462716</v>
      </c>
      <c r="S367">
        <f t="shared" si="64"/>
        <v>0.99398185084875168</v>
      </c>
      <c r="T367">
        <f t="shared" si="65"/>
        <v>-23.176754649044586</v>
      </c>
    </row>
    <row r="368" spans="1:49" x14ac:dyDescent="0.35">
      <c r="A368">
        <v>4</v>
      </c>
      <c r="B368">
        <v>15.9</v>
      </c>
      <c r="C368">
        <v>-0.11654297</v>
      </c>
      <c r="D368">
        <v>-0.10183222</v>
      </c>
      <c r="E368">
        <v>0.88335185000000005</v>
      </c>
      <c r="F368">
        <v>-0.1076439</v>
      </c>
      <c r="G368">
        <f t="shared" si="56"/>
        <v>1.8732670540743499</v>
      </c>
      <c r="H368">
        <f t="shared" si="57"/>
        <v>-2.13043836942939</v>
      </c>
      <c r="I368">
        <f t="shared" si="58"/>
        <v>1.8732229064756201</v>
      </c>
      <c r="J368">
        <f t="shared" si="59"/>
        <v>-2.13334449054816</v>
      </c>
      <c r="K368" s="7">
        <f t="shared" si="60"/>
        <v>4.4147598729837901E-5</v>
      </c>
      <c r="L368" s="7">
        <f t="shared" si="61"/>
        <v>2.9061211187699802E-3</v>
      </c>
      <c r="M368" s="7">
        <f t="shared" si="62"/>
        <v>0.23240624979323801</v>
      </c>
      <c r="N368" s="7">
        <f t="shared" si="63"/>
        <v>0.26467890759364698</v>
      </c>
      <c r="O368">
        <v>9.4490981999999999</v>
      </c>
      <c r="P368">
        <v>-10.60202</v>
      </c>
      <c r="Q368">
        <v>4.4955619999999996</v>
      </c>
      <c r="R368">
        <v>-13.417396999999999</v>
      </c>
      <c r="S368">
        <f t="shared" si="64"/>
        <v>0.99639471752193809</v>
      </c>
      <c r="T368">
        <f t="shared" si="65"/>
        <v>-23.185498586056628</v>
      </c>
    </row>
    <row r="369" spans="1:49" x14ac:dyDescent="0.35">
      <c r="A369">
        <v>4</v>
      </c>
      <c r="B369">
        <v>16</v>
      </c>
      <c r="C369">
        <v>-0.12935467</v>
      </c>
      <c r="D369">
        <v>-9.9987178999999995E-2</v>
      </c>
      <c r="E369">
        <v>0.87054602000000003</v>
      </c>
      <c r="F369">
        <v>-0.10590303</v>
      </c>
      <c r="G369">
        <f t="shared" si="56"/>
        <v>1.8663208255163199</v>
      </c>
      <c r="H369">
        <f t="shared" si="57"/>
        <v>-1.88098533469119</v>
      </c>
      <c r="I369">
        <f t="shared" si="58"/>
        <v>1.8662799186007399</v>
      </c>
      <c r="J369">
        <f t="shared" si="59"/>
        <v>-1.88394352807989</v>
      </c>
      <c r="K369" s="7">
        <f t="shared" si="60"/>
        <v>4.0906915580007898E-5</v>
      </c>
      <c r="L369" s="7">
        <f t="shared" si="61"/>
        <v>2.9581933886999598E-3</v>
      </c>
      <c r="M369" s="7">
        <f t="shared" si="62"/>
        <v>0.26538896139759399</v>
      </c>
      <c r="N369" s="7">
        <f t="shared" si="63"/>
        <v>0.26790076411672598</v>
      </c>
      <c r="O369">
        <v>9.2404475999999995</v>
      </c>
      <c r="P369">
        <v>-11.711503</v>
      </c>
      <c r="Q369">
        <v>3.8749555999999998</v>
      </c>
      <c r="R369">
        <v>-14.381361999999999</v>
      </c>
      <c r="S369">
        <f t="shared" si="64"/>
        <v>0.9984118239842259</v>
      </c>
      <c r="T369">
        <f t="shared" si="65"/>
        <v>-23.193836968143302</v>
      </c>
    </row>
    <row r="370" spans="1:49" x14ac:dyDescent="0.35">
      <c r="A370">
        <v>4</v>
      </c>
      <c r="B370">
        <v>16.100000000000001</v>
      </c>
      <c r="C370">
        <v>-0.14270147</v>
      </c>
      <c r="D370">
        <v>-9.6357628000000001E-2</v>
      </c>
      <c r="E370">
        <v>0.85727443999999997</v>
      </c>
      <c r="F370">
        <v>-0.10240576999999999</v>
      </c>
      <c r="G370">
        <f t="shared" si="56"/>
        <v>1.8593806819884799</v>
      </c>
      <c r="H370">
        <f t="shared" si="57"/>
        <v>-1.6414936282641599</v>
      </c>
      <c r="I370">
        <f t="shared" si="58"/>
        <v>1.8593777820956301</v>
      </c>
      <c r="J370">
        <f t="shared" si="59"/>
        <v>-1.6445177444591199</v>
      </c>
      <c r="K370" s="7">
        <f t="shared" si="60"/>
        <v>2.8998928498502599E-6</v>
      </c>
      <c r="L370" s="7">
        <f t="shared" si="61"/>
        <v>3.0241161949600098E-3</v>
      </c>
      <c r="M370" s="7">
        <f t="shared" si="62"/>
        <v>0.30176257115119698</v>
      </c>
      <c r="N370" s="7">
        <f t="shared" si="63"/>
        <v>0.26689245598731498</v>
      </c>
      <c r="O370">
        <v>8.8687517000000007</v>
      </c>
      <c r="P370">
        <v>-12.852402</v>
      </c>
      <c r="Q370">
        <v>3.0909626000000001</v>
      </c>
      <c r="R370">
        <v>-15.322359000000001</v>
      </c>
      <c r="S370">
        <f t="shared" si="64"/>
        <v>1.0010037270205543</v>
      </c>
      <c r="T370">
        <f t="shared" si="65"/>
        <v>-23.20232106612308</v>
      </c>
    </row>
    <row r="371" spans="1:49" x14ac:dyDescent="0.35">
      <c r="A371">
        <v>4</v>
      </c>
      <c r="B371">
        <v>16.2</v>
      </c>
      <c r="C371">
        <v>-0.15623165</v>
      </c>
      <c r="D371">
        <v>-9.0702625999999995E-2</v>
      </c>
      <c r="E371">
        <v>0.84375255000000005</v>
      </c>
      <c r="F371">
        <v>-9.6842728000000003E-2</v>
      </c>
      <c r="G371">
        <f t="shared" si="56"/>
        <v>1.85271311661104</v>
      </c>
      <c r="H371">
        <f t="shared" si="57"/>
        <v>-1.41052918707486</v>
      </c>
      <c r="I371">
        <f t="shared" si="58"/>
        <v>1.8527146418963301</v>
      </c>
      <c r="J371">
        <f t="shared" si="59"/>
        <v>-1.4135992576457199</v>
      </c>
      <c r="K371" s="7">
        <f t="shared" si="60"/>
        <v>-1.5252852900715701E-6</v>
      </c>
      <c r="L371" s="7">
        <f t="shared" si="61"/>
        <v>3.0700705708599499E-3</v>
      </c>
      <c r="M371" s="7">
        <f t="shared" si="62"/>
        <v>0.34114858353756</v>
      </c>
      <c r="N371" s="7">
        <f t="shared" si="63"/>
        <v>0.26029231568115901</v>
      </c>
      <c r="O371">
        <v>8.3231722999999995</v>
      </c>
      <c r="P371">
        <v>-14.005345</v>
      </c>
      <c r="Q371">
        <v>2.1366241000000001</v>
      </c>
      <c r="R371">
        <v>-16.201284000000001</v>
      </c>
      <c r="S371">
        <f t="shared" si="64"/>
        <v>1.0030505994171199</v>
      </c>
      <c r="T371">
        <f t="shared" si="65"/>
        <v>-23.209590199895633</v>
      </c>
    </row>
    <row r="372" spans="1:49" x14ac:dyDescent="0.35">
      <c r="A372">
        <v>4</v>
      </c>
      <c r="B372">
        <v>16.3</v>
      </c>
      <c r="C372">
        <v>-0.16951480999999999</v>
      </c>
      <c r="D372">
        <v>-8.285236E-2</v>
      </c>
      <c r="E372">
        <v>0.83041109999999996</v>
      </c>
      <c r="F372">
        <v>-8.9118130000000004E-2</v>
      </c>
      <c r="G372">
        <f t="shared" si="56"/>
        <v>1.8456940923384899</v>
      </c>
      <c r="H372">
        <f t="shared" si="57"/>
        <v>-1.1880041077385499</v>
      </c>
      <c r="I372">
        <f t="shared" si="58"/>
        <v>1.8456668619290499</v>
      </c>
      <c r="J372">
        <f t="shared" si="59"/>
        <v>-1.1911371941134801</v>
      </c>
      <c r="K372" s="7">
        <f t="shared" si="60"/>
        <v>2.7230409439971099E-5</v>
      </c>
      <c r="L372" s="7">
        <f t="shared" si="61"/>
        <v>3.1330863749301501E-3</v>
      </c>
      <c r="M372" s="7">
        <f t="shared" si="62"/>
        <v>0.38249832433360698</v>
      </c>
      <c r="N372" s="7">
        <f t="shared" si="63"/>
        <v>0.24685277186135801</v>
      </c>
      <c r="O372">
        <v>7.5850697</v>
      </c>
      <c r="P372">
        <v>-15.121209</v>
      </c>
      <c r="Q372">
        <v>1.0151094000000001</v>
      </c>
      <c r="R372">
        <v>-16.977737000000001</v>
      </c>
      <c r="S372">
        <f t="shared" si="64"/>
        <v>1.0053837029582064</v>
      </c>
      <c r="T372">
        <f t="shared" si="65"/>
        <v>-23.217487468088155</v>
      </c>
    </row>
    <row r="373" spans="1:49" x14ac:dyDescent="0.35">
      <c r="A373">
        <v>4</v>
      </c>
      <c r="B373">
        <v>16.399999999999999</v>
      </c>
      <c r="C373">
        <v>-0.18201621000000001</v>
      </c>
      <c r="D373">
        <v>-7.2793948999999997E-2</v>
      </c>
      <c r="E373">
        <v>0.81785675999999996</v>
      </c>
      <c r="F373">
        <v>-7.9164079999999998E-2</v>
      </c>
      <c r="G373">
        <f t="shared" si="56"/>
        <v>1.8388296446550401</v>
      </c>
      <c r="H373">
        <f t="shared" si="57"/>
        <v>-0.974353086627187</v>
      </c>
      <c r="I373">
        <f t="shared" si="58"/>
        <v>1.83877627209318</v>
      </c>
      <c r="J373">
        <f t="shared" si="59"/>
        <v>-0.97753852444537503</v>
      </c>
      <c r="K373" s="7">
        <f t="shared" si="60"/>
        <v>5.3372561860110002E-5</v>
      </c>
      <c r="L373" s="7">
        <f t="shared" si="61"/>
        <v>3.1854378181880301E-3</v>
      </c>
      <c r="M373" s="7">
        <f t="shared" si="62"/>
        <v>0.42400554801493201</v>
      </c>
      <c r="N373" s="7">
        <f t="shared" si="63"/>
        <v>0.22541173934735501</v>
      </c>
      <c r="O373">
        <v>6.6605550999999998</v>
      </c>
      <c r="P373">
        <v>-16.162544</v>
      </c>
      <c r="Q373">
        <v>-0.25456336000000002</v>
      </c>
      <c r="R373">
        <v>-17.608008999999999</v>
      </c>
      <c r="S373">
        <f t="shared" si="64"/>
        <v>1.0073618029028719</v>
      </c>
      <c r="T373">
        <f t="shared" si="65"/>
        <v>-23.224751910366901</v>
      </c>
    </row>
    <row r="374" spans="1:49" x14ac:dyDescent="0.35">
      <c r="A374">
        <v>4</v>
      </c>
      <c r="B374">
        <v>16.5</v>
      </c>
      <c r="C374">
        <v>-0.19318595999999999</v>
      </c>
      <c r="D374">
        <v>-6.0686864E-2</v>
      </c>
      <c r="E374">
        <v>0.80679184999999998</v>
      </c>
      <c r="F374">
        <v>-6.7208295000000001E-2</v>
      </c>
      <c r="G374">
        <f t="shared" si="56"/>
        <v>1.83248697984016</v>
      </c>
      <c r="H374">
        <f t="shared" si="57"/>
        <v>-0.77041494151179302</v>
      </c>
      <c r="I374">
        <f t="shared" si="58"/>
        <v>1.8324865172234801</v>
      </c>
      <c r="J374">
        <f t="shared" si="59"/>
        <v>-0.77367569469831099</v>
      </c>
      <c r="K374" s="7">
        <f t="shared" si="60"/>
        <v>4.6261667985270099E-7</v>
      </c>
      <c r="L374" s="7">
        <f t="shared" si="61"/>
        <v>3.2607531865179698E-3</v>
      </c>
      <c r="M374" s="7">
        <f t="shared" si="62"/>
        <v>0.46314900565800499</v>
      </c>
      <c r="N374" s="7">
        <f t="shared" si="63"/>
        <v>0.195541481660784</v>
      </c>
      <c r="O374">
        <v>5.5627741999999998</v>
      </c>
      <c r="P374">
        <v>-17.074487000000001</v>
      </c>
      <c r="Q374">
        <v>-1.6392507999999999</v>
      </c>
      <c r="R374">
        <v>-18.054794999999999</v>
      </c>
      <c r="S374">
        <f t="shared" si="64"/>
        <v>1.0095367526663832</v>
      </c>
      <c r="T374">
        <f t="shared" si="65"/>
        <v>-23.233162864006136</v>
      </c>
    </row>
    <row r="375" spans="1:49" x14ac:dyDescent="0.35">
      <c r="A375">
        <v>4</v>
      </c>
      <c r="B375">
        <v>16.600000000000001</v>
      </c>
      <c r="C375">
        <v>-0.2025071</v>
      </c>
      <c r="D375">
        <v>-4.6884598E-2</v>
      </c>
      <c r="E375">
        <v>0.79748103999999997</v>
      </c>
      <c r="F375">
        <v>-5.3528811000000003E-2</v>
      </c>
      <c r="G375">
        <f t="shared" si="56"/>
        <v>1.82600947476797</v>
      </c>
      <c r="H375">
        <f t="shared" si="57"/>
        <v>-0.57500010418452696</v>
      </c>
      <c r="I375">
        <f t="shared" si="58"/>
        <v>1.8260145811989299</v>
      </c>
      <c r="J375">
        <f t="shared" si="59"/>
        <v>-0.57832221342052703</v>
      </c>
      <c r="K375" s="7">
        <f t="shared" si="60"/>
        <v>-5.10643095985586E-6</v>
      </c>
      <c r="L375" s="7">
        <f t="shared" si="61"/>
        <v>3.3221092360000699E-3</v>
      </c>
      <c r="M375" s="7">
        <f t="shared" si="62"/>
        <v>0.49771631928786397</v>
      </c>
      <c r="N375" s="7">
        <f t="shared" si="63"/>
        <v>0.15763313523875799</v>
      </c>
      <c r="O375">
        <v>4.3268532000000004</v>
      </c>
      <c r="P375">
        <v>-17.819275999999999</v>
      </c>
      <c r="Q375">
        <v>-3.0903060999999998</v>
      </c>
      <c r="R375">
        <v>-18.288091000000001</v>
      </c>
      <c r="S375">
        <f t="shared" si="64"/>
        <v>1.0114674071604346</v>
      </c>
      <c r="T375">
        <f t="shared" si="65"/>
        <v>-23.239526794056196</v>
      </c>
    </row>
    <row r="376" spans="1:49" x14ac:dyDescent="0.35">
      <c r="A376">
        <v>4</v>
      </c>
      <c r="B376">
        <v>16.7</v>
      </c>
      <c r="C376">
        <v>-0.20961015</v>
      </c>
      <c r="D376">
        <v>-3.1903191999999997E-2</v>
      </c>
      <c r="E376">
        <v>0.79038960000000003</v>
      </c>
      <c r="F376">
        <v>-3.8674529999999999E-2</v>
      </c>
      <c r="G376">
        <f t="shared" si="56"/>
        <v>1.8196275584169701</v>
      </c>
      <c r="H376">
        <f t="shared" si="57"/>
        <v>-0.38882818602423203</v>
      </c>
      <c r="I376">
        <f t="shared" si="58"/>
        <v>1.8196388960444401</v>
      </c>
      <c r="J376">
        <f t="shared" si="59"/>
        <v>-0.39221381706198299</v>
      </c>
      <c r="K376" s="7">
        <f t="shared" si="60"/>
        <v>-1.1337627469964999E-5</v>
      </c>
      <c r="L376" s="7">
        <f t="shared" si="61"/>
        <v>3.3856310377509699E-3</v>
      </c>
      <c r="M376" s="7">
        <f t="shared" si="62"/>
        <v>0.52516083100353805</v>
      </c>
      <c r="N376" s="7">
        <f t="shared" si="63"/>
        <v>0.113195719517259</v>
      </c>
      <c r="O376">
        <v>2.9988883</v>
      </c>
      <c r="P376">
        <v>-18.36542</v>
      </c>
      <c r="Q376">
        <v>-4.5525891999999999</v>
      </c>
      <c r="R376">
        <v>-18.29824</v>
      </c>
      <c r="S376">
        <f t="shared" si="64"/>
        <v>1.0132961784642229</v>
      </c>
      <c r="T376">
        <f t="shared" si="65"/>
        <v>-23.245453071089774</v>
      </c>
    </row>
    <row r="377" spans="1:49" x14ac:dyDescent="0.35">
      <c r="A377">
        <v>4</v>
      </c>
      <c r="B377">
        <v>16.8</v>
      </c>
      <c r="C377">
        <v>-0.21430657</v>
      </c>
      <c r="D377">
        <v>-1.6361126E-2</v>
      </c>
      <c r="E377">
        <v>0.78567328000000003</v>
      </c>
      <c r="F377">
        <v>-2.3203264000000001E-2</v>
      </c>
      <c r="G377">
        <f t="shared" si="56"/>
        <v>1.8132866678783</v>
      </c>
      <c r="H377">
        <f t="shared" si="57"/>
        <v>-0.21181418248782199</v>
      </c>
      <c r="I377">
        <f t="shared" si="58"/>
        <v>1.8132882967066599</v>
      </c>
      <c r="J377">
        <f t="shared" si="59"/>
        <v>-0.21523528038304901</v>
      </c>
      <c r="K377" s="7">
        <f t="shared" si="60"/>
        <v>-1.6288283599674701E-6</v>
      </c>
      <c r="L377" s="7">
        <f t="shared" si="61"/>
        <v>3.4210978952270198E-3</v>
      </c>
      <c r="M377" s="7">
        <f t="shared" si="62"/>
        <v>0.54382214494367898</v>
      </c>
      <c r="N377" s="7">
        <f t="shared" si="63"/>
        <v>6.4551076658936599E-2</v>
      </c>
      <c r="O377">
        <v>1.6335932</v>
      </c>
      <c r="P377">
        <v>-18.697512</v>
      </c>
      <c r="Q377">
        <v>-5.9684828999999997</v>
      </c>
      <c r="R377">
        <v>-18.092952</v>
      </c>
      <c r="S377">
        <f t="shared" si="64"/>
        <v>1.0150907403707878</v>
      </c>
      <c r="T377">
        <f t="shared" si="65"/>
        <v>-23.249859056692106</v>
      </c>
    </row>
    <row r="378" spans="1:49" x14ac:dyDescent="0.35">
      <c r="A378">
        <v>4</v>
      </c>
      <c r="B378">
        <v>16.899999999999999</v>
      </c>
      <c r="C378">
        <v>-0.21664269999999999</v>
      </c>
      <c r="D378">
        <v>-8.9534955999999997E-4</v>
      </c>
      <c r="E378">
        <v>0.78337433999999995</v>
      </c>
      <c r="F378">
        <v>-7.8876658000000006E-3</v>
      </c>
      <c r="G378">
        <f t="shared" si="56"/>
        <v>1.8070799355259599</v>
      </c>
      <c r="H378">
        <f t="shared" si="57"/>
        <v>-4.5020237381633403E-2</v>
      </c>
      <c r="I378">
        <f t="shared" si="58"/>
        <v>1.80710067811315</v>
      </c>
      <c r="J378">
        <f t="shared" si="59"/>
        <v>-4.8516293195873202E-2</v>
      </c>
      <c r="K378" s="7">
        <f t="shared" si="60"/>
        <v>-2.0742587190092399E-5</v>
      </c>
      <c r="L378" s="7">
        <f t="shared" si="61"/>
        <v>3.4960558142397998E-3</v>
      </c>
      <c r="M378" s="7">
        <f t="shared" si="62"/>
        <v>0.55297401983623096</v>
      </c>
      <c r="N378" s="7">
        <f t="shared" si="63"/>
        <v>1.48460182661695E-2</v>
      </c>
      <c r="O378">
        <v>0.28490314999999999</v>
      </c>
      <c r="P378">
        <v>-18.824584999999999</v>
      </c>
      <c r="Q378">
        <v>-7.2915416000000004</v>
      </c>
      <c r="R378">
        <v>-17.700115</v>
      </c>
      <c r="S378">
        <f t="shared" si="64"/>
        <v>1.0168070053474041</v>
      </c>
      <c r="T378">
        <f t="shared" si="65"/>
        <v>-23.256238739300446</v>
      </c>
      <c r="AW378">
        <v>0</v>
      </c>
    </row>
    <row r="379" spans="1:49" x14ac:dyDescent="0.35">
      <c r="A379">
        <v>4</v>
      </c>
      <c r="B379">
        <v>17</v>
      </c>
      <c r="C379">
        <v>-0.21784634999999999</v>
      </c>
      <c r="D379">
        <v>8.3950870000000007E-3</v>
      </c>
      <c r="E379">
        <v>0.78212342999999995</v>
      </c>
      <c r="F379">
        <v>1.2590183000000001E-3</v>
      </c>
      <c r="G379">
        <f t="shared" si="56"/>
        <v>1.7939115702333901</v>
      </c>
      <c r="H379">
        <f t="shared" si="57"/>
        <v>5.26091286005003E-2</v>
      </c>
      <c r="I379">
        <f t="shared" si="58"/>
        <v>1.79390919128922</v>
      </c>
      <c r="J379">
        <f t="shared" si="59"/>
        <v>4.9041031848403902E-2</v>
      </c>
      <c r="K379" s="7">
        <f t="shared" si="60"/>
        <v>2.37894417010054E-6</v>
      </c>
      <c r="L379" s="7">
        <f t="shared" si="61"/>
        <v>3.5680967520964001E-3</v>
      </c>
      <c r="M379" s="7">
        <f t="shared" si="62"/>
        <v>0.55702552996955901</v>
      </c>
      <c r="N379" s="7">
        <f t="shared" si="63"/>
        <v>-1.52276976383511E-2</v>
      </c>
      <c r="O379">
        <v>-0.52437884999999995</v>
      </c>
      <c r="P379">
        <v>-19.693187000000002</v>
      </c>
      <c r="Q379">
        <v>-8.0414911</v>
      </c>
      <c r="R379">
        <v>-17.465848000000001</v>
      </c>
      <c r="S379">
        <f t="shared" si="64"/>
        <v>0.97603950822473429</v>
      </c>
      <c r="T379">
        <f t="shared" si="65"/>
        <v>-23.196645544813958</v>
      </c>
      <c r="AT379">
        <v>17</v>
      </c>
      <c r="AU379">
        <v>0.55702552996955901</v>
      </c>
    </row>
    <row r="380" spans="1:49" x14ac:dyDescent="0.35">
      <c r="A380">
        <v>4.2</v>
      </c>
      <c r="B380">
        <v>15</v>
      </c>
      <c r="C380">
        <v>-4.4612964999999997E-2</v>
      </c>
      <c r="D380">
        <v>-8.5772549000000003E-2</v>
      </c>
      <c r="E380">
        <v>0.95536074999999998</v>
      </c>
      <c r="F380">
        <v>-9.1199850999999998E-2</v>
      </c>
      <c r="G380">
        <f t="shared" si="56"/>
        <v>1.7719078740488801</v>
      </c>
      <c r="H380">
        <f t="shared" si="57"/>
        <v>-4.5034554689330699</v>
      </c>
      <c r="I380">
        <f t="shared" si="58"/>
        <v>1.7719020955140199</v>
      </c>
      <c r="J380">
        <f t="shared" si="59"/>
        <v>-4.5061691712788301</v>
      </c>
      <c r="K380" s="7">
        <f t="shared" si="60"/>
        <v>5.77853486016799E-6</v>
      </c>
      <c r="L380" s="7">
        <f t="shared" si="61"/>
        <v>2.7137023457601802E-3</v>
      </c>
      <c r="M380" s="7">
        <f t="shared" si="62"/>
        <v>7.5576334352277605E-2</v>
      </c>
      <c r="N380" s="7">
        <f t="shared" si="63"/>
        <v>0.192200093221121</v>
      </c>
      <c r="O380">
        <v>8.1676468</v>
      </c>
      <c r="P380">
        <v>-4.1628898000000003</v>
      </c>
      <c r="Q380">
        <v>5.6020645</v>
      </c>
      <c r="R380">
        <v>-6.6976528000000002</v>
      </c>
      <c r="S380">
        <f t="shared" si="64"/>
        <v>0.95247356875444567</v>
      </c>
      <c r="T380">
        <f t="shared" si="65"/>
        <v>-23.083096312091833</v>
      </c>
    </row>
    <row r="381" spans="1:49" x14ac:dyDescent="0.35">
      <c r="A381">
        <v>4.2</v>
      </c>
      <c r="B381">
        <v>15.1</v>
      </c>
      <c r="C381">
        <v>-4.9871784000000002E-2</v>
      </c>
      <c r="D381">
        <v>-8.9608882000000001E-2</v>
      </c>
      <c r="E381">
        <v>0.95005958000000001</v>
      </c>
      <c r="F381">
        <v>-9.5108265999999997E-2</v>
      </c>
      <c r="G381">
        <f t="shared" si="56"/>
        <v>1.76420657198741</v>
      </c>
      <c r="H381">
        <f t="shared" si="57"/>
        <v>-4.1888472312568696</v>
      </c>
      <c r="I381">
        <f t="shared" si="58"/>
        <v>1.76417981433703</v>
      </c>
      <c r="J381">
        <f t="shared" si="59"/>
        <v>-4.1915970912018503</v>
      </c>
      <c r="K381" s="7">
        <f t="shared" si="60"/>
        <v>2.6757650380071499E-5</v>
      </c>
      <c r="L381" s="7">
        <f t="shared" si="61"/>
        <v>2.74985994498067E-3</v>
      </c>
      <c r="M381" s="7">
        <f t="shared" si="62"/>
        <v>8.5301008567837205E-2</v>
      </c>
      <c r="N381" s="7">
        <f t="shared" si="63"/>
        <v>0.20267064416214001</v>
      </c>
      <c r="O381">
        <v>8.4717114000000002</v>
      </c>
      <c r="P381">
        <v>-4.6254990999999999</v>
      </c>
      <c r="Q381">
        <v>5.7144117999999997</v>
      </c>
      <c r="R381">
        <v>-7.2408539000000003</v>
      </c>
      <c r="S381">
        <f t="shared" si="64"/>
        <v>0.95564904760507408</v>
      </c>
      <c r="T381">
        <f t="shared" si="65"/>
        <v>-23.085587969942758</v>
      </c>
    </row>
    <row r="382" spans="1:49" x14ac:dyDescent="0.35">
      <c r="A382">
        <v>4.2</v>
      </c>
      <c r="B382">
        <v>15.2</v>
      </c>
      <c r="C382">
        <v>-5.5804776E-2</v>
      </c>
      <c r="D382">
        <v>-9.3378447000000003E-2</v>
      </c>
      <c r="E382">
        <v>0.94411634</v>
      </c>
      <c r="F382">
        <v>-9.8969964999999993E-2</v>
      </c>
      <c r="G382">
        <f t="shared" si="56"/>
        <v>1.7576149215354699</v>
      </c>
      <c r="H382">
        <f t="shared" si="57"/>
        <v>-3.8866106545486199</v>
      </c>
      <c r="I382">
        <f t="shared" si="58"/>
        <v>1.7575832951119701</v>
      </c>
      <c r="J382">
        <f t="shared" si="59"/>
        <v>-3.88940661224665</v>
      </c>
      <c r="K382" s="7">
        <f t="shared" si="60"/>
        <v>3.1626423499853098E-5</v>
      </c>
      <c r="L382" s="7">
        <f t="shared" si="61"/>
        <v>2.7959576980300898E-3</v>
      </c>
      <c r="M382" s="7">
        <f t="shared" si="62"/>
        <v>9.6482601103943702E-2</v>
      </c>
      <c r="N382" s="7">
        <f t="shared" si="63"/>
        <v>0.213509122295413</v>
      </c>
      <c r="O382">
        <v>8.7735743999999993</v>
      </c>
      <c r="P382">
        <v>-5.1468800999999997</v>
      </c>
      <c r="Q382">
        <v>5.7998976000000004</v>
      </c>
      <c r="R382">
        <v>-7.8357257999999996</v>
      </c>
      <c r="S382">
        <f t="shared" si="64"/>
        <v>0.95840375205148809</v>
      </c>
      <c r="T382">
        <f t="shared" si="65"/>
        <v>-23.094308748866851</v>
      </c>
    </row>
    <row r="383" spans="1:49" x14ac:dyDescent="0.35">
      <c r="A383">
        <v>4.2</v>
      </c>
      <c r="B383">
        <v>15.3</v>
      </c>
      <c r="C383">
        <v>-6.2476941000000001E-2</v>
      </c>
      <c r="D383">
        <v>-9.7037371999999997E-2</v>
      </c>
      <c r="E383">
        <v>0.93743834000000004</v>
      </c>
      <c r="F383">
        <v>-0.10272716</v>
      </c>
      <c r="G383">
        <f t="shared" si="56"/>
        <v>1.75132124499856</v>
      </c>
      <c r="H383">
        <f t="shared" si="57"/>
        <v>-3.5953124413151798</v>
      </c>
      <c r="I383">
        <f t="shared" si="58"/>
        <v>1.7512869780891001</v>
      </c>
      <c r="J383">
        <f t="shared" si="59"/>
        <v>-3.59815755331842</v>
      </c>
      <c r="K383" s="7">
        <f t="shared" si="60"/>
        <v>3.42669094599568E-5</v>
      </c>
      <c r="L383" s="7">
        <f t="shared" si="61"/>
        <v>2.8451120032402201E-3</v>
      </c>
      <c r="M383" s="7">
        <f t="shared" si="62"/>
        <v>0.109361495575585</v>
      </c>
      <c r="N383" s="7">
        <f t="shared" si="63"/>
        <v>0.22469183878524299</v>
      </c>
      <c r="O383">
        <v>9.0602327000000002</v>
      </c>
      <c r="P383">
        <v>-5.7286771999999999</v>
      </c>
      <c r="Q383">
        <v>5.8507170999999998</v>
      </c>
      <c r="R383">
        <v>-8.4840728999999993</v>
      </c>
      <c r="S383">
        <f t="shared" si="64"/>
        <v>0.96141959326428295</v>
      </c>
      <c r="T383">
        <f t="shared" si="65"/>
        <v>-23.104714040750547</v>
      </c>
    </row>
    <row r="384" spans="1:49" x14ac:dyDescent="0.35">
      <c r="A384">
        <v>4.2</v>
      </c>
      <c r="B384">
        <v>15.4</v>
      </c>
      <c r="C384">
        <v>-6.9970697999999998E-2</v>
      </c>
      <c r="D384">
        <v>-0.10049925</v>
      </c>
      <c r="E384">
        <v>0.92994010999999999</v>
      </c>
      <c r="F384">
        <v>-0.10629073</v>
      </c>
      <c r="G384">
        <f t="shared" si="56"/>
        <v>1.74515363665082</v>
      </c>
      <c r="H384">
        <f t="shared" si="57"/>
        <v>-3.31405284856424</v>
      </c>
      <c r="I384">
        <f t="shared" si="58"/>
        <v>1.74511742502369</v>
      </c>
      <c r="J384">
        <f t="shared" si="59"/>
        <v>-3.3169488225725501</v>
      </c>
      <c r="K384" s="7">
        <f t="shared" si="60"/>
        <v>3.6211627129967297E-5</v>
      </c>
      <c r="L384" s="7">
        <f t="shared" si="61"/>
        <v>2.8959740083100999E-3</v>
      </c>
      <c r="M384" s="7">
        <f t="shared" si="62"/>
        <v>0.124229005175093</v>
      </c>
      <c r="N384" s="7">
        <f t="shared" si="63"/>
        <v>0.23612236433848599</v>
      </c>
      <c r="O384">
        <v>9.3284309000000007</v>
      </c>
      <c r="P384">
        <v>-6.3803318000000004</v>
      </c>
      <c r="Q384">
        <v>5.8571948000000003</v>
      </c>
      <c r="R384">
        <v>-9.1888921000000003</v>
      </c>
      <c r="S384">
        <f t="shared" si="64"/>
        <v>0.96418316573912044</v>
      </c>
      <c r="T384">
        <f t="shared" si="65"/>
        <v>-23.114888895987431</v>
      </c>
    </row>
    <row r="385" spans="1:47" x14ac:dyDescent="0.35">
      <c r="A385">
        <v>4.2</v>
      </c>
      <c r="B385">
        <v>15.5</v>
      </c>
      <c r="C385">
        <v>-7.8368828000000001E-2</v>
      </c>
      <c r="D385">
        <v>-0.10364511999999999</v>
      </c>
      <c r="E385">
        <v>0.92153706000000002</v>
      </c>
      <c r="F385">
        <v>-0.10954048</v>
      </c>
      <c r="G385">
        <f t="shared" si="56"/>
        <v>1.7390559103135099</v>
      </c>
      <c r="H385">
        <f t="shared" si="57"/>
        <v>-3.0421083005052898</v>
      </c>
      <c r="I385">
        <f t="shared" si="58"/>
        <v>1.7390175420677101</v>
      </c>
      <c r="J385">
        <f t="shared" si="59"/>
        <v>-3.0450562323204902</v>
      </c>
      <c r="K385" s="7">
        <f t="shared" si="60"/>
        <v>3.8368245799835803E-5</v>
      </c>
      <c r="L385" s="7">
        <f t="shared" si="61"/>
        <v>2.9479318152003699E-3</v>
      </c>
      <c r="M385" s="7">
        <f t="shared" si="62"/>
        <v>0.141423213590539</v>
      </c>
      <c r="N385" s="7">
        <f t="shared" si="63"/>
        <v>0.24763501662359499</v>
      </c>
      <c r="O385">
        <v>9.5679695999999996</v>
      </c>
      <c r="P385">
        <v>-7.1089446000000001</v>
      </c>
      <c r="Q385">
        <v>5.8068616000000004</v>
      </c>
      <c r="R385">
        <v>-9.9519038000000002</v>
      </c>
      <c r="S385">
        <f t="shared" si="64"/>
        <v>0.96663475493849627</v>
      </c>
      <c r="T385">
        <f t="shared" si="65"/>
        <v>-23.124627748717234</v>
      </c>
    </row>
    <row r="386" spans="1:47" x14ac:dyDescent="0.35">
      <c r="A386">
        <v>4.2</v>
      </c>
      <c r="B386">
        <v>15.6</v>
      </c>
      <c r="C386">
        <v>-8.7723379000000004E-2</v>
      </c>
      <c r="D386">
        <v>-0.10631303</v>
      </c>
      <c r="E386">
        <v>0.91217782000000003</v>
      </c>
      <c r="F386">
        <v>-0.11231466</v>
      </c>
      <c r="G386">
        <f t="shared" si="56"/>
        <v>1.7330177116177301</v>
      </c>
      <c r="H386">
        <f t="shared" si="57"/>
        <v>-2.7795159122467701</v>
      </c>
      <c r="I386">
        <f t="shared" si="58"/>
        <v>1.73297731482143</v>
      </c>
      <c r="J386">
        <f t="shared" si="59"/>
        <v>-2.78251699672516</v>
      </c>
      <c r="K386" s="7">
        <f t="shared" si="60"/>
        <v>4.0396796300079502E-5</v>
      </c>
      <c r="L386" s="7">
        <f t="shared" si="61"/>
        <v>3.00108447838987E-3</v>
      </c>
      <c r="M386" s="7">
        <f t="shared" si="62"/>
        <v>0.161273033318731</v>
      </c>
      <c r="N386" s="7">
        <f t="shared" si="63"/>
        <v>0.258944506938934</v>
      </c>
      <c r="O386">
        <v>9.7605365000000006</v>
      </c>
      <c r="P386">
        <v>-7.9150859999999996</v>
      </c>
      <c r="Q386">
        <v>5.6855197000000004</v>
      </c>
      <c r="R386">
        <v>-10.771642999999999</v>
      </c>
      <c r="S386">
        <f t="shared" si="64"/>
        <v>0.96924778679195978</v>
      </c>
      <c r="T386">
        <f t="shared" si="65"/>
        <v>-23.134340831830585</v>
      </c>
    </row>
    <row r="387" spans="1:47" x14ac:dyDescent="0.35">
      <c r="A387">
        <v>4.2</v>
      </c>
      <c r="B387">
        <v>15.7</v>
      </c>
      <c r="C387">
        <v>-9.8087711999999994E-2</v>
      </c>
      <c r="D387">
        <v>-0.10831038</v>
      </c>
      <c r="E387">
        <v>0.90181020000000001</v>
      </c>
      <c r="F387">
        <v>-0.1144207</v>
      </c>
      <c r="G387">
        <f t="shared" ref="G387:G450" si="66">IMREAL(IMDIV(IMSUM(IMPRODUCT(COMPLEX(1 + C387,D387),COMPLEX(1 - C387, - D387)),IMPRODUCT(COMPLEX(E387,F387),COMPLEX(E387,F387))),IMSUB(IMPRODUCT(COMPLEX(1 - C387, - D387),COMPLEX(1 - C387, - D387)),IMPRODUCT(COMPLEX(E387,F387),COMPLEX(E387,F387)))))</f>
        <v>1.72705606954461</v>
      </c>
      <c r="H387">
        <f t="shared" ref="H387:H450" si="67">IMAGINARY(IMDIV(IMSUM(IMPRODUCT(COMPLEX(1 + C387,D387),COMPLEX(1 - C387, - D387)),IMPRODUCT(COMPLEX(E387,F387),COMPLEX(E387,F387))),IMSUB(IMPRODUCT(COMPLEX(1 - C387, - D387),COMPLEX(1 - C387, - D387)),IMPRODUCT(COMPLEX(E387,F387),COMPLEX(E387,F387)))))</f>
        <v>-2.5256591849359999</v>
      </c>
      <c r="I387">
        <f t="shared" ref="I387:I450" si="68">IMREAL(IMDIV(IMPRODUCT(COMPLEX(2,0),COMPLEX(E387,F387)),IMSUB(IMPRODUCT(COMPLEX(1 - C387, - D387),COMPLEX(1 - C387, - D387)),IMPRODUCT(COMPLEX(E387,F387),COMPLEX(E387,F387)))))</f>
        <v>1.7270143582839499</v>
      </c>
      <c r="J387">
        <f t="shared" ref="J387:J450" si="69">IMAGINARY(IMDIV(IMPRODUCT(COMPLEX(2,0),COMPLEX(E387,F387)),IMSUB(IMPRODUCT(COMPLEX(1 - C387, - D387),COMPLEX(1 - C387, - D387)),IMPRODUCT(COMPLEX(E387,F387),COMPLEX(E387,F387)))))</f>
        <v>-2.5287146283326201</v>
      </c>
      <c r="K387" s="7">
        <f t="shared" ref="K387:K450" si="70">IMREAL(IMSUB(COMPLEX(G387,H387),COMPLEX(I387,J387)))</f>
        <v>4.1711260660104403E-5</v>
      </c>
      <c r="L387" s="7">
        <f t="shared" ref="L387:L450" si="71">IMAGINARY(IMSUB(COMPLEX(G387,H387),COMPLEX(I387,J387)))</f>
        <v>3.0554433966201201E-3</v>
      </c>
      <c r="M387" s="7">
        <f t="shared" ref="M387:M450" si="72">IMREAL(IMDIV(IMSUB(IMPRODUCT(COMPLEX(1 - C387, - D387),COMPLEX(1 - C387, - D387)),IMPRODUCT(COMPLEX(E387,F387),COMPLEX(E387,F387))),IMPRODUCT(COMPLEX(2,0),COMPLEX(E387,F387))))</f>
        <v>0.18417604027449599</v>
      </c>
      <c r="N387" s="7">
        <f t="shared" ref="N387:N450" si="73">IMAGINARY(IMDIV(IMSUB(IMPRODUCT(COMPLEX(1 - C387, - D387),COMPLEX(1 - C387, - D387)),IMPRODUCT(COMPLEX(E387,F387),COMPLEX(E387,F387))),IMPRODUCT(COMPLEX(2,0),COMPLEX(E387,F387))))</f>
        <v>0.26967271290857697</v>
      </c>
      <c r="O387">
        <v>9.8907141000000003</v>
      </c>
      <c r="P387">
        <v>-8.8029595</v>
      </c>
      <c r="Q387">
        <v>5.4760410000000004</v>
      </c>
      <c r="R387">
        <v>-11.644284000000001</v>
      </c>
      <c r="S387">
        <f t="shared" ref="S387:S450" si="74">IMABS(COMPLEX(Q387,R387))/IMABS(COMPLEX(O387,P387))</f>
        <v>0.97181932995678921</v>
      </c>
      <c r="T387">
        <f t="shared" ref="T387:T450" si="75">IMARGUMENT(IMDIV(COMPLEX(Q387,R387),COMPLEX(O387/B387,P387/B387)))/PI()*180</f>
        <v>-23.143662694650097</v>
      </c>
    </row>
    <row r="388" spans="1:47" x14ac:dyDescent="0.35">
      <c r="A388">
        <v>4.2</v>
      </c>
      <c r="B388">
        <v>15.8</v>
      </c>
      <c r="C388">
        <v>-0.10944669999999999</v>
      </c>
      <c r="D388">
        <v>-0.10940661</v>
      </c>
      <c r="E388">
        <v>0.89044606000000004</v>
      </c>
      <c r="F388">
        <v>-0.11562499</v>
      </c>
      <c r="G388">
        <f t="shared" si="66"/>
        <v>1.7211125098853</v>
      </c>
      <c r="H388">
        <f t="shared" si="67"/>
        <v>-2.2807013979452702</v>
      </c>
      <c r="I388">
        <f t="shared" si="68"/>
        <v>1.72106855553423</v>
      </c>
      <c r="J388">
        <f t="shared" si="69"/>
        <v>-2.2838108913387201</v>
      </c>
      <c r="K388" s="7">
        <f t="shared" si="70"/>
        <v>4.39543510699636E-5</v>
      </c>
      <c r="L388" s="7">
        <f t="shared" si="71"/>
        <v>3.1094933934498999E-3</v>
      </c>
      <c r="M388" s="7">
        <f t="shared" si="72"/>
        <v>0.21045440099489701</v>
      </c>
      <c r="N388" s="7">
        <f t="shared" si="73"/>
        <v>0.27926723289248701</v>
      </c>
      <c r="O388">
        <v>9.9397997999999994</v>
      </c>
      <c r="P388">
        <v>-9.7710515000000004</v>
      </c>
      <c r="Q388">
        <v>5.1617521999999996</v>
      </c>
      <c r="R388">
        <v>-12.561845</v>
      </c>
      <c r="S388">
        <f t="shared" si="74"/>
        <v>0.97437366667782632</v>
      </c>
      <c r="T388">
        <f t="shared" si="75"/>
        <v>-23.152395819968064</v>
      </c>
    </row>
    <row r="389" spans="1:47" x14ac:dyDescent="0.35">
      <c r="A389">
        <v>4.2</v>
      </c>
      <c r="B389">
        <v>15.9</v>
      </c>
      <c r="C389">
        <v>-0.1217718</v>
      </c>
      <c r="D389">
        <v>-0.10933576</v>
      </c>
      <c r="E389">
        <v>0.87811746000000002</v>
      </c>
      <c r="F389">
        <v>-0.11566630999999999</v>
      </c>
      <c r="G389">
        <f t="shared" si="66"/>
        <v>1.7151956673797</v>
      </c>
      <c r="H389">
        <f t="shared" si="67"/>
        <v>-2.0440138807716899</v>
      </c>
      <c r="I389">
        <f t="shared" si="68"/>
        <v>1.7151503148435501</v>
      </c>
      <c r="J389">
        <f t="shared" si="69"/>
        <v>-2.0471794746038698</v>
      </c>
      <c r="K389" s="7">
        <f t="shared" si="70"/>
        <v>4.5352536149900798E-5</v>
      </c>
      <c r="L389" s="7">
        <f t="shared" si="71"/>
        <v>3.1655938321799599E-3</v>
      </c>
      <c r="M389" s="7">
        <f t="shared" si="72"/>
        <v>0.24046350823295301</v>
      </c>
      <c r="N389" s="7">
        <f t="shared" si="73"/>
        <v>0.28701388687944002</v>
      </c>
      <c r="O389">
        <v>9.8854080999999994</v>
      </c>
      <c r="P389">
        <v>-10.815381</v>
      </c>
      <c r="Q389">
        <v>4.7228903999999998</v>
      </c>
      <c r="R389">
        <v>-13.511559</v>
      </c>
      <c r="S389">
        <f t="shared" si="74"/>
        <v>0.97684862368690728</v>
      </c>
      <c r="T389">
        <f t="shared" si="75"/>
        <v>-23.160954395187552</v>
      </c>
    </row>
    <row r="390" spans="1:47" x14ac:dyDescent="0.35">
      <c r="A390">
        <v>4.2</v>
      </c>
      <c r="B390">
        <v>16</v>
      </c>
      <c r="C390">
        <v>-0.13492112000000001</v>
      </c>
      <c r="D390">
        <v>-0.10781118000000001</v>
      </c>
      <c r="E390">
        <v>0.86496563000000004</v>
      </c>
      <c r="F390">
        <v>-0.11425649</v>
      </c>
      <c r="G390">
        <f t="shared" si="66"/>
        <v>1.7093320102538301</v>
      </c>
      <c r="H390">
        <f t="shared" si="67"/>
        <v>-1.8157846910253199</v>
      </c>
      <c r="I390">
        <f t="shared" si="68"/>
        <v>1.7092857692090599</v>
      </c>
      <c r="J390">
        <f t="shared" si="69"/>
        <v>-1.8190076775458801</v>
      </c>
      <c r="K390" s="7">
        <f t="shared" si="70"/>
        <v>4.6241044770134499E-5</v>
      </c>
      <c r="L390" s="7">
        <f t="shared" si="71"/>
        <v>3.2229865205601902E-3</v>
      </c>
      <c r="M390" s="7">
        <f t="shared" si="72"/>
        <v>0.27434401284798798</v>
      </c>
      <c r="N390" s="7">
        <f t="shared" si="73"/>
        <v>0.29195461323600302</v>
      </c>
      <c r="O390">
        <v>9.7046480000000006</v>
      </c>
      <c r="P390">
        <v>-11.923577999999999</v>
      </c>
      <c r="Q390">
        <v>4.1425672000000002</v>
      </c>
      <c r="R390">
        <v>-14.472581999999999</v>
      </c>
      <c r="S390">
        <f t="shared" si="74"/>
        <v>0.97918827225392779</v>
      </c>
      <c r="T390">
        <f t="shared" si="75"/>
        <v>-23.169278039338554</v>
      </c>
    </row>
    <row r="391" spans="1:47" x14ac:dyDescent="0.35">
      <c r="A391">
        <v>4.2</v>
      </c>
      <c r="B391">
        <v>16.100000000000001</v>
      </c>
      <c r="C391">
        <v>-0.14869341</v>
      </c>
      <c r="D391">
        <v>-0.10454555</v>
      </c>
      <c r="E391">
        <v>0.85128957999999999</v>
      </c>
      <c r="F391">
        <v>-0.11108344000000001</v>
      </c>
      <c r="G391">
        <f t="shared" si="66"/>
        <v>1.70388976611427</v>
      </c>
      <c r="H391">
        <f t="shared" si="67"/>
        <v>-1.5962694832672599</v>
      </c>
      <c r="I391">
        <f t="shared" si="68"/>
        <v>1.7038919472018099</v>
      </c>
      <c r="J391">
        <f t="shared" si="69"/>
        <v>-1.59953844893996</v>
      </c>
      <c r="K391" s="7">
        <f t="shared" si="70"/>
        <v>-2.1810875399097502E-6</v>
      </c>
      <c r="L391" s="7">
        <f t="shared" si="71"/>
        <v>3.2689656727000701E-3</v>
      </c>
      <c r="M391" s="7">
        <f t="shared" si="72"/>
        <v>0.31196693193122499</v>
      </c>
      <c r="N391" s="7">
        <f t="shared" si="73"/>
        <v>0.29286076692909502</v>
      </c>
      <c r="O391">
        <v>9.3768585000000009</v>
      </c>
      <c r="P391">
        <v>-13.081666</v>
      </c>
      <c r="Q391">
        <v>3.4048718999999998</v>
      </c>
      <c r="R391">
        <v>-15.419575</v>
      </c>
      <c r="S391">
        <f t="shared" si="74"/>
        <v>0.98110146440221013</v>
      </c>
      <c r="T391">
        <f t="shared" si="75"/>
        <v>-23.18077786287693</v>
      </c>
    </row>
    <row r="392" spans="1:47" x14ac:dyDescent="0.35">
      <c r="A392">
        <v>4.2</v>
      </c>
      <c r="B392">
        <v>16.2</v>
      </c>
      <c r="C392">
        <v>-0.16275329999999999</v>
      </c>
      <c r="D392">
        <v>-9.9293061000000002E-2</v>
      </c>
      <c r="E392">
        <v>0.83723312000000005</v>
      </c>
      <c r="F392">
        <v>-0.10595039000000001</v>
      </c>
      <c r="G392">
        <f t="shared" si="66"/>
        <v>1.6981476348282301</v>
      </c>
      <c r="H392">
        <f t="shared" si="67"/>
        <v>-1.3842892061113199</v>
      </c>
      <c r="I392">
        <f t="shared" si="68"/>
        <v>1.69815192489242</v>
      </c>
      <c r="J392">
        <f t="shared" si="69"/>
        <v>-1.38761787893283</v>
      </c>
      <c r="K392" s="7">
        <f t="shared" si="70"/>
        <v>-4.2900641898935302E-6</v>
      </c>
      <c r="L392" s="7">
        <f t="shared" si="71"/>
        <v>3.32867282151006E-3</v>
      </c>
      <c r="M392" s="7">
        <f t="shared" si="72"/>
        <v>0.35310462161001699</v>
      </c>
      <c r="N392" s="7">
        <f t="shared" si="73"/>
        <v>0.28853383428041202</v>
      </c>
      <c r="O392">
        <v>8.8746504999999996</v>
      </c>
      <c r="P392">
        <v>-14.248941</v>
      </c>
      <c r="Q392">
        <v>2.5047432000000001</v>
      </c>
      <c r="R392">
        <v>-16.316157</v>
      </c>
      <c r="S392">
        <f t="shared" si="74"/>
        <v>0.98335816055392911</v>
      </c>
      <c r="T392">
        <f t="shared" si="75"/>
        <v>-23.188320587467494</v>
      </c>
    </row>
    <row r="393" spans="1:47" x14ac:dyDescent="0.35">
      <c r="A393">
        <v>4.2</v>
      </c>
      <c r="B393">
        <v>16.3</v>
      </c>
      <c r="C393">
        <v>-0.17668523</v>
      </c>
      <c r="D393">
        <v>-9.1876711999999999E-2</v>
      </c>
      <c r="E393">
        <v>0.82330557000000004</v>
      </c>
      <c r="F393">
        <v>-9.8654093999999998E-2</v>
      </c>
      <c r="G393">
        <f t="shared" si="66"/>
        <v>1.6924613496798899</v>
      </c>
      <c r="H393">
        <f t="shared" si="67"/>
        <v>-1.18041128327141</v>
      </c>
      <c r="I393">
        <f t="shared" si="68"/>
        <v>1.69246823291202</v>
      </c>
      <c r="J393">
        <f t="shared" si="69"/>
        <v>-1.18379996653421</v>
      </c>
      <c r="K393" s="7">
        <f t="shared" si="70"/>
        <v>-6.8832321300504898E-6</v>
      </c>
      <c r="L393" s="7">
        <f t="shared" si="71"/>
        <v>3.3886832628000599E-3</v>
      </c>
      <c r="M393" s="7">
        <f t="shared" si="72"/>
        <v>0.39674994182834</v>
      </c>
      <c r="N393" s="7">
        <f t="shared" si="73"/>
        <v>0.27750746437983498</v>
      </c>
      <c r="O393">
        <v>8.1897126999999994</v>
      </c>
      <c r="P393">
        <v>-15.395374</v>
      </c>
      <c r="Q393">
        <v>1.4427361000000001</v>
      </c>
      <c r="R393">
        <v>-17.125387</v>
      </c>
      <c r="S393">
        <f t="shared" si="74"/>
        <v>0.98554350725588769</v>
      </c>
      <c r="T393">
        <f t="shared" si="75"/>
        <v>-23.195622470187271</v>
      </c>
    </row>
    <row r="394" spans="1:47" x14ac:dyDescent="0.35">
      <c r="A394">
        <v>4.2</v>
      </c>
      <c r="B394">
        <v>16.399999999999999</v>
      </c>
      <c r="C394">
        <v>-0.18999131</v>
      </c>
      <c r="D394">
        <v>-8.2244885000000004E-2</v>
      </c>
      <c r="E394">
        <v>0.81000903999999996</v>
      </c>
      <c r="F394">
        <v>-8.9187062999999997E-2</v>
      </c>
      <c r="G394">
        <f t="shared" si="66"/>
        <v>1.68662206604886</v>
      </c>
      <c r="H394">
        <f t="shared" si="67"/>
        <v>-0.98477873742063105</v>
      </c>
      <c r="I394">
        <f t="shared" si="68"/>
        <v>1.6866342893561801</v>
      </c>
      <c r="J394">
        <f t="shared" si="69"/>
        <v>-0.98824978338501102</v>
      </c>
      <c r="K394" s="7">
        <f t="shared" si="70"/>
        <v>-1.22233073200917E-5</v>
      </c>
      <c r="L394" s="7">
        <f t="shared" si="71"/>
        <v>3.4710459643799698E-3</v>
      </c>
      <c r="M394" s="7">
        <f t="shared" si="72"/>
        <v>0.441368678476174</v>
      </c>
      <c r="N394" s="7">
        <f t="shared" si="73"/>
        <v>0.258611190137434</v>
      </c>
      <c r="O394">
        <v>7.3207006999999997</v>
      </c>
      <c r="P394">
        <v>-16.480322999999999</v>
      </c>
      <c r="Q394">
        <v>0.23266841999999999</v>
      </c>
      <c r="R394">
        <v>-17.806187999999999</v>
      </c>
      <c r="S394">
        <f t="shared" si="74"/>
        <v>0.98749967593741739</v>
      </c>
      <c r="T394">
        <f t="shared" si="75"/>
        <v>-23.202577419540614</v>
      </c>
    </row>
    <row r="395" spans="1:47" x14ac:dyDescent="0.35">
      <c r="A395">
        <v>4.2</v>
      </c>
      <c r="B395">
        <v>16.5</v>
      </c>
      <c r="C395">
        <v>-0.20212720000000001</v>
      </c>
      <c r="D395">
        <v>-7.0501561000000004E-2</v>
      </c>
      <c r="E395">
        <v>0.79783395000000001</v>
      </c>
      <c r="F395">
        <v>-7.7549491999999998E-2</v>
      </c>
      <c r="G395">
        <f t="shared" si="66"/>
        <v>1.6809851560451401</v>
      </c>
      <c r="H395">
        <f t="shared" si="67"/>
        <v>-0.79690732830780397</v>
      </c>
      <c r="I395">
        <f t="shared" si="68"/>
        <v>1.6809781495701299</v>
      </c>
      <c r="J395">
        <f t="shared" si="69"/>
        <v>-0.80043138695322003</v>
      </c>
      <c r="K395" s="7">
        <f t="shared" si="70"/>
        <v>7.0064750101739301E-6</v>
      </c>
      <c r="L395" s="7">
        <f t="shared" si="71"/>
        <v>3.5240586454160501E-3</v>
      </c>
      <c r="M395" s="7">
        <f t="shared" si="72"/>
        <v>0.48493793131012602</v>
      </c>
      <c r="N395" s="7">
        <f t="shared" si="73"/>
        <v>0.230912900946423</v>
      </c>
      <c r="O395">
        <v>6.2770682000000004</v>
      </c>
      <c r="P395">
        <v>-17.453569000000002</v>
      </c>
      <c r="Q395">
        <v>-1.0974581999999999</v>
      </c>
      <c r="R395">
        <v>-18.320741000000002</v>
      </c>
      <c r="S395">
        <f t="shared" si="74"/>
        <v>0.98951759870682932</v>
      </c>
      <c r="T395">
        <f t="shared" si="75"/>
        <v>-23.208872064061172</v>
      </c>
    </row>
    <row r="396" spans="1:47" x14ac:dyDescent="0.35">
      <c r="A396">
        <v>4.2</v>
      </c>
      <c r="B396">
        <v>16.600000000000001</v>
      </c>
      <c r="C396">
        <v>-0.21258753999999999</v>
      </c>
      <c r="D396">
        <v>-5.6943632000000001E-2</v>
      </c>
      <c r="E396">
        <v>0.78739555000000006</v>
      </c>
      <c r="F396">
        <v>-6.4108991000000004E-2</v>
      </c>
      <c r="G396">
        <f t="shared" si="66"/>
        <v>1.67553870770604</v>
      </c>
      <c r="H396">
        <f t="shared" si="67"/>
        <v>-0.617587517902209</v>
      </c>
      <c r="I396">
        <f t="shared" si="68"/>
        <v>1.67554308838777</v>
      </c>
      <c r="J396">
        <f t="shared" si="69"/>
        <v>-0.621170211999306</v>
      </c>
      <c r="K396" s="7">
        <f t="shared" si="70"/>
        <v>-4.3806817300318102E-6</v>
      </c>
      <c r="L396" s="7">
        <f t="shared" si="71"/>
        <v>3.5826940970969902E-3</v>
      </c>
      <c r="M396" s="7">
        <f t="shared" si="72"/>
        <v>0.52470629882427999</v>
      </c>
      <c r="N396" s="7">
        <f t="shared" si="73"/>
        <v>0.194523152007786</v>
      </c>
      <c r="O396">
        <v>5.0876574999999997</v>
      </c>
      <c r="P396">
        <v>-18.276979999999998</v>
      </c>
      <c r="Q396">
        <v>-2.5070477000000002</v>
      </c>
      <c r="R396">
        <v>-18.641062999999999</v>
      </c>
      <c r="S396">
        <f t="shared" si="74"/>
        <v>0.99140907330538119</v>
      </c>
      <c r="T396">
        <f t="shared" si="75"/>
        <v>-23.215082277418311</v>
      </c>
    </row>
    <row r="397" spans="1:47" x14ac:dyDescent="0.35">
      <c r="A397">
        <v>4.2</v>
      </c>
      <c r="B397">
        <v>16.7</v>
      </c>
      <c r="C397">
        <v>-0.2209594</v>
      </c>
      <c r="D397">
        <v>-4.2034464000000001E-2</v>
      </c>
      <c r="E397">
        <v>0.77902587999999995</v>
      </c>
      <c r="F397">
        <v>-4.9329434999999998E-2</v>
      </c>
      <c r="G397">
        <f t="shared" si="66"/>
        <v>1.6700332760735099</v>
      </c>
      <c r="H397">
        <f t="shared" si="67"/>
        <v>-0.44680249285205698</v>
      </c>
      <c r="I397">
        <f t="shared" si="68"/>
        <v>1.6700392202865699</v>
      </c>
      <c r="J397">
        <f t="shared" si="69"/>
        <v>-0.450449983516158</v>
      </c>
      <c r="K397" s="7">
        <f t="shared" si="70"/>
        <v>-5.9442130599940404E-6</v>
      </c>
      <c r="L397" s="7">
        <f t="shared" si="71"/>
        <v>3.64749066410103E-3</v>
      </c>
      <c r="M397" s="7">
        <f t="shared" si="72"/>
        <v>0.55818009377670696</v>
      </c>
      <c r="N397" s="7">
        <f t="shared" si="73"/>
        <v>0.15055467619354501</v>
      </c>
      <c r="O397">
        <v>3.7931058000000002</v>
      </c>
      <c r="P397">
        <v>-18.915592</v>
      </c>
      <c r="Q397">
        <v>-3.9453168000000001</v>
      </c>
      <c r="R397">
        <v>-18.75151</v>
      </c>
      <c r="S397">
        <f t="shared" si="74"/>
        <v>0.99325669505503844</v>
      </c>
      <c r="T397">
        <f t="shared" si="75"/>
        <v>-23.220743062259373</v>
      </c>
    </row>
    <row r="398" spans="1:47" x14ac:dyDescent="0.35">
      <c r="A398">
        <v>4.2</v>
      </c>
      <c r="B398">
        <v>16.8</v>
      </c>
      <c r="C398">
        <v>-0.22700138</v>
      </c>
      <c r="D398">
        <v>-2.6348872999999998E-2</v>
      </c>
      <c r="E398">
        <v>0.77292870000000002</v>
      </c>
      <c r="F398">
        <v>-3.377782E-2</v>
      </c>
      <c r="G398">
        <f t="shared" si="66"/>
        <v>1.66435138847599</v>
      </c>
      <c r="H398">
        <f t="shared" si="67"/>
        <v>-0.28473698849130102</v>
      </c>
      <c r="I398">
        <f t="shared" si="68"/>
        <v>1.6643302258238999</v>
      </c>
      <c r="J398">
        <f t="shared" si="69"/>
        <v>-0.288451670464694</v>
      </c>
      <c r="K398" s="7">
        <f t="shared" si="70"/>
        <v>2.11626520900676E-5</v>
      </c>
      <c r="L398" s="7">
        <f t="shared" si="71"/>
        <v>3.71468197339297E-3</v>
      </c>
      <c r="M398" s="7">
        <f t="shared" si="72"/>
        <v>0.58332067042593805</v>
      </c>
      <c r="N398" s="7">
        <f t="shared" si="73"/>
        <v>0.10109761824319</v>
      </c>
      <c r="O398">
        <v>2.4438502</v>
      </c>
      <c r="P398">
        <v>-19.352644999999999</v>
      </c>
      <c r="Q398">
        <v>-5.3590342</v>
      </c>
      <c r="R398">
        <v>-18.653853999999999</v>
      </c>
      <c r="S398">
        <f t="shared" si="74"/>
        <v>0.99497847887548618</v>
      </c>
      <c r="T398">
        <f t="shared" si="75"/>
        <v>-23.225949725059639</v>
      </c>
    </row>
    <row r="399" spans="1:47" x14ac:dyDescent="0.35">
      <c r="A399">
        <v>4.2</v>
      </c>
      <c r="B399">
        <v>16.899999999999999</v>
      </c>
      <c r="C399">
        <v>-0.23067617000000001</v>
      </c>
      <c r="D399">
        <v>-1.0591934000000001E-2</v>
      </c>
      <c r="E399">
        <v>0.76931265000000004</v>
      </c>
      <c r="F399">
        <v>-1.8159121E-2</v>
      </c>
      <c r="G399">
        <f t="shared" si="66"/>
        <v>1.65909903386617</v>
      </c>
      <c r="H399">
        <f t="shared" si="67"/>
        <v>-0.13265829347987501</v>
      </c>
      <c r="I399">
        <f t="shared" si="68"/>
        <v>1.65910775944984</v>
      </c>
      <c r="J399">
        <f t="shared" si="69"/>
        <v>-0.13644187511603501</v>
      </c>
      <c r="K399" s="7">
        <f t="shared" si="70"/>
        <v>-8.7255836700439494E-6</v>
      </c>
      <c r="L399" s="7">
        <f t="shared" si="71"/>
        <v>3.78358163615999E-3</v>
      </c>
      <c r="M399" s="7">
        <f t="shared" si="72"/>
        <v>0.59868463700505103</v>
      </c>
      <c r="N399" s="7">
        <f t="shared" si="73"/>
        <v>4.9234688953066402E-2</v>
      </c>
      <c r="O399">
        <v>1.0996189000000001</v>
      </c>
      <c r="P399">
        <v>-19.587194</v>
      </c>
      <c r="Q399">
        <v>-6.6929480999999997</v>
      </c>
      <c r="R399">
        <v>-18.370781000000001</v>
      </c>
      <c r="S399">
        <f t="shared" si="74"/>
        <v>0.99663450139159049</v>
      </c>
      <c r="T399">
        <f t="shared" si="75"/>
        <v>-23.231177634046219</v>
      </c>
    </row>
    <row r="400" spans="1:47" x14ac:dyDescent="0.35">
      <c r="A400">
        <v>4.2</v>
      </c>
      <c r="B400">
        <v>17</v>
      </c>
      <c r="C400">
        <v>-0.23275159000000001</v>
      </c>
      <c r="D400">
        <v>-3.8584437000000003E-4</v>
      </c>
      <c r="E400">
        <v>0.76724292999999999</v>
      </c>
      <c r="F400">
        <v>-8.1172740000000007E-3</v>
      </c>
      <c r="G400">
        <f t="shared" si="66"/>
        <v>1.6474651262498501</v>
      </c>
      <c r="H400">
        <f t="shared" si="67"/>
        <v>-3.7293503200933199E-2</v>
      </c>
      <c r="I400">
        <f t="shared" si="68"/>
        <v>1.6474773298929</v>
      </c>
      <c r="J400">
        <f t="shared" si="69"/>
        <v>-4.1159181432087903E-2</v>
      </c>
      <c r="K400" s="7">
        <f t="shared" si="70"/>
        <v>-1.2203643049879501E-5</v>
      </c>
      <c r="L400" s="7">
        <f t="shared" si="71"/>
        <v>3.8656782311547E-3</v>
      </c>
      <c r="M400" s="7">
        <f t="shared" si="72"/>
        <v>0.60661000498457096</v>
      </c>
      <c r="N400" s="7">
        <f t="shared" si="73"/>
        <v>1.51550317571307E-2</v>
      </c>
      <c r="O400">
        <v>0.25124349000000001</v>
      </c>
      <c r="P400">
        <v>-20.225180999999999</v>
      </c>
      <c r="Q400">
        <v>-7.5178345000000002</v>
      </c>
      <c r="R400">
        <v>-18.183613000000001</v>
      </c>
      <c r="S400">
        <f t="shared" si="74"/>
        <v>0.97279252445314934</v>
      </c>
      <c r="T400">
        <f t="shared" si="75"/>
        <v>-23.17387211966037</v>
      </c>
      <c r="AT400">
        <v>17</v>
      </c>
      <c r="AU400">
        <v>0.60661000498457096</v>
      </c>
    </row>
    <row r="401" spans="1:20" x14ac:dyDescent="0.35">
      <c r="A401">
        <v>4.4000000000000004</v>
      </c>
      <c r="B401">
        <v>15</v>
      </c>
      <c r="C401">
        <v>-4.7492817999999999E-2</v>
      </c>
      <c r="D401">
        <v>-9.1676902000000005E-2</v>
      </c>
      <c r="E401">
        <v>0.95241646000000002</v>
      </c>
      <c r="F401">
        <v>-9.7362420000000005E-2</v>
      </c>
      <c r="G401">
        <f t="shared" si="66"/>
        <v>1.62342574231001</v>
      </c>
      <c r="H401">
        <f t="shared" si="67"/>
        <v>-4.2205264964549301</v>
      </c>
      <c r="I401">
        <f t="shared" si="68"/>
        <v>1.6233884615655301</v>
      </c>
      <c r="J401">
        <f t="shared" si="69"/>
        <v>-4.2233694903961503</v>
      </c>
      <c r="K401" s="7">
        <f t="shared" si="70"/>
        <v>3.7280744479950597E-5</v>
      </c>
      <c r="L401" s="7">
        <f t="shared" si="71"/>
        <v>2.84299394122023E-3</v>
      </c>
      <c r="M401" s="7">
        <f t="shared" si="72"/>
        <v>7.9297061072252997E-2</v>
      </c>
      <c r="N401" s="7">
        <f t="shared" si="73"/>
        <v>0.20629738127353001</v>
      </c>
      <c r="O401">
        <v>8.1173122000000006</v>
      </c>
      <c r="P401">
        <v>-4.1378297999999996</v>
      </c>
      <c r="Q401">
        <v>5.7316729999999998</v>
      </c>
      <c r="R401">
        <v>-6.8524937000000001</v>
      </c>
      <c r="S401">
        <f t="shared" si="74"/>
        <v>0.98051394655679103</v>
      </c>
      <c r="T401">
        <f t="shared" si="75"/>
        <v>-23.079292062363006</v>
      </c>
    </row>
    <row r="402" spans="1:20" x14ac:dyDescent="0.35">
      <c r="A402">
        <v>4.4000000000000004</v>
      </c>
      <c r="B402">
        <v>15.1</v>
      </c>
      <c r="C402">
        <v>-5.3072406000000003E-2</v>
      </c>
      <c r="D402">
        <v>-9.5677432000000007E-2</v>
      </c>
      <c r="E402">
        <v>0.94684933999999998</v>
      </c>
      <c r="F402">
        <v>-0.101451</v>
      </c>
      <c r="G402">
        <f t="shared" si="66"/>
        <v>1.61841984059929</v>
      </c>
      <c r="H402">
        <f t="shared" si="67"/>
        <v>-3.9298848147931902</v>
      </c>
      <c r="I402">
        <f t="shared" si="68"/>
        <v>1.6183890464989801</v>
      </c>
      <c r="J402">
        <f t="shared" si="69"/>
        <v>-3.93277180064818</v>
      </c>
      <c r="K402" s="7">
        <f t="shared" si="70"/>
        <v>3.0794100309927699E-5</v>
      </c>
      <c r="L402" s="7">
        <f t="shared" si="71"/>
        <v>2.8869858549898102E-3</v>
      </c>
      <c r="M402" s="7">
        <f t="shared" si="72"/>
        <v>8.94835806861939E-2</v>
      </c>
      <c r="N402" s="7">
        <f t="shared" si="73"/>
        <v>0.21744987925183201</v>
      </c>
      <c r="O402">
        <v>8.3997373999999994</v>
      </c>
      <c r="P402">
        <v>-4.5864709000000001</v>
      </c>
      <c r="Q402">
        <v>5.8435261000000001</v>
      </c>
      <c r="R402">
        <v>-7.4035821000000004</v>
      </c>
      <c r="S402">
        <f t="shared" si="74"/>
        <v>0.98552997976508572</v>
      </c>
      <c r="T402">
        <f t="shared" si="75"/>
        <v>-23.080879728912588</v>
      </c>
    </row>
    <row r="403" spans="1:20" x14ac:dyDescent="0.35">
      <c r="A403">
        <v>4.4000000000000004</v>
      </c>
      <c r="B403">
        <v>15.2</v>
      </c>
      <c r="C403">
        <v>-5.9279640000000001E-2</v>
      </c>
      <c r="D403">
        <v>-9.9619184E-2</v>
      </c>
      <c r="E403">
        <v>0.94063311000000005</v>
      </c>
      <c r="F403">
        <v>-0.10549358</v>
      </c>
      <c r="G403">
        <f t="shared" si="66"/>
        <v>1.6131116828419501</v>
      </c>
      <c r="H403">
        <f t="shared" si="67"/>
        <v>-3.6515887206397801</v>
      </c>
      <c r="I403">
        <f t="shared" si="68"/>
        <v>1.61307668412554</v>
      </c>
      <c r="J403">
        <f t="shared" si="69"/>
        <v>-3.6545261495832602</v>
      </c>
      <c r="K403" s="7">
        <f t="shared" si="70"/>
        <v>3.4998716410106198E-5</v>
      </c>
      <c r="L403" s="7">
        <f t="shared" si="71"/>
        <v>2.9374289434800399E-3</v>
      </c>
      <c r="M403" s="7">
        <f t="shared" si="72"/>
        <v>0.10108530929272901</v>
      </c>
      <c r="N403" s="7">
        <f t="shared" si="73"/>
        <v>0.22901509257711</v>
      </c>
      <c r="O403">
        <v>8.6940472999999994</v>
      </c>
      <c r="P403">
        <v>-5.0946411999999999</v>
      </c>
      <c r="Q403">
        <v>5.9291288</v>
      </c>
      <c r="R403">
        <v>-8.0010577999999999</v>
      </c>
      <c r="S403">
        <f t="shared" si="74"/>
        <v>0.98825937058006097</v>
      </c>
      <c r="T403">
        <f t="shared" si="75"/>
        <v>-23.090002812027929</v>
      </c>
    </row>
    <row r="404" spans="1:20" x14ac:dyDescent="0.35">
      <c r="A404">
        <v>4.4000000000000004</v>
      </c>
      <c r="B404">
        <v>15.3</v>
      </c>
      <c r="C404">
        <v>-6.6233909999999993E-2</v>
      </c>
      <c r="D404">
        <v>-0.10344465999999999</v>
      </c>
      <c r="E404">
        <v>0.93367144000000002</v>
      </c>
      <c r="F404">
        <v>-0.10942609</v>
      </c>
      <c r="G404">
        <f t="shared" si="66"/>
        <v>1.6079741909196601</v>
      </c>
      <c r="H404">
        <f t="shared" si="67"/>
        <v>-3.3834894337731698</v>
      </c>
      <c r="I404">
        <f t="shared" si="68"/>
        <v>1.60793580924608</v>
      </c>
      <c r="J404">
        <f t="shared" si="69"/>
        <v>-3.3864804051095199</v>
      </c>
      <c r="K404" s="7">
        <f t="shared" si="70"/>
        <v>3.83816735800568E-5</v>
      </c>
      <c r="L404" s="7">
        <f t="shared" si="71"/>
        <v>2.99097133635007E-3</v>
      </c>
      <c r="M404" s="7">
        <f t="shared" si="72"/>
        <v>0.114413641732239</v>
      </c>
      <c r="N404" s="7">
        <f t="shared" si="73"/>
        <v>0.24096705451514</v>
      </c>
      <c r="O404">
        <v>8.9749400000000001</v>
      </c>
      <c r="P404">
        <v>-5.6605480999999997</v>
      </c>
      <c r="Q404">
        <v>5.9809039000000004</v>
      </c>
      <c r="R404">
        <v>-8.6505272000000009</v>
      </c>
      <c r="S404">
        <f t="shared" si="74"/>
        <v>0.99112996309326429</v>
      </c>
      <c r="T404">
        <f t="shared" si="75"/>
        <v>-23.100460292141076</v>
      </c>
    </row>
    <row r="405" spans="1:20" x14ac:dyDescent="0.35">
      <c r="A405">
        <v>4.4000000000000004</v>
      </c>
      <c r="B405">
        <v>15.4</v>
      </c>
      <c r="C405">
        <v>-7.4021642999999998E-2</v>
      </c>
      <c r="D405">
        <v>-0.10706883</v>
      </c>
      <c r="E405">
        <v>0.92587706999999997</v>
      </c>
      <c r="F405">
        <v>-0.11316147</v>
      </c>
      <c r="G405">
        <f t="shared" si="66"/>
        <v>1.6029072564684499</v>
      </c>
      <c r="H405">
        <f t="shared" si="67"/>
        <v>-3.1246076927601898</v>
      </c>
      <c r="I405">
        <f t="shared" si="68"/>
        <v>1.6028658917930301</v>
      </c>
      <c r="J405">
        <f t="shared" si="69"/>
        <v>-3.1276542930607301</v>
      </c>
      <c r="K405" s="7">
        <f t="shared" si="70"/>
        <v>4.1364675419819397E-5</v>
      </c>
      <c r="L405" s="7">
        <f t="shared" si="71"/>
        <v>3.0466003005402702E-3</v>
      </c>
      <c r="M405" s="7">
        <f t="shared" si="72"/>
        <v>0.129771996225331</v>
      </c>
      <c r="N405" s="7">
        <f t="shared" si="73"/>
        <v>0.25322264525772697</v>
      </c>
      <c r="O405">
        <v>9.2434288999999996</v>
      </c>
      <c r="P405">
        <v>-6.2961562000000004</v>
      </c>
      <c r="Q405">
        <v>5.9890810999999999</v>
      </c>
      <c r="R405">
        <v>-9.3548427000000007</v>
      </c>
      <c r="S405">
        <f t="shared" si="74"/>
        <v>0.99317968557441305</v>
      </c>
      <c r="T405">
        <f t="shared" si="75"/>
        <v>-23.11143557700677</v>
      </c>
    </row>
    <row r="406" spans="1:20" x14ac:dyDescent="0.35">
      <c r="A406">
        <v>4.4000000000000004</v>
      </c>
      <c r="B406">
        <v>15.5</v>
      </c>
      <c r="C406">
        <v>-8.2718262000000001E-2</v>
      </c>
      <c r="D406">
        <v>-0.11037123</v>
      </c>
      <c r="E406">
        <v>0.91717422000000004</v>
      </c>
      <c r="F406">
        <v>-0.1165789</v>
      </c>
      <c r="G406">
        <f t="shared" si="66"/>
        <v>1.59787458804425</v>
      </c>
      <c r="H406">
        <f t="shared" si="67"/>
        <v>-2.87446749283954</v>
      </c>
      <c r="I406">
        <f t="shared" si="68"/>
        <v>1.59783046140681</v>
      </c>
      <c r="J406">
        <f t="shared" si="69"/>
        <v>-2.8775716316767399</v>
      </c>
      <c r="K406" s="7">
        <f t="shared" si="70"/>
        <v>4.4126637440022903E-5</v>
      </c>
      <c r="L406" s="7">
        <f t="shared" si="71"/>
        <v>3.1041388371999502E-3</v>
      </c>
      <c r="M406" s="7">
        <f t="shared" si="72"/>
        <v>0.1474900365613</v>
      </c>
      <c r="N406" s="7">
        <f t="shared" si="73"/>
        <v>0.26561838406190302</v>
      </c>
      <c r="O406">
        <v>9.4698224</v>
      </c>
      <c r="P406">
        <v>-6.9934700999999997</v>
      </c>
      <c r="Q406">
        <v>5.9425160000000004</v>
      </c>
      <c r="R406">
        <v>-10.115316</v>
      </c>
      <c r="S406">
        <f t="shared" si="74"/>
        <v>0.9965556073604559</v>
      </c>
      <c r="T406">
        <f t="shared" si="75"/>
        <v>-23.120849544893442</v>
      </c>
    </row>
    <row r="407" spans="1:20" x14ac:dyDescent="0.35">
      <c r="A407">
        <v>4.4000000000000004</v>
      </c>
      <c r="B407">
        <v>15.6</v>
      </c>
      <c r="C407">
        <v>-9.2381891999999993E-2</v>
      </c>
      <c r="D407">
        <v>-0.11319607</v>
      </c>
      <c r="E407">
        <v>0.90750483999999998</v>
      </c>
      <c r="F407">
        <v>-0.1195229</v>
      </c>
      <c r="G407">
        <f t="shared" si="66"/>
        <v>1.5928689571333401</v>
      </c>
      <c r="H407">
        <f t="shared" si="67"/>
        <v>-2.6328439658014799</v>
      </c>
      <c r="I407">
        <f t="shared" si="68"/>
        <v>1.5928223287204699</v>
      </c>
      <c r="J407">
        <f t="shared" si="69"/>
        <v>-2.63600770748184</v>
      </c>
      <c r="K407" s="7">
        <f t="shared" si="70"/>
        <v>4.6628412870175502E-5</v>
      </c>
      <c r="L407" s="7">
        <f t="shared" si="71"/>
        <v>3.1637416803600399E-3</v>
      </c>
      <c r="M407" s="7">
        <f t="shared" si="72"/>
        <v>0.167919692659697</v>
      </c>
      <c r="N407" s="7">
        <f t="shared" si="73"/>
        <v>0.27789515259025599</v>
      </c>
      <c r="O407">
        <v>9.6682953999999999</v>
      </c>
      <c r="P407">
        <v>-7.7755862999999996</v>
      </c>
      <c r="Q407">
        <v>5.8272395000000001</v>
      </c>
      <c r="R407">
        <v>-10.931114000000001</v>
      </c>
      <c r="S407">
        <f t="shared" si="74"/>
        <v>0.99840811801651119</v>
      </c>
      <c r="T407">
        <f t="shared" si="75"/>
        <v>-23.131007315656191</v>
      </c>
    </row>
    <row r="408" spans="1:20" x14ac:dyDescent="0.35">
      <c r="A408">
        <v>4.4000000000000004</v>
      </c>
      <c r="B408">
        <v>15.7</v>
      </c>
      <c r="C408">
        <v>-0.10305825</v>
      </c>
      <c r="D408">
        <v>-0.11535637</v>
      </c>
      <c r="E408">
        <v>0.89682198000000002</v>
      </c>
      <c r="F408">
        <v>-0.121806</v>
      </c>
      <c r="G408">
        <f t="shared" si="66"/>
        <v>1.5878719402600701</v>
      </c>
      <c r="H408">
        <f t="shared" si="67"/>
        <v>-2.39931713298372</v>
      </c>
      <c r="I408">
        <f t="shared" si="68"/>
        <v>1.5878224528657801</v>
      </c>
      <c r="J408">
        <f t="shared" si="69"/>
        <v>-2.4025423007105902</v>
      </c>
      <c r="K408" s="7">
        <f t="shared" si="70"/>
        <v>4.9487394290004301E-5</v>
      </c>
      <c r="L408" s="7">
        <f t="shared" si="71"/>
        <v>3.2251677268702E-3</v>
      </c>
      <c r="M408" s="7">
        <f t="shared" si="72"/>
        <v>0.19145639119313801</v>
      </c>
      <c r="N408" s="7">
        <f t="shared" si="73"/>
        <v>0.28969364789665802</v>
      </c>
      <c r="O408">
        <v>9.8029937</v>
      </c>
      <c r="P408">
        <v>-8.6299680999999993</v>
      </c>
      <c r="Q408">
        <v>5.6277803000000004</v>
      </c>
      <c r="R408">
        <v>-11.798655999999999</v>
      </c>
      <c r="S408">
        <f t="shared" si="74"/>
        <v>1.0008941028833915</v>
      </c>
      <c r="T408">
        <f t="shared" si="75"/>
        <v>-23.14080844945688</v>
      </c>
    </row>
    <row r="409" spans="1:20" x14ac:dyDescent="0.35">
      <c r="A409">
        <v>4.4000000000000004</v>
      </c>
      <c r="B409">
        <v>15.8</v>
      </c>
      <c r="C409">
        <v>-0.11475436999999999</v>
      </c>
      <c r="D409">
        <v>-0.11662179</v>
      </c>
      <c r="E409">
        <v>0.88515851000000001</v>
      </c>
      <c r="F409">
        <v>-0.12315283</v>
      </c>
      <c r="G409">
        <f t="shared" si="66"/>
        <v>1.58334761684918</v>
      </c>
      <c r="H409">
        <f t="shared" si="67"/>
        <v>-2.1740593912539898</v>
      </c>
      <c r="I409">
        <f t="shared" si="68"/>
        <v>1.5833147198524</v>
      </c>
      <c r="J409">
        <f t="shared" si="69"/>
        <v>-2.1773251609367099</v>
      </c>
      <c r="K409" s="7">
        <f t="shared" si="70"/>
        <v>3.2896996779996398E-5</v>
      </c>
      <c r="L409" s="7">
        <f t="shared" si="71"/>
        <v>3.2657696827200801E-3</v>
      </c>
      <c r="M409" s="7">
        <f t="shared" si="72"/>
        <v>0.218459640120126</v>
      </c>
      <c r="N409" s="7">
        <f t="shared" si="73"/>
        <v>0.300418902899528</v>
      </c>
      <c r="O409">
        <v>9.8537061999999995</v>
      </c>
      <c r="P409">
        <v>-9.5528656000000005</v>
      </c>
      <c r="Q409">
        <v>5.3265722999999996</v>
      </c>
      <c r="R409">
        <v>-12.710210999999999</v>
      </c>
      <c r="S409">
        <f t="shared" si="74"/>
        <v>1.0041566016637442</v>
      </c>
      <c r="T409">
        <f t="shared" si="75"/>
        <v>-23.150632689952182</v>
      </c>
    </row>
    <row r="410" spans="1:20" x14ac:dyDescent="0.35">
      <c r="A410">
        <v>4.4000000000000004</v>
      </c>
      <c r="B410">
        <v>15.9</v>
      </c>
      <c r="C410">
        <v>-0.12741599000000001</v>
      </c>
      <c r="D410">
        <v>-0.11674237</v>
      </c>
      <c r="E410">
        <v>0.87249211999999998</v>
      </c>
      <c r="F410">
        <v>-0.12339137</v>
      </c>
      <c r="G410">
        <f t="shared" si="66"/>
        <v>1.57847691701765</v>
      </c>
      <c r="H410">
        <f t="shared" si="67"/>
        <v>-1.9562093757055199</v>
      </c>
      <c r="I410">
        <f t="shared" si="68"/>
        <v>1.5784420236082199</v>
      </c>
      <c r="J410">
        <f t="shared" si="69"/>
        <v>-1.9595341444651699</v>
      </c>
      <c r="K410" s="7">
        <f t="shared" si="70"/>
        <v>3.4893409430081201E-5</v>
      </c>
      <c r="L410" s="7">
        <f t="shared" si="71"/>
        <v>3.32476875965004E-3</v>
      </c>
      <c r="M410" s="7">
        <f t="shared" si="72"/>
        <v>0.24930956834307999</v>
      </c>
      <c r="N410" s="7">
        <f t="shared" si="73"/>
        <v>0.30950177732431799</v>
      </c>
      <c r="O410">
        <v>9.8202253000000006</v>
      </c>
      <c r="P410">
        <v>-10.556673999999999</v>
      </c>
      <c r="Q410">
        <v>4.9078742999999996</v>
      </c>
      <c r="R410">
        <v>-13.654092</v>
      </c>
      <c r="S410">
        <f t="shared" si="74"/>
        <v>1.006332808024047</v>
      </c>
      <c r="T410">
        <f t="shared" si="75"/>
        <v>-23.159510659474332</v>
      </c>
    </row>
    <row r="411" spans="1:20" x14ac:dyDescent="0.35">
      <c r="A411">
        <v>4.4000000000000004</v>
      </c>
      <c r="B411">
        <v>16</v>
      </c>
      <c r="C411">
        <v>-0.14092826</v>
      </c>
      <c r="D411">
        <v>-0.11543839</v>
      </c>
      <c r="E411">
        <v>0.85897619999999997</v>
      </c>
      <c r="F411">
        <v>-0.12220664000000001</v>
      </c>
      <c r="G411">
        <f t="shared" si="66"/>
        <v>1.5736200919741301</v>
      </c>
      <c r="H411">
        <f t="shared" si="67"/>
        <v>-1.7460559532264099</v>
      </c>
      <c r="I411">
        <f t="shared" si="68"/>
        <v>1.5735837735042699</v>
      </c>
      <c r="J411">
        <f t="shared" si="69"/>
        <v>-1.7494403628059101</v>
      </c>
      <c r="K411" s="7">
        <f t="shared" si="70"/>
        <v>3.6318469860185902E-5</v>
      </c>
      <c r="L411" s="7">
        <f t="shared" si="71"/>
        <v>3.3844095795001498E-3</v>
      </c>
      <c r="M411" s="7">
        <f t="shared" si="72"/>
        <v>0.28420930318936599</v>
      </c>
      <c r="N411" s="7">
        <f t="shared" si="73"/>
        <v>0.31597124656234199</v>
      </c>
      <c r="O411">
        <v>9.6696036000000003</v>
      </c>
      <c r="P411">
        <v>-11.621086</v>
      </c>
      <c r="Q411">
        <v>4.3544868000000001</v>
      </c>
      <c r="R411">
        <v>-14.612242999999999</v>
      </c>
      <c r="S411">
        <f t="shared" si="74"/>
        <v>1.0085573742237735</v>
      </c>
      <c r="T411">
        <f t="shared" si="75"/>
        <v>-23.168767172470051</v>
      </c>
    </row>
    <row r="412" spans="1:20" x14ac:dyDescent="0.35">
      <c r="A412">
        <v>4.4000000000000004</v>
      </c>
      <c r="B412">
        <v>16.100000000000001</v>
      </c>
      <c r="C412">
        <v>-0.15507779999999999</v>
      </c>
      <c r="D412">
        <v>-0.11244075000000001</v>
      </c>
      <c r="E412">
        <v>0.84487846</v>
      </c>
      <c r="F412">
        <v>-0.11934533999999999</v>
      </c>
      <c r="G412">
        <f t="shared" si="66"/>
        <v>1.56871190677904</v>
      </c>
      <c r="H412">
        <f t="shared" si="67"/>
        <v>-1.54404591590997</v>
      </c>
      <c r="I412">
        <f t="shared" si="68"/>
        <v>1.5687019552814401</v>
      </c>
      <c r="J412">
        <f t="shared" si="69"/>
        <v>-1.5474983207695701</v>
      </c>
      <c r="K412" s="7">
        <f t="shared" si="70"/>
        <v>9.9514975999692706E-6</v>
      </c>
      <c r="L412" s="7">
        <f t="shared" si="71"/>
        <v>3.45240485960008E-3</v>
      </c>
      <c r="M412" s="7">
        <f t="shared" si="72"/>
        <v>0.32307221055832003</v>
      </c>
      <c r="N412" s="7">
        <f t="shared" si="73"/>
        <v>0.31870534848451498</v>
      </c>
      <c r="O412">
        <v>9.3841076999999995</v>
      </c>
      <c r="P412">
        <v>-12.730696999999999</v>
      </c>
      <c r="Q412">
        <v>3.6542061000000001</v>
      </c>
      <c r="R412">
        <v>-15.557634999999999</v>
      </c>
      <c r="S412">
        <f t="shared" si="74"/>
        <v>1.0104619272211928</v>
      </c>
      <c r="T412">
        <f t="shared" si="75"/>
        <v>-23.176698275472756</v>
      </c>
    </row>
    <row r="413" spans="1:20" x14ac:dyDescent="0.35">
      <c r="A413">
        <v>4.4000000000000004</v>
      </c>
      <c r="B413">
        <v>16.2</v>
      </c>
      <c r="C413">
        <v>-0.16962086000000001</v>
      </c>
      <c r="D413">
        <v>-0.1074734</v>
      </c>
      <c r="E413">
        <v>0.83034238999999999</v>
      </c>
      <c r="F413">
        <v>-0.11450876</v>
      </c>
      <c r="G413">
        <f t="shared" si="66"/>
        <v>1.56391691917389</v>
      </c>
      <c r="H413">
        <f t="shared" si="67"/>
        <v>-1.3486128921185501</v>
      </c>
      <c r="I413">
        <f t="shared" si="68"/>
        <v>1.5639109184378499</v>
      </c>
      <c r="J413">
        <f t="shared" si="69"/>
        <v>-1.35213065786617</v>
      </c>
      <c r="K413" s="7">
        <f t="shared" si="70"/>
        <v>6.0007360400682296E-6</v>
      </c>
      <c r="L413" s="7">
        <f t="shared" si="71"/>
        <v>3.5177657476199698E-3</v>
      </c>
      <c r="M413" s="7">
        <f t="shared" si="72"/>
        <v>0.365906315803257</v>
      </c>
      <c r="N413" s="7">
        <f t="shared" si="73"/>
        <v>0.316356348479643</v>
      </c>
      <c r="O413">
        <v>8.9373425999999991</v>
      </c>
      <c r="P413">
        <v>-13.858415000000001</v>
      </c>
      <c r="Q413">
        <v>2.7947620999999998</v>
      </c>
      <c r="R413">
        <v>-16.464825000000001</v>
      </c>
      <c r="S413">
        <f t="shared" si="74"/>
        <v>1.0127335376566495</v>
      </c>
      <c r="T413">
        <f t="shared" si="75"/>
        <v>-23.184474871268272</v>
      </c>
    </row>
    <row r="414" spans="1:20" x14ac:dyDescent="0.35">
      <c r="A414">
        <v>4.4000000000000004</v>
      </c>
      <c r="B414">
        <v>16.3</v>
      </c>
      <c r="C414">
        <v>-0.18413112000000001</v>
      </c>
      <c r="D414">
        <v>-0.10035541000000001</v>
      </c>
      <c r="E414">
        <v>0.81584601999999995</v>
      </c>
      <c r="F414">
        <v>-0.10753691</v>
      </c>
      <c r="G414">
        <f t="shared" si="66"/>
        <v>1.55914744586288</v>
      </c>
      <c r="H414">
        <f t="shared" si="67"/>
        <v>-1.1605679280262999</v>
      </c>
      <c r="I414">
        <f t="shared" si="68"/>
        <v>1.5591489094936699</v>
      </c>
      <c r="J414">
        <f t="shared" si="69"/>
        <v>-1.1641587138134399</v>
      </c>
      <c r="K414" s="7">
        <f t="shared" si="70"/>
        <v>-1.4636307898996401E-6</v>
      </c>
      <c r="L414" s="7">
        <f t="shared" si="71"/>
        <v>3.5907857871400098E-3</v>
      </c>
      <c r="M414" s="7">
        <f t="shared" si="72"/>
        <v>0.41179664268457</v>
      </c>
      <c r="N414" s="7">
        <f t="shared" si="73"/>
        <v>0.307473293270009</v>
      </c>
      <c r="O414">
        <v>8.3210046999999996</v>
      </c>
      <c r="P414">
        <v>-14.973394000000001</v>
      </c>
      <c r="Q414">
        <v>1.7780824</v>
      </c>
      <c r="R414">
        <v>-17.294938999999999</v>
      </c>
      <c r="S414">
        <f t="shared" si="74"/>
        <v>1.0149422014381451</v>
      </c>
      <c r="T414">
        <f t="shared" si="75"/>
        <v>-23.191852950929675</v>
      </c>
    </row>
    <row r="415" spans="1:20" x14ac:dyDescent="0.35">
      <c r="A415">
        <v>4.4000000000000004</v>
      </c>
      <c r="B415">
        <v>16.399999999999999</v>
      </c>
      <c r="C415">
        <v>-0.19811339</v>
      </c>
      <c r="D415">
        <v>-9.1032795E-2</v>
      </c>
      <c r="E415">
        <v>0.80181882999999998</v>
      </c>
      <c r="F415">
        <v>-9.8369779000000004E-2</v>
      </c>
      <c r="G415">
        <f t="shared" si="66"/>
        <v>1.5541724926209699</v>
      </c>
      <c r="H415">
        <f t="shared" si="67"/>
        <v>-0.979919283761855</v>
      </c>
      <c r="I415">
        <f t="shared" si="68"/>
        <v>1.55415206049316</v>
      </c>
      <c r="J415">
        <f t="shared" si="69"/>
        <v>-0.98358797504890105</v>
      </c>
      <c r="K415" s="7">
        <f t="shared" si="70"/>
        <v>2.04321278098885E-5</v>
      </c>
      <c r="L415" s="7">
        <f t="shared" si="71"/>
        <v>3.6686912870460601E-3</v>
      </c>
      <c r="M415" s="7">
        <f t="shared" si="72"/>
        <v>0.45942310259022001</v>
      </c>
      <c r="N415" s="7">
        <f t="shared" si="73"/>
        <v>0.29075857546655198</v>
      </c>
      <c r="O415">
        <v>7.5321559999999996</v>
      </c>
      <c r="P415">
        <v>-16.036771000000002</v>
      </c>
      <c r="Q415">
        <v>0.61621780000000004</v>
      </c>
      <c r="R415">
        <v>-18.009205000000001</v>
      </c>
      <c r="S415">
        <f t="shared" si="74"/>
        <v>1.0170565110416849</v>
      </c>
      <c r="T415">
        <f t="shared" si="75"/>
        <v>-23.198806105064289</v>
      </c>
    </row>
    <row r="416" spans="1:20" x14ac:dyDescent="0.35">
      <c r="A416">
        <v>4.4000000000000004</v>
      </c>
      <c r="B416">
        <v>16.5</v>
      </c>
      <c r="C416">
        <v>-0.21105378999999999</v>
      </c>
      <c r="D416">
        <v>-7.9581807000000004E-2</v>
      </c>
      <c r="E416">
        <v>0.78888831000000004</v>
      </c>
      <c r="F416">
        <v>-8.7023122999999994E-2</v>
      </c>
      <c r="G416">
        <f t="shared" si="66"/>
        <v>1.5495446211672299</v>
      </c>
      <c r="H416">
        <f t="shared" si="67"/>
        <v>-0.80697639807820498</v>
      </c>
      <c r="I416">
        <f t="shared" si="68"/>
        <v>1.5495295146357599</v>
      </c>
      <c r="J416">
        <f t="shared" si="69"/>
        <v>-0.81069722000223898</v>
      </c>
      <c r="K416" s="7">
        <f t="shared" si="70"/>
        <v>1.51065314699661E-5</v>
      </c>
      <c r="L416" s="7">
        <f t="shared" si="71"/>
        <v>3.7208219240339999E-3</v>
      </c>
      <c r="M416" s="7">
        <f t="shared" si="72"/>
        <v>0.50666836272834603</v>
      </c>
      <c r="N416" s="7">
        <f t="shared" si="73"/>
        <v>0.265083452265515</v>
      </c>
      <c r="O416">
        <v>6.5812244</v>
      </c>
      <c r="P416">
        <v>-17.011085999999999</v>
      </c>
      <c r="Q416">
        <v>-0.66649941999999995</v>
      </c>
      <c r="R416">
        <v>-18.573063000000001</v>
      </c>
      <c r="S416">
        <f t="shared" si="74"/>
        <v>1.0189277650620199</v>
      </c>
      <c r="T416">
        <f t="shared" si="75"/>
        <v>-23.205578169477068</v>
      </c>
    </row>
    <row r="417" spans="1:47" x14ac:dyDescent="0.35">
      <c r="A417">
        <v>4.4000000000000004</v>
      </c>
      <c r="B417">
        <v>16.600000000000001</v>
      </c>
      <c r="C417">
        <v>-0.22245333</v>
      </c>
      <c r="D417">
        <v>-6.6245845999999997E-2</v>
      </c>
      <c r="E417">
        <v>0.77753276000000004</v>
      </c>
      <c r="F417">
        <v>-7.3873226E-2</v>
      </c>
      <c r="G417">
        <f t="shared" si="66"/>
        <v>1.5447838268183001</v>
      </c>
      <c r="H417">
        <f t="shared" si="67"/>
        <v>-0.64205921054468396</v>
      </c>
      <c r="I417">
        <f t="shared" si="68"/>
        <v>1.5447914160932701</v>
      </c>
      <c r="J417">
        <f t="shared" si="69"/>
        <v>-0.645872898125738</v>
      </c>
      <c r="K417" s="7">
        <f t="shared" si="70"/>
        <v>-7.5892749700212596E-6</v>
      </c>
      <c r="L417" s="7">
        <f t="shared" si="71"/>
        <v>3.81368758105405E-3</v>
      </c>
      <c r="M417" s="7">
        <f t="shared" si="72"/>
        <v>0.551016089666721</v>
      </c>
      <c r="N417" s="7">
        <f t="shared" si="73"/>
        <v>0.230378260158243</v>
      </c>
      <c r="O417">
        <v>5.4867888999999996</v>
      </c>
      <c r="P417">
        <v>-17.852262</v>
      </c>
      <c r="Q417">
        <v>-2.0354361000000001</v>
      </c>
      <c r="R417">
        <v>-18.957840999999998</v>
      </c>
      <c r="S417">
        <f t="shared" si="74"/>
        <v>1.0209029242453704</v>
      </c>
      <c r="T417">
        <f t="shared" si="75"/>
        <v>-23.212675072605609</v>
      </c>
    </row>
    <row r="418" spans="1:47" x14ac:dyDescent="0.35">
      <c r="A418">
        <v>4.4000000000000004</v>
      </c>
      <c r="B418">
        <v>16.7</v>
      </c>
      <c r="C418">
        <v>-0.23188981</v>
      </c>
      <c r="D418">
        <v>-5.1426793999999998E-2</v>
      </c>
      <c r="E418">
        <v>0.76807970000000003</v>
      </c>
      <c r="F418">
        <v>-5.9199551000000003E-2</v>
      </c>
      <c r="G418">
        <f t="shared" si="66"/>
        <v>1.53999908981977</v>
      </c>
      <c r="H418">
        <f t="shared" si="67"/>
        <v>-0.48463012294712898</v>
      </c>
      <c r="I418">
        <f t="shared" si="68"/>
        <v>1.5399989489878601</v>
      </c>
      <c r="J418">
        <f t="shared" si="69"/>
        <v>-0.48851656124320603</v>
      </c>
      <c r="K418" s="7">
        <f t="shared" si="70"/>
        <v>1.40831909911654E-7</v>
      </c>
      <c r="L418" s="7">
        <f t="shared" si="71"/>
        <v>3.8864382960770399E-3</v>
      </c>
      <c r="M418" s="7">
        <f t="shared" si="72"/>
        <v>0.58998248625344196</v>
      </c>
      <c r="N418" s="7">
        <f t="shared" si="73"/>
        <v>0.18715351433692501</v>
      </c>
      <c r="O418">
        <v>4.2833218999999998</v>
      </c>
      <c r="P418">
        <v>-18.530736999999998</v>
      </c>
      <c r="Q418">
        <v>-3.4454381999999999</v>
      </c>
      <c r="R418">
        <v>-19.145164000000001</v>
      </c>
      <c r="S418">
        <f t="shared" si="74"/>
        <v>1.0227866555199521</v>
      </c>
      <c r="T418">
        <f t="shared" si="75"/>
        <v>-23.217128064446968</v>
      </c>
    </row>
    <row r="419" spans="1:47" x14ac:dyDescent="0.35">
      <c r="A419">
        <v>4.4000000000000004</v>
      </c>
      <c r="B419">
        <v>16.8</v>
      </c>
      <c r="C419">
        <v>-0.23908109999999999</v>
      </c>
      <c r="D419">
        <v>-3.5666695999999998E-2</v>
      </c>
      <c r="E419">
        <v>0.76091651999999999</v>
      </c>
      <c r="F419">
        <v>-4.3564350000000002E-2</v>
      </c>
      <c r="G419">
        <f t="shared" si="66"/>
        <v>1.53543792744702</v>
      </c>
      <c r="H419">
        <f t="shared" si="67"/>
        <v>-0.33529535900860302</v>
      </c>
      <c r="I419">
        <f t="shared" si="68"/>
        <v>1.53545233049281</v>
      </c>
      <c r="J419">
        <f t="shared" si="69"/>
        <v>-0.33924413383251001</v>
      </c>
      <c r="K419" s="7">
        <f t="shared" si="70"/>
        <v>-1.44030457900346E-5</v>
      </c>
      <c r="L419" s="7">
        <f t="shared" si="71"/>
        <v>3.9487748239069899E-3</v>
      </c>
      <c r="M419" s="7">
        <f t="shared" si="72"/>
        <v>0.62096172455360599</v>
      </c>
      <c r="N419" s="7">
        <f t="shared" si="73"/>
        <v>0.13719580751928501</v>
      </c>
      <c r="O419">
        <v>3.0160235000000002</v>
      </c>
      <c r="P419">
        <v>-19.028497999999999</v>
      </c>
      <c r="Q419">
        <v>-4.8475685999999998</v>
      </c>
      <c r="R419">
        <v>-19.134118000000001</v>
      </c>
      <c r="S419">
        <f t="shared" si="74"/>
        <v>1.0245297565882729</v>
      </c>
      <c r="T419">
        <f t="shared" si="75"/>
        <v>-23.22305965742397</v>
      </c>
    </row>
    <row r="420" spans="1:47" x14ac:dyDescent="0.35">
      <c r="A420">
        <v>4.4000000000000004</v>
      </c>
      <c r="B420">
        <v>16.899999999999999</v>
      </c>
      <c r="C420">
        <v>-0.24386053999999999</v>
      </c>
      <c r="D420">
        <v>-1.9876833999999999E-2</v>
      </c>
      <c r="E420">
        <v>0.75613967000000004</v>
      </c>
      <c r="F420">
        <v>-2.7894548000000002E-2</v>
      </c>
      <c r="G420">
        <f t="shared" si="66"/>
        <v>1.53086116153341</v>
      </c>
      <c r="H420">
        <f t="shared" si="67"/>
        <v>-0.19691559438043599</v>
      </c>
      <c r="I420">
        <f t="shared" si="68"/>
        <v>1.5308773372045099</v>
      </c>
      <c r="J420">
        <f t="shared" si="69"/>
        <v>-0.20092438611356001</v>
      </c>
      <c r="K420" s="7">
        <f t="shared" si="70"/>
        <v>-1.6175671099905001E-5</v>
      </c>
      <c r="L420" s="7">
        <f t="shared" si="71"/>
        <v>4.0087917331240201E-3</v>
      </c>
      <c r="M420" s="7">
        <f t="shared" si="72"/>
        <v>0.64215837776273199</v>
      </c>
      <c r="N420" s="7">
        <f t="shared" si="73"/>
        <v>8.4281917763095501E-2</v>
      </c>
      <c r="O420">
        <v>1.7564076</v>
      </c>
      <c r="P420">
        <v>-19.33389</v>
      </c>
      <c r="Q420">
        <v>-6.1685062999999998</v>
      </c>
      <c r="R420">
        <v>-18.942454000000001</v>
      </c>
      <c r="S420">
        <f t="shared" si="74"/>
        <v>1.0261680921745278</v>
      </c>
      <c r="T420">
        <f t="shared" si="75"/>
        <v>-23.228402226308614</v>
      </c>
    </row>
    <row r="421" spans="1:47" x14ac:dyDescent="0.35">
      <c r="A421">
        <v>4.4000000000000004</v>
      </c>
      <c r="B421">
        <v>17</v>
      </c>
      <c r="C421">
        <v>-0.24678154999999999</v>
      </c>
      <c r="D421">
        <v>-9.2635786000000008E-3</v>
      </c>
      <c r="E421">
        <v>0.75320306999999997</v>
      </c>
      <c r="F421">
        <v>-1.7558318999999999E-2</v>
      </c>
      <c r="G421">
        <f t="shared" si="66"/>
        <v>1.52005023860546</v>
      </c>
      <c r="H421">
        <f t="shared" si="67"/>
        <v>-0.10769955715744201</v>
      </c>
      <c r="I421">
        <f t="shared" si="68"/>
        <v>1.52005974932685</v>
      </c>
      <c r="J421">
        <f t="shared" si="69"/>
        <v>-0.111846919806178</v>
      </c>
      <c r="K421" s="7">
        <f t="shared" si="70"/>
        <v>-9.5107213899936499E-6</v>
      </c>
      <c r="L421" s="7">
        <f t="shared" si="71"/>
        <v>4.1473626487359997E-3</v>
      </c>
      <c r="M421" s="7">
        <f t="shared" si="72"/>
        <v>0.65432628509110902</v>
      </c>
      <c r="N421" s="7">
        <f t="shared" si="73"/>
        <v>4.8145725566425102E-2</v>
      </c>
      <c r="O421">
        <v>0.96324642999999999</v>
      </c>
      <c r="P421">
        <v>-20.332764000000001</v>
      </c>
      <c r="Q421">
        <v>-7.0055949000000002</v>
      </c>
      <c r="R421">
        <v>-18.797606999999999</v>
      </c>
      <c r="S421">
        <f t="shared" si="74"/>
        <v>0.98551011562210822</v>
      </c>
      <c r="T421">
        <f t="shared" si="75"/>
        <v>-23.152001515667013</v>
      </c>
      <c r="AT421">
        <v>17</v>
      </c>
      <c r="AU421">
        <v>0.65432628509110902</v>
      </c>
    </row>
    <row r="422" spans="1:47" x14ac:dyDescent="0.35">
      <c r="A422">
        <v>4.5999999999999996</v>
      </c>
      <c r="B422">
        <v>15</v>
      </c>
      <c r="C422">
        <v>-5.0030955000000002E-2</v>
      </c>
      <c r="D422">
        <v>-9.7198206999999995E-2</v>
      </c>
      <c r="E422">
        <v>0.94985872000000005</v>
      </c>
      <c r="F422">
        <v>-0.10319656000000001</v>
      </c>
      <c r="G422">
        <f t="shared" si="66"/>
        <v>1.49578254172602</v>
      </c>
      <c r="H422">
        <f t="shared" si="67"/>
        <v>-3.9910212553619999</v>
      </c>
      <c r="I422">
        <f t="shared" si="68"/>
        <v>1.49573637265044</v>
      </c>
      <c r="J422">
        <f t="shared" si="69"/>
        <v>-3.9940207357900599</v>
      </c>
      <c r="K422" s="7">
        <f t="shared" si="70"/>
        <v>4.6169075579971499E-5</v>
      </c>
      <c r="L422" s="7">
        <f t="shared" si="71"/>
        <v>2.9994804280599799E-3</v>
      </c>
      <c r="M422" s="7">
        <f t="shared" si="72"/>
        <v>8.2231079273878405E-2</v>
      </c>
      <c r="N422" s="7">
        <f t="shared" si="73"/>
        <v>0.21957922649449599</v>
      </c>
      <c r="O422">
        <v>8.4991234000000002</v>
      </c>
      <c r="P422">
        <v>-4.3187441</v>
      </c>
      <c r="Q422">
        <v>5.8470636000000002</v>
      </c>
      <c r="R422">
        <v>-6.9555916</v>
      </c>
      <c r="S422">
        <f t="shared" si="74"/>
        <v>0.95314046473470426</v>
      </c>
      <c r="T422">
        <f t="shared" si="75"/>
        <v>-23.01171535751503</v>
      </c>
    </row>
    <row r="423" spans="1:47" x14ac:dyDescent="0.35">
      <c r="A423">
        <v>4.5999999999999996</v>
      </c>
      <c r="B423">
        <v>15.1</v>
      </c>
      <c r="C423">
        <v>-5.5780383000000003E-2</v>
      </c>
      <c r="D423">
        <v>-0.10134649</v>
      </c>
      <c r="E423">
        <v>0.94413354000000005</v>
      </c>
      <c r="F423">
        <v>-0.10748247</v>
      </c>
      <c r="G423">
        <f t="shared" si="66"/>
        <v>1.49105978818537</v>
      </c>
      <c r="H423">
        <f t="shared" si="67"/>
        <v>-3.7225965710865099</v>
      </c>
      <c r="I423">
        <f t="shared" si="68"/>
        <v>1.4910261615224201</v>
      </c>
      <c r="J423">
        <f t="shared" si="69"/>
        <v>-3.7256647963045899</v>
      </c>
      <c r="K423" s="7">
        <f t="shared" si="70"/>
        <v>3.3626662949926001E-5</v>
      </c>
      <c r="L423" s="7">
        <f t="shared" si="71"/>
        <v>3.0682252180800301E-3</v>
      </c>
      <c r="M423" s="7">
        <f t="shared" si="72"/>
        <v>9.25888285461101E-2</v>
      </c>
      <c r="N423" s="7">
        <f t="shared" si="73"/>
        <v>0.231354048605764</v>
      </c>
      <c r="O423">
        <v>8.8113197000000003</v>
      </c>
      <c r="P423">
        <v>-4.7872000000000003</v>
      </c>
      <c r="Q423">
        <v>5.9617450999999999</v>
      </c>
      <c r="R423">
        <v>-7.5032575000000001</v>
      </c>
      <c r="S423">
        <f t="shared" si="74"/>
        <v>0.9556823927271898</v>
      </c>
      <c r="T423">
        <f t="shared" si="75"/>
        <v>-23.01566958130471</v>
      </c>
    </row>
    <row r="424" spans="1:47" x14ac:dyDescent="0.35">
      <c r="A424">
        <v>4.5999999999999996</v>
      </c>
      <c r="B424">
        <v>15.2</v>
      </c>
      <c r="C424">
        <v>-6.2183309999999999E-2</v>
      </c>
      <c r="D424">
        <v>-0.10544474</v>
      </c>
      <c r="E424">
        <v>0.93773092999999996</v>
      </c>
      <c r="F424">
        <v>-0.11170431</v>
      </c>
      <c r="G424">
        <f t="shared" si="66"/>
        <v>1.48673746118606</v>
      </c>
      <c r="H424">
        <f t="shared" si="67"/>
        <v>-3.46493808076207</v>
      </c>
      <c r="I424">
        <f t="shared" si="68"/>
        <v>1.48670437606567</v>
      </c>
      <c r="J424">
        <f t="shared" si="69"/>
        <v>-3.4680681035267602</v>
      </c>
      <c r="K424" s="7">
        <f t="shared" si="70"/>
        <v>3.3085120390019499E-5</v>
      </c>
      <c r="L424" s="7">
        <f t="shared" si="71"/>
        <v>3.1300227646902101E-3</v>
      </c>
      <c r="M424" s="7">
        <f t="shared" si="72"/>
        <v>0.104419630103305</v>
      </c>
      <c r="N424" s="7">
        <f t="shared" si="73"/>
        <v>0.24358197525567701</v>
      </c>
      <c r="O424">
        <v>9.1127787999999992</v>
      </c>
      <c r="P424">
        <v>-5.305517</v>
      </c>
      <c r="Q424">
        <v>6.0509312</v>
      </c>
      <c r="R424">
        <v>-8.0983886999999992</v>
      </c>
      <c r="S424">
        <f t="shared" si="74"/>
        <v>0.95870543681114528</v>
      </c>
      <c r="T424">
        <f t="shared" si="75"/>
        <v>-23.02552095039356</v>
      </c>
    </row>
    <row r="425" spans="1:47" x14ac:dyDescent="0.35">
      <c r="A425">
        <v>4.5999999999999996</v>
      </c>
      <c r="B425">
        <v>15.3</v>
      </c>
      <c r="C425">
        <v>-6.9333416999999994E-2</v>
      </c>
      <c r="D425">
        <v>-0.10943274</v>
      </c>
      <c r="E425">
        <v>0.93057818000000003</v>
      </c>
      <c r="F425">
        <v>-0.11581611</v>
      </c>
      <c r="G425">
        <f t="shared" si="66"/>
        <v>1.4825161877228501</v>
      </c>
      <c r="H425">
        <f t="shared" si="67"/>
        <v>-3.2167017350600799</v>
      </c>
      <c r="I425">
        <f t="shared" si="68"/>
        <v>1.48248217236928</v>
      </c>
      <c r="J425">
        <f t="shared" si="69"/>
        <v>-3.2198936697146801</v>
      </c>
      <c r="K425" s="7">
        <f t="shared" si="70"/>
        <v>3.4015353570060503E-5</v>
      </c>
      <c r="L425" s="7">
        <f t="shared" si="71"/>
        <v>3.1919346546000998E-3</v>
      </c>
      <c r="M425" s="7">
        <f t="shared" si="72"/>
        <v>0.11798065120802</v>
      </c>
      <c r="N425" s="7">
        <f t="shared" si="73"/>
        <v>0.25624938974233402</v>
      </c>
      <c r="O425">
        <v>9.4027586000000003</v>
      </c>
      <c r="P425">
        <v>-5.8820755</v>
      </c>
      <c r="Q425">
        <v>6.1075458999999999</v>
      </c>
      <c r="R425">
        <v>-8.7432642999999999</v>
      </c>
      <c r="S425">
        <f t="shared" si="74"/>
        <v>0.96160819938051445</v>
      </c>
      <c r="T425">
        <f t="shared" si="75"/>
        <v>-23.035219616041264</v>
      </c>
    </row>
    <row r="426" spans="1:47" x14ac:dyDescent="0.35">
      <c r="A426">
        <v>4.5999999999999996</v>
      </c>
      <c r="B426">
        <v>15.4</v>
      </c>
      <c r="C426">
        <v>-7.7319071000000003E-2</v>
      </c>
      <c r="D426">
        <v>-0.11322699999999999</v>
      </c>
      <c r="E426">
        <v>0.92258956999999997</v>
      </c>
      <c r="F426">
        <v>-0.11973640000000001</v>
      </c>
      <c r="G426">
        <f t="shared" si="66"/>
        <v>1.47832263512197</v>
      </c>
      <c r="H426">
        <f t="shared" si="67"/>
        <v>-2.97694271611349</v>
      </c>
      <c r="I426">
        <f t="shared" si="68"/>
        <v>1.47828754794691</v>
      </c>
      <c r="J426">
        <f t="shared" si="69"/>
        <v>-2.9801976789968001</v>
      </c>
      <c r="K426" s="7">
        <f t="shared" si="70"/>
        <v>3.5087175060066803E-5</v>
      </c>
      <c r="L426" s="7">
        <f t="shared" si="71"/>
        <v>3.2549628833100602E-3</v>
      </c>
      <c r="M426" s="7">
        <f t="shared" si="72"/>
        <v>0.13357723550196299</v>
      </c>
      <c r="N426" s="7">
        <f t="shared" si="73"/>
        <v>0.26928899439262299</v>
      </c>
      <c r="O426">
        <v>9.6720424000000005</v>
      </c>
      <c r="P426">
        <v>-6.5217894000000003</v>
      </c>
      <c r="Q426">
        <v>6.1221842999999998</v>
      </c>
      <c r="R426">
        <v>-9.4408589999999997</v>
      </c>
      <c r="S426">
        <f t="shared" si="74"/>
        <v>0.96457295884532435</v>
      </c>
      <c r="T426">
        <f t="shared" si="75"/>
        <v>-23.045992410027186</v>
      </c>
    </row>
    <row r="427" spans="1:47" x14ac:dyDescent="0.35">
      <c r="A427">
        <v>4.5999999999999996</v>
      </c>
      <c r="B427">
        <v>15.5</v>
      </c>
      <c r="C427">
        <v>-8.6214793999999997E-2</v>
      </c>
      <c r="D427">
        <v>-0.11671022</v>
      </c>
      <c r="E427">
        <v>0.91369087000000004</v>
      </c>
      <c r="F427">
        <v>-0.12334857</v>
      </c>
      <c r="G427">
        <f t="shared" si="66"/>
        <v>1.47414029302454</v>
      </c>
      <c r="H427">
        <f t="shared" si="67"/>
        <v>-2.7452369350376098</v>
      </c>
      <c r="I427">
        <f t="shared" si="68"/>
        <v>1.47410414115998</v>
      </c>
      <c r="J427">
        <f t="shared" si="69"/>
        <v>-2.74855638660387</v>
      </c>
      <c r="K427" s="7">
        <f t="shared" si="70"/>
        <v>3.6151864559963402E-5</v>
      </c>
      <c r="L427" s="7">
        <f t="shared" si="71"/>
        <v>3.3194515662602299E-3</v>
      </c>
      <c r="M427" s="7">
        <f t="shared" si="72"/>
        <v>0.15153917112777399</v>
      </c>
      <c r="N427" s="7">
        <f t="shared" si="73"/>
        <v>0.28255395598857902</v>
      </c>
      <c r="O427">
        <v>9.9218729999999997</v>
      </c>
      <c r="P427">
        <v>-7.2375157999999997</v>
      </c>
      <c r="Q427">
        <v>6.0853837999999998</v>
      </c>
      <c r="R427">
        <v>-10.193991</v>
      </c>
      <c r="S427">
        <f t="shared" si="74"/>
        <v>0.96670637641112234</v>
      </c>
      <c r="T427">
        <f t="shared" si="75"/>
        <v>-23.055673388484937</v>
      </c>
    </row>
    <row r="428" spans="1:47" x14ac:dyDescent="0.35">
      <c r="A428">
        <v>4.5999999999999996</v>
      </c>
      <c r="B428">
        <v>15.6</v>
      </c>
      <c r="C428">
        <v>-9.6083732000000005E-2</v>
      </c>
      <c r="D428">
        <v>-0.11972745</v>
      </c>
      <c r="E428">
        <v>0.90381005000000003</v>
      </c>
      <c r="F428">
        <v>-0.12645147000000001</v>
      </c>
      <c r="G428">
        <f t="shared" si="66"/>
        <v>1.4705786384538999</v>
      </c>
      <c r="H428">
        <f t="shared" si="67"/>
        <v>-2.5213358700001298</v>
      </c>
      <c r="I428">
        <f t="shared" si="68"/>
        <v>1.4705368314177201</v>
      </c>
      <c r="J428">
        <f t="shared" si="69"/>
        <v>-2.52469819912575</v>
      </c>
      <c r="K428" s="7">
        <f t="shared" si="70"/>
        <v>4.1807036179841703E-5</v>
      </c>
      <c r="L428" s="7">
        <f t="shared" si="71"/>
        <v>3.3623291256201799E-3</v>
      </c>
      <c r="M428" s="7">
        <f t="shared" si="72"/>
        <v>0.17226300293845301</v>
      </c>
      <c r="N428" s="7">
        <f t="shared" si="73"/>
        <v>0.295750561293602</v>
      </c>
      <c r="O428">
        <v>10.120542</v>
      </c>
      <c r="P428">
        <v>-8.0198557000000008</v>
      </c>
      <c r="Q428">
        <v>5.9819876000000001</v>
      </c>
      <c r="R428">
        <v>-10.999836</v>
      </c>
      <c r="S428">
        <f t="shared" si="74"/>
        <v>0.96966499365784264</v>
      </c>
      <c r="T428">
        <f t="shared" si="75"/>
        <v>-23.067058398150607</v>
      </c>
    </row>
    <row r="429" spans="1:47" x14ac:dyDescent="0.35">
      <c r="A429">
        <v>4.5999999999999996</v>
      </c>
      <c r="B429">
        <v>15.7</v>
      </c>
      <c r="C429">
        <v>-0.10696137999999999</v>
      </c>
      <c r="D429">
        <v>-0.12210796</v>
      </c>
      <c r="E429">
        <v>0.89293065000000005</v>
      </c>
      <c r="F429">
        <v>-0.12896175000000001</v>
      </c>
      <c r="G429">
        <f t="shared" si="66"/>
        <v>1.4663992718994301</v>
      </c>
      <c r="H429">
        <f t="shared" si="67"/>
        <v>-2.3049551170433902</v>
      </c>
      <c r="I429">
        <f t="shared" si="68"/>
        <v>1.46635702935842</v>
      </c>
      <c r="J429">
        <f t="shared" si="69"/>
        <v>-2.3083823418228699</v>
      </c>
      <c r="K429" s="7">
        <f t="shared" si="70"/>
        <v>4.22425410100402E-5</v>
      </c>
      <c r="L429" s="7">
        <f t="shared" si="71"/>
        <v>3.4272247794797702E-3</v>
      </c>
      <c r="M429" s="7">
        <f t="shared" si="72"/>
        <v>0.19606765261432099</v>
      </c>
      <c r="N429" s="7">
        <f t="shared" si="73"/>
        <v>0.30865546250737103</v>
      </c>
      <c r="O429">
        <v>10.274115999999999</v>
      </c>
      <c r="P429">
        <v>-8.8855581000000008</v>
      </c>
      <c r="Q429">
        <v>5.8004533</v>
      </c>
      <c r="R429">
        <v>-11.856835</v>
      </c>
      <c r="S429">
        <f t="shared" si="74"/>
        <v>0.97174104953832519</v>
      </c>
      <c r="T429">
        <f t="shared" si="75"/>
        <v>-23.076916749078251</v>
      </c>
    </row>
    <row r="430" spans="1:47" x14ac:dyDescent="0.35">
      <c r="A430">
        <v>4.5999999999999996</v>
      </c>
      <c r="B430">
        <v>15.8</v>
      </c>
      <c r="C430">
        <v>-0.11887053</v>
      </c>
      <c r="D430">
        <v>-0.12363156</v>
      </c>
      <c r="E430">
        <v>0.88106401000000001</v>
      </c>
      <c r="F430">
        <v>-0.13058729999999999</v>
      </c>
      <c r="G430">
        <f t="shared" si="66"/>
        <v>1.46244759519616</v>
      </c>
      <c r="H430">
        <f t="shared" si="67"/>
        <v>-2.0961368741190398</v>
      </c>
      <c r="I430">
        <f t="shared" si="68"/>
        <v>1.4624269607460301</v>
      </c>
      <c r="J430">
        <f t="shared" si="69"/>
        <v>-2.0996149297197402</v>
      </c>
      <c r="K430" s="7">
        <f t="shared" si="70"/>
        <v>2.0634450129897199E-5</v>
      </c>
      <c r="L430" s="7">
        <f t="shared" si="71"/>
        <v>3.47805560070036E-3</v>
      </c>
      <c r="M430" s="7">
        <f t="shared" si="72"/>
        <v>0.22337102539227799</v>
      </c>
      <c r="N430" s="7">
        <f t="shared" si="73"/>
        <v>0.32069508588735701</v>
      </c>
      <c r="O430">
        <v>10.350199999999999</v>
      </c>
      <c r="P430">
        <v>-9.8233361000000006</v>
      </c>
      <c r="Q430">
        <v>5.5239602999999997</v>
      </c>
      <c r="R430">
        <v>-12.758744</v>
      </c>
      <c r="S430">
        <f t="shared" si="74"/>
        <v>0.97431745194916641</v>
      </c>
      <c r="T430">
        <f t="shared" si="75"/>
        <v>-23.085596243087458</v>
      </c>
    </row>
    <row r="431" spans="1:47" x14ac:dyDescent="0.35">
      <c r="A431">
        <v>4.5999999999999996</v>
      </c>
      <c r="B431">
        <v>15.9</v>
      </c>
      <c r="C431">
        <v>-0.13176387000000001</v>
      </c>
      <c r="D431">
        <v>-0.12406006</v>
      </c>
      <c r="E431">
        <v>0.86816921000000002</v>
      </c>
      <c r="F431">
        <v>-0.13114503</v>
      </c>
      <c r="G431">
        <f t="shared" si="66"/>
        <v>1.45819461009284</v>
      </c>
      <c r="H431">
        <f t="shared" si="67"/>
        <v>-1.89408862828305</v>
      </c>
      <c r="I431">
        <f t="shared" si="68"/>
        <v>1.4581736992754699</v>
      </c>
      <c r="J431">
        <f t="shared" si="69"/>
        <v>-1.8976313058973</v>
      </c>
      <c r="K431" s="7">
        <f t="shared" si="70"/>
        <v>2.0910817370101098E-5</v>
      </c>
      <c r="L431" s="7">
        <f t="shared" si="71"/>
        <v>3.54267761424998E-3</v>
      </c>
      <c r="M431" s="7">
        <f t="shared" si="72"/>
        <v>0.25460165107708099</v>
      </c>
      <c r="N431" s="7">
        <f t="shared" si="73"/>
        <v>0.33133231236928101</v>
      </c>
      <c r="O431">
        <v>10.337782000000001</v>
      </c>
      <c r="P431">
        <v>-10.835317999999999</v>
      </c>
      <c r="Q431">
        <v>5.1365090999999996</v>
      </c>
      <c r="R431">
        <v>-13.694671</v>
      </c>
      <c r="S431">
        <f t="shared" si="74"/>
        <v>0.97666186200496208</v>
      </c>
      <c r="T431">
        <f t="shared" si="75"/>
        <v>-23.094142560668356</v>
      </c>
    </row>
    <row r="432" spans="1:47" x14ac:dyDescent="0.35">
      <c r="A432">
        <v>4.5999999999999996</v>
      </c>
      <c r="B432">
        <v>16</v>
      </c>
      <c r="C432">
        <v>-0.14553552</v>
      </c>
      <c r="D432">
        <v>-0.12311155999999999</v>
      </c>
      <c r="E432">
        <v>0.85441157999999995</v>
      </c>
      <c r="F432">
        <v>-0.13033594000000001</v>
      </c>
      <c r="G432">
        <f t="shared" si="66"/>
        <v>1.45400573884177</v>
      </c>
      <c r="H432">
        <f t="shared" si="67"/>
        <v>-1.6993118213046901</v>
      </c>
      <c r="I432">
        <f t="shared" si="68"/>
        <v>1.4539923369238801</v>
      </c>
      <c r="J432">
        <f t="shared" si="69"/>
        <v>-1.7029241552612</v>
      </c>
      <c r="K432" s="7">
        <f t="shared" si="70"/>
        <v>1.34019178898992E-5</v>
      </c>
      <c r="L432" s="7">
        <f t="shared" si="71"/>
        <v>3.6123339565099499E-3</v>
      </c>
      <c r="M432" s="7">
        <f t="shared" si="72"/>
        <v>0.28998393762652303</v>
      </c>
      <c r="N432" s="7">
        <f t="shared" si="73"/>
        <v>0.33963084913274499</v>
      </c>
      <c r="O432">
        <v>10.212954999999999</v>
      </c>
      <c r="P432">
        <v>-11.908649</v>
      </c>
      <c r="Q432">
        <v>4.6222675000000004</v>
      </c>
      <c r="R432">
        <v>-14.647221999999999</v>
      </c>
      <c r="S432">
        <f t="shared" si="74"/>
        <v>0.97903032677960311</v>
      </c>
      <c r="T432">
        <f t="shared" si="75"/>
        <v>-23.102372655717996</v>
      </c>
    </row>
    <row r="433" spans="1:47" x14ac:dyDescent="0.35">
      <c r="A433">
        <v>4.5999999999999996</v>
      </c>
      <c r="B433">
        <v>16.100000000000001</v>
      </c>
      <c r="C433">
        <v>-0.16000988999999999</v>
      </c>
      <c r="D433">
        <v>-0.12052436</v>
      </c>
      <c r="E433">
        <v>0.83990951999999997</v>
      </c>
      <c r="F433">
        <v>-0.12792081</v>
      </c>
      <c r="G433">
        <f t="shared" si="66"/>
        <v>1.4495950949639</v>
      </c>
      <c r="H433">
        <f t="shared" si="67"/>
        <v>-1.51131420748959</v>
      </c>
      <c r="I433">
        <f t="shared" si="68"/>
        <v>1.4495684766746699</v>
      </c>
      <c r="J433">
        <f t="shared" si="69"/>
        <v>-1.5150126799599699</v>
      </c>
      <c r="K433" s="7">
        <f t="shared" si="70"/>
        <v>2.6618289230118102E-5</v>
      </c>
      <c r="L433" s="7">
        <f t="shared" si="71"/>
        <v>3.6984724703799099E-3</v>
      </c>
      <c r="M433" s="7">
        <f t="shared" si="72"/>
        <v>0.329708736006395</v>
      </c>
      <c r="N433" s="7">
        <f t="shared" si="73"/>
        <v>0.34459421805939999</v>
      </c>
      <c r="O433">
        <v>9.9588836000000001</v>
      </c>
      <c r="P433">
        <v>-13.032228999999999</v>
      </c>
      <c r="Q433">
        <v>3.9683959</v>
      </c>
      <c r="R433">
        <v>-15.595056</v>
      </c>
      <c r="S433">
        <f t="shared" si="74"/>
        <v>0.98111587539497058</v>
      </c>
      <c r="T433">
        <f t="shared" si="75"/>
        <v>-23.109336387992307</v>
      </c>
    </row>
    <row r="434" spans="1:47" x14ac:dyDescent="0.35">
      <c r="A434">
        <v>4.5999999999999996</v>
      </c>
      <c r="B434">
        <v>16.2</v>
      </c>
      <c r="C434">
        <v>-0.17496086999999999</v>
      </c>
      <c r="D434">
        <v>-0.11602256</v>
      </c>
      <c r="E434">
        <v>0.82496265000000002</v>
      </c>
      <c r="F434">
        <v>-0.12357641</v>
      </c>
      <c r="G434">
        <f t="shared" si="66"/>
        <v>1.44545795410265</v>
      </c>
      <c r="H434">
        <f t="shared" si="67"/>
        <v>-1.3299091925897599</v>
      </c>
      <c r="I434">
        <f t="shared" si="68"/>
        <v>1.4454339792358399</v>
      </c>
      <c r="J434">
        <f t="shared" si="69"/>
        <v>-1.3336863525796301</v>
      </c>
      <c r="K434" s="7">
        <f t="shared" si="70"/>
        <v>2.39748668100503E-5</v>
      </c>
      <c r="L434" s="7">
        <f t="shared" si="71"/>
        <v>3.7771599898701598E-3</v>
      </c>
      <c r="M434" s="7">
        <f t="shared" si="72"/>
        <v>0.37369040181776397</v>
      </c>
      <c r="N434" s="7">
        <f t="shared" si="73"/>
        <v>0.34480010581862103</v>
      </c>
      <c r="O434">
        <v>9.5529177000000001</v>
      </c>
      <c r="P434">
        <v>-14.184376</v>
      </c>
      <c r="Q434">
        <v>3.1628140999999999</v>
      </c>
      <c r="R434">
        <v>-16.513066999999999</v>
      </c>
      <c r="S434">
        <f t="shared" si="74"/>
        <v>0.98315470664471316</v>
      </c>
      <c r="T434">
        <f t="shared" si="75"/>
        <v>-23.116771597243968</v>
      </c>
    </row>
    <row r="435" spans="1:47" x14ac:dyDescent="0.35">
      <c r="A435">
        <v>4.5999999999999996</v>
      </c>
      <c r="B435">
        <v>16.3</v>
      </c>
      <c r="C435">
        <v>-0.18994979000000001</v>
      </c>
      <c r="D435">
        <v>-0.10945167</v>
      </c>
      <c r="E435">
        <v>0.80997591999999996</v>
      </c>
      <c r="F435">
        <v>-0.11716134</v>
      </c>
      <c r="G435">
        <f t="shared" si="66"/>
        <v>1.44129191158645</v>
      </c>
      <c r="H435">
        <f t="shared" si="67"/>
        <v>-1.15583491702491</v>
      </c>
      <c r="I435">
        <f t="shared" si="68"/>
        <v>1.44126962639469</v>
      </c>
      <c r="J435">
        <f t="shared" si="69"/>
        <v>-1.1596899811270001</v>
      </c>
      <c r="K435" s="7">
        <f t="shared" si="70"/>
        <v>2.2285191759952001E-5</v>
      </c>
      <c r="L435" s="7">
        <f t="shared" si="71"/>
        <v>3.8550641020900201E-3</v>
      </c>
      <c r="M435" s="7">
        <f t="shared" si="72"/>
        <v>0.42116045880214098</v>
      </c>
      <c r="N435" s="7">
        <f t="shared" si="73"/>
        <v>0.33887869110337998</v>
      </c>
      <c r="O435">
        <v>8.9850343000000006</v>
      </c>
      <c r="P435">
        <v>-15.332034</v>
      </c>
      <c r="Q435">
        <v>2.2084703999999999</v>
      </c>
      <c r="R435">
        <v>-17.365479000000001</v>
      </c>
      <c r="S435">
        <f t="shared" si="74"/>
        <v>0.98506124287231145</v>
      </c>
      <c r="T435">
        <f t="shared" si="75"/>
        <v>-23.123853760954528</v>
      </c>
    </row>
    <row r="436" spans="1:47" x14ac:dyDescent="0.35">
      <c r="A436">
        <v>4.5999999999999996</v>
      </c>
      <c r="B436">
        <v>16.399999999999999</v>
      </c>
      <c r="C436">
        <v>-0.20456616999999999</v>
      </c>
      <c r="D436">
        <v>-0.10069968999999999</v>
      </c>
      <c r="E436">
        <v>0.79530933000000004</v>
      </c>
      <c r="F436">
        <v>-0.10854105999999999</v>
      </c>
      <c r="G436">
        <f t="shared" si="66"/>
        <v>1.4371243737428701</v>
      </c>
      <c r="H436">
        <f t="shared" si="67"/>
        <v>-0.98842106370765703</v>
      </c>
      <c r="I436">
        <f t="shared" si="68"/>
        <v>1.4370774942731099</v>
      </c>
      <c r="J436">
        <f t="shared" si="69"/>
        <v>-0.99234217659656898</v>
      </c>
      <c r="K436" s="7">
        <f t="shared" si="70"/>
        <v>4.6879469760119397E-5</v>
      </c>
      <c r="L436" s="7">
        <f t="shared" si="71"/>
        <v>3.9211128889119502E-3</v>
      </c>
      <c r="M436" s="7">
        <f t="shared" si="72"/>
        <v>0.47118303380399101</v>
      </c>
      <c r="N436" s="7">
        <f t="shared" si="73"/>
        <v>0.32536505456647702</v>
      </c>
      <c r="O436">
        <v>8.2458738999999994</v>
      </c>
      <c r="P436">
        <v>-16.437446999999999</v>
      </c>
      <c r="Q436">
        <v>1.1117341000000001</v>
      </c>
      <c r="R436">
        <v>-18.118276999999999</v>
      </c>
      <c r="S436">
        <f t="shared" si="74"/>
        <v>0.98708904569611</v>
      </c>
      <c r="T436">
        <f t="shared" si="75"/>
        <v>-23.129455250275917</v>
      </c>
    </row>
    <row r="437" spans="1:47" x14ac:dyDescent="0.35">
      <c r="A437">
        <v>4.5999999999999996</v>
      </c>
      <c r="B437">
        <v>16.5</v>
      </c>
      <c r="C437">
        <v>-0.21831232</v>
      </c>
      <c r="D437">
        <v>-8.9813031000000002E-2</v>
      </c>
      <c r="E437">
        <v>0.78155918999999996</v>
      </c>
      <c r="F437">
        <v>-9.7801691999999996E-2</v>
      </c>
      <c r="G437">
        <f t="shared" si="66"/>
        <v>1.43296568759706</v>
      </c>
      <c r="H437">
        <f t="shared" si="67"/>
        <v>-0.828330470337028</v>
      </c>
      <c r="I437">
        <f t="shared" si="68"/>
        <v>1.43291739596631</v>
      </c>
      <c r="J437">
        <f t="shared" si="69"/>
        <v>-0.83232525037440397</v>
      </c>
      <c r="K437" s="7">
        <f t="shared" si="70"/>
        <v>4.8291630750041399E-5</v>
      </c>
      <c r="L437" s="7">
        <f t="shared" si="71"/>
        <v>3.9947800373759702E-3</v>
      </c>
      <c r="M437" s="7">
        <f t="shared" si="72"/>
        <v>0.52181654015374601</v>
      </c>
      <c r="N437" s="7">
        <f t="shared" si="73"/>
        <v>0.30310266569140298</v>
      </c>
      <c r="O437">
        <v>7.3433026000000003</v>
      </c>
      <c r="P437">
        <v>-17.465613000000001</v>
      </c>
      <c r="Q437">
        <v>-0.10848378</v>
      </c>
      <c r="R437">
        <v>-18.738113999999999</v>
      </c>
      <c r="S437">
        <f t="shared" si="74"/>
        <v>0.98901534671453528</v>
      </c>
      <c r="T437">
        <f t="shared" si="75"/>
        <v>-23.135708872470772</v>
      </c>
    </row>
    <row r="438" spans="1:47" x14ac:dyDescent="0.35">
      <c r="A438">
        <v>4.5999999999999996</v>
      </c>
      <c r="B438">
        <v>16.600000000000001</v>
      </c>
      <c r="C438">
        <v>-0.23070141</v>
      </c>
      <c r="D438">
        <v>-7.6976200999999994E-2</v>
      </c>
      <c r="E438">
        <v>0.76916399000000002</v>
      </c>
      <c r="F438">
        <v>-8.5113763999999995E-2</v>
      </c>
      <c r="G438">
        <f t="shared" si="66"/>
        <v>1.4288043551609999</v>
      </c>
      <c r="H438">
        <f t="shared" si="67"/>
        <v>-0.67534428598995799</v>
      </c>
      <c r="I438">
        <f t="shared" si="68"/>
        <v>1.4287536086830399</v>
      </c>
      <c r="J438">
        <f t="shared" si="69"/>
        <v>-0.67941354782760899</v>
      </c>
      <c r="K438" s="7">
        <f t="shared" si="70"/>
        <v>5.0746477959995297E-5</v>
      </c>
      <c r="L438" s="7">
        <f t="shared" si="71"/>
        <v>4.0692618376509896E-3</v>
      </c>
      <c r="M438" s="7">
        <f t="shared" si="72"/>
        <v>0.57083022857127097</v>
      </c>
      <c r="N438" s="7">
        <f t="shared" si="73"/>
        <v>0.27144623708655802</v>
      </c>
      <c r="O438">
        <v>6.2939588000000004</v>
      </c>
      <c r="P438">
        <v>-18.378817999999999</v>
      </c>
      <c r="Q438">
        <v>-1.4223376999999999</v>
      </c>
      <c r="R438">
        <v>-19.196278</v>
      </c>
      <c r="S438">
        <f t="shared" si="74"/>
        <v>0.99084999302528154</v>
      </c>
      <c r="T438">
        <f t="shared" si="75"/>
        <v>-23.141693901779472</v>
      </c>
    </row>
    <row r="439" spans="1:47" x14ac:dyDescent="0.35">
      <c r="A439">
        <v>4.5999999999999996</v>
      </c>
      <c r="B439">
        <v>16.7</v>
      </c>
      <c r="C439">
        <v>-0.24130597000000001</v>
      </c>
      <c r="D439">
        <v>-6.2540441000000002E-2</v>
      </c>
      <c r="E439">
        <v>0.75866624999999999</v>
      </c>
      <c r="F439">
        <v>-7.0911236000000002E-2</v>
      </c>
      <c r="G439">
        <f t="shared" si="66"/>
        <v>1.42477926277078</v>
      </c>
      <c r="H439">
        <f t="shared" si="67"/>
        <v>-0.53011640366954504</v>
      </c>
      <c r="I439">
        <f t="shared" si="68"/>
        <v>1.4247828905531701</v>
      </c>
      <c r="J439">
        <f t="shared" si="69"/>
        <v>-0.53430184412160198</v>
      </c>
      <c r="K439" s="7">
        <f t="shared" si="70"/>
        <v>-3.62778239004768E-6</v>
      </c>
      <c r="L439" s="7">
        <f t="shared" si="71"/>
        <v>4.1854404520569304E-3</v>
      </c>
      <c r="M439" s="7">
        <f t="shared" si="72"/>
        <v>0.61532812647977397</v>
      </c>
      <c r="N439" s="7">
        <f t="shared" si="73"/>
        <v>0.230751614788404</v>
      </c>
      <c r="O439">
        <v>5.1267918000000003</v>
      </c>
      <c r="P439">
        <v>-19.144337</v>
      </c>
      <c r="Q439">
        <v>-2.7916835999999998</v>
      </c>
      <c r="R439">
        <v>-19.473437000000001</v>
      </c>
      <c r="S439">
        <f t="shared" si="74"/>
        <v>0.99261332441893557</v>
      </c>
      <c r="T439">
        <f t="shared" si="75"/>
        <v>-23.150106116165553</v>
      </c>
    </row>
    <row r="440" spans="1:47" x14ac:dyDescent="0.35">
      <c r="A440">
        <v>4.5999999999999996</v>
      </c>
      <c r="B440">
        <v>16.8</v>
      </c>
      <c r="C440">
        <v>-0.24980338999999999</v>
      </c>
      <c r="D440">
        <v>-4.6958016999999998E-2</v>
      </c>
      <c r="E440">
        <v>0.75016839999999996</v>
      </c>
      <c r="F440">
        <v>-5.5487068000000001E-2</v>
      </c>
      <c r="G440">
        <f t="shared" si="66"/>
        <v>1.4207097651707501</v>
      </c>
      <c r="H440">
        <f t="shared" si="67"/>
        <v>-0.39169018258159699</v>
      </c>
      <c r="I440">
        <f t="shared" si="68"/>
        <v>1.42071384658836</v>
      </c>
      <c r="J440">
        <f t="shared" si="69"/>
        <v>-0.395954750828024</v>
      </c>
      <c r="K440" s="7">
        <f t="shared" si="70"/>
        <v>-4.0814176098802301E-6</v>
      </c>
      <c r="L440" s="7">
        <f t="shared" si="71"/>
        <v>4.2645682464270097E-3</v>
      </c>
      <c r="M440" s="7">
        <f t="shared" si="72"/>
        <v>0.65313930783103102</v>
      </c>
      <c r="N440" s="7">
        <f t="shared" si="73"/>
        <v>0.18203075341966099</v>
      </c>
      <c r="O440">
        <v>3.8791329000000001</v>
      </c>
      <c r="P440">
        <v>-19.739325999999998</v>
      </c>
      <c r="Q440">
        <v>-4.1715976000000001</v>
      </c>
      <c r="R440">
        <v>-19.562580000000001</v>
      </c>
      <c r="S440">
        <f t="shared" si="74"/>
        <v>0.994310440555497</v>
      </c>
      <c r="T440">
        <f t="shared" si="75"/>
        <v>-23.155638910274529</v>
      </c>
    </row>
    <row r="441" spans="1:47" x14ac:dyDescent="0.35">
      <c r="A441">
        <v>4.5999999999999996</v>
      </c>
      <c r="B441">
        <v>16.899999999999999</v>
      </c>
      <c r="C441">
        <v>-0.25599327999999999</v>
      </c>
      <c r="D441">
        <v>-3.0916266000000001E-2</v>
      </c>
      <c r="E441">
        <v>0.74399333999999995</v>
      </c>
      <c r="F441">
        <v>-3.9586969999999999E-2</v>
      </c>
      <c r="G441">
        <f t="shared" si="66"/>
        <v>1.4167736892474501</v>
      </c>
      <c r="H441">
        <f t="shared" si="67"/>
        <v>-0.26177606686768901</v>
      </c>
      <c r="I441">
        <f t="shared" si="68"/>
        <v>1.41678579450361</v>
      </c>
      <c r="J441">
        <f t="shared" si="69"/>
        <v>-0.26611139539049</v>
      </c>
      <c r="K441" s="7">
        <f t="shared" si="70"/>
        <v>-1.21052561599111E-5</v>
      </c>
      <c r="L441" s="7">
        <f t="shared" si="71"/>
        <v>4.3353285228009998E-3</v>
      </c>
      <c r="M441" s="7">
        <f t="shared" si="72"/>
        <v>0.68177068524701701</v>
      </c>
      <c r="N441" s="7">
        <f t="shared" si="73"/>
        <v>0.128055313012917</v>
      </c>
      <c r="O441">
        <v>2.6061264</v>
      </c>
      <c r="P441">
        <v>-20.151138</v>
      </c>
      <c r="Q441">
        <v>-5.5061931</v>
      </c>
      <c r="R441">
        <v>-19.471456</v>
      </c>
      <c r="S441">
        <f t="shared" si="74"/>
        <v>0.99586840366394758</v>
      </c>
      <c r="T441">
        <f t="shared" si="75"/>
        <v>-23.159093229772079</v>
      </c>
    </row>
    <row r="442" spans="1:47" x14ac:dyDescent="0.35">
      <c r="A442">
        <v>4.5999999999999996</v>
      </c>
      <c r="B442">
        <v>17</v>
      </c>
      <c r="C442">
        <v>-0.25968091999999998</v>
      </c>
      <c r="D442">
        <v>-1.908106E-2</v>
      </c>
      <c r="E442">
        <v>0.74029252000000001</v>
      </c>
      <c r="F442">
        <v>-2.7935774999999999E-2</v>
      </c>
      <c r="G442">
        <f t="shared" si="66"/>
        <v>1.4096892912635901</v>
      </c>
      <c r="H442">
        <f t="shared" si="67"/>
        <v>-0.17065827395756999</v>
      </c>
      <c r="I442">
        <f t="shared" si="68"/>
        <v>1.40969561297837</v>
      </c>
      <c r="J442">
        <f t="shared" si="69"/>
        <v>-0.17508566226479499</v>
      </c>
      <c r="K442" s="7">
        <f t="shared" si="70"/>
        <v>-6.3217147798777501E-6</v>
      </c>
      <c r="L442" s="7">
        <f t="shared" si="71"/>
        <v>4.4273883072249998E-3</v>
      </c>
      <c r="M442" s="7">
        <f t="shared" si="72"/>
        <v>0.698596516722646</v>
      </c>
      <c r="N442" s="7">
        <f t="shared" si="73"/>
        <v>8.6766414437398007E-2</v>
      </c>
      <c r="O442">
        <v>1.7246418999999999</v>
      </c>
      <c r="P442">
        <v>-20.867266000000001</v>
      </c>
      <c r="Q442">
        <v>-6.4109029</v>
      </c>
      <c r="R442">
        <v>-19.250534999999999</v>
      </c>
      <c r="S442">
        <f t="shared" si="74"/>
        <v>0.96903076506755526</v>
      </c>
      <c r="T442">
        <f t="shared" si="75"/>
        <v>-23.143685072034263</v>
      </c>
      <c r="AT442">
        <v>17</v>
      </c>
      <c r="AU442">
        <v>0.698596516722646</v>
      </c>
    </row>
    <row r="443" spans="1:47" x14ac:dyDescent="0.35">
      <c r="A443">
        <v>4.8</v>
      </c>
      <c r="B443">
        <v>15</v>
      </c>
      <c r="C443">
        <v>-5.2642045999999998E-2</v>
      </c>
      <c r="D443">
        <v>-0.10256315000000001</v>
      </c>
      <c r="E443">
        <v>0.94733385999999997</v>
      </c>
      <c r="F443">
        <v>-0.10883464</v>
      </c>
      <c r="G443">
        <f t="shared" si="66"/>
        <v>1.38796053122117</v>
      </c>
      <c r="H443">
        <f t="shared" si="67"/>
        <v>-3.7883601729461698</v>
      </c>
      <c r="I443">
        <f t="shared" si="68"/>
        <v>1.38795831723143</v>
      </c>
      <c r="J443">
        <f t="shared" si="69"/>
        <v>-3.7914959626655298</v>
      </c>
      <c r="K443" s="7">
        <f t="shared" si="70"/>
        <v>2.21398973998532E-6</v>
      </c>
      <c r="L443" s="7">
        <f t="shared" si="71"/>
        <v>3.1357897193600198E-3</v>
      </c>
      <c r="M443" s="7">
        <f t="shared" si="72"/>
        <v>8.51410496828333E-2</v>
      </c>
      <c r="N443" s="7">
        <f t="shared" si="73"/>
        <v>0.23258043279965601</v>
      </c>
      <c r="O443">
        <v>8.7587056000000008</v>
      </c>
      <c r="P443">
        <v>-4.4426062000000002</v>
      </c>
      <c r="Q443">
        <v>5.9331633999999998</v>
      </c>
      <c r="R443">
        <v>-7.0489065000000002</v>
      </c>
      <c r="S443">
        <f t="shared" si="74"/>
        <v>0.93814967269757288</v>
      </c>
      <c r="T443">
        <f t="shared" si="75"/>
        <v>-23.017094977177567</v>
      </c>
    </row>
    <row r="444" spans="1:47" x14ac:dyDescent="0.35">
      <c r="A444">
        <v>4.8</v>
      </c>
      <c r="B444">
        <v>15.1</v>
      </c>
      <c r="C444">
        <v>-5.8524743999999997E-2</v>
      </c>
      <c r="D444">
        <v>-0.10684462</v>
      </c>
      <c r="E444">
        <v>0.94145290999999998</v>
      </c>
      <c r="F444">
        <v>-0.11324455999999999</v>
      </c>
      <c r="G444">
        <f t="shared" si="66"/>
        <v>1.3838482129612</v>
      </c>
      <c r="H444">
        <f t="shared" si="67"/>
        <v>-3.5399393359540601</v>
      </c>
      <c r="I444">
        <f t="shared" si="68"/>
        <v>1.3838472798827399</v>
      </c>
      <c r="J444">
        <f t="shared" si="69"/>
        <v>-3.5431393446935902</v>
      </c>
      <c r="K444" s="7">
        <f t="shared" si="70"/>
        <v>9.3307846005252802E-7</v>
      </c>
      <c r="L444" s="7">
        <f t="shared" si="71"/>
        <v>3.2000087395300798E-3</v>
      </c>
      <c r="M444" s="7">
        <f t="shared" si="72"/>
        <v>9.5643081154477103E-2</v>
      </c>
      <c r="N444" s="7">
        <f t="shared" si="73"/>
        <v>0.244880174866452</v>
      </c>
      <c r="O444">
        <v>9.0901338999999997</v>
      </c>
      <c r="P444">
        <v>-4.9214457999999999</v>
      </c>
      <c r="Q444">
        <v>6.0474435</v>
      </c>
      <c r="R444">
        <v>-7.5899799000000003</v>
      </c>
      <c r="S444">
        <f t="shared" si="74"/>
        <v>0.93883280923633361</v>
      </c>
      <c r="T444">
        <f t="shared" si="75"/>
        <v>-23.021983895840947</v>
      </c>
    </row>
    <row r="445" spans="1:47" x14ac:dyDescent="0.35">
      <c r="A445">
        <v>4.8</v>
      </c>
      <c r="B445">
        <v>15.2</v>
      </c>
      <c r="C445">
        <v>-6.5118521999999998E-2</v>
      </c>
      <c r="D445">
        <v>-0.11109262</v>
      </c>
      <c r="E445">
        <v>0.93486119999999995</v>
      </c>
      <c r="F445">
        <v>-0.11762627</v>
      </c>
      <c r="G445">
        <f t="shared" si="66"/>
        <v>1.3801763649833301</v>
      </c>
      <c r="H445">
        <f t="shared" si="67"/>
        <v>-3.2997695607779098</v>
      </c>
      <c r="I445">
        <f t="shared" si="68"/>
        <v>1.3801768982368201</v>
      </c>
      <c r="J445">
        <f t="shared" si="69"/>
        <v>-3.3030364171585198</v>
      </c>
      <c r="K445" s="7">
        <f t="shared" si="70"/>
        <v>-5.3325349003152698E-7</v>
      </c>
      <c r="L445" s="7">
        <f t="shared" si="71"/>
        <v>3.26685638060997E-3</v>
      </c>
      <c r="M445" s="7">
        <f t="shared" si="72"/>
        <v>0.107700631488951</v>
      </c>
      <c r="N445" s="7">
        <f t="shared" si="73"/>
        <v>0.25774892219499701</v>
      </c>
      <c r="O445">
        <v>9.4032817000000009</v>
      </c>
      <c r="P445">
        <v>-5.4483851000000003</v>
      </c>
      <c r="Q445">
        <v>6.1379973999999997</v>
      </c>
      <c r="R445">
        <v>-8.1806380999999995</v>
      </c>
      <c r="S445">
        <f t="shared" si="74"/>
        <v>0.94107510789715543</v>
      </c>
      <c r="T445">
        <f t="shared" si="75"/>
        <v>-23.030246790048523</v>
      </c>
    </row>
    <row r="446" spans="1:47" x14ac:dyDescent="0.35">
      <c r="A446">
        <v>4.8</v>
      </c>
      <c r="B446">
        <v>15.3</v>
      </c>
      <c r="C446">
        <v>-7.2481176999999994E-2</v>
      </c>
      <c r="D446">
        <v>-0.11523782</v>
      </c>
      <c r="E446">
        <v>0.92749870999999995</v>
      </c>
      <c r="F446">
        <v>-0.12190852000000001</v>
      </c>
      <c r="G446">
        <f t="shared" si="66"/>
        <v>1.3765934714755099</v>
      </c>
      <c r="H446">
        <f t="shared" si="67"/>
        <v>-3.0678579519257001</v>
      </c>
      <c r="I446">
        <f t="shared" si="68"/>
        <v>1.3765945396458701</v>
      </c>
      <c r="J446">
        <f t="shared" si="69"/>
        <v>-3.07119333190523</v>
      </c>
      <c r="K446" s="7">
        <f t="shared" si="70"/>
        <v>-1.06817036016338E-6</v>
      </c>
      <c r="L446" s="7">
        <f t="shared" si="71"/>
        <v>3.3353799795299301E-3</v>
      </c>
      <c r="M446" s="7">
        <f t="shared" si="72"/>
        <v>0.121529553278702</v>
      </c>
      <c r="N446" s="7">
        <f t="shared" si="73"/>
        <v>0.27113339687878502</v>
      </c>
      <c r="O446">
        <v>9.6957967000000007</v>
      </c>
      <c r="P446">
        <v>-6.0284386999999997</v>
      </c>
      <c r="Q446">
        <v>6.1973653999999998</v>
      </c>
      <c r="R446">
        <v>-8.8217063000000007</v>
      </c>
      <c r="S446">
        <f t="shared" si="74"/>
        <v>0.94428347854696604</v>
      </c>
      <c r="T446">
        <f t="shared" si="75"/>
        <v>-23.039839783620124</v>
      </c>
    </row>
    <row r="447" spans="1:47" x14ac:dyDescent="0.35">
      <c r="A447">
        <v>4.8</v>
      </c>
      <c r="B447">
        <v>15.4</v>
      </c>
      <c r="C447">
        <v>-8.0687732999999998E-2</v>
      </c>
      <c r="D447">
        <v>-0.11919149</v>
      </c>
      <c r="E447">
        <v>0.91929097999999998</v>
      </c>
      <c r="F447">
        <v>-0.12600238</v>
      </c>
      <c r="G447">
        <f t="shared" si="66"/>
        <v>1.3730264189646699</v>
      </c>
      <c r="H447">
        <f t="shared" si="67"/>
        <v>-2.8437988256834501</v>
      </c>
      <c r="I447">
        <f t="shared" si="68"/>
        <v>1.3730273726428399</v>
      </c>
      <c r="J447">
        <f t="shared" si="69"/>
        <v>-2.8472043036819499</v>
      </c>
      <c r="K447" s="7">
        <f t="shared" si="70"/>
        <v>-9.5367816999036805E-7</v>
      </c>
      <c r="L447" s="7">
        <f t="shared" si="71"/>
        <v>3.4054779984997699E-3</v>
      </c>
      <c r="M447" s="7">
        <f t="shared" si="72"/>
        <v>0.13741574092113101</v>
      </c>
      <c r="N447" s="7">
        <f t="shared" si="73"/>
        <v>0.28495476254868801</v>
      </c>
      <c r="O447">
        <v>9.9754746999999995</v>
      </c>
      <c r="P447">
        <v>-6.6756148</v>
      </c>
      <c r="Q447">
        <v>6.2167895</v>
      </c>
      <c r="R447">
        <v>-9.5148729000000003</v>
      </c>
      <c r="S447">
        <f t="shared" si="74"/>
        <v>0.94690648145876344</v>
      </c>
      <c r="T447">
        <f t="shared" si="75"/>
        <v>-23.049817569003725</v>
      </c>
    </row>
    <row r="448" spans="1:47" x14ac:dyDescent="0.35">
      <c r="A448">
        <v>4.8</v>
      </c>
      <c r="B448">
        <v>15.5</v>
      </c>
      <c r="C448">
        <v>-8.9808765999999998E-2</v>
      </c>
      <c r="D448">
        <v>-0.12283765000000001</v>
      </c>
      <c r="E448">
        <v>0.91016777999999998</v>
      </c>
      <c r="F448">
        <v>-0.12979199</v>
      </c>
      <c r="G448">
        <f t="shared" si="66"/>
        <v>1.36945647495004</v>
      </c>
      <c r="H448">
        <f t="shared" si="67"/>
        <v>-2.6272837177016499</v>
      </c>
      <c r="I448">
        <f t="shared" si="68"/>
        <v>1.36945683880291</v>
      </c>
      <c r="J448">
        <f t="shared" si="69"/>
        <v>-2.6307609272137098</v>
      </c>
      <c r="K448" s="7">
        <f t="shared" si="70"/>
        <v>-3.6385287005558098E-7</v>
      </c>
      <c r="L448" s="7">
        <f t="shared" si="71"/>
        <v>3.4772095120598799E-3</v>
      </c>
      <c r="M448" s="7">
        <f t="shared" si="72"/>
        <v>0.155685286949061</v>
      </c>
      <c r="N448" s="7">
        <f t="shared" si="73"/>
        <v>0.299075340122193</v>
      </c>
      <c r="O448">
        <v>10.227321999999999</v>
      </c>
      <c r="P448">
        <v>-7.3914923999999997</v>
      </c>
      <c r="Q448">
        <v>6.1858215000000003</v>
      </c>
      <c r="R448">
        <v>-10.260756000000001</v>
      </c>
      <c r="S448">
        <f t="shared" si="74"/>
        <v>0.94947223278727011</v>
      </c>
      <c r="T448">
        <f t="shared" si="75"/>
        <v>-23.059414639696737</v>
      </c>
    </row>
    <row r="449" spans="1:47" x14ac:dyDescent="0.35">
      <c r="A449">
        <v>4.8</v>
      </c>
      <c r="B449">
        <v>15.6</v>
      </c>
      <c r="C449">
        <v>-9.9920027999999994E-2</v>
      </c>
      <c r="D449">
        <v>-0.12603073000000001</v>
      </c>
      <c r="E449">
        <v>0.90009189000000001</v>
      </c>
      <c r="F449">
        <v>-0.13310917999999999</v>
      </c>
      <c r="G449">
        <f t="shared" si="66"/>
        <v>1.3660649309195301</v>
      </c>
      <c r="H449">
        <f t="shared" si="67"/>
        <v>-2.4181813853806</v>
      </c>
      <c r="I449">
        <f t="shared" si="68"/>
        <v>1.3660834156168</v>
      </c>
      <c r="J449">
        <f t="shared" si="69"/>
        <v>-2.4217205238693702</v>
      </c>
      <c r="K449" s="7">
        <f t="shared" si="70"/>
        <v>-1.84846972699493E-5</v>
      </c>
      <c r="L449" s="7">
        <f t="shared" si="71"/>
        <v>3.53913848877019E-3</v>
      </c>
      <c r="M449" s="7">
        <f t="shared" si="72"/>
        <v>0.17670399403086301</v>
      </c>
      <c r="N449" s="7">
        <f t="shared" si="73"/>
        <v>0.31325150726686801</v>
      </c>
      <c r="O449">
        <v>10.440193000000001</v>
      </c>
      <c r="P449">
        <v>-8.1810969</v>
      </c>
      <c r="Q449">
        <v>6.0922204999999998</v>
      </c>
      <c r="R449">
        <v>-11.060988999999999</v>
      </c>
      <c r="S449">
        <f t="shared" si="74"/>
        <v>0.95204895757667019</v>
      </c>
      <c r="T449">
        <f t="shared" si="75"/>
        <v>-23.071912334799823</v>
      </c>
    </row>
    <row r="450" spans="1:47" x14ac:dyDescent="0.35">
      <c r="A450">
        <v>4.8</v>
      </c>
      <c r="B450">
        <v>15.7</v>
      </c>
      <c r="C450">
        <v>-0.11104052</v>
      </c>
      <c r="D450">
        <v>-0.12859470000000001</v>
      </c>
      <c r="E450">
        <v>0.88897168999999998</v>
      </c>
      <c r="F450">
        <v>-0.13582221</v>
      </c>
      <c r="G450">
        <f t="shared" si="66"/>
        <v>1.36250164997833</v>
      </c>
      <c r="H450">
        <f t="shared" si="67"/>
        <v>-2.2158815522978599</v>
      </c>
      <c r="I450">
        <f t="shared" si="68"/>
        <v>1.3625208137565501</v>
      </c>
      <c r="J450">
        <f t="shared" si="69"/>
        <v>-2.2194952159832502</v>
      </c>
      <c r="K450" s="7">
        <f t="shared" si="70"/>
        <v>-1.91637782200882E-5</v>
      </c>
      <c r="L450" s="7">
        <f t="shared" si="71"/>
        <v>3.6136636853902901E-3</v>
      </c>
      <c r="M450" s="7">
        <f t="shared" si="72"/>
        <v>0.20088408545165401</v>
      </c>
      <c r="N450" s="7">
        <f t="shared" si="73"/>
        <v>0.327232628027054</v>
      </c>
      <c r="O450">
        <v>10.600421000000001</v>
      </c>
      <c r="P450">
        <v>-9.0458098000000007</v>
      </c>
      <c r="Q450">
        <v>5.9232800000000001</v>
      </c>
      <c r="R450">
        <v>-11.909692</v>
      </c>
      <c r="S450">
        <f t="shared" si="74"/>
        <v>0.95450047304057295</v>
      </c>
      <c r="T450">
        <f t="shared" si="75"/>
        <v>-23.080966966860576</v>
      </c>
    </row>
    <row r="451" spans="1:47" x14ac:dyDescent="0.35">
      <c r="A451">
        <v>4.8</v>
      </c>
      <c r="B451">
        <v>15.8</v>
      </c>
      <c r="C451">
        <v>-0.12318439</v>
      </c>
      <c r="D451">
        <v>-0.13031935</v>
      </c>
      <c r="E451">
        <v>0.87682824999999998</v>
      </c>
      <c r="F451">
        <v>-0.13769965000000001</v>
      </c>
      <c r="G451">
        <f t="shared" ref="G451:G484" si="76">IMREAL(IMDIV(IMSUM(IMPRODUCT(COMPLEX(1 + C451,D451),COMPLEX(1 - C451, - D451)),IMPRODUCT(COMPLEX(E451,F451),COMPLEX(E451,F451))),IMSUB(IMPRODUCT(COMPLEX(1 - C451, - D451),COMPLEX(1 - C451, - D451)),IMPRODUCT(COMPLEX(E451,F451),COMPLEX(E451,F451)))))</f>
        <v>1.3589234472567699</v>
      </c>
      <c r="H451">
        <f t="shared" ref="H451:H484" si="77">IMAGINARY(IMDIV(IMSUM(IMPRODUCT(COMPLEX(1 + C451,D451),COMPLEX(1 - C451, - D451)),IMPRODUCT(COMPLEX(E451,F451),COMPLEX(E451,F451))),IMSUB(IMPRODUCT(COMPLEX(1 - C451, - D451),COMPLEX(1 - C451, - D451)),IMPRODUCT(COMPLEX(E451,F451),COMPLEX(E451,F451)))))</f>
        <v>-2.0205501738274099</v>
      </c>
      <c r="I451">
        <f t="shared" ref="I451:I484" si="78">IMREAL(IMDIV(IMPRODUCT(COMPLEX(2,0),COMPLEX(E451,F451)),IMSUB(IMPRODUCT(COMPLEX(1 - C451, - D451),COMPLEX(1 - C451, - D451)),IMPRODUCT(COMPLEX(E451,F451),COMPLEX(E451,F451)))))</f>
        <v>1.3589433839802501</v>
      </c>
      <c r="J451">
        <f t="shared" ref="J451:J484" si="79">IMAGINARY(IMDIV(IMPRODUCT(COMPLEX(2,0),COMPLEX(E451,F451)),IMSUB(IMPRODUCT(COMPLEX(1 - C451, - D451),COMPLEX(1 - C451, - D451)),IMPRODUCT(COMPLEX(E451,F451),COMPLEX(E451,F451)))))</f>
        <v>-2.0242402269367701</v>
      </c>
      <c r="K451" s="7">
        <f t="shared" ref="K451:K484" si="80">IMREAL(IMSUB(COMPLEX(G451,H451),COMPLEX(I451,J451)))</f>
        <v>-1.9936723480107298E-5</v>
      </c>
      <c r="L451" s="7">
        <f t="shared" ref="L451:L484" si="81">IMAGINARY(IMSUB(COMPLEX(G451,H451),COMPLEX(I451,J451)))</f>
        <v>3.6900531093602101E-3</v>
      </c>
      <c r="M451" s="7">
        <f t="shared" ref="M451:M484" si="82">IMREAL(IMDIV(IMSUB(IMPRODUCT(COMPLEX(1 - C451, - D451),COMPLEX(1 - C451, - D451)),IMPRODUCT(COMPLEX(E451,F451),COMPLEX(E451,F451))),IMPRODUCT(COMPLEX(2,0),COMPLEX(E451,F451))))</f>
        <v>0.22861379106399199</v>
      </c>
      <c r="N451" s="7">
        <f t="shared" ref="N451:N484" si="83">IMAGINARY(IMDIV(IMSUB(IMPRODUCT(COMPLEX(1 - C451, - D451),COMPLEX(1 - C451, - D451)),IMPRODUCT(COMPLEX(E451,F451),COMPLEX(E451,F451))),IMPRODUCT(COMPLEX(2,0),COMPLEX(E451,F451))))</f>
        <v>0.340536064827683</v>
      </c>
      <c r="O451">
        <v>10.6998</v>
      </c>
      <c r="P451">
        <v>-9.9928293999999998</v>
      </c>
      <c r="Q451">
        <v>5.6642080999999997</v>
      </c>
      <c r="R451">
        <v>-12.80158</v>
      </c>
      <c r="S451">
        <f t="shared" ref="S451:S484" si="84">IMABS(COMPLEX(Q451,R451))/IMABS(COMPLEX(O451,P451))</f>
        <v>0.9561671437268735</v>
      </c>
      <c r="T451">
        <f t="shared" ref="T451:T484" si="85">IMARGUMENT(IMDIV(COMPLEX(Q451,R451),COMPLEX(O451/B451,P451/B451)))/PI()*180</f>
        <v>-23.089216206237044</v>
      </c>
    </row>
    <row r="452" spans="1:47" x14ac:dyDescent="0.35">
      <c r="A452">
        <v>4.8</v>
      </c>
      <c r="B452">
        <v>15.9</v>
      </c>
      <c r="C452">
        <v>-0.13631471000000001</v>
      </c>
      <c r="D452">
        <v>-0.13096859</v>
      </c>
      <c r="E452">
        <v>0.86369839000000004</v>
      </c>
      <c r="F452">
        <v>-0.13850492</v>
      </c>
      <c r="G452">
        <f t="shared" si="76"/>
        <v>1.3553348475193201</v>
      </c>
      <c r="H452">
        <f t="shared" si="77"/>
        <v>-1.8320721648704099</v>
      </c>
      <c r="I452">
        <f t="shared" si="78"/>
        <v>1.3553555960632699</v>
      </c>
      <c r="J452">
        <f t="shared" si="79"/>
        <v>-1.83584022700566</v>
      </c>
      <c r="K452" s="7">
        <f t="shared" si="80"/>
        <v>-2.0748543949844499E-5</v>
      </c>
      <c r="L452" s="7">
        <f t="shared" si="81"/>
        <v>3.7680621352500498E-3</v>
      </c>
      <c r="M452" s="7">
        <f t="shared" si="82"/>
        <v>0.26028000740496299</v>
      </c>
      <c r="N452" s="7">
        <f t="shared" si="83"/>
        <v>0.35255139630312599</v>
      </c>
      <c r="O452">
        <v>10.703626</v>
      </c>
      <c r="P452">
        <v>-11.003575</v>
      </c>
      <c r="Q452">
        <v>5.2996867999999999</v>
      </c>
      <c r="R452">
        <v>-13.726597999999999</v>
      </c>
      <c r="S452">
        <f t="shared" si="84"/>
        <v>0.95852811196503951</v>
      </c>
      <c r="T452">
        <f t="shared" si="85"/>
        <v>-23.097320146860252</v>
      </c>
    </row>
    <row r="453" spans="1:47" x14ac:dyDescent="0.35">
      <c r="A453">
        <v>4.8</v>
      </c>
      <c r="B453">
        <v>16</v>
      </c>
      <c r="C453">
        <v>-0.15037395000000001</v>
      </c>
      <c r="D453">
        <v>-0.13028838000000001</v>
      </c>
      <c r="E453">
        <v>0.84963825999999998</v>
      </c>
      <c r="F453">
        <v>-0.13797898</v>
      </c>
      <c r="G453">
        <f t="shared" si="76"/>
        <v>1.3517039043024499</v>
      </c>
      <c r="H453">
        <f t="shared" si="77"/>
        <v>-1.6498750986431701</v>
      </c>
      <c r="I453">
        <f t="shared" si="78"/>
        <v>1.3517247951078399</v>
      </c>
      <c r="J453">
        <f t="shared" si="79"/>
        <v>-1.6537202948368299</v>
      </c>
      <c r="K453" s="7">
        <f t="shared" si="80"/>
        <v>-2.0890805390028101E-5</v>
      </c>
      <c r="L453" s="7">
        <f t="shared" si="81"/>
        <v>3.8451961936598598E-3</v>
      </c>
      <c r="M453" s="7">
        <f t="shared" si="82"/>
        <v>0.296304119345001</v>
      </c>
      <c r="N453" s="7">
        <f t="shared" si="83"/>
        <v>0.36250288326292801</v>
      </c>
      <c r="O453">
        <v>10.60656</v>
      </c>
      <c r="P453">
        <v>-12.085775</v>
      </c>
      <c r="Q453">
        <v>4.8141274000000003</v>
      </c>
      <c r="R453">
        <v>-14.672912999999999</v>
      </c>
      <c r="S453">
        <f t="shared" si="84"/>
        <v>0.96035571941209441</v>
      </c>
      <c r="T453">
        <f t="shared" si="85"/>
        <v>-23.105944749481257</v>
      </c>
    </row>
    <row r="454" spans="1:47" x14ac:dyDescent="0.35">
      <c r="A454">
        <v>4.8</v>
      </c>
      <c r="B454">
        <v>16.100000000000001</v>
      </c>
      <c r="C454">
        <v>-0.16516075999999999</v>
      </c>
      <c r="D454">
        <v>-0.12801467</v>
      </c>
      <c r="E454">
        <v>0.83487106</v>
      </c>
      <c r="F454">
        <v>-0.13588702</v>
      </c>
      <c r="G454">
        <f t="shared" si="76"/>
        <v>1.3479099047733101</v>
      </c>
      <c r="H454">
        <f t="shared" si="77"/>
        <v>-1.47452579391368</v>
      </c>
      <c r="I454">
        <f t="shared" si="78"/>
        <v>1.34794130701431</v>
      </c>
      <c r="J454">
        <f t="shared" si="79"/>
        <v>-1.47846178268739</v>
      </c>
      <c r="K454" s="7">
        <f t="shared" si="80"/>
        <v>-3.1402240999955901E-5</v>
      </c>
      <c r="L454" s="7">
        <f t="shared" si="81"/>
        <v>3.9359887737100401E-3</v>
      </c>
      <c r="M454" s="7">
        <f t="shared" si="82"/>
        <v>0.336750021832043</v>
      </c>
      <c r="N454" s="7">
        <f t="shared" si="83"/>
        <v>0.36935735629365501</v>
      </c>
      <c r="O454">
        <v>10.375042000000001</v>
      </c>
      <c r="P454">
        <v>-13.206455</v>
      </c>
      <c r="Q454">
        <v>4.1966910999999998</v>
      </c>
      <c r="R454">
        <v>-15.617489000000001</v>
      </c>
      <c r="S454">
        <f t="shared" si="84"/>
        <v>0.96291153259628015</v>
      </c>
      <c r="T454">
        <f t="shared" si="85"/>
        <v>-23.11225547368327</v>
      </c>
    </row>
    <row r="455" spans="1:47" x14ac:dyDescent="0.35">
      <c r="A455">
        <v>4.8</v>
      </c>
      <c r="B455">
        <v>16.2</v>
      </c>
      <c r="C455">
        <v>-0.18041715</v>
      </c>
      <c r="D455">
        <v>-0.12389840000000001</v>
      </c>
      <c r="E455">
        <v>0.81961527000000001</v>
      </c>
      <c r="F455">
        <v>-0.13193766000000001</v>
      </c>
      <c r="G455">
        <f t="shared" si="76"/>
        <v>1.34429052351198</v>
      </c>
      <c r="H455">
        <f t="shared" si="77"/>
        <v>-1.3057444474350399</v>
      </c>
      <c r="I455">
        <f t="shared" si="78"/>
        <v>1.3443228896278201</v>
      </c>
      <c r="J455">
        <f t="shared" si="79"/>
        <v>-1.3097638821802</v>
      </c>
      <c r="K455" s="7">
        <f t="shared" si="80"/>
        <v>-3.2366115840121202E-5</v>
      </c>
      <c r="L455" s="7">
        <f t="shared" si="81"/>
        <v>4.0194347451600904E-3</v>
      </c>
      <c r="M455" s="7">
        <f t="shared" si="82"/>
        <v>0.38161876937670802</v>
      </c>
      <c r="N455" s="7">
        <f t="shared" si="83"/>
        <v>0.371808354040635</v>
      </c>
      <c r="O455">
        <v>10.008746</v>
      </c>
      <c r="P455">
        <v>-14.366891000000001</v>
      </c>
      <c r="Q455">
        <v>3.4374272000000001</v>
      </c>
      <c r="R455">
        <v>-16.535534999999999</v>
      </c>
      <c r="S455">
        <f t="shared" si="84"/>
        <v>0.96456469308623149</v>
      </c>
      <c r="T455">
        <f t="shared" si="85"/>
        <v>-23.119675866809423</v>
      </c>
    </row>
    <row r="456" spans="1:47" x14ac:dyDescent="0.35">
      <c r="A456">
        <v>4.8</v>
      </c>
      <c r="B456">
        <v>16.3</v>
      </c>
      <c r="C456">
        <v>-0.19581341999999999</v>
      </c>
      <c r="D456">
        <v>-0.11775317</v>
      </c>
      <c r="E456">
        <v>0.80422008</v>
      </c>
      <c r="F456">
        <v>-0.12596257999999999</v>
      </c>
      <c r="G456">
        <f t="shared" si="76"/>
        <v>1.34067301237573</v>
      </c>
      <c r="H456">
        <f t="shared" si="77"/>
        <v>-1.1435369424075199</v>
      </c>
      <c r="I456">
        <f t="shared" si="78"/>
        <v>1.3407066095678499</v>
      </c>
      <c r="J456">
        <f t="shared" si="79"/>
        <v>-1.1476414407506099</v>
      </c>
      <c r="K456" s="7">
        <f t="shared" si="80"/>
        <v>-3.3597192119927399E-5</v>
      </c>
      <c r="L456" s="7">
        <f t="shared" si="81"/>
        <v>4.1044983430900102E-3</v>
      </c>
      <c r="M456" s="7">
        <f t="shared" si="82"/>
        <v>0.430462124384762</v>
      </c>
      <c r="N456" s="7">
        <f t="shared" si="83"/>
        <v>0.36847448136079097</v>
      </c>
      <c r="O456">
        <v>9.4830678000000006</v>
      </c>
      <c r="P456">
        <v>-15.526324000000001</v>
      </c>
      <c r="Q456">
        <v>2.5346666</v>
      </c>
      <c r="R456">
        <v>-17.398503999999999</v>
      </c>
      <c r="S456">
        <f t="shared" si="84"/>
        <v>0.96640995519768158</v>
      </c>
      <c r="T456">
        <f t="shared" si="85"/>
        <v>-23.126769230269485</v>
      </c>
    </row>
    <row r="457" spans="1:47" x14ac:dyDescent="0.35">
      <c r="A457">
        <v>4.8</v>
      </c>
      <c r="B457">
        <v>16.399999999999999</v>
      </c>
      <c r="C457">
        <v>-0.21094289999999999</v>
      </c>
      <c r="D457">
        <v>-0.10946306</v>
      </c>
      <c r="E457">
        <v>0.78901558999999999</v>
      </c>
      <c r="F457">
        <v>-0.11780681</v>
      </c>
      <c r="G457">
        <f t="shared" si="76"/>
        <v>1.3370700983817201</v>
      </c>
      <c r="H457">
        <f t="shared" si="77"/>
        <v>-0.98744536478759304</v>
      </c>
      <c r="I457">
        <f t="shared" si="78"/>
        <v>1.3370667482727501</v>
      </c>
      <c r="J457">
        <f t="shared" si="79"/>
        <v>-0.99161734035318005</v>
      </c>
      <c r="K457" s="7">
        <f t="shared" si="80"/>
        <v>3.3501089700127602E-6</v>
      </c>
      <c r="L457" s="7">
        <f t="shared" si="81"/>
        <v>4.1719755655870196E-3</v>
      </c>
      <c r="M457" s="7">
        <f t="shared" si="82"/>
        <v>0.48251225037907403</v>
      </c>
      <c r="N457" s="7">
        <f t="shared" si="83"/>
        <v>0.35784863771896103</v>
      </c>
      <c r="O457">
        <v>8.7921297000000003</v>
      </c>
      <c r="P457">
        <v>-16.654692000000001</v>
      </c>
      <c r="Q457">
        <v>1.4931536000000001</v>
      </c>
      <c r="R457">
        <v>-18.173749999999998</v>
      </c>
      <c r="S457">
        <f t="shared" si="84"/>
        <v>0.96824861137762619</v>
      </c>
      <c r="T457">
        <f t="shared" si="85"/>
        <v>-23.133023681320122</v>
      </c>
    </row>
    <row r="458" spans="1:47" x14ac:dyDescent="0.35">
      <c r="A458">
        <v>4.8</v>
      </c>
      <c r="B458">
        <v>16.5</v>
      </c>
      <c r="C458">
        <v>-0.22533280999999999</v>
      </c>
      <c r="D458">
        <v>-9.9051161999999998E-2</v>
      </c>
      <c r="E458">
        <v>0.77461413999999995</v>
      </c>
      <c r="F458">
        <v>-0.10756135</v>
      </c>
      <c r="G458">
        <f t="shared" si="76"/>
        <v>1.33341582956863</v>
      </c>
      <c r="H458">
        <f t="shared" si="77"/>
        <v>-0.83832076828108704</v>
      </c>
      <c r="I458">
        <f t="shared" si="78"/>
        <v>1.3334074108029801</v>
      </c>
      <c r="J458">
        <f t="shared" si="79"/>
        <v>-0.842576010974039</v>
      </c>
      <c r="K458" s="7">
        <f t="shared" si="80"/>
        <v>8.4187656499423707E-6</v>
      </c>
      <c r="L458" s="7">
        <f t="shared" si="81"/>
        <v>4.2552426929519703E-3</v>
      </c>
      <c r="M458" s="7">
        <f t="shared" si="82"/>
        <v>0.53595491572951004</v>
      </c>
      <c r="N458" s="7">
        <f t="shared" si="83"/>
        <v>0.338668250452692</v>
      </c>
      <c r="O458">
        <v>7.9400757000000004</v>
      </c>
      <c r="P458">
        <v>-17.714053</v>
      </c>
      <c r="Q458">
        <v>0.33009467999999997</v>
      </c>
      <c r="R458">
        <v>-18.830513</v>
      </c>
      <c r="S458">
        <f t="shared" si="84"/>
        <v>0.97018533887016301</v>
      </c>
      <c r="T458">
        <f t="shared" si="85"/>
        <v>-23.139359321093902</v>
      </c>
    </row>
    <row r="459" spans="1:47" x14ac:dyDescent="0.35">
      <c r="A459">
        <v>4.8</v>
      </c>
      <c r="B459">
        <v>16.600000000000001</v>
      </c>
      <c r="C459">
        <v>-0.23851511</v>
      </c>
      <c r="D459">
        <v>-8.6663264000000004E-2</v>
      </c>
      <c r="E459">
        <v>0.76147655999999997</v>
      </c>
      <c r="F459">
        <v>-9.5382513000000002E-2</v>
      </c>
      <c r="G459">
        <f t="shared" si="76"/>
        <v>1.3297845258974099</v>
      </c>
      <c r="H459">
        <f t="shared" si="77"/>
        <v>-0.69609899089660598</v>
      </c>
      <c r="I459">
        <f t="shared" si="78"/>
        <v>1.32979936708208</v>
      </c>
      <c r="J459">
        <f t="shared" si="79"/>
        <v>-0.70045856885225599</v>
      </c>
      <c r="K459" s="7">
        <f t="shared" si="80"/>
        <v>-1.48411846701002E-5</v>
      </c>
      <c r="L459" s="7">
        <f t="shared" si="81"/>
        <v>4.3595779556500104E-3</v>
      </c>
      <c r="M459" s="7">
        <f t="shared" si="82"/>
        <v>0.58866504033876299</v>
      </c>
      <c r="N459" s="7">
        <f t="shared" si="83"/>
        <v>0.31007344558586603</v>
      </c>
      <c r="O459">
        <v>6.9425014000000003</v>
      </c>
      <c r="P459">
        <v>-18.673805000000002</v>
      </c>
      <c r="Q459">
        <v>-0.92981130999999995</v>
      </c>
      <c r="R459">
        <v>-19.340771</v>
      </c>
      <c r="S459">
        <f t="shared" si="84"/>
        <v>0.97191756693910336</v>
      </c>
      <c r="T459">
        <f t="shared" si="85"/>
        <v>-23.146390482588416</v>
      </c>
    </row>
    <row r="460" spans="1:47" x14ac:dyDescent="0.35">
      <c r="A460">
        <v>4.8</v>
      </c>
      <c r="B460">
        <v>16.7</v>
      </c>
      <c r="C460">
        <v>-0.25004834999999997</v>
      </c>
      <c r="D460">
        <v>-7.2602648000000006E-2</v>
      </c>
      <c r="E460">
        <v>0.74996565000000004</v>
      </c>
      <c r="F460">
        <v>-8.1471980999999999E-2</v>
      </c>
      <c r="G460">
        <f t="shared" si="76"/>
        <v>1.3262944558829199</v>
      </c>
      <c r="H460">
        <f t="shared" si="77"/>
        <v>-0.56046506367508397</v>
      </c>
      <c r="I460">
        <f t="shared" si="78"/>
        <v>1.3263211213011601</v>
      </c>
      <c r="J460">
        <f t="shared" si="79"/>
        <v>-0.56489958088122605</v>
      </c>
      <c r="K460" s="7">
        <f t="shared" si="80"/>
        <v>-2.6665418240146E-5</v>
      </c>
      <c r="L460" s="7">
        <f t="shared" si="81"/>
        <v>4.4345172061420702E-3</v>
      </c>
      <c r="M460" s="7">
        <f t="shared" si="82"/>
        <v>0.63819462518664005</v>
      </c>
      <c r="N460" s="7">
        <f t="shared" si="83"/>
        <v>0.27181643306329001</v>
      </c>
      <c r="O460">
        <v>5.8223256000000001</v>
      </c>
      <c r="P460">
        <v>-19.496400000000001</v>
      </c>
      <c r="Q460">
        <v>-2.2510715000000001</v>
      </c>
      <c r="R460">
        <v>-19.684051</v>
      </c>
      <c r="S460">
        <f t="shared" si="84"/>
        <v>0.97371316026061527</v>
      </c>
      <c r="T460">
        <f t="shared" si="85"/>
        <v>-23.151528184753062</v>
      </c>
    </row>
    <row r="461" spans="1:47" x14ac:dyDescent="0.35">
      <c r="A461">
        <v>4.8</v>
      </c>
      <c r="B461">
        <v>16.8</v>
      </c>
      <c r="C461">
        <v>-0.25959281000000001</v>
      </c>
      <c r="D461">
        <v>-5.7314643999999998E-2</v>
      </c>
      <c r="E461">
        <v>0.74036975000000005</v>
      </c>
      <c r="F461">
        <v>-6.6345096000000006E-2</v>
      </c>
      <c r="G461">
        <f t="shared" si="76"/>
        <v>1.32257425511718</v>
      </c>
      <c r="H461">
        <f t="shared" si="77"/>
        <v>-0.43181236386025801</v>
      </c>
      <c r="I461">
        <f t="shared" si="78"/>
        <v>1.3225759227618901</v>
      </c>
      <c r="J461">
        <f t="shared" si="79"/>
        <v>-0.43632766685693802</v>
      </c>
      <c r="K461" s="7">
        <f t="shared" si="80"/>
        <v>-1.66764471010161E-6</v>
      </c>
      <c r="L461" s="7">
        <f t="shared" si="81"/>
        <v>4.5153029966800203E-3</v>
      </c>
      <c r="M461" s="7">
        <f t="shared" si="82"/>
        <v>0.68188466112917501</v>
      </c>
      <c r="N461" s="7">
        <f t="shared" si="83"/>
        <v>0.22495883838163</v>
      </c>
      <c r="O461">
        <v>4.6172357000000002</v>
      </c>
      <c r="P461">
        <v>-20.163381000000001</v>
      </c>
      <c r="Q461">
        <v>-3.5925657000000002</v>
      </c>
      <c r="R461">
        <v>-19.850981000000001</v>
      </c>
      <c r="S461">
        <f t="shared" si="84"/>
        <v>0.97525619700530752</v>
      </c>
      <c r="T461">
        <f t="shared" si="85"/>
        <v>-23.156024345662416</v>
      </c>
    </row>
    <row r="462" spans="1:47" x14ac:dyDescent="0.35">
      <c r="A462">
        <v>4.8</v>
      </c>
      <c r="B462">
        <v>16.899999999999999</v>
      </c>
      <c r="C462">
        <v>-0.26696835000000002</v>
      </c>
      <c r="D462">
        <v>-4.1302773000000001E-2</v>
      </c>
      <c r="E462">
        <v>0.73301399</v>
      </c>
      <c r="F462">
        <v>-5.0538911999999998E-2</v>
      </c>
      <c r="G462">
        <f t="shared" si="76"/>
        <v>1.3189977800163299</v>
      </c>
      <c r="H462">
        <f t="shared" si="77"/>
        <v>-0.31056489609107502</v>
      </c>
      <c r="I462">
        <f t="shared" si="78"/>
        <v>1.3190102766143901</v>
      </c>
      <c r="J462">
        <f t="shared" si="79"/>
        <v>-0.31518294865832203</v>
      </c>
      <c r="K462" s="7">
        <f t="shared" si="80"/>
        <v>-1.2496598060129899E-5</v>
      </c>
      <c r="L462" s="7">
        <f t="shared" si="81"/>
        <v>4.6180525672470099E-3</v>
      </c>
      <c r="M462" s="7">
        <f t="shared" si="82"/>
        <v>0.71719314211052898</v>
      </c>
      <c r="N462" s="7">
        <f t="shared" si="83"/>
        <v>0.171376260894749</v>
      </c>
      <c r="O462">
        <v>3.3650337000000001</v>
      </c>
      <c r="P462">
        <v>-20.658142000000002</v>
      </c>
      <c r="Q462">
        <v>-4.9151100000000003</v>
      </c>
      <c r="R462">
        <v>-19.845181</v>
      </c>
      <c r="S462">
        <f t="shared" si="84"/>
        <v>0.97679819714420213</v>
      </c>
      <c r="T462">
        <f t="shared" si="85"/>
        <v>-23.16240902081325</v>
      </c>
    </row>
    <row r="463" spans="1:47" x14ac:dyDescent="0.35">
      <c r="A463">
        <v>4.8</v>
      </c>
      <c r="B463">
        <v>17</v>
      </c>
      <c r="C463">
        <v>-0.27153059000000002</v>
      </c>
      <c r="D463">
        <v>-2.9646635000000001E-2</v>
      </c>
      <c r="E463">
        <v>0.72845066000000003</v>
      </c>
      <c r="F463">
        <v>-3.9014066E-2</v>
      </c>
      <c r="G463">
        <f t="shared" si="76"/>
        <v>1.31237397824739</v>
      </c>
      <c r="H463">
        <f t="shared" si="77"/>
        <v>-0.22679440059101899</v>
      </c>
      <c r="I463">
        <f t="shared" si="78"/>
        <v>1.3123865404861299</v>
      </c>
      <c r="J463">
        <f t="shared" si="79"/>
        <v>-0.23147810116275999</v>
      </c>
      <c r="K463" s="7">
        <f t="shared" si="80"/>
        <v>-1.25622387399105E-5</v>
      </c>
      <c r="L463" s="7">
        <f t="shared" si="81"/>
        <v>4.6837005717409999E-3</v>
      </c>
      <c r="M463" s="7">
        <f t="shared" si="82"/>
        <v>0.73898112506262303</v>
      </c>
      <c r="N463" s="7">
        <f t="shared" si="83"/>
        <v>0.130341132240851</v>
      </c>
      <c r="O463">
        <v>2.4838439000000001</v>
      </c>
      <c r="P463">
        <v>-21.105582999999999</v>
      </c>
      <c r="Q463">
        <v>-5.8355671999999998</v>
      </c>
      <c r="R463">
        <v>-19.794740000000001</v>
      </c>
      <c r="S463">
        <f t="shared" si="84"/>
        <v>0.97109614886214313</v>
      </c>
      <c r="T463">
        <f t="shared" si="85"/>
        <v>-23.137794535265211</v>
      </c>
      <c r="AT463">
        <v>17</v>
      </c>
      <c r="AU463">
        <v>0.73898112506262303</v>
      </c>
    </row>
    <row r="464" spans="1:47" x14ac:dyDescent="0.35">
      <c r="A464">
        <v>5</v>
      </c>
      <c r="B464">
        <v>15</v>
      </c>
      <c r="C464">
        <v>-5.5038987999999997E-2</v>
      </c>
      <c r="D464">
        <v>-0.10774356</v>
      </c>
      <c r="E464">
        <v>0.94495231000000002</v>
      </c>
      <c r="F464">
        <v>-0.11428768</v>
      </c>
      <c r="G464">
        <f t="shared" si="76"/>
        <v>1.2924446923224699</v>
      </c>
      <c r="H464">
        <f t="shared" si="77"/>
        <v>-3.6135100603883901</v>
      </c>
      <c r="I464">
        <f t="shared" si="78"/>
        <v>1.2924510477053099</v>
      </c>
      <c r="J464">
        <f t="shared" si="79"/>
        <v>-3.6167821138299101</v>
      </c>
      <c r="K464" s="7">
        <f t="shared" si="80"/>
        <v>-6.3553828399953699E-6</v>
      </c>
      <c r="L464" s="7">
        <f t="shared" si="81"/>
        <v>3.2720534415200402E-3</v>
      </c>
      <c r="M464" s="7">
        <f t="shared" si="82"/>
        <v>8.7614637018759794E-2</v>
      </c>
      <c r="N464" s="7">
        <f t="shared" si="83"/>
        <v>0.24517992587940701</v>
      </c>
      <c r="O464">
        <v>8.6416996000000008</v>
      </c>
      <c r="P464">
        <v>-4.3696976999999997</v>
      </c>
      <c r="Q464">
        <v>6.0194840999999997</v>
      </c>
      <c r="R464">
        <v>-7.1331534999999997</v>
      </c>
      <c r="S464">
        <f t="shared" si="84"/>
        <v>0.96385053814343469</v>
      </c>
      <c r="T464">
        <f t="shared" si="85"/>
        <v>-23.016284171308047</v>
      </c>
    </row>
    <row r="465" spans="1:20" x14ac:dyDescent="0.35">
      <c r="A465">
        <v>5</v>
      </c>
      <c r="B465">
        <v>15.1</v>
      </c>
      <c r="C465">
        <v>-6.1129803000000003E-2</v>
      </c>
      <c r="D465">
        <v>-0.11224275</v>
      </c>
      <c r="E465">
        <v>0.93882368999999999</v>
      </c>
      <c r="F465">
        <v>-0.11890573</v>
      </c>
      <c r="G465">
        <f t="shared" si="76"/>
        <v>1.2884103082434799</v>
      </c>
      <c r="H465">
        <f t="shared" si="77"/>
        <v>-3.3782708931500798</v>
      </c>
      <c r="I465">
        <f t="shared" si="78"/>
        <v>1.28839815367946</v>
      </c>
      <c r="J465">
        <f t="shared" si="79"/>
        <v>-3.3816025011144499</v>
      </c>
      <c r="K465" s="7">
        <f t="shared" si="80"/>
        <v>1.21545640199283E-5</v>
      </c>
      <c r="L465" s="7">
        <f t="shared" si="81"/>
        <v>3.33160796437015E-3</v>
      </c>
      <c r="M465" s="7">
        <f t="shared" si="82"/>
        <v>9.8387014661700495E-2</v>
      </c>
      <c r="N465" s="7">
        <f t="shared" si="83"/>
        <v>0.25823211086342801</v>
      </c>
      <c r="O465">
        <v>8.9304535999999999</v>
      </c>
      <c r="P465">
        <v>-4.8169681000000004</v>
      </c>
      <c r="Q465">
        <v>6.1378031999999996</v>
      </c>
      <c r="R465">
        <v>-7.6784100999999998</v>
      </c>
      <c r="S465">
        <f t="shared" si="84"/>
        <v>0.96879333677049551</v>
      </c>
      <c r="T465">
        <f t="shared" si="85"/>
        <v>-23.020772612023212</v>
      </c>
    </row>
    <row r="466" spans="1:20" x14ac:dyDescent="0.35">
      <c r="A466">
        <v>5</v>
      </c>
      <c r="B466">
        <v>15.2</v>
      </c>
      <c r="C466">
        <v>-6.7961563000000003E-2</v>
      </c>
      <c r="D466">
        <v>-0.11667877</v>
      </c>
      <c r="E466">
        <v>0.93198168000000003</v>
      </c>
      <c r="F466">
        <v>-0.12348175</v>
      </c>
      <c r="G466">
        <f t="shared" si="76"/>
        <v>1.28528030392945</v>
      </c>
      <c r="H466">
        <f t="shared" si="77"/>
        <v>-3.1513525440626502</v>
      </c>
      <c r="I466">
        <f t="shared" si="78"/>
        <v>1.2852634956095099</v>
      </c>
      <c r="J466">
        <f t="shared" si="79"/>
        <v>-3.1547541877695302</v>
      </c>
      <c r="K466" s="7">
        <f t="shared" si="80"/>
        <v>1.6808319940109202E-5</v>
      </c>
      <c r="L466" s="7">
        <f t="shared" si="81"/>
        <v>3.40164370688001E-3</v>
      </c>
      <c r="M466" s="7">
        <f t="shared" si="82"/>
        <v>0.110756792886197</v>
      </c>
      <c r="N466" s="7">
        <f t="shared" si="83"/>
        <v>0.27185900585774703</v>
      </c>
      <c r="O466">
        <v>9.2340546999999997</v>
      </c>
      <c r="P466">
        <v>-5.3272855000000003</v>
      </c>
      <c r="Q466">
        <v>6.2309942999999999</v>
      </c>
      <c r="R466">
        <v>-8.2722733000000002</v>
      </c>
      <c r="S466">
        <f t="shared" si="84"/>
        <v>0.97147132952871962</v>
      </c>
      <c r="T466">
        <f t="shared" si="85"/>
        <v>-23.030146078516744</v>
      </c>
    </row>
    <row r="467" spans="1:20" x14ac:dyDescent="0.35">
      <c r="A467">
        <v>5</v>
      </c>
      <c r="B467">
        <v>15.3</v>
      </c>
      <c r="C467">
        <v>-7.5571401999999996E-2</v>
      </c>
      <c r="D467">
        <v>-0.12100102</v>
      </c>
      <c r="E467">
        <v>0.92436481999999998</v>
      </c>
      <c r="F467">
        <v>-0.12794875999999999</v>
      </c>
      <c r="G467">
        <f t="shared" si="76"/>
        <v>1.28227782259086</v>
      </c>
      <c r="H467">
        <f t="shared" si="77"/>
        <v>-2.9326273310038902</v>
      </c>
      <c r="I467">
        <f t="shared" si="78"/>
        <v>1.28225800135562</v>
      </c>
      <c r="J467">
        <f t="shared" si="79"/>
        <v>-2.93610138064426</v>
      </c>
      <c r="K467" s="7">
        <f t="shared" si="80"/>
        <v>1.98212352400251E-5</v>
      </c>
      <c r="L467" s="7">
        <f t="shared" si="81"/>
        <v>3.4740496403697901E-3</v>
      </c>
      <c r="M467" s="7">
        <f t="shared" si="82"/>
        <v>0.124917036406239</v>
      </c>
      <c r="N467" s="7">
        <f t="shared" si="83"/>
        <v>0.286033764398894</v>
      </c>
      <c r="O467">
        <v>9.5258631999999999</v>
      </c>
      <c r="P467">
        <v>-5.8926965999999998</v>
      </c>
      <c r="Q467">
        <v>6.2929754000000004</v>
      </c>
      <c r="R467">
        <v>-8.9145576000000002</v>
      </c>
      <c r="S467">
        <f t="shared" si="84"/>
        <v>0.9741814328942493</v>
      </c>
      <c r="T467">
        <f t="shared" si="85"/>
        <v>-23.039995886053696</v>
      </c>
    </row>
    <row r="468" spans="1:20" x14ac:dyDescent="0.35">
      <c r="A468">
        <v>5</v>
      </c>
      <c r="B468">
        <v>15.4</v>
      </c>
      <c r="C468">
        <v>-8.4036477999999998E-2</v>
      </c>
      <c r="D468">
        <v>-0.12512566999999999</v>
      </c>
      <c r="E468">
        <v>0.91589377999999999</v>
      </c>
      <c r="F468">
        <v>-0.13222167000000001</v>
      </c>
      <c r="G468">
        <f t="shared" si="76"/>
        <v>1.2793061001680699</v>
      </c>
      <c r="H468">
        <f t="shared" si="77"/>
        <v>-2.7214891159019299</v>
      </c>
      <c r="I468">
        <f t="shared" si="78"/>
        <v>1.27928381741455</v>
      </c>
      <c r="J468">
        <f t="shared" si="79"/>
        <v>-2.7250373186905201</v>
      </c>
      <c r="K468" s="7">
        <f t="shared" si="80"/>
        <v>2.2282753519897701E-5</v>
      </c>
      <c r="L468" s="7">
        <f t="shared" si="81"/>
        <v>3.5482027885902498E-3</v>
      </c>
      <c r="M468" s="7">
        <f t="shared" si="82"/>
        <v>0.14116398044197401</v>
      </c>
      <c r="N468" s="7">
        <f t="shared" si="83"/>
        <v>0.30069724131796999</v>
      </c>
      <c r="O468">
        <v>9.8022130999999995</v>
      </c>
      <c r="P468">
        <v>-6.5202809000000004</v>
      </c>
      <c r="Q468">
        <v>6.3152862000000001</v>
      </c>
      <c r="R468">
        <v>-9.6070784000000007</v>
      </c>
      <c r="S468">
        <f t="shared" si="84"/>
        <v>0.97656978435163866</v>
      </c>
      <c r="T468">
        <f t="shared" si="85"/>
        <v>-23.049538153065793</v>
      </c>
    </row>
    <row r="469" spans="1:20" x14ac:dyDescent="0.35">
      <c r="A469">
        <v>5</v>
      </c>
      <c r="B469">
        <v>15.5</v>
      </c>
      <c r="C469">
        <v>-9.3432414000000005E-2</v>
      </c>
      <c r="D469">
        <v>-0.12894069</v>
      </c>
      <c r="E469">
        <v>0.90649168000000002</v>
      </c>
      <c r="F469">
        <v>-0.13618754999999999</v>
      </c>
      <c r="G469">
        <f t="shared" si="76"/>
        <v>1.27634318698435</v>
      </c>
      <c r="H469">
        <f t="shared" si="77"/>
        <v>-2.5174649600557202</v>
      </c>
      <c r="I469">
        <f t="shared" si="78"/>
        <v>1.2763183631114201</v>
      </c>
      <c r="J469">
        <f t="shared" si="79"/>
        <v>-2.5210886175319498</v>
      </c>
      <c r="K469" s="7">
        <f t="shared" si="80"/>
        <v>2.48238729299022E-5</v>
      </c>
      <c r="L469" s="7">
        <f t="shared" si="81"/>
        <v>3.6236574762296102E-3</v>
      </c>
      <c r="M469" s="7">
        <f t="shared" si="82"/>
        <v>0.159841969009583</v>
      </c>
      <c r="N469" s="7">
        <f t="shared" si="83"/>
        <v>0.31573295528834899</v>
      </c>
      <c r="O469">
        <v>10.050186</v>
      </c>
      <c r="P469">
        <v>-7.2121664000000001</v>
      </c>
      <c r="Q469">
        <v>6.2887608000000004</v>
      </c>
      <c r="R469">
        <v>-10.352859</v>
      </c>
      <c r="S469">
        <f t="shared" si="84"/>
        <v>0.97922707421768185</v>
      </c>
      <c r="T469">
        <f t="shared" si="85"/>
        <v>-23.059951753394991</v>
      </c>
    </row>
    <row r="470" spans="1:20" x14ac:dyDescent="0.35">
      <c r="A470">
        <v>5</v>
      </c>
      <c r="B470">
        <v>15.6</v>
      </c>
      <c r="C470">
        <v>-0.10381785</v>
      </c>
      <c r="D470">
        <v>-0.13230079</v>
      </c>
      <c r="E470">
        <v>0.89610155999999996</v>
      </c>
      <c r="F470">
        <v>-0.13970221999999999</v>
      </c>
      <c r="G470">
        <f t="shared" si="76"/>
        <v>1.2733701248636899</v>
      </c>
      <c r="H470">
        <f t="shared" si="77"/>
        <v>-2.3203477160040298</v>
      </c>
      <c r="I470">
        <f t="shared" si="78"/>
        <v>1.27334352499954</v>
      </c>
      <c r="J470">
        <f t="shared" si="79"/>
        <v>-2.3240486785728298</v>
      </c>
      <c r="K470" s="7">
        <f t="shared" si="80"/>
        <v>2.65998641499898E-5</v>
      </c>
      <c r="L470" s="7">
        <f t="shared" si="81"/>
        <v>3.70096256880004E-3</v>
      </c>
      <c r="M470" s="7">
        <f t="shared" si="82"/>
        <v>0.18132065593065499</v>
      </c>
      <c r="N470" s="7">
        <f t="shared" si="83"/>
        <v>0.33093821309041499</v>
      </c>
      <c r="O470">
        <v>10.261526</v>
      </c>
      <c r="P470">
        <v>-7.9734672</v>
      </c>
      <c r="Q470">
        <v>6.2013723000000001</v>
      </c>
      <c r="R470">
        <v>-11.149489000000001</v>
      </c>
      <c r="S470">
        <f t="shared" si="84"/>
        <v>0.98175218143221021</v>
      </c>
      <c r="T470">
        <f t="shared" si="85"/>
        <v>-23.068966885900124</v>
      </c>
    </row>
    <row r="471" spans="1:20" x14ac:dyDescent="0.35">
      <c r="A471">
        <v>5</v>
      </c>
      <c r="B471">
        <v>15.7</v>
      </c>
      <c r="C471">
        <v>-0.11522532000000001</v>
      </c>
      <c r="D471">
        <v>-0.13503066999999999</v>
      </c>
      <c r="E471">
        <v>0.88468921</v>
      </c>
      <c r="F471">
        <v>-0.14258919</v>
      </c>
      <c r="G471">
        <f t="shared" si="76"/>
        <v>1.2703772136810001</v>
      </c>
      <c r="H471">
        <f t="shared" si="77"/>
        <v>-2.1300449017403702</v>
      </c>
      <c r="I471">
        <f t="shared" si="78"/>
        <v>1.27034876128803</v>
      </c>
      <c r="J471">
        <f t="shared" si="79"/>
        <v>-2.13382443078752</v>
      </c>
      <c r="K471" s="7">
        <f t="shared" si="80"/>
        <v>2.8452392970113001E-5</v>
      </c>
      <c r="L471" s="7">
        <f t="shared" si="81"/>
        <v>3.7795290471498398E-3</v>
      </c>
      <c r="M471" s="7">
        <f t="shared" si="82"/>
        <v>0.205991611775558</v>
      </c>
      <c r="N471" s="7">
        <f t="shared" si="83"/>
        <v>0.346007291177515</v>
      </c>
      <c r="O471">
        <v>10.428898999999999</v>
      </c>
      <c r="P471">
        <v>-8.8104682000000007</v>
      </c>
      <c r="Q471">
        <v>6.0406255</v>
      </c>
      <c r="R471">
        <v>-11.995018</v>
      </c>
      <c r="S471">
        <f t="shared" si="84"/>
        <v>0.98372727256950465</v>
      </c>
      <c r="T471">
        <f t="shared" si="85"/>
        <v>-23.078870170971815</v>
      </c>
    </row>
    <row r="472" spans="1:20" x14ac:dyDescent="0.35">
      <c r="A472">
        <v>5</v>
      </c>
      <c r="B472">
        <v>15.8</v>
      </c>
      <c r="C472">
        <v>-0.12767477999999999</v>
      </c>
      <c r="D472">
        <v>-0.13692003999999999</v>
      </c>
      <c r="E472">
        <v>0.87227933000000002</v>
      </c>
      <c r="F472">
        <v>-0.14462211</v>
      </c>
      <c r="G472">
        <f t="shared" si="76"/>
        <v>1.2675344669109001</v>
      </c>
      <c r="H472">
        <f t="shared" si="77"/>
        <v>-1.9465598470062599</v>
      </c>
      <c r="I472">
        <f t="shared" si="78"/>
        <v>1.26752635265592</v>
      </c>
      <c r="J472">
        <f t="shared" si="79"/>
        <v>-1.9504110016192799</v>
      </c>
      <c r="K472" s="7">
        <f t="shared" si="80"/>
        <v>8.1142549801516106E-6</v>
      </c>
      <c r="L472" s="7">
        <f t="shared" si="81"/>
        <v>3.8511546130199901E-3</v>
      </c>
      <c r="M472" s="7">
        <f t="shared" si="82"/>
        <v>0.23426178339503101</v>
      </c>
      <c r="N472" s="7">
        <f t="shared" si="83"/>
        <v>0.36047121121800502</v>
      </c>
      <c r="O472">
        <v>10.525565</v>
      </c>
      <c r="P472">
        <v>-9.7147234999999998</v>
      </c>
      <c r="Q472">
        <v>5.7907586999999996</v>
      </c>
      <c r="R472">
        <v>-12.883747</v>
      </c>
      <c r="S472">
        <f t="shared" si="84"/>
        <v>0.98616018733852218</v>
      </c>
      <c r="T472">
        <f t="shared" si="85"/>
        <v>-23.091965441841495</v>
      </c>
    </row>
    <row r="473" spans="1:20" x14ac:dyDescent="0.35">
      <c r="A473">
        <v>5</v>
      </c>
      <c r="B473">
        <v>15.9</v>
      </c>
      <c r="C473">
        <v>-0.14113955</v>
      </c>
      <c r="D473">
        <v>-0.13775592</v>
      </c>
      <c r="E473">
        <v>0.85880741999999999</v>
      </c>
      <c r="F473">
        <v>-0.14561289999999999</v>
      </c>
      <c r="G473">
        <f t="shared" si="76"/>
        <v>1.2644785752280701</v>
      </c>
      <c r="H473">
        <f t="shared" si="77"/>
        <v>-1.76898765064805</v>
      </c>
      <c r="I473">
        <f t="shared" si="78"/>
        <v>1.2644674935481699</v>
      </c>
      <c r="J473">
        <f t="shared" si="79"/>
        <v>-1.7729162883501499</v>
      </c>
      <c r="K473" s="7">
        <f t="shared" si="80"/>
        <v>1.1081679900160101E-5</v>
      </c>
      <c r="L473" s="7">
        <f t="shared" si="81"/>
        <v>3.9286377020999498E-3</v>
      </c>
      <c r="M473" s="7">
        <f t="shared" si="82"/>
        <v>0.26664658520273399</v>
      </c>
      <c r="N473" s="7">
        <f t="shared" si="83"/>
        <v>0.37386653002232001</v>
      </c>
      <c r="O473">
        <v>10.544274</v>
      </c>
      <c r="P473">
        <v>-10.689895999999999</v>
      </c>
      <c r="Q473">
        <v>5.4405643000000001</v>
      </c>
      <c r="R473">
        <v>-13.806759</v>
      </c>
      <c r="S473">
        <f t="shared" si="84"/>
        <v>0.98833487433061074</v>
      </c>
      <c r="T473">
        <f t="shared" si="85"/>
        <v>-23.100117692903222</v>
      </c>
    </row>
    <row r="474" spans="1:20" x14ac:dyDescent="0.35">
      <c r="A474">
        <v>5</v>
      </c>
      <c r="B474">
        <v>16</v>
      </c>
      <c r="C474">
        <v>-0.15550214000000001</v>
      </c>
      <c r="D474">
        <v>-0.13726872000000001</v>
      </c>
      <c r="E474">
        <v>0.8444431</v>
      </c>
      <c r="F474">
        <v>-0.14528282000000001</v>
      </c>
      <c r="G474">
        <f t="shared" si="76"/>
        <v>1.2614507098483001</v>
      </c>
      <c r="H474">
        <f t="shared" si="77"/>
        <v>-1.5980110152665701</v>
      </c>
      <c r="I474">
        <f t="shared" si="78"/>
        <v>1.26143938660943</v>
      </c>
      <c r="J474">
        <f t="shared" si="79"/>
        <v>-1.60201822035662</v>
      </c>
      <c r="K474" s="7">
        <f t="shared" si="80"/>
        <v>1.1323238870097899E-5</v>
      </c>
      <c r="L474" s="7">
        <f t="shared" si="81"/>
        <v>4.00720509004993E-3</v>
      </c>
      <c r="M474" s="7">
        <f t="shared" si="82"/>
        <v>0.30339897141990402</v>
      </c>
      <c r="N474" s="7">
        <f t="shared" si="83"/>
        <v>0.38531433647286101</v>
      </c>
      <c r="O474">
        <v>10.462870000000001</v>
      </c>
      <c r="P474">
        <v>-11.723236</v>
      </c>
      <c r="Q474">
        <v>4.9747950999999997</v>
      </c>
      <c r="R474">
        <v>-14.748224</v>
      </c>
      <c r="S474">
        <f t="shared" si="84"/>
        <v>0.99054439611630185</v>
      </c>
      <c r="T474">
        <f t="shared" si="85"/>
        <v>-23.10857519791254</v>
      </c>
    </row>
    <row r="475" spans="1:20" x14ac:dyDescent="0.35">
      <c r="A475">
        <v>5</v>
      </c>
      <c r="B475">
        <v>16.100000000000001</v>
      </c>
      <c r="C475">
        <v>-0.17060865</v>
      </c>
      <c r="D475">
        <v>-0.13520968999999999</v>
      </c>
      <c r="E475">
        <v>0.82933643000000001</v>
      </c>
      <c r="F475">
        <v>-0.14338281999999999</v>
      </c>
      <c r="G475">
        <f t="shared" si="76"/>
        <v>1.2584107529795601</v>
      </c>
      <c r="H475">
        <f t="shared" si="77"/>
        <v>-1.43340475910623</v>
      </c>
      <c r="I475">
        <f t="shared" si="78"/>
        <v>1.25839999333589</v>
      </c>
      <c r="J475">
        <f t="shared" si="79"/>
        <v>-1.43749148029758</v>
      </c>
      <c r="K475" s="7">
        <f t="shared" si="80"/>
        <v>1.0759643670032999E-5</v>
      </c>
      <c r="L475" s="7">
        <f t="shared" si="81"/>
        <v>4.0867211913500102E-3</v>
      </c>
      <c r="M475" s="7">
        <f t="shared" si="82"/>
        <v>0.344771627187269</v>
      </c>
      <c r="N475" s="7">
        <f t="shared" si="83"/>
        <v>0.39383842923920498</v>
      </c>
      <c r="O475">
        <v>10.266458999999999</v>
      </c>
      <c r="P475">
        <v>-12.805389</v>
      </c>
      <c r="Q475">
        <v>4.3821443000000002</v>
      </c>
      <c r="R475">
        <v>-15.691117</v>
      </c>
      <c r="S475">
        <f t="shared" si="84"/>
        <v>0.99261536962194041</v>
      </c>
      <c r="T475">
        <f t="shared" si="85"/>
        <v>-23.116436843681171</v>
      </c>
    </row>
    <row r="476" spans="1:20" x14ac:dyDescent="0.35">
      <c r="A476">
        <v>5</v>
      </c>
      <c r="B476">
        <v>16.2</v>
      </c>
      <c r="C476">
        <v>-0.18622195</v>
      </c>
      <c r="D476">
        <v>-0.13134525999999999</v>
      </c>
      <c r="E476">
        <v>0.81372301000000002</v>
      </c>
      <c r="F476">
        <v>-0.13971583000000001</v>
      </c>
      <c r="G476">
        <f t="shared" si="76"/>
        <v>1.2551747997188101</v>
      </c>
      <c r="H476">
        <f t="shared" si="77"/>
        <v>-1.2751142386498</v>
      </c>
      <c r="I476">
        <f t="shared" si="78"/>
        <v>1.25516479671134</v>
      </c>
      <c r="J476">
        <f t="shared" si="79"/>
        <v>-1.2792996806985999</v>
      </c>
      <c r="K476" s="7">
        <f t="shared" si="80"/>
        <v>1.0003007470116299E-5</v>
      </c>
      <c r="L476" s="7">
        <f t="shared" si="81"/>
        <v>4.1854420487998896E-3</v>
      </c>
      <c r="M476" s="7">
        <f t="shared" si="82"/>
        <v>0.39076796032002298</v>
      </c>
      <c r="N476" s="7">
        <f t="shared" si="83"/>
        <v>0.39828182576061699</v>
      </c>
      <c r="O476">
        <v>9.9356121000000002</v>
      </c>
      <c r="P476">
        <v>-13.914288000000001</v>
      </c>
      <c r="Q476">
        <v>3.6534816999999999</v>
      </c>
      <c r="R476">
        <v>-16.611032999999999</v>
      </c>
      <c r="S476">
        <f t="shared" si="84"/>
        <v>0.99477044453619778</v>
      </c>
      <c r="T476">
        <f t="shared" si="85"/>
        <v>-23.124739390966376</v>
      </c>
    </row>
    <row r="477" spans="1:20" x14ac:dyDescent="0.35">
      <c r="A477">
        <v>5</v>
      </c>
      <c r="B477">
        <v>16.3</v>
      </c>
      <c r="C477">
        <v>-0.20202021000000001</v>
      </c>
      <c r="D477">
        <v>-0.12548297</v>
      </c>
      <c r="E477">
        <v>0.79792806999999999</v>
      </c>
      <c r="F477">
        <v>-0.13402257000000001</v>
      </c>
      <c r="G477">
        <f t="shared" si="76"/>
        <v>1.25209964914947</v>
      </c>
      <c r="H477">
        <f t="shared" si="77"/>
        <v>-1.1230504275095701</v>
      </c>
      <c r="I477">
        <f t="shared" si="78"/>
        <v>1.2520920207547801</v>
      </c>
      <c r="J477">
        <f t="shared" si="79"/>
        <v>-1.1273203705020101</v>
      </c>
      <c r="K477" s="7">
        <f t="shared" si="80"/>
        <v>7.6283946899291496E-6</v>
      </c>
      <c r="L477" s="7">
        <f t="shared" si="81"/>
        <v>4.2699429924399901E-3</v>
      </c>
      <c r="M477" s="7">
        <f t="shared" si="82"/>
        <v>0.44109714372609099</v>
      </c>
      <c r="N477" s="7">
        <f t="shared" si="83"/>
        <v>0.39714157366239</v>
      </c>
      <c r="O477">
        <v>9.4593296000000002</v>
      </c>
      <c r="P477">
        <v>-15.026885999999999</v>
      </c>
      <c r="Q477">
        <v>2.7869769</v>
      </c>
      <c r="R477">
        <v>-17.481062000000001</v>
      </c>
      <c r="S477">
        <f t="shared" si="84"/>
        <v>0.99693228334556672</v>
      </c>
      <c r="T477">
        <f t="shared" si="85"/>
        <v>-23.131816524760922</v>
      </c>
    </row>
    <row r="478" spans="1:20" x14ac:dyDescent="0.35">
      <c r="A478">
        <v>5</v>
      </c>
      <c r="B478">
        <v>16.399999999999999</v>
      </c>
      <c r="C478">
        <v>-0.21761412999999999</v>
      </c>
      <c r="D478">
        <v>-0.11750962</v>
      </c>
      <c r="E478">
        <v>0.78231947000000002</v>
      </c>
      <c r="F478">
        <v>-0.12619058</v>
      </c>
      <c r="G478">
        <f t="shared" si="76"/>
        <v>1.2490830478393999</v>
      </c>
      <c r="H478">
        <f t="shared" si="77"/>
        <v>-0.97705172863002099</v>
      </c>
      <c r="I478">
        <f t="shared" si="78"/>
        <v>1.2490686880253301</v>
      </c>
      <c r="J478">
        <f t="shared" si="79"/>
        <v>-0.98139241506929797</v>
      </c>
      <c r="K478" s="7">
        <f t="shared" si="80"/>
        <v>1.43598140698309E-5</v>
      </c>
      <c r="L478" s="7">
        <f t="shared" si="81"/>
        <v>4.3406864392769896E-3</v>
      </c>
      <c r="M478" s="7">
        <f t="shared" si="82"/>
        <v>0.49501322727986802</v>
      </c>
      <c r="N478" s="7">
        <f t="shared" si="83"/>
        <v>0.38893155458043399</v>
      </c>
      <c r="O478">
        <v>8.8355378000000009</v>
      </c>
      <c r="P478">
        <v>-16.122122999999998</v>
      </c>
      <c r="Q478">
        <v>1.7872973000000001</v>
      </c>
      <c r="R478">
        <v>-18.271079</v>
      </c>
      <c r="S478">
        <f t="shared" si="84"/>
        <v>0.9985746521390505</v>
      </c>
      <c r="T478">
        <f t="shared" si="85"/>
        <v>-23.137458733575961</v>
      </c>
    </row>
    <row r="479" spans="1:20" x14ac:dyDescent="0.35">
      <c r="A479">
        <v>5</v>
      </c>
      <c r="B479">
        <v>16.5</v>
      </c>
      <c r="C479">
        <v>-0.23255226000000001</v>
      </c>
      <c r="D479">
        <v>-0.10742655</v>
      </c>
      <c r="E479">
        <v>0.76738497000000006</v>
      </c>
      <c r="F479">
        <v>-0.11627571</v>
      </c>
      <c r="G479">
        <f t="shared" si="76"/>
        <v>1.24597660009952</v>
      </c>
      <c r="H479">
        <f t="shared" si="77"/>
        <v>-0.83743734702376205</v>
      </c>
      <c r="I479">
        <f t="shared" si="78"/>
        <v>1.24596479248272</v>
      </c>
      <c r="J479">
        <f t="shared" si="79"/>
        <v>-0.84186211813894996</v>
      </c>
      <c r="K479" s="7">
        <f t="shared" si="80"/>
        <v>1.18076168000858E-5</v>
      </c>
      <c r="L479" s="7">
        <f t="shared" si="81"/>
        <v>4.4247711151879096E-3</v>
      </c>
      <c r="M479" s="7">
        <f t="shared" si="82"/>
        <v>0.55102900407529598</v>
      </c>
      <c r="N479" s="7">
        <f t="shared" si="83"/>
        <v>0.37231424782274503</v>
      </c>
      <c r="O479">
        <v>8.0586339000000002</v>
      </c>
      <c r="P479">
        <v>-17.155405999999999</v>
      </c>
      <c r="Q479">
        <v>0.66775328</v>
      </c>
      <c r="R479">
        <v>-18.952487000000001</v>
      </c>
      <c r="S479">
        <f t="shared" si="84"/>
        <v>1.0005469945564536</v>
      </c>
      <c r="T479">
        <f t="shared" si="85"/>
        <v>-23.143599640260202</v>
      </c>
    </row>
    <row r="480" spans="1:20" x14ac:dyDescent="0.35">
      <c r="A480">
        <v>5</v>
      </c>
      <c r="B480">
        <v>16.600000000000001</v>
      </c>
      <c r="C480">
        <v>-0.24645120000000001</v>
      </c>
      <c r="D480">
        <v>-9.5303699000000006E-2</v>
      </c>
      <c r="E480">
        <v>0.75348928999999998</v>
      </c>
      <c r="F480">
        <v>-0.10432234</v>
      </c>
      <c r="G480">
        <f t="shared" si="76"/>
        <v>1.2427694143351899</v>
      </c>
      <c r="H480">
        <f t="shared" si="77"/>
        <v>-0.70348175504612398</v>
      </c>
      <c r="I480">
        <f t="shared" si="78"/>
        <v>1.2427599938228799</v>
      </c>
      <c r="J480">
        <f t="shared" si="79"/>
        <v>-0.70799125220632098</v>
      </c>
      <c r="K480" s="7">
        <f t="shared" si="80"/>
        <v>9.4205123100099508E-6</v>
      </c>
      <c r="L480" s="7">
        <f t="shared" si="81"/>
        <v>4.5094971601970001E-3</v>
      </c>
      <c r="M480" s="7">
        <f t="shared" si="82"/>
        <v>0.60749746025753204</v>
      </c>
      <c r="N480" s="7">
        <f t="shared" si="83"/>
        <v>0.34608684680687402</v>
      </c>
      <c r="O480">
        <v>7.1397054999999998</v>
      </c>
      <c r="P480">
        <v>-18.107488</v>
      </c>
      <c r="Q480">
        <v>-0.55515364</v>
      </c>
      <c r="R480">
        <v>-19.501003999999998</v>
      </c>
      <c r="S480">
        <f t="shared" si="84"/>
        <v>1.002294854393156</v>
      </c>
      <c r="T480">
        <f t="shared" si="85"/>
        <v>-23.149759859452129</v>
      </c>
    </row>
    <row r="481" spans="1:47" x14ac:dyDescent="0.35">
      <c r="A481">
        <v>5</v>
      </c>
      <c r="B481">
        <v>16.7</v>
      </c>
      <c r="C481">
        <v>-0.25874947999999998</v>
      </c>
      <c r="D481">
        <v>-8.1502716000000003E-2</v>
      </c>
      <c r="E481">
        <v>0.74118671999999997</v>
      </c>
      <c r="F481">
        <v>-9.0741350999999998E-2</v>
      </c>
      <c r="G481">
        <f t="shared" si="76"/>
        <v>1.2394826647731401</v>
      </c>
      <c r="H481">
        <f t="shared" si="77"/>
        <v>-0.57658556225298097</v>
      </c>
      <c r="I481">
        <f t="shared" si="78"/>
        <v>1.23947210343647</v>
      </c>
      <c r="J481">
        <f t="shared" si="79"/>
        <v>-0.58120507590163395</v>
      </c>
      <c r="K481" s="7">
        <f t="shared" si="80"/>
        <v>1.0561336670100701E-5</v>
      </c>
      <c r="L481" s="7">
        <f t="shared" si="81"/>
        <v>4.6195136486529799E-3</v>
      </c>
      <c r="M481" s="7">
        <f t="shared" si="82"/>
        <v>0.66137262108066697</v>
      </c>
      <c r="N481" s="7">
        <f t="shared" si="83"/>
        <v>0.31012648317675801</v>
      </c>
      <c r="O481">
        <v>6.1059441000000003</v>
      </c>
      <c r="P481">
        <v>-18.936691</v>
      </c>
      <c r="Q481">
        <v>-1.8401497</v>
      </c>
      <c r="R481">
        <v>-19.890847000000001</v>
      </c>
      <c r="S481">
        <f t="shared" si="84"/>
        <v>1.0039720037220317</v>
      </c>
      <c r="T481">
        <f t="shared" si="85"/>
        <v>-23.156915143614285</v>
      </c>
    </row>
    <row r="482" spans="1:47" x14ac:dyDescent="0.35">
      <c r="A482">
        <v>5</v>
      </c>
      <c r="B482">
        <v>16.8</v>
      </c>
      <c r="C482">
        <v>-0.26914384000000002</v>
      </c>
      <c r="D482">
        <v>-6.6407757999999997E-2</v>
      </c>
      <c r="E482">
        <v>0.73077722000000001</v>
      </c>
      <c r="F482">
        <v>-7.5850293999999999E-2</v>
      </c>
      <c r="G482">
        <f t="shared" si="76"/>
        <v>1.23624960960601</v>
      </c>
      <c r="H482">
        <f t="shared" si="77"/>
        <v>-0.45642374108311901</v>
      </c>
      <c r="I482">
        <f t="shared" si="78"/>
        <v>1.2362324305622601</v>
      </c>
      <c r="J482">
        <f t="shared" si="79"/>
        <v>-0.46114527654899501</v>
      </c>
      <c r="K482" s="7">
        <f t="shared" si="80"/>
        <v>1.7179043749981901E-5</v>
      </c>
      <c r="L482" s="7">
        <f t="shared" si="81"/>
        <v>4.7215354658759999E-3</v>
      </c>
      <c r="M482" s="7">
        <f t="shared" si="82"/>
        <v>0.71010067217043704</v>
      </c>
      <c r="N482" s="7">
        <f t="shared" si="83"/>
        <v>0.26488511605922599</v>
      </c>
      <c r="O482">
        <v>4.9861630999999997</v>
      </c>
      <c r="P482">
        <v>-19.621032</v>
      </c>
      <c r="Q482">
        <v>-3.1511306000000001</v>
      </c>
      <c r="R482">
        <v>-20.114141</v>
      </c>
      <c r="S482">
        <f t="shared" si="84"/>
        <v>1.0056708917473747</v>
      </c>
      <c r="T482">
        <f t="shared" si="85"/>
        <v>-23.16210839009409</v>
      </c>
    </row>
    <row r="483" spans="1:47" x14ac:dyDescent="0.35">
      <c r="A483">
        <v>5</v>
      </c>
      <c r="B483">
        <v>16.899999999999999</v>
      </c>
      <c r="C483">
        <v>-0.27747477999999998</v>
      </c>
      <c r="D483">
        <v>-5.0396365999999998E-2</v>
      </c>
      <c r="E483">
        <v>0.72246854000000005</v>
      </c>
      <c r="F483">
        <v>-6.0010978999999999E-2</v>
      </c>
      <c r="G483">
        <f t="shared" si="76"/>
        <v>1.2331962915577801</v>
      </c>
      <c r="H483">
        <f t="shared" si="77"/>
        <v>-0.34238033955881603</v>
      </c>
      <c r="I483">
        <f t="shared" si="78"/>
        <v>1.2331910623811799</v>
      </c>
      <c r="J483">
        <f t="shared" si="79"/>
        <v>-0.34718780744071098</v>
      </c>
      <c r="K483" s="7">
        <f t="shared" si="80"/>
        <v>5.2291766001744097E-6</v>
      </c>
      <c r="L483" s="7">
        <f t="shared" si="81"/>
        <v>4.80746788189496E-3</v>
      </c>
      <c r="M483" s="7">
        <f t="shared" si="82"/>
        <v>0.75135038413614097</v>
      </c>
      <c r="N483" s="7">
        <f t="shared" si="83"/>
        <v>0.21153226004108899</v>
      </c>
      <c r="O483">
        <v>3.8103568999999999</v>
      </c>
      <c r="P483">
        <v>-20.153300999999999</v>
      </c>
      <c r="Q483">
        <v>-4.4573498999999996</v>
      </c>
      <c r="R483">
        <v>-20.171752999999999</v>
      </c>
      <c r="S483">
        <f t="shared" si="84"/>
        <v>1.0072161760114158</v>
      </c>
      <c r="T483">
        <f t="shared" si="85"/>
        <v>-23.166866233372637</v>
      </c>
    </row>
    <row r="484" spans="1:47" x14ac:dyDescent="0.35">
      <c r="A484">
        <v>5</v>
      </c>
      <c r="B484">
        <v>17</v>
      </c>
      <c r="C484">
        <v>-0.28278187999999999</v>
      </c>
      <c r="D484">
        <v>-3.8975533999999999E-2</v>
      </c>
      <c r="E484">
        <v>0.71718735</v>
      </c>
      <c r="F484">
        <v>-4.8748707000000002E-2</v>
      </c>
      <c r="G484">
        <f t="shared" si="76"/>
        <v>1.2265131766200199</v>
      </c>
      <c r="H484">
        <f t="shared" si="77"/>
        <v>-0.265341158340196</v>
      </c>
      <c r="I484">
        <f t="shared" si="78"/>
        <v>1.2265216706428801</v>
      </c>
      <c r="J484">
        <f t="shared" si="79"/>
        <v>-0.27022777851406998</v>
      </c>
      <c r="K484" s="7">
        <f t="shared" si="80"/>
        <v>-8.4940228601837492E-6</v>
      </c>
      <c r="L484" s="7">
        <f t="shared" si="81"/>
        <v>4.8866201738739798E-3</v>
      </c>
      <c r="M484" s="7">
        <f t="shared" si="82"/>
        <v>0.77756968355702205</v>
      </c>
      <c r="N484" s="7">
        <f t="shared" si="83"/>
        <v>0.17131448490214499</v>
      </c>
      <c r="O484">
        <v>3.0916448000000001</v>
      </c>
      <c r="P484">
        <v>-21.227277999999998</v>
      </c>
      <c r="Q484">
        <v>-5.3373517000000001</v>
      </c>
      <c r="R484">
        <v>-20.179765</v>
      </c>
      <c r="S484">
        <f t="shared" si="84"/>
        <v>0.97307547611343814</v>
      </c>
      <c r="T484">
        <f t="shared" si="85"/>
        <v>-23.101508285956861</v>
      </c>
      <c r="AT484">
        <v>17</v>
      </c>
      <c r="AU484">
        <v>0.77756968355702205</v>
      </c>
    </row>
    <row r="485" spans="1:47" x14ac:dyDescent="0.35">
      <c r="B485"/>
    </row>
    <row r="486" spans="1:47" x14ac:dyDescent="0.35">
      <c r="B486"/>
      <c r="U486" s="8"/>
      <c r="V486" s="8"/>
    </row>
    <row r="487" spans="1:47" x14ac:dyDescent="0.35">
      <c r="B487"/>
      <c r="U487" s="8"/>
      <c r="V487" s="8"/>
    </row>
    <row r="488" spans="1:47" x14ac:dyDescent="0.35">
      <c r="B488"/>
      <c r="U488" s="8"/>
      <c r="V488" s="8"/>
    </row>
    <row r="489" spans="1:47" x14ac:dyDescent="0.35">
      <c r="B489"/>
      <c r="U489" s="8"/>
      <c r="V489" s="8"/>
    </row>
    <row r="490" spans="1:47" x14ac:dyDescent="0.35">
      <c r="B490"/>
      <c r="U490" s="8"/>
      <c r="V490" s="8"/>
    </row>
    <row r="491" spans="1:47" x14ac:dyDescent="0.35">
      <c r="B491"/>
      <c r="U491" s="8"/>
      <c r="V491" s="8"/>
    </row>
    <row r="492" spans="1:47" x14ac:dyDescent="0.35">
      <c r="B492"/>
      <c r="U492" s="8"/>
      <c r="V492" s="8"/>
    </row>
    <row r="493" spans="1:47" x14ac:dyDescent="0.35">
      <c r="B493"/>
      <c r="U493" s="8"/>
      <c r="V493" s="8"/>
    </row>
    <row r="494" spans="1:47" x14ac:dyDescent="0.35">
      <c r="B494"/>
      <c r="U494" s="8"/>
      <c r="V494" s="8"/>
    </row>
    <row r="495" spans="1:47" x14ac:dyDescent="0.35">
      <c r="B495"/>
      <c r="U495" s="8"/>
      <c r="V495" s="8"/>
    </row>
    <row r="496" spans="1:47" x14ac:dyDescent="0.35">
      <c r="B496"/>
      <c r="U496" s="8"/>
      <c r="V496" s="8"/>
    </row>
    <row r="497" spans="2:22" x14ac:dyDescent="0.35">
      <c r="B497"/>
      <c r="U497" s="8"/>
      <c r="V497" s="8"/>
    </row>
    <row r="498" spans="2:22" x14ac:dyDescent="0.35">
      <c r="B498"/>
      <c r="U498" s="8"/>
      <c r="V498" s="8"/>
    </row>
    <row r="499" spans="2:22" x14ac:dyDescent="0.35">
      <c r="B499"/>
      <c r="U499" s="8"/>
      <c r="V499" s="8"/>
    </row>
    <row r="500" spans="2:22" x14ac:dyDescent="0.35">
      <c r="B500"/>
      <c r="U500" s="8"/>
      <c r="V500" s="8"/>
    </row>
    <row r="501" spans="2:22" x14ac:dyDescent="0.35">
      <c r="B501"/>
      <c r="U501" s="8"/>
      <c r="V501" s="8"/>
    </row>
    <row r="502" spans="2:22" x14ac:dyDescent="0.35">
      <c r="B502"/>
      <c r="U502" s="8"/>
      <c r="V502" s="8"/>
    </row>
    <row r="503" spans="2:22" x14ac:dyDescent="0.35">
      <c r="B503"/>
      <c r="U503" s="8"/>
      <c r="V503" s="8"/>
    </row>
    <row r="504" spans="2:22" x14ac:dyDescent="0.35">
      <c r="B504"/>
      <c r="U504" s="8"/>
      <c r="V504" s="8"/>
    </row>
    <row r="505" spans="2:22" x14ac:dyDescent="0.35">
      <c r="B505"/>
      <c r="U505" s="8"/>
      <c r="V505" s="8"/>
    </row>
    <row r="506" spans="2:22" x14ac:dyDescent="0.35">
      <c r="B506"/>
      <c r="U506" s="8"/>
      <c r="V506" s="8"/>
    </row>
    <row r="507" spans="2:22" x14ac:dyDescent="0.35">
      <c r="B507"/>
      <c r="U507" s="8"/>
      <c r="V507" s="8"/>
    </row>
    <row r="508" spans="2:22" x14ac:dyDescent="0.35">
      <c r="B508"/>
      <c r="U508" s="8"/>
      <c r="V508" s="8"/>
    </row>
    <row r="509" spans="2:22" x14ac:dyDescent="0.35">
      <c r="B509"/>
      <c r="U509" s="8"/>
      <c r="V509" s="8"/>
    </row>
    <row r="510" spans="2:22" x14ac:dyDescent="0.35">
      <c r="B510"/>
      <c r="U510" s="8"/>
      <c r="V510" s="8"/>
    </row>
    <row r="511" spans="2:22" x14ac:dyDescent="0.35">
      <c r="B511"/>
      <c r="U511" s="8"/>
      <c r="V511" s="8"/>
    </row>
    <row r="512" spans="2:22" x14ac:dyDescent="0.35">
      <c r="B512"/>
      <c r="U512" s="8"/>
      <c r="V512" s="8"/>
    </row>
    <row r="513" spans="2:22" x14ac:dyDescent="0.35">
      <c r="B513"/>
      <c r="U513" s="8"/>
      <c r="V513" s="8"/>
    </row>
    <row r="514" spans="2:22" x14ac:dyDescent="0.35">
      <c r="B514"/>
      <c r="U514" s="8"/>
      <c r="V514" s="8"/>
    </row>
    <row r="515" spans="2:22" x14ac:dyDescent="0.35">
      <c r="B515"/>
      <c r="U515" s="8"/>
      <c r="V515" s="8"/>
    </row>
    <row r="516" spans="2:22" x14ac:dyDescent="0.35">
      <c r="B516"/>
      <c r="U516" s="8"/>
      <c r="V516" s="8"/>
    </row>
    <row r="517" spans="2:22" x14ac:dyDescent="0.35">
      <c r="B517"/>
      <c r="U517" s="8"/>
      <c r="V517" s="8"/>
    </row>
    <row r="518" spans="2:22" x14ac:dyDescent="0.35">
      <c r="B518"/>
      <c r="U518" s="8"/>
      <c r="V518" s="8"/>
    </row>
    <row r="519" spans="2:22" x14ac:dyDescent="0.35">
      <c r="B519"/>
      <c r="U519" s="8"/>
      <c r="V519" s="8"/>
    </row>
    <row r="520" spans="2:22" x14ac:dyDescent="0.35">
      <c r="B520"/>
      <c r="U520" s="8"/>
      <c r="V520" s="8"/>
    </row>
    <row r="521" spans="2:22" x14ac:dyDescent="0.35">
      <c r="B521"/>
      <c r="U521" s="8"/>
      <c r="V521" s="8"/>
    </row>
    <row r="522" spans="2:22" x14ac:dyDescent="0.35">
      <c r="B522"/>
      <c r="U522" s="8"/>
      <c r="V522" s="8"/>
    </row>
    <row r="523" spans="2:22" x14ac:dyDescent="0.35">
      <c r="B523"/>
      <c r="U523" s="8"/>
      <c r="V523" s="8"/>
    </row>
    <row r="524" spans="2:22" x14ac:dyDescent="0.35">
      <c r="B524"/>
      <c r="U524" s="8"/>
      <c r="V524" s="8"/>
    </row>
    <row r="525" spans="2:22" x14ac:dyDescent="0.35">
      <c r="B525"/>
      <c r="U525" s="8"/>
      <c r="V525" s="8"/>
    </row>
    <row r="526" spans="2:22" x14ac:dyDescent="0.35">
      <c r="B526"/>
      <c r="U526" s="8"/>
      <c r="V526" s="8"/>
    </row>
    <row r="527" spans="2:22" x14ac:dyDescent="0.35">
      <c r="B527"/>
      <c r="U527" s="8"/>
      <c r="V527" s="8"/>
    </row>
    <row r="528" spans="2:22" x14ac:dyDescent="0.35">
      <c r="B528"/>
      <c r="U528" s="8"/>
      <c r="V528" s="8"/>
    </row>
    <row r="529" spans="2:22" x14ac:dyDescent="0.35">
      <c r="B529"/>
      <c r="U529" s="8"/>
      <c r="V529" s="8"/>
    </row>
    <row r="530" spans="2:22" x14ac:dyDescent="0.35">
      <c r="B530"/>
      <c r="U530" s="8"/>
      <c r="V530" s="8"/>
    </row>
    <row r="531" spans="2:22" x14ac:dyDescent="0.35">
      <c r="B531"/>
      <c r="U531" s="8"/>
      <c r="V531" s="8"/>
    </row>
    <row r="532" spans="2:22" x14ac:dyDescent="0.35">
      <c r="B532"/>
      <c r="U532" s="8"/>
      <c r="V532" s="8"/>
    </row>
    <row r="533" spans="2:22" x14ac:dyDescent="0.35">
      <c r="B533"/>
      <c r="U533" s="8"/>
      <c r="V533" s="8"/>
    </row>
    <row r="534" spans="2:22" x14ac:dyDescent="0.35">
      <c r="B534"/>
      <c r="U534" s="8"/>
      <c r="V534" s="8"/>
    </row>
    <row r="535" spans="2:22" x14ac:dyDescent="0.35">
      <c r="B535"/>
      <c r="U535" s="8"/>
      <c r="V535" s="8"/>
    </row>
    <row r="536" spans="2:22" x14ac:dyDescent="0.35">
      <c r="B536"/>
      <c r="U536" s="8"/>
      <c r="V536" s="8"/>
    </row>
    <row r="537" spans="2:22" x14ac:dyDescent="0.35">
      <c r="B537"/>
      <c r="U537" s="8"/>
      <c r="V537" s="8"/>
    </row>
    <row r="538" spans="2:22" x14ac:dyDescent="0.35">
      <c r="B538"/>
      <c r="U538" s="8"/>
      <c r="V538" s="8"/>
    </row>
    <row r="539" spans="2:22" x14ac:dyDescent="0.35">
      <c r="B539"/>
      <c r="U539" s="8"/>
      <c r="V539" s="8"/>
    </row>
    <row r="540" spans="2:22" x14ac:dyDescent="0.35">
      <c r="B540"/>
      <c r="U540" s="8"/>
      <c r="V540" s="8"/>
    </row>
    <row r="541" spans="2:22" x14ac:dyDescent="0.35">
      <c r="B541"/>
      <c r="U541" s="8"/>
      <c r="V541" s="8"/>
    </row>
    <row r="542" spans="2:22" x14ac:dyDescent="0.35">
      <c r="B542"/>
      <c r="U542" s="8"/>
      <c r="V542" s="8"/>
    </row>
    <row r="543" spans="2:22" x14ac:dyDescent="0.35">
      <c r="B543"/>
      <c r="U543" s="8"/>
      <c r="V543" s="8"/>
    </row>
    <row r="544" spans="2:22" x14ac:dyDescent="0.35">
      <c r="B544"/>
      <c r="U544" s="8"/>
      <c r="V544" s="8"/>
    </row>
    <row r="545" spans="2:22" x14ac:dyDescent="0.35">
      <c r="B545"/>
      <c r="U545" s="8"/>
      <c r="V545" s="8"/>
    </row>
    <row r="546" spans="2:22" x14ac:dyDescent="0.35">
      <c r="B546"/>
      <c r="U546" s="8"/>
      <c r="V546" s="8"/>
    </row>
    <row r="547" spans="2:22" x14ac:dyDescent="0.35">
      <c r="B547"/>
      <c r="U547" s="8"/>
      <c r="V547" s="8"/>
    </row>
    <row r="548" spans="2:22" x14ac:dyDescent="0.35">
      <c r="B548"/>
      <c r="U548" s="8"/>
      <c r="V548" s="8"/>
    </row>
    <row r="549" spans="2:22" x14ac:dyDescent="0.35">
      <c r="B549"/>
      <c r="U549" s="8"/>
      <c r="V549" s="8"/>
    </row>
    <row r="550" spans="2:22" x14ac:dyDescent="0.35">
      <c r="B550"/>
      <c r="U550" s="8"/>
      <c r="V550" s="8"/>
    </row>
    <row r="551" spans="2:22" x14ac:dyDescent="0.35">
      <c r="B551"/>
      <c r="U551" s="8"/>
      <c r="V551" s="8"/>
    </row>
    <row r="552" spans="2:22" x14ac:dyDescent="0.35">
      <c r="B552"/>
      <c r="U552" s="8"/>
      <c r="V552" s="8"/>
    </row>
    <row r="553" spans="2:22" x14ac:dyDescent="0.35">
      <c r="B553"/>
      <c r="U553" s="8"/>
      <c r="V553" s="8"/>
    </row>
    <row r="554" spans="2:22" x14ac:dyDescent="0.35">
      <c r="B554"/>
      <c r="U554" s="8"/>
      <c r="V554" s="8"/>
    </row>
    <row r="555" spans="2:22" x14ac:dyDescent="0.35">
      <c r="B555"/>
      <c r="U555" s="8"/>
      <c r="V555" s="8"/>
    </row>
    <row r="556" spans="2:22" x14ac:dyDescent="0.35">
      <c r="B556"/>
      <c r="U556" s="8"/>
      <c r="V556" s="8"/>
    </row>
    <row r="557" spans="2:22" x14ac:dyDescent="0.35">
      <c r="B557"/>
      <c r="U557" s="8"/>
      <c r="V557" s="8"/>
    </row>
    <row r="558" spans="2:22" x14ac:dyDescent="0.35">
      <c r="B558"/>
      <c r="U558" s="7"/>
      <c r="V558" s="8"/>
    </row>
    <row r="559" spans="2:22" x14ac:dyDescent="0.35">
      <c r="B559"/>
      <c r="U559" s="7"/>
      <c r="V559" s="8"/>
    </row>
    <row r="560" spans="2:22" x14ac:dyDescent="0.35">
      <c r="B560"/>
      <c r="U560" s="7"/>
      <c r="V560" s="8"/>
    </row>
    <row r="561" spans="2:22" x14ac:dyDescent="0.35">
      <c r="B561"/>
      <c r="U561" s="7"/>
      <c r="V561" s="8"/>
    </row>
    <row r="562" spans="2:22" x14ac:dyDescent="0.35">
      <c r="B562"/>
      <c r="U562" s="7"/>
      <c r="V562" s="8"/>
    </row>
    <row r="563" spans="2:22" x14ac:dyDescent="0.35">
      <c r="B563"/>
      <c r="U563" s="7"/>
      <c r="V563" s="8"/>
    </row>
    <row r="564" spans="2:22" x14ac:dyDescent="0.35">
      <c r="B564"/>
      <c r="U564" s="7"/>
      <c r="V564" s="8"/>
    </row>
    <row r="565" spans="2:22" x14ac:dyDescent="0.35">
      <c r="U565" s="7"/>
    </row>
    <row r="566" spans="2:22" x14ac:dyDescent="0.35">
      <c r="U566" s="7"/>
    </row>
    <row r="567" spans="2:22" x14ac:dyDescent="0.35">
      <c r="U567" s="7"/>
    </row>
    <row r="568" spans="2:22" x14ac:dyDescent="0.35">
      <c r="U568" s="7"/>
    </row>
    <row r="569" spans="2:22" x14ac:dyDescent="0.35">
      <c r="U569" s="7"/>
    </row>
    <row r="570" spans="2:22" x14ac:dyDescent="0.35">
      <c r="U570" s="7"/>
    </row>
    <row r="571" spans="2:22" x14ac:dyDescent="0.35">
      <c r="U571" s="7"/>
    </row>
    <row r="572" spans="2:22" x14ac:dyDescent="0.35">
      <c r="U572" s="7"/>
    </row>
    <row r="573" spans="2:22" x14ac:dyDescent="0.35">
      <c r="U573" s="7"/>
    </row>
    <row r="574" spans="2:22" x14ac:dyDescent="0.35">
      <c r="U574" s="7"/>
    </row>
    <row r="575" spans="2:22" x14ac:dyDescent="0.35">
      <c r="U575" s="7"/>
    </row>
    <row r="576" spans="2:22" x14ac:dyDescent="0.35">
      <c r="U576" s="7"/>
    </row>
    <row r="577" spans="21:21" x14ac:dyDescent="0.35">
      <c r="U577" s="7"/>
    </row>
    <row r="578" spans="21:21" x14ac:dyDescent="0.35">
      <c r="U578" s="7"/>
    </row>
    <row r="579" spans="21:21" x14ac:dyDescent="0.35">
      <c r="U579" s="7"/>
    </row>
    <row r="580" spans="21:21" x14ac:dyDescent="0.35">
      <c r="U580" s="7"/>
    </row>
    <row r="581" spans="21:21" x14ac:dyDescent="0.35">
      <c r="U581" s="7"/>
    </row>
    <row r="582" spans="21:21" x14ac:dyDescent="0.35">
      <c r="U582" s="7"/>
    </row>
    <row r="583" spans="21:21" x14ac:dyDescent="0.35">
      <c r="U583" s="7"/>
    </row>
    <row r="584" spans="21:21" x14ac:dyDescent="0.35">
      <c r="U584" s="7"/>
    </row>
    <row r="585" spans="21:21" x14ac:dyDescent="0.35">
      <c r="U585" s="7"/>
    </row>
    <row r="586" spans="21:21" x14ac:dyDescent="0.35">
      <c r="U586" s="7"/>
    </row>
    <row r="587" spans="21:21" x14ac:dyDescent="0.35">
      <c r="U587" s="7"/>
    </row>
    <row r="588" spans="21:21" x14ac:dyDescent="0.35">
      <c r="U588" s="7"/>
    </row>
    <row r="589" spans="21:21" x14ac:dyDescent="0.35">
      <c r="U589" s="7"/>
    </row>
    <row r="590" spans="21:21" x14ac:dyDescent="0.35">
      <c r="U590" s="7"/>
    </row>
    <row r="591" spans="21:21" x14ac:dyDescent="0.35">
      <c r="U591" s="7"/>
    </row>
    <row r="592" spans="21:21" x14ac:dyDescent="0.35">
      <c r="U592" s="7"/>
    </row>
    <row r="593" spans="21:21" x14ac:dyDescent="0.35">
      <c r="U593" s="7"/>
    </row>
    <row r="594" spans="21:21" x14ac:dyDescent="0.35">
      <c r="U594" s="7"/>
    </row>
    <row r="595" spans="21:21" x14ac:dyDescent="0.35">
      <c r="U595" s="7"/>
    </row>
    <row r="596" spans="21:21" x14ac:dyDescent="0.35">
      <c r="U596" s="7"/>
    </row>
    <row r="597" spans="21:21" x14ac:dyDescent="0.35">
      <c r="U597" s="7"/>
    </row>
    <row r="598" spans="21:21" x14ac:dyDescent="0.35">
      <c r="U598" s="7"/>
    </row>
    <row r="599" spans="21:21" x14ac:dyDescent="0.35">
      <c r="U599" s="7"/>
    </row>
    <row r="600" spans="21:21" x14ac:dyDescent="0.35">
      <c r="U600" s="7"/>
    </row>
    <row r="601" spans="21:21" x14ac:dyDescent="0.35">
      <c r="U601" s="7"/>
    </row>
    <row r="602" spans="21:21" x14ac:dyDescent="0.35">
      <c r="U602" s="7"/>
    </row>
    <row r="603" spans="21:21" x14ac:dyDescent="0.35">
      <c r="U603" s="7"/>
    </row>
    <row r="604" spans="21:21" x14ac:dyDescent="0.35">
      <c r="U604" s="7"/>
    </row>
    <row r="605" spans="21:21" x14ac:dyDescent="0.35">
      <c r="U605" s="7"/>
    </row>
    <row r="606" spans="21:21" x14ac:dyDescent="0.35">
      <c r="U606" s="7"/>
    </row>
    <row r="607" spans="21:21" x14ac:dyDescent="0.35">
      <c r="U607" s="7"/>
    </row>
    <row r="608" spans="21:21" x14ac:dyDescent="0.35">
      <c r="U608" s="7"/>
    </row>
    <row r="609" spans="21:21" x14ac:dyDescent="0.35">
      <c r="U609" s="7"/>
    </row>
    <row r="610" spans="21:21" x14ac:dyDescent="0.35">
      <c r="U610" s="7"/>
    </row>
    <row r="611" spans="21:21" x14ac:dyDescent="0.35">
      <c r="U611" s="7"/>
    </row>
    <row r="612" spans="21:21" x14ac:dyDescent="0.35">
      <c r="U612" s="7"/>
    </row>
    <row r="613" spans="21:21" x14ac:dyDescent="0.35">
      <c r="U613" s="7"/>
    </row>
    <row r="614" spans="21:21" x14ac:dyDescent="0.35">
      <c r="U614" s="7"/>
    </row>
    <row r="615" spans="21:21" x14ac:dyDescent="0.35">
      <c r="U615" s="7"/>
    </row>
    <row r="616" spans="21:21" x14ac:dyDescent="0.35">
      <c r="U616" s="7"/>
    </row>
    <row r="617" spans="21:21" x14ac:dyDescent="0.35">
      <c r="U617" s="7"/>
    </row>
    <row r="618" spans="21:21" x14ac:dyDescent="0.35">
      <c r="U618" s="7"/>
    </row>
    <row r="619" spans="21:21" x14ac:dyDescent="0.35">
      <c r="U619" s="7"/>
    </row>
    <row r="620" spans="21:21" x14ac:dyDescent="0.35">
      <c r="U620" s="7"/>
    </row>
    <row r="621" spans="21:21" x14ac:dyDescent="0.35">
      <c r="U621" s="7"/>
    </row>
    <row r="622" spans="21:21" x14ac:dyDescent="0.35">
      <c r="U622" s="7"/>
    </row>
    <row r="623" spans="21:21" x14ac:dyDescent="0.35">
      <c r="U623" s="7"/>
    </row>
    <row r="624" spans="21:21" x14ac:dyDescent="0.35">
      <c r="U624" s="7"/>
    </row>
    <row r="625" spans="21:21" x14ac:dyDescent="0.35">
      <c r="U625" s="7"/>
    </row>
    <row r="626" spans="21:21" x14ac:dyDescent="0.35">
      <c r="U626" s="7"/>
    </row>
    <row r="627" spans="21:21" x14ac:dyDescent="0.35">
      <c r="U627" s="7"/>
    </row>
    <row r="628" spans="21:21" x14ac:dyDescent="0.35">
      <c r="U628" s="7"/>
    </row>
    <row r="629" spans="21:21" x14ac:dyDescent="0.35">
      <c r="U629" s="7"/>
    </row>
    <row r="630" spans="21:21" x14ac:dyDescent="0.35">
      <c r="U630" s="7"/>
    </row>
    <row r="631" spans="21:21" x14ac:dyDescent="0.35">
      <c r="U631" s="7"/>
    </row>
    <row r="632" spans="21:21" x14ac:dyDescent="0.35">
      <c r="U632" s="7"/>
    </row>
    <row r="633" spans="21:21" x14ac:dyDescent="0.35">
      <c r="U633" s="7"/>
    </row>
    <row r="634" spans="21:21" x14ac:dyDescent="0.35">
      <c r="U634" s="7"/>
    </row>
    <row r="635" spans="21:21" x14ac:dyDescent="0.35">
      <c r="U635" s="7"/>
    </row>
    <row r="636" spans="21:21" x14ac:dyDescent="0.35">
      <c r="U636" s="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7780-1960-4070-B89C-A8E52907FF6F}">
  <dimension ref="A1"/>
  <sheetViews>
    <sheetView tabSelected="1" topLeftCell="A24" zoomScale="34" zoomScaleNormal="60" workbookViewId="0">
      <selection activeCell="AG129" sqref="AG129"/>
    </sheetView>
  </sheetViews>
  <sheetFormatPr defaultRowHeight="14.5" x14ac:dyDescent="0.3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Chabod Masere</cp:lastModifiedBy>
  <dcterms:created xsi:type="dcterms:W3CDTF">2016-10-11T01:12:02Z</dcterms:created>
  <dcterms:modified xsi:type="dcterms:W3CDTF">2026-04-23T10:51:08Z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