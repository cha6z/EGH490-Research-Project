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061bcffd0d95ffa/Desktop/UNIVERSITY/S1 2026/EGH490-2/Compiled_Data/simulation4/"/>
    </mc:Choice>
  </mc:AlternateContent>
  <xr:revisionPtr revIDLastSave="4133" documentId="8_{E0388BC3-721D-4490-9BE4-A6341E7DD428}" xr6:coauthVersionLast="47" xr6:coauthVersionMax="47" xr10:uidLastSave="{094D2C51-DFD9-48FD-9AE8-697A0E4EA683}"/>
  <bookViews>
    <workbookView xWindow="-110" yWindow="-110" windowWidth="25820" windowHeight="15500" xr2:uid="{00000000-000D-0000-FFFF-FFFF00000000}"/>
  </bookViews>
  <sheets>
    <sheet name="DATA" sheetId="5" r:id="rId1"/>
    <sheet name="GRAPHS" sheetId="6" r:id="rId2"/>
    <sheet name="_markers" sheetId="9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5" l="1"/>
  <c r="G2" i="5"/>
  <c r="G485" i="5"/>
  <c r="H485" i="5"/>
  <c r="I485" i="5"/>
  <c r="J485" i="5"/>
  <c r="M485" i="5"/>
  <c r="N485" i="5"/>
  <c r="G486" i="5"/>
  <c r="H486" i="5"/>
  <c r="I486" i="5"/>
  <c r="J486" i="5"/>
  <c r="M486" i="5"/>
  <c r="N486" i="5"/>
  <c r="G487" i="5"/>
  <c r="H487" i="5"/>
  <c r="I487" i="5"/>
  <c r="J487" i="5"/>
  <c r="M487" i="5"/>
  <c r="N487" i="5"/>
  <c r="G488" i="5"/>
  <c r="H488" i="5"/>
  <c r="I488" i="5"/>
  <c r="J488" i="5"/>
  <c r="M488" i="5"/>
  <c r="N488" i="5"/>
  <c r="G489" i="5"/>
  <c r="H489" i="5"/>
  <c r="I489" i="5"/>
  <c r="J489" i="5"/>
  <c r="M489" i="5"/>
  <c r="N489" i="5"/>
  <c r="G490" i="5"/>
  <c r="H490" i="5"/>
  <c r="I490" i="5"/>
  <c r="J490" i="5"/>
  <c r="M490" i="5"/>
  <c r="N490" i="5"/>
  <c r="G491" i="5"/>
  <c r="H491" i="5"/>
  <c r="I491" i="5"/>
  <c r="K491" i="5" s="1"/>
  <c r="J491" i="5"/>
  <c r="M491" i="5"/>
  <c r="N491" i="5"/>
  <c r="G492" i="5"/>
  <c r="H492" i="5"/>
  <c r="I492" i="5"/>
  <c r="J492" i="5"/>
  <c r="M492" i="5"/>
  <c r="N492" i="5"/>
  <c r="G493" i="5"/>
  <c r="H493" i="5"/>
  <c r="I493" i="5"/>
  <c r="J493" i="5"/>
  <c r="M493" i="5"/>
  <c r="N493" i="5"/>
  <c r="G494" i="5"/>
  <c r="K494" i="5" s="1"/>
  <c r="H494" i="5"/>
  <c r="I494" i="5"/>
  <c r="J494" i="5"/>
  <c r="L494" i="5" s="1"/>
  <c r="M494" i="5"/>
  <c r="N494" i="5"/>
  <c r="G495" i="5"/>
  <c r="H495" i="5"/>
  <c r="I495" i="5"/>
  <c r="J495" i="5"/>
  <c r="M495" i="5"/>
  <c r="N495" i="5"/>
  <c r="G496" i="5"/>
  <c r="H496" i="5"/>
  <c r="I496" i="5"/>
  <c r="J496" i="5"/>
  <c r="M496" i="5"/>
  <c r="N496" i="5"/>
  <c r="G497" i="5"/>
  <c r="H497" i="5"/>
  <c r="I497" i="5"/>
  <c r="J497" i="5"/>
  <c r="M497" i="5"/>
  <c r="N497" i="5"/>
  <c r="G498" i="5"/>
  <c r="H498" i="5"/>
  <c r="I498" i="5"/>
  <c r="J498" i="5"/>
  <c r="M498" i="5"/>
  <c r="N498" i="5"/>
  <c r="G499" i="5"/>
  <c r="H499" i="5"/>
  <c r="I499" i="5"/>
  <c r="J499" i="5"/>
  <c r="M499" i="5"/>
  <c r="N499" i="5"/>
  <c r="G500" i="5"/>
  <c r="H500" i="5"/>
  <c r="L500" i="5" s="1"/>
  <c r="I500" i="5"/>
  <c r="J500" i="5"/>
  <c r="M500" i="5"/>
  <c r="N500" i="5"/>
  <c r="G501" i="5"/>
  <c r="H501" i="5"/>
  <c r="I501" i="5"/>
  <c r="J501" i="5"/>
  <c r="M501" i="5"/>
  <c r="N501" i="5"/>
  <c r="G502" i="5"/>
  <c r="H502" i="5"/>
  <c r="I502" i="5"/>
  <c r="J502" i="5"/>
  <c r="M502" i="5"/>
  <c r="N502" i="5"/>
  <c r="G503" i="5"/>
  <c r="H503" i="5"/>
  <c r="I503" i="5"/>
  <c r="J503" i="5"/>
  <c r="M503" i="5"/>
  <c r="N503" i="5"/>
  <c r="G504" i="5"/>
  <c r="H504" i="5"/>
  <c r="I504" i="5"/>
  <c r="J504" i="5"/>
  <c r="M504" i="5"/>
  <c r="N504" i="5"/>
  <c r="G505" i="5"/>
  <c r="H505" i="5"/>
  <c r="I505" i="5"/>
  <c r="J505" i="5"/>
  <c r="M505" i="5"/>
  <c r="N505" i="5"/>
  <c r="G506" i="5"/>
  <c r="H506" i="5"/>
  <c r="I506" i="5"/>
  <c r="J506" i="5"/>
  <c r="M506" i="5"/>
  <c r="N506" i="5"/>
  <c r="G507" i="5"/>
  <c r="H507" i="5"/>
  <c r="I507" i="5"/>
  <c r="J507" i="5"/>
  <c r="M507" i="5"/>
  <c r="N507" i="5"/>
  <c r="G508" i="5"/>
  <c r="H508" i="5"/>
  <c r="I508" i="5"/>
  <c r="J508" i="5"/>
  <c r="M508" i="5"/>
  <c r="N508" i="5"/>
  <c r="G509" i="5"/>
  <c r="H509" i="5"/>
  <c r="I509" i="5"/>
  <c r="J509" i="5"/>
  <c r="M509" i="5"/>
  <c r="N509" i="5"/>
  <c r="G510" i="5"/>
  <c r="H510" i="5"/>
  <c r="I510" i="5"/>
  <c r="J510" i="5"/>
  <c r="M510" i="5"/>
  <c r="N510" i="5"/>
  <c r="G511" i="5"/>
  <c r="H511" i="5"/>
  <c r="I511" i="5"/>
  <c r="J511" i="5"/>
  <c r="M511" i="5"/>
  <c r="N511" i="5"/>
  <c r="G512" i="5"/>
  <c r="H512" i="5"/>
  <c r="I512" i="5"/>
  <c r="J512" i="5"/>
  <c r="M512" i="5"/>
  <c r="N512" i="5"/>
  <c r="G513" i="5"/>
  <c r="H513" i="5"/>
  <c r="I513" i="5"/>
  <c r="J513" i="5"/>
  <c r="M513" i="5"/>
  <c r="N513" i="5"/>
  <c r="G514" i="5"/>
  <c r="H514" i="5"/>
  <c r="I514" i="5"/>
  <c r="J514" i="5"/>
  <c r="M514" i="5"/>
  <c r="N514" i="5"/>
  <c r="G515" i="5"/>
  <c r="H515" i="5"/>
  <c r="I515" i="5"/>
  <c r="J515" i="5"/>
  <c r="L515" i="5" s="1"/>
  <c r="M515" i="5"/>
  <c r="N515" i="5"/>
  <c r="G516" i="5"/>
  <c r="H516" i="5"/>
  <c r="I516" i="5"/>
  <c r="J516" i="5"/>
  <c r="M516" i="5"/>
  <c r="N516" i="5"/>
  <c r="G517" i="5"/>
  <c r="H517" i="5"/>
  <c r="I517" i="5"/>
  <c r="J517" i="5"/>
  <c r="M517" i="5"/>
  <c r="N517" i="5"/>
  <c r="G518" i="5"/>
  <c r="H518" i="5"/>
  <c r="I518" i="5"/>
  <c r="J518" i="5"/>
  <c r="M518" i="5"/>
  <c r="N518" i="5"/>
  <c r="G519" i="5"/>
  <c r="H519" i="5"/>
  <c r="I519" i="5"/>
  <c r="J519" i="5"/>
  <c r="M519" i="5"/>
  <c r="N519" i="5"/>
  <c r="G520" i="5"/>
  <c r="H520" i="5"/>
  <c r="I520" i="5"/>
  <c r="J520" i="5"/>
  <c r="M520" i="5"/>
  <c r="N520" i="5"/>
  <c r="G521" i="5"/>
  <c r="H521" i="5"/>
  <c r="I521" i="5"/>
  <c r="J521" i="5"/>
  <c r="M521" i="5"/>
  <c r="N521" i="5"/>
  <c r="G522" i="5"/>
  <c r="H522" i="5"/>
  <c r="I522" i="5"/>
  <c r="J522" i="5"/>
  <c r="M522" i="5"/>
  <c r="N522" i="5"/>
  <c r="G523" i="5"/>
  <c r="H523" i="5"/>
  <c r="I523" i="5"/>
  <c r="J523" i="5"/>
  <c r="M523" i="5"/>
  <c r="N523" i="5"/>
  <c r="G524" i="5"/>
  <c r="H524" i="5"/>
  <c r="I524" i="5"/>
  <c r="J524" i="5"/>
  <c r="M524" i="5"/>
  <c r="N524" i="5"/>
  <c r="G525" i="5"/>
  <c r="H525" i="5"/>
  <c r="I525" i="5"/>
  <c r="J525" i="5"/>
  <c r="M525" i="5"/>
  <c r="N525" i="5"/>
  <c r="G526" i="5"/>
  <c r="L526" i="5" s="1"/>
  <c r="H526" i="5"/>
  <c r="I526" i="5"/>
  <c r="J526" i="5"/>
  <c r="M526" i="5"/>
  <c r="N526" i="5"/>
  <c r="G527" i="5"/>
  <c r="H527" i="5"/>
  <c r="I527" i="5"/>
  <c r="J527" i="5"/>
  <c r="M527" i="5"/>
  <c r="N527" i="5"/>
  <c r="G528" i="5"/>
  <c r="H528" i="5"/>
  <c r="I528" i="5"/>
  <c r="J528" i="5"/>
  <c r="M528" i="5"/>
  <c r="N528" i="5"/>
  <c r="G529" i="5"/>
  <c r="H529" i="5"/>
  <c r="I529" i="5"/>
  <c r="J529" i="5"/>
  <c r="M529" i="5"/>
  <c r="N529" i="5"/>
  <c r="G530" i="5"/>
  <c r="H530" i="5"/>
  <c r="I530" i="5"/>
  <c r="J530" i="5"/>
  <c r="M530" i="5"/>
  <c r="N530" i="5"/>
  <c r="G531" i="5"/>
  <c r="H531" i="5"/>
  <c r="I531" i="5"/>
  <c r="J531" i="5"/>
  <c r="M531" i="5"/>
  <c r="N531" i="5"/>
  <c r="G532" i="5"/>
  <c r="H532" i="5"/>
  <c r="I532" i="5"/>
  <c r="J532" i="5"/>
  <c r="M532" i="5"/>
  <c r="N532" i="5"/>
  <c r="G533" i="5"/>
  <c r="H533" i="5"/>
  <c r="I533" i="5"/>
  <c r="J533" i="5"/>
  <c r="M533" i="5"/>
  <c r="N533" i="5"/>
  <c r="G534" i="5"/>
  <c r="H534" i="5"/>
  <c r="I534" i="5"/>
  <c r="J534" i="5"/>
  <c r="M534" i="5"/>
  <c r="N534" i="5"/>
  <c r="G535" i="5"/>
  <c r="H535" i="5"/>
  <c r="I535" i="5"/>
  <c r="J535" i="5"/>
  <c r="L535" i="5" s="1"/>
  <c r="M535" i="5"/>
  <c r="N535" i="5"/>
  <c r="G536" i="5"/>
  <c r="H536" i="5"/>
  <c r="I536" i="5"/>
  <c r="J536" i="5"/>
  <c r="M536" i="5"/>
  <c r="N536" i="5"/>
  <c r="G537" i="5"/>
  <c r="H537" i="5"/>
  <c r="I537" i="5"/>
  <c r="J537" i="5"/>
  <c r="M537" i="5"/>
  <c r="N537" i="5"/>
  <c r="G538" i="5"/>
  <c r="H538" i="5"/>
  <c r="I538" i="5"/>
  <c r="J538" i="5"/>
  <c r="M538" i="5"/>
  <c r="N538" i="5"/>
  <c r="G539" i="5"/>
  <c r="H539" i="5"/>
  <c r="I539" i="5"/>
  <c r="J539" i="5"/>
  <c r="M539" i="5"/>
  <c r="N539" i="5"/>
  <c r="G540" i="5"/>
  <c r="H540" i="5"/>
  <c r="I540" i="5"/>
  <c r="J540" i="5"/>
  <c r="M540" i="5"/>
  <c r="N540" i="5"/>
  <c r="G541" i="5"/>
  <c r="H541" i="5"/>
  <c r="I541" i="5"/>
  <c r="J541" i="5"/>
  <c r="M541" i="5"/>
  <c r="N541" i="5"/>
  <c r="G542" i="5"/>
  <c r="H542" i="5"/>
  <c r="I542" i="5"/>
  <c r="J542" i="5"/>
  <c r="M542" i="5"/>
  <c r="N542" i="5"/>
  <c r="G543" i="5"/>
  <c r="H543" i="5"/>
  <c r="I543" i="5"/>
  <c r="J543" i="5"/>
  <c r="M543" i="5"/>
  <c r="N543" i="5"/>
  <c r="G544" i="5"/>
  <c r="H544" i="5"/>
  <c r="L544" i="5" s="1"/>
  <c r="I544" i="5"/>
  <c r="J544" i="5"/>
  <c r="M544" i="5"/>
  <c r="N544" i="5"/>
  <c r="G545" i="5"/>
  <c r="H545" i="5"/>
  <c r="I545" i="5"/>
  <c r="J545" i="5"/>
  <c r="M545" i="5"/>
  <c r="N545" i="5"/>
  <c r="G546" i="5"/>
  <c r="H546" i="5"/>
  <c r="I546" i="5"/>
  <c r="J546" i="5"/>
  <c r="M546" i="5"/>
  <c r="N546" i="5"/>
  <c r="G547" i="5"/>
  <c r="H547" i="5"/>
  <c r="I547" i="5"/>
  <c r="J547" i="5"/>
  <c r="M547" i="5"/>
  <c r="N547" i="5"/>
  <c r="G548" i="5"/>
  <c r="H548" i="5"/>
  <c r="I548" i="5"/>
  <c r="J548" i="5"/>
  <c r="M548" i="5"/>
  <c r="N548" i="5"/>
  <c r="G549" i="5"/>
  <c r="H549" i="5"/>
  <c r="I549" i="5"/>
  <c r="J549" i="5"/>
  <c r="M549" i="5"/>
  <c r="N549" i="5"/>
  <c r="G550" i="5"/>
  <c r="H550" i="5"/>
  <c r="I550" i="5"/>
  <c r="J550" i="5"/>
  <c r="M550" i="5"/>
  <c r="N550" i="5"/>
  <c r="G551" i="5"/>
  <c r="H551" i="5"/>
  <c r="I551" i="5"/>
  <c r="J551" i="5"/>
  <c r="M551" i="5"/>
  <c r="N551" i="5"/>
  <c r="G552" i="5"/>
  <c r="H552" i="5"/>
  <c r="I552" i="5"/>
  <c r="J552" i="5"/>
  <c r="M552" i="5"/>
  <c r="N552" i="5"/>
  <c r="G553" i="5"/>
  <c r="H553" i="5"/>
  <c r="I553" i="5"/>
  <c r="J553" i="5"/>
  <c r="M553" i="5"/>
  <c r="N553" i="5"/>
  <c r="G554" i="5"/>
  <c r="H554" i="5"/>
  <c r="I554" i="5"/>
  <c r="J554" i="5"/>
  <c r="M554" i="5"/>
  <c r="N554" i="5"/>
  <c r="G555" i="5"/>
  <c r="H555" i="5"/>
  <c r="I555" i="5"/>
  <c r="J555" i="5"/>
  <c r="M555" i="5"/>
  <c r="N555" i="5"/>
  <c r="G556" i="5"/>
  <c r="H556" i="5"/>
  <c r="I556" i="5"/>
  <c r="J556" i="5"/>
  <c r="M556" i="5"/>
  <c r="N556" i="5"/>
  <c r="G557" i="5"/>
  <c r="H557" i="5"/>
  <c r="I557" i="5"/>
  <c r="J557" i="5"/>
  <c r="M557" i="5"/>
  <c r="N557" i="5"/>
  <c r="G558" i="5"/>
  <c r="H558" i="5"/>
  <c r="I558" i="5"/>
  <c r="J558" i="5"/>
  <c r="M558" i="5"/>
  <c r="N558" i="5"/>
  <c r="G559" i="5"/>
  <c r="H559" i="5"/>
  <c r="I559" i="5"/>
  <c r="J559" i="5"/>
  <c r="M559" i="5"/>
  <c r="N559" i="5"/>
  <c r="G560" i="5"/>
  <c r="H560" i="5"/>
  <c r="I560" i="5"/>
  <c r="J560" i="5"/>
  <c r="M560" i="5"/>
  <c r="N560" i="5"/>
  <c r="G561" i="5"/>
  <c r="H561" i="5"/>
  <c r="I561" i="5"/>
  <c r="J561" i="5"/>
  <c r="M561" i="5"/>
  <c r="N561" i="5"/>
  <c r="G562" i="5"/>
  <c r="H562" i="5"/>
  <c r="I562" i="5"/>
  <c r="J562" i="5"/>
  <c r="M562" i="5"/>
  <c r="N562" i="5"/>
  <c r="G563" i="5"/>
  <c r="H563" i="5"/>
  <c r="I563" i="5"/>
  <c r="J563" i="5"/>
  <c r="M563" i="5"/>
  <c r="N563" i="5"/>
  <c r="G564" i="5"/>
  <c r="H564" i="5"/>
  <c r="I564" i="5"/>
  <c r="J564" i="5"/>
  <c r="M564" i="5"/>
  <c r="N564" i="5"/>
  <c r="G565" i="5"/>
  <c r="H565" i="5"/>
  <c r="I565" i="5"/>
  <c r="J565" i="5"/>
  <c r="M565" i="5"/>
  <c r="N565" i="5"/>
  <c r="G566" i="5"/>
  <c r="H566" i="5"/>
  <c r="I566" i="5"/>
  <c r="J566" i="5"/>
  <c r="M566" i="5"/>
  <c r="N566" i="5"/>
  <c r="G567" i="5"/>
  <c r="H567" i="5"/>
  <c r="I567" i="5"/>
  <c r="J567" i="5"/>
  <c r="M567" i="5"/>
  <c r="N567" i="5"/>
  <c r="G568" i="5"/>
  <c r="H568" i="5"/>
  <c r="I568" i="5"/>
  <c r="J568" i="5"/>
  <c r="M568" i="5"/>
  <c r="N568" i="5"/>
  <c r="G569" i="5"/>
  <c r="H569" i="5"/>
  <c r="I569" i="5"/>
  <c r="J569" i="5"/>
  <c r="M569" i="5"/>
  <c r="N569" i="5"/>
  <c r="G570" i="5"/>
  <c r="H570" i="5"/>
  <c r="I570" i="5"/>
  <c r="J570" i="5"/>
  <c r="M570" i="5"/>
  <c r="N570" i="5"/>
  <c r="G571" i="5"/>
  <c r="H571" i="5"/>
  <c r="I571" i="5"/>
  <c r="J571" i="5"/>
  <c r="M571" i="5"/>
  <c r="N571" i="5"/>
  <c r="G572" i="5"/>
  <c r="H572" i="5"/>
  <c r="I572" i="5"/>
  <c r="J572" i="5"/>
  <c r="M572" i="5"/>
  <c r="N572" i="5"/>
  <c r="G573" i="5"/>
  <c r="H573" i="5"/>
  <c r="I573" i="5"/>
  <c r="J573" i="5"/>
  <c r="M573" i="5"/>
  <c r="N573" i="5"/>
  <c r="G574" i="5"/>
  <c r="H574" i="5"/>
  <c r="I574" i="5"/>
  <c r="J574" i="5"/>
  <c r="M574" i="5"/>
  <c r="N574" i="5"/>
  <c r="G575" i="5"/>
  <c r="H575" i="5"/>
  <c r="I575" i="5"/>
  <c r="J575" i="5"/>
  <c r="M575" i="5"/>
  <c r="N575" i="5"/>
  <c r="G576" i="5"/>
  <c r="H576" i="5"/>
  <c r="I576" i="5"/>
  <c r="J576" i="5"/>
  <c r="M576" i="5"/>
  <c r="N576" i="5"/>
  <c r="G577" i="5"/>
  <c r="H577" i="5"/>
  <c r="I577" i="5"/>
  <c r="J577" i="5"/>
  <c r="M577" i="5"/>
  <c r="N577" i="5"/>
  <c r="G578" i="5"/>
  <c r="H578" i="5"/>
  <c r="I578" i="5"/>
  <c r="J578" i="5"/>
  <c r="M578" i="5"/>
  <c r="N578" i="5"/>
  <c r="G579" i="5"/>
  <c r="H579" i="5"/>
  <c r="I579" i="5"/>
  <c r="J579" i="5"/>
  <c r="M579" i="5"/>
  <c r="N579" i="5"/>
  <c r="G580" i="5"/>
  <c r="H580" i="5"/>
  <c r="I580" i="5"/>
  <c r="J580" i="5"/>
  <c r="M580" i="5"/>
  <c r="N580" i="5"/>
  <c r="G581" i="5"/>
  <c r="H581" i="5"/>
  <c r="I581" i="5"/>
  <c r="J581" i="5"/>
  <c r="M581" i="5"/>
  <c r="N581" i="5"/>
  <c r="G582" i="5"/>
  <c r="H582" i="5"/>
  <c r="I582" i="5"/>
  <c r="J582" i="5"/>
  <c r="M582" i="5"/>
  <c r="N582" i="5"/>
  <c r="G583" i="5"/>
  <c r="H583" i="5"/>
  <c r="I583" i="5"/>
  <c r="J583" i="5"/>
  <c r="M583" i="5"/>
  <c r="N583" i="5"/>
  <c r="G584" i="5"/>
  <c r="H584" i="5"/>
  <c r="I584" i="5"/>
  <c r="J584" i="5"/>
  <c r="M584" i="5"/>
  <c r="N584" i="5"/>
  <c r="G585" i="5"/>
  <c r="H585" i="5"/>
  <c r="I585" i="5"/>
  <c r="J585" i="5"/>
  <c r="M585" i="5"/>
  <c r="N585" i="5"/>
  <c r="G586" i="5"/>
  <c r="H586" i="5"/>
  <c r="I586" i="5"/>
  <c r="J586" i="5"/>
  <c r="M586" i="5"/>
  <c r="N586" i="5"/>
  <c r="G587" i="5"/>
  <c r="H587" i="5"/>
  <c r="I587" i="5"/>
  <c r="J587" i="5"/>
  <c r="M587" i="5"/>
  <c r="N587" i="5"/>
  <c r="G588" i="5"/>
  <c r="H588" i="5"/>
  <c r="I588" i="5"/>
  <c r="J588" i="5"/>
  <c r="M588" i="5"/>
  <c r="N588" i="5"/>
  <c r="G589" i="5"/>
  <c r="H589" i="5"/>
  <c r="I589" i="5"/>
  <c r="J589" i="5"/>
  <c r="M589" i="5"/>
  <c r="N589" i="5"/>
  <c r="G590" i="5"/>
  <c r="H590" i="5"/>
  <c r="I590" i="5"/>
  <c r="J590" i="5"/>
  <c r="M590" i="5"/>
  <c r="N590" i="5"/>
  <c r="G591" i="5"/>
  <c r="H591" i="5"/>
  <c r="I591" i="5"/>
  <c r="J591" i="5"/>
  <c r="M591" i="5"/>
  <c r="N591" i="5"/>
  <c r="G592" i="5"/>
  <c r="H592" i="5"/>
  <c r="I592" i="5"/>
  <c r="J592" i="5"/>
  <c r="M592" i="5"/>
  <c r="N592" i="5"/>
  <c r="G593" i="5"/>
  <c r="H593" i="5"/>
  <c r="I593" i="5"/>
  <c r="J593" i="5"/>
  <c r="M593" i="5"/>
  <c r="N593" i="5"/>
  <c r="G594" i="5"/>
  <c r="H594" i="5"/>
  <c r="I594" i="5"/>
  <c r="J594" i="5"/>
  <c r="M594" i="5"/>
  <c r="N594" i="5"/>
  <c r="G595" i="5"/>
  <c r="H595" i="5"/>
  <c r="I595" i="5"/>
  <c r="J595" i="5"/>
  <c r="M595" i="5"/>
  <c r="N595" i="5"/>
  <c r="G596" i="5"/>
  <c r="H596" i="5"/>
  <c r="I596" i="5"/>
  <c r="J596" i="5"/>
  <c r="M596" i="5"/>
  <c r="N596" i="5"/>
  <c r="G597" i="5"/>
  <c r="H597" i="5"/>
  <c r="I597" i="5"/>
  <c r="J597" i="5"/>
  <c r="M597" i="5"/>
  <c r="N597" i="5"/>
  <c r="G598" i="5"/>
  <c r="H598" i="5"/>
  <c r="I598" i="5"/>
  <c r="J598" i="5"/>
  <c r="M598" i="5"/>
  <c r="N598" i="5"/>
  <c r="G599" i="5"/>
  <c r="H599" i="5"/>
  <c r="I599" i="5"/>
  <c r="J599" i="5"/>
  <c r="M599" i="5"/>
  <c r="N599" i="5"/>
  <c r="G600" i="5"/>
  <c r="H600" i="5"/>
  <c r="I600" i="5"/>
  <c r="J600" i="5"/>
  <c r="M600" i="5"/>
  <c r="N600" i="5"/>
  <c r="G601" i="5"/>
  <c r="H601" i="5"/>
  <c r="I601" i="5"/>
  <c r="J601" i="5"/>
  <c r="M601" i="5"/>
  <c r="N601" i="5"/>
  <c r="G602" i="5"/>
  <c r="H602" i="5"/>
  <c r="I602" i="5"/>
  <c r="J602" i="5"/>
  <c r="M602" i="5"/>
  <c r="N602" i="5"/>
  <c r="G603" i="5"/>
  <c r="H603" i="5"/>
  <c r="I603" i="5"/>
  <c r="J603" i="5"/>
  <c r="M603" i="5"/>
  <c r="N603" i="5"/>
  <c r="G604" i="5"/>
  <c r="H604" i="5"/>
  <c r="I604" i="5"/>
  <c r="J604" i="5"/>
  <c r="M604" i="5"/>
  <c r="N604" i="5"/>
  <c r="G605" i="5"/>
  <c r="H605" i="5"/>
  <c r="I605" i="5"/>
  <c r="J605" i="5"/>
  <c r="M605" i="5"/>
  <c r="N605" i="5"/>
  <c r="G606" i="5"/>
  <c r="H606" i="5"/>
  <c r="I606" i="5"/>
  <c r="J606" i="5"/>
  <c r="M606" i="5"/>
  <c r="N606" i="5"/>
  <c r="G607" i="5"/>
  <c r="H607" i="5"/>
  <c r="I607" i="5"/>
  <c r="J607" i="5"/>
  <c r="M607" i="5"/>
  <c r="N607" i="5"/>
  <c r="G608" i="5"/>
  <c r="H608" i="5"/>
  <c r="I608" i="5"/>
  <c r="J608" i="5"/>
  <c r="M608" i="5"/>
  <c r="N608" i="5"/>
  <c r="G609" i="5"/>
  <c r="H609" i="5"/>
  <c r="I609" i="5"/>
  <c r="J609" i="5"/>
  <c r="M609" i="5"/>
  <c r="N609" i="5"/>
  <c r="G610" i="5"/>
  <c r="H610" i="5"/>
  <c r="I610" i="5"/>
  <c r="J610" i="5"/>
  <c r="M610" i="5"/>
  <c r="N610" i="5"/>
  <c r="G611" i="5"/>
  <c r="H611" i="5"/>
  <c r="I611" i="5"/>
  <c r="J611" i="5"/>
  <c r="M611" i="5"/>
  <c r="N611" i="5"/>
  <c r="G612" i="5"/>
  <c r="H612" i="5"/>
  <c r="I612" i="5"/>
  <c r="J612" i="5"/>
  <c r="M612" i="5"/>
  <c r="N612" i="5"/>
  <c r="G613" i="5"/>
  <c r="H613" i="5"/>
  <c r="I613" i="5"/>
  <c r="J613" i="5"/>
  <c r="M613" i="5"/>
  <c r="N613" i="5"/>
  <c r="G614" i="5"/>
  <c r="H614" i="5"/>
  <c r="I614" i="5"/>
  <c r="J614" i="5"/>
  <c r="M614" i="5"/>
  <c r="N614" i="5"/>
  <c r="G615" i="5"/>
  <c r="H615" i="5"/>
  <c r="I615" i="5"/>
  <c r="J615" i="5"/>
  <c r="M615" i="5"/>
  <c r="N615" i="5"/>
  <c r="G616" i="5"/>
  <c r="H616" i="5"/>
  <c r="I616" i="5"/>
  <c r="J616" i="5"/>
  <c r="M616" i="5"/>
  <c r="N616" i="5"/>
  <c r="G617" i="5"/>
  <c r="H617" i="5"/>
  <c r="I617" i="5"/>
  <c r="J617" i="5"/>
  <c r="M617" i="5"/>
  <c r="N617" i="5"/>
  <c r="G618" i="5"/>
  <c r="H618" i="5"/>
  <c r="I618" i="5"/>
  <c r="J618" i="5"/>
  <c r="M618" i="5"/>
  <c r="N618" i="5"/>
  <c r="G619" i="5"/>
  <c r="H619" i="5"/>
  <c r="I619" i="5"/>
  <c r="J619" i="5"/>
  <c r="M619" i="5"/>
  <c r="N619" i="5"/>
  <c r="G620" i="5"/>
  <c r="H620" i="5"/>
  <c r="I620" i="5"/>
  <c r="J620" i="5"/>
  <c r="M620" i="5"/>
  <c r="N620" i="5"/>
  <c r="G621" i="5"/>
  <c r="H621" i="5"/>
  <c r="I621" i="5"/>
  <c r="J621" i="5"/>
  <c r="M621" i="5"/>
  <c r="N621" i="5"/>
  <c r="G622" i="5"/>
  <c r="H622" i="5"/>
  <c r="I622" i="5"/>
  <c r="J622" i="5"/>
  <c r="M622" i="5"/>
  <c r="N622" i="5"/>
  <c r="G623" i="5"/>
  <c r="H623" i="5"/>
  <c r="I623" i="5"/>
  <c r="J623" i="5"/>
  <c r="M623" i="5"/>
  <c r="N623" i="5"/>
  <c r="G624" i="5"/>
  <c r="H624" i="5"/>
  <c r="I624" i="5"/>
  <c r="J624" i="5"/>
  <c r="M624" i="5"/>
  <c r="N624" i="5"/>
  <c r="G625" i="5"/>
  <c r="H625" i="5"/>
  <c r="I625" i="5"/>
  <c r="J625" i="5"/>
  <c r="M625" i="5"/>
  <c r="N625" i="5"/>
  <c r="G626" i="5"/>
  <c r="H626" i="5"/>
  <c r="I626" i="5"/>
  <c r="J626" i="5"/>
  <c r="M626" i="5"/>
  <c r="N626" i="5"/>
  <c r="G627" i="5"/>
  <c r="H627" i="5"/>
  <c r="I627" i="5"/>
  <c r="J627" i="5"/>
  <c r="M627" i="5"/>
  <c r="N627" i="5"/>
  <c r="G628" i="5"/>
  <c r="H628" i="5"/>
  <c r="I628" i="5"/>
  <c r="J628" i="5"/>
  <c r="M628" i="5"/>
  <c r="N628" i="5"/>
  <c r="G629" i="5"/>
  <c r="H629" i="5"/>
  <c r="I629" i="5"/>
  <c r="J629" i="5"/>
  <c r="M629" i="5"/>
  <c r="N629" i="5"/>
  <c r="G630" i="5"/>
  <c r="H630" i="5"/>
  <c r="I630" i="5"/>
  <c r="J630" i="5"/>
  <c r="M630" i="5"/>
  <c r="N630" i="5"/>
  <c r="G631" i="5"/>
  <c r="H631" i="5"/>
  <c r="I631" i="5"/>
  <c r="J631" i="5"/>
  <c r="M631" i="5"/>
  <c r="N631" i="5"/>
  <c r="G632" i="5"/>
  <c r="H632" i="5"/>
  <c r="I632" i="5"/>
  <c r="J632" i="5"/>
  <c r="M632" i="5"/>
  <c r="N632" i="5"/>
  <c r="G633" i="5"/>
  <c r="H633" i="5"/>
  <c r="I633" i="5"/>
  <c r="J633" i="5"/>
  <c r="M633" i="5"/>
  <c r="N633" i="5"/>
  <c r="G634" i="5"/>
  <c r="H634" i="5"/>
  <c r="I634" i="5"/>
  <c r="J634" i="5"/>
  <c r="M634" i="5"/>
  <c r="N634" i="5"/>
  <c r="G635" i="5"/>
  <c r="H635" i="5"/>
  <c r="I635" i="5"/>
  <c r="J635" i="5"/>
  <c r="M635" i="5"/>
  <c r="N635" i="5"/>
  <c r="G636" i="5"/>
  <c r="H636" i="5"/>
  <c r="I636" i="5"/>
  <c r="J636" i="5"/>
  <c r="M636" i="5"/>
  <c r="N636" i="5"/>
  <c r="G637" i="5"/>
  <c r="H637" i="5"/>
  <c r="I637" i="5"/>
  <c r="J637" i="5"/>
  <c r="M637" i="5"/>
  <c r="N637" i="5"/>
  <c r="G638" i="5"/>
  <c r="H638" i="5"/>
  <c r="I638" i="5"/>
  <c r="J638" i="5"/>
  <c r="M638" i="5"/>
  <c r="N638" i="5"/>
  <c r="G639" i="5"/>
  <c r="H639" i="5"/>
  <c r="I639" i="5"/>
  <c r="J639" i="5"/>
  <c r="M639" i="5"/>
  <c r="N639" i="5"/>
  <c r="G640" i="5"/>
  <c r="H640" i="5"/>
  <c r="I640" i="5"/>
  <c r="J640" i="5"/>
  <c r="M640" i="5"/>
  <c r="N640" i="5"/>
  <c r="G641" i="5"/>
  <c r="H641" i="5"/>
  <c r="I641" i="5"/>
  <c r="J641" i="5"/>
  <c r="M641" i="5"/>
  <c r="N641" i="5"/>
  <c r="G642" i="5"/>
  <c r="H642" i="5"/>
  <c r="I642" i="5"/>
  <c r="J642" i="5"/>
  <c r="M642" i="5"/>
  <c r="N642" i="5"/>
  <c r="G643" i="5"/>
  <c r="H643" i="5"/>
  <c r="I643" i="5"/>
  <c r="J643" i="5"/>
  <c r="M643" i="5"/>
  <c r="N643" i="5"/>
  <c r="G644" i="5"/>
  <c r="H644" i="5"/>
  <c r="I644" i="5"/>
  <c r="J644" i="5"/>
  <c r="M644" i="5"/>
  <c r="N644" i="5"/>
  <c r="G645" i="5"/>
  <c r="H645" i="5"/>
  <c r="I645" i="5"/>
  <c r="J645" i="5"/>
  <c r="M645" i="5"/>
  <c r="N645" i="5"/>
  <c r="G646" i="5"/>
  <c r="H646" i="5"/>
  <c r="I646" i="5"/>
  <c r="J646" i="5"/>
  <c r="M646" i="5"/>
  <c r="N646" i="5"/>
  <c r="G647" i="5"/>
  <c r="H647" i="5"/>
  <c r="I647" i="5"/>
  <c r="J647" i="5"/>
  <c r="M647" i="5"/>
  <c r="N647" i="5"/>
  <c r="G648" i="5"/>
  <c r="H648" i="5"/>
  <c r="I648" i="5"/>
  <c r="J648" i="5"/>
  <c r="M648" i="5"/>
  <c r="N648" i="5"/>
  <c r="G649" i="5"/>
  <c r="H649" i="5"/>
  <c r="I649" i="5"/>
  <c r="J649" i="5"/>
  <c r="M649" i="5"/>
  <c r="N649" i="5"/>
  <c r="G650" i="5"/>
  <c r="H650" i="5"/>
  <c r="I650" i="5"/>
  <c r="J650" i="5"/>
  <c r="M650" i="5"/>
  <c r="N650" i="5"/>
  <c r="G651" i="5"/>
  <c r="H651" i="5"/>
  <c r="I651" i="5"/>
  <c r="J651" i="5"/>
  <c r="M651" i="5"/>
  <c r="N651" i="5"/>
  <c r="G652" i="5"/>
  <c r="H652" i="5"/>
  <c r="I652" i="5"/>
  <c r="J652" i="5"/>
  <c r="M652" i="5"/>
  <c r="N652" i="5"/>
  <c r="G653" i="5"/>
  <c r="H653" i="5"/>
  <c r="I653" i="5"/>
  <c r="J653" i="5"/>
  <c r="M653" i="5"/>
  <c r="N653" i="5"/>
  <c r="G654" i="5"/>
  <c r="H654" i="5"/>
  <c r="I654" i="5"/>
  <c r="J654" i="5"/>
  <c r="M654" i="5"/>
  <c r="N654" i="5"/>
  <c r="G655" i="5"/>
  <c r="H655" i="5"/>
  <c r="I655" i="5"/>
  <c r="J655" i="5"/>
  <c r="M655" i="5"/>
  <c r="N655" i="5"/>
  <c r="G656" i="5"/>
  <c r="H656" i="5"/>
  <c r="I656" i="5"/>
  <c r="J656" i="5"/>
  <c r="M656" i="5"/>
  <c r="N656" i="5"/>
  <c r="G657" i="5"/>
  <c r="H657" i="5"/>
  <c r="I657" i="5"/>
  <c r="J657" i="5"/>
  <c r="M657" i="5"/>
  <c r="N657" i="5"/>
  <c r="G658" i="5"/>
  <c r="H658" i="5"/>
  <c r="I658" i="5"/>
  <c r="J658" i="5"/>
  <c r="M658" i="5"/>
  <c r="N658" i="5"/>
  <c r="G659" i="5"/>
  <c r="H659" i="5"/>
  <c r="I659" i="5"/>
  <c r="J659" i="5"/>
  <c r="M659" i="5"/>
  <c r="N659" i="5"/>
  <c r="G660" i="5"/>
  <c r="H660" i="5"/>
  <c r="I660" i="5"/>
  <c r="J660" i="5"/>
  <c r="M660" i="5"/>
  <c r="N660" i="5"/>
  <c r="G661" i="5"/>
  <c r="H661" i="5"/>
  <c r="I661" i="5"/>
  <c r="J661" i="5"/>
  <c r="M661" i="5"/>
  <c r="N661" i="5"/>
  <c r="G662" i="5"/>
  <c r="H662" i="5"/>
  <c r="I662" i="5"/>
  <c r="J662" i="5"/>
  <c r="M662" i="5"/>
  <c r="N662" i="5"/>
  <c r="G663" i="5"/>
  <c r="H663" i="5"/>
  <c r="I663" i="5"/>
  <c r="J663" i="5"/>
  <c r="M663" i="5"/>
  <c r="N663" i="5"/>
  <c r="G664" i="5"/>
  <c r="H664" i="5"/>
  <c r="I664" i="5"/>
  <c r="J664" i="5"/>
  <c r="M664" i="5"/>
  <c r="N664" i="5"/>
  <c r="G665" i="5"/>
  <c r="H665" i="5"/>
  <c r="I665" i="5"/>
  <c r="J665" i="5"/>
  <c r="M665" i="5"/>
  <c r="N665" i="5"/>
  <c r="G666" i="5"/>
  <c r="H666" i="5"/>
  <c r="I666" i="5"/>
  <c r="J666" i="5"/>
  <c r="M666" i="5"/>
  <c r="N666" i="5"/>
  <c r="G667" i="5"/>
  <c r="H667" i="5"/>
  <c r="I667" i="5"/>
  <c r="J667" i="5"/>
  <c r="M667" i="5"/>
  <c r="N667" i="5"/>
  <c r="G668" i="5"/>
  <c r="H668" i="5"/>
  <c r="I668" i="5"/>
  <c r="J668" i="5"/>
  <c r="M668" i="5"/>
  <c r="N668" i="5"/>
  <c r="G669" i="5"/>
  <c r="H669" i="5"/>
  <c r="I669" i="5"/>
  <c r="J669" i="5"/>
  <c r="M669" i="5"/>
  <c r="N669" i="5"/>
  <c r="G670" i="5"/>
  <c r="H670" i="5"/>
  <c r="I670" i="5"/>
  <c r="J670" i="5"/>
  <c r="M670" i="5"/>
  <c r="N670" i="5"/>
  <c r="G671" i="5"/>
  <c r="H671" i="5"/>
  <c r="I671" i="5"/>
  <c r="J671" i="5"/>
  <c r="M671" i="5"/>
  <c r="N671" i="5"/>
  <c r="G672" i="5"/>
  <c r="H672" i="5"/>
  <c r="I672" i="5"/>
  <c r="J672" i="5"/>
  <c r="M672" i="5"/>
  <c r="N672" i="5"/>
  <c r="G673" i="5"/>
  <c r="H673" i="5"/>
  <c r="I673" i="5"/>
  <c r="J673" i="5"/>
  <c r="M673" i="5"/>
  <c r="N673" i="5"/>
  <c r="G674" i="5"/>
  <c r="H674" i="5"/>
  <c r="I674" i="5"/>
  <c r="J674" i="5"/>
  <c r="M674" i="5"/>
  <c r="N674" i="5"/>
  <c r="G675" i="5"/>
  <c r="H675" i="5"/>
  <c r="I675" i="5"/>
  <c r="J675" i="5"/>
  <c r="M675" i="5"/>
  <c r="N675" i="5"/>
  <c r="G676" i="5"/>
  <c r="H676" i="5"/>
  <c r="I676" i="5"/>
  <c r="J676" i="5"/>
  <c r="M676" i="5"/>
  <c r="N676" i="5"/>
  <c r="G677" i="5"/>
  <c r="H677" i="5"/>
  <c r="I677" i="5"/>
  <c r="J677" i="5"/>
  <c r="M677" i="5"/>
  <c r="N677" i="5"/>
  <c r="G678" i="5"/>
  <c r="H678" i="5"/>
  <c r="I678" i="5"/>
  <c r="J678" i="5"/>
  <c r="M678" i="5"/>
  <c r="N678" i="5"/>
  <c r="G679" i="5"/>
  <c r="H679" i="5"/>
  <c r="I679" i="5"/>
  <c r="J679" i="5"/>
  <c r="M679" i="5"/>
  <c r="N679" i="5"/>
  <c r="G680" i="5"/>
  <c r="H680" i="5"/>
  <c r="I680" i="5"/>
  <c r="J680" i="5"/>
  <c r="M680" i="5"/>
  <c r="N680" i="5"/>
  <c r="G681" i="5"/>
  <c r="H681" i="5"/>
  <c r="I681" i="5"/>
  <c r="J681" i="5"/>
  <c r="M681" i="5"/>
  <c r="N681" i="5"/>
  <c r="G682" i="5"/>
  <c r="H682" i="5"/>
  <c r="I682" i="5"/>
  <c r="J682" i="5"/>
  <c r="M682" i="5"/>
  <c r="N682" i="5"/>
  <c r="G683" i="5"/>
  <c r="H683" i="5"/>
  <c r="I683" i="5"/>
  <c r="J683" i="5"/>
  <c r="M683" i="5"/>
  <c r="N683" i="5"/>
  <c r="G684" i="5"/>
  <c r="H684" i="5"/>
  <c r="I684" i="5"/>
  <c r="J684" i="5"/>
  <c r="M684" i="5"/>
  <c r="N684" i="5"/>
  <c r="G685" i="5"/>
  <c r="H685" i="5"/>
  <c r="I685" i="5"/>
  <c r="J685" i="5"/>
  <c r="M685" i="5"/>
  <c r="N685" i="5"/>
  <c r="G686" i="5"/>
  <c r="H686" i="5"/>
  <c r="I686" i="5"/>
  <c r="J686" i="5"/>
  <c r="M686" i="5"/>
  <c r="N686" i="5"/>
  <c r="G687" i="5"/>
  <c r="H687" i="5"/>
  <c r="I687" i="5"/>
  <c r="J687" i="5"/>
  <c r="M687" i="5"/>
  <c r="N687" i="5"/>
  <c r="G688" i="5"/>
  <c r="H688" i="5"/>
  <c r="I688" i="5"/>
  <c r="J688" i="5"/>
  <c r="M688" i="5"/>
  <c r="N688" i="5"/>
  <c r="G689" i="5"/>
  <c r="H689" i="5"/>
  <c r="I689" i="5"/>
  <c r="J689" i="5"/>
  <c r="M689" i="5"/>
  <c r="N689" i="5"/>
  <c r="G690" i="5"/>
  <c r="H690" i="5"/>
  <c r="I690" i="5"/>
  <c r="J690" i="5"/>
  <c r="M690" i="5"/>
  <c r="N690" i="5"/>
  <c r="G691" i="5"/>
  <c r="H691" i="5"/>
  <c r="I691" i="5"/>
  <c r="J691" i="5"/>
  <c r="M691" i="5"/>
  <c r="N691" i="5"/>
  <c r="G692" i="5"/>
  <c r="H692" i="5"/>
  <c r="I692" i="5"/>
  <c r="J692" i="5"/>
  <c r="M692" i="5"/>
  <c r="N692" i="5"/>
  <c r="G693" i="5"/>
  <c r="H693" i="5"/>
  <c r="I693" i="5"/>
  <c r="J693" i="5"/>
  <c r="M693" i="5"/>
  <c r="N693" i="5"/>
  <c r="G694" i="5"/>
  <c r="H694" i="5"/>
  <c r="I694" i="5"/>
  <c r="J694" i="5"/>
  <c r="M694" i="5"/>
  <c r="N694" i="5"/>
  <c r="G695" i="5"/>
  <c r="H695" i="5"/>
  <c r="I695" i="5"/>
  <c r="J695" i="5"/>
  <c r="M695" i="5"/>
  <c r="N695" i="5"/>
  <c r="G696" i="5"/>
  <c r="H696" i="5"/>
  <c r="I696" i="5"/>
  <c r="J696" i="5"/>
  <c r="M696" i="5"/>
  <c r="N696" i="5"/>
  <c r="G697" i="5"/>
  <c r="H697" i="5"/>
  <c r="I697" i="5"/>
  <c r="J697" i="5"/>
  <c r="M697" i="5"/>
  <c r="N697" i="5"/>
  <c r="G698" i="5"/>
  <c r="H698" i="5"/>
  <c r="I698" i="5"/>
  <c r="J698" i="5"/>
  <c r="M698" i="5"/>
  <c r="N698" i="5"/>
  <c r="G699" i="5"/>
  <c r="H699" i="5"/>
  <c r="I699" i="5"/>
  <c r="J699" i="5"/>
  <c r="M699" i="5"/>
  <c r="N699" i="5"/>
  <c r="G700" i="5"/>
  <c r="H700" i="5"/>
  <c r="I700" i="5"/>
  <c r="J700" i="5"/>
  <c r="M700" i="5"/>
  <c r="N700" i="5"/>
  <c r="G701" i="5"/>
  <c r="H701" i="5"/>
  <c r="I701" i="5"/>
  <c r="J701" i="5"/>
  <c r="L701" i="5"/>
  <c r="M701" i="5"/>
  <c r="N701" i="5"/>
  <c r="G702" i="5"/>
  <c r="H702" i="5"/>
  <c r="I702" i="5"/>
  <c r="J702" i="5"/>
  <c r="M702" i="5"/>
  <c r="N702" i="5"/>
  <c r="G703" i="5"/>
  <c r="H703" i="5"/>
  <c r="I703" i="5"/>
  <c r="J703" i="5"/>
  <c r="M703" i="5"/>
  <c r="N703" i="5"/>
  <c r="G704" i="5"/>
  <c r="H704" i="5"/>
  <c r="I704" i="5"/>
  <c r="J704" i="5"/>
  <c r="M704" i="5"/>
  <c r="N704" i="5"/>
  <c r="G705" i="5"/>
  <c r="H705" i="5"/>
  <c r="I705" i="5"/>
  <c r="J705" i="5"/>
  <c r="M705" i="5"/>
  <c r="N705" i="5"/>
  <c r="G706" i="5"/>
  <c r="H706" i="5"/>
  <c r="I706" i="5"/>
  <c r="J706" i="5"/>
  <c r="M706" i="5"/>
  <c r="N706" i="5"/>
  <c r="G707" i="5"/>
  <c r="H707" i="5"/>
  <c r="I707" i="5"/>
  <c r="J707" i="5"/>
  <c r="M707" i="5"/>
  <c r="N707" i="5"/>
  <c r="G708" i="5"/>
  <c r="H708" i="5"/>
  <c r="I708" i="5"/>
  <c r="J708" i="5"/>
  <c r="M708" i="5"/>
  <c r="N708" i="5"/>
  <c r="G709" i="5"/>
  <c r="H709" i="5"/>
  <c r="I709" i="5"/>
  <c r="J709" i="5"/>
  <c r="M709" i="5"/>
  <c r="N709" i="5"/>
  <c r="G710" i="5"/>
  <c r="H710" i="5"/>
  <c r="I710" i="5"/>
  <c r="J710" i="5"/>
  <c r="M710" i="5"/>
  <c r="N710" i="5"/>
  <c r="G711" i="5"/>
  <c r="H711" i="5"/>
  <c r="I711" i="5"/>
  <c r="J711" i="5"/>
  <c r="M711" i="5"/>
  <c r="N711" i="5"/>
  <c r="G712" i="5"/>
  <c r="H712" i="5"/>
  <c r="I712" i="5"/>
  <c r="J712" i="5"/>
  <c r="M712" i="5"/>
  <c r="N712" i="5"/>
  <c r="G713" i="5"/>
  <c r="H713" i="5"/>
  <c r="I713" i="5"/>
  <c r="J713" i="5"/>
  <c r="M713" i="5"/>
  <c r="N713" i="5"/>
  <c r="G714" i="5"/>
  <c r="H714" i="5"/>
  <c r="I714" i="5"/>
  <c r="J714" i="5"/>
  <c r="M714" i="5"/>
  <c r="N714" i="5"/>
  <c r="G715" i="5"/>
  <c r="H715" i="5"/>
  <c r="I715" i="5"/>
  <c r="J715" i="5"/>
  <c r="M715" i="5"/>
  <c r="N715" i="5"/>
  <c r="G716" i="5"/>
  <c r="H716" i="5"/>
  <c r="I716" i="5"/>
  <c r="J716" i="5"/>
  <c r="M716" i="5"/>
  <c r="N716" i="5"/>
  <c r="G717" i="5"/>
  <c r="H717" i="5"/>
  <c r="I717" i="5"/>
  <c r="J717" i="5"/>
  <c r="M717" i="5"/>
  <c r="N717" i="5"/>
  <c r="G718" i="5"/>
  <c r="H718" i="5"/>
  <c r="I718" i="5"/>
  <c r="J718" i="5"/>
  <c r="M718" i="5"/>
  <c r="N718" i="5"/>
  <c r="G719" i="5"/>
  <c r="H719" i="5"/>
  <c r="I719" i="5"/>
  <c r="J719" i="5"/>
  <c r="M719" i="5"/>
  <c r="N719" i="5"/>
  <c r="G720" i="5"/>
  <c r="H720" i="5"/>
  <c r="I720" i="5"/>
  <c r="J720" i="5"/>
  <c r="M720" i="5"/>
  <c r="N720" i="5"/>
  <c r="G721" i="5"/>
  <c r="H721" i="5"/>
  <c r="I721" i="5"/>
  <c r="J721" i="5"/>
  <c r="M721" i="5"/>
  <c r="N721" i="5"/>
  <c r="G722" i="5"/>
  <c r="H722" i="5"/>
  <c r="I722" i="5"/>
  <c r="J722" i="5"/>
  <c r="M722" i="5"/>
  <c r="N722" i="5"/>
  <c r="G723" i="5"/>
  <c r="H723" i="5"/>
  <c r="I723" i="5"/>
  <c r="J723" i="5"/>
  <c r="M723" i="5"/>
  <c r="N723" i="5"/>
  <c r="G724" i="5"/>
  <c r="H724" i="5"/>
  <c r="I724" i="5"/>
  <c r="J724" i="5"/>
  <c r="M724" i="5"/>
  <c r="N724" i="5"/>
  <c r="G725" i="5"/>
  <c r="H725" i="5"/>
  <c r="I725" i="5"/>
  <c r="J725" i="5"/>
  <c r="M725" i="5"/>
  <c r="N725" i="5"/>
  <c r="G726" i="5"/>
  <c r="H726" i="5"/>
  <c r="I726" i="5"/>
  <c r="J726" i="5"/>
  <c r="M726" i="5"/>
  <c r="N726" i="5"/>
  <c r="G727" i="5"/>
  <c r="H727" i="5"/>
  <c r="I727" i="5"/>
  <c r="J727" i="5"/>
  <c r="M727" i="5"/>
  <c r="N727" i="5"/>
  <c r="G728" i="5"/>
  <c r="H728" i="5"/>
  <c r="I728" i="5"/>
  <c r="J728" i="5"/>
  <c r="M728" i="5"/>
  <c r="N728" i="5"/>
  <c r="G729" i="5"/>
  <c r="H729" i="5"/>
  <c r="I729" i="5"/>
  <c r="J729" i="5"/>
  <c r="M729" i="5"/>
  <c r="N729" i="5"/>
  <c r="G730" i="5"/>
  <c r="H730" i="5"/>
  <c r="I730" i="5"/>
  <c r="J730" i="5"/>
  <c r="M730" i="5"/>
  <c r="N730" i="5"/>
  <c r="G731" i="5"/>
  <c r="H731" i="5"/>
  <c r="I731" i="5"/>
  <c r="J731" i="5"/>
  <c r="M731" i="5"/>
  <c r="N731" i="5"/>
  <c r="G732" i="5"/>
  <c r="H732" i="5"/>
  <c r="I732" i="5"/>
  <c r="J732" i="5"/>
  <c r="M732" i="5"/>
  <c r="N732" i="5"/>
  <c r="G733" i="5"/>
  <c r="H733" i="5"/>
  <c r="I733" i="5"/>
  <c r="J733" i="5"/>
  <c r="M733" i="5"/>
  <c r="N733" i="5"/>
  <c r="G734" i="5"/>
  <c r="H734" i="5"/>
  <c r="I734" i="5"/>
  <c r="J734" i="5"/>
  <c r="M734" i="5"/>
  <c r="N734" i="5"/>
  <c r="G735" i="5"/>
  <c r="H735" i="5"/>
  <c r="I735" i="5"/>
  <c r="J735" i="5"/>
  <c r="M735" i="5"/>
  <c r="N735" i="5"/>
  <c r="G736" i="5"/>
  <c r="H736" i="5"/>
  <c r="I736" i="5"/>
  <c r="J736" i="5"/>
  <c r="M736" i="5"/>
  <c r="N736" i="5"/>
  <c r="G737" i="5"/>
  <c r="H737" i="5"/>
  <c r="I737" i="5"/>
  <c r="J737" i="5"/>
  <c r="M737" i="5"/>
  <c r="N737" i="5"/>
  <c r="G738" i="5"/>
  <c r="H738" i="5"/>
  <c r="I738" i="5"/>
  <c r="J738" i="5"/>
  <c r="M738" i="5"/>
  <c r="N738" i="5"/>
  <c r="G739" i="5"/>
  <c r="H739" i="5"/>
  <c r="I739" i="5"/>
  <c r="J739" i="5"/>
  <c r="M739" i="5"/>
  <c r="N739" i="5"/>
  <c r="G740" i="5"/>
  <c r="H740" i="5"/>
  <c r="I740" i="5"/>
  <c r="J740" i="5"/>
  <c r="M740" i="5"/>
  <c r="N740" i="5"/>
  <c r="G741" i="5"/>
  <c r="H741" i="5"/>
  <c r="I741" i="5"/>
  <c r="J741" i="5"/>
  <c r="M741" i="5"/>
  <c r="N741" i="5"/>
  <c r="G742" i="5"/>
  <c r="H742" i="5"/>
  <c r="I742" i="5"/>
  <c r="J742" i="5"/>
  <c r="M742" i="5"/>
  <c r="N742" i="5"/>
  <c r="G743" i="5"/>
  <c r="H743" i="5"/>
  <c r="I743" i="5"/>
  <c r="J743" i="5"/>
  <c r="M743" i="5"/>
  <c r="N743" i="5"/>
  <c r="G744" i="5"/>
  <c r="H744" i="5"/>
  <c r="I744" i="5"/>
  <c r="J744" i="5"/>
  <c r="M744" i="5"/>
  <c r="N744" i="5"/>
  <c r="G745" i="5"/>
  <c r="H745" i="5"/>
  <c r="I745" i="5"/>
  <c r="J745" i="5"/>
  <c r="M745" i="5"/>
  <c r="N745" i="5"/>
  <c r="G746" i="5"/>
  <c r="H746" i="5"/>
  <c r="I746" i="5"/>
  <c r="J746" i="5"/>
  <c r="M746" i="5"/>
  <c r="N746" i="5"/>
  <c r="G747" i="5"/>
  <c r="H747" i="5"/>
  <c r="I747" i="5"/>
  <c r="J747" i="5"/>
  <c r="M747" i="5"/>
  <c r="N747" i="5"/>
  <c r="G748" i="5"/>
  <c r="H748" i="5"/>
  <c r="I748" i="5"/>
  <c r="J748" i="5"/>
  <c r="M748" i="5"/>
  <c r="N748" i="5"/>
  <c r="G749" i="5"/>
  <c r="H749" i="5"/>
  <c r="I749" i="5"/>
  <c r="J749" i="5"/>
  <c r="M749" i="5"/>
  <c r="N749" i="5"/>
  <c r="G750" i="5"/>
  <c r="H750" i="5"/>
  <c r="I750" i="5"/>
  <c r="J750" i="5"/>
  <c r="M750" i="5"/>
  <c r="N750" i="5"/>
  <c r="G751" i="5"/>
  <c r="H751" i="5"/>
  <c r="I751" i="5"/>
  <c r="J751" i="5"/>
  <c r="M751" i="5"/>
  <c r="N751" i="5"/>
  <c r="G752" i="5"/>
  <c r="H752" i="5"/>
  <c r="I752" i="5"/>
  <c r="J752" i="5"/>
  <c r="M752" i="5"/>
  <c r="N752" i="5"/>
  <c r="G753" i="5"/>
  <c r="H753" i="5"/>
  <c r="I753" i="5"/>
  <c r="J753" i="5"/>
  <c r="M753" i="5"/>
  <c r="N753" i="5"/>
  <c r="G754" i="5"/>
  <c r="H754" i="5"/>
  <c r="I754" i="5"/>
  <c r="J754" i="5"/>
  <c r="M754" i="5"/>
  <c r="N754" i="5"/>
  <c r="G755" i="5"/>
  <c r="H755" i="5"/>
  <c r="I755" i="5"/>
  <c r="J755" i="5"/>
  <c r="M755" i="5"/>
  <c r="N755" i="5"/>
  <c r="G756" i="5"/>
  <c r="H756" i="5"/>
  <c r="I756" i="5"/>
  <c r="J756" i="5"/>
  <c r="M756" i="5"/>
  <c r="N756" i="5"/>
  <c r="G757" i="5"/>
  <c r="H757" i="5"/>
  <c r="I757" i="5"/>
  <c r="J757" i="5"/>
  <c r="M757" i="5"/>
  <c r="N757" i="5"/>
  <c r="G758" i="5"/>
  <c r="H758" i="5"/>
  <c r="I758" i="5"/>
  <c r="J758" i="5"/>
  <c r="M758" i="5"/>
  <c r="N758" i="5"/>
  <c r="G759" i="5"/>
  <c r="H759" i="5"/>
  <c r="I759" i="5"/>
  <c r="J759" i="5"/>
  <c r="M759" i="5"/>
  <c r="N759" i="5"/>
  <c r="G760" i="5"/>
  <c r="H760" i="5"/>
  <c r="I760" i="5"/>
  <c r="J760" i="5"/>
  <c r="M760" i="5"/>
  <c r="N760" i="5"/>
  <c r="G761" i="5"/>
  <c r="H761" i="5"/>
  <c r="I761" i="5"/>
  <c r="J761" i="5"/>
  <c r="M761" i="5"/>
  <c r="N761" i="5"/>
  <c r="G762" i="5"/>
  <c r="H762" i="5"/>
  <c r="I762" i="5"/>
  <c r="J762" i="5"/>
  <c r="M762" i="5"/>
  <c r="N762" i="5"/>
  <c r="G763" i="5"/>
  <c r="H763" i="5"/>
  <c r="I763" i="5"/>
  <c r="J763" i="5"/>
  <c r="M763" i="5"/>
  <c r="N763" i="5"/>
  <c r="G764" i="5"/>
  <c r="H764" i="5"/>
  <c r="I764" i="5"/>
  <c r="J764" i="5"/>
  <c r="M764" i="5"/>
  <c r="N764" i="5"/>
  <c r="G765" i="5"/>
  <c r="H765" i="5"/>
  <c r="I765" i="5"/>
  <c r="J765" i="5"/>
  <c r="M765" i="5"/>
  <c r="N765" i="5"/>
  <c r="G766" i="5"/>
  <c r="H766" i="5"/>
  <c r="I766" i="5"/>
  <c r="J766" i="5"/>
  <c r="M766" i="5"/>
  <c r="N766" i="5"/>
  <c r="G767" i="5"/>
  <c r="H767" i="5"/>
  <c r="I767" i="5"/>
  <c r="J767" i="5"/>
  <c r="M767" i="5"/>
  <c r="N767" i="5"/>
  <c r="G768" i="5"/>
  <c r="H768" i="5"/>
  <c r="I768" i="5"/>
  <c r="J768" i="5"/>
  <c r="M768" i="5"/>
  <c r="N768" i="5"/>
  <c r="G769" i="5"/>
  <c r="H769" i="5"/>
  <c r="I769" i="5"/>
  <c r="J769" i="5"/>
  <c r="M769" i="5"/>
  <c r="N769" i="5"/>
  <c r="G770" i="5"/>
  <c r="H770" i="5"/>
  <c r="I770" i="5"/>
  <c r="J770" i="5"/>
  <c r="M770" i="5"/>
  <c r="N770" i="5"/>
  <c r="G771" i="5"/>
  <c r="H771" i="5"/>
  <c r="I771" i="5"/>
  <c r="J771" i="5"/>
  <c r="M771" i="5"/>
  <c r="N771" i="5"/>
  <c r="G772" i="5"/>
  <c r="H772" i="5"/>
  <c r="I772" i="5"/>
  <c r="J772" i="5"/>
  <c r="M772" i="5"/>
  <c r="N772" i="5"/>
  <c r="G773" i="5"/>
  <c r="H773" i="5"/>
  <c r="I773" i="5"/>
  <c r="J773" i="5"/>
  <c r="M773" i="5"/>
  <c r="N773" i="5"/>
  <c r="G774" i="5"/>
  <c r="H774" i="5"/>
  <c r="I774" i="5"/>
  <c r="J774" i="5"/>
  <c r="M774" i="5"/>
  <c r="N774" i="5"/>
  <c r="G775" i="5"/>
  <c r="H775" i="5"/>
  <c r="I775" i="5"/>
  <c r="J775" i="5"/>
  <c r="M775" i="5"/>
  <c r="N775" i="5"/>
  <c r="G776" i="5"/>
  <c r="H776" i="5"/>
  <c r="I776" i="5"/>
  <c r="J776" i="5"/>
  <c r="M776" i="5"/>
  <c r="N776" i="5"/>
  <c r="G777" i="5"/>
  <c r="H777" i="5"/>
  <c r="I777" i="5"/>
  <c r="J777" i="5"/>
  <c r="M777" i="5"/>
  <c r="N777" i="5"/>
  <c r="G778" i="5"/>
  <c r="H778" i="5"/>
  <c r="I778" i="5"/>
  <c r="J778" i="5"/>
  <c r="M778" i="5"/>
  <c r="N778" i="5"/>
  <c r="G779" i="5"/>
  <c r="H779" i="5"/>
  <c r="I779" i="5"/>
  <c r="J779" i="5"/>
  <c r="M779" i="5"/>
  <c r="N779" i="5"/>
  <c r="G780" i="5"/>
  <c r="H780" i="5"/>
  <c r="I780" i="5"/>
  <c r="J780" i="5"/>
  <c r="M780" i="5"/>
  <c r="N780" i="5"/>
  <c r="G781" i="5"/>
  <c r="H781" i="5"/>
  <c r="I781" i="5"/>
  <c r="J781" i="5"/>
  <c r="M781" i="5"/>
  <c r="N781" i="5"/>
  <c r="G782" i="5"/>
  <c r="H782" i="5"/>
  <c r="I782" i="5"/>
  <c r="J782" i="5"/>
  <c r="M782" i="5"/>
  <c r="N782" i="5"/>
  <c r="G783" i="5"/>
  <c r="H783" i="5"/>
  <c r="I783" i="5"/>
  <c r="J783" i="5"/>
  <c r="M783" i="5"/>
  <c r="N783" i="5"/>
  <c r="G784" i="5"/>
  <c r="H784" i="5"/>
  <c r="I784" i="5"/>
  <c r="J784" i="5"/>
  <c r="M784" i="5"/>
  <c r="N784" i="5"/>
  <c r="G785" i="5"/>
  <c r="H785" i="5"/>
  <c r="I785" i="5"/>
  <c r="J785" i="5"/>
  <c r="M785" i="5"/>
  <c r="N785" i="5"/>
  <c r="G786" i="5"/>
  <c r="H786" i="5"/>
  <c r="I786" i="5"/>
  <c r="J786" i="5"/>
  <c r="M786" i="5"/>
  <c r="N786" i="5"/>
  <c r="G787" i="5"/>
  <c r="H787" i="5"/>
  <c r="I787" i="5"/>
  <c r="J787" i="5"/>
  <c r="M787" i="5"/>
  <c r="N787" i="5"/>
  <c r="G788" i="5"/>
  <c r="H788" i="5"/>
  <c r="I788" i="5"/>
  <c r="J788" i="5"/>
  <c r="M788" i="5"/>
  <c r="N788" i="5"/>
  <c r="G789" i="5"/>
  <c r="H789" i="5"/>
  <c r="I789" i="5"/>
  <c r="J789" i="5"/>
  <c r="M789" i="5"/>
  <c r="N789" i="5"/>
  <c r="G790" i="5"/>
  <c r="H790" i="5"/>
  <c r="I790" i="5"/>
  <c r="J790" i="5"/>
  <c r="M790" i="5"/>
  <c r="N790" i="5"/>
  <c r="G791" i="5"/>
  <c r="H791" i="5"/>
  <c r="I791" i="5"/>
  <c r="J791" i="5"/>
  <c r="M791" i="5"/>
  <c r="N791" i="5"/>
  <c r="G792" i="5"/>
  <c r="H792" i="5"/>
  <c r="I792" i="5"/>
  <c r="J792" i="5"/>
  <c r="M792" i="5"/>
  <c r="N792" i="5"/>
  <c r="G793" i="5"/>
  <c r="H793" i="5"/>
  <c r="I793" i="5"/>
  <c r="J793" i="5"/>
  <c r="M793" i="5"/>
  <c r="N793" i="5"/>
  <c r="G794" i="5"/>
  <c r="H794" i="5"/>
  <c r="I794" i="5"/>
  <c r="J794" i="5"/>
  <c r="M794" i="5"/>
  <c r="N794" i="5"/>
  <c r="G795" i="5"/>
  <c r="H795" i="5"/>
  <c r="I795" i="5"/>
  <c r="J795" i="5"/>
  <c r="M795" i="5"/>
  <c r="N795" i="5"/>
  <c r="G796" i="5"/>
  <c r="H796" i="5"/>
  <c r="I796" i="5"/>
  <c r="J796" i="5"/>
  <c r="M796" i="5"/>
  <c r="N796" i="5"/>
  <c r="G797" i="5"/>
  <c r="H797" i="5"/>
  <c r="I797" i="5"/>
  <c r="J797" i="5"/>
  <c r="M797" i="5"/>
  <c r="N797" i="5"/>
  <c r="G798" i="5"/>
  <c r="H798" i="5"/>
  <c r="I798" i="5"/>
  <c r="J798" i="5"/>
  <c r="M798" i="5"/>
  <c r="N798" i="5"/>
  <c r="G799" i="5"/>
  <c r="H799" i="5"/>
  <c r="I799" i="5"/>
  <c r="J799" i="5"/>
  <c r="M799" i="5"/>
  <c r="N799" i="5"/>
  <c r="G800" i="5"/>
  <c r="H800" i="5"/>
  <c r="I800" i="5"/>
  <c r="J800" i="5"/>
  <c r="M800" i="5"/>
  <c r="N800" i="5"/>
  <c r="G801" i="5"/>
  <c r="H801" i="5"/>
  <c r="I801" i="5"/>
  <c r="J801" i="5"/>
  <c r="M801" i="5"/>
  <c r="N801" i="5"/>
  <c r="G802" i="5"/>
  <c r="H802" i="5"/>
  <c r="I802" i="5"/>
  <c r="J802" i="5"/>
  <c r="M802" i="5"/>
  <c r="N802" i="5"/>
  <c r="G803" i="5"/>
  <c r="H803" i="5"/>
  <c r="I803" i="5"/>
  <c r="J803" i="5"/>
  <c r="M803" i="5"/>
  <c r="N803" i="5"/>
  <c r="G804" i="5"/>
  <c r="H804" i="5"/>
  <c r="I804" i="5"/>
  <c r="J804" i="5"/>
  <c r="M804" i="5"/>
  <c r="N804" i="5"/>
  <c r="G805" i="5"/>
  <c r="L805" i="5" s="1"/>
  <c r="H805" i="5"/>
  <c r="I805" i="5"/>
  <c r="J805" i="5"/>
  <c r="M805" i="5"/>
  <c r="N805" i="5"/>
  <c r="G806" i="5"/>
  <c r="H806" i="5"/>
  <c r="I806" i="5"/>
  <c r="J806" i="5"/>
  <c r="M806" i="5"/>
  <c r="N806" i="5"/>
  <c r="G807" i="5"/>
  <c r="H807" i="5"/>
  <c r="I807" i="5"/>
  <c r="J807" i="5"/>
  <c r="M807" i="5"/>
  <c r="N807" i="5"/>
  <c r="G808" i="5"/>
  <c r="H808" i="5"/>
  <c r="I808" i="5"/>
  <c r="J808" i="5"/>
  <c r="M808" i="5"/>
  <c r="N808" i="5"/>
  <c r="G809" i="5"/>
  <c r="H809" i="5"/>
  <c r="I809" i="5"/>
  <c r="J809" i="5"/>
  <c r="M809" i="5"/>
  <c r="N809" i="5"/>
  <c r="G810" i="5"/>
  <c r="H810" i="5"/>
  <c r="I810" i="5"/>
  <c r="J810" i="5"/>
  <c r="M810" i="5"/>
  <c r="N810" i="5"/>
  <c r="G811" i="5"/>
  <c r="H811" i="5"/>
  <c r="I811" i="5"/>
  <c r="J811" i="5"/>
  <c r="M811" i="5"/>
  <c r="N811" i="5"/>
  <c r="G812" i="5"/>
  <c r="H812" i="5"/>
  <c r="I812" i="5"/>
  <c r="J812" i="5"/>
  <c r="M812" i="5"/>
  <c r="N812" i="5"/>
  <c r="G813" i="5"/>
  <c r="H813" i="5"/>
  <c r="I813" i="5"/>
  <c r="J813" i="5"/>
  <c r="M813" i="5"/>
  <c r="N813" i="5"/>
  <c r="G814" i="5"/>
  <c r="H814" i="5"/>
  <c r="I814" i="5"/>
  <c r="J814" i="5"/>
  <c r="M814" i="5"/>
  <c r="N814" i="5"/>
  <c r="G815" i="5"/>
  <c r="H815" i="5"/>
  <c r="I815" i="5"/>
  <c r="J815" i="5"/>
  <c r="M815" i="5"/>
  <c r="N815" i="5"/>
  <c r="G816" i="5"/>
  <c r="H816" i="5"/>
  <c r="I816" i="5"/>
  <c r="J816" i="5"/>
  <c r="M816" i="5"/>
  <c r="N816" i="5"/>
  <c r="G817" i="5"/>
  <c r="H817" i="5"/>
  <c r="I817" i="5"/>
  <c r="J817" i="5"/>
  <c r="M817" i="5"/>
  <c r="N817" i="5"/>
  <c r="G818" i="5"/>
  <c r="H818" i="5"/>
  <c r="I818" i="5"/>
  <c r="J818" i="5"/>
  <c r="M818" i="5"/>
  <c r="N818" i="5"/>
  <c r="G819" i="5"/>
  <c r="H819" i="5"/>
  <c r="I819" i="5"/>
  <c r="J819" i="5"/>
  <c r="M819" i="5"/>
  <c r="N819" i="5"/>
  <c r="G820" i="5"/>
  <c r="H820" i="5"/>
  <c r="I820" i="5"/>
  <c r="J820" i="5"/>
  <c r="M820" i="5"/>
  <c r="N820" i="5"/>
  <c r="G821" i="5"/>
  <c r="H821" i="5"/>
  <c r="I821" i="5"/>
  <c r="J821" i="5"/>
  <c r="M821" i="5"/>
  <c r="N821" i="5"/>
  <c r="G822" i="5"/>
  <c r="H822" i="5"/>
  <c r="I822" i="5"/>
  <c r="J822" i="5"/>
  <c r="M822" i="5"/>
  <c r="N822" i="5"/>
  <c r="G823" i="5"/>
  <c r="H823" i="5"/>
  <c r="I823" i="5"/>
  <c r="J823" i="5"/>
  <c r="M823" i="5"/>
  <c r="N823" i="5"/>
  <c r="G824" i="5"/>
  <c r="H824" i="5"/>
  <c r="I824" i="5"/>
  <c r="J824" i="5"/>
  <c r="M824" i="5"/>
  <c r="N824" i="5"/>
  <c r="G825" i="5"/>
  <c r="H825" i="5"/>
  <c r="I825" i="5"/>
  <c r="J825" i="5"/>
  <c r="M825" i="5"/>
  <c r="N825" i="5"/>
  <c r="G826" i="5"/>
  <c r="H826" i="5"/>
  <c r="I826" i="5"/>
  <c r="J826" i="5"/>
  <c r="M826" i="5"/>
  <c r="N826" i="5"/>
  <c r="G827" i="5"/>
  <c r="H827" i="5"/>
  <c r="I827" i="5"/>
  <c r="J827" i="5"/>
  <c r="M827" i="5"/>
  <c r="N827" i="5"/>
  <c r="G828" i="5"/>
  <c r="H828" i="5"/>
  <c r="I828" i="5"/>
  <c r="J828" i="5"/>
  <c r="M828" i="5"/>
  <c r="N828" i="5"/>
  <c r="G829" i="5"/>
  <c r="H829" i="5"/>
  <c r="I829" i="5"/>
  <c r="J829" i="5"/>
  <c r="M829" i="5"/>
  <c r="N829" i="5"/>
  <c r="G830" i="5"/>
  <c r="H830" i="5"/>
  <c r="I830" i="5"/>
  <c r="J830" i="5"/>
  <c r="M830" i="5"/>
  <c r="N830" i="5"/>
  <c r="G831" i="5"/>
  <c r="H831" i="5"/>
  <c r="I831" i="5"/>
  <c r="J831" i="5"/>
  <c r="M831" i="5"/>
  <c r="N831" i="5"/>
  <c r="G832" i="5"/>
  <c r="H832" i="5"/>
  <c r="I832" i="5"/>
  <c r="J832" i="5"/>
  <c r="M832" i="5"/>
  <c r="N832" i="5"/>
  <c r="G833" i="5"/>
  <c r="H833" i="5"/>
  <c r="I833" i="5"/>
  <c r="J833" i="5"/>
  <c r="M833" i="5"/>
  <c r="N833" i="5"/>
  <c r="G834" i="5"/>
  <c r="H834" i="5"/>
  <c r="I834" i="5"/>
  <c r="J834" i="5"/>
  <c r="M834" i="5"/>
  <c r="N834" i="5"/>
  <c r="G835" i="5"/>
  <c r="H835" i="5"/>
  <c r="I835" i="5"/>
  <c r="J835" i="5"/>
  <c r="M835" i="5"/>
  <c r="N835" i="5"/>
  <c r="G836" i="5"/>
  <c r="H836" i="5"/>
  <c r="I836" i="5"/>
  <c r="J836" i="5"/>
  <c r="M836" i="5"/>
  <c r="N836" i="5"/>
  <c r="G837" i="5"/>
  <c r="H837" i="5"/>
  <c r="I837" i="5"/>
  <c r="J837" i="5"/>
  <c r="M837" i="5"/>
  <c r="N837" i="5"/>
  <c r="G838" i="5"/>
  <c r="H838" i="5"/>
  <c r="I838" i="5"/>
  <c r="J838" i="5"/>
  <c r="M838" i="5"/>
  <c r="N838" i="5"/>
  <c r="G839" i="5"/>
  <c r="H839" i="5"/>
  <c r="I839" i="5"/>
  <c r="J839" i="5"/>
  <c r="M839" i="5"/>
  <c r="N839" i="5"/>
  <c r="G840" i="5"/>
  <c r="H840" i="5"/>
  <c r="I840" i="5"/>
  <c r="J840" i="5"/>
  <c r="M840" i="5"/>
  <c r="N840" i="5"/>
  <c r="G841" i="5"/>
  <c r="H841" i="5"/>
  <c r="I841" i="5"/>
  <c r="J841" i="5"/>
  <c r="M841" i="5"/>
  <c r="N841" i="5"/>
  <c r="G842" i="5"/>
  <c r="H842" i="5"/>
  <c r="I842" i="5"/>
  <c r="J842" i="5"/>
  <c r="M842" i="5"/>
  <c r="N842" i="5"/>
  <c r="G843" i="5"/>
  <c r="H843" i="5"/>
  <c r="I843" i="5"/>
  <c r="J843" i="5"/>
  <c r="M843" i="5"/>
  <c r="N843" i="5"/>
  <c r="G844" i="5"/>
  <c r="H844" i="5"/>
  <c r="I844" i="5"/>
  <c r="J844" i="5"/>
  <c r="M844" i="5"/>
  <c r="N844" i="5"/>
  <c r="G845" i="5"/>
  <c r="H845" i="5"/>
  <c r="I845" i="5"/>
  <c r="J845" i="5"/>
  <c r="M845" i="5"/>
  <c r="N845" i="5"/>
  <c r="G846" i="5"/>
  <c r="H846" i="5"/>
  <c r="I846" i="5"/>
  <c r="J846" i="5"/>
  <c r="M846" i="5"/>
  <c r="N846" i="5"/>
  <c r="G847" i="5"/>
  <c r="H847" i="5"/>
  <c r="I847" i="5"/>
  <c r="J847" i="5"/>
  <c r="M847" i="5"/>
  <c r="N847" i="5"/>
  <c r="G848" i="5"/>
  <c r="H848" i="5"/>
  <c r="I848" i="5"/>
  <c r="J848" i="5"/>
  <c r="M848" i="5"/>
  <c r="N848" i="5"/>
  <c r="G849" i="5"/>
  <c r="H849" i="5"/>
  <c r="I849" i="5"/>
  <c r="J849" i="5"/>
  <c r="M849" i="5"/>
  <c r="N849" i="5"/>
  <c r="G850" i="5"/>
  <c r="H850" i="5"/>
  <c r="I850" i="5"/>
  <c r="J850" i="5"/>
  <c r="M850" i="5"/>
  <c r="N850" i="5"/>
  <c r="G851" i="5"/>
  <c r="H851" i="5"/>
  <c r="I851" i="5"/>
  <c r="J851" i="5"/>
  <c r="M851" i="5"/>
  <c r="N851" i="5"/>
  <c r="G852" i="5"/>
  <c r="H852" i="5"/>
  <c r="I852" i="5"/>
  <c r="J852" i="5"/>
  <c r="M852" i="5"/>
  <c r="N852" i="5"/>
  <c r="G853" i="5"/>
  <c r="H853" i="5"/>
  <c r="I853" i="5"/>
  <c r="J853" i="5"/>
  <c r="M853" i="5"/>
  <c r="N853" i="5"/>
  <c r="G854" i="5"/>
  <c r="H854" i="5"/>
  <c r="I854" i="5"/>
  <c r="J854" i="5"/>
  <c r="M854" i="5"/>
  <c r="N854" i="5"/>
  <c r="G855" i="5"/>
  <c r="H855" i="5"/>
  <c r="I855" i="5"/>
  <c r="J855" i="5"/>
  <c r="M855" i="5"/>
  <c r="N855" i="5"/>
  <c r="G856" i="5"/>
  <c r="H856" i="5"/>
  <c r="I856" i="5"/>
  <c r="J856" i="5"/>
  <c r="M856" i="5"/>
  <c r="N856" i="5"/>
  <c r="G857" i="5"/>
  <c r="H857" i="5"/>
  <c r="I857" i="5"/>
  <c r="J857" i="5"/>
  <c r="M857" i="5"/>
  <c r="N857" i="5"/>
  <c r="G858" i="5"/>
  <c r="H858" i="5"/>
  <c r="I858" i="5"/>
  <c r="J858" i="5"/>
  <c r="M858" i="5"/>
  <c r="N858" i="5"/>
  <c r="G859" i="5"/>
  <c r="H859" i="5"/>
  <c r="I859" i="5"/>
  <c r="J859" i="5"/>
  <c r="M859" i="5"/>
  <c r="N859" i="5"/>
  <c r="G860" i="5"/>
  <c r="H860" i="5"/>
  <c r="I860" i="5"/>
  <c r="J860" i="5"/>
  <c r="M860" i="5"/>
  <c r="N860" i="5"/>
  <c r="G861" i="5"/>
  <c r="H861" i="5"/>
  <c r="I861" i="5"/>
  <c r="J861" i="5"/>
  <c r="M861" i="5"/>
  <c r="N861" i="5"/>
  <c r="G862" i="5"/>
  <c r="H862" i="5"/>
  <c r="I862" i="5"/>
  <c r="J862" i="5"/>
  <c r="M862" i="5"/>
  <c r="N862" i="5"/>
  <c r="G863" i="5"/>
  <c r="H863" i="5"/>
  <c r="I863" i="5"/>
  <c r="J863" i="5"/>
  <c r="M863" i="5"/>
  <c r="N863" i="5"/>
  <c r="G864" i="5"/>
  <c r="H864" i="5"/>
  <c r="I864" i="5"/>
  <c r="J864" i="5"/>
  <c r="M864" i="5"/>
  <c r="N864" i="5"/>
  <c r="G865" i="5"/>
  <c r="H865" i="5"/>
  <c r="I865" i="5"/>
  <c r="J865" i="5"/>
  <c r="M865" i="5"/>
  <c r="N865" i="5"/>
  <c r="G866" i="5"/>
  <c r="H866" i="5"/>
  <c r="I866" i="5"/>
  <c r="J866" i="5"/>
  <c r="M866" i="5"/>
  <c r="N866" i="5"/>
  <c r="G867" i="5"/>
  <c r="H867" i="5"/>
  <c r="I867" i="5"/>
  <c r="J867" i="5"/>
  <c r="M867" i="5"/>
  <c r="N867" i="5"/>
  <c r="G868" i="5"/>
  <c r="H868" i="5"/>
  <c r="I868" i="5"/>
  <c r="J868" i="5"/>
  <c r="M868" i="5"/>
  <c r="N868" i="5"/>
  <c r="G869" i="5"/>
  <c r="H869" i="5"/>
  <c r="I869" i="5"/>
  <c r="J869" i="5"/>
  <c r="M869" i="5"/>
  <c r="N869" i="5"/>
  <c r="G870" i="5"/>
  <c r="H870" i="5"/>
  <c r="I870" i="5"/>
  <c r="J870" i="5"/>
  <c r="M870" i="5"/>
  <c r="N870" i="5"/>
  <c r="G871" i="5"/>
  <c r="H871" i="5"/>
  <c r="I871" i="5"/>
  <c r="J871" i="5"/>
  <c r="M871" i="5"/>
  <c r="N871" i="5"/>
  <c r="G872" i="5"/>
  <c r="H872" i="5"/>
  <c r="I872" i="5"/>
  <c r="J872" i="5"/>
  <c r="M872" i="5"/>
  <c r="N872" i="5"/>
  <c r="G873" i="5"/>
  <c r="H873" i="5"/>
  <c r="I873" i="5"/>
  <c r="J873" i="5"/>
  <c r="M873" i="5"/>
  <c r="N873" i="5"/>
  <c r="G874" i="5"/>
  <c r="H874" i="5"/>
  <c r="I874" i="5"/>
  <c r="J874" i="5"/>
  <c r="M874" i="5"/>
  <c r="N874" i="5"/>
  <c r="G875" i="5"/>
  <c r="H875" i="5"/>
  <c r="I875" i="5"/>
  <c r="J875" i="5"/>
  <c r="M875" i="5"/>
  <c r="N875" i="5"/>
  <c r="G876" i="5"/>
  <c r="H876" i="5"/>
  <c r="I876" i="5"/>
  <c r="J876" i="5"/>
  <c r="M876" i="5"/>
  <c r="N876" i="5"/>
  <c r="G877" i="5"/>
  <c r="H877" i="5"/>
  <c r="I877" i="5"/>
  <c r="J877" i="5"/>
  <c r="M877" i="5"/>
  <c r="N877" i="5"/>
  <c r="G878" i="5"/>
  <c r="H878" i="5"/>
  <c r="I878" i="5"/>
  <c r="J878" i="5"/>
  <c r="M878" i="5"/>
  <c r="N878" i="5"/>
  <c r="G879" i="5"/>
  <c r="H879" i="5"/>
  <c r="I879" i="5"/>
  <c r="J879" i="5"/>
  <c r="M879" i="5"/>
  <c r="N879" i="5"/>
  <c r="G880" i="5"/>
  <c r="H880" i="5"/>
  <c r="I880" i="5"/>
  <c r="J880" i="5"/>
  <c r="M880" i="5"/>
  <c r="N880" i="5"/>
  <c r="G881" i="5"/>
  <c r="H881" i="5"/>
  <c r="I881" i="5"/>
  <c r="J881" i="5"/>
  <c r="M881" i="5"/>
  <c r="N881" i="5"/>
  <c r="G882" i="5"/>
  <c r="H882" i="5"/>
  <c r="I882" i="5"/>
  <c r="J882" i="5"/>
  <c r="M882" i="5"/>
  <c r="N882" i="5"/>
  <c r="G883" i="5"/>
  <c r="H883" i="5"/>
  <c r="I883" i="5"/>
  <c r="J883" i="5"/>
  <c r="M883" i="5"/>
  <c r="N883" i="5"/>
  <c r="G884" i="5"/>
  <c r="H884" i="5"/>
  <c r="I884" i="5"/>
  <c r="J884" i="5"/>
  <c r="M884" i="5"/>
  <c r="N884" i="5"/>
  <c r="G885" i="5"/>
  <c r="H885" i="5"/>
  <c r="I885" i="5"/>
  <c r="J885" i="5"/>
  <c r="M885" i="5"/>
  <c r="N885" i="5"/>
  <c r="G886" i="5"/>
  <c r="H886" i="5"/>
  <c r="I886" i="5"/>
  <c r="J886" i="5"/>
  <c r="M886" i="5"/>
  <c r="N886" i="5"/>
  <c r="G887" i="5"/>
  <c r="H887" i="5"/>
  <c r="I887" i="5"/>
  <c r="J887" i="5"/>
  <c r="M887" i="5"/>
  <c r="N887" i="5"/>
  <c r="G888" i="5"/>
  <c r="H888" i="5"/>
  <c r="I888" i="5"/>
  <c r="J888" i="5"/>
  <c r="M888" i="5"/>
  <c r="N888" i="5"/>
  <c r="G889" i="5"/>
  <c r="H889" i="5"/>
  <c r="I889" i="5"/>
  <c r="J889" i="5"/>
  <c r="M889" i="5"/>
  <c r="N889" i="5"/>
  <c r="G890" i="5"/>
  <c r="H890" i="5"/>
  <c r="I890" i="5"/>
  <c r="J890" i="5"/>
  <c r="M890" i="5"/>
  <c r="N890" i="5"/>
  <c r="G891" i="5"/>
  <c r="H891" i="5"/>
  <c r="I891" i="5"/>
  <c r="J891" i="5"/>
  <c r="M891" i="5"/>
  <c r="N891" i="5"/>
  <c r="G892" i="5"/>
  <c r="H892" i="5"/>
  <c r="I892" i="5"/>
  <c r="J892" i="5"/>
  <c r="M892" i="5"/>
  <c r="N892" i="5"/>
  <c r="G893" i="5"/>
  <c r="H893" i="5"/>
  <c r="I893" i="5"/>
  <c r="J893" i="5"/>
  <c r="M893" i="5"/>
  <c r="N893" i="5"/>
  <c r="G894" i="5"/>
  <c r="H894" i="5"/>
  <c r="I894" i="5"/>
  <c r="J894" i="5"/>
  <c r="M894" i="5"/>
  <c r="N894" i="5"/>
  <c r="G895" i="5"/>
  <c r="H895" i="5"/>
  <c r="I895" i="5"/>
  <c r="J895" i="5"/>
  <c r="M895" i="5"/>
  <c r="N895" i="5"/>
  <c r="G896" i="5"/>
  <c r="H896" i="5"/>
  <c r="I896" i="5"/>
  <c r="J896" i="5"/>
  <c r="M896" i="5"/>
  <c r="N896" i="5"/>
  <c r="G897" i="5"/>
  <c r="H897" i="5"/>
  <c r="I897" i="5"/>
  <c r="J897" i="5"/>
  <c r="M897" i="5"/>
  <c r="N897" i="5"/>
  <c r="G898" i="5"/>
  <c r="H898" i="5"/>
  <c r="I898" i="5"/>
  <c r="J898" i="5"/>
  <c r="M898" i="5"/>
  <c r="N898" i="5"/>
  <c r="G899" i="5"/>
  <c r="H899" i="5"/>
  <c r="I899" i="5"/>
  <c r="J899" i="5"/>
  <c r="M899" i="5"/>
  <c r="N899" i="5"/>
  <c r="G900" i="5"/>
  <c r="H900" i="5"/>
  <c r="I900" i="5"/>
  <c r="J900" i="5"/>
  <c r="M900" i="5"/>
  <c r="N900" i="5"/>
  <c r="G901" i="5"/>
  <c r="H901" i="5"/>
  <c r="I901" i="5"/>
  <c r="J901" i="5"/>
  <c r="M901" i="5"/>
  <c r="N901" i="5"/>
  <c r="G902" i="5"/>
  <c r="H902" i="5"/>
  <c r="I902" i="5"/>
  <c r="J902" i="5"/>
  <c r="M902" i="5"/>
  <c r="N902" i="5"/>
  <c r="G903" i="5"/>
  <c r="H903" i="5"/>
  <c r="I903" i="5"/>
  <c r="J903" i="5"/>
  <c r="M903" i="5"/>
  <c r="N903" i="5"/>
  <c r="G904" i="5"/>
  <c r="H904" i="5"/>
  <c r="I904" i="5"/>
  <c r="J904" i="5"/>
  <c r="M904" i="5"/>
  <c r="N904" i="5"/>
  <c r="G905" i="5"/>
  <c r="H905" i="5"/>
  <c r="I905" i="5"/>
  <c r="J905" i="5"/>
  <c r="M905" i="5"/>
  <c r="N905" i="5"/>
  <c r="G906" i="5"/>
  <c r="H906" i="5"/>
  <c r="I906" i="5"/>
  <c r="J906" i="5"/>
  <c r="M906" i="5"/>
  <c r="N906" i="5"/>
  <c r="G907" i="5"/>
  <c r="L907" i="5" s="1"/>
  <c r="H907" i="5"/>
  <c r="I907" i="5"/>
  <c r="J907" i="5"/>
  <c r="M907" i="5"/>
  <c r="N907" i="5"/>
  <c r="G908" i="5"/>
  <c r="H908" i="5"/>
  <c r="I908" i="5"/>
  <c r="J908" i="5"/>
  <c r="M908" i="5"/>
  <c r="N908" i="5"/>
  <c r="G909" i="5"/>
  <c r="H909" i="5"/>
  <c r="I909" i="5"/>
  <c r="J909" i="5"/>
  <c r="M909" i="5"/>
  <c r="N909" i="5"/>
  <c r="G910" i="5"/>
  <c r="H910" i="5"/>
  <c r="I910" i="5"/>
  <c r="J910" i="5"/>
  <c r="M910" i="5"/>
  <c r="N910" i="5"/>
  <c r="G911" i="5"/>
  <c r="H911" i="5"/>
  <c r="I911" i="5"/>
  <c r="J911" i="5"/>
  <c r="M911" i="5"/>
  <c r="N911" i="5"/>
  <c r="G912" i="5"/>
  <c r="H912" i="5"/>
  <c r="I912" i="5"/>
  <c r="J912" i="5"/>
  <c r="M912" i="5"/>
  <c r="N912" i="5"/>
  <c r="G913" i="5"/>
  <c r="H913" i="5"/>
  <c r="I913" i="5"/>
  <c r="J913" i="5"/>
  <c r="M913" i="5"/>
  <c r="N913" i="5"/>
  <c r="G914" i="5"/>
  <c r="H914" i="5"/>
  <c r="I914" i="5"/>
  <c r="J914" i="5"/>
  <c r="M914" i="5"/>
  <c r="N914" i="5"/>
  <c r="G915" i="5"/>
  <c r="H915" i="5"/>
  <c r="I915" i="5"/>
  <c r="J915" i="5"/>
  <c r="M915" i="5"/>
  <c r="N915" i="5"/>
  <c r="G916" i="5"/>
  <c r="H916" i="5"/>
  <c r="I916" i="5"/>
  <c r="J916" i="5"/>
  <c r="M916" i="5"/>
  <c r="N916" i="5"/>
  <c r="G917" i="5"/>
  <c r="H917" i="5"/>
  <c r="I917" i="5"/>
  <c r="J917" i="5"/>
  <c r="M917" i="5"/>
  <c r="N917" i="5"/>
  <c r="G918" i="5"/>
  <c r="H918" i="5"/>
  <c r="I918" i="5"/>
  <c r="J918" i="5"/>
  <c r="M918" i="5"/>
  <c r="N918" i="5"/>
  <c r="G919" i="5"/>
  <c r="H919" i="5"/>
  <c r="I919" i="5"/>
  <c r="J919" i="5"/>
  <c r="K919" i="5" s="1"/>
  <c r="M919" i="5"/>
  <c r="N919" i="5"/>
  <c r="G920" i="5"/>
  <c r="H920" i="5"/>
  <c r="I920" i="5"/>
  <c r="J920" i="5"/>
  <c r="M920" i="5"/>
  <c r="N920" i="5"/>
  <c r="G921" i="5"/>
  <c r="H921" i="5"/>
  <c r="I921" i="5"/>
  <c r="J921" i="5"/>
  <c r="M921" i="5"/>
  <c r="N921" i="5"/>
  <c r="G922" i="5"/>
  <c r="L922" i="5" s="1"/>
  <c r="H922" i="5"/>
  <c r="I922" i="5"/>
  <c r="J922" i="5"/>
  <c r="M922" i="5"/>
  <c r="N922" i="5"/>
  <c r="G923" i="5"/>
  <c r="H923" i="5"/>
  <c r="I923" i="5"/>
  <c r="J923" i="5"/>
  <c r="M923" i="5"/>
  <c r="N923" i="5"/>
  <c r="G924" i="5"/>
  <c r="H924" i="5"/>
  <c r="I924" i="5"/>
  <c r="J924" i="5"/>
  <c r="M924" i="5"/>
  <c r="N924" i="5"/>
  <c r="G925" i="5"/>
  <c r="H925" i="5"/>
  <c r="I925" i="5"/>
  <c r="J925" i="5"/>
  <c r="M925" i="5"/>
  <c r="N925" i="5"/>
  <c r="G926" i="5"/>
  <c r="H926" i="5"/>
  <c r="I926" i="5"/>
  <c r="J926" i="5"/>
  <c r="M926" i="5"/>
  <c r="N926" i="5"/>
  <c r="G927" i="5"/>
  <c r="H927" i="5"/>
  <c r="I927" i="5"/>
  <c r="J927" i="5"/>
  <c r="M927" i="5"/>
  <c r="N927" i="5"/>
  <c r="G928" i="5"/>
  <c r="H928" i="5"/>
  <c r="I928" i="5"/>
  <c r="J928" i="5"/>
  <c r="M928" i="5"/>
  <c r="N928" i="5"/>
  <c r="G929" i="5"/>
  <c r="H929" i="5"/>
  <c r="I929" i="5"/>
  <c r="J929" i="5"/>
  <c r="M929" i="5"/>
  <c r="N929" i="5"/>
  <c r="G930" i="5"/>
  <c r="H930" i="5"/>
  <c r="I930" i="5"/>
  <c r="J930" i="5"/>
  <c r="M930" i="5"/>
  <c r="N930" i="5"/>
  <c r="G931" i="5"/>
  <c r="H931" i="5"/>
  <c r="I931" i="5"/>
  <c r="J931" i="5"/>
  <c r="M931" i="5"/>
  <c r="N931" i="5"/>
  <c r="G932" i="5"/>
  <c r="H932" i="5"/>
  <c r="I932" i="5"/>
  <c r="J932" i="5"/>
  <c r="M932" i="5"/>
  <c r="N932" i="5"/>
  <c r="G933" i="5"/>
  <c r="H933" i="5"/>
  <c r="I933" i="5"/>
  <c r="J933" i="5"/>
  <c r="M933" i="5"/>
  <c r="N933" i="5"/>
  <c r="G934" i="5"/>
  <c r="H934" i="5"/>
  <c r="I934" i="5"/>
  <c r="J934" i="5"/>
  <c r="M934" i="5"/>
  <c r="N934" i="5"/>
  <c r="G935" i="5"/>
  <c r="H935" i="5"/>
  <c r="I935" i="5"/>
  <c r="J935" i="5"/>
  <c r="M935" i="5"/>
  <c r="N935" i="5"/>
  <c r="G936" i="5"/>
  <c r="H936" i="5"/>
  <c r="I936" i="5"/>
  <c r="J936" i="5"/>
  <c r="M936" i="5"/>
  <c r="N936" i="5"/>
  <c r="G937" i="5"/>
  <c r="H937" i="5"/>
  <c r="I937" i="5"/>
  <c r="J937" i="5"/>
  <c r="M937" i="5"/>
  <c r="N937" i="5"/>
  <c r="G938" i="5"/>
  <c r="H938" i="5"/>
  <c r="I938" i="5"/>
  <c r="J938" i="5"/>
  <c r="M938" i="5"/>
  <c r="N938" i="5"/>
  <c r="G939" i="5"/>
  <c r="H939" i="5"/>
  <c r="I939" i="5"/>
  <c r="J939" i="5"/>
  <c r="M939" i="5"/>
  <c r="N939" i="5"/>
  <c r="G940" i="5"/>
  <c r="H940" i="5"/>
  <c r="I940" i="5"/>
  <c r="J940" i="5"/>
  <c r="M940" i="5"/>
  <c r="N940" i="5"/>
  <c r="G941" i="5"/>
  <c r="H941" i="5"/>
  <c r="I941" i="5"/>
  <c r="J941" i="5"/>
  <c r="M941" i="5"/>
  <c r="N941" i="5"/>
  <c r="G942" i="5"/>
  <c r="H942" i="5"/>
  <c r="I942" i="5"/>
  <c r="J942" i="5"/>
  <c r="M942" i="5"/>
  <c r="N942" i="5"/>
  <c r="G943" i="5"/>
  <c r="H943" i="5"/>
  <c r="I943" i="5"/>
  <c r="J943" i="5"/>
  <c r="M943" i="5"/>
  <c r="N943" i="5"/>
  <c r="G944" i="5"/>
  <c r="H944" i="5"/>
  <c r="I944" i="5"/>
  <c r="J944" i="5"/>
  <c r="M944" i="5"/>
  <c r="N944" i="5"/>
  <c r="G945" i="5"/>
  <c r="H945" i="5"/>
  <c r="I945" i="5"/>
  <c r="J945" i="5"/>
  <c r="M945" i="5"/>
  <c r="N945" i="5"/>
  <c r="G946" i="5"/>
  <c r="H946" i="5"/>
  <c r="I946" i="5"/>
  <c r="J946" i="5"/>
  <c r="M946" i="5"/>
  <c r="N946" i="5"/>
  <c r="G947" i="5"/>
  <c r="H947" i="5"/>
  <c r="I947" i="5"/>
  <c r="J947" i="5"/>
  <c r="M947" i="5"/>
  <c r="N947" i="5"/>
  <c r="G948" i="5"/>
  <c r="H948" i="5"/>
  <c r="I948" i="5"/>
  <c r="J948" i="5"/>
  <c r="M948" i="5"/>
  <c r="N948" i="5"/>
  <c r="G949" i="5"/>
  <c r="H949" i="5"/>
  <c r="I949" i="5"/>
  <c r="J949" i="5"/>
  <c r="M949" i="5"/>
  <c r="N949" i="5"/>
  <c r="G950" i="5"/>
  <c r="H950" i="5"/>
  <c r="I950" i="5"/>
  <c r="J950" i="5"/>
  <c r="M950" i="5"/>
  <c r="N950" i="5"/>
  <c r="G951" i="5"/>
  <c r="H951" i="5"/>
  <c r="I951" i="5"/>
  <c r="J951" i="5"/>
  <c r="M951" i="5"/>
  <c r="N951" i="5"/>
  <c r="G952" i="5"/>
  <c r="H952" i="5"/>
  <c r="I952" i="5"/>
  <c r="J952" i="5"/>
  <c r="M952" i="5"/>
  <c r="N952" i="5"/>
  <c r="G953" i="5"/>
  <c r="H953" i="5"/>
  <c r="I953" i="5"/>
  <c r="J953" i="5"/>
  <c r="M953" i="5"/>
  <c r="N953" i="5"/>
  <c r="G954" i="5"/>
  <c r="H954" i="5"/>
  <c r="I954" i="5"/>
  <c r="J954" i="5"/>
  <c r="M954" i="5"/>
  <c r="N954" i="5"/>
  <c r="G955" i="5"/>
  <c r="H955" i="5"/>
  <c r="I955" i="5"/>
  <c r="L955" i="5" s="1"/>
  <c r="J955" i="5"/>
  <c r="M955" i="5"/>
  <c r="N955" i="5"/>
  <c r="G956" i="5"/>
  <c r="H956" i="5"/>
  <c r="I956" i="5"/>
  <c r="J956" i="5"/>
  <c r="M956" i="5"/>
  <c r="N956" i="5"/>
  <c r="G957" i="5"/>
  <c r="H957" i="5"/>
  <c r="I957" i="5"/>
  <c r="J957" i="5"/>
  <c r="M957" i="5"/>
  <c r="N957" i="5"/>
  <c r="G958" i="5"/>
  <c r="H958" i="5"/>
  <c r="I958" i="5"/>
  <c r="J958" i="5"/>
  <c r="M958" i="5"/>
  <c r="N958" i="5"/>
  <c r="G959" i="5"/>
  <c r="H959" i="5"/>
  <c r="I959" i="5"/>
  <c r="J959" i="5"/>
  <c r="M959" i="5"/>
  <c r="N959" i="5"/>
  <c r="G960" i="5"/>
  <c r="H960" i="5"/>
  <c r="I960" i="5"/>
  <c r="J960" i="5"/>
  <c r="M960" i="5"/>
  <c r="N960" i="5"/>
  <c r="G961" i="5"/>
  <c r="H961" i="5"/>
  <c r="I961" i="5"/>
  <c r="J961" i="5"/>
  <c r="M961" i="5"/>
  <c r="N961" i="5"/>
  <c r="G962" i="5"/>
  <c r="L962" i="5" s="1"/>
  <c r="H962" i="5"/>
  <c r="I962" i="5"/>
  <c r="J962" i="5"/>
  <c r="M962" i="5"/>
  <c r="N962" i="5"/>
  <c r="G963" i="5"/>
  <c r="H963" i="5"/>
  <c r="I963" i="5"/>
  <c r="J963" i="5"/>
  <c r="M963" i="5"/>
  <c r="N963" i="5"/>
  <c r="G964" i="5"/>
  <c r="H964" i="5"/>
  <c r="I964" i="5"/>
  <c r="J964" i="5"/>
  <c r="M964" i="5"/>
  <c r="N964" i="5"/>
  <c r="G965" i="5"/>
  <c r="H965" i="5"/>
  <c r="I965" i="5"/>
  <c r="J965" i="5"/>
  <c r="M965" i="5"/>
  <c r="N965" i="5"/>
  <c r="G966" i="5"/>
  <c r="H966" i="5"/>
  <c r="I966" i="5"/>
  <c r="J966" i="5"/>
  <c r="M966" i="5"/>
  <c r="N966" i="5"/>
  <c r="G967" i="5"/>
  <c r="H967" i="5"/>
  <c r="I967" i="5"/>
  <c r="J967" i="5"/>
  <c r="M967" i="5"/>
  <c r="N967" i="5"/>
  <c r="G968" i="5"/>
  <c r="H968" i="5"/>
  <c r="I968" i="5"/>
  <c r="J968" i="5"/>
  <c r="M968" i="5"/>
  <c r="N968" i="5"/>
  <c r="G969" i="5"/>
  <c r="H969" i="5"/>
  <c r="I969" i="5"/>
  <c r="J969" i="5"/>
  <c r="M969" i="5"/>
  <c r="N969" i="5"/>
  <c r="G970" i="5"/>
  <c r="H970" i="5"/>
  <c r="I970" i="5"/>
  <c r="J970" i="5"/>
  <c r="M970" i="5"/>
  <c r="N970" i="5"/>
  <c r="G971" i="5"/>
  <c r="H971" i="5"/>
  <c r="I971" i="5"/>
  <c r="J971" i="5"/>
  <c r="M971" i="5"/>
  <c r="N971" i="5"/>
  <c r="G972" i="5"/>
  <c r="H972" i="5"/>
  <c r="I972" i="5"/>
  <c r="J972" i="5"/>
  <c r="M972" i="5"/>
  <c r="N972" i="5"/>
  <c r="G973" i="5"/>
  <c r="H973" i="5"/>
  <c r="I973" i="5"/>
  <c r="J973" i="5"/>
  <c r="M973" i="5"/>
  <c r="N973" i="5"/>
  <c r="G974" i="5"/>
  <c r="H974" i="5"/>
  <c r="I974" i="5"/>
  <c r="J974" i="5"/>
  <c r="M974" i="5"/>
  <c r="N974" i="5"/>
  <c r="G975" i="5"/>
  <c r="H975" i="5"/>
  <c r="I975" i="5"/>
  <c r="J975" i="5"/>
  <c r="M975" i="5"/>
  <c r="N975" i="5"/>
  <c r="G976" i="5"/>
  <c r="H976" i="5"/>
  <c r="I976" i="5"/>
  <c r="J976" i="5"/>
  <c r="M976" i="5"/>
  <c r="N976" i="5"/>
  <c r="G977" i="5"/>
  <c r="H977" i="5"/>
  <c r="I977" i="5"/>
  <c r="J977" i="5"/>
  <c r="M977" i="5"/>
  <c r="N977" i="5"/>
  <c r="G978" i="5"/>
  <c r="H978" i="5"/>
  <c r="I978" i="5"/>
  <c r="J978" i="5"/>
  <c r="M978" i="5"/>
  <c r="N978" i="5"/>
  <c r="G979" i="5"/>
  <c r="H979" i="5"/>
  <c r="I979" i="5"/>
  <c r="J979" i="5"/>
  <c r="M979" i="5"/>
  <c r="N979" i="5"/>
  <c r="G980" i="5"/>
  <c r="H980" i="5"/>
  <c r="I980" i="5"/>
  <c r="J980" i="5"/>
  <c r="M980" i="5"/>
  <c r="N980" i="5"/>
  <c r="G981" i="5"/>
  <c r="H981" i="5"/>
  <c r="I981" i="5"/>
  <c r="J981" i="5"/>
  <c r="M981" i="5"/>
  <c r="N981" i="5"/>
  <c r="G982" i="5"/>
  <c r="H982" i="5"/>
  <c r="I982" i="5"/>
  <c r="J982" i="5"/>
  <c r="M982" i="5"/>
  <c r="N982" i="5"/>
  <c r="G983" i="5"/>
  <c r="H983" i="5"/>
  <c r="I983" i="5"/>
  <c r="J983" i="5"/>
  <c r="M983" i="5"/>
  <c r="N983" i="5"/>
  <c r="G984" i="5"/>
  <c r="H984" i="5"/>
  <c r="I984" i="5"/>
  <c r="J984" i="5"/>
  <c r="M984" i="5"/>
  <c r="N984" i="5"/>
  <c r="G985" i="5"/>
  <c r="H985" i="5"/>
  <c r="I985" i="5"/>
  <c r="J985" i="5"/>
  <c r="M985" i="5"/>
  <c r="N985" i="5"/>
  <c r="G986" i="5"/>
  <c r="H986" i="5"/>
  <c r="I986" i="5"/>
  <c r="J986" i="5"/>
  <c r="M986" i="5"/>
  <c r="N986" i="5"/>
  <c r="G987" i="5"/>
  <c r="H987" i="5"/>
  <c r="I987" i="5"/>
  <c r="J987" i="5"/>
  <c r="M987" i="5"/>
  <c r="N987" i="5"/>
  <c r="G988" i="5"/>
  <c r="H988" i="5"/>
  <c r="I988" i="5"/>
  <c r="J988" i="5"/>
  <c r="M988" i="5"/>
  <c r="N988" i="5"/>
  <c r="G989" i="5"/>
  <c r="H989" i="5"/>
  <c r="I989" i="5"/>
  <c r="J989" i="5"/>
  <c r="M989" i="5"/>
  <c r="N989" i="5"/>
  <c r="G990" i="5"/>
  <c r="H990" i="5"/>
  <c r="I990" i="5"/>
  <c r="J990" i="5"/>
  <c r="M990" i="5"/>
  <c r="N990" i="5"/>
  <c r="G991" i="5"/>
  <c r="H991" i="5"/>
  <c r="I991" i="5"/>
  <c r="J991" i="5"/>
  <c r="M991" i="5"/>
  <c r="N991" i="5"/>
  <c r="G992" i="5"/>
  <c r="H992" i="5"/>
  <c r="I992" i="5"/>
  <c r="J992" i="5"/>
  <c r="M992" i="5"/>
  <c r="N992" i="5"/>
  <c r="G993" i="5"/>
  <c r="H993" i="5"/>
  <c r="I993" i="5"/>
  <c r="J993" i="5"/>
  <c r="M993" i="5"/>
  <c r="N993" i="5"/>
  <c r="G994" i="5"/>
  <c r="H994" i="5"/>
  <c r="I994" i="5"/>
  <c r="J994" i="5"/>
  <c r="M994" i="5"/>
  <c r="N994" i="5"/>
  <c r="G995" i="5"/>
  <c r="H995" i="5"/>
  <c r="I995" i="5"/>
  <c r="J995" i="5"/>
  <c r="M995" i="5"/>
  <c r="N995" i="5"/>
  <c r="G996" i="5"/>
  <c r="H996" i="5"/>
  <c r="I996" i="5"/>
  <c r="J996" i="5"/>
  <c r="M996" i="5"/>
  <c r="N996" i="5"/>
  <c r="G997" i="5"/>
  <c r="H997" i="5"/>
  <c r="I997" i="5"/>
  <c r="J997" i="5"/>
  <c r="M997" i="5"/>
  <c r="N997" i="5"/>
  <c r="G998" i="5"/>
  <c r="H998" i="5"/>
  <c r="I998" i="5"/>
  <c r="J998" i="5"/>
  <c r="M998" i="5"/>
  <c r="N998" i="5"/>
  <c r="G999" i="5"/>
  <c r="H999" i="5"/>
  <c r="I999" i="5"/>
  <c r="J999" i="5"/>
  <c r="M999" i="5"/>
  <c r="N999" i="5"/>
  <c r="G1000" i="5"/>
  <c r="H1000" i="5"/>
  <c r="I1000" i="5"/>
  <c r="J1000" i="5"/>
  <c r="M1000" i="5"/>
  <c r="N1000" i="5"/>
  <c r="G1001" i="5"/>
  <c r="H1001" i="5"/>
  <c r="I1001" i="5"/>
  <c r="J1001" i="5"/>
  <c r="M1001" i="5"/>
  <c r="N1001" i="5"/>
  <c r="G1002" i="5"/>
  <c r="H1002" i="5"/>
  <c r="I1002" i="5"/>
  <c r="J1002" i="5"/>
  <c r="M1002" i="5"/>
  <c r="N1002" i="5"/>
  <c r="G1003" i="5"/>
  <c r="H1003" i="5"/>
  <c r="I1003" i="5"/>
  <c r="J1003" i="5"/>
  <c r="M1003" i="5"/>
  <c r="N1003" i="5"/>
  <c r="G1004" i="5"/>
  <c r="H1004" i="5"/>
  <c r="I1004" i="5"/>
  <c r="J1004" i="5"/>
  <c r="M1004" i="5"/>
  <c r="N1004" i="5"/>
  <c r="G1005" i="5"/>
  <c r="H1005" i="5"/>
  <c r="I1005" i="5"/>
  <c r="J1005" i="5"/>
  <c r="M1005" i="5"/>
  <c r="N1005" i="5"/>
  <c r="G1006" i="5"/>
  <c r="H1006" i="5"/>
  <c r="I1006" i="5"/>
  <c r="J1006" i="5"/>
  <c r="M1006" i="5"/>
  <c r="N1006" i="5"/>
  <c r="G1007" i="5"/>
  <c r="H1007" i="5"/>
  <c r="I1007" i="5"/>
  <c r="J1007" i="5"/>
  <c r="M1007" i="5"/>
  <c r="N1007" i="5"/>
  <c r="G1008" i="5"/>
  <c r="H1008" i="5"/>
  <c r="I1008" i="5"/>
  <c r="J1008" i="5"/>
  <c r="M1008" i="5"/>
  <c r="N1008" i="5"/>
  <c r="G1009" i="5"/>
  <c r="H1009" i="5"/>
  <c r="I1009" i="5"/>
  <c r="J1009" i="5"/>
  <c r="M1009" i="5"/>
  <c r="N1009" i="5"/>
  <c r="G1010" i="5"/>
  <c r="H1010" i="5"/>
  <c r="I1010" i="5"/>
  <c r="J1010" i="5"/>
  <c r="M1010" i="5"/>
  <c r="N1010" i="5"/>
  <c r="G1011" i="5"/>
  <c r="H1011" i="5"/>
  <c r="I1011" i="5"/>
  <c r="J1011" i="5"/>
  <c r="M1011" i="5"/>
  <c r="N1011" i="5"/>
  <c r="G1012" i="5"/>
  <c r="H1012" i="5"/>
  <c r="I1012" i="5"/>
  <c r="J1012" i="5"/>
  <c r="M1012" i="5"/>
  <c r="N1012" i="5"/>
  <c r="G1013" i="5"/>
  <c r="H1013" i="5"/>
  <c r="I1013" i="5"/>
  <c r="J1013" i="5"/>
  <c r="M1013" i="5"/>
  <c r="N1013" i="5"/>
  <c r="G1014" i="5"/>
  <c r="H1014" i="5"/>
  <c r="I1014" i="5"/>
  <c r="J1014" i="5"/>
  <c r="M1014" i="5"/>
  <c r="N1014" i="5"/>
  <c r="G1015" i="5"/>
  <c r="H1015" i="5"/>
  <c r="I1015" i="5"/>
  <c r="J1015" i="5"/>
  <c r="M1015" i="5"/>
  <c r="N1015" i="5"/>
  <c r="G1016" i="5"/>
  <c r="H1016" i="5"/>
  <c r="I1016" i="5"/>
  <c r="J1016" i="5"/>
  <c r="M1016" i="5"/>
  <c r="N1016" i="5"/>
  <c r="G1017" i="5"/>
  <c r="H1017" i="5"/>
  <c r="I1017" i="5"/>
  <c r="J1017" i="5"/>
  <c r="M1017" i="5"/>
  <c r="N1017" i="5"/>
  <c r="G1018" i="5"/>
  <c r="H1018" i="5"/>
  <c r="I1018" i="5"/>
  <c r="J1018" i="5"/>
  <c r="M1018" i="5"/>
  <c r="N1018" i="5"/>
  <c r="G1019" i="5"/>
  <c r="H1019" i="5"/>
  <c r="I1019" i="5"/>
  <c r="J1019" i="5"/>
  <c r="M1019" i="5"/>
  <c r="N1019" i="5"/>
  <c r="G1020" i="5"/>
  <c r="H1020" i="5"/>
  <c r="I1020" i="5"/>
  <c r="J1020" i="5"/>
  <c r="M1020" i="5"/>
  <c r="N1020" i="5"/>
  <c r="G1021" i="5"/>
  <c r="H1021" i="5"/>
  <c r="I1021" i="5"/>
  <c r="J1021" i="5"/>
  <c r="M1021" i="5"/>
  <c r="N1021" i="5"/>
  <c r="G1022" i="5"/>
  <c r="H1022" i="5"/>
  <c r="I1022" i="5"/>
  <c r="J1022" i="5"/>
  <c r="M1022" i="5"/>
  <c r="N1022" i="5"/>
  <c r="G1023" i="5"/>
  <c r="H1023" i="5"/>
  <c r="I1023" i="5"/>
  <c r="J1023" i="5"/>
  <c r="M1023" i="5"/>
  <c r="N1023" i="5"/>
  <c r="G1024" i="5"/>
  <c r="H1024" i="5"/>
  <c r="I1024" i="5"/>
  <c r="J1024" i="5"/>
  <c r="M1024" i="5"/>
  <c r="N1024" i="5"/>
  <c r="G1025" i="5"/>
  <c r="H1025" i="5"/>
  <c r="I1025" i="5"/>
  <c r="J1025" i="5"/>
  <c r="M1025" i="5"/>
  <c r="N1025" i="5"/>
  <c r="G1026" i="5"/>
  <c r="H1026" i="5"/>
  <c r="I1026" i="5"/>
  <c r="J1026" i="5"/>
  <c r="M1026" i="5"/>
  <c r="N1026" i="5"/>
  <c r="G1027" i="5"/>
  <c r="H1027" i="5"/>
  <c r="I1027" i="5"/>
  <c r="J1027" i="5"/>
  <c r="M1027" i="5"/>
  <c r="N1027" i="5"/>
  <c r="G1028" i="5"/>
  <c r="H1028" i="5"/>
  <c r="I1028" i="5"/>
  <c r="J1028" i="5"/>
  <c r="M1028" i="5"/>
  <c r="N1028" i="5"/>
  <c r="G1029" i="5"/>
  <c r="H1029" i="5"/>
  <c r="I1029" i="5"/>
  <c r="J1029" i="5"/>
  <c r="M1029" i="5"/>
  <c r="N1029" i="5"/>
  <c r="G1030" i="5"/>
  <c r="H1030" i="5"/>
  <c r="I1030" i="5"/>
  <c r="J1030" i="5"/>
  <c r="M1030" i="5"/>
  <c r="N1030" i="5"/>
  <c r="G1031" i="5"/>
  <c r="H1031" i="5"/>
  <c r="I1031" i="5"/>
  <c r="J1031" i="5"/>
  <c r="M1031" i="5"/>
  <c r="N1031" i="5"/>
  <c r="G1032" i="5"/>
  <c r="H1032" i="5"/>
  <c r="I1032" i="5"/>
  <c r="J1032" i="5"/>
  <c r="M1032" i="5"/>
  <c r="N1032" i="5"/>
  <c r="G1033" i="5"/>
  <c r="H1033" i="5"/>
  <c r="I1033" i="5"/>
  <c r="J1033" i="5"/>
  <c r="M1033" i="5"/>
  <c r="N1033" i="5"/>
  <c r="G1034" i="5"/>
  <c r="H1034" i="5"/>
  <c r="I1034" i="5"/>
  <c r="J1034" i="5"/>
  <c r="M1034" i="5"/>
  <c r="N1034" i="5"/>
  <c r="G1035" i="5"/>
  <c r="H1035" i="5"/>
  <c r="I1035" i="5"/>
  <c r="J1035" i="5"/>
  <c r="M1035" i="5"/>
  <c r="N1035" i="5"/>
  <c r="G1036" i="5"/>
  <c r="H1036" i="5"/>
  <c r="I1036" i="5"/>
  <c r="J1036" i="5"/>
  <c r="M1036" i="5"/>
  <c r="N1036" i="5"/>
  <c r="G1037" i="5"/>
  <c r="H1037" i="5"/>
  <c r="I1037" i="5"/>
  <c r="J1037" i="5"/>
  <c r="M1037" i="5"/>
  <c r="N1037" i="5"/>
  <c r="G1038" i="5"/>
  <c r="H1038" i="5"/>
  <c r="I1038" i="5"/>
  <c r="J1038" i="5"/>
  <c r="M1038" i="5"/>
  <c r="N1038" i="5"/>
  <c r="G1039" i="5"/>
  <c r="H1039" i="5"/>
  <c r="I1039" i="5"/>
  <c r="J1039" i="5"/>
  <c r="M1039" i="5"/>
  <c r="N1039" i="5"/>
  <c r="G1040" i="5"/>
  <c r="H1040" i="5"/>
  <c r="I1040" i="5"/>
  <c r="J1040" i="5"/>
  <c r="M1040" i="5"/>
  <c r="N1040" i="5"/>
  <c r="G1041" i="5"/>
  <c r="H1041" i="5"/>
  <c r="I1041" i="5"/>
  <c r="J1041" i="5"/>
  <c r="M1041" i="5"/>
  <c r="N1041" i="5"/>
  <c r="G1042" i="5"/>
  <c r="H1042" i="5"/>
  <c r="I1042" i="5"/>
  <c r="J1042" i="5"/>
  <c r="M1042" i="5"/>
  <c r="N1042" i="5"/>
  <c r="G1043" i="5"/>
  <c r="H1043" i="5"/>
  <c r="I1043" i="5"/>
  <c r="J1043" i="5"/>
  <c r="M1043" i="5"/>
  <c r="N1043" i="5"/>
  <c r="G1044" i="5"/>
  <c r="H1044" i="5"/>
  <c r="I1044" i="5"/>
  <c r="J1044" i="5"/>
  <c r="M1044" i="5"/>
  <c r="N1044" i="5"/>
  <c r="G1045" i="5"/>
  <c r="H1045" i="5"/>
  <c r="I1045" i="5"/>
  <c r="J1045" i="5"/>
  <c r="M1045" i="5"/>
  <c r="N1045" i="5"/>
  <c r="G1046" i="5"/>
  <c r="H1046" i="5"/>
  <c r="I1046" i="5"/>
  <c r="J1046" i="5"/>
  <c r="M1046" i="5"/>
  <c r="N1046" i="5"/>
  <c r="G1047" i="5"/>
  <c r="H1047" i="5"/>
  <c r="I1047" i="5"/>
  <c r="J1047" i="5"/>
  <c r="M1047" i="5"/>
  <c r="N1047" i="5"/>
  <c r="G1048" i="5"/>
  <c r="H1048" i="5"/>
  <c r="I1048" i="5"/>
  <c r="J1048" i="5"/>
  <c r="M1048" i="5"/>
  <c r="N1048" i="5"/>
  <c r="G1049" i="5"/>
  <c r="H1049" i="5"/>
  <c r="I1049" i="5"/>
  <c r="J1049" i="5"/>
  <c r="M1049" i="5"/>
  <c r="N1049" i="5"/>
  <c r="G1050" i="5"/>
  <c r="H1050" i="5"/>
  <c r="I1050" i="5"/>
  <c r="J1050" i="5"/>
  <c r="M1050" i="5"/>
  <c r="N1050" i="5"/>
  <c r="G1051" i="5"/>
  <c r="H1051" i="5"/>
  <c r="I1051" i="5"/>
  <c r="J1051" i="5"/>
  <c r="M1051" i="5"/>
  <c r="N1051" i="5"/>
  <c r="G1052" i="5"/>
  <c r="H1052" i="5"/>
  <c r="I1052" i="5"/>
  <c r="J1052" i="5"/>
  <c r="M1052" i="5"/>
  <c r="N1052" i="5"/>
  <c r="G1053" i="5"/>
  <c r="H1053" i="5"/>
  <c r="I1053" i="5"/>
  <c r="J1053" i="5"/>
  <c r="M1053" i="5"/>
  <c r="N1053" i="5"/>
  <c r="G1054" i="5"/>
  <c r="H1054" i="5"/>
  <c r="I1054" i="5"/>
  <c r="J1054" i="5"/>
  <c r="M1054" i="5"/>
  <c r="N1054" i="5"/>
  <c r="G1055" i="5"/>
  <c r="H1055" i="5"/>
  <c r="I1055" i="5"/>
  <c r="J1055" i="5"/>
  <c r="M1055" i="5"/>
  <c r="N1055" i="5"/>
  <c r="G1056" i="5"/>
  <c r="H1056" i="5"/>
  <c r="I1056" i="5"/>
  <c r="J1056" i="5"/>
  <c r="M1056" i="5"/>
  <c r="N1056" i="5"/>
  <c r="G1057" i="5"/>
  <c r="H1057" i="5"/>
  <c r="I1057" i="5"/>
  <c r="J1057" i="5"/>
  <c r="M1057" i="5"/>
  <c r="N1057" i="5"/>
  <c r="G1058" i="5"/>
  <c r="H1058" i="5"/>
  <c r="I1058" i="5"/>
  <c r="J1058" i="5"/>
  <c r="M1058" i="5"/>
  <c r="N1058" i="5"/>
  <c r="G1059" i="5"/>
  <c r="H1059" i="5"/>
  <c r="I1059" i="5"/>
  <c r="J1059" i="5"/>
  <c r="M1059" i="5"/>
  <c r="N1059" i="5"/>
  <c r="G1060" i="5"/>
  <c r="H1060" i="5"/>
  <c r="I1060" i="5"/>
  <c r="J1060" i="5"/>
  <c r="M1060" i="5"/>
  <c r="N1060" i="5"/>
  <c r="G1061" i="5"/>
  <c r="H1061" i="5"/>
  <c r="I1061" i="5"/>
  <c r="J1061" i="5"/>
  <c r="M1061" i="5"/>
  <c r="N1061" i="5"/>
  <c r="G1062" i="5"/>
  <c r="H1062" i="5"/>
  <c r="I1062" i="5"/>
  <c r="J1062" i="5"/>
  <c r="M1062" i="5"/>
  <c r="N1062" i="5"/>
  <c r="G1063" i="5"/>
  <c r="H1063" i="5"/>
  <c r="I1063" i="5"/>
  <c r="J1063" i="5"/>
  <c r="M1063" i="5"/>
  <c r="N1063" i="5"/>
  <c r="G1064" i="5"/>
  <c r="H1064" i="5"/>
  <c r="I1064" i="5"/>
  <c r="J1064" i="5"/>
  <c r="M1064" i="5"/>
  <c r="N1064" i="5"/>
  <c r="G1065" i="5"/>
  <c r="H1065" i="5"/>
  <c r="I1065" i="5"/>
  <c r="J1065" i="5"/>
  <c r="M1065" i="5"/>
  <c r="N1065" i="5"/>
  <c r="G1066" i="5"/>
  <c r="H1066" i="5"/>
  <c r="I1066" i="5"/>
  <c r="J1066" i="5"/>
  <c r="M1066" i="5"/>
  <c r="N1066" i="5"/>
  <c r="G1067" i="5"/>
  <c r="H1067" i="5"/>
  <c r="I1067" i="5"/>
  <c r="J1067" i="5"/>
  <c r="M1067" i="5"/>
  <c r="N1067" i="5"/>
  <c r="G1068" i="5"/>
  <c r="H1068" i="5"/>
  <c r="I1068" i="5"/>
  <c r="J1068" i="5"/>
  <c r="M1068" i="5"/>
  <c r="N1068" i="5"/>
  <c r="G1069" i="5"/>
  <c r="H1069" i="5"/>
  <c r="I1069" i="5"/>
  <c r="J1069" i="5"/>
  <c r="M1069" i="5"/>
  <c r="N1069" i="5"/>
  <c r="G1070" i="5"/>
  <c r="H1070" i="5"/>
  <c r="I1070" i="5"/>
  <c r="J1070" i="5"/>
  <c r="M1070" i="5"/>
  <c r="N1070" i="5"/>
  <c r="G1071" i="5"/>
  <c r="H1071" i="5"/>
  <c r="I1071" i="5"/>
  <c r="J1071" i="5"/>
  <c r="M1071" i="5"/>
  <c r="N1071" i="5"/>
  <c r="G1072" i="5"/>
  <c r="H1072" i="5"/>
  <c r="I1072" i="5"/>
  <c r="J1072" i="5"/>
  <c r="M1072" i="5"/>
  <c r="N1072" i="5"/>
  <c r="G1073" i="5"/>
  <c r="H1073" i="5"/>
  <c r="I1073" i="5"/>
  <c r="J1073" i="5"/>
  <c r="M1073" i="5"/>
  <c r="N1073" i="5"/>
  <c r="G1074" i="5"/>
  <c r="H1074" i="5"/>
  <c r="I1074" i="5"/>
  <c r="J1074" i="5"/>
  <c r="M1074" i="5"/>
  <c r="N1074" i="5"/>
  <c r="G1075" i="5"/>
  <c r="H1075" i="5"/>
  <c r="I1075" i="5"/>
  <c r="J1075" i="5"/>
  <c r="M1075" i="5"/>
  <c r="N1075" i="5"/>
  <c r="G1076" i="5"/>
  <c r="H1076" i="5"/>
  <c r="I1076" i="5"/>
  <c r="J1076" i="5"/>
  <c r="M1076" i="5"/>
  <c r="N1076" i="5"/>
  <c r="G1077" i="5"/>
  <c r="H1077" i="5"/>
  <c r="I1077" i="5"/>
  <c r="J1077" i="5"/>
  <c r="M1077" i="5"/>
  <c r="N1077" i="5"/>
  <c r="G1078" i="5"/>
  <c r="H1078" i="5"/>
  <c r="I1078" i="5"/>
  <c r="J1078" i="5"/>
  <c r="M1078" i="5"/>
  <c r="N1078" i="5"/>
  <c r="G1079" i="5"/>
  <c r="H1079" i="5"/>
  <c r="I1079" i="5"/>
  <c r="J1079" i="5"/>
  <c r="M1079" i="5"/>
  <c r="N1079" i="5"/>
  <c r="G1080" i="5"/>
  <c r="H1080" i="5"/>
  <c r="I1080" i="5"/>
  <c r="J1080" i="5"/>
  <c r="M1080" i="5"/>
  <c r="N1080" i="5"/>
  <c r="G1081" i="5"/>
  <c r="H1081" i="5"/>
  <c r="I1081" i="5"/>
  <c r="J1081" i="5"/>
  <c r="M1081" i="5"/>
  <c r="N1081" i="5"/>
  <c r="G1082" i="5"/>
  <c r="H1082" i="5"/>
  <c r="I1082" i="5"/>
  <c r="J1082" i="5"/>
  <c r="M1082" i="5"/>
  <c r="N1082" i="5"/>
  <c r="G1083" i="5"/>
  <c r="H1083" i="5"/>
  <c r="I1083" i="5"/>
  <c r="J1083" i="5"/>
  <c r="M1083" i="5"/>
  <c r="N1083" i="5"/>
  <c r="G1084" i="5"/>
  <c r="H1084" i="5"/>
  <c r="I1084" i="5"/>
  <c r="J1084" i="5"/>
  <c r="M1084" i="5"/>
  <c r="N1084" i="5"/>
  <c r="G1085" i="5"/>
  <c r="H1085" i="5"/>
  <c r="I1085" i="5"/>
  <c r="J1085" i="5"/>
  <c r="M1085" i="5"/>
  <c r="N1085" i="5"/>
  <c r="G1086" i="5"/>
  <c r="H1086" i="5"/>
  <c r="I1086" i="5"/>
  <c r="J1086" i="5"/>
  <c r="M1086" i="5"/>
  <c r="N1086" i="5"/>
  <c r="G1087" i="5"/>
  <c r="H1087" i="5"/>
  <c r="I1087" i="5"/>
  <c r="J1087" i="5"/>
  <c r="M1087" i="5"/>
  <c r="N1087" i="5"/>
  <c r="G1088" i="5"/>
  <c r="H1088" i="5"/>
  <c r="I1088" i="5"/>
  <c r="J1088" i="5"/>
  <c r="M1088" i="5"/>
  <c r="N1088" i="5"/>
  <c r="G1089" i="5"/>
  <c r="H1089" i="5"/>
  <c r="I1089" i="5"/>
  <c r="J1089" i="5"/>
  <c r="M1089" i="5"/>
  <c r="N1089" i="5"/>
  <c r="S485" i="5"/>
  <c r="T485" i="5"/>
  <c r="S486" i="5"/>
  <c r="T486" i="5"/>
  <c r="S487" i="5"/>
  <c r="T487" i="5"/>
  <c r="S488" i="5"/>
  <c r="T488" i="5"/>
  <c r="S489" i="5"/>
  <c r="T489" i="5"/>
  <c r="S490" i="5"/>
  <c r="T490" i="5"/>
  <c r="S491" i="5"/>
  <c r="T491" i="5"/>
  <c r="S492" i="5"/>
  <c r="T492" i="5"/>
  <c r="S493" i="5"/>
  <c r="T493" i="5"/>
  <c r="S494" i="5"/>
  <c r="T494" i="5"/>
  <c r="S495" i="5"/>
  <c r="T495" i="5"/>
  <c r="S496" i="5"/>
  <c r="T496" i="5"/>
  <c r="S497" i="5"/>
  <c r="T497" i="5"/>
  <c r="S498" i="5"/>
  <c r="T498" i="5"/>
  <c r="S499" i="5"/>
  <c r="T499" i="5"/>
  <c r="S500" i="5"/>
  <c r="T500" i="5"/>
  <c r="S501" i="5"/>
  <c r="T501" i="5"/>
  <c r="S502" i="5"/>
  <c r="T502" i="5"/>
  <c r="S503" i="5"/>
  <c r="T503" i="5"/>
  <c r="S504" i="5"/>
  <c r="T504" i="5"/>
  <c r="S505" i="5"/>
  <c r="T505" i="5"/>
  <c r="S506" i="5"/>
  <c r="T506" i="5"/>
  <c r="S507" i="5"/>
  <c r="T507" i="5"/>
  <c r="S508" i="5"/>
  <c r="T508" i="5"/>
  <c r="S509" i="5"/>
  <c r="T509" i="5"/>
  <c r="S510" i="5"/>
  <c r="T510" i="5"/>
  <c r="S511" i="5"/>
  <c r="T511" i="5"/>
  <c r="S512" i="5"/>
  <c r="T512" i="5"/>
  <c r="S513" i="5"/>
  <c r="T513" i="5"/>
  <c r="S514" i="5"/>
  <c r="T514" i="5"/>
  <c r="S515" i="5"/>
  <c r="T515" i="5"/>
  <c r="S516" i="5"/>
  <c r="T516" i="5"/>
  <c r="S517" i="5"/>
  <c r="T517" i="5"/>
  <c r="S518" i="5"/>
  <c r="T518" i="5"/>
  <c r="S519" i="5"/>
  <c r="T519" i="5"/>
  <c r="S520" i="5"/>
  <c r="T520" i="5"/>
  <c r="S521" i="5"/>
  <c r="T521" i="5"/>
  <c r="S522" i="5"/>
  <c r="T522" i="5"/>
  <c r="S523" i="5"/>
  <c r="T523" i="5"/>
  <c r="S524" i="5"/>
  <c r="T524" i="5"/>
  <c r="S525" i="5"/>
  <c r="T525" i="5"/>
  <c r="S526" i="5"/>
  <c r="T526" i="5"/>
  <c r="S527" i="5"/>
  <c r="T527" i="5"/>
  <c r="S528" i="5"/>
  <c r="T528" i="5"/>
  <c r="S529" i="5"/>
  <c r="T529" i="5"/>
  <c r="S530" i="5"/>
  <c r="T530" i="5"/>
  <c r="S531" i="5"/>
  <c r="T531" i="5"/>
  <c r="S532" i="5"/>
  <c r="T532" i="5"/>
  <c r="S533" i="5"/>
  <c r="T533" i="5"/>
  <c r="S534" i="5"/>
  <c r="T534" i="5"/>
  <c r="S535" i="5"/>
  <c r="T535" i="5"/>
  <c r="S536" i="5"/>
  <c r="T536" i="5"/>
  <c r="S537" i="5"/>
  <c r="T537" i="5"/>
  <c r="S538" i="5"/>
  <c r="T538" i="5"/>
  <c r="S539" i="5"/>
  <c r="T539" i="5"/>
  <c r="S540" i="5"/>
  <c r="T540" i="5"/>
  <c r="S541" i="5"/>
  <c r="T541" i="5"/>
  <c r="S542" i="5"/>
  <c r="T542" i="5"/>
  <c r="S543" i="5"/>
  <c r="T543" i="5"/>
  <c r="S544" i="5"/>
  <c r="T544" i="5"/>
  <c r="S545" i="5"/>
  <c r="T545" i="5"/>
  <c r="S546" i="5"/>
  <c r="T546" i="5"/>
  <c r="S547" i="5"/>
  <c r="T547" i="5"/>
  <c r="S548" i="5"/>
  <c r="T548" i="5"/>
  <c r="S549" i="5"/>
  <c r="T549" i="5"/>
  <c r="S550" i="5"/>
  <c r="T550" i="5"/>
  <c r="S551" i="5"/>
  <c r="T551" i="5"/>
  <c r="S552" i="5"/>
  <c r="T552" i="5"/>
  <c r="S553" i="5"/>
  <c r="T553" i="5"/>
  <c r="S554" i="5"/>
  <c r="T554" i="5"/>
  <c r="S555" i="5"/>
  <c r="T555" i="5"/>
  <c r="S556" i="5"/>
  <c r="T556" i="5"/>
  <c r="S557" i="5"/>
  <c r="T557" i="5"/>
  <c r="S558" i="5"/>
  <c r="T558" i="5"/>
  <c r="S559" i="5"/>
  <c r="T559" i="5"/>
  <c r="S560" i="5"/>
  <c r="T560" i="5"/>
  <c r="S561" i="5"/>
  <c r="T561" i="5"/>
  <c r="S562" i="5"/>
  <c r="T562" i="5"/>
  <c r="S563" i="5"/>
  <c r="T563" i="5"/>
  <c r="S564" i="5"/>
  <c r="T564" i="5"/>
  <c r="S565" i="5"/>
  <c r="T565" i="5"/>
  <c r="S566" i="5"/>
  <c r="T566" i="5"/>
  <c r="S567" i="5"/>
  <c r="T567" i="5"/>
  <c r="S568" i="5"/>
  <c r="T568" i="5"/>
  <c r="S569" i="5"/>
  <c r="T569" i="5"/>
  <c r="S570" i="5"/>
  <c r="T570" i="5"/>
  <c r="S571" i="5"/>
  <c r="T571" i="5"/>
  <c r="S572" i="5"/>
  <c r="T572" i="5"/>
  <c r="S573" i="5"/>
  <c r="T573" i="5"/>
  <c r="S574" i="5"/>
  <c r="T574" i="5"/>
  <c r="S575" i="5"/>
  <c r="T575" i="5"/>
  <c r="S576" i="5"/>
  <c r="T576" i="5"/>
  <c r="S577" i="5"/>
  <c r="T577" i="5"/>
  <c r="S578" i="5"/>
  <c r="T578" i="5"/>
  <c r="S579" i="5"/>
  <c r="T579" i="5"/>
  <c r="S580" i="5"/>
  <c r="T580" i="5"/>
  <c r="S581" i="5"/>
  <c r="T581" i="5"/>
  <c r="S582" i="5"/>
  <c r="T582" i="5"/>
  <c r="S583" i="5"/>
  <c r="T583" i="5"/>
  <c r="S584" i="5"/>
  <c r="T584" i="5"/>
  <c r="S585" i="5"/>
  <c r="T585" i="5"/>
  <c r="S586" i="5"/>
  <c r="T586" i="5"/>
  <c r="S587" i="5"/>
  <c r="T587" i="5"/>
  <c r="S588" i="5"/>
  <c r="T588" i="5"/>
  <c r="S589" i="5"/>
  <c r="T589" i="5"/>
  <c r="S590" i="5"/>
  <c r="T590" i="5"/>
  <c r="S591" i="5"/>
  <c r="T591" i="5"/>
  <c r="S592" i="5"/>
  <c r="T592" i="5"/>
  <c r="S593" i="5"/>
  <c r="T593" i="5"/>
  <c r="S594" i="5"/>
  <c r="T594" i="5"/>
  <c r="S595" i="5"/>
  <c r="T595" i="5"/>
  <c r="S596" i="5"/>
  <c r="T596" i="5"/>
  <c r="S597" i="5"/>
  <c r="T597" i="5"/>
  <c r="S598" i="5"/>
  <c r="T598" i="5"/>
  <c r="S599" i="5"/>
  <c r="T599" i="5"/>
  <c r="S600" i="5"/>
  <c r="T600" i="5"/>
  <c r="S601" i="5"/>
  <c r="T601" i="5"/>
  <c r="S602" i="5"/>
  <c r="T602" i="5"/>
  <c r="S603" i="5"/>
  <c r="T603" i="5"/>
  <c r="S604" i="5"/>
  <c r="T604" i="5"/>
  <c r="S605" i="5"/>
  <c r="T605" i="5"/>
  <c r="S606" i="5"/>
  <c r="T606" i="5"/>
  <c r="S607" i="5"/>
  <c r="T607" i="5"/>
  <c r="S608" i="5"/>
  <c r="T608" i="5"/>
  <c r="S609" i="5"/>
  <c r="T609" i="5"/>
  <c r="S610" i="5"/>
  <c r="T610" i="5"/>
  <c r="S611" i="5"/>
  <c r="T611" i="5"/>
  <c r="S612" i="5"/>
  <c r="T612" i="5"/>
  <c r="S613" i="5"/>
  <c r="T613" i="5"/>
  <c r="S614" i="5"/>
  <c r="T614" i="5"/>
  <c r="S615" i="5"/>
  <c r="T615" i="5"/>
  <c r="S616" i="5"/>
  <c r="T616" i="5"/>
  <c r="S617" i="5"/>
  <c r="T617" i="5"/>
  <c r="S618" i="5"/>
  <c r="T618" i="5"/>
  <c r="S619" i="5"/>
  <c r="T619" i="5"/>
  <c r="S620" i="5"/>
  <c r="T620" i="5"/>
  <c r="S621" i="5"/>
  <c r="T621" i="5"/>
  <c r="S622" i="5"/>
  <c r="T622" i="5"/>
  <c r="S623" i="5"/>
  <c r="T623" i="5"/>
  <c r="S624" i="5"/>
  <c r="T624" i="5"/>
  <c r="S625" i="5"/>
  <c r="T625" i="5"/>
  <c r="S626" i="5"/>
  <c r="T626" i="5"/>
  <c r="S627" i="5"/>
  <c r="T627" i="5"/>
  <c r="S628" i="5"/>
  <c r="T628" i="5"/>
  <c r="S629" i="5"/>
  <c r="T629" i="5"/>
  <c r="S630" i="5"/>
  <c r="T630" i="5"/>
  <c r="S631" i="5"/>
  <c r="T631" i="5"/>
  <c r="S632" i="5"/>
  <c r="T632" i="5"/>
  <c r="S633" i="5"/>
  <c r="T633" i="5"/>
  <c r="S634" i="5"/>
  <c r="T634" i="5"/>
  <c r="S635" i="5"/>
  <c r="T635" i="5"/>
  <c r="S636" i="5"/>
  <c r="T636" i="5"/>
  <c r="S637" i="5"/>
  <c r="T637" i="5"/>
  <c r="S638" i="5"/>
  <c r="T638" i="5"/>
  <c r="S639" i="5"/>
  <c r="T639" i="5"/>
  <c r="S640" i="5"/>
  <c r="T640" i="5"/>
  <c r="S641" i="5"/>
  <c r="T641" i="5"/>
  <c r="S642" i="5"/>
  <c r="T642" i="5"/>
  <c r="S643" i="5"/>
  <c r="T643" i="5"/>
  <c r="S644" i="5"/>
  <c r="T644" i="5"/>
  <c r="S645" i="5"/>
  <c r="T645" i="5"/>
  <c r="S646" i="5"/>
  <c r="T646" i="5"/>
  <c r="S647" i="5"/>
  <c r="T647" i="5"/>
  <c r="S648" i="5"/>
  <c r="T648" i="5"/>
  <c r="S649" i="5"/>
  <c r="T649" i="5"/>
  <c r="S650" i="5"/>
  <c r="T650" i="5"/>
  <c r="S651" i="5"/>
  <c r="T651" i="5"/>
  <c r="S652" i="5"/>
  <c r="T652" i="5"/>
  <c r="S653" i="5"/>
  <c r="T653" i="5"/>
  <c r="S654" i="5"/>
  <c r="T654" i="5"/>
  <c r="S655" i="5"/>
  <c r="T655" i="5"/>
  <c r="S656" i="5"/>
  <c r="T656" i="5"/>
  <c r="S657" i="5"/>
  <c r="T657" i="5"/>
  <c r="S658" i="5"/>
  <c r="T658" i="5"/>
  <c r="S659" i="5"/>
  <c r="T659" i="5"/>
  <c r="S660" i="5"/>
  <c r="T660" i="5"/>
  <c r="S661" i="5"/>
  <c r="T661" i="5"/>
  <c r="S662" i="5"/>
  <c r="T662" i="5"/>
  <c r="S663" i="5"/>
  <c r="T663" i="5"/>
  <c r="S664" i="5"/>
  <c r="T664" i="5"/>
  <c r="S665" i="5"/>
  <c r="T665" i="5"/>
  <c r="S666" i="5"/>
  <c r="T666" i="5"/>
  <c r="S667" i="5"/>
  <c r="T667" i="5"/>
  <c r="S668" i="5"/>
  <c r="T668" i="5"/>
  <c r="S669" i="5"/>
  <c r="T669" i="5"/>
  <c r="S670" i="5"/>
  <c r="T670" i="5"/>
  <c r="S671" i="5"/>
  <c r="T671" i="5"/>
  <c r="S672" i="5"/>
  <c r="T672" i="5"/>
  <c r="S673" i="5"/>
  <c r="T673" i="5"/>
  <c r="S674" i="5"/>
  <c r="T674" i="5"/>
  <c r="S675" i="5"/>
  <c r="T675" i="5"/>
  <c r="S676" i="5"/>
  <c r="T676" i="5"/>
  <c r="S677" i="5"/>
  <c r="T677" i="5"/>
  <c r="S678" i="5"/>
  <c r="T678" i="5"/>
  <c r="S679" i="5"/>
  <c r="T679" i="5"/>
  <c r="S680" i="5"/>
  <c r="T680" i="5"/>
  <c r="S681" i="5"/>
  <c r="T681" i="5"/>
  <c r="S682" i="5"/>
  <c r="T682" i="5"/>
  <c r="S683" i="5"/>
  <c r="T683" i="5"/>
  <c r="S684" i="5"/>
  <c r="T684" i="5"/>
  <c r="S685" i="5"/>
  <c r="T685" i="5"/>
  <c r="S686" i="5"/>
  <c r="T686" i="5"/>
  <c r="S687" i="5"/>
  <c r="T687" i="5"/>
  <c r="S688" i="5"/>
  <c r="T688" i="5"/>
  <c r="S689" i="5"/>
  <c r="T689" i="5"/>
  <c r="S690" i="5"/>
  <c r="T690" i="5"/>
  <c r="S691" i="5"/>
  <c r="T691" i="5"/>
  <c r="S692" i="5"/>
  <c r="T692" i="5"/>
  <c r="S693" i="5"/>
  <c r="T693" i="5"/>
  <c r="S694" i="5"/>
  <c r="T694" i="5"/>
  <c r="S695" i="5"/>
  <c r="T695" i="5"/>
  <c r="S696" i="5"/>
  <c r="T696" i="5"/>
  <c r="S697" i="5"/>
  <c r="T697" i="5"/>
  <c r="S698" i="5"/>
  <c r="T698" i="5"/>
  <c r="S699" i="5"/>
  <c r="T699" i="5"/>
  <c r="S700" i="5"/>
  <c r="T700" i="5"/>
  <c r="S701" i="5"/>
  <c r="T701" i="5"/>
  <c r="S702" i="5"/>
  <c r="T702" i="5"/>
  <c r="S703" i="5"/>
  <c r="T703" i="5"/>
  <c r="S704" i="5"/>
  <c r="T704" i="5"/>
  <c r="S705" i="5"/>
  <c r="T705" i="5"/>
  <c r="S706" i="5"/>
  <c r="T706" i="5"/>
  <c r="S707" i="5"/>
  <c r="T707" i="5"/>
  <c r="S708" i="5"/>
  <c r="T708" i="5"/>
  <c r="S709" i="5"/>
  <c r="T709" i="5"/>
  <c r="S710" i="5"/>
  <c r="T710" i="5"/>
  <c r="S711" i="5"/>
  <c r="T711" i="5"/>
  <c r="S712" i="5"/>
  <c r="T712" i="5"/>
  <c r="S713" i="5"/>
  <c r="T713" i="5"/>
  <c r="S714" i="5"/>
  <c r="T714" i="5"/>
  <c r="S715" i="5"/>
  <c r="T715" i="5"/>
  <c r="S716" i="5"/>
  <c r="T716" i="5"/>
  <c r="S717" i="5"/>
  <c r="T717" i="5"/>
  <c r="S718" i="5"/>
  <c r="T718" i="5"/>
  <c r="S719" i="5"/>
  <c r="T719" i="5"/>
  <c r="S720" i="5"/>
  <c r="T720" i="5"/>
  <c r="S721" i="5"/>
  <c r="T721" i="5"/>
  <c r="S722" i="5"/>
  <c r="T722" i="5"/>
  <c r="S723" i="5"/>
  <c r="T723" i="5"/>
  <c r="S724" i="5"/>
  <c r="T724" i="5"/>
  <c r="S725" i="5"/>
  <c r="T725" i="5"/>
  <c r="S726" i="5"/>
  <c r="T726" i="5"/>
  <c r="S727" i="5"/>
  <c r="T727" i="5"/>
  <c r="S728" i="5"/>
  <c r="T728" i="5"/>
  <c r="S729" i="5"/>
  <c r="T729" i="5"/>
  <c r="S730" i="5"/>
  <c r="T730" i="5"/>
  <c r="S731" i="5"/>
  <c r="T731" i="5"/>
  <c r="S732" i="5"/>
  <c r="T732" i="5"/>
  <c r="S733" i="5"/>
  <c r="T733" i="5"/>
  <c r="S734" i="5"/>
  <c r="T734" i="5"/>
  <c r="S735" i="5"/>
  <c r="T735" i="5"/>
  <c r="S736" i="5"/>
  <c r="T736" i="5"/>
  <c r="S737" i="5"/>
  <c r="T737" i="5"/>
  <c r="S738" i="5"/>
  <c r="T738" i="5"/>
  <c r="S739" i="5"/>
  <c r="T739" i="5"/>
  <c r="S740" i="5"/>
  <c r="T740" i="5"/>
  <c r="S741" i="5"/>
  <c r="T741" i="5"/>
  <c r="S742" i="5"/>
  <c r="T742" i="5"/>
  <c r="S743" i="5"/>
  <c r="T743" i="5"/>
  <c r="S744" i="5"/>
  <c r="T744" i="5"/>
  <c r="S745" i="5"/>
  <c r="T745" i="5"/>
  <c r="S746" i="5"/>
  <c r="T746" i="5"/>
  <c r="S747" i="5"/>
  <c r="T747" i="5"/>
  <c r="S748" i="5"/>
  <c r="T748" i="5"/>
  <c r="S749" i="5"/>
  <c r="T749" i="5"/>
  <c r="S750" i="5"/>
  <c r="T750" i="5"/>
  <c r="S751" i="5"/>
  <c r="T751" i="5"/>
  <c r="S752" i="5"/>
  <c r="T752" i="5"/>
  <c r="S753" i="5"/>
  <c r="T753" i="5"/>
  <c r="S754" i="5"/>
  <c r="T754" i="5"/>
  <c r="S755" i="5"/>
  <c r="T755" i="5"/>
  <c r="S756" i="5"/>
  <c r="T756" i="5"/>
  <c r="S757" i="5"/>
  <c r="T757" i="5"/>
  <c r="S758" i="5"/>
  <c r="T758" i="5"/>
  <c r="S759" i="5"/>
  <c r="T759" i="5"/>
  <c r="S760" i="5"/>
  <c r="T760" i="5"/>
  <c r="S761" i="5"/>
  <c r="T761" i="5"/>
  <c r="S762" i="5"/>
  <c r="T762" i="5"/>
  <c r="S763" i="5"/>
  <c r="T763" i="5"/>
  <c r="S764" i="5"/>
  <c r="T764" i="5"/>
  <c r="S765" i="5"/>
  <c r="T765" i="5"/>
  <c r="S766" i="5"/>
  <c r="T766" i="5"/>
  <c r="S767" i="5"/>
  <c r="T767" i="5"/>
  <c r="S768" i="5"/>
  <c r="T768" i="5"/>
  <c r="S769" i="5"/>
  <c r="T769" i="5"/>
  <c r="S770" i="5"/>
  <c r="T770" i="5"/>
  <c r="S771" i="5"/>
  <c r="T771" i="5"/>
  <c r="S772" i="5"/>
  <c r="T772" i="5"/>
  <c r="S773" i="5"/>
  <c r="T773" i="5"/>
  <c r="S774" i="5"/>
  <c r="T774" i="5"/>
  <c r="S775" i="5"/>
  <c r="T775" i="5"/>
  <c r="S776" i="5"/>
  <c r="T776" i="5"/>
  <c r="S777" i="5"/>
  <c r="T777" i="5"/>
  <c r="S778" i="5"/>
  <c r="T778" i="5"/>
  <c r="S779" i="5"/>
  <c r="T779" i="5"/>
  <c r="S780" i="5"/>
  <c r="T780" i="5"/>
  <c r="S781" i="5"/>
  <c r="T781" i="5"/>
  <c r="S782" i="5"/>
  <c r="T782" i="5"/>
  <c r="S783" i="5"/>
  <c r="T783" i="5"/>
  <c r="S784" i="5"/>
  <c r="T784" i="5"/>
  <c r="S785" i="5"/>
  <c r="T785" i="5"/>
  <c r="S786" i="5"/>
  <c r="T786" i="5"/>
  <c r="S787" i="5"/>
  <c r="T787" i="5"/>
  <c r="S788" i="5"/>
  <c r="T788" i="5"/>
  <c r="S789" i="5"/>
  <c r="T789" i="5"/>
  <c r="S790" i="5"/>
  <c r="T790" i="5"/>
  <c r="S791" i="5"/>
  <c r="T791" i="5"/>
  <c r="S792" i="5"/>
  <c r="T792" i="5"/>
  <c r="S793" i="5"/>
  <c r="T793" i="5"/>
  <c r="S794" i="5"/>
  <c r="T794" i="5"/>
  <c r="S795" i="5"/>
  <c r="T795" i="5"/>
  <c r="S796" i="5"/>
  <c r="T796" i="5"/>
  <c r="S797" i="5"/>
  <c r="T797" i="5"/>
  <c r="S798" i="5"/>
  <c r="T798" i="5"/>
  <c r="S799" i="5"/>
  <c r="T799" i="5"/>
  <c r="S800" i="5"/>
  <c r="T800" i="5"/>
  <c r="S801" i="5"/>
  <c r="T801" i="5"/>
  <c r="S802" i="5"/>
  <c r="T802" i="5"/>
  <c r="S803" i="5"/>
  <c r="T803" i="5"/>
  <c r="S804" i="5"/>
  <c r="T804" i="5"/>
  <c r="S805" i="5"/>
  <c r="T805" i="5"/>
  <c r="S806" i="5"/>
  <c r="T806" i="5"/>
  <c r="S807" i="5"/>
  <c r="T807" i="5"/>
  <c r="S808" i="5"/>
  <c r="T808" i="5"/>
  <c r="S809" i="5"/>
  <c r="T809" i="5"/>
  <c r="S810" i="5"/>
  <c r="T810" i="5"/>
  <c r="S811" i="5"/>
  <c r="T811" i="5"/>
  <c r="S812" i="5"/>
  <c r="T812" i="5"/>
  <c r="S813" i="5"/>
  <c r="T813" i="5"/>
  <c r="S814" i="5"/>
  <c r="T814" i="5"/>
  <c r="S815" i="5"/>
  <c r="T815" i="5"/>
  <c r="S816" i="5"/>
  <c r="T816" i="5"/>
  <c r="S817" i="5"/>
  <c r="T817" i="5"/>
  <c r="S818" i="5"/>
  <c r="T818" i="5"/>
  <c r="S819" i="5"/>
  <c r="T819" i="5"/>
  <c r="S820" i="5"/>
  <c r="T820" i="5"/>
  <c r="S821" i="5"/>
  <c r="T821" i="5"/>
  <c r="S822" i="5"/>
  <c r="T822" i="5"/>
  <c r="S823" i="5"/>
  <c r="T823" i="5"/>
  <c r="S824" i="5"/>
  <c r="T824" i="5"/>
  <c r="S825" i="5"/>
  <c r="T825" i="5"/>
  <c r="S826" i="5"/>
  <c r="T826" i="5"/>
  <c r="S827" i="5"/>
  <c r="T827" i="5"/>
  <c r="S828" i="5"/>
  <c r="T828" i="5"/>
  <c r="S829" i="5"/>
  <c r="T829" i="5"/>
  <c r="S830" i="5"/>
  <c r="T830" i="5"/>
  <c r="S831" i="5"/>
  <c r="T831" i="5"/>
  <c r="S832" i="5"/>
  <c r="T832" i="5"/>
  <c r="S833" i="5"/>
  <c r="T833" i="5"/>
  <c r="S834" i="5"/>
  <c r="T834" i="5"/>
  <c r="S835" i="5"/>
  <c r="T835" i="5"/>
  <c r="S836" i="5"/>
  <c r="T836" i="5"/>
  <c r="S837" i="5"/>
  <c r="T837" i="5"/>
  <c r="S838" i="5"/>
  <c r="T838" i="5"/>
  <c r="S839" i="5"/>
  <c r="T839" i="5"/>
  <c r="S840" i="5"/>
  <c r="T840" i="5"/>
  <c r="S841" i="5"/>
  <c r="T841" i="5"/>
  <c r="S842" i="5"/>
  <c r="T842" i="5"/>
  <c r="S843" i="5"/>
  <c r="T843" i="5"/>
  <c r="S844" i="5"/>
  <c r="T844" i="5"/>
  <c r="S845" i="5"/>
  <c r="T845" i="5"/>
  <c r="S846" i="5"/>
  <c r="T846" i="5"/>
  <c r="S847" i="5"/>
  <c r="T847" i="5"/>
  <c r="S848" i="5"/>
  <c r="T848" i="5"/>
  <c r="S849" i="5"/>
  <c r="T849" i="5"/>
  <c r="S850" i="5"/>
  <c r="T850" i="5"/>
  <c r="S851" i="5"/>
  <c r="T851" i="5"/>
  <c r="S852" i="5"/>
  <c r="T852" i="5"/>
  <c r="S853" i="5"/>
  <c r="T853" i="5"/>
  <c r="S854" i="5"/>
  <c r="T854" i="5"/>
  <c r="S855" i="5"/>
  <c r="T855" i="5"/>
  <c r="S856" i="5"/>
  <c r="T856" i="5"/>
  <c r="S857" i="5"/>
  <c r="T857" i="5"/>
  <c r="S858" i="5"/>
  <c r="T858" i="5"/>
  <c r="S859" i="5"/>
  <c r="T859" i="5"/>
  <c r="S860" i="5"/>
  <c r="T860" i="5"/>
  <c r="S861" i="5"/>
  <c r="T861" i="5"/>
  <c r="S862" i="5"/>
  <c r="T862" i="5"/>
  <c r="S863" i="5"/>
  <c r="T863" i="5"/>
  <c r="S864" i="5"/>
  <c r="T864" i="5"/>
  <c r="S865" i="5"/>
  <c r="T865" i="5"/>
  <c r="S866" i="5"/>
  <c r="T866" i="5"/>
  <c r="S867" i="5"/>
  <c r="T867" i="5"/>
  <c r="S868" i="5"/>
  <c r="T868" i="5"/>
  <c r="S869" i="5"/>
  <c r="T869" i="5"/>
  <c r="S870" i="5"/>
  <c r="T870" i="5"/>
  <c r="S871" i="5"/>
  <c r="T871" i="5"/>
  <c r="S872" i="5"/>
  <c r="T872" i="5"/>
  <c r="S873" i="5"/>
  <c r="T873" i="5"/>
  <c r="S874" i="5"/>
  <c r="T874" i="5"/>
  <c r="S875" i="5"/>
  <c r="T875" i="5"/>
  <c r="S876" i="5"/>
  <c r="T876" i="5"/>
  <c r="S877" i="5"/>
  <c r="T877" i="5"/>
  <c r="S878" i="5"/>
  <c r="T878" i="5"/>
  <c r="S879" i="5"/>
  <c r="T879" i="5"/>
  <c r="S880" i="5"/>
  <c r="T880" i="5"/>
  <c r="S881" i="5"/>
  <c r="T881" i="5"/>
  <c r="S882" i="5"/>
  <c r="T882" i="5"/>
  <c r="S883" i="5"/>
  <c r="T883" i="5"/>
  <c r="S884" i="5"/>
  <c r="T884" i="5"/>
  <c r="S885" i="5"/>
  <c r="T885" i="5"/>
  <c r="S886" i="5"/>
  <c r="T886" i="5"/>
  <c r="S887" i="5"/>
  <c r="T887" i="5"/>
  <c r="S888" i="5"/>
  <c r="T888" i="5"/>
  <c r="S889" i="5"/>
  <c r="T889" i="5"/>
  <c r="S890" i="5"/>
  <c r="T890" i="5"/>
  <c r="S891" i="5"/>
  <c r="T891" i="5"/>
  <c r="S892" i="5"/>
  <c r="T892" i="5"/>
  <c r="S893" i="5"/>
  <c r="T893" i="5"/>
  <c r="S894" i="5"/>
  <c r="T894" i="5"/>
  <c r="S895" i="5"/>
  <c r="T895" i="5"/>
  <c r="S896" i="5"/>
  <c r="T896" i="5"/>
  <c r="S897" i="5"/>
  <c r="T897" i="5"/>
  <c r="S898" i="5"/>
  <c r="T898" i="5"/>
  <c r="S899" i="5"/>
  <c r="T899" i="5"/>
  <c r="S900" i="5"/>
  <c r="T900" i="5"/>
  <c r="S901" i="5"/>
  <c r="T901" i="5"/>
  <c r="S902" i="5"/>
  <c r="T902" i="5"/>
  <c r="S903" i="5"/>
  <c r="T903" i="5"/>
  <c r="S904" i="5"/>
  <c r="T904" i="5"/>
  <c r="S905" i="5"/>
  <c r="T905" i="5"/>
  <c r="S906" i="5"/>
  <c r="T906" i="5"/>
  <c r="S907" i="5"/>
  <c r="T907" i="5"/>
  <c r="S908" i="5"/>
  <c r="T908" i="5"/>
  <c r="S909" i="5"/>
  <c r="T909" i="5"/>
  <c r="S910" i="5"/>
  <c r="T910" i="5"/>
  <c r="S911" i="5"/>
  <c r="T911" i="5"/>
  <c r="S912" i="5"/>
  <c r="T912" i="5"/>
  <c r="S913" i="5"/>
  <c r="T913" i="5"/>
  <c r="S914" i="5"/>
  <c r="T914" i="5"/>
  <c r="S915" i="5"/>
  <c r="T915" i="5"/>
  <c r="S916" i="5"/>
  <c r="T916" i="5"/>
  <c r="S917" i="5"/>
  <c r="T917" i="5"/>
  <c r="S918" i="5"/>
  <c r="T918" i="5"/>
  <c r="S919" i="5"/>
  <c r="T919" i="5"/>
  <c r="S920" i="5"/>
  <c r="T920" i="5"/>
  <c r="S921" i="5"/>
  <c r="T921" i="5"/>
  <c r="S922" i="5"/>
  <c r="T922" i="5"/>
  <c r="S923" i="5"/>
  <c r="T923" i="5"/>
  <c r="S924" i="5"/>
  <c r="T924" i="5"/>
  <c r="S925" i="5"/>
  <c r="T925" i="5"/>
  <c r="S926" i="5"/>
  <c r="T926" i="5"/>
  <c r="S927" i="5"/>
  <c r="T927" i="5"/>
  <c r="S928" i="5"/>
  <c r="T928" i="5"/>
  <c r="S929" i="5"/>
  <c r="T929" i="5"/>
  <c r="S930" i="5"/>
  <c r="T930" i="5"/>
  <c r="S931" i="5"/>
  <c r="T931" i="5"/>
  <c r="S932" i="5"/>
  <c r="T932" i="5"/>
  <c r="S933" i="5"/>
  <c r="T933" i="5"/>
  <c r="S934" i="5"/>
  <c r="T934" i="5"/>
  <c r="S935" i="5"/>
  <c r="T935" i="5"/>
  <c r="S936" i="5"/>
  <c r="T936" i="5"/>
  <c r="S937" i="5"/>
  <c r="T937" i="5"/>
  <c r="S938" i="5"/>
  <c r="T938" i="5"/>
  <c r="S939" i="5"/>
  <c r="T939" i="5"/>
  <c r="S940" i="5"/>
  <c r="T940" i="5"/>
  <c r="S941" i="5"/>
  <c r="T941" i="5"/>
  <c r="S942" i="5"/>
  <c r="T942" i="5"/>
  <c r="S943" i="5"/>
  <c r="T943" i="5"/>
  <c r="S944" i="5"/>
  <c r="T944" i="5"/>
  <c r="S945" i="5"/>
  <c r="T945" i="5"/>
  <c r="S946" i="5"/>
  <c r="T946" i="5"/>
  <c r="S947" i="5"/>
  <c r="T947" i="5"/>
  <c r="S948" i="5"/>
  <c r="T948" i="5"/>
  <c r="S949" i="5"/>
  <c r="T949" i="5"/>
  <c r="S950" i="5"/>
  <c r="T950" i="5"/>
  <c r="S951" i="5"/>
  <c r="T951" i="5"/>
  <c r="S952" i="5"/>
  <c r="T952" i="5"/>
  <c r="S953" i="5"/>
  <c r="T953" i="5"/>
  <c r="S954" i="5"/>
  <c r="T954" i="5"/>
  <c r="S955" i="5"/>
  <c r="T955" i="5"/>
  <c r="S956" i="5"/>
  <c r="T956" i="5"/>
  <c r="S957" i="5"/>
  <c r="T957" i="5"/>
  <c r="S958" i="5"/>
  <c r="T958" i="5"/>
  <c r="S959" i="5"/>
  <c r="T959" i="5"/>
  <c r="S960" i="5"/>
  <c r="T960" i="5"/>
  <c r="S961" i="5"/>
  <c r="T961" i="5"/>
  <c r="S962" i="5"/>
  <c r="T962" i="5"/>
  <c r="S963" i="5"/>
  <c r="T963" i="5"/>
  <c r="S964" i="5"/>
  <c r="T964" i="5"/>
  <c r="S965" i="5"/>
  <c r="T965" i="5"/>
  <c r="S966" i="5"/>
  <c r="T966" i="5"/>
  <c r="S967" i="5"/>
  <c r="T967" i="5"/>
  <c r="S968" i="5"/>
  <c r="T968" i="5"/>
  <c r="S969" i="5"/>
  <c r="T969" i="5"/>
  <c r="S970" i="5"/>
  <c r="T970" i="5"/>
  <c r="S971" i="5"/>
  <c r="T971" i="5"/>
  <c r="S972" i="5"/>
  <c r="T972" i="5"/>
  <c r="S973" i="5"/>
  <c r="T973" i="5"/>
  <c r="S974" i="5"/>
  <c r="T974" i="5"/>
  <c r="S975" i="5"/>
  <c r="T975" i="5"/>
  <c r="S976" i="5"/>
  <c r="T976" i="5"/>
  <c r="S977" i="5"/>
  <c r="T977" i="5"/>
  <c r="S978" i="5"/>
  <c r="T978" i="5"/>
  <c r="S979" i="5"/>
  <c r="T979" i="5"/>
  <c r="S980" i="5"/>
  <c r="T980" i="5"/>
  <c r="S981" i="5"/>
  <c r="T981" i="5"/>
  <c r="S982" i="5"/>
  <c r="T982" i="5"/>
  <c r="S983" i="5"/>
  <c r="T983" i="5"/>
  <c r="S984" i="5"/>
  <c r="T984" i="5"/>
  <c r="S985" i="5"/>
  <c r="T985" i="5"/>
  <c r="S986" i="5"/>
  <c r="T986" i="5"/>
  <c r="S987" i="5"/>
  <c r="T987" i="5"/>
  <c r="S988" i="5"/>
  <c r="T988" i="5"/>
  <c r="S989" i="5"/>
  <c r="T989" i="5"/>
  <c r="S990" i="5"/>
  <c r="T990" i="5"/>
  <c r="S991" i="5"/>
  <c r="T991" i="5"/>
  <c r="S992" i="5"/>
  <c r="T992" i="5"/>
  <c r="S993" i="5"/>
  <c r="T993" i="5"/>
  <c r="S994" i="5"/>
  <c r="T994" i="5"/>
  <c r="S995" i="5"/>
  <c r="T995" i="5"/>
  <c r="S996" i="5"/>
  <c r="T996" i="5"/>
  <c r="S997" i="5"/>
  <c r="T997" i="5"/>
  <c r="S998" i="5"/>
  <c r="T998" i="5"/>
  <c r="S999" i="5"/>
  <c r="T999" i="5"/>
  <c r="S1000" i="5"/>
  <c r="T1000" i="5"/>
  <c r="S1001" i="5"/>
  <c r="T1001" i="5"/>
  <c r="S1002" i="5"/>
  <c r="T1002" i="5"/>
  <c r="S1003" i="5"/>
  <c r="T1003" i="5"/>
  <c r="S1004" i="5"/>
  <c r="T1004" i="5"/>
  <c r="S1005" i="5"/>
  <c r="T1005" i="5"/>
  <c r="S1006" i="5"/>
  <c r="T1006" i="5"/>
  <c r="S1007" i="5"/>
  <c r="T1007" i="5"/>
  <c r="S1008" i="5"/>
  <c r="T1008" i="5"/>
  <c r="S1009" i="5"/>
  <c r="T1009" i="5"/>
  <c r="S1010" i="5"/>
  <c r="T1010" i="5"/>
  <c r="S1011" i="5"/>
  <c r="T1011" i="5"/>
  <c r="S1012" i="5"/>
  <c r="T1012" i="5"/>
  <c r="S1013" i="5"/>
  <c r="T1013" i="5"/>
  <c r="S1014" i="5"/>
  <c r="T1014" i="5"/>
  <c r="S1015" i="5"/>
  <c r="T1015" i="5"/>
  <c r="S1016" i="5"/>
  <c r="T1016" i="5"/>
  <c r="S1017" i="5"/>
  <c r="T1017" i="5"/>
  <c r="S1018" i="5"/>
  <c r="T1018" i="5"/>
  <c r="S1019" i="5"/>
  <c r="T1019" i="5"/>
  <c r="S1020" i="5"/>
  <c r="T1020" i="5"/>
  <c r="S1021" i="5"/>
  <c r="T1021" i="5"/>
  <c r="S1022" i="5"/>
  <c r="T1022" i="5"/>
  <c r="S1023" i="5"/>
  <c r="T1023" i="5"/>
  <c r="S1024" i="5"/>
  <c r="T1024" i="5"/>
  <c r="S1025" i="5"/>
  <c r="T1025" i="5"/>
  <c r="S1026" i="5"/>
  <c r="T1026" i="5"/>
  <c r="S1027" i="5"/>
  <c r="T1027" i="5"/>
  <c r="S1028" i="5"/>
  <c r="T1028" i="5"/>
  <c r="S1029" i="5"/>
  <c r="T1029" i="5"/>
  <c r="S1030" i="5"/>
  <c r="T1030" i="5"/>
  <c r="S1031" i="5"/>
  <c r="T1031" i="5"/>
  <c r="S1032" i="5"/>
  <c r="T1032" i="5"/>
  <c r="S1033" i="5"/>
  <c r="T1033" i="5"/>
  <c r="S1034" i="5"/>
  <c r="T1034" i="5"/>
  <c r="S1035" i="5"/>
  <c r="T1035" i="5"/>
  <c r="S1036" i="5"/>
  <c r="T1036" i="5"/>
  <c r="S1037" i="5"/>
  <c r="T1037" i="5"/>
  <c r="S1038" i="5"/>
  <c r="T1038" i="5"/>
  <c r="S1039" i="5"/>
  <c r="T1039" i="5"/>
  <c r="S1040" i="5"/>
  <c r="T1040" i="5"/>
  <c r="S1041" i="5"/>
  <c r="T1041" i="5"/>
  <c r="S1042" i="5"/>
  <c r="T1042" i="5"/>
  <c r="S1043" i="5"/>
  <c r="T1043" i="5"/>
  <c r="S1044" i="5"/>
  <c r="T1044" i="5"/>
  <c r="S1045" i="5"/>
  <c r="T1045" i="5"/>
  <c r="S1046" i="5"/>
  <c r="T1046" i="5"/>
  <c r="S1047" i="5"/>
  <c r="T1047" i="5"/>
  <c r="S1048" i="5"/>
  <c r="T1048" i="5"/>
  <c r="S1049" i="5"/>
  <c r="T1049" i="5"/>
  <c r="S1050" i="5"/>
  <c r="T1050" i="5"/>
  <c r="S1051" i="5"/>
  <c r="T1051" i="5"/>
  <c r="S1052" i="5"/>
  <c r="T1052" i="5"/>
  <c r="S1053" i="5"/>
  <c r="T1053" i="5"/>
  <c r="S1054" i="5"/>
  <c r="T1054" i="5"/>
  <c r="S1055" i="5"/>
  <c r="T1055" i="5"/>
  <c r="S1056" i="5"/>
  <c r="T1056" i="5"/>
  <c r="S1057" i="5"/>
  <c r="T1057" i="5"/>
  <c r="S1058" i="5"/>
  <c r="T1058" i="5"/>
  <c r="S1059" i="5"/>
  <c r="T1059" i="5"/>
  <c r="S1060" i="5"/>
  <c r="T1060" i="5"/>
  <c r="S1061" i="5"/>
  <c r="T1061" i="5"/>
  <c r="S1062" i="5"/>
  <c r="T1062" i="5"/>
  <c r="S1063" i="5"/>
  <c r="T1063" i="5"/>
  <c r="S1064" i="5"/>
  <c r="T1064" i="5"/>
  <c r="S1065" i="5"/>
  <c r="T1065" i="5"/>
  <c r="S1066" i="5"/>
  <c r="T1066" i="5"/>
  <c r="S1067" i="5"/>
  <c r="T1067" i="5"/>
  <c r="S1068" i="5"/>
  <c r="T1068" i="5"/>
  <c r="S1069" i="5"/>
  <c r="T1069" i="5"/>
  <c r="S1070" i="5"/>
  <c r="T1070" i="5"/>
  <c r="S1071" i="5"/>
  <c r="T1071" i="5"/>
  <c r="S1072" i="5"/>
  <c r="T1072" i="5"/>
  <c r="S1073" i="5"/>
  <c r="T1073" i="5"/>
  <c r="S1074" i="5"/>
  <c r="T1074" i="5"/>
  <c r="S1075" i="5"/>
  <c r="T1075" i="5"/>
  <c r="S1076" i="5"/>
  <c r="T1076" i="5"/>
  <c r="S1077" i="5"/>
  <c r="T1077" i="5"/>
  <c r="S1078" i="5"/>
  <c r="T1078" i="5"/>
  <c r="S1079" i="5"/>
  <c r="T1079" i="5"/>
  <c r="S1080" i="5"/>
  <c r="T1080" i="5"/>
  <c r="S1081" i="5"/>
  <c r="T1081" i="5"/>
  <c r="S1082" i="5"/>
  <c r="T1082" i="5"/>
  <c r="S1083" i="5"/>
  <c r="T1083" i="5"/>
  <c r="S1084" i="5"/>
  <c r="T1084" i="5"/>
  <c r="S1085" i="5"/>
  <c r="T1085" i="5"/>
  <c r="S1086" i="5"/>
  <c r="T1086" i="5"/>
  <c r="S1087" i="5"/>
  <c r="T1087" i="5"/>
  <c r="S1088" i="5"/>
  <c r="T1088" i="5"/>
  <c r="S1089" i="5"/>
  <c r="T1089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179" i="5"/>
  <c r="H180" i="5"/>
  <c r="H181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T3" i="5"/>
  <c r="T4" i="5"/>
  <c r="S2" i="5"/>
  <c r="T178" i="5"/>
  <c r="S178" i="5"/>
  <c r="T177" i="5"/>
  <c r="S177" i="5"/>
  <c r="T176" i="5"/>
  <c r="S176" i="5"/>
  <c r="T175" i="5"/>
  <c r="S175" i="5"/>
  <c r="T174" i="5"/>
  <c r="S174" i="5"/>
  <c r="T173" i="5"/>
  <c r="S173" i="5"/>
  <c r="T172" i="5"/>
  <c r="S172" i="5"/>
  <c r="T171" i="5"/>
  <c r="S171" i="5"/>
  <c r="T170" i="5"/>
  <c r="S170" i="5"/>
  <c r="T169" i="5"/>
  <c r="S169" i="5"/>
  <c r="T168" i="5"/>
  <c r="S168" i="5"/>
  <c r="T167" i="5"/>
  <c r="S167" i="5"/>
  <c r="T166" i="5"/>
  <c r="S166" i="5"/>
  <c r="T165" i="5"/>
  <c r="S165" i="5"/>
  <c r="T164" i="5"/>
  <c r="S164" i="5"/>
  <c r="T163" i="5"/>
  <c r="S163" i="5"/>
  <c r="T162" i="5"/>
  <c r="S162" i="5"/>
  <c r="T161" i="5"/>
  <c r="S161" i="5"/>
  <c r="T160" i="5"/>
  <c r="S160" i="5"/>
  <c r="T159" i="5"/>
  <c r="S159" i="5"/>
  <c r="T158" i="5"/>
  <c r="S158" i="5"/>
  <c r="T157" i="5"/>
  <c r="S157" i="5"/>
  <c r="T156" i="5"/>
  <c r="S156" i="5"/>
  <c r="T155" i="5"/>
  <c r="S155" i="5"/>
  <c r="T154" i="5"/>
  <c r="S154" i="5"/>
  <c r="T153" i="5"/>
  <c r="S153" i="5"/>
  <c r="T152" i="5"/>
  <c r="S152" i="5"/>
  <c r="T151" i="5"/>
  <c r="S151" i="5"/>
  <c r="T150" i="5"/>
  <c r="S150" i="5"/>
  <c r="T149" i="5"/>
  <c r="S149" i="5"/>
  <c r="T148" i="5"/>
  <c r="S148" i="5"/>
  <c r="T147" i="5"/>
  <c r="S147" i="5"/>
  <c r="T146" i="5"/>
  <c r="S146" i="5"/>
  <c r="T145" i="5"/>
  <c r="S145" i="5"/>
  <c r="T144" i="5"/>
  <c r="S144" i="5"/>
  <c r="T143" i="5"/>
  <c r="S143" i="5"/>
  <c r="T142" i="5"/>
  <c r="S142" i="5"/>
  <c r="T141" i="5"/>
  <c r="S141" i="5"/>
  <c r="T140" i="5"/>
  <c r="S140" i="5"/>
  <c r="T139" i="5"/>
  <c r="S139" i="5"/>
  <c r="T138" i="5"/>
  <c r="S138" i="5"/>
  <c r="T137" i="5"/>
  <c r="S137" i="5"/>
  <c r="T136" i="5"/>
  <c r="S136" i="5"/>
  <c r="T135" i="5"/>
  <c r="S135" i="5"/>
  <c r="T134" i="5"/>
  <c r="S134" i="5"/>
  <c r="T133" i="5"/>
  <c r="S133" i="5"/>
  <c r="T132" i="5"/>
  <c r="S132" i="5"/>
  <c r="T131" i="5"/>
  <c r="S131" i="5"/>
  <c r="T130" i="5"/>
  <c r="S130" i="5"/>
  <c r="T129" i="5"/>
  <c r="S129" i="5"/>
  <c r="T128" i="5"/>
  <c r="S128" i="5"/>
  <c r="T127" i="5"/>
  <c r="S127" i="5"/>
  <c r="T126" i="5"/>
  <c r="S126" i="5"/>
  <c r="T125" i="5"/>
  <c r="S125" i="5"/>
  <c r="T124" i="5"/>
  <c r="S124" i="5"/>
  <c r="T123" i="5"/>
  <c r="S123" i="5"/>
  <c r="T122" i="5"/>
  <c r="S122" i="5"/>
  <c r="T121" i="5"/>
  <c r="S121" i="5"/>
  <c r="T120" i="5"/>
  <c r="S120" i="5"/>
  <c r="T119" i="5"/>
  <c r="S119" i="5"/>
  <c r="T118" i="5"/>
  <c r="S118" i="5"/>
  <c r="T117" i="5"/>
  <c r="S117" i="5"/>
  <c r="T116" i="5"/>
  <c r="S116" i="5"/>
  <c r="T115" i="5"/>
  <c r="S115" i="5"/>
  <c r="T114" i="5"/>
  <c r="S114" i="5"/>
  <c r="T113" i="5"/>
  <c r="S113" i="5"/>
  <c r="T112" i="5"/>
  <c r="S112" i="5"/>
  <c r="T111" i="5"/>
  <c r="S111" i="5"/>
  <c r="T110" i="5"/>
  <c r="S110" i="5"/>
  <c r="T109" i="5"/>
  <c r="S109" i="5"/>
  <c r="T108" i="5"/>
  <c r="S108" i="5"/>
  <c r="T107" i="5"/>
  <c r="S107" i="5"/>
  <c r="T106" i="5"/>
  <c r="S106" i="5"/>
  <c r="T105" i="5"/>
  <c r="S105" i="5"/>
  <c r="T104" i="5"/>
  <c r="S104" i="5"/>
  <c r="T103" i="5"/>
  <c r="S103" i="5"/>
  <c r="T102" i="5"/>
  <c r="S102" i="5"/>
  <c r="T101" i="5"/>
  <c r="S101" i="5"/>
  <c r="T100" i="5"/>
  <c r="S100" i="5"/>
  <c r="T99" i="5"/>
  <c r="S99" i="5"/>
  <c r="T98" i="5"/>
  <c r="S98" i="5"/>
  <c r="T97" i="5"/>
  <c r="S97" i="5"/>
  <c r="T96" i="5"/>
  <c r="S96" i="5"/>
  <c r="T95" i="5"/>
  <c r="S95" i="5"/>
  <c r="T94" i="5"/>
  <c r="S94" i="5"/>
  <c r="T93" i="5"/>
  <c r="S93" i="5"/>
  <c r="T92" i="5"/>
  <c r="S92" i="5"/>
  <c r="T91" i="5"/>
  <c r="S91" i="5"/>
  <c r="T90" i="5"/>
  <c r="S90" i="5"/>
  <c r="T89" i="5"/>
  <c r="S89" i="5"/>
  <c r="T88" i="5"/>
  <c r="S88" i="5"/>
  <c r="T87" i="5"/>
  <c r="S87" i="5"/>
  <c r="T86" i="5"/>
  <c r="S86" i="5"/>
  <c r="T85" i="5"/>
  <c r="S85" i="5"/>
  <c r="T84" i="5"/>
  <c r="S84" i="5"/>
  <c r="T83" i="5"/>
  <c r="S83" i="5"/>
  <c r="T82" i="5"/>
  <c r="S82" i="5"/>
  <c r="T81" i="5"/>
  <c r="S81" i="5"/>
  <c r="T80" i="5"/>
  <c r="S80" i="5"/>
  <c r="T79" i="5"/>
  <c r="S79" i="5"/>
  <c r="T78" i="5"/>
  <c r="S78" i="5"/>
  <c r="T77" i="5"/>
  <c r="S77" i="5"/>
  <c r="T76" i="5"/>
  <c r="S76" i="5"/>
  <c r="T75" i="5"/>
  <c r="S75" i="5"/>
  <c r="T74" i="5"/>
  <c r="S74" i="5"/>
  <c r="T73" i="5"/>
  <c r="S73" i="5"/>
  <c r="T72" i="5"/>
  <c r="S72" i="5"/>
  <c r="T71" i="5"/>
  <c r="S71" i="5"/>
  <c r="T70" i="5"/>
  <c r="S70" i="5"/>
  <c r="T69" i="5"/>
  <c r="S69" i="5"/>
  <c r="T68" i="5"/>
  <c r="S68" i="5"/>
  <c r="T67" i="5"/>
  <c r="S67" i="5"/>
  <c r="T66" i="5"/>
  <c r="S66" i="5"/>
  <c r="T65" i="5"/>
  <c r="S65" i="5"/>
  <c r="T64" i="5"/>
  <c r="S64" i="5"/>
  <c r="T63" i="5"/>
  <c r="S63" i="5"/>
  <c r="T62" i="5"/>
  <c r="S62" i="5"/>
  <c r="T61" i="5"/>
  <c r="S61" i="5"/>
  <c r="T60" i="5"/>
  <c r="S60" i="5"/>
  <c r="T59" i="5"/>
  <c r="S59" i="5"/>
  <c r="T58" i="5"/>
  <c r="S58" i="5"/>
  <c r="T57" i="5"/>
  <c r="S57" i="5"/>
  <c r="T56" i="5"/>
  <c r="S56" i="5"/>
  <c r="T55" i="5"/>
  <c r="S55" i="5"/>
  <c r="T54" i="5"/>
  <c r="S54" i="5"/>
  <c r="T53" i="5"/>
  <c r="S53" i="5"/>
  <c r="T52" i="5"/>
  <c r="S52" i="5"/>
  <c r="T51" i="5"/>
  <c r="S51" i="5"/>
  <c r="T50" i="5"/>
  <c r="S50" i="5"/>
  <c r="T49" i="5"/>
  <c r="S49" i="5"/>
  <c r="T48" i="5"/>
  <c r="S48" i="5"/>
  <c r="T47" i="5"/>
  <c r="S47" i="5"/>
  <c r="T46" i="5"/>
  <c r="S46" i="5"/>
  <c r="T45" i="5"/>
  <c r="S45" i="5"/>
  <c r="T44" i="5"/>
  <c r="S44" i="5"/>
  <c r="T43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L932" i="5" l="1"/>
  <c r="K859" i="5"/>
  <c r="L906" i="5"/>
  <c r="L1055" i="5"/>
  <c r="K1038" i="5"/>
  <c r="L935" i="5"/>
  <c r="L992" i="5"/>
  <c r="K958" i="5"/>
  <c r="L910" i="5"/>
  <c r="L686" i="5"/>
  <c r="L596" i="5"/>
  <c r="K739" i="5"/>
  <c r="L690" i="5"/>
  <c r="K486" i="5"/>
  <c r="L495" i="5"/>
  <c r="L491" i="5"/>
  <c r="L524" i="5"/>
  <c r="K514" i="5"/>
  <c r="L496" i="5"/>
  <c r="L892" i="5"/>
  <c r="L1000" i="5"/>
  <c r="L947" i="5"/>
  <c r="L937" i="5"/>
  <c r="K871" i="5"/>
  <c r="L887" i="5"/>
  <c r="K994" i="5"/>
  <c r="K1079" i="5"/>
  <c r="K1069" i="5"/>
  <c r="K978" i="5"/>
  <c r="K1024" i="5"/>
  <c r="L856" i="5"/>
  <c r="K599" i="5"/>
  <c r="L725" i="5"/>
  <c r="L565" i="5"/>
  <c r="L685" i="5"/>
  <c r="K581" i="5"/>
  <c r="L651" i="5"/>
  <c r="K584" i="5"/>
  <c r="K574" i="5"/>
  <c r="L660" i="5"/>
  <c r="L620" i="5"/>
  <c r="L580" i="5"/>
  <c r="L560" i="5"/>
  <c r="L626" i="5"/>
  <c r="L506" i="5"/>
  <c r="K501" i="5"/>
  <c r="L504" i="5"/>
  <c r="L530" i="5"/>
  <c r="K1008" i="5"/>
  <c r="K998" i="5"/>
  <c r="L912" i="5"/>
  <c r="L726" i="5"/>
  <c r="K594" i="5"/>
  <c r="L571" i="5"/>
  <c r="L486" i="5"/>
  <c r="L594" i="5"/>
  <c r="L574" i="5"/>
  <c r="K889" i="5"/>
  <c r="K879" i="5"/>
  <c r="K776" i="5"/>
  <c r="L716" i="5"/>
  <c r="K544" i="5"/>
  <c r="L1087" i="5"/>
  <c r="L888" i="5"/>
  <c r="L676" i="5"/>
  <c r="L590" i="5"/>
  <c r="L997" i="5"/>
  <c r="K905" i="5"/>
  <c r="L735" i="5"/>
  <c r="K596" i="5"/>
  <c r="L550" i="5"/>
  <c r="L1050" i="5"/>
  <c r="L957" i="5"/>
  <c r="L586" i="5"/>
  <c r="L1086" i="5"/>
  <c r="L589" i="5"/>
  <c r="K973" i="5"/>
  <c r="K940" i="5"/>
  <c r="L927" i="5"/>
  <c r="L901" i="5"/>
  <c r="L625" i="5"/>
  <c r="L841" i="5"/>
  <c r="L831" i="5"/>
  <c r="L599" i="5"/>
  <c r="K589" i="5"/>
  <c r="L510" i="5"/>
  <c r="L930" i="5"/>
  <c r="K844" i="5"/>
  <c r="L635" i="5"/>
  <c r="L576" i="5"/>
  <c r="L566" i="5"/>
  <c r="K651" i="5"/>
  <c r="K523" i="5"/>
  <c r="K1029" i="5"/>
  <c r="L867" i="5"/>
  <c r="L784" i="5"/>
  <c r="K774" i="5"/>
  <c r="K684" i="5"/>
  <c r="L605" i="5"/>
  <c r="L585" i="5"/>
  <c r="L975" i="5"/>
  <c r="K929" i="5"/>
  <c r="K694" i="5"/>
  <c r="K539" i="5"/>
  <c r="K526" i="5"/>
  <c r="L684" i="5"/>
  <c r="L621" i="5"/>
  <c r="K506" i="5"/>
  <c r="L1005" i="5"/>
  <c r="L995" i="5"/>
  <c r="L740" i="5"/>
  <c r="K634" i="5"/>
  <c r="L584" i="5"/>
  <c r="L581" i="5"/>
  <c r="L575" i="5"/>
  <c r="K1088" i="5"/>
  <c r="K906" i="5"/>
  <c r="K876" i="5"/>
  <c r="L853" i="5"/>
  <c r="L766" i="5"/>
  <c r="L706" i="5"/>
  <c r="L624" i="5"/>
  <c r="L591" i="5"/>
  <c r="L490" i="5"/>
  <c r="L1017" i="5"/>
  <c r="K1080" i="5"/>
  <c r="L1047" i="5"/>
  <c r="L1030" i="5"/>
  <c r="L1067" i="5"/>
  <c r="K1070" i="5"/>
  <c r="L1060" i="5"/>
  <c r="L1020" i="5"/>
  <c r="K1073" i="5"/>
  <c r="K1053" i="5"/>
  <c r="L1033" i="5"/>
  <c r="K1049" i="5"/>
  <c r="K1039" i="5"/>
  <c r="L1029" i="5"/>
  <c r="K1003" i="5"/>
  <c r="K1044" i="5"/>
  <c r="K1019" i="5"/>
  <c r="K1085" i="5"/>
  <c r="L1075" i="5"/>
  <c r="K1058" i="5"/>
  <c r="L1045" i="5"/>
  <c r="K1022" i="5"/>
  <c r="L1035" i="5"/>
  <c r="K1048" i="5"/>
  <c r="K1074" i="5"/>
  <c r="K988" i="5"/>
  <c r="K913" i="5"/>
  <c r="L865" i="5"/>
  <c r="L848" i="5"/>
  <c r="K809" i="5"/>
  <c r="K968" i="5"/>
  <c r="L952" i="5"/>
  <c r="L881" i="5"/>
  <c r="K955" i="5"/>
  <c r="K803" i="5"/>
  <c r="L806" i="5"/>
  <c r="K948" i="5"/>
  <c r="L871" i="5"/>
  <c r="L984" i="5"/>
  <c r="K909" i="5"/>
  <c r="L844" i="5"/>
  <c r="K900" i="5"/>
  <c r="L987" i="5"/>
  <c r="L977" i="5"/>
  <c r="L925" i="5"/>
  <c r="L828" i="5"/>
  <c r="K818" i="5"/>
  <c r="K980" i="5"/>
  <c r="K970" i="5"/>
  <c r="K880" i="5"/>
  <c r="K841" i="5"/>
  <c r="K875" i="5"/>
  <c r="L970" i="5"/>
  <c r="K915" i="5"/>
  <c r="K896" i="5"/>
  <c r="L850" i="5"/>
  <c r="L965" i="5"/>
  <c r="K963" i="5"/>
  <c r="K834" i="5"/>
  <c r="K933" i="5"/>
  <c r="L950" i="5"/>
  <c r="K908" i="5"/>
  <c r="L902" i="5"/>
  <c r="L879" i="5"/>
  <c r="L820" i="5"/>
  <c r="L810" i="5"/>
  <c r="L845" i="5"/>
  <c r="K989" i="5"/>
  <c r="L895" i="5"/>
  <c r="L972" i="5"/>
  <c r="L872" i="5"/>
  <c r="K816" i="5"/>
  <c r="K744" i="5"/>
  <c r="L610" i="5"/>
  <c r="L770" i="5"/>
  <c r="L721" i="5"/>
  <c r="K626" i="5"/>
  <c r="L715" i="5"/>
  <c r="K734" i="5"/>
  <c r="L711" i="5"/>
  <c r="K649" i="5"/>
  <c r="K639" i="5"/>
  <c r="K790" i="5"/>
  <c r="K764" i="5"/>
  <c r="L750" i="5"/>
  <c r="K724" i="5"/>
  <c r="L675" i="5"/>
  <c r="L655" i="5"/>
  <c r="K616" i="5"/>
  <c r="K606" i="5"/>
  <c r="K760" i="5"/>
  <c r="L720" i="5"/>
  <c r="K665" i="5"/>
  <c r="L616" i="5"/>
  <c r="L776" i="5"/>
  <c r="K641" i="5"/>
  <c r="L661" i="5"/>
  <c r="L756" i="5"/>
  <c r="K759" i="5"/>
  <c r="K674" i="5"/>
  <c r="K644" i="5"/>
  <c r="L634" i="5"/>
  <c r="L795" i="5"/>
  <c r="K749" i="5"/>
  <c r="L670" i="5"/>
  <c r="L775" i="5"/>
  <c r="L680" i="5"/>
  <c r="L640" i="5"/>
  <c r="K608" i="5"/>
  <c r="L656" i="5"/>
  <c r="L781" i="5"/>
  <c r="L774" i="5"/>
  <c r="L771" i="5"/>
  <c r="L765" i="5"/>
  <c r="L699" i="5"/>
  <c r="L666" i="5"/>
  <c r="K656" i="5"/>
  <c r="L611" i="5"/>
  <c r="L521" i="5"/>
  <c r="L505" i="5"/>
  <c r="K559" i="5"/>
  <c r="L546" i="5"/>
  <c r="K536" i="5"/>
  <c r="K511" i="5"/>
  <c r="L511" i="5"/>
  <c r="L556" i="5"/>
  <c r="K543" i="5"/>
  <c r="L536" i="5"/>
  <c r="L595" i="5"/>
  <c r="K586" i="5"/>
  <c r="K571" i="5"/>
  <c r="L601" i="5"/>
  <c r="L561" i="5"/>
  <c r="K558" i="5"/>
  <c r="L551" i="5"/>
  <c r="K541" i="5"/>
  <c r="K516" i="5"/>
  <c r="K591" i="5"/>
  <c r="K576" i="5"/>
  <c r="K538" i="5"/>
  <c r="L501" i="5"/>
  <c r="K528" i="5"/>
  <c r="K570" i="5"/>
  <c r="K529" i="5"/>
  <c r="K585" i="5"/>
  <c r="L531" i="5"/>
  <c r="L545" i="5"/>
  <c r="K566" i="5"/>
  <c r="K521" i="5"/>
  <c r="K549" i="5"/>
  <c r="L539" i="5"/>
  <c r="L520" i="5"/>
  <c r="K556" i="5"/>
  <c r="K534" i="5"/>
  <c r="K496" i="5"/>
  <c r="K493" i="5"/>
  <c r="L1085" i="5"/>
  <c r="L1022" i="5"/>
  <c r="K1013" i="5"/>
  <c r="K1060" i="5"/>
  <c r="L1057" i="5"/>
  <c r="K1035" i="5"/>
  <c r="K1063" i="5"/>
  <c r="K1082" i="5"/>
  <c r="L1072" i="5"/>
  <c r="K1025" i="5"/>
  <c r="L1019" i="5"/>
  <c r="K1009" i="5"/>
  <c r="K1050" i="5"/>
  <c r="K1034" i="5"/>
  <c r="K1015" i="5"/>
  <c r="K1084" i="5"/>
  <c r="K1081" i="5"/>
  <c r="K1040" i="5"/>
  <c r="L1037" i="5"/>
  <c r="K1018" i="5"/>
  <c r="K1065" i="5"/>
  <c r="L1024" i="5"/>
  <c r="K1005" i="5"/>
  <c r="K1002" i="5"/>
  <c r="K1043" i="5"/>
  <c r="L1074" i="5"/>
  <c r="L1068" i="5"/>
  <c r="K1033" i="5"/>
  <c r="K1030" i="5"/>
  <c r="K1027" i="5"/>
  <c r="K1014" i="5"/>
  <c r="K1075" i="5"/>
  <c r="K1078" i="5"/>
  <c r="L1077" i="5"/>
  <c r="K1055" i="5"/>
  <c r="K1052" i="5"/>
  <c r="K1047" i="5"/>
  <c r="L1028" i="5"/>
  <c r="K1089" i="5"/>
  <c r="L1070" i="5"/>
  <c r="K1064" i="5"/>
  <c r="K1023" i="5"/>
  <c r="K1004" i="5"/>
  <c r="K1059" i="5"/>
  <c r="L1042" i="5"/>
  <c r="K1020" i="5"/>
  <c r="K1028" i="5"/>
  <c r="K1012" i="5"/>
  <c r="K1086" i="5"/>
  <c r="L1083" i="5"/>
  <c r="K1017" i="5"/>
  <c r="K1054" i="5"/>
  <c r="K1045" i="5"/>
  <c r="L1032" i="5"/>
  <c r="K1010" i="5"/>
  <c r="K1007" i="5"/>
  <c r="K954" i="5"/>
  <c r="L868" i="5"/>
  <c r="K849" i="5"/>
  <c r="K843" i="5"/>
  <c r="K942" i="5"/>
  <c r="K920" i="5"/>
  <c r="K824" i="5"/>
  <c r="L988" i="5"/>
  <c r="L929" i="5"/>
  <c r="K901" i="5"/>
  <c r="K895" i="5"/>
  <c r="K886" i="5"/>
  <c r="L855" i="5"/>
  <c r="L830" i="5"/>
  <c r="L808" i="5"/>
  <c r="K960" i="5"/>
  <c r="K938" i="5"/>
  <c r="L858" i="5"/>
  <c r="L833" i="5"/>
  <c r="L824" i="5"/>
  <c r="K1000" i="5"/>
  <c r="K957" i="5"/>
  <c r="L889" i="5"/>
  <c r="L823" i="5"/>
  <c r="K944" i="5"/>
  <c r="K935" i="5"/>
  <c r="K910" i="5"/>
  <c r="K892" i="5"/>
  <c r="K923" i="5"/>
  <c r="K984" i="5"/>
  <c r="K975" i="5"/>
  <c r="K953" i="5"/>
  <c r="L919" i="5"/>
  <c r="K945" i="5"/>
  <c r="K999" i="5"/>
  <c r="K990" i="5"/>
  <c r="K950" i="5"/>
  <c r="K947" i="5"/>
  <c r="K928" i="5"/>
  <c r="K922" i="5"/>
  <c r="L900" i="5"/>
  <c r="K873" i="5"/>
  <c r="K870" i="5"/>
  <c r="L816" i="5"/>
  <c r="K993" i="5"/>
  <c r="K987" i="5"/>
  <c r="L940" i="5"/>
  <c r="K934" i="5"/>
  <c r="K925" i="5"/>
  <c r="L915" i="5"/>
  <c r="L860" i="5"/>
  <c r="L835" i="5"/>
  <c r="K819" i="5"/>
  <c r="K972" i="5"/>
  <c r="L980" i="5"/>
  <c r="L934" i="5"/>
  <c r="L909" i="5"/>
  <c r="K891" i="5"/>
  <c r="K881" i="5"/>
  <c r="L813" i="5"/>
  <c r="K997" i="5"/>
  <c r="K918" i="5"/>
  <c r="L897" i="5"/>
  <c r="L875" i="5"/>
  <c r="K967" i="5"/>
  <c r="K917" i="5"/>
  <c r="K874" i="5"/>
  <c r="K983" i="5"/>
  <c r="L974" i="5"/>
  <c r="K965" i="5"/>
  <c r="K962" i="5"/>
  <c r="K943" i="5"/>
  <c r="K937" i="5"/>
  <c r="K924" i="5"/>
  <c r="K912" i="5"/>
  <c r="K866" i="5"/>
  <c r="L863" i="5"/>
  <c r="L838" i="5"/>
  <c r="L809" i="5"/>
  <c r="L803" i="5"/>
  <c r="L825" i="5"/>
  <c r="K806" i="5"/>
  <c r="L849" i="5"/>
  <c r="K982" i="5"/>
  <c r="K977" i="5"/>
  <c r="L896" i="5"/>
  <c r="L884" i="5"/>
  <c r="L859" i="5"/>
  <c r="K850" i="5"/>
  <c r="L834" i="5"/>
  <c r="K825" i="5"/>
  <c r="K985" i="5"/>
  <c r="L905" i="5"/>
  <c r="K884" i="5"/>
  <c r="K856" i="5"/>
  <c r="K831" i="5"/>
  <c r="L818" i="5"/>
  <c r="K932" i="5"/>
  <c r="K995" i="5"/>
  <c r="L967" i="5"/>
  <c r="K952" i="5"/>
  <c r="L942" i="5"/>
  <c r="K927" i="5"/>
  <c r="L917" i="5"/>
  <c r="K914" i="5"/>
  <c r="L878" i="5"/>
  <c r="L815" i="5"/>
  <c r="K992" i="5"/>
  <c r="L982" i="5"/>
  <c r="L945" i="5"/>
  <c r="K930" i="5"/>
  <c r="L920" i="5"/>
  <c r="L908" i="5"/>
  <c r="L880" i="5"/>
  <c r="K853" i="5"/>
  <c r="L843" i="5"/>
  <c r="K828" i="5"/>
  <c r="K840" i="5"/>
  <c r="L985" i="5"/>
  <c r="L883" i="5"/>
  <c r="K865" i="5"/>
  <c r="K846" i="5"/>
  <c r="L840" i="5"/>
  <c r="K821" i="5"/>
  <c r="K815" i="5"/>
  <c r="K676" i="5"/>
  <c r="K745" i="5"/>
  <c r="K784" i="5"/>
  <c r="K781" i="5"/>
  <c r="K699" i="5"/>
  <c r="L674" i="5"/>
  <c r="L671" i="5"/>
  <c r="K624" i="5"/>
  <c r="K621" i="5"/>
  <c r="L695" i="5"/>
  <c r="K761" i="5"/>
  <c r="L800" i="5"/>
  <c r="L749" i="5"/>
  <c r="L746" i="5"/>
  <c r="L724" i="5"/>
  <c r="L630" i="5"/>
  <c r="K618" i="5"/>
  <c r="K614" i="5"/>
  <c r="K793" i="5"/>
  <c r="L745" i="5"/>
  <c r="K701" i="5"/>
  <c r="L639" i="5"/>
  <c r="K636" i="5"/>
  <c r="K615" i="5"/>
  <c r="K664" i="5"/>
  <c r="K796" i="5"/>
  <c r="K800" i="5"/>
  <c r="L790" i="5"/>
  <c r="L705" i="5"/>
  <c r="K686" i="5"/>
  <c r="K661" i="5"/>
  <c r="L793" i="5"/>
  <c r="L736" i="5"/>
  <c r="L730" i="5"/>
  <c r="K689" i="5"/>
  <c r="K611" i="5"/>
  <c r="K670" i="5"/>
  <c r="K799" i="5"/>
  <c r="K783" i="5"/>
  <c r="K720" i="5"/>
  <c r="L691" i="5"/>
  <c r="K679" i="5"/>
  <c r="K620" i="5"/>
  <c r="L755" i="5"/>
  <c r="K768" i="5"/>
  <c r="L780" i="5"/>
  <c r="K729" i="5"/>
  <c r="L710" i="5"/>
  <c r="K666" i="5"/>
  <c r="L739" i="5"/>
  <c r="L799" i="5"/>
  <c r="L798" i="5"/>
  <c r="L741" i="5"/>
  <c r="K710" i="5"/>
  <c r="K660" i="5"/>
  <c r="L650" i="5"/>
  <c r="L644" i="5"/>
  <c r="K613" i="5"/>
  <c r="L783" i="5"/>
  <c r="L785" i="5"/>
  <c r="K770" i="5"/>
  <c r="L760" i="5"/>
  <c r="K716" i="5"/>
  <c r="L700" i="5"/>
  <c r="L694" i="5"/>
  <c r="K610" i="5"/>
  <c r="L681" i="5"/>
  <c r="K631" i="5"/>
  <c r="L606" i="5"/>
  <c r="K711" i="5"/>
  <c r="K605" i="5"/>
  <c r="L773" i="5"/>
  <c r="L744" i="5"/>
  <c r="K625" i="5"/>
  <c r="K629" i="5"/>
  <c r="K791" i="5"/>
  <c r="L788" i="5"/>
  <c r="K773" i="5"/>
  <c r="L734" i="5"/>
  <c r="L731" i="5"/>
  <c r="L665" i="5"/>
  <c r="K603" i="5"/>
  <c r="K726" i="5"/>
  <c r="K779" i="5"/>
  <c r="K766" i="5"/>
  <c r="L763" i="5"/>
  <c r="K659" i="5"/>
  <c r="L649" i="5"/>
  <c r="L615" i="5"/>
  <c r="K794" i="5"/>
  <c r="K763" i="5"/>
  <c r="K709" i="5"/>
  <c r="L696" i="5"/>
  <c r="K609" i="5"/>
  <c r="L570" i="5"/>
  <c r="L446" i="5"/>
  <c r="K525" i="5"/>
  <c r="K513" i="5"/>
  <c r="K498" i="5"/>
  <c r="K495" i="5"/>
  <c r="K540" i="5"/>
  <c r="K600" i="5"/>
  <c r="K551" i="5"/>
  <c r="K504" i="5"/>
  <c r="K555" i="5"/>
  <c r="K588" i="5"/>
  <c r="K579" i="5"/>
  <c r="K573" i="5"/>
  <c r="K510" i="5"/>
  <c r="K489" i="5"/>
  <c r="K593" i="5"/>
  <c r="K578" i="5"/>
  <c r="L541" i="5"/>
  <c r="K488" i="5"/>
  <c r="K533" i="5"/>
  <c r="K500" i="5"/>
  <c r="K485" i="5"/>
  <c r="K553" i="5"/>
  <c r="L514" i="5"/>
  <c r="K509" i="5"/>
  <c r="K601" i="5"/>
  <c r="K550" i="5"/>
  <c r="K503" i="5"/>
  <c r="K535" i="5"/>
  <c r="K508" i="5"/>
  <c r="K413" i="5"/>
  <c r="L472" i="5"/>
  <c r="L452" i="5"/>
  <c r="L432" i="5"/>
  <c r="L412" i="5"/>
  <c r="K598" i="5"/>
  <c r="K568" i="5"/>
  <c r="L549" i="5"/>
  <c r="K520" i="5"/>
  <c r="K518" i="5"/>
  <c r="K563" i="5"/>
  <c r="K530" i="5"/>
  <c r="K515" i="5"/>
  <c r="K590" i="5"/>
  <c r="K595" i="5"/>
  <c r="K565" i="5"/>
  <c r="L555" i="5"/>
  <c r="K546" i="5"/>
  <c r="L540" i="5"/>
  <c r="L516" i="5"/>
  <c r="K505" i="5"/>
  <c r="K490" i="5"/>
  <c r="K545" i="5"/>
  <c r="K560" i="5"/>
  <c r="L485" i="5"/>
  <c r="K575" i="5"/>
  <c r="K583" i="5"/>
  <c r="L534" i="5"/>
  <c r="L525" i="5"/>
  <c r="K548" i="5"/>
  <c r="K524" i="5"/>
  <c r="L433" i="5"/>
  <c r="L600" i="5"/>
  <c r="K580" i="5"/>
  <c r="K561" i="5"/>
  <c r="K531" i="5"/>
  <c r="L386" i="5"/>
  <c r="L266" i="5"/>
  <c r="L326" i="5"/>
  <c r="L273" i="5"/>
  <c r="K253" i="5"/>
  <c r="L393" i="5"/>
  <c r="L392" i="5"/>
  <c r="L372" i="5"/>
  <c r="L352" i="5"/>
  <c r="L332" i="5"/>
  <c r="L312" i="5"/>
  <c r="L292" i="5"/>
  <c r="L272" i="5"/>
  <c r="L252" i="5"/>
  <c r="L232" i="5"/>
  <c r="L212" i="5"/>
  <c r="K274" i="5"/>
  <c r="L192" i="5"/>
  <c r="T5" i="5"/>
  <c r="K617" i="5"/>
  <c r="L617" i="5"/>
  <c r="K931" i="5"/>
  <c r="L931" i="5"/>
  <c r="K713" i="5"/>
  <c r="L713" i="5"/>
  <c r="K657" i="5"/>
  <c r="L657" i="5"/>
  <c r="K1076" i="5"/>
  <c r="L1076" i="5"/>
  <c r="K1056" i="5"/>
  <c r="L1056" i="5"/>
  <c r="K1006" i="5"/>
  <c r="L1006" i="5"/>
  <c r="K979" i="5"/>
  <c r="L964" i="5"/>
  <c r="K946" i="5"/>
  <c r="L946" i="5"/>
  <c r="L943" i="5"/>
  <c r="K904" i="5"/>
  <c r="K663" i="5"/>
  <c r="L663" i="5"/>
  <c r="L1059" i="5"/>
  <c r="K964" i="5"/>
  <c r="L1081" i="5"/>
  <c r="L1053" i="5"/>
  <c r="L1044" i="5"/>
  <c r="L1003" i="5"/>
  <c r="L994" i="5"/>
  <c r="L979" i="5"/>
  <c r="K961" i="5"/>
  <c r="L961" i="5"/>
  <c r="L958" i="5"/>
  <c r="K719" i="5"/>
  <c r="L719" i="5"/>
  <c r="K604" i="5"/>
  <c r="L604" i="5"/>
  <c r="K502" i="5"/>
  <c r="L502" i="5"/>
  <c r="K499" i="5"/>
  <c r="L499" i="5"/>
  <c r="K654" i="5"/>
  <c r="L654" i="5"/>
  <c r="L913" i="5"/>
  <c r="K1087" i="5"/>
  <c r="L1073" i="5"/>
  <c r="K1041" i="5"/>
  <c r="L1041" i="5"/>
  <c r="K991" i="5"/>
  <c r="L991" i="5"/>
  <c r="K976" i="5"/>
  <c r="L976" i="5"/>
  <c r="L973" i="5"/>
  <c r="K882" i="5"/>
  <c r="L882" i="5"/>
  <c r="K769" i="5"/>
  <c r="L769" i="5"/>
  <c r="K669" i="5"/>
  <c r="L669" i="5"/>
  <c r="K607" i="5"/>
  <c r="L607" i="5"/>
  <c r="K592" i="5"/>
  <c r="L592" i="5"/>
  <c r="L1009" i="5"/>
  <c r="K898" i="5"/>
  <c r="L898" i="5"/>
  <c r="L1084" i="5"/>
  <c r="L1038" i="5"/>
  <c r="K885" i="5"/>
  <c r="L885" i="5"/>
  <c r="K861" i="5"/>
  <c r="L861" i="5"/>
  <c r="K1021" i="5"/>
  <c r="L1021" i="5"/>
  <c r="K916" i="5"/>
  <c r="L916" i="5"/>
  <c r="K797" i="5"/>
  <c r="L797" i="5"/>
  <c r="L1079" i="5"/>
  <c r="L1018" i="5"/>
  <c r="K1067" i="5"/>
  <c r="L1064" i="5"/>
  <c r="L1052" i="5"/>
  <c r="K1032" i="5"/>
  <c r="K1026" i="5"/>
  <c r="L1026" i="5"/>
  <c r="L1002" i="5"/>
  <c r="L960" i="5"/>
  <c r="K939" i="5"/>
  <c r="L924" i="5"/>
  <c r="K1061" i="5"/>
  <c r="L1061" i="5"/>
  <c r="L1040" i="5"/>
  <c r="L1023" i="5"/>
  <c r="L1014" i="5"/>
  <c r="L990" i="5"/>
  <c r="L939" i="5"/>
  <c r="K921" i="5"/>
  <c r="L921" i="5"/>
  <c r="L918" i="5"/>
  <c r="K836" i="5"/>
  <c r="L836" i="5"/>
  <c r="K619" i="5"/>
  <c r="L619" i="5"/>
  <c r="L949" i="5"/>
  <c r="K1011" i="5"/>
  <c r="L1011" i="5"/>
  <c r="K969" i="5"/>
  <c r="L954" i="5"/>
  <c r="K936" i="5"/>
  <c r="L936" i="5"/>
  <c r="L933" i="5"/>
  <c r="K903" i="5"/>
  <c r="L903" i="5"/>
  <c r="K864" i="5"/>
  <c r="L864" i="5"/>
  <c r="K646" i="5"/>
  <c r="L646" i="5"/>
  <c r="K522" i="5"/>
  <c r="L522" i="5"/>
  <c r="K519" i="5"/>
  <c r="L519" i="5"/>
  <c r="K1062" i="5"/>
  <c r="L1089" i="5"/>
  <c r="K1083" i="5"/>
  <c r="L1078" i="5"/>
  <c r="L1058" i="5"/>
  <c r="L1049" i="5"/>
  <c r="L1025" i="5"/>
  <c r="L1008" i="5"/>
  <c r="L999" i="5"/>
  <c r="L969" i="5"/>
  <c r="K951" i="5"/>
  <c r="L951" i="5"/>
  <c r="L948" i="5"/>
  <c r="K894" i="5"/>
  <c r="L894" i="5"/>
  <c r="K811" i="5"/>
  <c r="L811" i="5"/>
  <c r="K564" i="5"/>
  <c r="L1080" i="5"/>
  <c r="K1046" i="5"/>
  <c r="L1046" i="5"/>
  <c r="K996" i="5"/>
  <c r="L996" i="5"/>
  <c r="K966" i="5"/>
  <c r="L966" i="5"/>
  <c r="L963" i="5"/>
  <c r="L866" i="5"/>
  <c r="K839" i="5"/>
  <c r="L839" i="5"/>
  <c r="K786" i="5"/>
  <c r="L786" i="5"/>
  <c r="L689" i="5"/>
  <c r="K567" i="5"/>
  <c r="L567" i="5"/>
  <c r="K1072" i="5"/>
  <c r="L1069" i="5"/>
  <c r="L1043" i="5"/>
  <c r="L1034" i="5"/>
  <c r="L1010" i="5"/>
  <c r="L993" i="5"/>
  <c r="K981" i="5"/>
  <c r="L981" i="5"/>
  <c r="L978" i="5"/>
  <c r="K851" i="5"/>
  <c r="L851" i="5"/>
  <c r="K736" i="5"/>
  <c r="K1066" i="5"/>
  <c r="L1066" i="5"/>
  <c r="K1037" i="5"/>
  <c r="K1031" i="5"/>
  <c r="L1031" i="5"/>
  <c r="L1007" i="5"/>
  <c r="L914" i="5"/>
  <c r="K814" i="5"/>
  <c r="L814" i="5"/>
  <c r="K780" i="5"/>
  <c r="L636" i="5"/>
  <c r="K911" i="5"/>
  <c r="L911" i="5"/>
  <c r="K890" i="5"/>
  <c r="L890" i="5"/>
  <c r="K854" i="5"/>
  <c r="L854" i="5"/>
  <c r="K826" i="5"/>
  <c r="L826" i="5"/>
  <c r="K742" i="5"/>
  <c r="L742" i="5"/>
  <c r="K554" i="5"/>
  <c r="L554" i="5"/>
  <c r="K757" i="5"/>
  <c r="L757" i="5"/>
  <c r="L1063" i="5"/>
  <c r="K1016" i="5"/>
  <c r="L1016" i="5"/>
  <c r="K959" i="5"/>
  <c r="L944" i="5"/>
  <c r="K926" i="5"/>
  <c r="L926" i="5"/>
  <c r="L923" i="5"/>
  <c r="K869" i="5"/>
  <c r="L869" i="5"/>
  <c r="L819" i="5"/>
  <c r="K789" i="5"/>
  <c r="L789" i="5"/>
  <c r="K751" i="5"/>
  <c r="L751" i="5"/>
  <c r="K692" i="5"/>
  <c r="L692" i="5"/>
  <c r="K557" i="5"/>
  <c r="L557" i="5"/>
  <c r="K542" i="5"/>
  <c r="L542" i="5"/>
  <c r="K1068" i="5"/>
  <c r="L1065" i="5"/>
  <c r="L1054" i="5"/>
  <c r="L1013" i="5"/>
  <c r="L1004" i="5"/>
  <c r="K974" i="5"/>
  <c r="L959" i="5"/>
  <c r="K941" i="5"/>
  <c r="L941" i="5"/>
  <c r="L938" i="5"/>
  <c r="K899" i="5"/>
  <c r="K893" i="5"/>
  <c r="L893" i="5"/>
  <c r="K829" i="5"/>
  <c r="L829" i="5"/>
  <c r="K801" i="5"/>
  <c r="L801" i="5"/>
  <c r="K748" i="5"/>
  <c r="L748" i="5"/>
  <c r="K714" i="5"/>
  <c r="K695" i="5"/>
  <c r="L645" i="5"/>
  <c r="L1082" i="5"/>
  <c r="K1077" i="5"/>
  <c r="K1057" i="5"/>
  <c r="K1051" i="5"/>
  <c r="L1051" i="5"/>
  <c r="L1027" i="5"/>
  <c r="K1001" i="5"/>
  <c r="L1001" i="5"/>
  <c r="K956" i="5"/>
  <c r="L956" i="5"/>
  <c r="L953" i="5"/>
  <c r="L874" i="5"/>
  <c r="K847" i="5"/>
  <c r="L847" i="5"/>
  <c r="L794" i="5"/>
  <c r="K717" i="5"/>
  <c r="L717" i="5"/>
  <c r="K698" i="5"/>
  <c r="L698" i="5"/>
  <c r="K642" i="5"/>
  <c r="L642" i="5"/>
  <c r="K877" i="5"/>
  <c r="L877" i="5"/>
  <c r="K707" i="5"/>
  <c r="L707" i="5"/>
  <c r="K949" i="5"/>
  <c r="L928" i="5"/>
  <c r="L1088" i="5"/>
  <c r="K1071" i="5"/>
  <c r="L1071" i="5"/>
  <c r="L1062" i="5"/>
  <c r="L1048" i="5"/>
  <c r="L1039" i="5"/>
  <c r="L1015" i="5"/>
  <c r="L998" i="5"/>
  <c r="L989" i="5"/>
  <c r="K971" i="5"/>
  <c r="L971" i="5"/>
  <c r="L968" i="5"/>
  <c r="K804" i="5"/>
  <c r="L804" i="5"/>
  <c r="L791" i="5"/>
  <c r="K767" i="5"/>
  <c r="L767" i="5"/>
  <c r="K754" i="5"/>
  <c r="L754" i="5"/>
  <c r="K704" i="5"/>
  <c r="L704" i="5"/>
  <c r="K667" i="5"/>
  <c r="L667" i="5"/>
  <c r="K645" i="5"/>
  <c r="K569" i="5"/>
  <c r="L569" i="5"/>
  <c r="K1042" i="5"/>
  <c r="K1036" i="5"/>
  <c r="L1036" i="5"/>
  <c r="L1012" i="5"/>
  <c r="K986" i="5"/>
  <c r="L986" i="5"/>
  <c r="L983" i="5"/>
  <c r="K822" i="5"/>
  <c r="L822" i="5"/>
  <c r="K648" i="5"/>
  <c r="L648" i="5"/>
  <c r="L876" i="5"/>
  <c r="K858" i="5"/>
  <c r="K855" i="5"/>
  <c r="K833" i="5"/>
  <c r="K830" i="5"/>
  <c r="K808" i="5"/>
  <c r="K805" i="5"/>
  <c r="K777" i="5"/>
  <c r="L777" i="5"/>
  <c r="K771" i="5"/>
  <c r="L759" i="5"/>
  <c r="K733" i="5"/>
  <c r="L733" i="5"/>
  <c r="K730" i="5"/>
  <c r="K721" i="5"/>
  <c r="L709" i="5"/>
  <c r="K683" i="5"/>
  <c r="L683" i="5"/>
  <c r="K671" i="5"/>
  <c r="L659" i="5"/>
  <c r="K633" i="5"/>
  <c r="L633" i="5"/>
  <c r="L609" i="5"/>
  <c r="L559" i="5"/>
  <c r="K887" i="5"/>
  <c r="L846" i="5"/>
  <c r="L821" i="5"/>
  <c r="L796" i="5"/>
  <c r="K727" i="5"/>
  <c r="L727" i="5"/>
  <c r="K680" i="5"/>
  <c r="K677" i="5"/>
  <c r="L677" i="5"/>
  <c r="K630" i="5"/>
  <c r="K627" i="5"/>
  <c r="L627" i="5"/>
  <c r="K577" i="5"/>
  <c r="L577" i="5"/>
  <c r="K527" i="5"/>
  <c r="L527" i="5"/>
  <c r="K507" i="5"/>
  <c r="L507" i="5"/>
  <c r="K487" i="5"/>
  <c r="L487" i="5"/>
  <c r="K852" i="5"/>
  <c r="L852" i="5"/>
  <c r="K827" i="5"/>
  <c r="L827" i="5"/>
  <c r="K802" i="5"/>
  <c r="L802" i="5"/>
  <c r="L768" i="5"/>
  <c r="K765" i="5"/>
  <c r="K756" i="5"/>
  <c r="K718" i="5"/>
  <c r="L718" i="5"/>
  <c r="K715" i="5"/>
  <c r="K706" i="5"/>
  <c r="K668" i="5"/>
  <c r="L668" i="5"/>
  <c r="L641" i="5"/>
  <c r="L779" i="5"/>
  <c r="K762" i="5"/>
  <c r="L762" i="5"/>
  <c r="K712" i="5"/>
  <c r="L712" i="5"/>
  <c r="K662" i="5"/>
  <c r="L662" i="5"/>
  <c r="K612" i="5"/>
  <c r="L612" i="5"/>
  <c r="K562" i="5"/>
  <c r="L562" i="5"/>
  <c r="L886" i="5"/>
  <c r="L873" i="5"/>
  <c r="K863" i="5"/>
  <c r="K860" i="5"/>
  <c r="K838" i="5"/>
  <c r="K835" i="5"/>
  <c r="K813" i="5"/>
  <c r="K810" i="5"/>
  <c r="K788" i="5"/>
  <c r="K785" i="5"/>
  <c r="K753" i="5"/>
  <c r="L753" i="5"/>
  <c r="K750" i="5"/>
  <c r="K741" i="5"/>
  <c r="L729" i="5"/>
  <c r="K703" i="5"/>
  <c r="L703" i="5"/>
  <c r="K700" i="5"/>
  <c r="K691" i="5"/>
  <c r="L679" i="5"/>
  <c r="K653" i="5"/>
  <c r="L653" i="5"/>
  <c r="L629" i="5"/>
  <c r="L579" i="5"/>
  <c r="L529" i="5"/>
  <c r="L509" i="5"/>
  <c r="L489" i="5"/>
  <c r="L899" i="5"/>
  <c r="K897" i="5"/>
  <c r="K782" i="5"/>
  <c r="L782" i="5"/>
  <c r="K747" i="5"/>
  <c r="L747" i="5"/>
  <c r="K697" i="5"/>
  <c r="L697" i="5"/>
  <c r="K650" i="5"/>
  <c r="K647" i="5"/>
  <c r="L647" i="5"/>
  <c r="K597" i="5"/>
  <c r="L597" i="5"/>
  <c r="K547" i="5"/>
  <c r="L547" i="5"/>
  <c r="L904" i="5"/>
  <c r="K902" i="5"/>
  <c r="L891" i="5"/>
  <c r="L870" i="5"/>
  <c r="K868" i="5"/>
  <c r="K857" i="5"/>
  <c r="L857" i="5"/>
  <c r="K832" i="5"/>
  <c r="L832" i="5"/>
  <c r="K807" i="5"/>
  <c r="L807" i="5"/>
  <c r="L764" i="5"/>
  <c r="L761" i="5"/>
  <c r="K738" i="5"/>
  <c r="L738" i="5"/>
  <c r="K735" i="5"/>
  <c r="L714" i="5"/>
  <c r="K688" i="5"/>
  <c r="L688" i="5"/>
  <c r="L664" i="5"/>
  <c r="K638" i="5"/>
  <c r="L638" i="5"/>
  <c r="L614" i="5"/>
  <c r="L564" i="5"/>
  <c r="K512" i="5"/>
  <c r="L512" i="5"/>
  <c r="K492" i="5"/>
  <c r="L492" i="5"/>
  <c r="K907" i="5"/>
  <c r="K732" i="5"/>
  <c r="L732" i="5"/>
  <c r="K685" i="5"/>
  <c r="K682" i="5"/>
  <c r="L682" i="5"/>
  <c r="K635" i="5"/>
  <c r="K632" i="5"/>
  <c r="L632" i="5"/>
  <c r="K582" i="5"/>
  <c r="L582" i="5"/>
  <c r="K532" i="5"/>
  <c r="L532" i="5"/>
  <c r="K723" i="5"/>
  <c r="L723" i="5"/>
  <c r="K673" i="5"/>
  <c r="L673" i="5"/>
  <c r="K623" i="5"/>
  <c r="L623" i="5"/>
  <c r="K878" i="5"/>
  <c r="K862" i="5"/>
  <c r="L862" i="5"/>
  <c r="K837" i="5"/>
  <c r="L837" i="5"/>
  <c r="K812" i="5"/>
  <c r="L812" i="5"/>
  <c r="K787" i="5"/>
  <c r="L787" i="5"/>
  <c r="K758" i="5"/>
  <c r="L758" i="5"/>
  <c r="K755" i="5"/>
  <c r="K746" i="5"/>
  <c r="K708" i="5"/>
  <c r="L708" i="5"/>
  <c r="K705" i="5"/>
  <c r="K696" i="5"/>
  <c r="K658" i="5"/>
  <c r="L658" i="5"/>
  <c r="L631" i="5"/>
  <c r="K752" i="5"/>
  <c r="L752" i="5"/>
  <c r="K702" i="5"/>
  <c r="L702" i="5"/>
  <c r="K655" i="5"/>
  <c r="K652" i="5"/>
  <c r="L652" i="5"/>
  <c r="K602" i="5"/>
  <c r="L602" i="5"/>
  <c r="K552" i="5"/>
  <c r="L552" i="5"/>
  <c r="K517" i="5"/>
  <c r="L517" i="5"/>
  <c r="K497" i="5"/>
  <c r="L497" i="5"/>
  <c r="K883" i="5"/>
  <c r="K848" i="5"/>
  <c r="K845" i="5"/>
  <c r="K823" i="5"/>
  <c r="K820" i="5"/>
  <c r="K798" i="5"/>
  <c r="K795" i="5"/>
  <c r="K743" i="5"/>
  <c r="L743" i="5"/>
  <c r="K740" i="5"/>
  <c r="K731" i="5"/>
  <c r="K693" i="5"/>
  <c r="L693" i="5"/>
  <c r="K681" i="5"/>
  <c r="K643" i="5"/>
  <c r="L643" i="5"/>
  <c r="K867" i="5"/>
  <c r="L778" i="5"/>
  <c r="K737" i="5"/>
  <c r="L737" i="5"/>
  <c r="K690" i="5"/>
  <c r="K687" i="5"/>
  <c r="L687" i="5"/>
  <c r="K640" i="5"/>
  <c r="K637" i="5"/>
  <c r="L637" i="5"/>
  <c r="K587" i="5"/>
  <c r="L587" i="5"/>
  <c r="K537" i="5"/>
  <c r="L537" i="5"/>
  <c r="K888" i="5"/>
  <c r="K842" i="5"/>
  <c r="L842" i="5"/>
  <c r="K817" i="5"/>
  <c r="L817" i="5"/>
  <c r="K792" i="5"/>
  <c r="L792" i="5"/>
  <c r="K778" i="5"/>
  <c r="K775" i="5"/>
  <c r="K728" i="5"/>
  <c r="L728" i="5"/>
  <c r="K725" i="5"/>
  <c r="K678" i="5"/>
  <c r="L678" i="5"/>
  <c r="K628" i="5"/>
  <c r="L628" i="5"/>
  <c r="K872" i="5"/>
  <c r="K772" i="5"/>
  <c r="L772" i="5"/>
  <c r="K722" i="5"/>
  <c r="L722" i="5"/>
  <c r="K675" i="5"/>
  <c r="K672" i="5"/>
  <c r="L672" i="5"/>
  <c r="K622" i="5"/>
  <c r="L622" i="5"/>
  <c r="K572" i="5"/>
  <c r="L572" i="5"/>
  <c r="L618" i="5"/>
  <c r="L613" i="5"/>
  <c r="L608" i="5"/>
  <c r="L603" i="5"/>
  <c r="L598" i="5"/>
  <c r="L593" i="5"/>
  <c r="L588" i="5"/>
  <c r="L583" i="5"/>
  <c r="L578" i="5"/>
  <c r="L573" i="5"/>
  <c r="L568" i="5"/>
  <c r="L563" i="5"/>
  <c r="L558" i="5"/>
  <c r="L553" i="5"/>
  <c r="L548" i="5"/>
  <c r="L543" i="5"/>
  <c r="L538" i="5"/>
  <c r="L533" i="5"/>
  <c r="L528" i="5"/>
  <c r="L523" i="5"/>
  <c r="L518" i="5"/>
  <c r="L513" i="5"/>
  <c r="L508" i="5"/>
  <c r="L503" i="5"/>
  <c r="L498" i="5"/>
  <c r="L493" i="5"/>
  <c r="L488" i="5"/>
  <c r="K461" i="5"/>
  <c r="K201" i="5"/>
  <c r="L434" i="5"/>
  <c r="L440" i="5"/>
  <c r="L380" i="5"/>
  <c r="K260" i="5"/>
  <c r="L220" i="5"/>
  <c r="K439" i="5"/>
  <c r="K379" i="5"/>
  <c r="K299" i="5"/>
  <c r="K259" i="5"/>
  <c r="K199" i="5"/>
  <c r="L459" i="5"/>
  <c r="L399" i="5"/>
  <c r="L339" i="5"/>
  <c r="K279" i="5"/>
  <c r="K219" i="5"/>
  <c r="L438" i="5"/>
  <c r="L378" i="5"/>
  <c r="L338" i="5"/>
  <c r="L318" i="5"/>
  <c r="L278" i="5"/>
  <c r="L258" i="5"/>
  <c r="L218" i="5"/>
  <c r="L198" i="5"/>
  <c r="K407" i="5"/>
  <c r="K247" i="5"/>
  <c r="L207" i="5"/>
  <c r="K187" i="5"/>
  <c r="K479" i="5"/>
  <c r="L419" i="5"/>
  <c r="K359" i="5"/>
  <c r="K319" i="5"/>
  <c r="K239" i="5"/>
  <c r="K248" i="5"/>
  <c r="K181" i="5"/>
  <c r="K465" i="5"/>
  <c r="K445" i="5"/>
  <c r="K425" i="5"/>
  <c r="K405" i="5"/>
  <c r="K385" i="5"/>
  <c r="K365" i="5"/>
  <c r="K345" i="5"/>
  <c r="K325" i="5"/>
  <c r="K305" i="5"/>
  <c r="K285" i="5"/>
  <c r="K265" i="5"/>
  <c r="K245" i="5"/>
  <c r="K225" i="5"/>
  <c r="K205" i="5"/>
  <c r="K185" i="5"/>
  <c r="K474" i="5"/>
  <c r="L394" i="5"/>
  <c r="L374" i="5"/>
  <c r="L354" i="5"/>
  <c r="L334" i="5"/>
  <c r="K314" i="5"/>
  <c r="L274" i="5"/>
  <c r="L254" i="5"/>
  <c r="L234" i="5"/>
  <c r="L214" i="5"/>
  <c r="L194" i="5"/>
  <c r="K408" i="5"/>
  <c r="K473" i="5"/>
  <c r="K433" i="5"/>
  <c r="L413" i="5"/>
  <c r="K393" i="5"/>
  <c r="K373" i="5"/>
  <c r="L353" i="5"/>
  <c r="L333" i="5"/>
  <c r="K313" i="5"/>
  <c r="K273" i="5"/>
  <c r="L253" i="5"/>
  <c r="L233" i="5"/>
  <c r="K213" i="5"/>
  <c r="L193" i="5"/>
  <c r="L414" i="5"/>
  <c r="L320" i="5"/>
  <c r="K200" i="5"/>
  <c r="K360" i="5"/>
  <c r="K460" i="5"/>
  <c r="L314" i="5"/>
  <c r="K454" i="5"/>
  <c r="K294" i="5"/>
  <c r="L453" i="5"/>
  <c r="L313" i="5"/>
  <c r="K293" i="5"/>
  <c r="L294" i="5"/>
  <c r="K361" i="5"/>
  <c r="L293" i="5"/>
  <c r="K468" i="5"/>
  <c r="K368" i="5"/>
  <c r="K308" i="5"/>
  <c r="K180" i="5"/>
  <c r="K467" i="5"/>
  <c r="L387" i="5"/>
  <c r="K367" i="5"/>
  <c r="L327" i="5"/>
  <c r="K307" i="5"/>
  <c r="K267" i="5"/>
  <c r="K419" i="5"/>
  <c r="K292" i="5"/>
  <c r="K414" i="5"/>
  <c r="K188" i="5"/>
  <c r="K272" i="5"/>
  <c r="L279" i="5"/>
  <c r="L480" i="5"/>
  <c r="L460" i="5"/>
  <c r="K440" i="5"/>
  <c r="K420" i="5"/>
  <c r="L400" i="5"/>
  <c r="K380" i="5"/>
  <c r="L360" i="5"/>
  <c r="L340" i="5"/>
  <c r="K320" i="5"/>
  <c r="K300" i="5"/>
  <c r="L280" i="5"/>
  <c r="L260" i="5"/>
  <c r="K240" i="5"/>
  <c r="K220" i="5"/>
  <c r="L200" i="5"/>
  <c r="L426" i="5"/>
  <c r="L406" i="5"/>
  <c r="L366" i="5"/>
  <c r="L206" i="5"/>
  <c r="K394" i="5"/>
  <c r="K254" i="5"/>
  <c r="L187" i="5"/>
  <c r="K374" i="5"/>
  <c r="K252" i="5"/>
  <c r="L267" i="5"/>
  <c r="K234" i="5"/>
  <c r="K392" i="5"/>
  <c r="L373" i="5"/>
  <c r="L247" i="5"/>
  <c r="L227" i="5"/>
  <c r="K207" i="5"/>
  <c r="K354" i="5"/>
  <c r="K412" i="5"/>
  <c r="K428" i="5"/>
  <c r="K388" i="5"/>
  <c r="K288" i="5"/>
  <c r="K228" i="5"/>
  <c r="K208" i="5"/>
  <c r="L213" i="5"/>
  <c r="K372" i="5"/>
  <c r="L454" i="5"/>
  <c r="K214" i="5"/>
  <c r="K353" i="5"/>
  <c r="L219" i="5"/>
  <c r="L478" i="5"/>
  <c r="L298" i="5"/>
  <c r="L346" i="5"/>
  <c r="L306" i="5"/>
  <c r="K312" i="5"/>
  <c r="K194" i="5"/>
  <c r="K352" i="5"/>
  <c r="K212" i="5"/>
  <c r="L458" i="5"/>
  <c r="L418" i="5"/>
  <c r="L358" i="5"/>
  <c r="L246" i="5"/>
  <c r="K179" i="5"/>
  <c r="L465" i="5"/>
  <c r="L445" i="5"/>
  <c r="L425" i="5"/>
  <c r="L405" i="5"/>
  <c r="L385" i="5"/>
  <c r="L365" i="5"/>
  <c r="L345" i="5"/>
  <c r="L325" i="5"/>
  <c r="L305" i="5"/>
  <c r="L285" i="5"/>
  <c r="L265" i="5"/>
  <c r="L245" i="5"/>
  <c r="L225" i="5"/>
  <c r="L205" i="5"/>
  <c r="L185" i="5"/>
  <c r="K334" i="5"/>
  <c r="K193" i="5"/>
  <c r="K481" i="5"/>
  <c r="K441" i="5"/>
  <c r="K421" i="5"/>
  <c r="K401" i="5"/>
  <c r="K381" i="5"/>
  <c r="K341" i="5"/>
  <c r="K321" i="5"/>
  <c r="K301" i="5"/>
  <c r="K281" i="5"/>
  <c r="K261" i="5"/>
  <c r="K241" i="5"/>
  <c r="K221" i="5"/>
  <c r="K192" i="5"/>
  <c r="L467" i="5"/>
  <c r="K447" i="5"/>
  <c r="K427" i="5"/>
  <c r="L407" i="5"/>
  <c r="K387" i="5"/>
  <c r="L367" i="5"/>
  <c r="L347" i="5"/>
  <c r="K327" i="5"/>
  <c r="L307" i="5"/>
  <c r="L287" i="5"/>
  <c r="K453" i="5"/>
  <c r="K333" i="5"/>
  <c r="K233" i="5"/>
  <c r="K472" i="5"/>
  <c r="K432" i="5"/>
  <c r="K332" i="5"/>
  <c r="K232" i="5"/>
  <c r="L474" i="5"/>
  <c r="K434" i="5"/>
  <c r="L238" i="5"/>
  <c r="L180" i="5"/>
  <c r="L466" i="5"/>
  <c r="L286" i="5"/>
  <c r="L226" i="5"/>
  <c r="L186" i="5"/>
  <c r="K452" i="5"/>
  <c r="L447" i="5"/>
  <c r="K470" i="5"/>
  <c r="L470" i="5"/>
  <c r="K410" i="5"/>
  <c r="L410" i="5"/>
  <c r="K330" i="5"/>
  <c r="L330" i="5"/>
  <c r="K230" i="5"/>
  <c r="L230" i="5"/>
  <c r="L439" i="5"/>
  <c r="K409" i="5"/>
  <c r="L409" i="5"/>
  <c r="K329" i="5"/>
  <c r="L329" i="5"/>
  <c r="K249" i="5"/>
  <c r="L249" i="5"/>
  <c r="L408" i="5"/>
  <c r="L328" i="5"/>
  <c r="L248" i="5"/>
  <c r="L319" i="5"/>
  <c r="K400" i="5"/>
  <c r="L259" i="5"/>
  <c r="K426" i="5"/>
  <c r="K366" i="5"/>
  <c r="K286" i="5"/>
  <c r="K206" i="5"/>
  <c r="K399" i="5"/>
  <c r="L484" i="5"/>
  <c r="K484" i="5"/>
  <c r="L444" i="5"/>
  <c r="K444" i="5"/>
  <c r="L404" i="5"/>
  <c r="K404" i="5"/>
  <c r="L364" i="5"/>
  <c r="K364" i="5"/>
  <c r="L324" i="5"/>
  <c r="K324" i="5"/>
  <c r="L284" i="5"/>
  <c r="K284" i="5"/>
  <c r="L244" i="5"/>
  <c r="K244" i="5"/>
  <c r="L204" i="5"/>
  <c r="K204" i="5"/>
  <c r="L420" i="5"/>
  <c r="L483" i="5"/>
  <c r="K483" i="5"/>
  <c r="L443" i="5"/>
  <c r="K443" i="5"/>
  <c r="L423" i="5"/>
  <c r="K423" i="5"/>
  <c r="L403" i="5"/>
  <c r="K403" i="5"/>
  <c r="L363" i="5"/>
  <c r="K363" i="5"/>
  <c r="L323" i="5"/>
  <c r="K323" i="5"/>
  <c r="L283" i="5"/>
  <c r="K283" i="5"/>
  <c r="L243" i="5"/>
  <c r="K243" i="5"/>
  <c r="L203" i="5"/>
  <c r="K203" i="5"/>
  <c r="K287" i="5"/>
  <c r="L482" i="5"/>
  <c r="K482" i="5"/>
  <c r="L462" i="5"/>
  <c r="K462" i="5"/>
  <c r="L442" i="5"/>
  <c r="K442" i="5"/>
  <c r="L422" i="5"/>
  <c r="K422" i="5"/>
  <c r="L402" i="5"/>
  <c r="K402" i="5"/>
  <c r="L382" i="5"/>
  <c r="K382" i="5"/>
  <c r="L362" i="5"/>
  <c r="K362" i="5"/>
  <c r="L342" i="5"/>
  <c r="K342" i="5"/>
  <c r="L322" i="5"/>
  <c r="K322" i="5"/>
  <c r="L302" i="5"/>
  <c r="K302" i="5"/>
  <c r="L282" i="5"/>
  <c r="K282" i="5"/>
  <c r="L262" i="5"/>
  <c r="K262" i="5"/>
  <c r="L242" i="5"/>
  <c r="K242" i="5"/>
  <c r="L222" i="5"/>
  <c r="K222" i="5"/>
  <c r="L202" i="5"/>
  <c r="K202" i="5"/>
  <c r="L182" i="5"/>
  <c r="K182" i="5"/>
  <c r="K471" i="5"/>
  <c r="L471" i="5"/>
  <c r="K451" i="5"/>
  <c r="L451" i="5"/>
  <c r="K431" i="5"/>
  <c r="L431" i="5"/>
  <c r="K411" i="5"/>
  <c r="L411" i="5"/>
  <c r="K391" i="5"/>
  <c r="L391" i="5"/>
  <c r="K371" i="5"/>
  <c r="L371" i="5"/>
  <c r="K351" i="5"/>
  <c r="L351" i="5"/>
  <c r="K331" i="5"/>
  <c r="L331" i="5"/>
  <c r="K311" i="5"/>
  <c r="L311" i="5"/>
  <c r="K291" i="5"/>
  <c r="L291" i="5"/>
  <c r="K271" i="5"/>
  <c r="L271" i="5"/>
  <c r="K251" i="5"/>
  <c r="L251" i="5"/>
  <c r="K231" i="5"/>
  <c r="L231" i="5"/>
  <c r="K211" i="5"/>
  <c r="L211" i="5"/>
  <c r="K191" i="5"/>
  <c r="L191" i="5"/>
  <c r="K339" i="5"/>
  <c r="K227" i="5"/>
  <c r="L359" i="5"/>
  <c r="L300" i="5"/>
  <c r="L481" i="5"/>
  <c r="L461" i="5"/>
  <c r="L441" i="5"/>
  <c r="L421" i="5"/>
  <c r="L401" i="5"/>
  <c r="L381" i="5"/>
  <c r="L361" i="5"/>
  <c r="L341" i="5"/>
  <c r="L321" i="5"/>
  <c r="L301" i="5"/>
  <c r="L281" i="5"/>
  <c r="L261" i="5"/>
  <c r="L241" i="5"/>
  <c r="L221" i="5"/>
  <c r="L201" i="5"/>
  <c r="L181" i="5"/>
  <c r="K280" i="5"/>
  <c r="L473" i="5"/>
  <c r="L299" i="5"/>
  <c r="L240" i="5"/>
  <c r="K430" i="5"/>
  <c r="L430" i="5"/>
  <c r="K350" i="5"/>
  <c r="L350" i="5"/>
  <c r="K270" i="5"/>
  <c r="L270" i="5"/>
  <c r="K190" i="5"/>
  <c r="L190" i="5"/>
  <c r="K429" i="5"/>
  <c r="L429" i="5"/>
  <c r="K349" i="5"/>
  <c r="L349" i="5"/>
  <c r="K269" i="5"/>
  <c r="L269" i="5"/>
  <c r="K189" i="5"/>
  <c r="L189" i="5"/>
  <c r="L379" i="5"/>
  <c r="L448" i="5"/>
  <c r="L348" i="5"/>
  <c r="L268" i="5"/>
  <c r="L188" i="5"/>
  <c r="K446" i="5"/>
  <c r="K346" i="5"/>
  <c r="K266" i="5"/>
  <c r="K186" i="5"/>
  <c r="L427" i="5"/>
  <c r="L199" i="5"/>
  <c r="L464" i="5"/>
  <c r="K464" i="5"/>
  <c r="L424" i="5"/>
  <c r="K424" i="5"/>
  <c r="L384" i="5"/>
  <c r="K384" i="5"/>
  <c r="L344" i="5"/>
  <c r="K344" i="5"/>
  <c r="L304" i="5"/>
  <c r="K304" i="5"/>
  <c r="L264" i="5"/>
  <c r="K264" i="5"/>
  <c r="L224" i="5"/>
  <c r="K224" i="5"/>
  <c r="L184" i="5"/>
  <c r="K184" i="5"/>
  <c r="L479" i="5"/>
  <c r="L463" i="5"/>
  <c r="K463" i="5"/>
  <c r="L383" i="5"/>
  <c r="K383" i="5"/>
  <c r="L343" i="5"/>
  <c r="K343" i="5"/>
  <c r="L303" i="5"/>
  <c r="K303" i="5"/>
  <c r="L263" i="5"/>
  <c r="K263" i="5"/>
  <c r="L223" i="5"/>
  <c r="K223" i="5"/>
  <c r="L183" i="5"/>
  <c r="K183" i="5"/>
  <c r="K340" i="5"/>
  <c r="L239" i="5"/>
  <c r="K480" i="5"/>
  <c r="L179" i="5"/>
  <c r="K450" i="5"/>
  <c r="L450" i="5"/>
  <c r="K370" i="5"/>
  <c r="L370" i="5"/>
  <c r="K290" i="5"/>
  <c r="L290" i="5"/>
  <c r="K210" i="5"/>
  <c r="L210" i="5"/>
  <c r="K459" i="5"/>
  <c r="K469" i="5"/>
  <c r="L469" i="5"/>
  <c r="K389" i="5"/>
  <c r="L389" i="5"/>
  <c r="K309" i="5"/>
  <c r="L309" i="5"/>
  <c r="K229" i="5"/>
  <c r="L229" i="5"/>
  <c r="L468" i="5"/>
  <c r="L388" i="5"/>
  <c r="L308" i="5"/>
  <c r="L228" i="5"/>
  <c r="K466" i="5"/>
  <c r="K386" i="5"/>
  <c r="K306" i="5"/>
  <c r="K226" i="5"/>
  <c r="K448" i="5"/>
  <c r="K348" i="5"/>
  <c r="K347" i="5"/>
  <c r="K478" i="5"/>
  <c r="K438" i="5"/>
  <c r="K398" i="5"/>
  <c r="K358" i="5"/>
  <c r="K318" i="5"/>
  <c r="K278" i="5"/>
  <c r="K238" i="5"/>
  <c r="K198" i="5"/>
  <c r="K328" i="5"/>
  <c r="L457" i="5"/>
  <c r="K457" i="5"/>
  <c r="L417" i="5"/>
  <c r="K417" i="5"/>
  <c r="L377" i="5"/>
  <c r="K377" i="5"/>
  <c r="L337" i="5"/>
  <c r="K337" i="5"/>
  <c r="L297" i="5"/>
  <c r="K297" i="5"/>
  <c r="L257" i="5"/>
  <c r="K257" i="5"/>
  <c r="L217" i="5"/>
  <c r="K217" i="5"/>
  <c r="L456" i="5"/>
  <c r="K456" i="5"/>
  <c r="L416" i="5"/>
  <c r="K416" i="5"/>
  <c r="L376" i="5"/>
  <c r="K376" i="5"/>
  <c r="L336" i="5"/>
  <c r="K336" i="5"/>
  <c r="L296" i="5"/>
  <c r="K296" i="5"/>
  <c r="L256" i="5"/>
  <c r="K256" i="5"/>
  <c r="L216" i="5"/>
  <c r="K216" i="5"/>
  <c r="L196" i="5"/>
  <c r="K196" i="5"/>
  <c r="K390" i="5"/>
  <c r="L390" i="5"/>
  <c r="K310" i="5"/>
  <c r="L310" i="5"/>
  <c r="K250" i="5"/>
  <c r="L250" i="5"/>
  <c r="K449" i="5"/>
  <c r="L449" i="5"/>
  <c r="K369" i="5"/>
  <c r="L369" i="5"/>
  <c r="K289" i="5"/>
  <c r="L289" i="5"/>
  <c r="K209" i="5"/>
  <c r="L209" i="5"/>
  <c r="L428" i="5"/>
  <c r="L368" i="5"/>
  <c r="L288" i="5"/>
  <c r="L208" i="5"/>
  <c r="K406" i="5"/>
  <c r="K326" i="5"/>
  <c r="K246" i="5"/>
  <c r="K458" i="5"/>
  <c r="K418" i="5"/>
  <c r="K378" i="5"/>
  <c r="K338" i="5"/>
  <c r="K298" i="5"/>
  <c r="K258" i="5"/>
  <c r="K218" i="5"/>
  <c r="L477" i="5"/>
  <c r="K477" i="5"/>
  <c r="L437" i="5"/>
  <c r="K437" i="5"/>
  <c r="L397" i="5"/>
  <c r="K397" i="5"/>
  <c r="L357" i="5"/>
  <c r="K357" i="5"/>
  <c r="L317" i="5"/>
  <c r="K317" i="5"/>
  <c r="L277" i="5"/>
  <c r="K277" i="5"/>
  <c r="L237" i="5"/>
  <c r="K237" i="5"/>
  <c r="L197" i="5"/>
  <c r="K197" i="5"/>
  <c r="K268" i="5"/>
  <c r="L476" i="5"/>
  <c r="K476" i="5"/>
  <c r="L436" i="5"/>
  <c r="K436" i="5"/>
  <c r="L396" i="5"/>
  <c r="K396" i="5"/>
  <c r="L356" i="5"/>
  <c r="K356" i="5"/>
  <c r="L316" i="5"/>
  <c r="K316" i="5"/>
  <c r="L276" i="5"/>
  <c r="K276" i="5"/>
  <c r="L236" i="5"/>
  <c r="K236" i="5"/>
  <c r="L475" i="5"/>
  <c r="K475" i="5"/>
  <c r="L455" i="5"/>
  <c r="K455" i="5"/>
  <c r="L435" i="5"/>
  <c r="K435" i="5"/>
  <c r="L415" i="5"/>
  <c r="K415" i="5"/>
  <c r="L395" i="5"/>
  <c r="K395" i="5"/>
  <c r="L375" i="5"/>
  <c r="K375" i="5"/>
  <c r="L355" i="5"/>
  <c r="K355" i="5"/>
  <c r="L335" i="5"/>
  <c r="K335" i="5"/>
  <c r="L315" i="5"/>
  <c r="K315" i="5"/>
  <c r="L295" i="5"/>
  <c r="K295" i="5"/>
  <c r="L275" i="5"/>
  <c r="K275" i="5"/>
  <c r="L255" i="5"/>
  <c r="K255" i="5"/>
  <c r="L235" i="5"/>
  <c r="K235" i="5"/>
  <c r="L215" i="5"/>
  <c r="K215" i="5"/>
  <c r="L195" i="5"/>
  <c r="K195" i="5"/>
  <c r="L398" i="5"/>
  <c r="N178" i="5"/>
  <c r="M178" i="5"/>
  <c r="J178" i="5"/>
  <c r="I178" i="5"/>
  <c r="H178" i="5"/>
  <c r="G178" i="5"/>
  <c r="N177" i="5"/>
  <c r="M177" i="5"/>
  <c r="J177" i="5"/>
  <c r="I177" i="5"/>
  <c r="H177" i="5"/>
  <c r="G177" i="5"/>
  <c r="N176" i="5"/>
  <c r="M176" i="5"/>
  <c r="J176" i="5"/>
  <c r="I176" i="5"/>
  <c r="H176" i="5"/>
  <c r="G176" i="5"/>
  <c r="N175" i="5"/>
  <c r="M175" i="5"/>
  <c r="J175" i="5"/>
  <c r="I175" i="5"/>
  <c r="H175" i="5"/>
  <c r="G175" i="5"/>
  <c r="N174" i="5"/>
  <c r="M174" i="5"/>
  <c r="J174" i="5"/>
  <c r="I174" i="5"/>
  <c r="H174" i="5"/>
  <c r="G174" i="5"/>
  <c r="N173" i="5"/>
  <c r="M173" i="5"/>
  <c r="J173" i="5"/>
  <c r="I173" i="5"/>
  <c r="H173" i="5"/>
  <c r="G173" i="5"/>
  <c r="N172" i="5"/>
  <c r="M172" i="5"/>
  <c r="J172" i="5"/>
  <c r="I172" i="5"/>
  <c r="H172" i="5"/>
  <c r="G172" i="5"/>
  <c r="N171" i="5"/>
  <c r="M171" i="5"/>
  <c r="J171" i="5"/>
  <c r="I171" i="5"/>
  <c r="H171" i="5"/>
  <c r="G171" i="5"/>
  <c r="N170" i="5"/>
  <c r="M170" i="5"/>
  <c r="J170" i="5"/>
  <c r="I170" i="5"/>
  <c r="H170" i="5"/>
  <c r="G170" i="5"/>
  <c r="N169" i="5"/>
  <c r="M169" i="5"/>
  <c r="J169" i="5"/>
  <c r="I169" i="5"/>
  <c r="H169" i="5"/>
  <c r="G169" i="5"/>
  <c r="N168" i="5"/>
  <c r="M168" i="5"/>
  <c r="J168" i="5"/>
  <c r="I168" i="5"/>
  <c r="H168" i="5"/>
  <c r="G168" i="5"/>
  <c r="N167" i="5"/>
  <c r="M167" i="5"/>
  <c r="J167" i="5"/>
  <c r="I167" i="5"/>
  <c r="H167" i="5"/>
  <c r="G167" i="5"/>
  <c r="N166" i="5"/>
  <c r="M166" i="5"/>
  <c r="J166" i="5"/>
  <c r="I166" i="5"/>
  <c r="H166" i="5"/>
  <c r="G166" i="5"/>
  <c r="N165" i="5"/>
  <c r="M165" i="5"/>
  <c r="J165" i="5"/>
  <c r="I165" i="5"/>
  <c r="H165" i="5"/>
  <c r="G165" i="5"/>
  <c r="N164" i="5"/>
  <c r="M164" i="5"/>
  <c r="J164" i="5"/>
  <c r="I164" i="5"/>
  <c r="H164" i="5"/>
  <c r="G164" i="5"/>
  <c r="N163" i="5"/>
  <c r="M163" i="5"/>
  <c r="J163" i="5"/>
  <c r="I163" i="5"/>
  <c r="H163" i="5"/>
  <c r="G163" i="5"/>
  <c r="N162" i="5"/>
  <c r="M162" i="5"/>
  <c r="J162" i="5"/>
  <c r="I162" i="5"/>
  <c r="H162" i="5"/>
  <c r="G162" i="5"/>
  <c r="N161" i="5"/>
  <c r="M161" i="5"/>
  <c r="J161" i="5"/>
  <c r="I161" i="5"/>
  <c r="H161" i="5"/>
  <c r="G161" i="5"/>
  <c r="N160" i="5"/>
  <c r="M160" i="5"/>
  <c r="J160" i="5"/>
  <c r="I160" i="5"/>
  <c r="H160" i="5"/>
  <c r="G160" i="5"/>
  <c r="N159" i="5"/>
  <c r="M159" i="5"/>
  <c r="J159" i="5"/>
  <c r="I159" i="5"/>
  <c r="H159" i="5"/>
  <c r="G159" i="5"/>
  <c r="N158" i="5"/>
  <c r="M158" i="5"/>
  <c r="J158" i="5"/>
  <c r="I158" i="5"/>
  <c r="H158" i="5"/>
  <c r="G158" i="5"/>
  <c r="N157" i="5"/>
  <c r="M157" i="5"/>
  <c r="J157" i="5"/>
  <c r="I157" i="5"/>
  <c r="H157" i="5"/>
  <c r="G157" i="5"/>
  <c r="N156" i="5"/>
  <c r="M156" i="5"/>
  <c r="J156" i="5"/>
  <c r="I156" i="5"/>
  <c r="H156" i="5"/>
  <c r="G156" i="5"/>
  <c r="N155" i="5"/>
  <c r="M155" i="5"/>
  <c r="J155" i="5"/>
  <c r="I155" i="5"/>
  <c r="H155" i="5"/>
  <c r="G155" i="5"/>
  <c r="N154" i="5"/>
  <c r="M154" i="5"/>
  <c r="J154" i="5"/>
  <c r="I154" i="5"/>
  <c r="H154" i="5"/>
  <c r="G154" i="5"/>
  <c r="N153" i="5"/>
  <c r="M153" i="5"/>
  <c r="J153" i="5"/>
  <c r="I153" i="5"/>
  <c r="H153" i="5"/>
  <c r="G153" i="5"/>
  <c r="N152" i="5"/>
  <c r="M152" i="5"/>
  <c r="J152" i="5"/>
  <c r="I152" i="5"/>
  <c r="H152" i="5"/>
  <c r="G152" i="5"/>
  <c r="N151" i="5"/>
  <c r="M151" i="5"/>
  <c r="J151" i="5"/>
  <c r="I151" i="5"/>
  <c r="H151" i="5"/>
  <c r="G151" i="5"/>
  <c r="N150" i="5"/>
  <c r="M150" i="5"/>
  <c r="J150" i="5"/>
  <c r="I150" i="5"/>
  <c r="H150" i="5"/>
  <c r="G150" i="5"/>
  <c r="N149" i="5"/>
  <c r="M149" i="5"/>
  <c r="J149" i="5"/>
  <c r="I149" i="5"/>
  <c r="H149" i="5"/>
  <c r="G149" i="5"/>
  <c r="N148" i="5"/>
  <c r="M148" i="5"/>
  <c r="J148" i="5"/>
  <c r="I148" i="5"/>
  <c r="H148" i="5"/>
  <c r="G148" i="5"/>
  <c r="N147" i="5"/>
  <c r="M147" i="5"/>
  <c r="J147" i="5"/>
  <c r="I147" i="5"/>
  <c r="H147" i="5"/>
  <c r="G147" i="5"/>
  <c r="N146" i="5"/>
  <c r="M146" i="5"/>
  <c r="J146" i="5"/>
  <c r="I146" i="5"/>
  <c r="H146" i="5"/>
  <c r="G146" i="5"/>
  <c r="N145" i="5"/>
  <c r="M145" i="5"/>
  <c r="J145" i="5"/>
  <c r="I145" i="5"/>
  <c r="H145" i="5"/>
  <c r="G145" i="5"/>
  <c r="N144" i="5"/>
  <c r="M144" i="5"/>
  <c r="J144" i="5"/>
  <c r="I144" i="5"/>
  <c r="H144" i="5"/>
  <c r="G144" i="5"/>
  <c r="N143" i="5"/>
  <c r="M143" i="5"/>
  <c r="J143" i="5"/>
  <c r="I143" i="5"/>
  <c r="H143" i="5"/>
  <c r="G143" i="5"/>
  <c r="N142" i="5"/>
  <c r="M142" i="5"/>
  <c r="J142" i="5"/>
  <c r="I142" i="5"/>
  <c r="H142" i="5"/>
  <c r="G142" i="5"/>
  <c r="N141" i="5"/>
  <c r="M141" i="5"/>
  <c r="J141" i="5"/>
  <c r="I141" i="5"/>
  <c r="H141" i="5"/>
  <c r="G141" i="5"/>
  <c r="N140" i="5"/>
  <c r="M140" i="5"/>
  <c r="J140" i="5"/>
  <c r="I140" i="5"/>
  <c r="H140" i="5"/>
  <c r="G140" i="5"/>
  <c r="N139" i="5"/>
  <c r="M139" i="5"/>
  <c r="J139" i="5"/>
  <c r="I139" i="5"/>
  <c r="H139" i="5"/>
  <c r="G139" i="5"/>
  <c r="N138" i="5"/>
  <c r="M138" i="5"/>
  <c r="J138" i="5"/>
  <c r="I138" i="5"/>
  <c r="H138" i="5"/>
  <c r="G138" i="5"/>
  <c r="N137" i="5"/>
  <c r="M137" i="5"/>
  <c r="J137" i="5"/>
  <c r="I137" i="5"/>
  <c r="H137" i="5"/>
  <c r="G137" i="5"/>
  <c r="N136" i="5"/>
  <c r="M136" i="5"/>
  <c r="J136" i="5"/>
  <c r="I136" i="5"/>
  <c r="H136" i="5"/>
  <c r="G136" i="5"/>
  <c r="N135" i="5"/>
  <c r="M135" i="5"/>
  <c r="J135" i="5"/>
  <c r="I135" i="5"/>
  <c r="H135" i="5"/>
  <c r="G135" i="5"/>
  <c r="N134" i="5"/>
  <c r="M134" i="5"/>
  <c r="J134" i="5"/>
  <c r="I134" i="5"/>
  <c r="H134" i="5"/>
  <c r="G134" i="5"/>
  <c r="N133" i="5"/>
  <c r="M133" i="5"/>
  <c r="J133" i="5"/>
  <c r="I133" i="5"/>
  <c r="H133" i="5"/>
  <c r="G133" i="5"/>
  <c r="N132" i="5"/>
  <c r="M132" i="5"/>
  <c r="J132" i="5"/>
  <c r="I132" i="5"/>
  <c r="H132" i="5"/>
  <c r="G132" i="5"/>
  <c r="N131" i="5"/>
  <c r="M131" i="5"/>
  <c r="J131" i="5"/>
  <c r="I131" i="5"/>
  <c r="H131" i="5"/>
  <c r="G131" i="5"/>
  <c r="N130" i="5"/>
  <c r="M130" i="5"/>
  <c r="J130" i="5"/>
  <c r="I130" i="5"/>
  <c r="H130" i="5"/>
  <c r="G130" i="5"/>
  <c r="N129" i="5"/>
  <c r="M129" i="5"/>
  <c r="J129" i="5"/>
  <c r="I129" i="5"/>
  <c r="H129" i="5"/>
  <c r="G129" i="5"/>
  <c r="N128" i="5"/>
  <c r="M128" i="5"/>
  <c r="J128" i="5"/>
  <c r="I128" i="5"/>
  <c r="H128" i="5"/>
  <c r="G128" i="5"/>
  <c r="N127" i="5"/>
  <c r="M127" i="5"/>
  <c r="J127" i="5"/>
  <c r="I127" i="5"/>
  <c r="H127" i="5"/>
  <c r="G127" i="5"/>
  <c r="N126" i="5"/>
  <c r="M126" i="5"/>
  <c r="J126" i="5"/>
  <c r="I126" i="5"/>
  <c r="H126" i="5"/>
  <c r="G126" i="5"/>
  <c r="N125" i="5"/>
  <c r="M125" i="5"/>
  <c r="J125" i="5"/>
  <c r="I125" i="5"/>
  <c r="H125" i="5"/>
  <c r="G125" i="5"/>
  <c r="N124" i="5"/>
  <c r="M124" i="5"/>
  <c r="J124" i="5"/>
  <c r="I124" i="5"/>
  <c r="H124" i="5"/>
  <c r="G124" i="5"/>
  <c r="N123" i="5"/>
  <c r="M123" i="5"/>
  <c r="J123" i="5"/>
  <c r="I123" i="5"/>
  <c r="H123" i="5"/>
  <c r="G123" i="5"/>
  <c r="N122" i="5"/>
  <c r="M122" i="5"/>
  <c r="J122" i="5"/>
  <c r="I122" i="5"/>
  <c r="H122" i="5"/>
  <c r="G122" i="5"/>
  <c r="N121" i="5"/>
  <c r="M121" i="5"/>
  <c r="J121" i="5"/>
  <c r="I121" i="5"/>
  <c r="H121" i="5"/>
  <c r="G121" i="5"/>
  <c r="N120" i="5"/>
  <c r="M120" i="5"/>
  <c r="J120" i="5"/>
  <c r="I120" i="5"/>
  <c r="H120" i="5"/>
  <c r="G120" i="5"/>
  <c r="N119" i="5"/>
  <c r="M119" i="5"/>
  <c r="J119" i="5"/>
  <c r="I119" i="5"/>
  <c r="H119" i="5"/>
  <c r="G119" i="5"/>
  <c r="N118" i="5"/>
  <c r="M118" i="5"/>
  <c r="J118" i="5"/>
  <c r="I118" i="5"/>
  <c r="H118" i="5"/>
  <c r="G118" i="5"/>
  <c r="N117" i="5"/>
  <c r="M117" i="5"/>
  <c r="J117" i="5"/>
  <c r="I117" i="5"/>
  <c r="H117" i="5"/>
  <c r="G117" i="5"/>
  <c r="N116" i="5"/>
  <c r="M116" i="5"/>
  <c r="J116" i="5"/>
  <c r="I116" i="5"/>
  <c r="H116" i="5"/>
  <c r="G116" i="5"/>
  <c r="N115" i="5"/>
  <c r="M115" i="5"/>
  <c r="J115" i="5"/>
  <c r="I115" i="5"/>
  <c r="H115" i="5"/>
  <c r="G115" i="5"/>
  <c r="N114" i="5"/>
  <c r="M114" i="5"/>
  <c r="J114" i="5"/>
  <c r="I114" i="5"/>
  <c r="H114" i="5"/>
  <c r="G114" i="5"/>
  <c r="N113" i="5"/>
  <c r="M113" i="5"/>
  <c r="J113" i="5"/>
  <c r="I113" i="5"/>
  <c r="H113" i="5"/>
  <c r="G113" i="5"/>
  <c r="N112" i="5"/>
  <c r="M112" i="5"/>
  <c r="J112" i="5"/>
  <c r="I112" i="5"/>
  <c r="H112" i="5"/>
  <c r="G112" i="5"/>
  <c r="N111" i="5"/>
  <c r="M111" i="5"/>
  <c r="J111" i="5"/>
  <c r="I111" i="5"/>
  <c r="H111" i="5"/>
  <c r="G111" i="5"/>
  <c r="N110" i="5"/>
  <c r="M110" i="5"/>
  <c r="J110" i="5"/>
  <c r="I110" i="5"/>
  <c r="H110" i="5"/>
  <c r="G110" i="5"/>
  <c r="N109" i="5"/>
  <c r="M109" i="5"/>
  <c r="J109" i="5"/>
  <c r="I109" i="5"/>
  <c r="H109" i="5"/>
  <c r="G109" i="5"/>
  <c r="N108" i="5"/>
  <c r="M108" i="5"/>
  <c r="J108" i="5"/>
  <c r="I108" i="5"/>
  <c r="H108" i="5"/>
  <c r="G108" i="5"/>
  <c r="N107" i="5"/>
  <c r="M107" i="5"/>
  <c r="J107" i="5"/>
  <c r="I107" i="5"/>
  <c r="H107" i="5"/>
  <c r="G107" i="5"/>
  <c r="N106" i="5"/>
  <c r="M106" i="5"/>
  <c r="J106" i="5"/>
  <c r="I106" i="5"/>
  <c r="H106" i="5"/>
  <c r="G106" i="5"/>
  <c r="N105" i="5"/>
  <c r="M105" i="5"/>
  <c r="J105" i="5"/>
  <c r="I105" i="5"/>
  <c r="H105" i="5"/>
  <c r="G105" i="5"/>
  <c r="N104" i="5"/>
  <c r="M104" i="5"/>
  <c r="J104" i="5"/>
  <c r="I104" i="5"/>
  <c r="H104" i="5"/>
  <c r="G104" i="5"/>
  <c r="N103" i="5"/>
  <c r="M103" i="5"/>
  <c r="J103" i="5"/>
  <c r="I103" i="5"/>
  <c r="H103" i="5"/>
  <c r="G103" i="5"/>
  <c r="N102" i="5"/>
  <c r="M102" i="5"/>
  <c r="J102" i="5"/>
  <c r="I102" i="5"/>
  <c r="H102" i="5"/>
  <c r="G102" i="5"/>
  <c r="N101" i="5"/>
  <c r="M101" i="5"/>
  <c r="J101" i="5"/>
  <c r="I101" i="5"/>
  <c r="H101" i="5"/>
  <c r="G101" i="5"/>
  <c r="N100" i="5"/>
  <c r="M100" i="5"/>
  <c r="J100" i="5"/>
  <c r="I100" i="5"/>
  <c r="H100" i="5"/>
  <c r="G100" i="5"/>
  <c r="N99" i="5"/>
  <c r="M99" i="5"/>
  <c r="J99" i="5"/>
  <c r="I99" i="5"/>
  <c r="H99" i="5"/>
  <c r="G99" i="5"/>
  <c r="N98" i="5"/>
  <c r="M98" i="5"/>
  <c r="J98" i="5"/>
  <c r="I98" i="5"/>
  <c r="H98" i="5"/>
  <c r="G98" i="5"/>
  <c r="N97" i="5"/>
  <c r="M97" i="5"/>
  <c r="J97" i="5"/>
  <c r="I97" i="5"/>
  <c r="H97" i="5"/>
  <c r="G97" i="5"/>
  <c r="N96" i="5"/>
  <c r="M96" i="5"/>
  <c r="J96" i="5"/>
  <c r="I96" i="5"/>
  <c r="H96" i="5"/>
  <c r="G96" i="5"/>
  <c r="N95" i="5"/>
  <c r="M95" i="5"/>
  <c r="J95" i="5"/>
  <c r="I95" i="5"/>
  <c r="H95" i="5"/>
  <c r="G95" i="5"/>
  <c r="N94" i="5"/>
  <c r="M94" i="5"/>
  <c r="J94" i="5"/>
  <c r="I94" i="5"/>
  <c r="H94" i="5"/>
  <c r="G94" i="5"/>
  <c r="N93" i="5"/>
  <c r="M93" i="5"/>
  <c r="J93" i="5"/>
  <c r="I93" i="5"/>
  <c r="H93" i="5"/>
  <c r="G93" i="5"/>
  <c r="N92" i="5"/>
  <c r="M92" i="5"/>
  <c r="J92" i="5"/>
  <c r="I92" i="5"/>
  <c r="H92" i="5"/>
  <c r="G92" i="5"/>
  <c r="N91" i="5"/>
  <c r="M91" i="5"/>
  <c r="J91" i="5"/>
  <c r="I91" i="5"/>
  <c r="H91" i="5"/>
  <c r="G91" i="5"/>
  <c r="N90" i="5"/>
  <c r="M90" i="5"/>
  <c r="J90" i="5"/>
  <c r="I90" i="5"/>
  <c r="H90" i="5"/>
  <c r="G90" i="5"/>
  <c r="N89" i="5"/>
  <c r="M89" i="5"/>
  <c r="J89" i="5"/>
  <c r="I89" i="5"/>
  <c r="H89" i="5"/>
  <c r="G89" i="5"/>
  <c r="N88" i="5"/>
  <c r="M88" i="5"/>
  <c r="J88" i="5"/>
  <c r="I88" i="5"/>
  <c r="H88" i="5"/>
  <c r="G88" i="5"/>
  <c r="N87" i="5"/>
  <c r="M87" i="5"/>
  <c r="J87" i="5"/>
  <c r="I87" i="5"/>
  <c r="H87" i="5"/>
  <c r="G87" i="5"/>
  <c r="N86" i="5"/>
  <c r="M86" i="5"/>
  <c r="J86" i="5"/>
  <c r="I86" i="5"/>
  <c r="H86" i="5"/>
  <c r="G86" i="5"/>
  <c r="N85" i="5"/>
  <c r="M85" i="5"/>
  <c r="J85" i="5"/>
  <c r="I85" i="5"/>
  <c r="H85" i="5"/>
  <c r="G85" i="5"/>
  <c r="N84" i="5"/>
  <c r="M84" i="5"/>
  <c r="J84" i="5"/>
  <c r="I84" i="5"/>
  <c r="H84" i="5"/>
  <c r="G84" i="5"/>
  <c r="N83" i="5"/>
  <c r="M83" i="5"/>
  <c r="J83" i="5"/>
  <c r="I83" i="5"/>
  <c r="H83" i="5"/>
  <c r="G83" i="5"/>
  <c r="N82" i="5"/>
  <c r="M82" i="5"/>
  <c r="J82" i="5"/>
  <c r="I82" i="5"/>
  <c r="H82" i="5"/>
  <c r="G82" i="5"/>
  <c r="N81" i="5"/>
  <c r="M81" i="5"/>
  <c r="J81" i="5"/>
  <c r="I81" i="5"/>
  <c r="H81" i="5"/>
  <c r="G81" i="5"/>
  <c r="N80" i="5"/>
  <c r="M80" i="5"/>
  <c r="J80" i="5"/>
  <c r="I80" i="5"/>
  <c r="H80" i="5"/>
  <c r="G80" i="5"/>
  <c r="N79" i="5"/>
  <c r="M79" i="5"/>
  <c r="J79" i="5"/>
  <c r="I79" i="5"/>
  <c r="H79" i="5"/>
  <c r="G79" i="5"/>
  <c r="N78" i="5"/>
  <c r="M78" i="5"/>
  <c r="J78" i="5"/>
  <c r="I78" i="5"/>
  <c r="H78" i="5"/>
  <c r="G78" i="5"/>
  <c r="N77" i="5"/>
  <c r="M77" i="5"/>
  <c r="J77" i="5"/>
  <c r="I77" i="5"/>
  <c r="H77" i="5"/>
  <c r="G77" i="5"/>
  <c r="N76" i="5"/>
  <c r="M76" i="5"/>
  <c r="J76" i="5"/>
  <c r="I76" i="5"/>
  <c r="H76" i="5"/>
  <c r="G76" i="5"/>
  <c r="N75" i="5"/>
  <c r="M75" i="5"/>
  <c r="J75" i="5"/>
  <c r="I75" i="5"/>
  <c r="H75" i="5"/>
  <c r="G75" i="5"/>
  <c r="N74" i="5"/>
  <c r="M74" i="5"/>
  <c r="J74" i="5"/>
  <c r="I74" i="5"/>
  <c r="H74" i="5"/>
  <c r="G74" i="5"/>
  <c r="N73" i="5"/>
  <c r="M73" i="5"/>
  <c r="J73" i="5"/>
  <c r="I73" i="5"/>
  <c r="H73" i="5"/>
  <c r="G73" i="5"/>
  <c r="N72" i="5"/>
  <c r="M72" i="5"/>
  <c r="J72" i="5"/>
  <c r="I72" i="5"/>
  <c r="H72" i="5"/>
  <c r="G72" i="5"/>
  <c r="N71" i="5"/>
  <c r="M71" i="5"/>
  <c r="J71" i="5"/>
  <c r="I71" i="5"/>
  <c r="H71" i="5"/>
  <c r="G71" i="5"/>
  <c r="N70" i="5"/>
  <c r="M70" i="5"/>
  <c r="J70" i="5"/>
  <c r="I70" i="5"/>
  <c r="H70" i="5"/>
  <c r="G70" i="5"/>
  <c r="N69" i="5"/>
  <c r="M69" i="5"/>
  <c r="J69" i="5"/>
  <c r="I69" i="5"/>
  <c r="H69" i="5"/>
  <c r="G69" i="5"/>
  <c r="N68" i="5"/>
  <c r="M68" i="5"/>
  <c r="J68" i="5"/>
  <c r="I68" i="5"/>
  <c r="H68" i="5"/>
  <c r="G68" i="5"/>
  <c r="N67" i="5"/>
  <c r="M67" i="5"/>
  <c r="J67" i="5"/>
  <c r="I67" i="5"/>
  <c r="H67" i="5"/>
  <c r="G67" i="5"/>
  <c r="N66" i="5"/>
  <c r="M66" i="5"/>
  <c r="J66" i="5"/>
  <c r="I66" i="5"/>
  <c r="H66" i="5"/>
  <c r="G66" i="5"/>
  <c r="N65" i="5"/>
  <c r="M65" i="5"/>
  <c r="J65" i="5"/>
  <c r="I65" i="5"/>
  <c r="H65" i="5"/>
  <c r="G65" i="5"/>
  <c r="N64" i="5"/>
  <c r="M64" i="5"/>
  <c r="J64" i="5"/>
  <c r="I64" i="5"/>
  <c r="H64" i="5"/>
  <c r="G64" i="5"/>
  <c r="N63" i="5"/>
  <c r="M63" i="5"/>
  <c r="J63" i="5"/>
  <c r="I63" i="5"/>
  <c r="H63" i="5"/>
  <c r="G63" i="5"/>
  <c r="N62" i="5"/>
  <c r="M62" i="5"/>
  <c r="J62" i="5"/>
  <c r="I62" i="5"/>
  <c r="H62" i="5"/>
  <c r="G62" i="5"/>
  <c r="N61" i="5"/>
  <c r="M61" i="5"/>
  <c r="J61" i="5"/>
  <c r="I61" i="5"/>
  <c r="H61" i="5"/>
  <c r="G61" i="5"/>
  <c r="N60" i="5"/>
  <c r="M60" i="5"/>
  <c r="J60" i="5"/>
  <c r="I60" i="5"/>
  <c r="H60" i="5"/>
  <c r="G60" i="5"/>
  <c r="N59" i="5"/>
  <c r="M59" i="5"/>
  <c r="J59" i="5"/>
  <c r="I59" i="5"/>
  <c r="H59" i="5"/>
  <c r="G59" i="5"/>
  <c r="N58" i="5"/>
  <c r="M58" i="5"/>
  <c r="J58" i="5"/>
  <c r="I58" i="5"/>
  <c r="H58" i="5"/>
  <c r="G58" i="5"/>
  <c r="N57" i="5"/>
  <c r="M57" i="5"/>
  <c r="J57" i="5"/>
  <c r="I57" i="5"/>
  <c r="H57" i="5"/>
  <c r="G57" i="5"/>
  <c r="N56" i="5"/>
  <c r="M56" i="5"/>
  <c r="J56" i="5"/>
  <c r="I56" i="5"/>
  <c r="H56" i="5"/>
  <c r="G56" i="5"/>
  <c r="N55" i="5"/>
  <c r="M55" i="5"/>
  <c r="J55" i="5"/>
  <c r="I55" i="5"/>
  <c r="H55" i="5"/>
  <c r="G55" i="5"/>
  <c r="N54" i="5"/>
  <c r="M54" i="5"/>
  <c r="J54" i="5"/>
  <c r="I54" i="5"/>
  <c r="H54" i="5"/>
  <c r="G54" i="5"/>
  <c r="N53" i="5"/>
  <c r="M53" i="5"/>
  <c r="J53" i="5"/>
  <c r="I53" i="5"/>
  <c r="H53" i="5"/>
  <c r="G53" i="5"/>
  <c r="N52" i="5"/>
  <c r="M52" i="5"/>
  <c r="J52" i="5"/>
  <c r="I52" i="5"/>
  <c r="H52" i="5"/>
  <c r="G52" i="5"/>
  <c r="N51" i="5"/>
  <c r="M51" i="5"/>
  <c r="J51" i="5"/>
  <c r="I51" i="5"/>
  <c r="H51" i="5"/>
  <c r="G51" i="5"/>
  <c r="N50" i="5"/>
  <c r="M50" i="5"/>
  <c r="J50" i="5"/>
  <c r="I50" i="5"/>
  <c r="H50" i="5"/>
  <c r="G50" i="5"/>
  <c r="N49" i="5"/>
  <c r="M49" i="5"/>
  <c r="J49" i="5"/>
  <c r="I49" i="5"/>
  <c r="H49" i="5"/>
  <c r="G49" i="5"/>
  <c r="N48" i="5"/>
  <c r="M48" i="5"/>
  <c r="J48" i="5"/>
  <c r="I48" i="5"/>
  <c r="H48" i="5"/>
  <c r="G48" i="5"/>
  <c r="N47" i="5"/>
  <c r="M47" i="5"/>
  <c r="J47" i="5"/>
  <c r="I47" i="5"/>
  <c r="H47" i="5"/>
  <c r="G47" i="5"/>
  <c r="N46" i="5"/>
  <c r="M46" i="5"/>
  <c r="J46" i="5"/>
  <c r="I46" i="5"/>
  <c r="H46" i="5"/>
  <c r="G46" i="5"/>
  <c r="N45" i="5"/>
  <c r="M45" i="5"/>
  <c r="J45" i="5"/>
  <c r="I45" i="5"/>
  <c r="H45" i="5"/>
  <c r="G45" i="5"/>
  <c r="N44" i="5"/>
  <c r="M44" i="5"/>
  <c r="J44" i="5"/>
  <c r="I44" i="5"/>
  <c r="H44" i="5"/>
  <c r="G44" i="5"/>
  <c r="N43" i="5"/>
  <c r="M43" i="5"/>
  <c r="J43" i="5"/>
  <c r="I43" i="5"/>
  <c r="H43" i="5"/>
  <c r="G43" i="5"/>
  <c r="N42" i="5"/>
  <c r="M42" i="5"/>
  <c r="J42" i="5"/>
  <c r="I42" i="5"/>
  <c r="H42" i="5"/>
  <c r="G42" i="5"/>
  <c r="N41" i="5"/>
  <c r="M41" i="5"/>
  <c r="J41" i="5"/>
  <c r="I41" i="5"/>
  <c r="H41" i="5"/>
  <c r="G41" i="5"/>
  <c r="N40" i="5"/>
  <c r="M40" i="5"/>
  <c r="J40" i="5"/>
  <c r="I40" i="5"/>
  <c r="H40" i="5"/>
  <c r="G40" i="5"/>
  <c r="N39" i="5"/>
  <c r="M39" i="5"/>
  <c r="J39" i="5"/>
  <c r="I39" i="5"/>
  <c r="H39" i="5"/>
  <c r="G39" i="5"/>
  <c r="N38" i="5"/>
  <c r="M38" i="5"/>
  <c r="J38" i="5"/>
  <c r="I38" i="5"/>
  <c r="H38" i="5"/>
  <c r="G38" i="5"/>
  <c r="N37" i="5"/>
  <c r="M37" i="5"/>
  <c r="J37" i="5"/>
  <c r="I37" i="5"/>
  <c r="H37" i="5"/>
  <c r="G37" i="5"/>
  <c r="N36" i="5"/>
  <c r="M36" i="5"/>
  <c r="J36" i="5"/>
  <c r="I36" i="5"/>
  <c r="H36" i="5"/>
  <c r="G36" i="5"/>
  <c r="N35" i="5"/>
  <c r="M35" i="5"/>
  <c r="J35" i="5"/>
  <c r="I35" i="5"/>
  <c r="H35" i="5"/>
  <c r="G35" i="5"/>
  <c r="J34" i="5"/>
  <c r="I34" i="5"/>
  <c r="H34" i="5"/>
  <c r="G34" i="5"/>
  <c r="J33" i="5"/>
  <c r="I33" i="5"/>
  <c r="H33" i="5"/>
  <c r="G33" i="5"/>
  <c r="J32" i="5"/>
  <c r="I32" i="5"/>
  <c r="H32" i="5"/>
  <c r="G32" i="5"/>
  <c r="J31" i="5"/>
  <c r="I31" i="5"/>
  <c r="H31" i="5"/>
  <c r="G31" i="5"/>
  <c r="J30" i="5"/>
  <c r="I30" i="5"/>
  <c r="H30" i="5"/>
  <c r="G30" i="5"/>
  <c r="J29" i="5"/>
  <c r="I29" i="5"/>
  <c r="H29" i="5"/>
  <c r="G29" i="5"/>
  <c r="J28" i="5"/>
  <c r="I28" i="5"/>
  <c r="H28" i="5"/>
  <c r="G28" i="5"/>
  <c r="J27" i="5"/>
  <c r="I27" i="5"/>
  <c r="H27" i="5"/>
  <c r="G27" i="5"/>
  <c r="J26" i="5"/>
  <c r="I26" i="5"/>
  <c r="H26" i="5"/>
  <c r="G26" i="5"/>
  <c r="J25" i="5"/>
  <c r="I25" i="5"/>
  <c r="H25" i="5"/>
  <c r="G25" i="5"/>
  <c r="J24" i="5"/>
  <c r="I24" i="5"/>
  <c r="H24" i="5"/>
  <c r="G24" i="5"/>
  <c r="J23" i="5"/>
  <c r="I23" i="5"/>
  <c r="H23" i="5"/>
  <c r="G23" i="5"/>
  <c r="J22" i="5"/>
  <c r="I22" i="5"/>
  <c r="H22" i="5"/>
  <c r="G22" i="5"/>
  <c r="J21" i="5"/>
  <c r="I21" i="5"/>
  <c r="H21" i="5"/>
  <c r="G21" i="5"/>
  <c r="J20" i="5"/>
  <c r="I20" i="5"/>
  <c r="H20" i="5"/>
  <c r="G20" i="5"/>
  <c r="J19" i="5"/>
  <c r="I19" i="5"/>
  <c r="H19" i="5"/>
  <c r="G19" i="5"/>
  <c r="J18" i="5"/>
  <c r="I18" i="5"/>
  <c r="H18" i="5"/>
  <c r="G18" i="5"/>
  <c r="J17" i="5"/>
  <c r="I17" i="5"/>
  <c r="H17" i="5"/>
  <c r="G17" i="5"/>
  <c r="J16" i="5"/>
  <c r="I16" i="5"/>
  <c r="H16" i="5"/>
  <c r="G16" i="5"/>
  <c r="J15" i="5"/>
  <c r="I15" i="5"/>
  <c r="H15" i="5"/>
  <c r="G15" i="5"/>
  <c r="J14" i="5"/>
  <c r="I14" i="5"/>
  <c r="H14" i="5"/>
  <c r="G14" i="5"/>
  <c r="J13" i="5"/>
  <c r="I13" i="5"/>
  <c r="H13" i="5"/>
  <c r="G13" i="5"/>
  <c r="J12" i="5"/>
  <c r="I12" i="5"/>
  <c r="H12" i="5"/>
  <c r="G12" i="5"/>
  <c r="J11" i="5"/>
  <c r="I11" i="5"/>
  <c r="H11" i="5"/>
  <c r="G11" i="5"/>
  <c r="J10" i="5"/>
  <c r="I10" i="5"/>
  <c r="H10" i="5"/>
  <c r="G10" i="5"/>
  <c r="J9" i="5"/>
  <c r="I9" i="5"/>
  <c r="H9" i="5"/>
  <c r="G9" i="5"/>
  <c r="J8" i="5"/>
  <c r="I8" i="5"/>
  <c r="H8" i="5"/>
  <c r="G8" i="5"/>
  <c r="J7" i="5"/>
  <c r="I7" i="5"/>
  <c r="H7" i="5"/>
  <c r="G7" i="5"/>
  <c r="J6" i="5"/>
  <c r="I6" i="5"/>
  <c r="H6" i="5"/>
  <c r="G6" i="5"/>
  <c r="J5" i="5"/>
  <c r="I5" i="5"/>
  <c r="H5" i="5"/>
  <c r="G5" i="5"/>
  <c r="J4" i="5"/>
  <c r="I4" i="5"/>
  <c r="H4" i="5"/>
  <c r="G4" i="5"/>
  <c r="J3" i="5"/>
  <c r="I3" i="5"/>
  <c r="H3" i="5"/>
  <c r="G3" i="5"/>
  <c r="H2" i="5"/>
  <c r="I2" i="5"/>
  <c r="J2" i="5"/>
  <c r="T6" i="5" l="1"/>
  <c r="K2" i="5"/>
  <c r="L148" i="5"/>
  <c r="L82" i="5"/>
  <c r="L112" i="5"/>
  <c r="L118" i="5"/>
  <c r="L85" i="5"/>
  <c r="L58" i="5"/>
  <c r="K68" i="5"/>
  <c r="K18" i="5"/>
  <c r="K36" i="5"/>
  <c r="L136" i="5"/>
  <c r="L158" i="5"/>
  <c r="K160" i="5"/>
  <c r="K42" i="5"/>
  <c r="L13" i="5"/>
  <c r="L15" i="5"/>
  <c r="L25" i="5"/>
  <c r="L27" i="5"/>
  <c r="L31" i="5"/>
  <c r="L35" i="5"/>
  <c r="L43" i="5"/>
  <c r="L145" i="5"/>
  <c r="L167" i="5"/>
  <c r="K169" i="5"/>
  <c r="L171" i="5"/>
  <c r="L173" i="5"/>
  <c r="K175" i="5"/>
  <c r="L151" i="5"/>
  <c r="K153" i="5"/>
  <c r="L10" i="5"/>
  <c r="L12" i="5"/>
  <c r="L14" i="5"/>
  <c r="L65" i="5"/>
  <c r="L67" i="5"/>
  <c r="L8" i="5"/>
  <c r="K6" i="5"/>
  <c r="L16" i="5"/>
  <c r="L18" i="5"/>
  <c r="K53" i="5"/>
  <c r="K59" i="5"/>
  <c r="L142" i="5"/>
  <c r="K32" i="5"/>
  <c r="L36" i="5"/>
  <c r="K93" i="5"/>
  <c r="L166" i="5"/>
  <c r="L178" i="5"/>
  <c r="L123" i="5"/>
  <c r="L131" i="5"/>
  <c r="L135" i="5"/>
  <c r="K24" i="5"/>
  <c r="L48" i="5"/>
  <c r="K50" i="5"/>
  <c r="L56" i="5"/>
  <c r="L109" i="5"/>
  <c r="K113" i="5"/>
  <c r="L115" i="5"/>
  <c r="L121" i="5"/>
  <c r="L137" i="5"/>
  <c r="L129" i="5"/>
  <c r="K133" i="5"/>
  <c r="K44" i="5"/>
  <c r="L155" i="5"/>
  <c r="K157" i="5"/>
  <c r="K9" i="5"/>
  <c r="L88" i="5"/>
  <c r="L98" i="5"/>
  <c r="K100" i="5"/>
  <c r="L110" i="5"/>
  <c r="K112" i="5"/>
  <c r="K149" i="5"/>
  <c r="K165" i="5"/>
  <c r="K56" i="5"/>
  <c r="K161" i="5"/>
  <c r="L163" i="5"/>
  <c r="L134" i="5"/>
  <c r="K136" i="5"/>
  <c r="L157" i="5"/>
  <c r="K3" i="5"/>
  <c r="K15" i="5"/>
  <c r="K21" i="5"/>
  <c r="L49" i="5"/>
  <c r="L76" i="5"/>
  <c r="L124" i="5"/>
  <c r="K126" i="5"/>
  <c r="K132" i="5"/>
  <c r="K47" i="5"/>
  <c r="K122" i="5"/>
  <c r="L152" i="5"/>
  <c r="K154" i="5"/>
  <c r="K86" i="5"/>
  <c r="K90" i="5"/>
  <c r="K96" i="5"/>
  <c r="K129" i="5"/>
  <c r="K167" i="5"/>
  <c r="K171" i="5"/>
  <c r="K33" i="5"/>
  <c r="K92" i="5"/>
  <c r="L94" i="5"/>
  <c r="K125" i="5"/>
  <c r="L127" i="5"/>
  <c r="K131" i="5"/>
  <c r="K135" i="5"/>
  <c r="K152" i="5"/>
  <c r="K156" i="5"/>
  <c r="K150" i="5"/>
  <c r="K27" i="5"/>
  <c r="K39" i="5"/>
  <c r="K54" i="5"/>
  <c r="K65" i="5"/>
  <c r="L81" i="5"/>
  <c r="K98" i="5"/>
  <c r="K102" i="5"/>
  <c r="K108" i="5"/>
  <c r="L114" i="5"/>
  <c r="K141" i="5"/>
  <c r="L143" i="5"/>
  <c r="K145" i="5"/>
  <c r="L169" i="5"/>
  <c r="K173" i="5"/>
  <c r="K123" i="5"/>
  <c r="L5" i="5"/>
  <c r="L22" i="5"/>
  <c r="L37" i="5"/>
  <c r="K104" i="5"/>
  <c r="L106" i="5"/>
  <c r="K110" i="5"/>
  <c r="K114" i="5"/>
  <c r="L133" i="5"/>
  <c r="K137" i="5"/>
  <c r="L139" i="5"/>
  <c r="L147" i="5"/>
  <c r="L154" i="5"/>
  <c r="K158" i="5"/>
  <c r="K162" i="5"/>
  <c r="L164" i="5"/>
  <c r="K166" i="5"/>
  <c r="K146" i="5"/>
  <c r="L20" i="5"/>
  <c r="K12" i="5"/>
  <c r="L24" i="5"/>
  <c r="L3" i="5"/>
  <c r="L7" i="5"/>
  <c r="L9" i="5"/>
  <c r="L26" i="5"/>
  <c r="L47" i="5"/>
  <c r="L73" i="5"/>
  <c r="L79" i="5"/>
  <c r="L100" i="5"/>
  <c r="K116" i="5"/>
  <c r="K120" i="5"/>
  <c r="K143" i="5"/>
  <c r="K147" i="5"/>
  <c r="L149" i="5"/>
  <c r="K151" i="5"/>
  <c r="L175" i="5"/>
  <c r="L11" i="5"/>
  <c r="L28" i="5"/>
  <c r="L30" i="5"/>
  <c r="K45" i="5"/>
  <c r="L66" i="5"/>
  <c r="L93" i="5"/>
  <c r="L95" i="5"/>
  <c r="K97" i="5"/>
  <c r="L128" i="5"/>
  <c r="L153" i="5"/>
  <c r="L160" i="5"/>
  <c r="K164" i="5"/>
  <c r="K168" i="5"/>
  <c r="L170" i="5"/>
  <c r="K172" i="5"/>
  <c r="L17" i="5"/>
  <c r="K40" i="5"/>
  <c r="K62" i="5"/>
  <c r="L74" i="5"/>
  <c r="K76" i="5"/>
  <c r="K89" i="5"/>
  <c r="L91" i="5"/>
  <c r="K95" i="5"/>
  <c r="L107" i="5"/>
  <c r="L111" i="5"/>
  <c r="K128" i="5"/>
  <c r="L130" i="5"/>
  <c r="L140" i="5"/>
  <c r="K142" i="5"/>
  <c r="L159" i="5"/>
  <c r="K170" i="5"/>
  <c r="L176" i="5"/>
  <c r="K178" i="5"/>
  <c r="L21" i="5"/>
  <c r="L57" i="5"/>
  <c r="L78" i="5"/>
  <c r="K105" i="5"/>
  <c r="K111" i="5"/>
  <c r="L117" i="5"/>
  <c r="K134" i="5"/>
  <c r="K138" i="5"/>
  <c r="K155" i="5"/>
  <c r="K159" i="5"/>
  <c r="L161" i="5"/>
  <c r="K163" i="5"/>
  <c r="K63" i="5"/>
  <c r="K119" i="5"/>
  <c r="L19" i="5"/>
  <c r="L4" i="5"/>
  <c r="L6" i="5"/>
  <c r="L23" i="5"/>
  <c r="K74" i="5"/>
  <c r="L97" i="5"/>
  <c r="K101" i="5"/>
  <c r="L103" i="5"/>
  <c r="K107" i="5"/>
  <c r="K117" i="5"/>
  <c r="K140" i="5"/>
  <c r="K144" i="5"/>
  <c r="L146" i="5"/>
  <c r="K148" i="5"/>
  <c r="L165" i="5"/>
  <c r="L172" i="5"/>
  <c r="K176" i="5"/>
  <c r="L29" i="5"/>
  <c r="K34" i="5"/>
  <c r="K46" i="5"/>
  <c r="K55" i="5"/>
  <c r="K64" i="5"/>
  <c r="L75" i="5"/>
  <c r="L92" i="5"/>
  <c r="K94" i="5"/>
  <c r="K130" i="5"/>
  <c r="L41" i="5"/>
  <c r="K71" i="5"/>
  <c r="K75" i="5"/>
  <c r="L77" i="5"/>
  <c r="K79" i="5"/>
  <c r="L96" i="5"/>
  <c r="L113" i="5"/>
  <c r="K115" i="5"/>
  <c r="L132" i="5"/>
  <c r="L168" i="5"/>
  <c r="K43" i="5"/>
  <c r="K48" i="5"/>
  <c r="L50" i="5"/>
  <c r="K57" i="5"/>
  <c r="L59" i="5"/>
  <c r="K66" i="5"/>
  <c r="L68" i="5"/>
  <c r="K77" i="5"/>
  <c r="K81" i="5"/>
  <c r="L83" i="5"/>
  <c r="K85" i="5"/>
  <c r="L102" i="5"/>
  <c r="L119" i="5"/>
  <c r="K121" i="5"/>
  <c r="L138" i="5"/>
  <c r="K8" i="5"/>
  <c r="K11" i="5"/>
  <c r="K14" i="5"/>
  <c r="K17" i="5"/>
  <c r="K20" i="5"/>
  <c r="K23" i="5"/>
  <c r="K26" i="5"/>
  <c r="K29" i="5"/>
  <c r="L34" i="5"/>
  <c r="L38" i="5"/>
  <c r="L46" i="5"/>
  <c r="K52" i="5"/>
  <c r="L55" i="5"/>
  <c r="K61" i="5"/>
  <c r="L64" i="5"/>
  <c r="K70" i="5"/>
  <c r="L87" i="5"/>
  <c r="L104" i="5"/>
  <c r="K106" i="5"/>
  <c r="L174" i="5"/>
  <c r="K174" i="5"/>
  <c r="K5" i="5"/>
  <c r="L33" i="5"/>
  <c r="K41" i="5"/>
  <c r="L45" i="5"/>
  <c r="L72" i="5"/>
  <c r="K83" i="5"/>
  <c r="K87" i="5"/>
  <c r="L89" i="5"/>
  <c r="K91" i="5"/>
  <c r="L108" i="5"/>
  <c r="L125" i="5"/>
  <c r="K127" i="5"/>
  <c r="L144" i="5"/>
  <c r="K31" i="5"/>
  <c r="L54" i="5"/>
  <c r="L63" i="5"/>
  <c r="K72" i="5"/>
  <c r="L150" i="5"/>
  <c r="K7" i="5"/>
  <c r="K10" i="5"/>
  <c r="K13" i="5"/>
  <c r="K16" i="5"/>
  <c r="K19" i="5"/>
  <c r="K22" i="5"/>
  <c r="K25" i="5"/>
  <c r="K28" i="5"/>
  <c r="K38" i="5"/>
  <c r="L42" i="5"/>
  <c r="K49" i="5"/>
  <c r="L52" i="5"/>
  <c r="K58" i="5"/>
  <c r="L61" i="5"/>
  <c r="K67" i="5"/>
  <c r="L70" i="5"/>
  <c r="K78" i="5"/>
  <c r="L80" i="5"/>
  <c r="K82" i="5"/>
  <c r="L99" i="5"/>
  <c r="L116" i="5"/>
  <c r="K118" i="5"/>
  <c r="K4" i="5"/>
  <c r="K37" i="5"/>
  <c r="L84" i="5"/>
  <c r="K99" i="5"/>
  <c r="L101" i="5"/>
  <c r="K103" i="5"/>
  <c r="L120" i="5"/>
  <c r="K139" i="5"/>
  <c r="L156" i="5"/>
  <c r="L32" i="5"/>
  <c r="L40" i="5"/>
  <c r="L44" i="5"/>
  <c r="L51" i="5"/>
  <c r="L60" i="5"/>
  <c r="L69" i="5"/>
  <c r="K80" i="5"/>
  <c r="K84" i="5"/>
  <c r="L86" i="5"/>
  <c r="K88" i="5"/>
  <c r="L105" i="5"/>
  <c r="L122" i="5"/>
  <c r="K124" i="5"/>
  <c r="L141" i="5"/>
  <c r="K30" i="5"/>
  <c r="K35" i="5"/>
  <c r="L39" i="5"/>
  <c r="K51" i="5"/>
  <c r="L53" i="5"/>
  <c r="K60" i="5"/>
  <c r="L62" i="5"/>
  <c r="K69" i="5"/>
  <c r="L71" i="5"/>
  <c r="K73" i="5"/>
  <c r="L90" i="5"/>
  <c r="K109" i="5"/>
  <c r="L126" i="5"/>
  <c r="L162" i="5"/>
  <c r="L177" i="5"/>
  <c r="K177" i="5"/>
  <c r="T7" i="5" l="1"/>
  <c r="T8" i="5" l="1"/>
  <c r="L2" i="5"/>
  <c r="T9" i="5" l="1"/>
  <c r="T10" i="5" l="1"/>
  <c r="T11" i="5" l="1"/>
  <c r="T12" i="5" l="1"/>
  <c r="T13" i="5" l="1"/>
  <c r="T14" i="5" l="1"/>
  <c r="T15" i="5" l="1"/>
  <c r="T16" i="5" l="1"/>
  <c r="T17" i="5" l="1"/>
  <c r="T18" i="5" l="1"/>
  <c r="T19" i="5" l="1"/>
  <c r="T20" i="5" l="1"/>
  <c r="T21" i="5" l="1"/>
  <c r="T22" i="5" l="1"/>
  <c r="T23" i="5" l="1"/>
  <c r="T24" i="5" l="1"/>
  <c r="T25" i="5" l="1"/>
  <c r="T26" i="5" l="1"/>
  <c r="T27" i="5" l="1"/>
  <c r="T28" i="5" l="1"/>
  <c r="T29" i="5" l="1"/>
  <c r="T30" i="5" l="1"/>
  <c r="T31" i="5" l="1"/>
  <c r="T32" i="5" l="1"/>
  <c r="T33" i="5" l="1"/>
  <c r="T34" i="5" l="1"/>
  <c r="T35" i="5" l="1"/>
  <c r="T36" i="5" l="1"/>
  <c r="T37" i="5" l="1"/>
  <c r="T38" i="5" l="1"/>
  <c r="T39" i="5" l="1"/>
  <c r="T40" i="5" l="1"/>
  <c r="T41" i="5" l="1"/>
  <c r="T42" i="5"/>
</calcChain>
</file>

<file path=xl/sharedStrings.xml><?xml version="1.0" encoding="utf-8"?>
<sst xmlns="http://schemas.openxmlformats.org/spreadsheetml/2006/main" count="88" uniqueCount="88">
  <si>
    <t>Offset</t>
  </si>
  <si>
    <t>S11 Re</t>
  </si>
  <si>
    <t>S11 Im</t>
  </si>
  <si>
    <t>S21 Re</t>
  </si>
  <si>
    <t>S21 Im</t>
  </si>
  <si>
    <t>Z11 Re</t>
  </si>
  <si>
    <t>Z11 Im</t>
  </si>
  <si>
    <t>Z12 Re</t>
  </si>
  <si>
    <t>Z12 Im</t>
  </si>
  <si>
    <t>L=Lcav</t>
  </si>
  <si>
    <t>Re[Vcav]</t>
  </si>
  <si>
    <t>Im[Vcav]</t>
  </si>
  <si>
    <t>Re[Vrad]</t>
  </si>
  <si>
    <t>Im[Vrad]</t>
  </si>
  <si>
    <t>|rho|</t>
  </si>
  <si>
    <t>arg(rho)</t>
  </si>
  <si>
    <t>Rself</t>
  </si>
  <si>
    <t>Xself</t>
  </si>
  <si>
    <t>Gself</t>
  </si>
  <si>
    <t>Bself</t>
  </si>
  <si>
    <t>Column1</t>
  </si>
  <si>
    <t>Column2</t>
  </si>
  <si>
    <t>Peak1</t>
  </si>
  <si>
    <t>Bzero1</t>
  </si>
  <si>
    <t>Peak2</t>
  </si>
  <si>
    <t>Bzero2</t>
  </si>
  <si>
    <t>Peak3</t>
  </si>
  <si>
    <t>Bzero3</t>
  </si>
  <si>
    <t>Peak4</t>
  </si>
  <si>
    <t>Bzero4</t>
  </si>
  <si>
    <t>Peak5</t>
  </si>
  <si>
    <t>Bzero5</t>
  </si>
  <si>
    <t>Peak6</t>
  </si>
  <si>
    <t>Bzero6</t>
  </si>
  <si>
    <t>Peak7</t>
  </si>
  <si>
    <t>Bzero7</t>
  </si>
  <si>
    <t>Peak8</t>
  </si>
  <si>
    <t>Bzero8</t>
  </si>
  <si>
    <t>Peak9</t>
  </si>
  <si>
    <t>Bzero9</t>
  </si>
  <si>
    <t>Peak10</t>
  </si>
  <si>
    <t>Bzero10</t>
  </si>
  <si>
    <t>Peak11</t>
  </si>
  <si>
    <t>Bzero11</t>
  </si>
  <si>
    <t>Peak12</t>
  </si>
  <si>
    <t>Bzero12</t>
  </si>
  <si>
    <t>Peak13</t>
  </si>
  <si>
    <t>Bzero13</t>
  </si>
  <si>
    <t>Peak14</t>
  </si>
  <si>
    <t>Bzero14</t>
  </si>
  <si>
    <t>Peak15</t>
  </si>
  <si>
    <t>Bzero15</t>
  </si>
  <si>
    <t>Peak16</t>
  </si>
  <si>
    <t>Bzero16</t>
  </si>
  <si>
    <t>Peak17</t>
  </si>
  <si>
    <t>Bzero17</t>
  </si>
  <si>
    <t>Peak18</t>
  </si>
  <si>
    <t>Bzero18</t>
  </si>
  <si>
    <t>Peak19</t>
  </si>
  <si>
    <t>Bzero19</t>
  </si>
  <si>
    <t>Peak20</t>
  </si>
  <si>
    <t>Bzero20</t>
  </si>
  <si>
    <t>Peak21</t>
  </si>
  <si>
    <t>Bzero21</t>
  </si>
  <si>
    <t>Peak22</t>
  </si>
  <si>
    <t>Bzero22</t>
  </si>
  <si>
    <t>Peak23</t>
  </si>
  <si>
    <t>Bzero23</t>
  </si>
  <si>
    <t>Peak24</t>
  </si>
  <si>
    <t>Bzero24</t>
  </si>
  <si>
    <t>Peak25</t>
  </si>
  <si>
    <t>Bzero25</t>
  </si>
  <si>
    <t>Peak26</t>
  </si>
  <si>
    <t>Bzero26</t>
  </si>
  <si>
    <t>Peak27</t>
  </si>
  <si>
    <t>Bzero27</t>
  </si>
  <si>
    <t>Peak28</t>
  </si>
  <si>
    <t>Bzero28</t>
  </si>
  <si>
    <t>Peak29</t>
  </si>
  <si>
    <t>Bzero29</t>
  </si>
  <si>
    <t>Peak30</t>
  </si>
  <si>
    <t>Bzero30</t>
  </si>
  <si>
    <t>Peak31</t>
  </si>
  <si>
    <t>Bzero31</t>
  </si>
  <si>
    <t>Peak32</t>
  </si>
  <si>
    <t>Bzero32</t>
  </si>
  <si>
    <t>Peak33</t>
  </si>
  <si>
    <t>Bzero33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</si>
</sst>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5">
    <xf numFmtId="0" fontId="0" fillId="0" borderId="0" xfId="0"/>
    <xf numFmtId="0" fontId="1" fillId="5" borderId="0" xfId="4" applyFont="1" applyAlignment="1">
      <alignment horizontal="center"/>
    </xf>
    <xf numFmtId="0" fontId="1" fillId="2" borderId="0" xfId="1" applyFont="1" applyAlignment="1">
      <alignment horizontal="center"/>
    </xf>
    <xf numFmtId="0" fontId="1" fillId="3" borderId="0" xfId="2" applyFont="1" applyAlignment="1">
      <alignment horizontal="center"/>
    </xf>
    <xf numFmtId="11" fontId="0" fillId="0" borderId="0" xfId="0" applyNumberFormat="1"/>
    <xf numFmtId="164" fontId="0" fillId="0" borderId="0" xfId="0" applyNumberFormat="1"/>
    <xf numFmtId="0" fontId="1" fillId="6" borderId="0" xfId="3" applyFont="1" applyFill="1" applyAlignment="1">
      <alignment horizontal="center"/>
    </xf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3" fillId="9" borderId="0" xfId="0" applyFont="1" applyFill="1"/>
    <xf numFmtId="0" fontId="0" fillId="0" borderId="1" xfId="0" applyBorder="1"/>
  </cellXfs>
  <cellStyles count="5">
    <cellStyle name="60% - Accent1" xfId="1" builtinId="32"/>
    <cellStyle name="60% - Accent3" xfId="2" builtinId="40"/>
    <cellStyle name="60% - Accent4" xfId="3" builtinId="44"/>
    <cellStyle name="Accent6" xfId="4" builtinId="49"/>
    <cellStyle name="Normal" xfId="0" builtinId="0"/>
  </cellStyles>
  <dxfs count="9"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8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CAD-4B86-B199-444B92558DCF}"/>
              </c:ext>
            </c:extLst>
          </c:dPt>
          <c:cat>
            <c:numRef>
              <c:f>DATA!$B$2:$B$34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DATA!$M$2:$M$34</c:f>
              <c:numCache>
                <c:formatCode>General</c:formatCode>
                <c:ptCount val="33"/>
                <c:pt idx="0">
                  <c:v>9.7448918846486394E-3</c:v>
                </c:pt>
                <c:pt idx="1">
                  <c:v>1.1023862676876E-2</c:v>
                </c:pt>
                <c:pt idx="2">
                  <c:v>1.17971986051134E-2</c:v>
                </c:pt>
                <c:pt idx="3">
                  <c:v>1.28939701107977E-2</c:v>
                </c:pt>
                <c:pt idx="4">
                  <c:v>1.4080155163393599E-2</c:v>
                </c:pt>
                <c:pt idx="5">
                  <c:v>1.53603100399291E-2</c:v>
                </c:pt>
                <c:pt idx="6">
                  <c:v>1.6733107041152301E-2</c:v>
                </c:pt>
                <c:pt idx="7">
                  <c:v>1.84015791040604E-2</c:v>
                </c:pt>
                <c:pt idx="8">
                  <c:v>1.9931083385254601E-2</c:v>
                </c:pt>
                <c:pt idx="9">
                  <c:v>2.1512893425993E-2</c:v>
                </c:pt>
                <c:pt idx="10">
                  <c:v>2.3118294418988099E-2</c:v>
                </c:pt>
                <c:pt idx="11">
                  <c:v>2.4709945571092198E-2</c:v>
                </c:pt>
                <c:pt idx="12">
                  <c:v>2.62425599760686E-2</c:v>
                </c:pt>
                <c:pt idx="13">
                  <c:v>2.7664996438874399E-2</c:v>
                </c:pt>
                <c:pt idx="14">
                  <c:v>2.8923749752934599E-2</c:v>
                </c:pt>
                <c:pt idx="15">
                  <c:v>2.9967656331660798E-2</c:v>
                </c:pt>
                <c:pt idx="16">
                  <c:v>3.0753079225690601E-2</c:v>
                </c:pt>
                <c:pt idx="17">
                  <c:v>3.12485657098205E-2</c:v>
                </c:pt>
                <c:pt idx="18">
                  <c:v>3.1438317868756199E-2</c:v>
                </c:pt>
                <c:pt idx="19">
                  <c:v>3.1324071072812099E-2</c:v>
                </c:pt>
                <c:pt idx="20">
                  <c:v>3.0925531579346899E-2</c:v>
                </c:pt>
                <c:pt idx="21">
                  <c:v>3.0277975624959302E-2</c:v>
                </c:pt>
                <c:pt idx="22">
                  <c:v>2.9426578349856399E-2</c:v>
                </c:pt>
                <c:pt idx="23">
                  <c:v>2.84196658066918E-2</c:v>
                </c:pt>
                <c:pt idx="24">
                  <c:v>2.7303767460953799E-2</c:v>
                </c:pt>
                <c:pt idx="25">
                  <c:v>2.6120625075705398E-2</c:v>
                </c:pt>
                <c:pt idx="26">
                  <c:v>2.49057411609129E-2</c:v>
                </c:pt>
                <c:pt idx="27">
                  <c:v>2.3510571820073E-2</c:v>
                </c:pt>
                <c:pt idx="28">
                  <c:v>2.2319439197129101E-2</c:v>
                </c:pt>
                <c:pt idx="29">
                  <c:v>2.1163632714808901E-2</c:v>
                </c:pt>
                <c:pt idx="30">
                  <c:v>2.0054602878216001E-2</c:v>
                </c:pt>
                <c:pt idx="31">
                  <c:v>1.8999676365998398E-2</c:v>
                </c:pt>
                <c:pt idx="32">
                  <c:v>1.80029082345891E-2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AD-4B86-B199-444B92558DCF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4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CAD-4B86-B199-444B92558DCF}"/>
              </c:ext>
            </c:extLst>
          </c:dPt>
          <c:cat>
            <c:numRef>
              <c:f>DATA!$B$2:$B$34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DATA!$N$2:$N$34</c:f>
              <c:numCache>
                <c:formatCode>General</c:formatCode>
                <c:ptCount val="33"/>
                <c:pt idx="0">
                  <c:v>6.6342689151591104E-3</c:v>
                </c:pt>
                <c:pt idx="1">
                  <c:v>7.1417187513815898E-3</c:v>
                </c:pt>
                <c:pt idx="2">
                  <c:v>7.26581000819157E-3</c:v>
                </c:pt>
                <c:pt idx="3">
                  <c:v>7.4993576921600297E-3</c:v>
                </c:pt>
                <c:pt idx="4">
                  <c:v>7.6584612609798403E-3</c:v>
                </c:pt>
                <c:pt idx="5">
                  <c:v>7.7269985530369302E-3</c:v>
                </c:pt>
                <c:pt idx="6">
                  <c:v>7.6840278975693803E-3</c:v>
                </c:pt>
                <c:pt idx="7">
                  <c:v>7.5640157321134197E-3</c:v>
                </c:pt>
                <c:pt idx="8">
                  <c:v>7.2248436511092801E-3</c:v>
                </c:pt>
                <c:pt idx="9">
                  <c:v>6.7017230858029296E-3</c:v>
                </c:pt>
                <c:pt idx="10">
                  <c:v>5.9699459642470198E-3</c:v>
                </c:pt>
                <c:pt idx="11">
                  <c:v>5.0092207638356197E-3</c:v>
                </c:pt>
                <c:pt idx="12">
                  <c:v>3.8069375883365698E-3</c:v>
                </c:pt>
                <c:pt idx="13">
                  <c:v>2.36152559288191E-3</c:v>
                </c:pt>
                <c:pt idx="14">
                  <c:v>6.8527421756616597E-4</c:v>
                </c:pt>
                <c:pt idx="15">
                  <c:v>-1.19411154916331E-3</c:v>
                </c:pt>
                <c:pt idx="16">
                  <c:v>-3.2337495416755102E-3</c:v>
                </c:pt>
                <c:pt idx="17">
                  <c:v>-5.3777968287456604E-3</c:v>
                </c:pt>
                <c:pt idx="18">
                  <c:v>-7.5614453844353802E-3</c:v>
                </c:pt>
                <c:pt idx="19">
                  <c:v>-9.7168033746835199E-3</c:v>
                </c:pt>
                <c:pt idx="20">
                  <c:v>-1.178072000653E-2</c:v>
                </c:pt>
                <c:pt idx="21">
                  <c:v>-1.37026551764995E-2</c:v>
                </c:pt>
                <c:pt idx="22">
                  <c:v>-1.5448576224314199E-2</c:v>
                </c:pt>
                <c:pt idx="23">
                  <c:v>-1.6999806219857101E-2</c:v>
                </c:pt>
                <c:pt idx="24">
                  <c:v>-1.8349882250392E-2</c:v>
                </c:pt>
                <c:pt idx="25">
                  <c:v>-1.9501706637019899E-2</c:v>
                </c:pt>
                <c:pt idx="26">
                  <c:v>-2.04651271327881E-2</c:v>
                </c:pt>
                <c:pt idx="27">
                  <c:v>-2.1290154635965501E-2</c:v>
                </c:pt>
                <c:pt idx="28">
                  <c:v>-2.1916759322161701E-2</c:v>
                </c:pt>
                <c:pt idx="29">
                  <c:v>-2.2405604962218599E-2</c:v>
                </c:pt>
                <c:pt idx="30">
                  <c:v>-2.27751251202441E-2</c:v>
                </c:pt>
                <c:pt idx="31">
                  <c:v>-2.3042864162065E-2</c:v>
                </c:pt>
                <c:pt idx="32">
                  <c:v>-2.32249735968478E-2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AD-4B86-B199-444B92558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1921071"/>
        <c:axId val="1781922511"/>
      </c:lineChart>
      <c:catAx>
        <c:axId val="17819210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1922511"/>
        <c:crossesAt val="0"/>
        <c:auto val="1"/>
        <c:lblAlgn val="ctr"/>
        <c:lblOffset val="100"/>
        <c:noMultiLvlLbl val="0"/>
      </c:catAx>
      <c:valAx>
        <c:axId val="1781922511"/>
        <c:scaling>
          <c:orientation val="minMax"/>
          <c:max val="0.04"/>
          <c:min val="-0.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1921071"/>
        <c:crosses val="autoZero"/>
        <c:crossBetween val="between"/>
        <c:majorUnit val="0.0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8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9CFF-446E-9BA8-E0F4D84BD656}"/>
              </c:ext>
            </c:extLst>
          </c:dPt>
          <c:cat>
            <c:numRef>
              <c:f>DATA!$B$35:$B$67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15.5</c:v>
                </c:pt>
                <c:pt idx="7">
                  <c:v>15.5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DATA!$M$35:$M$67</c:f>
              <c:numCache>
                <c:formatCode>General</c:formatCode>
                <c:ptCount val="33"/>
                <c:pt idx="0">
                  <c:v>1.26165080369437E-2</c:v>
                </c:pt>
                <c:pt idx="1">
                  <c:v>1.37636081578782E-2</c:v>
                </c:pt>
                <c:pt idx="2">
                  <c:v>1.5011897513950901E-2</c:v>
                </c:pt>
                <c:pt idx="3">
                  <c:v>1.6151389319861199E-2</c:v>
                </c:pt>
                <c:pt idx="4">
                  <c:v>1.76348834838462E-2</c:v>
                </c:pt>
                <c:pt idx="5">
                  <c:v>1.9238557825315E-2</c:v>
                </c:pt>
                <c:pt idx="6">
                  <c:v>2.0960211073493301E-2</c:v>
                </c:pt>
                <c:pt idx="7">
                  <c:v>2.29970471422738E-2</c:v>
                </c:pt>
                <c:pt idx="8">
                  <c:v>2.4919961558673501E-2</c:v>
                </c:pt>
                <c:pt idx="9">
                  <c:v>2.69130612576713E-2</c:v>
                </c:pt>
                <c:pt idx="10">
                  <c:v>2.8941218285742799E-2</c:v>
                </c:pt>
                <c:pt idx="11">
                  <c:v>3.0958328499166399E-2</c:v>
                </c:pt>
                <c:pt idx="12">
                  <c:v>3.2908038624363603E-2</c:v>
                </c:pt>
                <c:pt idx="13">
                  <c:v>3.47261917778596E-2</c:v>
                </c:pt>
                <c:pt idx="14">
                  <c:v>3.6345087789850801E-2</c:v>
                </c:pt>
                <c:pt idx="15">
                  <c:v>3.7699416389443997E-2</c:v>
                </c:pt>
                <c:pt idx="16">
                  <c:v>3.8732940140664598E-2</c:v>
                </c:pt>
                <c:pt idx="17">
                  <c:v>3.9404400514887902E-2</c:v>
                </c:pt>
                <c:pt idx="18">
                  <c:v>3.9691212656047699E-2</c:v>
                </c:pt>
                <c:pt idx="19">
                  <c:v>3.9591118236213398E-2</c:v>
                </c:pt>
                <c:pt idx="20">
                  <c:v>3.91244713520831E-2</c:v>
                </c:pt>
                <c:pt idx="21">
                  <c:v>3.8088246075745603E-2</c:v>
                </c:pt>
                <c:pt idx="22">
                  <c:v>3.7043568085145397E-2</c:v>
                </c:pt>
                <c:pt idx="23">
                  <c:v>3.5797964717678703E-2</c:v>
                </c:pt>
                <c:pt idx="24">
                  <c:v>3.4411268623575998E-2</c:v>
                </c:pt>
                <c:pt idx="25">
                  <c:v>3.2936231206288802E-2</c:v>
                </c:pt>
                <c:pt idx="26">
                  <c:v>3.1417663659049903E-2</c:v>
                </c:pt>
                <c:pt idx="27">
                  <c:v>2.9892167557361099E-2</c:v>
                </c:pt>
                <c:pt idx="28">
                  <c:v>2.8388293594335801E-2</c:v>
                </c:pt>
                <c:pt idx="29">
                  <c:v>2.6927274956537101E-2</c:v>
                </c:pt>
                <c:pt idx="30">
                  <c:v>2.5523953697618701E-2</c:v>
                </c:pt>
                <c:pt idx="31">
                  <c:v>2.4187921531976998E-2</c:v>
                </c:pt>
                <c:pt idx="32">
                  <c:v>2.29246135235265E-2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FF-446E-9BA8-E0F4D84BD656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5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9CFF-446E-9BA8-E0F4D84BD656}"/>
              </c:ext>
            </c:extLst>
          </c:dPt>
          <c:cat>
            <c:numRef>
              <c:f>DATA!$B$35:$B$67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15.5</c:v>
                </c:pt>
                <c:pt idx="7">
                  <c:v>15.5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DATA!$N$35:$N$67</c:f>
              <c:numCache>
                <c:formatCode>General</c:formatCode>
                <c:ptCount val="33"/>
                <c:pt idx="0">
                  <c:v>1.0622455902041399E-2</c:v>
                </c:pt>
                <c:pt idx="1">
                  <c:v>1.10158050496388E-2</c:v>
                </c:pt>
                <c:pt idx="2">
                  <c:v>1.1358352210085101E-2</c:v>
                </c:pt>
                <c:pt idx="3">
                  <c:v>1.1555873347639E-2</c:v>
                </c:pt>
                <c:pt idx="4">
                  <c:v>1.1765268180290601E-2</c:v>
                </c:pt>
                <c:pt idx="5">
                  <c:v>1.18653552658611E-2</c:v>
                </c:pt>
                <c:pt idx="6">
                  <c:v>1.1828555657432399E-2</c:v>
                </c:pt>
                <c:pt idx="7">
                  <c:v>1.16935355107566E-2</c:v>
                </c:pt>
                <c:pt idx="8">
                  <c:v>1.12951867112383E-2</c:v>
                </c:pt>
                <c:pt idx="9">
                  <c:v>1.0666072944596599E-2</c:v>
                </c:pt>
                <c:pt idx="10">
                  <c:v>9.7741042853890202E-3</c:v>
                </c:pt>
                <c:pt idx="11">
                  <c:v>8.5925883423799507E-3</c:v>
                </c:pt>
                <c:pt idx="12">
                  <c:v>7.1043886217137201E-3</c:v>
                </c:pt>
                <c:pt idx="13">
                  <c:v>5.3062144437018002E-3</c:v>
                </c:pt>
                <c:pt idx="14">
                  <c:v>3.2122219733778002E-3</c:v>
                </c:pt>
                <c:pt idx="15">
                  <c:v>8.5595751200660103E-4</c:v>
                </c:pt>
                <c:pt idx="16">
                  <c:v>-1.71009793973003E-3</c:v>
                </c:pt>
                <c:pt idx="17">
                  <c:v>-4.4174358734431303E-3</c:v>
                </c:pt>
                <c:pt idx="18">
                  <c:v>-7.1857609387040201E-3</c:v>
                </c:pt>
                <c:pt idx="19">
                  <c:v>-9.9274295980065798E-3</c:v>
                </c:pt>
                <c:pt idx="20">
                  <c:v>-1.25554734708089E-2</c:v>
                </c:pt>
                <c:pt idx="21">
                  <c:v>-1.5075132873228699E-2</c:v>
                </c:pt>
                <c:pt idx="22">
                  <c:v>-1.7277693984588598E-2</c:v>
                </c:pt>
                <c:pt idx="23">
                  <c:v>-1.92393016037192E-2</c:v>
                </c:pt>
                <c:pt idx="24">
                  <c:v>-2.09526747878413E-2</c:v>
                </c:pt>
                <c:pt idx="25">
                  <c:v>-2.2419782864386499E-2</c:v>
                </c:pt>
                <c:pt idx="26">
                  <c:v>-2.3651033976110201E-2</c:v>
                </c:pt>
                <c:pt idx="27">
                  <c:v>-2.46633513685478E-2</c:v>
                </c:pt>
                <c:pt idx="28">
                  <c:v>-2.5477725196067599E-2</c:v>
                </c:pt>
                <c:pt idx="29">
                  <c:v>-2.61169922476269E-2</c:v>
                </c:pt>
                <c:pt idx="30">
                  <c:v>-2.6604150432530602E-2</c:v>
                </c:pt>
                <c:pt idx="31">
                  <c:v>-2.6961192928983298E-2</c:v>
                </c:pt>
                <c:pt idx="32">
                  <c:v>-2.7208428818371901E-2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F-446E-9BA8-E0F4D84BD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0891183"/>
        <c:axId val="1260891663"/>
      </c:lineChart>
      <c:catAx>
        <c:axId val="12608911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891663"/>
        <c:crossesAt val="0"/>
        <c:auto val="1"/>
        <c:lblAlgn val="ctr"/>
        <c:lblOffset val="100"/>
        <c:noMultiLvlLbl val="0"/>
      </c:catAx>
      <c:valAx>
        <c:axId val="1260891663"/>
        <c:scaling>
          <c:orientation val="minMax"/>
          <c:max val="0.06"/>
          <c:min val="-0.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891183"/>
        <c:crosses val="autoZero"/>
        <c:crossBetween val="between"/>
        <c:majorUnit val="0.0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8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7C7-47C1-86AA-081E5FCCE718}"/>
              </c:ext>
            </c:extLst>
          </c:dPt>
          <c:cat>
            <c:numRef>
              <c:f>DATA!$B$68:$B$100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DATA!$M$68:$M$100</c:f>
              <c:numCache>
                <c:formatCode>General</c:formatCode>
                <c:ptCount val="33"/>
                <c:pt idx="0">
                  <c:v>1.51145829247969E-2</c:v>
                </c:pt>
                <c:pt idx="1">
                  <c:v>1.6519896157156801E-2</c:v>
                </c:pt>
                <c:pt idx="2">
                  <c:v>1.8047419547920301E-2</c:v>
                </c:pt>
                <c:pt idx="3">
                  <c:v>1.9711398855841101E-2</c:v>
                </c:pt>
                <c:pt idx="4">
                  <c:v>2.1519946389590702E-2</c:v>
                </c:pt>
                <c:pt idx="5">
                  <c:v>2.3476580120012899E-2</c:v>
                </c:pt>
                <c:pt idx="6">
                  <c:v>2.5779228384772999E-2</c:v>
                </c:pt>
                <c:pt idx="7">
                  <c:v>2.8015743626059301E-2</c:v>
                </c:pt>
                <c:pt idx="8">
                  <c:v>3.03722280459016E-2</c:v>
                </c:pt>
                <c:pt idx="9">
                  <c:v>3.2819533869246402E-2</c:v>
                </c:pt>
                <c:pt idx="10">
                  <c:v>3.5315766684943302E-2</c:v>
                </c:pt>
                <c:pt idx="11">
                  <c:v>3.7805620329279803E-2</c:v>
                </c:pt>
                <c:pt idx="12">
                  <c:v>4.02210086288197E-2</c:v>
                </c:pt>
                <c:pt idx="13">
                  <c:v>4.2483888667859099E-2</c:v>
                </c:pt>
                <c:pt idx="14">
                  <c:v>4.4511376919618102E-2</c:v>
                </c:pt>
                <c:pt idx="15">
                  <c:v>4.6222988719279698E-2</c:v>
                </c:pt>
                <c:pt idx="16">
                  <c:v>4.7549141819479099E-2</c:v>
                </c:pt>
                <c:pt idx="17">
                  <c:v>4.8439212674824698E-2</c:v>
                </c:pt>
                <c:pt idx="18">
                  <c:v>4.8593416807361199E-2</c:v>
                </c:pt>
                <c:pt idx="19">
                  <c:v>4.8571708812352801E-2</c:v>
                </c:pt>
                <c:pt idx="20">
                  <c:v>4.80017243644143E-2</c:v>
                </c:pt>
                <c:pt idx="21">
                  <c:v>4.7079989629292503E-2</c:v>
                </c:pt>
                <c:pt idx="22">
                  <c:v>4.5830432472008603E-2</c:v>
                </c:pt>
                <c:pt idx="23">
                  <c:v>4.4364592892686697E-2</c:v>
                </c:pt>
                <c:pt idx="24">
                  <c:v>4.2644450491204702E-2</c:v>
                </c:pt>
                <c:pt idx="25">
                  <c:v>4.08415239038478E-2</c:v>
                </c:pt>
                <c:pt idx="26">
                  <c:v>3.8981055498351201E-2</c:v>
                </c:pt>
                <c:pt idx="27">
                  <c:v>3.7107290392149203E-2</c:v>
                </c:pt>
                <c:pt idx="28">
                  <c:v>3.5255757491236703E-2</c:v>
                </c:pt>
                <c:pt idx="29">
                  <c:v>3.3453354445188897E-2</c:v>
                </c:pt>
                <c:pt idx="30">
                  <c:v>3.1719221846339199E-2</c:v>
                </c:pt>
                <c:pt idx="31">
                  <c:v>3.0065940674452299E-2</c:v>
                </c:pt>
                <c:pt idx="32">
                  <c:v>2.8526265137939998E-2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7-47C1-86AA-081E5FCCE718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7C7-47C1-86AA-081E5FCCE718}"/>
              </c:ext>
            </c:extLst>
          </c:dPt>
          <c:cat>
            <c:numRef>
              <c:f>DATA!$B$68:$B$100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DATA!$N$68:$N$100</c:f>
              <c:numCache>
                <c:formatCode>General</c:formatCode>
                <c:ptCount val="33"/>
                <c:pt idx="0">
                  <c:v>1.4705429518741099E-2</c:v>
                </c:pt>
                <c:pt idx="1">
                  <c:v>1.5225125264862501E-2</c:v>
                </c:pt>
                <c:pt idx="2">
                  <c:v>1.56785733157471E-2</c:v>
                </c:pt>
                <c:pt idx="3">
                  <c:v>1.6053213483618399E-2</c:v>
                </c:pt>
                <c:pt idx="4">
                  <c:v>1.6326008245758999E-2</c:v>
                </c:pt>
                <c:pt idx="5">
                  <c:v>1.6468051996046101E-2</c:v>
                </c:pt>
                <c:pt idx="6">
                  <c:v>1.65188321278621E-2</c:v>
                </c:pt>
                <c:pt idx="7">
                  <c:v>1.63030544759224E-2</c:v>
                </c:pt>
                <c:pt idx="8">
                  <c:v>1.5847616639706401E-2</c:v>
                </c:pt>
                <c:pt idx="9">
                  <c:v>1.5110460044906999E-2</c:v>
                </c:pt>
                <c:pt idx="10">
                  <c:v>1.4051741689652701E-2</c:v>
                </c:pt>
                <c:pt idx="11">
                  <c:v>1.2638063688633801E-2</c:v>
                </c:pt>
                <c:pt idx="12">
                  <c:v>1.08474896743385E-2</c:v>
                </c:pt>
                <c:pt idx="13">
                  <c:v>8.6747522002944208E-3</c:v>
                </c:pt>
                <c:pt idx="14">
                  <c:v>6.1356551552697799E-3</c:v>
                </c:pt>
                <c:pt idx="15">
                  <c:v>3.2694129248464999E-3</c:v>
                </c:pt>
                <c:pt idx="16">
                  <c:v>1.37745219947235E-4</c:v>
                </c:pt>
                <c:pt idx="17">
                  <c:v>-3.1799621992870501E-3</c:v>
                </c:pt>
                <c:pt idx="18">
                  <c:v>-6.7246722981567798E-3</c:v>
                </c:pt>
                <c:pt idx="19">
                  <c:v>-1.0124360638130801E-2</c:v>
                </c:pt>
                <c:pt idx="20">
                  <c:v>-1.3279126161015E-2</c:v>
                </c:pt>
                <c:pt idx="21">
                  <c:v>-1.62775518556348E-2</c:v>
                </c:pt>
                <c:pt idx="22">
                  <c:v>-1.9010655793686999E-2</c:v>
                </c:pt>
                <c:pt idx="23">
                  <c:v>-2.1446854088333901E-2</c:v>
                </c:pt>
                <c:pt idx="24">
                  <c:v>-2.3670388863556199E-2</c:v>
                </c:pt>
                <c:pt idx="25">
                  <c:v>-2.5510799568709601E-2</c:v>
                </c:pt>
                <c:pt idx="26">
                  <c:v>-2.7064493378180499E-2</c:v>
                </c:pt>
                <c:pt idx="27">
                  <c:v>-2.8348778781164E-2</c:v>
                </c:pt>
                <c:pt idx="28">
                  <c:v>-2.9387674267430001E-2</c:v>
                </c:pt>
                <c:pt idx="29">
                  <c:v>-3.0208418587134599E-2</c:v>
                </c:pt>
                <c:pt idx="30">
                  <c:v>-3.0838945990307301E-2</c:v>
                </c:pt>
                <c:pt idx="31">
                  <c:v>-3.1306246034923803E-2</c:v>
                </c:pt>
                <c:pt idx="32">
                  <c:v>-3.1536750509144E-2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7-47C1-86AA-081E5FCCE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873103"/>
        <c:axId val="866142687"/>
      </c:lineChart>
      <c:catAx>
        <c:axId val="8938731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142687"/>
        <c:crossesAt val="0"/>
        <c:auto val="1"/>
        <c:lblAlgn val="ctr"/>
        <c:lblOffset val="100"/>
        <c:noMultiLvlLbl val="0"/>
      </c:catAx>
      <c:valAx>
        <c:axId val="866142687"/>
        <c:scaling>
          <c:orientation val="minMax"/>
          <c:max val="0.06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873103"/>
        <c:crosses val="autoZero"/>
        <c:crossBetween val="between"/>
        <c:majorUnit val="0.0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9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9972-401F-86D5-520ECD6CDD80}"/>
              </c:ext>
            </c:extLst>
          </c:dPt>
          <c:cat>
            <c:numRef>
              <c:f>DATA!$B$101:$B$133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DATA!$M$101:$M$133</c:f>
              <c:numCache>
                <c:formatCode>General</c:formatCode>
                <c:ptCount val="33"/>
                <c:pt idx="0">
                  <c:v>1.80657688293017E-2</c:v>
                </c:pt>
                <c:pt idx="1">
                  <c:v>1.9740843077978899E-2</c:v>
                </c:pt>
                <c:pt idx="2">
                  <c:v>2.1562418127688401E-2</c:v>
                </c:pt>
                <c:pt idx="3">
                  <c:v>2.37460450403306E-2</c:v>
                </c:pt>
                <c:pt idx="4">
                  <c:v>2.5900004840659199E-2</c:v>
                </c:pt>
                <c:pt idx="5">
                  <c:v>2.8233836815960801E-2</c:v>
                </c:pt>
                <c:pt idx="6">
                  <c:v>3.07458517583502E-2</c:v>
                </c:pt>
                <c:pt idx="7">
                  <c:v>3.3426061994828199E-2</c:v>
                </c:pt>
                <c:pt idx="8">
                  <c:v>3.6253795323715102E-2</c:v>
                </c:pt>
                <c:pt idx="9">
                  <c:v>3.9195423810586903E-2</c:v>
                </c:pt>
                <c:pt idx="10">
                  <c:v>4.2202332385314303E-2</c:v>
                </c:pt>
                <c:pt idx="11">
                  <c:v>4.5209849755975799E-2</c:v>
                </c:pt>
                <c:pt idx="12">
                  <c:v>4.8137931256404802E-2</c:v>
                </c:pt>
                <c:pt idx="13">
                  <c:v>5.08941467360099E-2</c:v>
                </c:pt>
                <c:pt idx="14">
                  <c:v>5.3379418039501698E-2</c:v>
                </c:pt>
                <c:pt idx="15">
                  <c:v>5.54964667594674E-2</c:v>
                </c:pt>
                <c:pt idx="16">
                  <c:v>5.71599622763653E-2</c:v>
                </c:pt>
                <c:pt idx="17">
                  <c:v>5.8007992964738499E-2</c:v>
                </c:pt>
                <c:pt idx="18">
                  <c:v>5.8626911493145799E-2</c:v>
                </c:pt>
                <c:pt idx="19">
                  <c:v>5.8692302924058901E-2</c:v>
                </c:pt>
                <c:pt idx="20">
                  <c:v>5.8175030853499898E-2</c:v>
                </c:pt>
                <c:pt idx="21">
                  <c:v>5.6933898397238003E-2</c:v>
                </c:pt>
                <c:pt idx="22">
                  <c:v>5.55795205740231E-2</c:v>
                </c:pt>
                <c:pt idx="23">
                  <c:v>5.3826527968863697E-2</c:v>
                </c:pt>
                <c:pt idx="24">
                  <c:v>5.1850830614706502E-2</c:v>
                </c:pt>
                <c:pt idx="25">
                  <c:v>4.9709209325605901E-2</c:v>
                </c:pt>
                <c:pt idx="26">
                  <c:v>4.74210400016234E-2</c:v>
                </c:pt>
                <c:pt idx="27">
                  <c:v>4.5173542143868699E-2</c:v>
                </c:pt>
                <c:pt idx="28">
                  <c:v>4.2943832430181399E-2</c:v>
                </c:pt>
                <c:pt idx="29">
                  <c:v>4.0766709327448698E-2</c:v>
                </c:pt>
                <c:pt idx="30">
                  <c:v>3.87188746330525E-2</c:v>
                </c:pt>
                <c:pt idx="31">
                  <c:v>3.6711167225215703E-2</c:v>
                </c:pt>
                <c:pt idx="32">
                  <c:v>3.4808136861194099E-2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72-401F-86D5-520ECD6CDD80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7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9972-401F-86D5-520ECD6CDD80}"/>
              </c:ext>
            </c:extLst>
          </c:dPt>
          <c:cat>
            <c:numRef>
              <c:f>DATA!$B$101:$B$133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DATA!$N$101:$N$133</c:f>
              <c:numCache>
                <c:formatCode>General</c:formatCode>
                <c:ptCount val="33"/>
                <c:pt idx="0">
                  <c:v>1.9329075329287002E-2</c:v>
                </c:pt>
                <c:pt idx="1">
                  <c:v>1.9963807678943801E-2</c:v>
                </c:pt>
                <c:pt idx="2">
                  <c:v>2.0522537834734501E-2</c:v>
                </c:pt>
                <c:pt idx="3">
                  <c:v>2.1055541368713598E-2</c:v>
                </c:pt>
                <c:pt idx="4">
                  <c:v>2.1406464236382001E-2</c:v>
                </c:pt>
                <c:pt idx="5">
                  <c:v>2.1607628934113901E-2</c:v>
                </c:pt>
                <c:pt idx="6">
                  <c:v>2.1618537837032398E-2</c:v>
                </c:pt>
                <c:pt idx="7">
                  <c:v>2.1393659076193599E-2</c:v>
                </c:pt>
                <c:pt idx="8">
                  <c:v>2.08838670381533E-2</c:v>
                </c:pt>
                <c:pt idx="9">
                  <c:v>2.00388601474305E-2</c:v>
                </c:pt>
                <c:pt idx="10">
                  <c:v>1.8810793816418599E-2</c:v>
                </c:pt>
                <c:pt idx="11">
                  <c:v>1.71591385933723E-2</c:v>
                </c:pt>
                <c:pt idx="12">
                  <c:v>1.5056528109426599E-2</c:v>
                </c:pt>
                <c:pt idx="13">
                  <c:v>1.2494919723553599E-2</c:v>
                </c:pt>
                <c:pt idx="14">
                  <c:v>9.4909731272801705E-3</c:v>
                </c:pt>
                <c:pt idx="15">
                  <c:v>6.0892258215744996E-3</c:v>
                </c:pt>
                <c:pt idx="16">
                  <c:v>2.3615627129765899E-3</c:v>
                </c:pt>
                <c:pt idx="17">
                  <c:v>-1.7299514093489601E-3</c:v>
                </c:pt>
                <c:pt idx="18">
                  <c:v>-5.7911699427721803E-3</c:v>
                </c:pt>
                <c:pt idx="19">
                  <c:v>-9.8893720719695506E-3</c:v>
                </c:pt>
                <c:pt idx="20">
                  <c:v>-1.38740703914781E-2</c:v>
                </c:pt>
                <c:pt idx="21">
                  <c:v>-1.72361146637049E-2</c:v>
                </c:pt>
                <c:pt idx="22">
                  <c:v>-2.0800876597805801E-2</c:v>
                </c:pt>
                <c:pt idx="23">
                  <c:v>-2.37842927347061E-2</c:v>
                </c:pt>
                <c:pt idx="24">
                  <c:v>-2.64390565468441E-2</c:v>
                </c:pt>
                <c:pt idx="25">
                  <c:v>-2.8644215660915399E-2</c:v>
                </c:pt>
                <c:pt idx="26">
                  <c:v>-3.0682743792399301E-2</c:v>
                </c:pt>
                <c:pt idx="27">
                  <c:v>-3.2290835601013798E-2</c:v>
                </c:pt>
                <c:pt idx="28">
                  <c:v>-3.3597925192765998E-2</c:v>
                </c:pt>
                <c:pt idx="29">
                  <c:v>-3.4636565969946201E-2</c:v>
                </c:pt>
                <c:pt idx="30">
                  <c:v>-3.5335129377622398E-2</c:v>
                </c:pt>
                <c:pt idx="31">
                  <c:v>-3.5939593217110002E-2</c:v>
                </c:pt>
                <c:pt idx="32">
                  <c:v>-3.6373670868594998E-2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72-401F-86D5-520ECD6CD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1692959"/>
        <c:axId val="1151695359"/>
      </c:lineChart>
      <c:catAx>
        <c:axId val="1151692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695359"/>
        <c:crossesAt val="0"/>
        <c:auto val="1"/>
        <c:lblAlgn val="ctr"/>
        <c:lblOffset val="100"/>
        <c:noMultiLvlLbl val="0"/>
      </c:catAx>
      <c:valAx>
        <c:axId val="1151695359"/>
        <c:scaling>
          <c:orientation val="minMax"/>
          <c:max val="0.08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692959"/>
        <c:crosses val="autoZero"/>
        <c:crossBetween val="between"/>
        <c:majorUnit val="0.0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9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79E-482A-8B64-86B43852C406}"/>
              </c:ext>
            </c:extLst>
          </c:dPt>
          <c:cat>
            <c:numRef>
              <c:f>DATA!$B$134:$B$166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DATA!$M$134:$M$166</c:f>
              <c:numCache>
                <c:formatCode>General</c:formatCode>
                <c:ptCount val="33"/>
                <c:pt idx="0">
                  <c:v>2.1410096204610301E-2</c:v>
                </c:pt>
                <c:pt idx="1">
                  <c:v>2.33648632006579E-2</c:v>
                </c:pt>
                <c:pt idx="2">
                  <c:v>2.54934813373166E-2</c:v>
                </c:pt>
                <c:pt idx="3">
                  <c:v>2.7816619259649501E-2</c:v>
                </c:pt>
                <c:pt idx="4">
                  <c:v>3.0346373050717999E-2</c:v>
                </c:pt>
                <c:pt idx="5">
                  <c:v>3.3088745731935001E-2</c:v>
                </c:pt>
                <c:pt idx="6">
                  <c:v>3.6042399776175203E-2</c:v>
                </c:pt>
                <c:pt idx="7">
                  <c:v>3.9196443203657498E-2</c:v>
                </c:pt>
                <c:pt idx="8">
                  <c:v>4.2527965687942197E-2</c:v>
                </c:pt>
                <c:pt idx="9">
                  <c:v>4.5999182466132701E-2</c:v>
                </c:pt>
                <c:pt idx="10">
                  <c:v>4.9555101688220603E-2</c:v>
                </c:pt>
                <c:pt idx="11">
                  <c:v>5.3122058897097403E-2</c:v>
                </c:pt>
                <c:pt idx="12">
                  <c:v>5.6608153488828201E-2</c:v>
                </c:pt>
                <c:pt idx="13">
                  <c:v>5.9906321617541398E-2</c:v>
                </c:pt>
                <c:pt idx="14">
                  <c:v>6.29005070392233E-2</c:v>
                </c:pt>
                <c:pt idx="15">
                  <c:v>6.5474982105315493E-2</c:v>
                </c:pt>
                <c:pt idx="16">
                  <c:v>6.7196831370913701E-2</c:v>
                </c:pt>
                <c:pt idx="17">
                  <c:v>6.8637316899817002E-2</c:v>
                </c:pt>
                <c:pt idx="18">
                  <c:v>6.9441064559949806E-2</c:v>
                </c:pt>
                <c:pt idx="19">
                  <c:v>6.9476038985817806E-2</c:v>
                </c:pt>
                <c:pt idx="20">
                  <c:v>6.8931850190746199E-2</c:v>
                </c:pt>
                <c:pt idx="21">
                  <c:v>6.7899397611046394E-2</c:v>
                </c:pt>
                <c:pt idx="22">
                  <c:v>6.6234077557426205E-2</c:v>
                </c:pt>
                <c:pt idx="23">
                  <c:v>6.4264669060377297E-2</c:v>
                </c:pt>
                <c:pt idx="24">
                  <c:v>6.1994924430468598E-2</c:v>
                </c:pt>
                <c:pt idx="25">
                  <c:v>5.9473195909883897E-2</c:v>
                </c:pt>
                <c:pt idx="26">
                  <c:v>5.6869083588738698E-2</c:v>
                </c:pt>
                <c:pt idx="27">
                  <c:v>5.4215311610301499E-2</c:v>
                </c:pt>
                <c:pt idx="28">
                  <c:v>5.1570851613048897E-2</c:v>
                </c:pt>
                <c:pt idx="29">
                  <c:v>4.8980274528838297E-2</c:v>
                </c:pt>
                <c:pt idx="30">
                  <c:v>4.6475765159506598E-2</c:v>
                </c:pt>
                <c:pt idx="31">
                  <c:v>4.4129846488001299E-2</c:v>
                </c:pt>
                <c:pt idx="32">
                  <c:v>4.1855538200443097E-2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E-482A-8B64-86B43852C406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7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79E-482A-8B64-86B43852C406}"/>
              </c:ext>
            </c:extLst>
          </c:dPt>
          <c:cat>
            <c:numRef>
              <c:f>DATA!$B$134:$B$166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DATA!$N$134:$N$166</c:f>
              <c:numCache>
                <c:formatCode>General</c:formatCode>
                <c:ptCount val="33"/>
                <c:pt idx="0">
                  <c:v>2.4414044572331501E-2</c:v>
                </c:pt>
                <c:pt idx="1">
                  <c:v>2.5172328866819801E-2</c:v>
                </c:pt>
                <c:pt idx="2">
                  <c:v>2.58489744745364E-2</c:v>
                </c:pt>
                <c:pt idx="3">
                  <c:v>2.6424687321307899E-2</c:v>
                </c:pt>
                <c:pt idx="4">
                  <c:v>2.68668378856038E-2</c:v>
                </c:pt>
                <c:pt idx="5">
                  <c:v>2.7134997714254001E-2</c:v>
                </c:pt>
                <c:pt idx="6">
                  <c:v>2.7182043110809101E-2</c:v>
                </c:pt>
                <c:pt idx="7">
                  <c:v>2.6955071786171798E-2</c:v>
                </c:pt>
                <c:pt idx="8">
                  <c:v>2.6396986574370999E-2</c:v>
                </c:pt>
                <c:pt idx="9">
                  <c:v>2.5449131575824999E-2</c:v>
                </c:pt>
                <c:pt idx="10">
                  <c:v>2.4055280402721001E-2</c:v>
                </c:pt>
                <c:pt idx="11">
                  <c:v>2.2167057556343999E-2</c:v>
                </c:pt>
                <c:pt idx="12">
                  <c:v>1.9750590069333801E-2</c:v>
                </c:pt>
                <c:pt idx="13">
                  <c:v>1.6793690668492501E-2</c:v>
                </c:pt>
                <c:pt idx="14">
                  <c:v>1.3312408022575399E-2</c:v>
                </c:pt>
                <c:pt idx="15">
                  <c:v>9.3553903647650306E-3</c:v>
                </c:pt>
                <c:pt idx="16">
                  <c:v>4.8643229037781304E-3</c:v>
                </c:pt>
                <c:pt idx="17">
                  <c:v>2.6076726746068101E-4</c:v>
                </c:pt>
                <c:pt idx="18">
                  <c:v>-4.4806413779184496E-3</c:v>
                </c:pt>
                <c:pt idx="19">
                  <c:v>-9.1756710901732506E-3</c:v>
                </c:pt>
                <c:pt idx="20">
                  <c:v>-1.3823676808395399E-2</c:v>
                </c:pt>
                <c:pt idx="21">
                  <c:v>-1.8303465706212E-2</c:v>
                </c:pt>
                <c:pt idx="22">
                  <c:v>-2.2372286874201199E-2</c:v>
                </c:pt>
                <c:pt idx="23">
                  <c:v>-2.60504940272487E-2</c:v>
                </c:pt>
                <c:pt idx="24">
                  <c:v>-2.93031080872991E-2</c:v>
                </c:pt>
                <c:pt idx="25">
                  <c:v>-3.1959814512094002E-2</c:v>
                </c:pt>
                <c:pt idx="26">
                  <c:v>-3.4355894226590702E-2</c:v>
                </c:pt>
                <c:pt idx="27">
                  <c:v>-3.6348096392889502E-2</c:v>
                </c:pt>
                <c:pt idx="28">
                  <c:v>-3.7973450802049599E-2</c:v>
                </c:pt>
                <c:pt idx="29">
                  <c:v>-3.9272338050157202E-2</c:v>
                </c:pt>
                <c:pt idx="30">
                  <c:v>-4.02857923983811E-2</c:v>
                </c:pt>
                <c:pt idx="31">
                  <c:v>-4.1204306867121801E-2</c:v>
                </c:pt>
                <c:pt idx="32">
                  <c:v>-4.1762248529551599E-2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9E-482A-8B64-86B43852C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5406399"/>
        <c:axId val="875407359"/>
      </c:lineChart>
      <c:catAx>
        <c:axId val="8754063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407359"/>
        <c:crossesAt val="0"/>
        <c:auto val="1"/>
        <c:lblAlgn val="ctr"/>
        <c:lblOffset val="100"/>
        <c:noMultiLvlLbl val="0"/>
      </c:catAx>
      <c:valAx>
        <c:axId val="875407359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406399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9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A9D-4CBF-9897-07910A27A219}"/>
              </c:ext>
            </c:extLst>
          </c:dPt>
          <c:cat>
            <c:numRef>
              <c:f>DATA!$B$167:$B$199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DATA!$M$167:$M$199</c:f>
              <c:numCache>
                <c:formatCode>General</c:formatCode>
                <c:ptCount val="33"/>
                <c:pt idx="0">
                  <c:v>2.4712333342661399E-2</c:v>
                </c:pt>
                <c:pt idx="1">
                  <c:v>2.6971895121304299E-2</c:v>
                </c:pt>
                <c:pt idx="2">
                  <c:v>2.9432979034927201E-2</c:v>
                </c:pt>
                <c:pt idx="3">
                  <c:v>3.2119304792637603E-2</c:v>
                </c:pt>
                <c:pt idx="4">
                  <c:v>3.5045088742424103E-2</c:v>
                </c:pt>
                <c:pt idx="5">
                  <c:v>3.8217670334098203E-2</c:v>
                </c:pt>
                <c:pt idx="6">
                  <c:v>4.1636250749646199E-2</c:v>
                </c:pt>
                <c:pt idx="7">
                  <c:v>4.5289530417481502E-2</c:v>
                </c:pt>
                <c:pt idx="8">
                  <c:v>4.9152823415355401E-2</c:v>
                </c:pt>
                <c:pt idx="9">
                  <c:v>5.3184886662913898E-2</c:v>
                </c:pt>
                <c:pt idx="10">
                  <c:v>5.7324961935165501E-2</c:v>
                </c:pt>
                <c:pt idx="11">
                  <c:v>6.1490964658291701E-2</c:v>
                </c:pt>
                <c:pt idx="12">
                  <c:v>6.5304203829952404E-2</c:v>
                </c:pt>
                <c:pt idx="13">
                  <c:v>6.9169859689623706E-2</c:v>
                </c:pt>
                <c:pt idx="14">
                  <c:v>7.2703268103804494E-2</c:v>
                </c:pt>
                <c:pt idx="15">
                  <c:v>7.5770446018910198E-2</c:v>
                </c:pt>
                <c:pt idx="16">
                  <c:v>7.8248514755835899E-2</c:v>
                </c:pt>
                <c:pt idx="17">
                  <c:v>8.0039102864036302E-2</c:v>
                </c:pt>
                <c:pt idx="18">
                  <c:v>8.1079510653136094E-2</c:v>
                </c:pt>
                <c:pt idx="19">
                  <c:v>8.1348190377607502E-2</c:v>
                </c:pt>
                <c:pt idx="20">
                  <c:v>8.0858410777113796E-2</c:v>
                </c:pt>
                <c:pt idx="21">
                  <c:v>7.9642826244353301E-2</c:v>
                </c:pt>
                <c:pt idx="22">
                  <c:v>7.8023027564747105E-2</c:v>
                </c:pt>
                <c:pt idx="23">
                  <c:v>7.5723009701492594E-2</c:v>
                </c:pt>
                <c:pt idx="24">
                  <c:v>7.3090560366942295E-2</c:v>
                </c:pt>
                <c:pt idx="25">
                  <c:v>7.0221236244251001E-2</c:v>
                </c:pt>
                <c:pt idx="26">
                  <c:v>6.7201724435444796E-2</c:v>
                </c:pt>
                <c:pt idx="27">
                  <c:v>6.4113176325075197E-2</c:v>
                </c:pt>
                <c:pt idx="28">
                  <c:v>6.1024242234160503E-2</c:v>
                </c:pt>
                <c:pt idx="29">
                  <c:v>5.7988817239232E-2</c:v>
                </c:pt>
                <c:pt idx="30">
                  <c:v>5.5127557729642403E-2</c:v>
                </c:pt>
                <c:pt idx="31">
                  <c:v>5.2305708690376901E-2</c:v>
                </c:pt>
                <c:pt idx="32">
                  <c:v>4.9622136881302903E-2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9D-4CBF-9897-07910A27A219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7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A9D-4CBF-9897-07910A27A219}"/>
              </c:ext>
            </c:extLst>
          </c:dPt>
          <c:cat>
            <c:numRef>
              <c:f>DATA!$B$167:$B$199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DATA!$N$167:$N$199</c:f>
              <c:numCache>
                <c:formatCode>General</c:formatCode>
                <c:ptCount val="33"/>
                <c:pt idx="0">
                  <c:v>2.9806036695568399E-2</c:v>
                </c:pt>
                <c:pt idx="1">
                  <c:v>3.0708367702389501E-2</c:v>
                </c:pt>
                <c:pt idx="2">
                  <c:v>3.1518874936764203E-2</c:v>
                </c:pt>
                <c:pt idx="3">
                  <c:v>3.2214462598310997E-2</c:v>
                </c:pt>
                <c:pt idx="4">
                  <c:v>3.2757693492647302E-2</c:v>
                </c:pt>
                <c:pt idx="5">
                  <c:v>3.3102521685679197E-2</c:v>
                </c:pt>
                <c:pt idx="6">
                  <c:v>3.3195441097814797E-2</c:v>
                </c:pt>
                <c:pt idx="7">
                  <c:v>3.2976382744844199E-2</c:v>
                </c:pt>
                <c:pt idx="8">
                  <c:v>3.2380305823937E-2</c:v>
                </c:pt>
                <c:pt idx="9">
                  <c:v>3.1339937027109903E-2</c:v>
                </c:pt>
                <c:pt idx="10">
                  <c:v>2.9790059349027499E-2</c:v>
                </c:pt>
                <c:pt idx="11">
                  <c:v>2.7673457480036301E-2</c:v>
                </c:pt>
                <c:pt idx="12">
                  <c:v>2.4759134636131001E-2</c:v>
                </c:pt>
                <c:pt idx="13">
                  <c:v>2.1412687998659301E-2</c:v>
                </c:pt>
                <c:pt idx="14">
                  <c:v>1.7459776580428299E-2</c:v>
                </c:pt>
                <c:pt idx="15">
                  <c:v>1.2951444073873801E-2</c:v>
                </c:pt>
                <c:pt idx="16">
                  <c:v>7.9777440008392993E-3</c:v>
                </c:pt>
                <c:pt idx="17">
                  <c:v>2.66481526069533E-3</c:v>
                </c:pt>
                <c:pt idx="18">
                  <c:v>-2.8327250416008199E-3</c:v>
                </c:pt>
                <c:pt idx="19">
                  <c:v>-8.3433471479864192E-3</c:v>
                </c:pt>
                <c:pt idx="20">
                  <c:v>-1.3699071652666799E-2</c:v>
                </c:pt>
                <c:pt idx="21">
                  <c:v>-1.8785604163052499E-2</c:v>
                </c:pt>
                <c:pt idx="22">
                  <c:v>-2.3607402741116799E-2</c:v>
                </c:pt>
                <c:pt idx="23">
                  <c:v>-2.79915746664363E-2</c:v>
                </c:pt>
                <c:pt idx="24">
                  <c:v>-3.1927261178365203E-2</c:v>
                </c:pt>
                <c:pt idx="25">
                  <c:v>-3.5352923176269403E-2</c:v>
                </c:pt>
                <c:pt idx="26">
                  <c:v>-3.8268480118490399E-2</c:v>
                </c:pt>
                <c:pt idx="27">
                  <c:v>-4.070304697352E-2</c:v>
                </c:pt>
                <c:pt idx="28">
                  <c:v>-4.2698348542685498E-2</c:v>
                </c:pt>
                <c:pt idx="29">
                  <c:v>-4.4301461206085802E-2</c:v>
                </c:pt>
                <c:pt idx="30">
                  <c:v>-4.5740052968085997E-2</c:v>
                </c:pt>
                <c:pt idx="31">
                  <c:v>-4.6699921095524101E-2</c:v>
                </c:pt>
                <c:pt idx="32">
                  <c:v>-4.7406720824841597E-2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9D-4CBF-9897-07910A27A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07120"/>
        <c:axId val="36504240"/>
      </c:lineChart>
      <c:catAx>
        <c:axId val="3650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4240"/>
        <c:crossesAt val="0"/>
        <c:auto val="1"/>
        <c:lblAlgn val="ctr"/>
        <c:lblOffset val="100"/>
        <c:noMultiLvlLbl val="0"/>
      </c:catAx>
      <c:valAx>
        <c:axId val="36504240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7120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9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8C1-4DCE-B936-70C6FD75E740}"/>
              </c:ext>
            </c:extLst>
          </c:dPt>
          <c:cat>
            <c:numRef>
              <c:f>DATA!$B$200:$B$232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DATA!$M$200:$M$232</c:f>
              <c:numCache>
                <c:formatCode>General</c:formatCode>
                <c:ptCount val="33"/>
                <c:pt idx="0">
                  <c:v>2.8180591084055202E-2</c:v>
                </c:pt>
                <c:pt idx="1">
                  <c:v>3.0758134554574001E-2</c:v>
                </c:pt>
                <c:pt idx="2">
                  <c:v>3.3566002565736601E-2</c:v>
                </c:pt>
                <c:pt idx="3">
                  <c:v>3.66307340506958E-2</c:v>
                </c:pt>
                <c:pt idx="4">
                  <c:v>3.9968686110735903E-2</c:v>
                </c:pt>
                <c:pt idx="5">
                  <c:v>4.35888505514435E-2</c:v>
                </c:pt>
                <c:pt idx="6">
                  <c:v>4.7491380337180603E-2</c:v>
                </c:pt>
                <c:pt idx="7">
                  <c:v>5.1665175301321399E-2</c:v>
                </c:pt>
                <c:pt idx="8">
                  <c:v>5.6084508574330998E-2</c:v>
                </c:pt>
                <c:pt idx="9">
                  <c:v>6.07053630361825E-2</c:v>
                </c:pt>
                <c:pt idx="10">
                  <c:v>6.5217667804081197E-2</c:v>
                </c:pt>
                <c:pt idx="11">
                  <c:v>6.9995949402878302E-2</c:v>
                </c:pt>
                <c:pt idx="12">
                  <c:v>7.4704490518517297E-2</c:v>
                </c:pt>
                <c:pt idx="13">
                  <c:v>7.9208040293328799E-2</c:v>
                </c:pt>
                <c:pt idx="14">
                  <c:v>8.3356401713609196E-2</c:v>
                </c:pt>
                <c:pt idx="15">
                  <c:v>8.6995281645619801E-2</c:v>
                </c:pt>
                <c:pt idx="16">
                  <c:v>8.9980241746133102E-2</c:v>
                </c:pt>
                <c:pt idx="17">
                  <c:v>9.2191926224207105E-2</c:v>
                </c:pt>
                <c:pt idx="18">
                  <c:v>9.3549575874511404E-2</c:v>
                </c:pt>
                <c:pt idx="19">
                  <c:v>9.4019879656018601E-2</c:v>
                </c:pt>
                <c:pt idx="20">
                  <c:v>9.3619190509921499E-2</c:v>
                </c:pt>
                <c:pt idx="21">
                  <c:v>9.2409869138558198E-2</c:v>
                </c:pt>
                <c:pt idx="22">
                  <c:v>9.0494207762179105E-2</c:v>
                </c:pt>
                <c:pt idx="23">
                  <c:v>8.80029539430357E-2</c:v>
                </c:pt>
                <c:pt idx="24">
                  <c:v>8.5073357499760999E-2</c:v>
                </c:pt>
                <c:pt idx="25">
                  <c:v>8.1832327237703797E-2</c:v>
                </c:pt>
                <c:pt idx="26">
                  <c:v>7.8393085082240396E-2</c:v>
                </c:pt>
                <c:pt idx="27">
                  <c:v>7.4854402511190798E-2</c:v>
                </c:pt>
                <c:pt idx="28">
                  <c:v>7.1386881609454694E-2</c:v>
                </c:pt>
                <c:pt idx="29">
                  <c:v>6.8003092984110905E-2</c:v>
                </c:pt>
                <c:pt idx="30">
                  <c:v>6.45876147304041E-2</c:v>
                </c:pt>
                <c:pt idx="31">
                  <c:v>6.1304332833326099E-2</c:v>
                </c:pt>
                <c:pt idx="32">
                  <c:v>5.8176000112534001E-2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C1-4DCE-B936-70C6FD75E740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8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8C1-4DCE-B936-70C6FD75E740}"/>
              </c:ext>
            </c:extLst>
          </c:dPt>
          <c:cat>
            <c:numRef>
              <c:f>DATA!$B$200:$B$232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DATA!$N$200:$N$232</c:f>
              <c:numCache>
                <c:formatCode>General</c:formatCode>
                <c:ptCount val="33"/>
                <c:pt idx="0">
                  <c:v>3.5569971416987402E-2</c:v>
                </c:pt>
                <c:pt idx="1">
                  <c:v>3.6626248086037497E-2</c:v>
                </c:pt>
                <c:pt idx="2">
                  <c:v>3.7580583035520497E-2</c:v>
                </c:pt>
                <c:pt idx="3">
                  <c:v>3.8406112303895401E-2</c:v>
                </c:pt>
                <c:pt idx="4">
                  <c:v>3.9060875996743301E-2</c:v>
                </c:pt>
                <c:pt idx="5">
                  <c:v>3.9493591342987897E-2</c:v>
                </c:pt>
                <c:pt idx="6">
                  <c:v>3.9644671677222298E-2</c:v>
                </c:pt>
                <c:pt idx="7">
                  <c:v>3.9447007968214903E-2</c:v>
                </c:pt>
                <c:pt idx="8">
                  <c:v>3.8827484801022799E-2</c:v>
                </c:pt>
                <c:pt idx="9">
                  <c:v>3.7709802697738798E-2</c:v>
                </c:pt>
                <c:pt idx="10">
                  <c:v>3.58273224334653E-2</c:v>
                </c:pt>
                <c:pt idx="11">
                  <c:v>3.3493592953967401E-2</c:v>
                </c:pt>
                <c:pt idx="12">
                  <c:v>3.0474097967904099E-2</c:v>
                </c:pt>
                <c:pt idx="13">
                  <c:v>2.6743740510580399E-2</c:v>
                </c:pt>
                <c:pt idx="14">
                  <c:v>2.2311780561335301E-2</c:v>
                </c:pt>
                <c:pt idx="15">
                  <c:v>1.7228840160058E-2</c:v>
                </c:pt>
                <c:pt idx="16">
                  <c:v>1.1589752233721599E-2</c:v>
                </c:pt>
                <c:pt idx="17">
                  <c:v>5.5306099021984597E-3</c:v>
                </c:pt>
                <c:pt idx="18">
                  <c:v>-7.8068279394573304E-4</c:v>
                </c:pt>
                <c:pt idx="19">
                  <c:v>-7.1600463894667104E-3</c:v>
                </c:pt>
                <c:pt idx="20">
                  <c:v>-1.3428050100625401E-2</c:v>
                </c:pt>
                <c:pt idx="21">
                  <c:v>-1.9432117595901601E-2</c:v>
                </c:pt>
                <c:pt idx="22">
                  <c:v>-2.50576634367486E-2</c:v>
                </c:pt>
                <c:pt idx="23">
                  <c:v>-3.0218328123577599E-2</c:v>
                </c:pt>
                <c:pt idx="24">
                  <c:v>-3.4846546934772397E-2</c:v>
                </c:pt>
                <c:pt idx="25">
                  <c:v>-3.8902485116380198E-2</c:v>
                </c:pt>
                <c:pt idx="26">
                  <c:v>-4.23809223832926E-2</c:v>
                </c:pt>
                <c:pt idx="27">
                  <c:v>-4.5305115955604901E-2</c:v>
                </c:pt>
                <c:pt idx="28">
                  <c:v>-4.7641284940694098E-2</c:v>
                </c:pt>
                <c:pt idx="29">
                  <c:v>-4.9795109932541097E-2</c:v>
                </c:pt>
                <c:pt idx="30">
                  <c:v>-5.1334244874293403E-2</c:v>
                </c:pt>
                <c:pt idx="31">
                  <c:v>-5.2520795189463898E-2</c:v>
                </c:pt>
                <c:pt idx="32">
                  <c:v>-5.3405233621767502E-2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C1-4DCE-B936-70C6FD75E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40560"/>
        <c:axId val="3542480"/>
      </c:lineChart>
      <c:catAx>
        <c:axId val="3540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2480"/>
        <c:crossesAt val="0"/>
        <c:auto val="1"/>
        <c:lblAlgn val="ctr"/>
        <c:lblOffset val="100"/>
        <c:noMultiLvlLbl val="0"/>
      </c:catAx>
      <c:valAx>
        <c:axId val="3542480"/>
        <c:scaling>
          <c:orientation val="minMax"/>
          <c:max val="0.1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560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9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9E4-45FA-B3A3-268A42324757}"/>
              </c:ext>
            </c:extLst>
          </c:dPt>
          <c:cat>
            <c:numRef>
              <c:f>DATA!$B$233:$B$265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DATA!$M$233:$M$265</c:f>
              <c:numCache>
                <c:formatCode>General</c:formatCode>
                <c:ptCount val="33"/>
                <c:pt idx="0">
                  <c:v>3.1798451644501E-2</c:v>
                </c:pt>
                <c:pt idx="1">
                  <c:v>3.4704315497355601E-2</c:v>
                </c:pt>
                <c:pt idx="2">
                  <c:v>3.78700046972342E-2</c:v>
                </c:pt>
                <c:pt idx="3">
                  <c:v>4.1324755669272101E-2</c:v>
                </c:pt>
                <c:pt idx="4">
                  <c:v>4.50873062653597E-2</c:v>
                </c:pt>
                <c:pt idx="5">
                  <c:v>4.9168677206609598E-2</c:v>
                </c:pt>
                <c:pt idx="6">
                  <c:v>5.3570617764203E-2</c:v>
                </c:pt>
                <c:pt idx="7">
                  <c:v>5.82827889856379E-2</c:v>
                </c:pt>
                <c:pt idx="8">
                  <c:v>6.3067772834542193E-2</c:v>
                </c:pt>
                <c:pt idx="9">
                  <c:v>6.8279848481992603E-2</c:v>
                </c:pt>
                <c:pt idx="10">
                  <c:v>7.3657945044133005E-2</c:v>
                </c:pt>
                <c:pt idx="11">
                  <c:v>7.9105771662053903E-2</c:v>
                </c:pt>
                <c:pt idx="12">
                  <c:v>8.4499394180343898E-2</c:v>
                </c:pt>
                <c:pt idx="13">
                  <c:v>8.9689646550306895E-2</c:v>
                </c:pt>
                <c:pt idx="14">
                  <c:v>9.4508820937898794E-2</c:v>
                </c:pt>
                <c:pt idx="15">
                  <c:v>9.8782044730780699E-2</c:v>
                </c:pt>
                <c:pt idx="16">
                  <c:v>0.102342533497064</c:v>
                </c:pt>
                <c:pt idx="17">
                  <c:v>0.10504870859272999</c:v>
                </c:pt>
                <c:pt idx="18">
                  <c:v>0.10680016224217399</c:v>
                </c:pt>
                <c:pt idx="19">
                  <c:v>0.10754911696963999</c:v>
                </c:pt>
                <c:pt idx="20">
                  <c:v>0.107304761793537</c:v>
                </c:pt>
                <c:pt idx="21">
                  <c:v>0.10612980101376999</c:v>
                </c:pt>
                <c:pt idx="22">
                  <c:v>0.104130353180917</c:v>
                </c:pt>
                <c:pt idx="23">
                  <c:v>0.101441575765622</c:v>
                </c:pt>
                <c:pt idx="24">
                  <c:v>9.8211899508426501E-2</c:v>
                </c:pt>
                <c:pt idx="25">
                  <c:v>9.4588761207852506E-2</c:v>
                </c:pt>
                <c:pt idx="26">
                  <c:v>9.0708470872310099E-2</c:v>
                </c:pt>
                <c:pt idx="27">
                  <c:v>8.6690129582973993E-2</c:v>
                </c:pt>
                <c:pt idx="28">
                  <c:v>8.28683160058548E-2</c:v>
                </c:pt>
                <c:pt idx="29">
                  <c:v>7.8848059449894994E-2</c:v>
                </c:pt>
                <c:pt idx="30">
                  <c:v>7.4927075558466602E-2</c:v>
                </c:pt>
                <c:pt idx="31">
                  <c:v>7.1148198325449705E-2</c:v>
                </c:pt>
                <c:pt idx="32">
                  <c:v>6.7540140101494797E-2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4-45FA-B3A3-268A42324757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8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9E4-45FA-B3A3-268A42324757}"/>
              </c:ext>
            </c:extLst>
          </c:dPt>
          <c:cat>
            <c:numRef>
              <c:f>DATA!$B$233:$B$265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DATA!$N$233:$N$265</c:f>
              <c:numCache>
                <c:formatCode>General</c:formatCode>
                <c:ptCount val="33"/>
                <c:pt idx="0">
                  <c:v>4.16862721137417E-2</c:v>
                </c:pt>
                <c:pt idx="1">
                  <c:v>4.2906058789161997E-2</c:v>
                </c:pt>
                <c:pt idx="2">
                  <c:v>4.4014092640606198E-2</c:v>
                </c:pt>
                <c:pt idx="3">
                  <c:v>4.4980131761819503E-2</c:v>
                </c:pt>
                <c:pt idx="4">
                  <c:v>4.5758148792397299E-2</c:v>
                </c:pt>
                <c:pt idx="5">
                  <c:v>4.6291978161615399E-2</c:v>
                </c:pt>
                <c:pt idx="6">
                  <c:v>4.6516137248878799E-2</c:v>
                </c:pt>
                <c:pt idx="7">
                  <c:v>4.6356458851124001E-2</c:v>
                </c:pt>
                <c:pt idx="8">
                  <c:v>4.5546733026590902E-2</c:v>
                </c:pt>
                <c:pt idx="9">
                  <c:v>4.4362225228341802E-2</c:v>
                </c:pt>
                <c:pt idx="10">
                  <c:v>4.2545616439190699E-2</c:v>
                </c:pt>
                <c:pt idx="11">
                  <c:v>4.0019618929877598E-2</c:v>
                </c:pt>
                <c:pt idx="12">
                  <c:v>3.6723185770365499E-2</c:v>
                </c:pt>
                <c:pt idx="13">
                  <c:v>3.26218549930355E-2</c:v>
                </c:pt>
                <c:pt idx="14">
                  <c:v>2.7718120735334199E-2</c:v>
                </c:pt>
                <c:pt idx="15">
                  <c:v>2.2059826414195599E-2</c:v>
                </c:pt>
                <c:pt idx="16">
                  <c:v>1.5744200737732299E-2</c:v>
                </c:pt>
                <c:pt idx="17">
                  <c:v>8.9155330766231798E-3</c:v>
                </c:pt>
                <c:pt idx="18">
                  <c:v>1.75556252898909E-3</c:v>
                </c:pt>
                <c:pt idx="19">
                  <c:v>-5.53271354250122E-3</c:v>
                </c:pt>
                <c:pt idx="20">
                  <c:v>-1.2745143901985501E-2</c:v>
                </c:pt>
                <c:pt idx="21">
                  <c:v>-1.96960123805884E-2</c:v>
                </c:pt>
                <c:pt idx="22">
                  <c:v>-2.62319655634029E-2</c:v>
                </c:pt>
                <c:pt idx="23">
                  <c:v>-3.2237764840088598E-2</c:v>
                </c:pt>
                <c:pt idx="24">
                  <c:v>-3.7636535518942499E-2</c:v>
                </c:pt>
                <c:pt idx="25">
                  <c:v>-4.23883253597351E-2</c:v>
                </c:pt>
                <c:pt idx="26">
                  <c:v>-4.6487013059995197E-2</c:v>
                </c:pt>
                <c:pt idx="27">
                  <c:v>-4.9954385702998601E-2</c:v>
                </c:pt>
                <c:pt idx="28">
                  <c:v>-5.2980081498785497E-2</c:v>
                </c:pt>
                <c:pt idx="29">
                  <c:v>-5.5322127188331703E-2</c:v>
                </c:pt>
                <c:pt idx="30">
                  <c:v>-5.7188517872108602E-2</c:v>
                </c:pt>
                <c:pt idx="31">
                  <c:v>-5.8639824507407401E-2</c:v>
                </c:pt>
                <c:pt idx="32">
                  <c:v>-5.9734085898841702E-2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4-45FA-B3A3-268A42324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8557663"/>
        <c:axId val="448558143"/>
      </c:lineChart>
      <c:catAx>
        <c:axId val="448557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58143"/>
        <c:crossesAt val="0"/>
        <c:auto val="1"/>
        <c:lblAlgn val="ctr"/>
        <c:lblOffset val="100"/>
        <c:noMultiLvlLbl val="0"/>
      </c:catAx>
      <c:valAx>
        <c:axId val="448558143"/>
        <c:scaling>
          <c:orientation val="minMax"/>
          <c:max val="0.1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57663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9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052-43B6-9BE8-8E546DAC6E0F}"/>
              </c:ext>
            </c:extLst>
          </c:dPt>
          <c:cat>
            <c:numRef>
              <c:f>DATA!$B$266:$B$298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DATA!$M$266:$M$298</c:f>
              <c:numCache>
                <c:formatCode>General</c:formatCode>
                <c:ptCount val="33"/>
                <c:pt idx="0">
                  <c:v>3.55547197674091E-2</c:v>
                </c:pt>
                <c:pt idx="1">
                  <c:v>3.8793987830935399E-2</c:v>
                </c:pt>
                <c:pt idx="2">
                  <c:v>4.2324085215655498E-2</c:v>
                </c:pt>
                <c:pt idx="3">
                  <c:v>4.6176482897658098E-2</c:v>
                </c:pt>
                <c:pt idx="4">
                  <c:v>5.0372410177889598E-2</c:v>
                </c:pt>
                <c:pt idx="5">
                  <c:v>5.49252096212864E-2</c:v>
                </c:pt>
                <c:pt idx="6">
                  <c:v>5.9657965031822698E-2</c:v>
                </c:pt>
                <c:pt idx="7">
                  <c:v>6.4903743569214703E-2</c:v>
                </c:pt>
                <c:pt idx="8">
                  <c:v>7.0472790270540195E-2</c:v>
                </c:pt>
                <c:pt idx="9">
                  <c:v>7.6318163249362594E-2</c:v>
                </c:pt>
                <c:pt idx="10">
                  <c:v>8.2367034531336897E-2</c:v>
                </c:pt>
                <c:pt idx="11">
                  <c:v>8.8517110487328798E-2</c:v>
                </c:pt>
                <c:pt idx="12">
                  <c:v>9.4635133714658398E-2</c:v>
                </c:pt>
                <c:pt idx="13">
                  <c:v>0.100558803124083</c:v>
                </c:pt>
                <c:pt idx="14">
                  <c:v>0.10610334282367501</c:v>
                </c:pt>
                <c:pt idx="15">
                  <c:v>0.111073143011803</c:v>
                </c:pt>
                <c:pt idx="16">
                  <c:v>0.115278070914172</c:v>
                </c:pt>
                <c:pt idx="17">
                  <c:v>0.118552346265798</c:v>
                </c:pt>
                <c:pt idx="18">
                  <c:v>0.120772874701133</c:v>
                </c:pt>
                <c:pt idx="19">
                  <c:v>0.12187311519435701</c:v>
                </c:pt>
                <c:pt idx="20">
                  <c:v>0.121849712311192</c:v>
                </c:pt>
                <c:pt idx="21">
                  <c:v>0.120760260827962</c:v>
                </c:pt>
                <c:pt idx="22">
                  <c:v>0.118713296456385</c:v>
                </c:pt>
                <c:pt idx="23">
                  <c:v>0.11585316958627601</c:v>
                </c:pt>
                <c:pt idx="24">
                  <c:v>0.112343037073761</c:v>
                </c:pt>
                <c:pt idx="25">
                  <c:v>0.108349239679691</c:v>
                </c:pt>
                <c:pt idx="26">
                  <c:v>0.10402878904078</c:v>
                </c:pt>
                <c:pt idx="27">
                  <c:v>9.9521045215940407E-2</c:v>
                </c:pt>
                <c:pt idx="28">
                  <c:v>9.51054587744702E-2</c:v>
                </c:pt>
                <c:pt idx="29">
                  <c:v>9.0551720477851705E-2</c:v>
                </c:pt>
                <c:pt idx="30">
                  <c:v>8.6094599376846603E-2</c:v>
                </c:pt>
                <c:pt idx="31">
                  <c:v>8.1786279096085296E-2</c:v>
                </c:pt>
                <c:pt idx="32">
                  <c:v>7.7737640208293698E-2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52-43B6-9BE8-8E546DAC6E0F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9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052-43B6-9BE8-8E546DAC6E0F}"/>
              </c:ext>
            </c:extLst>
          </c:dPt>
          <c:cat>
            <c:numRef>
              <c:f>DATA!$B$266:$B$298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DATA!$N$266:$N$298</c:f>
              <c:numCache>
                <c:formatCode>General</c:formatCode>
                <c:ptCount val="33"/>
                <c:pt idx="0">
                  <c:v>4.8137773138149001E-2</c:v>
                </c:pt>
                <c:pt idx="1">
                  <c:v>4.9529065893276797E-2</c:v>
                </c:pt>
                <c:pt idx="2">
                  <c:v>5.0800321508661699E-2</c:v>
                </c:pt>
                <c:pt idx="3">
                  <c:v>5.1918003515070199E-2</c:v>
                </c:pt>
                <c:pt idx="4">
                  <c:v>5.28322235915877E-2</c:v>
                </c:pt>
                <c:pt idx="5">
                  <c:v>5.3482062053489002E-2</c:v>
                </c:pt>
                <c:pt idx="6">
                  <c:v>5.3624931918843897E-2</c:v>
                </c:pt>
                <c:pt idx="7">
                  <c:v>5.3509650610849398E-2</c:v>
                </c:pt>
                <c:pt idx="8">
                  <c:v>5.2890464722650098E-2</c:v>
                </c:pt>
                <c:pt idx="9">
                  <c:v>5.16725579551107E-2</c:v>
                </c:pt>
                <c:pt idx="10">
                  <c:v>4.97603864938303E-2</c:v>
                </c:pt>
                <c:pt idx="11">
                  <c:v>4.7064955299712899E-2</c:v>
                </c:pt>
                <c:pt idx="12">
                  <c:v>4.3513416958790102E-2</c:v>
                </c:pt>
                <c:pt idx="13">
                  <c:v>3.9060383791043797E-2</c:v>
                </c:pt>
                <c:pt idx="14">
                  <c:v>3.3699587298169499E-2</c:v>
                </c:pt>
                <c:pt idx="15">
                  <c:v>2.7473777770414001E-2</c:v>
                </c:pt>
                <c:pt idx="16">
                  <c:v>2.0480276265809599E-2</c:v>
                </c:pt>
                <c:pt idx="17">
                  <c:v>1.28698606400625E-2</c:v>
                </c:pt>
                <c:pt idx="18">
                  <c:v>4.83774119837519E-3</c:v>
                </c:pt>
                <c:pt idx="19">
                  <c:v>-3.3927123536143401E-3</c:v>
                </c:pt>
                <c:pt idx="20">
                  <c:v>-1.15908179368328E-2</c:v>
                </c:pt>
                <c:pt idx="21">
                  <c:v>-1.9539838049926001E-2</c:v>
                </c:pt>
                <c:pt idx="22">
                  <c:v>-2.7054409085061199E-2</c:v>
                </c:pt>
                <c:pt idx="23">
                  <c:v>-3.3991475519342597E-2</c:v>
                </c:pt>
                <c:pt idx="24">
                  <c:v>-4.0254412086903502E-2</c:v>
                </c:pt>
                <c:pt idx="25">
                  <c:v>-4.5791624453988801E-2</c:v>
                </c:pt>
                <c:pt idx="26">
                  <c:v>-5.0591232620455499E-2</c:v>
                </c:pt>
                <c:pt idx="27">
                  <c:v>-5.46732795934095E-2</c:v>
                </c:pt>
                <c:pt idx="28">
                  <c:v>-5.8191624046862199E-2</c:v>
                </c:pt>
                <c:pt idx="29">
                  <c:v>-6.0973603800352501E-2</c:v>
                </c:pt>
                <c:pt idx="30">
                  <c:v>-6.3204142622127701E-2</c:v>
                </c:pt>
                <c:pt idx="31">
                  <c:v>-6.4951017481919296E-2</c:v>
                </c:pt>
                <c:pt idx="32">
                  <c:v>-6.6370773590429005E-2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52-43B6-9BE8-8E546DAC6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384959"/>
        <c:axId val="906386399"/>
      </c:lineChart>
      <c:catAx>
        <c:axId val="906384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386399"/>
        <c:crossesAt val="0"/>
        <c:auto val="1"/>
        <c:lblAlgn val="ctr"/>
        <c:lblOffset val="100"/>
        <c:noMultiLvlLbl val="0"/>
      </c:catAx>
      <c:valAx>
        <c:axId val="906386399"/>
        <c:scaling>
          <c:orientation val="minMax"/>
          <c:max val="0.1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384959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0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FD5-4150-A180-B3789636F0B5}"/>
              </c:ext>
            </c:extLst>
          </c:dPt>
          <c:cat>
            <c:numRef>
              <c:f>DATA!$B$299:$B$331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DATA!$M$299:$M$331</c:f>
              <c:numCache>
                <c:formatCode>General</c:formatCode>
                <c:ptCount val="33"/>
                <c:pt idx="0">
                  <c:v>3.9416589521924901E-2</c:v>
                </c:pt>
                <c:pt idx="1">
                  <c:v>4.29965862423606E-2</c:v>
                </c:pt>
                <c:pt idx="2">
                  <c:v>4.68976573918461E-2</c:v>
                </c:pt>
                <c:pt idx="3">
                  <c:v>5.1154271792092303E-2</c:v>
                </c:pt>
                <c:pt idx="4">
                  <c:v>5.57906867584727E-2</c:v>
                </c:pt>
                <c:pt idx="5">
                  <c:v>6.0652822311499099E-2</c:v>
                </c:pt>
                <c:pt idx="6">
                  <c:v>6.6068897154301795E-2</c:v>
                </c:pt>
                <c:pt idx="7">
                  <c:v>7.1877679081615201E-2</c:v>
                </c:pt>
                <c:pt idx="8">
                  <c:v>7.8054519635035693E-2</c:v>
                </c:pt>
                <c:pt idx="9">
                  <c:v>8.4552049874797197E-2</c:v>
                </c:pt>
                <c:pt idx="10">
                  <c:v>9.1295114481409298E-2</c:v>
                </c:pt>
                <c:pt idx="11">
                  <c:v>9.8176503958739794E-2</c:v>
                </c:pt>
                <c:pt idx="12">
                  <c:v>0.105054775265737</c:v>
                </c:pt>
                <c:pt idx="13">
                  <c:v>0.111755536040585</c:v>
                </c:pt>
                <c:pt idx="14">
                  <c:v>0.118077601600159</c:v>
                </c:pt>
                <c:pt idx="15">
                  <c:v>0.123804746354528</c:v>
                </c:pt>
                <c:pt idx="16">
                  <c:v>0.12872273351869401</c:v>
                </c:pt>
                <c:pt idx="17">
                  <c:v>0.13263977713950501</c:v>
                </c:pt>
                <c:pt idx="18">
                  <c:v>0.13540717968904301</c:v>
                </c:pt>
                <c:pt idx="19">
                  <c:v>0.136935944283891</c:v>
                </c:pt>
                <c:pt idx="20">
                  <c:v>0.13720608741432799</c:v>
                </c:pt>
                <c:pt idx="21">
                  <c:v>0.13626634037611399</c:v>
                </c:pt>
                <c:pt idx="22">
                  <c:v>0.134225063835367</c:v>
                </c:pt>
                <c:pt idx="23">
                  <c:v>0.131234571315516</c:v>
                </c:pt>
                <c:pt idx="24">
                  <c:v>0.12747267652017999</c:v>
                </c:pt>
                <c:pt idx="25">
                  <c:v>0.12312478741518899</c:v>
                </c:pt>
                <c:pt idx="26">
                  <c:v>0.118369100497621</c:v>
                </c:pt>
                <c:pt idx="27">
                  <c:v>0.113515760241909</c:v>
                </c:pt>
                <c:pt idx="28">
                  <c:v>0.108402435072962</c:v>
                </c:pt>
                <c:pt idx="29">
                  <c:v>0.10329091310937</c:v>
                </c:pt>
                <c:pt idx="30">
                  <c:v>9.8267552045464501E-2</c:v>
                </c:pt>
                <c:pt idx="31">
                  <c:v>9.3395993988594897E-2</c:v>
                </c:pt>
                <c:pt idx="32">
                  <c:v>8.8720617961808398E-2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D5-4150-A180-B3789636F0B5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9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FD5-4150-A180-B3789636F0B5}"/>
              </c:ext>
            </c:extLst>
          </c:dPt>
          <c:cat>
            <c:numRef>
              <c:f>DATA!$B$299:$B$331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DATA!$N$299:$N$331</c:f>
              <c:numCache>
                <c:formatCode>General</c:formatCode>
                <c:ptCount val="33"/>
                <c:pt idx="0">
                  <c:v>5.4898530286560901E-2</c:v>
                </c:pt>
                <c:pt idx="1">
                  <c:v>5.6472479182189603E-2</c:v>
                </c:pt>
                <c:pt idx="2">
                  <c:v>5.7918486512370498E-2</c:v>
                </c:pt>
                <c:pt idx="3">
                  <c:v>5.9200637202167901E-2</c:v>
                </c:pt>
                <c:pt idx="4">
                  <c:v>6.0265583597263903E-2</c:v>
                </c:pt>
                <c:pt idx="5">
                  <c:v>6.0879319915673802E-2</c:v>
                </c:pt>
                <c:pt idx="6">
                  <c:v>6.1289380327798203E-2</c:v>
                </c:pt>
                <c:pt idx="7">
                  <c:v>6.1253821126348897E-2</c:v>
                </c:pt>
                <c:pt idx="8">
                  <c:v>6.0674944046419502E-2</c:v>
                </c:pt>
                <c:pt idx="9">
                  <c:v>5.9447993784523999E-2</c:v>
                </c:pt>
                <c:pt idx="10">
                  <c:v>5.7466199205045601E-2</c:v>
                </c:pt>
                <c:pt idx="11">
                  <c:v>5.4628302182249101E-2</c:v>
                </c:pt>
                <c:pt idx="12">
                  <c:v>5.08486987809511E-2</c:v>
                </c:pt>
                <c:pt idx="13">
                  <c:v>4.6069624205270998E-2</c:v>
                </c:pt>
                <c:pt idx="14">
                  <c:v>4.0274098767537E-2</c:v>
                </c:pt>
                <c:pt idx="15">
                  <c:v>3.34974190964826E-2</c:v>
                </c:pt>
                <c:pt idx="16">
                  <c:v>2.5834477791801199E-2</c:v>
                </c:pt>
                <c:pt idx="17">
                  <c:v>1.74402489889466E-2</c:v>
                </c:pt>
                <c:pt idx="18">
                  <c:v>8.5218128684928403E-3</c:v>
                </c:pt>
                <c:pt idx="19">
                  <c:v>-6.7781452026398998E-4</c:v>
                </c:pt>
                <c:pt idx="20">
                  <c:v>-9.9015663063760605E-3</c:v>
                </c:pt>
                <c:pt idx="21">
                  <c:v>-1.8901876211692901E-2</c:v>
                </c:pt>
                <c:pt idx="22">
                  <c:v>-2.7461419934099399E-2</c:v>
                </c:pt>
                <c:pt idx="23">
                  <c:v>-3.5407716753573799E-2</c:v>
                </c:pt>
                <c:pt idx="24">
                  <c:v>-4.2620183173245597E-2</c:v>
                </c:pt>
                <c:pt idx="25">
                  <c:v>-4.9030086185001799E-2</c:v>
                </c:pt>
                <c:pt idx="26">
                  <c:v>-5.4615104056086598E-2</c:v>
                </c:pt>
                <c:pt idx="27">
                  <c:v>-5.9502313502942397E-2</c:v>
                </c:pt>
                <c:pt idx="28">
                  <c:v>-6.3507602701949203E-2</c:v>
                </c:pt>
                <c:pt idx="29">
                  <c:v>-6.6805881012272805E-2</c:v>
                </c:pt>
                <c:pt idx="30">
                  <c:v>-6.9469053028228103E-2</c:v>
                </c:pt>
                <c:pt idx="31">
                  <c:v>-7.1572354548694705E-2</c:v>
                </c:pt>
                <c:pt idx="32">
                  <c:v>-7.3189781848327695E-2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D5-4150-A180-B3789636F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5822671"/>
        <c:axId val="855821711"/>
      </c:lineChart>
      <c:catAx>
        <c:axId val="8558226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821711"/>
        <c:crossesAt val="0"/>
        <c:auto val="1"/>
        <c:lblAlgn val="ctr"/>
        <c:lblOffset val="100"/>
        <c:noMultiLvlLbl val="0"/>
      </c:catAx>
      <c:valAx>
        <c:axId val="855821711"/>
        <c:scaling>
          <c:orientation val="minMax"/>
          <c:max val="0.2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822671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0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981B-4561-8A16-01585357C886}"/>
              </c:ext>
            </c:extLst>
          </c:dPt>
          <c:cat>
            <c:numRef>
              <c:f>DATA!$B$332:$B$364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DATA!$M$332:$M$364</c:f>
              <c:numCache>
                <c:formatCode>General</c:formatCode>
                <c:ptCount val="33"/>
                <c:pt idx="0">
                  <c:v>4.3370489226668599E-2</c:v>
                </c:pt>
                <c:pt idx="1">
                  <c:v>4.7294254665049398E-2</c:v>
                </c:pt>
                <c:pt idx="2">
                  <c:v>5.1569610238575897E-2</c:v>
                </c:pt>
                <c:pt idx="3">
                  <c:v>5.6088542040806003E-2</c:v>
                </c:pt>
                <c:pt idx="4">
                  <c:v>6.1154456705449001E-2</c:v>
                </c:pt>
                <c:pt idx="5">
                  <c:v>6.6654143845243E-2</c:v>
                </c:pt>
                <c:pt idx="6">
                  <c:v>7.2596798012250205E-2</c:v>
                </c:pt>
                <c:pt idx="7">
                  <c:v>7.8977841768137699E-2</c:v>
                </c:pt>
                <c:pt idx="8">
                  <c:v>8.5774218394083696E-2</c:v>
                </c:pt>
                <c:pt idx="9">
                  <c:v>9.2938971797207698E-2</c:v>
                </c:pt>
                <c:pt idx="10">
                  <c:v>0.10039563728473901</c:v>
                </c:pt>
                <c:pt idx="11">
                  <c:v>0.108033274958973</c:v>
                </c:pt>
                <c:pt idx="12">
                  <c:v>0.115703510854931</c:v>
                </c:pt>
                <c:pt idx="13">
                  <c:v>0.123221119441372</c:v>
                </c:pt>
                <c:pt idx="14">
                  <c:v>0.13036949816462001</c:v>
                </c:pt>
                <c:pt idx="15">
                  <c:v>0.13691226518649799</c:v>
                </c:pt>
                <c:pt idx="16">
                  <c:v>0.14261073128648699</c:v>
                </c:pt>
                <c:pt idx="17">
                  <c:v>0.14724575207912899</c:v>
                </c:pt>
                <c:pt idx="18">
                  <c:v>0.15064051691320901</c:v>
                </c:pt>
                <c:pt idx="19">
                  <c:v>0.152680222008135</c:v>
                </c:pt>
                <c:pt idx="20">
                  <c:v>0.15332426343209299</c:v>
                </c:pt>
                <c:pt idx="21">
                  <c:v>0.152608568121432</c:v>
                </c:pt>
                <c:pt idx="22">
                  <c:v>0.15063782720553201</c:v>
                </c:pt>
                <c:pt idx="23">
                  <c:v>0.14756979303374099</c:v>
                </c:pt>
                <c:pt idx="24">
                  <c:v>0.14359547278181201</c:v>
                </c:pt>
                <c:pt idx="25">
                  <c:v>0.13891896460735301</c:v>
                </c:pt>
                <c:pt idx="26">
                  <c:v>0.133740271083334</c:v>
                </c:pt>
                <c:pt idx="27">
                  <c:v>0.12837661957997001</c:v>
                </c:pt>
                <c:pt idx="28">
                  <c:v>0.122717361610584</c:v>
                </c:pt>
                <c:pt idx="29">
                  <c:v>0.117028772112778</c:v>
                </c:pt>
                <c:pt idx="30">
                  <c:v>0.111413511206676</c:v>
                </c:pt>
                <c:pt idx="31">
                  <c:v>0.10594866635859899</c:v>
                </c:pt>
                <c:pt idx="32">
                  <c:v>0.100680993364395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B-4561-8A16-01585357C886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9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981B-4561-8A16-01585357C886}"/>
              </c:ext>
            </c:extLst>
          </c:dPt>
          <c:cat>
            <c:numRef>
              <c:f>DATA!$B$332:$B$364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DATA!$N$332:$N$364</c:f>
              <c:numCache>
                <c:formatCode>General</c:formatCode>
                <c:ptCount val="33"/>
                <c:pt idx="0">
                  <c:v>6.1951543083371502E-2</c:v>
                </c:pt>
                <c:pt idx="1">
                  <c:v>6.3718359914117395E-2</c:v>
                </c:pt>
                <c:pt idx="2">
                  <c:v>6.5350651399045806E-2</c:v>
                </c:pt>
                <c:pt idx="3">
                  <c:v>6.6659624675834098E-2</c:v>
                </c:pt>
                <c:pt idx="4">
                  <c:v>6.7876489597379797E-2</c:v>
                </c:pt>
                <c:pt idx="5">
                  <c:v>6.8795884470986293E-2</c:v>
                </c:pt>
                <c:pt idx="6">
                  <c:v>6.9335687540701199E-2</c:v>
                </c:pt>
                <c:pt idx="7">
                  <c:v>6.9401170924277694E-2</c:v>
                </c:pt>
                <c:pt idx="8">
                  <c:v>6.8886259480005402E-2</c:v>
                </c:pt>
                <c:pt idx="9">
                  <c:v>6.7676346982860694E-2</c:v>
                </c:pt>
                <c:pt idx="10">
                  <c:v>6.5653323673193403E-2</c:v>
                </c:pt>
                <c:pt idx="11">
                  <c:v>6.2703272138476193E-2</c:v>
                </c:pt>
                <c:pt idx="12">
                  <c:v>5.8727030107693999E-2</c:v>
                </c:pt>
                <c:pt idx="13">
                  <c:v>5.3653158949776403E-2</c:v>
                </c:pt>
                <c:pt idx="14">
                  <c:v>4.7452090571219199E-2</c:v>
                </c:pt>
                <c:pt idx="15">
                  <c:v>4.0149278352355502E-2</c:v>
                </c:pt>
                <c:pt idx="16">
                  <c:v>3.18344382780145E-2</c:v>
                </c:pt>
                <c:pt idx="17">
                  <c:v>2.2663949021270401E-2</c:v>
                </c:pt>
                <c:pt idx="18">
                  <c:v>1.28542995900919E-2</c:v>
                </c:pt>
                <c:pt idx="19">
                  <c:v>2.66639645740957E-3</c:v>
                </c:pt>
                <c:pt idx="20">
                  <c:v>-7.6171927528507002E-3</c:v>
                </c:pt>
                <c:pt idx="21">
                  <c:v>-1.7717989888368799E-2</c:v>
                </c:pt>
                <c:pt idx="22">
                  <c:v>-2.7385561057388201E-2</c:v>
                </c:pt>
                <c:pt idx="23">
                  <c:v>-3.6415629861746499E-2</c:v>
                </c:pt>
                <c:pt idx="24">
                  <c:v>-4.4660114201334103E-2</c:v>
                </c:pt>
                <c:pt idx="25">
                  <c:v>-5.2028998317412499E-2</c:v>
                </c:pt>
                <c:pt idx="26">
                  <c:v>-5.84855668682858E-2</c:v>
                </c:pt>
                <c:pt idx="27">
                  <c:v>-6.4139071417728802E-2</c:v>
                </c:pt>
                <c:pt idx="28">
                  <c:v>-6.8824911247889697E-2</c:v>
                </c:pt>
                <c:pt idx="29">
                  <c:v>-7.2708146450565503E-2</c:v>
                </c:pt>
                <c:pt idx="30">
                  <c:v>-7.5865764049359699E-2</c:v>
                </c:pt>
                <c:pt idx="31">
                  <c:v>-7.8380234925045797E-2</c:v>
                </c:pt>
                <c:pt idx="32">
                  <c:v>-8.0337263445126497E-2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B-4561-8A16-01585357C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66400"/>
        <c:axId val="125369760"/>
      </c:lineChart>
      <c:catAx>
        <c:axId val="125366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69760"/>
        <c:crossesAt val="0"/>
        <c:auto val="1"/>
        <c:lblAlgn val="ctr"/>
        <c:lblOffset val="100"/>
        <c:noMultiLvlLbl val="0"/>
      </c:catAx>
      <c:valAx>
        <c:axId val="125369760"/>
        <c:scaling>
          <c:orientation val="minMax"/>
          <c:max val="0.2"/>
          <c:min val="-0.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66400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0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D79-4C47-8E37-DAF7A6BFED5C}"/>
              </c:ext>
            </c:extLst>
          </c:dPt>
          <c:cat>
            <c:numRef>
              <c:f>DATA!$B$365:$B$397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DATA!$M$365:$M$397</c:f>
              <c:numCache>
                <c:formatCode>General</c:formatCode>
                <c:ptCount val="33"/>
                <c:pt idx="0">
                  <c:v>4.7407778574334897E-2</c:v>
                </c:pt>
                <c:pt idx="1">
                  <c:v>5.1676864308628903E-2</c:v>
                </c:pt>
                <c:pt idx="2">
                  <c:v>5.6188510602312502E-2</c:v>
                </c:pt>
                <c:pt idx="3">
                  <c:v>6.1248790167470799E-2</c:v>
                </c:pt>
                <c:pt idx="4">
                  <c:v>6.6761359807310794E-2</c:v>
                </c:pt>
                <c:pt idx="5">
                  <c:v>7.2749087993334599E-2</c:v>
                </c:pt>
                <c:pt idx="6">
                  <c:v>7.9224247998664205E-2</c:v>
                </c:pt>
                <c:pt idx="7">
                  <c:v>8.6184993987031402E-2</c:v>
                </c:pt>
                <c:pt idx="8">
                  <c:v>9.3610428331714596E-2</c:v>
                </c:pt>
                <c:pt idx="9">
                  <c:v>0.101454752824263</c:v>
                </c:pt>
                <c:pt idx="10">
                  <c:v>0.109641131474086</c:v>
                </c:pt>
                <c:pt idx="11">
                  <c:v>0.11805605024891599</c:v>
                </c:pt>
                <c:pt idx="12">
                  <c:v>0.126545562111892</c:v>
                </c:pt>
                <c:pt idx="13">
                  <c:v>0.13491491796021601</c:v>
                </c:pt>
                <c:pt idx="14">
                  <c:v>0.14293335667849699</c:v>
                </c:pt>
                <c:pt idx="15">
                  <c:v>0.15034518212572201</c:v>
                </c:pt>
                <c:pt idx="16">
                  <c:v>0.15688740126769199</c:v>
                </c:pt>
                <c:pt idx="17">
                  <c:v>0.16231267997881299</c:v>
                </c:pt>
                <c:pt idx="18">
                  <c:v>0.16641422640943401</c:v>
                </c:pt>
                <c:pt idx="19">
                  <c:v>0.169048383223704</c:v>
                </c:pt>
                <c:pt idx="20">
                  <c:v>0.17015018123454101</c:v>
                </c:pt>
                <c:pt idx="21">
                  <c:v>0.16973856817067901</c:v>
                </c:pt>
                <c:pt idx="22">
                  <c:v>0.16791063698203201</c:v>
                </c:pt>
                <c:pt idx="23">
                  <c:v>0.16482631261057401</c:v>
                </c:pt>
                <c:pt idx="24">
                  <c:v>0.160687553302823</c:v>
                </c:pt>
                <c:pt idx="25">
                  <c:v>0.15571621481018799</c:v>
                </c:pt>
                <c:pt idx="26">
                  <c:v>0.150134131622291</c:v>
                </c:pt>
                <c:pt idx="27">
                  <c:v>0.14432753733904</c:v>
                </c:pt>
                <c:pt idx="28">
                  <c:v>0.13811431249265499</c:v>
                </c:pt>
                <c:pt idx="29">
                  <c:v>0.131832227871964</c:v>
                </c:pt>
                <c:pt idx="30">
                  <c:v>0.125602467297485</c:v>
                </c:pt>
                <c:pt idx="31">
                  <c:v>0.119517221180978</c:v>
                </c:pt>
                <c:pt idx="32">
                  <c:v>0.11358065554069401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79-4C47-8E37-DAF7A6BFED5C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0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D79-4C47-8E37-DAF7A6BFED5C}"/>
              </c:ext>
            </c:extLst>
          </c:dPt>
          <c:cat>
            <c:numRef>
              <c:f>DATA!$B$365:$B$397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DATA!$N$365:$N$397</c:f>
              <c:numCache>
                <c:formatCode>General</c:formatCode>
                <c:ptCount val="33"/>
                <c:pt idx="0">
                  <c:v>6.9282933791121395E-2</c:v>
                </c:pt>
                <c:pt idx="1">
                  <c:v>7.1252543831564097E-2</c:v>
                </c:pt>
                <c:pt idx="2">
                  <c:v>7.2935832483492294E-2</c:v>
                </c:pt>
                <c:pt idx="3">
                  <c:v>7.4573211099594999E-2</c:v>
                </c:pt>
                <c:pt idx="4">
                  <c:v>7.5972338034430098E-2</c:v>
                </c:pt>
                <c:pt idx="5">
                  <c:v>7.7059692046784201E-2</c:v>
                </c:pt>
                <c:pt idx="6">
                  <c:v>7.7747643884044801E-2</c:v>
                </c:pt>
                <c:pt idx="7">
                  <c:v>7.7934738370356804E-2</c:v>
                </c:pt>
                <c:pt idx="8">
                  <c:v>7.7506772236961993E-2</c:v>
                </c:pt>
                <c:pt idx="9">
                  <c:v>7.6339472939633293E-2</c:v>
                </c:pt>
                <c:pt idx="10">
                  <c:v>7.4303432269567593E-2</c:v>
                </c:pt>
                <c:pt idx="11">
                  <c:v>7.1271871869112602E-2</c:v>
                </c:pt>
                <c:pt idx="12">
                  <c:v>6.7131505940014199E-2</c:v>
                </c:pt>
                <c:pt idx="13">
                  <c:v>6.1796168045749597E-2</c:v>
                </c:pt>
                <c:pt idx="14">
                  <c:v>5.5222083195913298E-2</c:v>
                </c:pt>
                <c:pt idx="15">
                  <c:v>4.7422616179881097E-2</c:v>
                </c:pt>
                <c:pt idx="16">
                  <c:v>3.8479571436502401E-2</c:v>
                </c:pt>
                <c:pt idx="17">
                  <c:v>2.8547711082046699E-2</c:v>
                </c:pt>
                <c:pt idx="18">
                  <c:v>1.7850021466322401E-2</c:v>
                </c:pt>
                <c:pt idx="19">
                  <c:v>6.6629015176815102E-3</c:v>
                </c:pt>
                <c:pt idx="20">
                  <c:v>-4.7070402663767401E-3</c:v>
                </c:pt>
                <c:pt idx="21">
                  <c:v>-1.5950667245669001E-2</c:v>
                </c:pt>
                <c:pt idx="22">
                  <c:v>-2.67833429707643E-2</c:v>
                </c:pt>
                <c:pt idx="23">
                  <c:v>-3.6966623436742702E-2</c:v>
                </c:pt>
                <c:pt idx="24">
                  <c:v>-4.6321584141319899E-2</c:v>
                </c:pt>
                <c:pt idx="25">
                  <c:v>-5.4733084604712302E-2</c:v>
                </c:pt>
                <c:pt idx="26">
                  <c:v>-6.2146213184426403E-2</c:v>
                </c:pt>
                <c:pt idx="27">
                  <c:v>-6.8724782223805403E-2</c:v>
                </c:pt>
                <c:pt idx="28">
                  <c:v>-7.4176489229982503E-2</c:v>
                </c:pt>
                <c:pt idx="29">
                  <c:v>-7.8724472838252305E-2</c:v>
                </c:pt>
                <c:pt idx="30">
                  <c:v>-8.2449889499512805E-2</c:v>
                </c:pt>
                <c:pt idx="31">
                  <c:v>-8.54419800591074E-2</c:v>
                </c:pt>
                <c:pt idx="32">
                  <c:v>-8.7787014731556604E-2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79-4C47-8E37-DAF7A6BFE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2768"/>
        <c:axId val="14045648"/>
      </c:lineChart>
      <c:catAx>
        <c:axId val="1404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648"/>
        <c:crossesAt val="0"/>
        <c:auto val="1"/>
        <c:lblAlgn val="ctr"/>
        <c:lblOffset val="100"/>
        <c:noMultiLvlLbl val="0"/>
      </c:catAx>
      <c:valAx>
        <c:axId val="14045648"/>
        <c:scaling>
          <c:orientation val="minMax"/>
          <c:max val="0.2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2768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0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4C3-4E1A-83AD-AD1F23F538C4}"/>
              </c:ext>
            </c:extLst>
          </c:dPt>
          <c:cat>
            <c:numRef>
              <c:f>DATA!$B$398:$B$430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DATA!$M$398:$M$430</c:f>
              <c:numCache>
                <c:formatCode>General</c:formatCode>
                <c:ptCount val="33"/>
                <c:pt idx="0">
                  <c:v>5.1372235425518699E-2</c:v>
                </c:pt>
                <c:pt idx="1">
                  <c:v>5.5975600841536001E-2</c:v>
                </c:pt>
                <c:pt idx="2">
                  <c:v>6.0988941648974698E-2</c:v>
                </c:pt>
                <c:pt idx="3">
                  <c:v>6.6457700662431105E-2</c:v>
                </c:pt>
                <c:pt idx="4">
                  <c:v>7.2416927024123903E-2</c:v>
                </c:pt>
                <c:pt idx="5">
                  <c:v>7.8893004526643495E-2</c:v>
                </c:pt>
                <c:pt idx="6">
                  <c:v>8.5901678158213396E-2</c:v>
                </c:pt>
                <c:pt idx="7">
                  <c:v>9.3444313161675702E-2</c:v>
                </c:pt>
                <c:pt idx="8">
                  <c:v>0.101502799303688</c:v>
                </c:pt>
                <c:pt idx="9">
                  <c:v>0.110033375325588</c:v>
                </c:pt>
                <c:pt idx="10">
                  <c:v>0.118959917376893</c:v>
                </c:pt>
                <c:pt idx="11">
                  <c:v>0.128167725620429</c:v>
                </c:pt>
                <c:pt idx="12">
                  <c:v>0.13749882661983401</c:v>
                </c:pt>
                <c:pt idx="13">
                  <c:v>0.146750686045128</c:v>
                </c:pt>
                <c:pt idx="14">
                  <c:v>0.155679955580839</c:v>
                </c:pt>
                <c:pt idx="15">
                  <c:v>0.164012884859638</c:v>
                </c:pt>
                <c:pt idx="16">
                  <c:v>0.17146280334591099</c:v>
                </c:pt>
                <c:pt idx="17">
                  <c:v>0.17775371855413699</c:v>
                </c:pt>
                <c:pt idx="18">
                  <c:v>0.18264721126640901</c:v>
                </c:pt>
                <c:pt idx="19">
                  <c:v>0.18596778267748201</c:v>
                </c:pt>
                <c:pt idx="20">
                  <c:v>0.18762205011033301</c:v>
                </c:pt>
                <c:pt idx="21">
                  <c:v>0.18760734633625101</c:v>
                </c:pt>
                <c:pt idx="22">
                  <c:v>0.18600846656313799</c:v>
                </c:pt>
                <c:pt idx="23">
                  <c:v>0.18298345731534699</c:v>
                </c:pt>
                <c:pt idx="24">
                  <c:v>0.17874232834693299</c:v>
                </c:pt>
                <c:pt idx="25">
                  <c:v>0.17336575113240299</c:v>
                </c:pt>
                <c:pt idx="26">
                  <c:v>0.16773334825698</c:v>
                </c:pt>
                <c:pt idx="27">
                  <c:v>0.161266947676942</c:v>
                </c:pt>
                <c:pt idx="28">
                  <c:v>0.15450471891548101</c:v>
                </c:pt>
                <c:pt idx="29">
                  <c:v>0.14762177917189401</c:v>
                </c:pt>
                <c:pt idx="30">
                  <c:v>0.140759771625696</c:v>
                </c:pt>
                <c:pt idx="31">
                  <c:v>0.13402816289556799</c:v>
                </c:pt>
                <c:pt idx="32">
                  <c:v>0.127448165632529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C3-4E1A-83AD-AD1F23F538C4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0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4C3-4E1A-83AD-AD1F23F538C4}"/>
              </c:ext>
            </c:extLst>
          </c:dPt>
          <c:cat>
            <c:numRef>
              <c:f>DATA!$B$398:$B$430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DATA!$N$398:$N$430</c:f>
              <c:numCache>
                <c:formatCode>General</c:formatCode>
                <c:ptCount val="33"/>
                <c:pt idx="0">
                  <c:v>7.6736494005071501E-2</c:v>
                </c:pt>
                <c:pt idx="1">
                  <c:v>7.8909421126752893E-2</c:v>
                </c:pt>
                <c:pt idx="2">
                  <c:v>8.0936892179813397E-2</c:v>
                </c:pt>
                <c:pt idx="3">
                  <c:v>8.2779655872771099E-2</c:v>
                </c:pt>
                <c:pt idx="4">
                  <c:v>8.4375992547436093E-2</c:v>
                </c:pt>
                <c:pt idx="5">
                  <c:v>8.5648346293762598E-2</c:v>
                </c:pt>
                <c:pt idx="6">
                  <c:v>8.6503987966285903E-2</c:v>
                </c:pt>
                <c:pt idx="7">
                  <c:v>8.6835138817286994E-2</c:v>
                </c:pt>
                <c:pt idx="8">
                  <c:v>8.6519871647045804E-2</c:v>
                </c:pt>
                <c:pt idx="9">
                  <c:v>8.5424571117294304E-2</c:v>
                </c:pt>
                <c:pt idx="10">
                  <c:v>8.3408706216078099E-2</c:v>
                </c:pt>
                <c:pt idx="11">
                  <c:v>8.0332567242616004E-2</c:v>
                </c:pt>
                <c:pt idx="12">
                  <c:v>7.6068266962288494E-2</c:v>
                </c:pt>
                <c:pt idx="13">
                  <c:v>7.0513900515625103E-2</c:v>
                </c:pt>
                <c:pt idx="14">
                  <c:v>6.3609798228044995E-2</c:v>
                </c:pt>
                <c:pt idx="15">
                  <c:v>5.5354848985109999E-2</c:v>
                </c:pt>
                <c:pt idx="16">
                  <c:v>4.5819855046098798E-2</c:v>
                </c:pt>
                <c:pt idx="17">
                  <c:v>3.5154441525404097E-2</c:v>
                </c:pt>
                <c:pt idx="18">
                  <c:v>2.3584499000883601E-2</c:v>
                </c:pt>
                <c:pt idx="19">
                  <c:v>1.1398773483978801E-2</c:v>
                </c:pt>
                <c:pt idx="20">
                  <c:v>-1.0742565417919099E-3</c:v>
                </c:pt>
                <c:pt idx="21">
                  <c:v>-1.34955656723738E-2</c:v>
                </c:pt>
                <c:pt idx="22">
                  <c:v>-2.5545517592142498E-2</c:v>
                </c:pt>
                <c:pt idx="23">
                  <c:v>-3.6949222721144502E-2</c:v>
                </c:pt>
                <c:pt idx="24">
                  <c:v>-4.7493526754940701E-2</c:v>
                </c:pt>
                <c:pt idx="25">
                  <c:v>-5.7161821901786702E-2</c:v>
                </c:pt>
                <c:pt idx="26">
                  <c:v>-6.5666696694840002E-2</c:v>
                </c:pt>
                <c:pt idx="27">
                  <c:v>-7.3034456878636897E-2</c:v>
                </c:pt>
                <c:pt idx="28">
                  <c:v>-7.9329488484430097E-2</c:v>
                </c:pt>
                <c:pt idx="29">
                  <c:v>-8.4614221068117904E-2</c:v>
                </c:pt>
                <c:pt idx="30">
                  <c:v>-8.8972650631611402E-2</c:v>
                </c:pt>
                <c:pt idx="31">
                  <c:v>-9.2500097566342407E-2</c:v>
                </c:pt>
                <c:pt idx="32">
                  <c:v>-9.52753091281522E-2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C3-4E1A-83AD-AD1F23F53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0848367"/>
        <c:axId val="450851247"/>
      </c:lineChart>
      <c:catAx>
        <c:axId val="450848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851247"/>
        <c:crossesAt val="0"/>
        <c:auto val="1"/>
        <c:lblAlgn val="ctr"/>
        <c:lblOffset val="100"/>
        <c:noMultiLvlLbl val="0"/>
      </c:catAx>
      <c:valAx>
        <c:axId val="450851247"/>
        <c:scaling>
          <c:orientation val="minMax"/>
          <c:max val="0.3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848367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1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F2A-4C29-A4D0-225747631FA4}"/>
              </c:ext>
            </c:extLst>
          </c:dPt>
          <c:cat>
            <c:numRef>
              <c:f>DATA!$B$431:$B$463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DATA!$M$431:$M$463</c:f>
              <c:numCache>
                <c:formatCode>General</c:formatCode>
                <c:ptCount val="33"/>
                <c:pt idx="0">
                  <c:v>5.5489619964590599E-2</c:v>
                </c:pt>
                <c:pt idx="1">
                  <c:v>6.0435681718244698E-2</c:v>
                </c:pt>
                <c:pt idx="2">
                  <c:v>6.5822446146200003E-2</c:v>
                </c:pt>
                <c:pt idx="3">
                  <c:v>7.1698957440514896E-2</c:v>
                </c:pt>
                <c:pt idx="4">
                  <c:v>7.8103972297799196E-2</c:v>
                </c:pt>
                <c:pt idx="5">
                  <c:v>8.50675745054464E-2</c:v>
                </c:pt>
                <c:pt idx="6">
                  <c:v>9.2609257867379696E-2</c:v>
                </c:pt>
                <c:pt idx="7">
                  <c:v>0.10073403324984</c:v>
                </c:pt>
                <c:pt idx="8">
                  <c:v>0.10942716330345501</c:v>
                </c:pt>
                <c:pt idx="9">
                  <c:v>0.118647688165431</c:v>
                </c:pt>
                <c:pt idx="10">
                  <c:v>0.12832130297424099</c:v>
                </c:pt>
                <c:pt idx="11">
                  <c:v>0.138333384400531</c:v>
                </c:pt>
                <c:pt idx="12">
                  <c:v>0.14852353310254801</c:v>
                </c:pt>
                <c:pt idx="13">
                  <c:v>0.15868314983081699</c:v>
                </c:pt>
                <c:pt idx="14">
                  <c:v>0.168558159323731</c:v>
                </c:pt>
                <c:pt idx="15">
                  <c:v>0.177858346293673</c:v>
                </c:pt>
                <c:pt idx="16">
                  <c:v>0.18627441893339</c:v>
                </c:pt>
                <c:pt idx="17">
                  <c:v>0.193501976914011</c:v>
                </c:pt>
                <c:pt idx="18">
                  <c:v>0.19926987282495601</c:v>
                </c:pt>
                <c:pt idx="19">
                  <c:v>0.203368396355536</c:v>
                </c:pt>
                <c:pt idx="20">
                  <c:v>0.20567202634151899</c:v>
                </c:pt>
                <c:pt idx="21">
                  <c:v>0.20615181638769001</c:v>
                </c:pt>
                <c:pt idx="22">
                  <c:v>0.20487531749030999</c:v>
                </c:pt>
                <c:pt idx="23">
                  <c:v>0.20199411616627599</c:v>
                </c:pt>
                <c:pt idx="24">
                  <c:v>0.19757166507278201</c:v>
                </c:pt>
                <c:pt idx="25">
                  <c:v>0.19214401552135699</c:v>
                </c:pt>
                <c:pt idx="26">
                  <c:v>0.186170043694036</c:v>
                </c:pt>
                <c:pt idx="27">
                  <c:v>0.17925498076493701</c:v>
                </c:pt>
                <c:pt idx="28">
                  <c:v>0.171954645857468</c:v>
                </c:pt>
                <c:pt idx="29">
                  <c:v>0.164469160949412</c:v>
                </c:pt>
                <c:pt idx="30">
                  <c:v>0.15696274847049099</c:v>
                </c:pt>
                <c:pt idx="31">
                  <c:v>0.14956428582003201</c:v>
                </c:pt>
                <c:pt idx="32">
                  <c:v>0.14231810228909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2A-4C29-A4D0-225747631FA4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0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F2A-4C29-A4D0-225747631FA4}"/>
              </c:ext>
            </c:extLst>
          </c:dPt>
          <c:cat>
            <c:numRef>
              <c:f>DATA!$B$431:$B$463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DATA!$N$431:$N$463</c:f>
              <c:numCache>
                <c:formatCode>General</c:formatCode>
                <c:ptCount val="33"/>
                <c:pt idx="0">
                  <c:v>8.4553053151749297E-2</c:v>
                </c:pt>
                <c:pt idx="1">
                  <c:v>8.6950483756119107E-2</c:v>
                </c:pt>
                <c:pt idx="2">
                  <c:v>8.9199990228814793E-2</c:v>
                </c:pt>
                <c:pt idx="3">
                  <c:v>9.1260897823526893E-2</c:v>
                </c:pt>
                <c:pt idx="4">
                  <c:v>9.3068813109997303E-2</c:v>
                </c:pt>
                <c:pt idx="5">
                  <c:v>9.4542530265952704E-2</c:v>
                </c:pt>
                <c:pt idx="6">
                  <c:v>9.5584650483785005E-2</c:v>
                </c:pt>
                <c:pt idx="7">
                  <c:v>9.6081531792228295E-2</c:v>
                </c:pt>
                <c:pt idx="8">
                  <c:v>9.5903977457380496E-2</c:v>
                </c:pt>
                <c:pt idx="9">
                  <c:v>9.4909446116462501E-2</c:v>
                </c:pt>
                <c:pt idx="10">
                  <c:v>9.2946605596964299E-2</c:v>
                </c:pt>
                <c:pt idx="11">
                  <c:v>8.9862900039556298E-2</c:v>
                </c:pt>
                <c:pt idx="12">
                  <c:v>8.55156115584388E-2</c:v>
                </c:pt>
                <c:pt idx="13">
                  <c:v>7.9786367216033993E-2</c:v>
                </c:pt>
                <c:pt idx="14">
                  <c:v>7.2598240168384495E-2</c:v>
                </c:pt>
                <c:pt idx="15">
                  <c:v>6.3933505128402096E-2</c:v>
                </c:pt>
                <c:pt idx="16">
                  <c:v>5.3849057516988201E-2</c:v>
                </c:pt>
                <c:pt idx="17">
                  <c:v>4.2485838912718697E-2</c:v>
                </c:pt>
                <c:pt idx="18">
                  <c:v>3.00687908059173E-2</c:v>
                </c:pt>
                <c:pt idx="19">
                  <c:v>1.6895359865103599E-2</c:v>
                </c:pt>
                <c:pt idx="20">
                  <c:v>3.3130398545460002E-3</c:v>
                </c:pt>
                <c:pt idx="21">
                  <c:v>-1.03107883481026E-2</c:v>
                </c:pt>
                <c:pt idx="22">
                  <c:v>-2.36213776487477E-2</c:v>
                </c:pt>
                <c:pt idx="23">
                  <c:v>-3.63056486627533E-2</c:v>
                </c:pt>
                <c:pt idx="24">
                  <c:v>-4.8261245219021101E-2</c:v>
                </c:pt>
                <c:pt idx="25">
                  <c:v>-5.9000194161297197E-2</c:v>
                </c:pt>
                <c:pt idx="26">
                  <c:v>-6.8648833414388502E-2</c:v>
                </c:pt>
                <c:pt idx="27">
                  <c:v>-7.7055774252356005E-2</c:v>
                </c:pt>
                <c:pt idx="28">
                  <c:v>-8.4283299100482698E-2</c:v>
                </c:pt>
                <c:pt idx="29">
                  <c:v>-9.0389542269540199E-2</c:v>
                </c:pt>
                <c:pt idx="30">
                  <c:v>-9.5459592631615603E-2</c:v>
                </c:pt>
                <c:pt idx="31">
                  <c:v>-9.95938251806682E-2</c:v>
                </c:pt>
                <c:pt idx="32">
                  <c:v>-0.10286394191730699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2A-4C29-A4D0-225747631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1206527"/>
        <c:axId val="1191209407"/>
      </c:lineChart>
      <c:catAx>
        <c:axId val="11912065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209407"/>
        <c:crossesAt val="0"/>
        <c:auto val="1"/>
        <c:lblAlgn val="ctr"/>
        <c:lblOffset val="100"/>
        <c:noMultiLvlLbl val="0"/>
      </c:catAx>
      <c:valAx>
        <c:axId val="1191209407"/>
        <c:scaling>
          <c:orientation val="minMax"/>
          <c:max val="0.3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206527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1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D62-41DA-948D-13FC48D7B68B}"/>
              </c:ext>
            </c:extLst>
          </c:dPt>
          <c:cat>
            <c:numRef>
              <c:f>DATA!$B$464:$B$496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DATA!$M$464:$M$496</c:f>
              <c:numCache>
                <c:formatCode>General</c:formatCode>
                <c:ptCount val="33"/>
                <c:pt idx="0">
                  <c:v>5.9630534958344902E-2</c:v>
                </c:pt>
                <c:pt idx="1">
                  <c:v>6.4917082849342306E-2</c:v>
                </c:pt>
                <c:pt idx="2">
                  <c:v>7.0674863242623495E-2</c:v>
                </c:pt>
                <c:pt idx="3">
                  <c:v>7.6956452153973703E-2</c:v>
                </c:pt>
                <c:pt idx="4">
                  <c:v>8.3804307039250597E-2</c:v>
                </c:pt>
                <c:pt idx="5">
                  <c:v>9.1252395784074902E-2</c:v>
                </c:pt>
                <c:pt idx="6">
                  <c:v>9.9324140453928095E-2</c:v>
                </c:pt>
                <c:pt idx="7">
                  <c:v>0.10802854114850299</c:v>
                </c:pt>
                <c:pt idx="8">
                  <c:v>0.117354772878938</c:v>
                </c:pt>
                <c:pt idx="9">
                  <c:v>0.12726541981886</c:v>
                </c:pt>
                <c:pt idx="10">
                  <c:v>0.13768894965755099</c:v>
                </c:pt>
                <c:pt idx="11">
                  <c:v>0.14851215086202399</c:v>
                </c:pt>
                <c:pt idx="12">
                  <c:v>0.159573747927684</c:v>
                </c:pt>
                <c:pt idx="13">
                  <c:v>0.17066096573650499</c:v>
                </c:pt>
                <c:pt idx="14">
                  <c:v>0.18151094017849401</c:v>
                </c:pt>
                <c:pt idx="15">
                  <c:v>0.19181893258494201</c:v>
                </c:pt>
                <c:pt idx="16">
                  <c:v>0.20125450933206199</c:v>
                </c:pt>
                <c:pt idx="17">
                  <c:v>0.20948557935012699</c:v>
                </c:pt>
                <c:pt idx="18">
                  <c:v>0.21620782101463701</c:v>
                </c:pt>
                <c:pt idx="19">
                  <c:v>0.22117541095016799</c:v>
                </c:pt>
                <c:pt idx="20">
                  <c:v>0.224227268444081</c:v>
                </c:pt>
                <c:pt idx="21">
                  <c:v>0.225303695820913</c:v>
                </c:pt>
                <c:pt idx="22">
                  <c:v>0.22444981794725499</c:v>
                </c:pt>
                <c:pt idx="23">
                  <c:v>0.22166214319297001</c:v>
                </c:pt>
                <c:pt idx="24">
                  <c:v>0.217422152256456</c:v>
                </c:pt>
                <c:pt idx="25">
                  <c:v>0.21218856571828701</c:v>
                </c:pt>
                <c:pt idx="26">
                  <c:v>0.20560947958497999</c:v>
                </c:pt>
                <c:pt idx="27">
                  <c:v>0.198281079600967</c:v>
                </c:pt>
                <c:pt idx="28">
                  <c:v>0.190462528841983</c:v>
                </c:pt>
                <c:pt idx="29">
                  <c:v>0.182380491910205</c:v>
                </c:pt>
                <c:pt idx="30">
                  <c:v>0.17422389956444401</c:v>
                </c:pt>
                <c:pt idx="31">
                  <c:v>0.16614327504683499</c:v>
                </c:pt>
                <c:pt idx="32">
                  <c:v>0.15821198314467499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2-41DA-948D-13FC48D7B68B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1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D62-41DA-948D-13FC48D7B68B}"/>
              </c:ext>
            </c:extLst>
          </c:dPt>
          <c:cat>
            <c:numRef>
              <c:f>DATA!$B$464:$B$496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DATA!$N$464:$N$496</c:f>
              <c:numCache>
                <c:formatCode>General</c:formatCode>
                <c:ptCount val="33"/>
                <c:pt idx="0">
                  <c:v>9.2594268037695604E-2</c:v>
                </c:pt>
                <c:pt idx="1">
                  <c:v>9.5225266162076397E-2</c:v>
                </c:pt>
                <c:pt idx="2">
                  <c:v>9.7707095879872294E-2</c:v>
                </c:pt>
                <c:pt idx="3">
                  <c:v>9.9997862033794002E-2</c:v>
                </c:pt>
                <c:pt idx="4">
                  <c:v>0.10203079138247401</c:v>
                </c:pt>
                <c:pt idx="5">
                  <c:v>0.103721411616553</c:v>
                </c:pt>
                <c:pt idx="6">
                  <c:v>0.10496807822724601</c:v>
                </c:pt>
                <c:pt idx="7">
                  <c:v>0.10565177192006101</c:v>
                </c:pt>
                <c:pt idx="8">
                  <c:v>0.105636533630511</c:v>
                </c:pt>
                <c:pt idx="9">
                  <c:v>0.104771392629085</c:v>
                </c:pt>
                <c:pt idx="10">
                  <c:v>0.10289463111533199</c:v>
                </c:pt>
                <c:pt idx="11">
                  <c:v>9.98411100025835E-2</c:v>
                </c:pt>
                <c:pt idx="12">
                  <c:v>9.5453239354515704E-2</c:v>
                </c:pt>
                <c:pt idx="13">
                  <c:v>8.95956864549496E-2</c:v>
                </c:pt>
                <c:pt idx="14">
                  <c:v>8.2173137707473601E-2</c:v>
                </c:pt>
                <c:pt idx="15">
                  <c:v>7.3149345248066794E-2</c:v>
                </c:pt>
                <c:pt idx="16">
                  <c:v>6.2564547453337296E-2</c:v>
                </c:pt>
                <c:pt idx="17">
                  <c:v>5.0547464411335501E-2</c:v>
                </c:pt>
                <c:pt idx="18">
                  <c:v>3.73180420928459E-2</c:v>
                </c:pt>
                <c:pt idx="19">
                  <c:v>2.31783702395124E-2</c:v>
                </c:pt>
                <c:pt idx="20">
                  <c:v>8.4914915454406305E-3</c:v>
                </c:pt>
                <c:pt idx="21">
                  <c:v>-6.3491186730874399E-3</c:v>
                </c:pt>
                <c:pt idx="22">
                  <c:v>-2.0954234357963598E-2</c:v>
                </c:pt>
                <c:pt idx="23">
                  <c:v>-3.5134311768324898E-2</c:v>
                </c:pt>
                <c:pt idx="24">
                  <c:v>-4.82605420511108E-2</c:v>
                </c:pt>
                <c:pt idx="25">
                  <c:v>-6.03495155569529E-2</c:v>
                </c:pt>
                <c:pt idx="26">
                  <c:v>-7.1176639502040506E-2</c:v>
                </c:pt>
                <c:pt idx="27">
                  <c:v>-8.0714605888003402E-2</c:v>
                </c:pt>
                <c:pt idx="28">
                  <c:v>-8.8966313213635101E-2</c:v>
                </c:pt>
                <c:pt idx="29">
                  <c:v>-9.5982595734864604E-2</c:v>
                </c:pt>
                <c:pt idx="30">
                  <c:v>-0.10184746333269</c:v>
                </c:pt>
                <c:pt idx="31">
                  <c:v>-0.106664936252667</c:v>
                </c:pt>
                <c:pt idx="32">
                  <c:v>-0.110500527422544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62-41DA-948D-13FC48D7B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0869103"/>
        <c:axId val="1260865263"/>
      </c:lineChart>
      <c:catAx>
        <c:axId val="12608691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865263"/>
        <c:crossesAt val="0"/>
        <c:auto val="1"/>
        <c:lblAlgn val="ctr"/>
        <c:lblOffset val="100"/>
        <c:noMultiLvlLbl val="0"/>
      </c:catAx>
      <c:valAx>
        <c:axId val="1260865263"/>
        <c:scaling>
          <c:orientation val="minMax"/>
          <c:max val="0.3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86910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1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43B-4E00-BEEB-87104B525006}"/>
              </c:ext>
            </c:extLst>
          </c:dPt>
          <c:cat>
            <c:numRef>
              <c:f>DATA!$B$497:$B$529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DATA!$M$497:$M$529</c:f>
              <c:numCache>
                <c:formatCode>General</c:formatCode>
                <c:ptCount val="33"/>
                <c:pt idx="0">
                  <c:v>6.37824273290966E-2</c:v>
                </c:pt>
                <c:pt idx="1">
                  <c:v>6.9406231046415801E-2</c:v>
                </c:pt>
                <c:pt idx="2">
                  <c:v>7.5531395697576095E-2</c:v>
                </c:pt>
                <c:pt idx="3">
                  <c:v>8.2213958080133404E-2</c:v>
                </c:pt>
                <c:pt idx="4">
                  <c:v>8.9500133331188503E-2</c:v>
                </c:pt>
                <c:pt idx="5">
                  <c:v>9.7427804050555206E-2</c:v>
                </c:pt>
                <c:pt idx="6">
                  <c:v>0.106024530209837</c:v>
                </c:pt>
                <c:pt idx="7">
                  <c:v>0.11530361621393199</c:v>
                </c:pt>
                <c:pt idx="8">
                  <c:v>0.125258599208593</c:v>
                </c:pt>
                <c:pt idx="9">
                  <c:v>0.13585627614700299</c:v>
                </c:pt>
                <c:pt idx="10">
                  <c:v>0.147028840459384</c:v>
                </c:pt>
                <c:pt idx="11">
                  <c:v>0.158665696623012</c:v>
                </c:pt>
                <c:pt idx="12">
                  <c:v>0.170606272373278</c:v>
                </c:pt>
                <c:pt idx="13">
                  <c:v>0.18263551200677</c:v>
                </c:pt>
                <c:pt idx="14">
                  <c:v>0.19448385116573999</c:v>
                </c:pt>
                <c:pt idx="15">
                  <c:v>0.20583415813226899</c:v>
                </c:pt>
                <c:pt idx="16">
                  <c:v>0.21633678489278599</c:v>
                </c:pt>
                <c:pt idx="17">
                  <c:v>0.225633118621341</c:v>
                </c:pt>
                <c:pt idx="18">
                  <c:v>0.23338580751198501</c:v>
                </c:pt>
                <c:pt idx="19">
                  <c:v>0.239311611782382</c:v>
                </c:pt>
                <c:pt idx="20">
                  <c:v>0.24321101857434399</c:v>
                </c:pt>
                <c:pt idx="21">
                  <c:v>0.24487579006940399</c:v>
                </c:pt>
                <c:pt idx="22">
                  <c:v>0.244527899469483</c:v>
                </c:pt>
                <c:pt idx="23">
                  <c:v>0.24220004687215499</c:v>
                </c:pt>
                <c:pt idx="24">
                  <c:v>0.23841849440186999</c:v>
                </c:pt>
                <c:pt idx="25">
                  <c:v>0.23282142608571399</c:v>
                </c:pt>
                <c:pt idx="26">
                  <c:v>0.22602297309369501</c:v>
                </c:pt>
                <c:pt idx="27">
                  <c:v>0.21832690065875099</c:v>
                </c:pt>
                <c:pt idx="28">
                  <c:v>0.210019490698968</c:v>
                </c:pt>
                <c:pt idx="29">
                  <c:v>0.20135533898581001</c:v>
                </c:pt>
                <c:pt idx="30">
                  <c:v>0.192549938377541</c:v>
                </c:pt>
                <c:pt idx="31">
                  <c:v>0.18377772192772199</c:v>
                </c:pt>
                <c:pt idx="32">
                  <c:v>0.17517395266240801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B-4E00-BEEB-87104B525006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1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43B-4E00-BEEB-87104B525006}"/>
              </c:ext>
            </c:extLst>
          </c:dPt>
          <c:cat>
            <c:numRef>
              <c:f>DATA!$B$497:$B$529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DATA!$N$497:$N$529</c:f>
              <c:numCache>
                <c:formatCode>General</c:formatCode>
                <c:ptCount val="33"/>
                <c:pt idx="0">
                  <c:v>0.100842383301337</c:v>
                </c:pt>
                <c:pt idx="1">
                  <c:v>0.103715267463503</c:v>
                </c:pt>
                <c:pt idx="2">
                  <c:v>0.106438945674935</c:v>
                </c:pt>
                <c:pt idx="3">
                  <c:v>0.108970505201698</c:v>
                </c:pt>
                <c:pt idx="4">
                  <c:v>0.11124111004405</c:v>
                </c:pt>
                <c:pt idx="5">
                  <c:v>0.11316339729364901</c:v>
                </c:pt>
                <c:pt idx="6">
                  <c:v>0.114631941877884</c:v>
                </c:pt>
                <c:pt idx="7">
                  <c:v>0.11552284276526401</c:v>
                </c:pt>
                <c:pt idx="8">
                  <c:v>0.115693929706393</c:v>
                </c:pt>
                <c:pt idx="9">
                  <c:v>0.114986363504738</c:v>
                </c:pt>
                <c:pt idx="10">
                  <c:v>0.113228567224329</c:v>
                </c:pt>
                <c:pt idx="11">
                  <c:v>0.110243213057186</c:v>
                </c:pt>
                <c:pt idx="12">
                  <c:v>0.105857989497744</c:v>
                </c:pt>
                <c:pt idx="13">
                  <c:v>9.9920345104210898E-2</c:v>
                </c:pt>
                <c:pt idx="14">
                  <c:v>9.2315716700599695E-2</c:v>
                </c:pt>
                <c:pt idx="15">
                  <c:v>8.2987710355714506E-2</c:v>
                </c:pt>
                <c:pt idx="16">
                  <c:v>7.1957380100147905E-2</c:v>
                </c:pt>
                <c:pt idx="17">
                  <c:v>5.9337800659145103E-2</c:v>
                </c:pt>
                <c:pt idx="18">
                  <c:v>4.5339825355768901E-2</c:v>
                </c:pt>
                <c:pt idx="19">
                  <c:v>3.02658074278261E-2</c:v>
                </c:pt>
                <c:pt idx="20">
                  <c:v>1.4490321677484199E-2</c:v>
                </c:pt>
                <c:pt idx="21">
                  <c:v>-1.7515255263108301E-3</c:v>
                </c:pt>
                <c:pt idx="22">
                  <c:v>-1.7667261139737499E-2</c:v>
                </c:pt>
                <c:pt idx="23">
                  <c:v>-3.3050414430011298E-2</c:v>
                </c:pt>
                <c:pt idx="24">
                  <c:v>-4.7615428169364697E-2</c:v>
                </c:pt>
                <c:pt idx="25">
                  <c:v>-6.1040248331694899E-2</c:v>
                </c:pt>
                <c:pt idx="26">
                  <c:v>-7.3176443645075001E-2</c:v>
                </c:pt>
                <c:pt idx="27">
                  <c:v>-8.3937121516361499E-2</c:v>
                </c:pt>
                <c:pt idx="28">
                  <c:v>-9.33063689860711E-2</c:v>
                </c:pt>
                <c:pt idx="29">
                  <c:v>-0.101324307767807</c:v>
                </c:pt>
                <c:pt idx="30">
                  <c:v>-0.10807126353890401</c:v>
                </c:pt>
                <c:pt idx="31">
                  <c:v>-0.11365314777261599</c:v>
                </c:pt>
                <c:pt idx="32">
                  <c:v>-0.118189349254389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3B-4E00-BEEB-87104B525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0887823"/>
        <c:axId val="1260888303"/>
      </c:lineChart>
      <c:catAx>
        <c:axId val="12608878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888303"/>
        <c:crossesAt val="0"/>
        <c:auto val="1"/>
        <c:lblAlgn val="ctr"/>
        <c:lblOffset val="100"/>
        <c:noMultiLvlLbl val="0"/>
      </c:catAx>
      <c:valAx>
        <c:axId val="1260888303"/>
        <c:scaling>
          <c:orientation val="minMax"/>
          <c:max val="0.3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88782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2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656-41E1-89D0-668F802519F6}"/>
              </c:ext>
            </c:extLst>
          </c:dPt>
          <c:cat>
            <c:numRef>
              <c:f>DATA!$B$530:$B$562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DATA!$M$530:$M$562</c:f>
              <c:numCache>
                <c:formatCode>General</c:formatCode>
                <c:ptCount val="33"/>
                <c:pt idx="0">
                  <c:v>6.79363990850234E-2</c:v>
                </c:pt>
                <c:pt idx="1">
                  <c:v>7.3894459188942593E-2</c:v>
                </c:pt>
                <c:pt idx="2">
                  <c:v>8.0383342902331595E-2</c:v>
                </c:pt>
                <c:pt idx="3">
                  <c:v>8.7462619700258495E-2</c:v>
                </c:pt>
                <c:pt idx="4">
                  <c:v>9.5182206815205297E-2</c:v>
                </c:pt>
                <c:pt idx="5">
                  <c:v>0.103583998333395</c:v>
                </c:pt>
                <c:pt idx="6">
                  <c:v>0.112699790542508</c:v>
                </c:pt>
                <c:pt idx="7">
                  <c:v>0.122547425169826</c:v>
                </c:pt>
                <c:pt idx="8">
                  <c:v>0.133125186610526</c:v>
                </c:pt>
                <c:pt idx="9">
                  <c:v>0.144404662117252</c:v>
                </c:pt>
                <c:pt idx="10">
                  <c:v>0.15632254914055899</c:v>
                </c:pt>
                <c:pt idx="11">
                  <c:v>0.168772018613143</c:v>
                </c:pt>
                <c:pt idx="12">
                  <c:v>0.18159466557668</c:v>
                </c:pt>
                <c:pt idx="13">
                  <c:v>0.19457491281019201</c:v>
                </c:pt>
                <c:pt idx="14">
                  <c:v>0.20743870380961801</c:v>
                </c:pt>
                <c:pt idx="15">
                  <c:v>0.21985878735661299</c:v>
                </c:pt>
                <c:pt idx="16">
                  <c:v>0.23146850646765199</c:v>
                </c:pt>
                <c:pt idx="17">
                  <c:v>0.24188444804033099</c:v>
                </c:pt>
                <c:pt idx="18">
                  <c:v>0.25073702499730699</c:v>
                </c:pt>
                <c:pt idx="19">
                  <c:v>0.25762144082225302</c:v>
                </c:pt>
                <c:pt idx="20">
                  <c:v>0.26244235596065901</c:v>
                </c:pt>
                <c:pt idx="21">
                  <c:v>0.26500398204521403</c:v>
                </c:pt>
                <c:pt idx="22">
                  <c:v>0.26529188699966499</c:v>
                </c:pt>
                <c:pt idx="23">
                  <c:v>0.26372458860895198</c:v>
                </c:pt>
                <c:pt idx="24">
                  <c:v>0.25986794520574102</c:v>
                </c:pt>
                <c:pt idx="25">
                  <c:v>0.25430937707335299</c:v>
                </c:pt>
                <c:pt idx="26">
                  <c:v>0.24736273035367801</c:v>
                </c:pt>
                <c:pt idx="27">
                  <c:v>0.23935359235541201</c:v>
                </c:pt>
                <c:pt idx="28">
                  <c:v>0.230595125967929</c:v>
                </c:pt>
                <c:pt idx="29">
                  <c:v>0.22137074141180499</c:v>
                </c:pt>
                <c:pt idx="30">
                  <c:v>0.21192420929341599</c:v>
                </c:pt>
                <c:pt idx="31">
                  <c:v>0.202455813805589</c:v>
                </c:pt>
                <c:pt idx="32">
                  <c:v>0.19312313077606499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56-41E1-89D0-668F802519F6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1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656-41E1-89D0-668F802519F6}"/>
              </c:ext>
            </c:extLst>
          </c:dPt>
          <c:cat>
            <c:numRef>
              <c:f>DATA!$B$530:$B$562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DATA!$N$530:$N$562</c:f>
              <c:numCache>
                <c:formatCode>General</c:formatCode>
                <c:ptCount val="33"/>
                <c:pt idx="0">
                  <c:v>0.109281087770778</c:v>
                </c:pt>
                <c:pt idx="1">
                  <c:v>0.11240401859445801</c:v>
                </c:pt>
                <c:pt idx="2">
                  <c:v>0.115378647880874</c:v>
                </c:pt>
                <c:pt idx="3">
                  <c:v>0.11816130268401399</c:v>
                </c:pt>
                <c:pt idx="4">
                  <c:v>0.12068139694539</c:v>
                </c:pt>
                <c:pt idx="5">
                  <c:v>0.122849070248284</c:v>
                </c:pt>
                <c:pt idx="6">
                  <c:v>0.124555545964947</c:v>
                </c:pt>
                <c:pt idx="7">
                  <c:v>0.12567256767472501</c:v>
                </c:pt>
                <c:pt idx="8">
                  <c:v>0.12605231916173901</c:v>
                </c:pt>
                <c:pt idx="9">
                  <c:v>0.12552871057531401</c:v>
                </c:pt>
                <c:pt idx="10">
                  <c:v>0.123920899462198</c:v>
                </c:pt>
                <c:pt idx="11">
                  <c:v>0.12103991686837801</c:v>
                </c:pt>
                <c:pt idx="12">
                  <c:v>0.11669907981854501</c:v>
                </c:pt>
                <c:pt idx="13">
                  <c:v>0.110728642817834</c:v>
                </c:pt>
                <c:pt idx="14">
                  <c:v>0.10299430643407199</c:v>
                </c:pt>
                <c:pt idx="15">
                  <c:v>9.3418287544651701E-2</c:v>
                </c:pt>
                <c:pt idx="16">
                  <c:v>8.2000290403640694E-2</c:v>
                </c:pt>
                <c:pt idx="17">
                  <c:v>6.8834601591039699E-2</c:v>
                </c:pt>
                <c:pt idx="18">
                  <c:v>5.4118952760960598E-2</c:v>
                </c:pt>
                <c:pt idx="19">
                  <c:v>3.7962640678386499E-2</c:v>
                </c:pt>
                <c:pt idx="20">
                  <c:v>2.1126509578295202E-2</c:v>
                </c:pt>
                <c:pt idx="21">
                  <c:v>3.8594568097928702E-3</c:v>
                </c:pt>
                <c:pt idx="22">
                  <c:v>-1.33853237221646E-2</c:v>
                </c:pt>
                <c:pt idx="23">
                  <c:v>-3.0210821404672902E-2</c:v>
                </c:pt>
                <c:pt idx="24">
                  <c:v>-4.61993999088142E-2</c:v>
                </c:pt>
                <c:pt idx="25">
                  <c:v>-6.1060240197046797E-2</c:v>
                </c:pt>
                <c:pt idx="26">
                  <c:v>-7.4585691833084805E-2</c:v>
                </c:pt>
                <c:pt idx="27">
                  <c:v>-8.66571945945456E-2</c:v>
                </c:pt>
                <c:pt idx="28">
                  <c:v>-9.7235716887136198E-2</c:v>
                </c:pt>
                <c:pt idx="29">
                  <c:v>-0.106346922604672</c:v>
                </c:pt>
                <c:pt idx="30">
                  <c:v>-0.114064435669404</c:v>
                </c:pt>
                <c:pt idx="31">
                  <c:v>-0.12049378386682599</c:v>
                </c:pt>
                <c:pt idx="32">
                  <c:v>-0.12575856048620301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56-41E1-89D0-668F80251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801311"/>
        <c:axId val="437801791"/>
      </c:lineChart>
      <c:catAx>
        <c:axId val="4378013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01791"/>
        <c:crossesAt val="0"/>
        <c:auto val="1"/>
        <c:lblAlgn val="ctr"/>
        <c:lblOffset val="100"/>
        <c:noMultiLvlLbl val="0"/>
      </c:catAx>
      <c:valAx>
        <c:axId val="437801791"/>
        <c:scaling>
          <c:orientation val="minMax"/>
          <c:max val="0.4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01311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2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A38-45CE-9B82-E26472BF77C5}"/>
              </c:ext>
            </c:extLst>
          </c:dPt>
          <c:cat>
            <c:numRef>
              <c:f>DATA!$B$563:$B$595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DATA!$M$563:$M$595</c:f>
              <c:numCache>
                <c:formatCode>General</c:formatCode>
                <c:ptCount val="33"/>
                <c:pt idx="0">
                  <c:v>7.2084272179708697E-2</c:v>
                </c:pt>
                <c:pt idx="1">
                  <c:v>7.8369670506452493E-2</c:v>
                </c:pt>
                <c:pt idx="2">
                  <c:v>8.5215133087011993E-2</c:v>
                </c:pt>
                <c:pt idx="3">
                  <c:v>9.2683528638871499E-2</c:v>
                </c:pt>
                <c:pt idx="4">
                  <c:v>0.100828455207463</c:v>
                </c:pt>
                <c:pt idx="5">
                  <c:v>0.10969575718828301</c:v>
                </c:pt>
                <c:pt idx="6">
                  <c:v>0.119321563427199</c:v>
                </c:pt>
                <c:pt idx="7">
                  <c:v>0.12972845289752899</c:v>
                </c:pt>
                <c:pt idx="8">
                  <c:v>0.14091974725671799</c:v>
                </c:pt>
                <c:pt idx="9">
                  <c:v>0.15287233684566401</c:v>
                </c:pt>
                <c:pt idx="10">
                  <c:v>0.16552821656715</c:v>
                </c:pt>
                <c:pt idx="11">
                  <c:v>0.17878531641450399</c:v>
                </c:pt>
                <c:pt idx="12">
                  <c:v>0.19248883355157001</c:v>
                </c:pt>
                <c:pt idx="13">
                  <c:v>0.206424503084186</c:v>
                </c:pt>
                <c:pt idx="14">
                  <c:v>0.220315874682421</c:v>
                </c:pt>
                <c:pt idx="15">
                  <c:v>0.23382796843572101</c:v>
                </c:pt>
                <c:pt idx="16">
                  <c:v>0.24657947698313701</c:v>
                </c:pt>
                <c:pt idx="17">
                  <c:v>0.25810731883136601</c:v>
                </c:pt>
                <c:pt idx="18">
                  <c:v>0.26810511416116301</c:v>
                </c:pt>
                <c:pt idx="19">
                  <c:v>0.276174420351748</c:v>
                </c:pt>
                <c:pt idx="20">
                  <c:v>0.28203326105081999</c:v>
                </c:pt>
                <c:pt idx="21">
                  <c:v>0.28582757695537903</c:v>
                </c:pt>
                <c:pt idx="22">
                  <c:v>0.28686655946623801</c:v>
                </c:pt>
                <c:pt idx="23">
                  <c:v>0.28553841145759301</c:v>
                </c:pt>
                <c:pt idx="24">
                  <c:v>0.28202772372570101</c:v>
                </c:pt>
                <c:pt idx="25">
                  <c:v>0.27660449718438701</c:v>
                </c:pt>
                <c:pt idx="26">
                  <c:v>0.26959237775614903</c:v>
                </c:pt>
                <c:pt idx="27">
                  <c:v>0.26133655703991499</c:v>
                </c:pt>
                <c:pt idx="28">
                  <c:v>0.25217628961333</c:v>
                </c:pt>
                <c:pt idx="29">
                  <c:v>0.242424391109517</c:v>
                </c:pt>
                <c:pt idx="30">
                  <c:v>0.23235429798871099</c:v>
                </c:pt>
                <c:pt idx="31">
                  <c:v>0.22219420772003601</c:v>
                </c:pt>
                <c:pt idx="32">
                  <c:v>0.21212649085211599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38-45CE-9B82-E26472BF77C5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2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A38-45CE-9B82-E26472BF77C5}"/>
              </c:ext>
            </c:extLst>
          </c:dPt>
          <c:cat>
            <c:numRef>
              <c:f>DATA!$B$563:$B$595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DATA!$N$563:$N$595</c:f>
              <c:numCache>
                <c:formatCode>General</c:formatCode>
                <c:ptCount val="33"/>
                <c:pt idx="0">
                  <c:v>0.117893778119135</c:v>
                </c:pt>
                <c:pt idx="1">
                  <c:v>0.121272349368897</c:v>
                </c:pt>
                <c:pt idx="2">
                  <c:v>0.124505036009014</c:v>
                </c:pt>
                <c:pt idx="3">
                  <c:v>0.12754755412226601</c:v>
                </c:pt>
                <c:pt idx="4">
                  <c:v>0.13032780471677499</c:v>
                </c:pt>
                <c:pt idx="5">
                  <c:v>0.13275374262658601</c:v>
                </c:pt>
                <c:pt idx="6">
                  <c:v>0.13471365470999599</c:v>
                </c:pt>
                <c:pt idx="7">
                  <c:v>0.13607541414185001</c:v>
                </c:pt>
                <c:pt idx="8">
                  <c:v>0.136686116848206</c:v>
                </c:pt>
                <c:pt idx="9">
                  <c:v>0.136373037573712</c:v>
                </c:pt>
                <c:pt idx="10">
                  <c:v>0.13494672203470301</c:v>
                </c:pt>
                <c:pt idx="11">
                  <c:v>0.13220714479300699</c:v>
                </c:pt>
                <c:pt idx="12">
                  <c:v>0.12795371478786599</c:v>
                </c:pt>
                <c:pt idx="13">
                  <c:v>0.121999648175575</c:v>
                </c:pt>
                <c:pt idx="14">
                  <c:v>0.11419058172321001</c:v>
                </c:pt>
                <c:pt idx="15">
                  <c:v>0.104426318577559</c:v>
                </c:pt>
                <c:pt idx="16">
                  <c:v>9.26833353758688E-2</c:v>
                </c:pt>
                <c:pt idx="17">
                  <c:v>7.8847467156199197E-2</c:v>
                </c:pt>
                <c:pt idx="18">
                  <c:v>6.3469474535032905E-2</c:v>
                </c:pt>
                <c:pt idx="19">
                  <c:v>4.66580582952799E-2</c:v>
                </c:pt>
                <c:pt idx="20">
                  <c:v>2.8797658562377999E-2</c:v>
                </c:pt>
                <c:pt idx="21">
                  <c:v>1.0349780985595599E-2</c:v>
                </c:pt>
                <c:pt idx="22">
                  <c:v>-8.2539695908950099E-3</c:v>
                </c:pt>
                <c:pt idx="23">
                  <c:v>-2.6504333120967699E-2</c:v>
                </c:pt>
                <c:pt idx="24">
                  <c:v>-4.3980765416984903E-2</c:v>
                </c:pt>
                <c:pt idx="25">
                  <c:v>-6.0340117709350598E-2</c:v>
                </c:pt>
                <c:pt idx="26">
                  <c:v>-7.5332099151623894E-2</c:v>
                </c:pt>
                <c:pt idx="27">
                  <c:v>-8.8802015585003197E-2</c:v>
                </c:pt>
                <c:pt idx="28">
                  <c:v>-0.100683212256882</c:v>
                </c:pt>
                <c:pt idx="29">
                  <c:v>-0.110982782954012</c:v>
                </c:pt>
                <c:pt idx="30">
                  <c:v>-0.119764254426906</c:v>
                </c:pt>
                <c:pt idx="31">
                  <c:v>-0.12713023232582299</c:v>
                </c:pt>
                <c:pt idx="32">
                  <c:v>-0.13320696697468001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38-45CE-9B82-E26472BF7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0884463"/>
        <c:axId val="1260884943"/>
      </c:lineChart>
      <c:catAx>
        <c:axId val="12608844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884943"/>
        <c:crossesAt val="0"/>
        <c:auto val="1"/>
        <c:lblAlgn val="ctr"/>
        <c:lblOffset val="100"/>
        <c:noMultiLvlLbl val="0"/>
      </c:catAx>
      <c:valAx>
        <c:axId val="1260884943"/>
        <c:scaling>
          <c:orientation val="minMax"/>
          <c:max val="0.4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88446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2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F4-4039-BD41-DD16876540C8}"/>
              </c:ext>
            </c:extLst>
          </c:dPt>
          <c:cat>
            <c:numRef>
              <c:f>DATA!$B$596:$B$628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DATA!$M$596:$M$628</c:f>
              <c:numCache>
                <c:formatCode>General</c:formatCode>
                <c:ptCount val="33"/>
                <c:pt idx="0">
                  <c:v>7.6211114260426496E-2</c:v>
                </c:pt>
                <c:pt idx="1">
                  <c:v>8.2818810830372694E-2</c:v>
                </c:pt>
                <c:pt idx="2">
                  <c:v>9.0015085563434197E-2</c:v>
                </c:pt>
                <c:pt idx="3">
                  <c:v>9.7866007622692403E-2</c:v>
                </c:pt>
                <c:pt idx="4">
                  <c:v>0.10642873465832001</c:v>
                </c:pt>
                <c:pt idx="5">
                  <c:v>0.11575309150825901</c:v>
                </c:pt>
                <c:pt idx="6">
                  <c:v>0.12587966452134899</c:v>
                </c:pt>
                <c:pt idx="7">
                  <c:v>0.13683588484884601</c:v>
                </c:pt>
                <c:pt idx="8">
                  <c:v>0.14863044244871501</c:v>
                </c:pt>
                <c:pt idx="9">
                  <c:v>0.16124595953795601</c:v>
                </c:pt>
                <c:pt idx="10">
                  <c:v>0.174630347047528</c:v>
                </c:pt>
                <c:pt idx="11">
                  <c:v>0.188687252307673</c:v>
                </c:pt>
                <c:pt idx="12">
                  <c:v>0.20326674544378301</c:v>
                </c:pt>
                <c:pt idx="13">
                  <c:v>0.218157497037787</c:v>
                </c:pt>
                <c:pt idx="14">
                  <c:v>0.233060236066541</c:v>
                </c:pt>
                <c:pt idx="15">
                  <c:v>0.24766550907799101</c:v>
                </c:pt>
                <c:pt idx="16">
                  <c:v>0.261569647781212</c:v>
                </c:pt>
                <c:pt idx="17">
                  <c:v>0.27463880364882998</c:v>
                </c:pt>
                <c:pt idx="18">
                  <c:v>0.28587375160508299</c:v>
                </c:pt>
                <c:pt idx="19">
                  <c:v>0.29515146419375898</c:v>
                </c:pt>
                <c:pt idx="20">
                  <c:v>0.30214663553346199</c:v>
                </c:pt>
                <c:pt idx="21">
                  <c:v>0.30663896604340701</c:v>
                </c:pt>
                <c:pt idx="22">
                  <c:v>0.30853514695465001</c:v>
                </c:pt>
                <c:pt idx="23">
                  <c:v>0.30787512243307902</c:v>
                </c:pt>
                <c:pt idx="24">
                  <c:v>0.30482181127422397</c:v>
                </c:pt>
                <c:pt idx="25">
                  <c:v>0.29963724747221199</c:v>
                </c:pt>
                <c:pt idx="26">
                  <c:v>0.292650447081716</c:v>
                </c:pt>
                <c:pt idx="27">
                  <c:v>0.28422322523855498</c:v>
                </c:pt>
                <c:pt idx="28">
                  <c:v>0.27471960322389499</c:v>
                </c:pt>
                <c:pt idx="29">
                  <c:v>0.26448165477416402</c:v>
                </c:pt>
                <c:pt idx="30">
                  <c:v>0.25381356695118501</c:v>
                </c:pt>
                <c:pt idx="31">
                  <c:v>0.24297316514466299</c:v>
                </c:pt>
                <c:pt idx="32">
                  <c:v>0.23216980793877501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4-4039-BD41-DD16876540C8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2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0F4-4039-BD41-DD16876540C8}"/>
              </c:ext>
            </c:extLst>
          </c:dPt>
          <c:cat>
            <c:numRef>
              <c:f>DATA!$B$596:$B$628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DATA!$N$596:$N$628</c:f>
              <c:numCache>
                <c:formatCode>General</c:formatCode>
                <c:ptCount val="33"/>
                <c:pt idx="0">
                  <c:v>0.12665977114929999</c:v>
                </c:pt>
                <c:pt idx="1">
                  <c:v>0.13030066670134</c:v>
                </c:pt>
                <c:pt idx="2">
                  <c:v>0.13379905429811401</c:v>
                </c:pt>
                <c:pt idx="3">
                  <c:v>0.13711024134396199</c:v>
                </c:pt>
                <c:pt idx="4">
                  <c:v>0.140160906113034</c:v>
                </c:pt>
                <c:pt idx="5">
                  <c:v>0.142857204253278</c:v>
                </c:pt>
                <c:pt idx="6">
                  <c:v>0.145084943708916</c:v>
                </c:pt>
                <c:pt idx="7">
                  <c:v>0.14670862949782101</c:v>
                </c:pt>
                <c:pt idx="8">
                  <c:v>0.147570867066395</c:v>
                </c:pt>
                <c:pt idx="9">
                  <c:v>0.14749294145681799</c:v>
                </c:pt>
                <c:pt idx="10">
                  <c:v>0.146277479035054</c:v>
                </c:pt>
                <c:pt idx="11">
                  <c:v>0.14371409611771799</c:v>
                </c:pt>
                <c:pt idx="12">
                  <c:v>0.13958889715873099</c:v>
                </c:pt>
                <c:pt idx="13">
                  <c:v>0.13369845628492599</c:v>
                </c:pt>
                <c:pt idx="14">
                  <c:v>0.12569841152957001</c:v>
                </c:pt>
                <c:pt idx="15">
                  <c:v>0.115797118395098</c:v>
                </c:pt>
                <c:pt idx="16">
                  <c:v>0.103785908899863</c:v>
                </c:pt>
                <c:pt idx="17">
                  <c:v>8.9830796999206194E-2</c:v>
                </c:pt>
                <c:pt idx="18">
                  <c:v>7.3830919421410998E-2</c:v>
                </c:pt>
                <c:pt idx="19">
                  <c:v>5.6205428226254801E-2</c:v>
                </c:pt>
                <c:pt idx="20">
                  <c:v>3.7336947795348498E-2</c:v>
                </c:pt>
                <c:pt idx="21">
                  <c:v>1.7688071942089201E-2</c:v>
                </c:pt>
                <c:pt idx="22">
                  <c:v>-2.2355443436501699E-3</c:v>
                </c:pt>
                <c:pt idx="23">
                  <c:v>-2.1928092413723201E-2</c:v>
                </c:pt>
                <c:pt idx="24">
                  <c:v>-4.0924906727806999E-2</c:v>
                </c:pt>
                <c:pt idx="25">
                  <c:v>-5.8835361454597397E-2</c:v>
                </c:pt>
                <c:pt idx="26">
                  <c:v>-7.5363222383421399E-2</c:v>
                </c:pt>
                <c:pt idx="27">
                  <c:v>-9.0313414387613297E-2</c:v>
                </c:pt>
                <c:pt idx="28">
                  <c:v>-0.103587098260512</c:v>
                </c:pt>
                <c:pt idx="29">
                  <c:v>-0.115168459600358</c:v>
                </c:pt>
                <c:pt idx="30">
                  <c:v>-0.12510719292950501</c:v>
                </c:pt>
                <c:pt idx="31">
                  <c:v>-0.13350002273287201</c:v>
                </c:pt>
                <c:pt idx="32">
                  <c:v>-0.14047376619561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4-4039-BD41-DD168765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0873903"/>
        <c:axId val="1073837023"/>
      </c:lineChart>
      <c:catAx>
        <c:axId val="12608739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837023"/>
        <c:crossesAt val="0"/>
        <c:auto val="1"/>
        <c:lblAlgn val="ctr"/>
        <c:lblOffset val="100"/>
        <c:noMultiLvlLbl val="0"/>
      </c:catAx>
      <c:valAx>
        <c:axId val="1073837023"/>
        <c:scaling>
          <c:orientation val="minMax"/>
          <c:max val="0.4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87390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3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B35-435B-BFF7-0A7F86162370}"/>
              </c:ext>
            </c:extLst>
          </c:dPt>
          <c:cat>
            <c:numRef>
              <c:f>DATA!$B$629:$B$661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DATA!$M$629:$M$661</c:f>
              <c:numCache>
                <c:formatCode>General</c:formatCode>
                <c:ptCount val="33"/>
                <c:pt idx="0">
                  <c:v>8.0312133270450906E-2</c:v>
                </c:pt>
                <c:pt idx="1">
                  <c:v>8.7235536714152004E-2</c:v>
                </c:pt>
                <c:pt idx="2">
                  <c:v>9.47757587700465E-2</c:v>
                </c:pt>
                <c:pt idx="3">
                  <c:v>0.103001683274718</c:v>
                </c:pt>
                <c:pt idx="4">
                  <c:v>0.111973838639137</c:v>
                </c:pt>
                <c:pt idx="5">
                  <c:v>0.12174602607568601</c:v>
                </c:pt>
                <c:pt idx="6">
                  <c:v>0.13236325840803501</c:v>
                </c:pt>
                <c:pt idx="7">
                  <c:v>0.14385794725812501</c:v>
                </c:pt>
                <c:pt idx="8">
                  <c:v>0.156244326810243</c:v>
                </c:pt>
                <c:pt idx="9">
                  <c:v>0.16951109795354</c:v>
                </c:pt>
                <c:pt idx="10">
                  <c:v>0.183612628257486</c:v>
                </c:pt>
                <c:pt idx="11">
                  <c:v>0.198456486382623</c:v>
                </c:pt>
                <c:pt idx="12">
                  <c:v>0.21389478379549401</c:v>
                </c:pt>
                <c:pt idx="13">
                  <c:v>0.22995182446996401</c:v>
                </c:pt>
                <c:pt idx="14">
                  <c:v>0.24592227804630701</c:v>
                </c:pt>
                <c:pt idx="15">
                  <c:v>0.26166592787224402</c:v>
                </c:pt>
                <c:pt idx="16">
                  <c:v>0.27677923428741902</c:v>
                </c:pt>
                <c:pt idx="17">
                  <c:v>0.29081736737209102</c:v>
                </c:pt>
                <c:pt idx="18">
                  <c:v>0.30332284860564601</c:v>
                </c:pt>
                <c:pt idx="19">
                  <c:v>0.31386234147291397</c:v>
                </c:pt>
                <c:pt idx="20">
                  <c:v>0.32206689425749002</c:v>
                </c:pt>
                <c:pt idx="21">
                  <c:v>0.32766921481612798</c:v>
                </c:pt>
                <c:pt idx="22">
                  <c:v>0.33053079791633799</c:v>
                </c:pt>
                <c:pt idx="23">
                  <c:v>0.33065302101373101</c:v>
                </c:pt>
                <c:pt idx="24">
                  <c:v>0.32817127148699698</c:v>
                </c:pt>
                <c:pt idx="25">
                  <c:v>0.32333383302034602</c:v>
                </c:pt>
                <c:pt idx="26">
                  <c:v>0.316470251487381</c:v>
                </c:pt>
                <c:pt idx="27">
                  <c:v>0.30795542168089401</c:v>
                </c:pt>
                <c:pt idx="28">
                  <c:v>0.29817601569010899</c:v>
                </c:pt>
                <c:pt idx="29">
                  <c:v>0.28750267692206299</c:v>
                </c:pt>
                <c:pt idx="30">
                  <c:v>0.27627075638888399</c:v>
                </c:pt>
                <c:pt idx="31">
                  <c:v>0.264769084883613</c:v>
                </c:pt>
                <c:pt idx="32">
                  <c:v>0.25303139489262999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5-435B-BFF7-0A7F86162370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2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B35-435B-BFF7-0A7F86162370}"/>
              </c:ext>
            </c:extLst>
          </c:dPt>
          <c:cat>
            <c:numRef>
              <c:f>DATA!$B$629:$B$661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DATA!$N$629:$N$661</c:f>
              <c:numCache>
                <c:formatCode>General</c:formatCode>
                <c:ptCount val="33"/>
                <c:pt idx="0">
                  <c:v>0.13556428022879799</c:v>
                </c:pt>
                <c:pt idx="1">
                  <c:v>0.13947277360870999</c:v>
                </c:pt>
                <c:pt idx="2">
                  <c:v>0.143243409828262</c:v>
                </c:pt>
                <c:pt idx="3">
                  <c:v>0.146831051255152</c:v>
                </c:pt>
                <c:pt idx="4">
                  <c:v>0.15016136463795801</c:v>
                </c:pt>
                <c:pt idx="5">
                  <c:v>0.15313903314462701</c:v>
                </c:pt>
                <c:pt idx="6">
                  <c:v>0.15564776851388001</c:v>
                </c:pt>
                <c:pt idx="7">
                  <c:v>0.15754919857267399</c:v>
                </c:pt>
                <c:pt idx="8">
                  <c:v>0.15868198911244399</c:v>
                </c:pt>
                <c:pt idx="9">
                  <c:v>0.15886207521505399</c:v>
                </c:pt>
                <c:pt idx="10">
                  <c:v>0.157884866705816</c:v>
                </c:pt>
                <c:pt idx="11">
                  <c:v>0.155382862637133</c:v>
                </c:pt>
                <c:pt idx="12">
                  <c:v>0.151414923615245</c:v>
                </c:pt>
                <c:pt idx="13">
                  <c:v>0.14582285453827601</c:v>
                </c:pt>
                <c:pt idx="14">
                  <c:v>0.13799880964737299</c:v>
                </c:pt>
                <c:pt idx="15">
                  <c:v>0.12800831395276199</c:v>
                </c:pt>
                <c:pt idx="16">
                  <c:v>0.115777692383499</c:v>
                </c:pt>
                <c:pt idx="17">
                  <c:v>0.10132964319285601</c:v>
                </c:pt>
                <c:pt idx="18">
                  <c:v>8.4801389797032001E-2</c:v>
                </c:pt>
                <c:pt idx="19">
                  <c:v>6.6452417195191502E-2</c:v>
                </c:pt>
                <c:pt idx="20">
                  <c:v>4.6658009277076098E-2</c:v>
                </c:pt>
                <c:pt idx="21">
                  <c:v>2.5887242797678699E-2</c:v>
                </c:pt>
                <c:pt idx="22">
                  <c:v>4.6660409702207898E-3</c:v>
                </c:pt>
                <c:pt idx="23">
                  <c:v>-1.6467734180210001E-2</c:v>
                </c:pt>
                <c:pt idx="24">
                  <c:v>-3.7006307639314201E-2</c:v>
                </c:pt>
                <c:pt idx="25">
                  <c:v>-5.6510353985462301E-2</c:v>
                </c:pt>
                <c:pt idx="26">
                  <c:v>-7.4634924387468202E-2</c:v>
                </c:pt>
                <c:pt idx="27">
                  <c:v>-9.1140656419138502E-2</c:v>
                </c:pt>
                <c:pt idx="28">
                  <c:v>-0.10589206944143401</c:v>
                </c:pt>
                <c:pt idx="29">
                  <c:v>-0.11884609082075399</c:v>
                </c:pt>
                <c:pt idx="30">
                  <c:v>-0.13003458736564399</c:v>
                </c:pt>
                <c:pt idx="31">
                  <c:v>-0.13954517623180601</c:v>
                </c:pt>
                <c:pt idx="32">
                  <c:v>-0.147350158786203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5-435B-BFF7-0A7F86162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718112"/>
        <c:axId val="179726752"/>
      </c:lineChart>
      <c:catAx>
        <c:axId val="179718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26752"/>
        <c:crossesAt val="0"/>
        <c:auto val="1"/>
        <c:lblAlgn val="ctr"/>
        <c:lblOffset val="100"/>
        <c:noMultiLvlLbl val="0"/>
      </c:catAx>
      <c:valAx>
        <c:axId val="179726752"/>
        <c:scaling>
          <c:orientation val="minMax"/>
          <c:max val="0.4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18112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3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0AB-421F-9DC4-2BA4689358AE}"/>
              </c:ext>
            </c:extLst>
          </c:dPt>
          <c:cat>
            <c:numRef>
              <c:f>DATA!$B$662:$B$694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DATA!$M$662:$M$694</c:f>
              <c:numCache>
                <c:formatCode>General</c:formatCode>
                <c:ptCount val="33"/>
                <c:pt idx="0">
                  <c:v>8.4379025405489194E-2</c:v>
                </c:pt>
                <c:pt idx="1">
                  <c:v>9.1612441831507796E-2</c:v>
                </c:pt>
                <c:pt idx="2">
                  <c:v>9.9489880563544394E-2</c:v>
                </c:pt>
                <c:pt idx="3">
                  <c:v>0.108083175147106</c:v>
                </c:pt>
                <c:pt idx="4">
                  <c:v>0.117456249474249</c:v>
                </c:pt>
                <c:pt idx="5">
                  <c:v>0.12766677678242599</c:v>
                </c:pt>
                <c:pt idx="6">
                  <c:v>0.13876422413460901</c:v>
                </c:pt>
                <c:pt idx="7">
                  <c:v>0.15078607050679499</c:v>
                </c:pt>
                <c:pt idx="8">
                  <c:v>0.16375700777719901</c:v>
                </c:pt>
                <c:pt idx="9">
                  <c:v>0.177813709280053</c:v>
                </c:pt>
                <c:pt idx="10">
                  <c:v>0.19263455795857101</c:v>
                </c:pt>
                <c:pt idx="11">
                  <c:v>0.20827286422309399</c:v>
                </c:pt>
                <c:pt idx="12">
                  <c:v>0.224591148033397</c:v>
                </c:pt>
                <c:pt idx="13">
                  <c:v>0.24138787762147701</c:v>
                </c:pt>
                <c:pt idx="14">
                  <c:v>0.25839069416352101</c:v>
                </c:pt>
                <c:pt idx="15">
                  <c:v>0.27525503873818702</c:v>
                </c:pt>
                <c:pt idx="16">
                  <c:v>0.291570500312133</c:v>
                </c:pt>
                <c:pt idx="17">
                  <c:v>0.30687734657550397</c:v>
                </c:pt>
                <c:pt idx="18">
                  <c:v>0.32069360023536098</c:v>
                </c:pt>
                <c:pt idx="19">
                  <c:v>0.33255177414756298</c:v>
                </c:pt>
                <c:pt idx="20">
                  <c:v>0.34204006946712501</c:v>
                </c:pt>
                <c:pt idx="21">
                  <c:v>0.34884297658376101</c:v>
                </c:pt>
                <c:pt idx="22">
                  <c:v>0.352773179637484</c:v>
                </c:pt>
                <c:pt idx="23">
                  <c:v>0.35378862628298902</c:v>
                </c:pt>
                <c:pt idx="24">
                  <c:v>0.35199186793504</c:v>
                </c:pt>
                <c:pt idx="25">
                  <c:v>0.34761305715652102</c:v>
                </c:pt>
                <c:pt idx="26">
                  <c:v>0.34097563325069502</c:v>
                </c:pt>
                <c:pt idx="27">
                  <c:v>0.33246251089791901</c:v>
                </c:pt>
                <c:pt idx="28">
                  <c:v>0.322481060162151</c:v>
                </c:pt>
                <c:pt idx="29">
                  <c:v>0.31142914525065202</c:v>
                </c:pt>
                <c:pt idx="30">
                  <c:v>0.29967297892302802</c:v>
                </c:pt>
                <c:pt idx="31">
                  <c:v>0.287325781742163</c:v>
                </c:pt>
                <c:pt idx="32">
                  <c:v>0.27506341692535102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AB-421F-9DC4-2BA4689358AE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3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0AB-421F-9DC4-2BA4689358AE}"/>
              </c:ext>
            </c:extLst>
          </c:dPt>
          <c:cat>
            <c:numRef>
              <c:f>DATA!$B$662:$B$694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DATA!$N$662:$N$694</c:f>
              <c:numCache>
                <c:formatCode>General</c:formatCode>
                <c:ptCount val="33"/>
                <c:pt idx="0">
                  <c:v>0.14459022786179199</c:v>
                </c:pt>
                <c:pt idx="1">
                  <c:v>0.14877178431294399</c:v>
                </c:pt>
                <c:pt idx="2">
                  <c:v>0.152820793784751</c:v>
                </c:pt>
                <c:pt idx="3">
                  <c:v>0.15669200806120501</c:v>
                </c:pt>
                <c:pt idx="4">
                  <c:v>0.16031037745350499</c:v>
                </c:pt>
                <c:pt idx="5">
                  <c:v>0.16357941397423501</c:v>
                </c:pt>
                <c:pt idx="6">
                  <c:v>0.16638112040731601</c:v>
                </c:pt>
                <c:pt idx="7">
                  <c:v>0.16857469278473</c:v>
                </c:pt>
                <c:pt idx="8">
                  <c:v>0.169868139636982</c:v>
                </c:pt>
                <c:pt idx="9">
                  <c:v>0.170560466803239</c:v>
                </c:pt>
                <c:pt idx="10">
                  <c:v>0.16983157370787799</c:v>
                </c:pt>
                <c:pt idx="11">
                  <c:v>0.16769842226203999</c:v>
                </c:pt>
                <c:pt idx="12">
                  <c:v>0.163922595508674</c:v>
                </c:pt>
                <c:pt idx="13">
                  <c:v>0.15826915790403501</c:v>
                </c:pt>
                <c:pt idx="14">
                  <c:v>0.15052459711472599</c:v>
                </c:pt>
                <c:pt idx="15">
                  <c:v>0.14051936300354601</c:v>
                </c:pt>
                <c:pt idx="16">
                  <c:v>0.12815338421285499</c:v>
                </c:pt>
                <c:pt idx="17">
                  <c:v>0.113421542997103</c:v>
                </c:pt>
                <c:pt idx="18">
                  <c:v>9.6434623221882204E-2</c:v>
                </c:pt>
                <c:pt idx="19">
                  <c:v>7.7430492760407005E-2</c:v>
                </c:pt>
                <c:pt idx="20">
                  <c:v>5.6771913177523399E-2</c:v>
                </c:pt>
                <c:pt idx="21">
                  <c:v>3.4927768474840797E-2</c:v>
                </c:pt>
                <c:pt idx="22">
                  <c:v>1.24389559532241E-2</c:v>
                </c:pt>
                <c:pt idx="23">
                  <c:v>-1.0125710044605499E-2</c:v>
                </c:pt>
                <c:pt idx="24">
                  <c:v>-3.2216618583439702E-2</c:v>
                </c:pt>
                <c:pt idx="25">
                  <c:v>-5.3343673835068002E-2</c:v>
                </c:pt>
                <c:pt idx="26">
                  <c:v>-7.3115248796917595E-2</c:v>
                </c:pt>
                <c:pt idx="27">
                  <c:v>-9.1245195337304505E-2</c:v>
                </c:pt>
                <c:pt idx="28">
                  <c:v>-0.107555280294058</c:v>
                </c:pt>
                <c:pt idx="29">
                  <c:v>-0.12197033742928599</c:v>
                </c:pt>
                <c:pt idx="30">
                  <c:v>-0.13450036747465599</c:v>
                </c:pt>
                <c:pt idx="31">
                  <c:v>-0.14506991844032999</c:v>
                </c:pt>
                <c:pt idx="32">
                  <c:v>-0.15410069081644001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AB-421F-9DC4-2BA468935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734432"/>
        <c:axId val="179727232"/>
      </c:lineChart>
      <c:catAx>
        <c:axId val="179734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27232"/>
        <c:crossesAt val="0"/>
        <c:auto val="1"/>
        <c:lblAlgn val="ctr"/>
        <c:lblOffset val="100"/>
        <c:noMultiLvlLbl val="0"/>
      </c:catAx>
      <c:valAx>
        <c:axId val="179727232"/>
        <c:scaling>
          <c:orientation val="minMax"/>
          <c:max val="0.6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3443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3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118-424C-9D30-411D5BA7B274}"/>
              </c:ext>
            </c:extLst>
          </c:dPt>
          <c:cat>
            <c:numRef>
              <c:f>DATA!$B$695:$B$727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DATA!$M$695:$M$727</c:f>
              <c:numCache>
                <c:formatCode>General</c:formatCode>
                <c:ptCount val="33"/>
                <c:pt idx="0">
                  <c:v>8.8405190248372706E-2</c:v>
                </c:pt>
                <c:pt idx="1">
                  <c:v>9.5943332340029705E-2</c:v>
                </c:pt>
                <c:pt idx="2">
                  <c:v>0.104151412541477</c:v>
                </c:pt>
                <c:pt idx="3">
                  <c:v>0.113104509209597</c:v>
                </c:pt>
                <c:pt idx="4">
                  <c:v>0.12287724932111201</c:v>
                </c:pt>
                <c:pt idx="5">
                  <c:v>0.133514254470985</c:v>
                </c:pt>
                <c:pt idx="6">
                  <c:v>0.145195011598867</c:v>
                </c:pt>
                <c:pt idx="7">
                  <c:v>0.157746972744602</c:v>
                </c:pt>
                <c:pt idx="8">
                  <c:v>0.17129568599379499</c:v>
                </c:pt>
                <c:pt idx="9">
                  <c:v>0.18584236598722001</c:v>
                </c:pt>
                <c:pt idx="10">
                  <c:v>0.201355050617402</c:v>
                </c:pt>
                <c:pt idx="11">
                  <c:v>0.217758395654925</c:v>
                </c:pt>
                <c:pt idx="12">
                  <c:v>0.23492259985782901</c:v>
                </c:pt>
                <c:pt idx="13">
                  <c:v>0.25265298330833202</c:v>
                </c:pt>
                <c:pt idx="14">
                  <c:v>0.27068215857017303</c:v>
                </c:pt>
                <c:pt idx="15">
                  <c:v>0.28866679227327602</c:v>
                </c:pt>
                <c:pt idx="16">
                  <c:v>0.30619212713709798</c:v>
                </c:pt>
                <c:pt idx="17">
                  <c:v>0.32278658007195599</c:v>
                </c:pt>
                <c:pt idx="18">
                  <c:v>0.33794624808637602</c:v>
                </c:pt>
                <c:pt idx="19">
                  <c:v>0.35117117868507902</c:v>
                </c:pt>
                <c:pt idx="20">
                  <c:v>0.36200797680632602</c:v>
                </c:pt>
                <c:pt idx="21">
                  <c:v>0.37009277679737801</c:v>
                </c:pt>
                <c:pt idx="22">
                  <c:v>0.37518775575563701</c:v>
                </c:pt>
                <c:pt idx="23">
                  <c:v>0.37720366650999398</c:v>
                </c:pt>
                <c:pt idx="24">
                  <c:v>0.37620435990593598</c:v>
                </c:pt>
                <c:pt idx="25">
                  <c:v>0.37239344659572698</c:v>
                </c:pt>
                <c:pt idx="26">
                  <c:v>0.366086912595742</c:v>
                </c:pt>
                <c:pt idx="27">
                  <c:v>0.35767371572238799</c:v>
                </c:pt>
                <c:pt idx="28">
                  <c:v>0.34757028430960701</c:v>
                </c:pt>
                <c:pt idx="29">
                  <c:v>0.33620329269452298</c:v>
                </c:pt>
                <c:pt idx="30">
                  <c:v>0.32414023263198499</c:v>
                </c:pt>
                <c:pt idx="31">
                  <c:v>0.31100738775880099</c:v>
                </c:pt>
                <c:pt idx="32">
                  <c:v>0.29800795415327402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18-424C-9D30-411D5BA7B274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3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118-424C-9D30-411D5BA7B274}"/>
              </c:ext>
            </c:extLst>
          </c:dPt>
          <c:cat>
            <c:numRef>
              <c:f>DATA!$B$695:$B$727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DATA!$N$695:$N$727</c:f>
              <c:numCache>
                <c:formatCode>General</c:formatCode>
                <c:ptCount val="33"/>
                <c:pt idx="0">
                  <c:v>0.153722150959239</c:v>
                </c:pt>
                <c:pt idx="1">
                  <c:v>0.158181662303054</c:v>
                </c:pt>
                <c:pt idx="2">
                  <c:v>0.162514573969684</c:v>
                </c:pt>
                <c:pt idx="3">
                  <c:v>0.16667580245432001</c:v>
                </c:pt>
                <c:pt idx="4">
                  <c:v>0.170484511847561</c:v>
                </c:pt>
                <c:pt idx="5">
                  <c:v>0.174047264446511</c:v>
                </c:pt>
                <c:pt idx="6">
                  <c:v>0.17740551477751201</c:v>
                </c:pt>
                <c:pt idx="7">
                  <c:v>0.179895728197874</c:v>
                </c:pt>
                <c:pt idx="8">
                  <c:v>0.18160916313550099</c:v>
                </c:pt>
                <c:pt idx="9">
                  <c:v>0.18235273624529699</c:v>
                </c:pt>
                <c:pt idx="10">
                  <c:v>0.181909345746985</c:v>
                </c:pt>
                <c:pt idx="11">
                  <c:v>0.18004185450715299</c:v>
                </c:pt>
                <c:pt idx="12">
                  <c:v>0.176500775274651</c:v>
                </c:pt>
                <c:pt idx="13">
                  <c:v>0.17103653704518701</c:v>
                </c:pt>
                <c:pt idx="14">
                  <c:v>0.16341692897757101</c:v>
                </c:pt>
                <c:pt idx="15">
                  <c:v>0.15344945468910301</c:v>
                </c:pt>
                <c:pt idx="16">
                  <c:v>0.14100739650184599</c:v>
                </c:pt>
                <c:pt idx="17">
                  <c:v>0.12605630739840201</c:v>
                </c:pt>
                <c:pt idx="18">
                  <c:v>0.108678297988684</c:v>
                </c:pt>
                <c:pt idx="19">
                  <c:v>8.9086859541903193E-2</c:v>
                </c:pt>
                <c:pt idx="20">
                  <c:v>6.7628253892009105E-2</c:v>
                </c:pt>
                <c:pt idx="21">
                  <c:v>4.4766769488320597E-2</c:v>
                </c:pt>
                <c:pt idx="22">
                  <c:v>2.1053461508714101E-2</c:v>
                </c:pt>
                <c:pt idx="23">
                  <c:v>-2.9179299506759699E-3</c:v>
                </c:pt>
                <c:pt idx="24">
                  <c:v>-2.65593671082071E-2</c:v>
                </c:pt>
                <c:pt idx="25">
                  <c:v>-4.9334222168368302E-2</c:v>
                </c:pt>
                <c:pt idx="26">
                  <c:v>-7.0792337515075895E-2</c:v>
                </c:pt>
                <c:pt idx="27">
                  <c:v>-9.0596211975871102E-2</c:v>
                </c:pt>
                <c:pt idx="28">
                  <c:v>-0.108535323164436</c:v>
                </c:pt>
                <c:pt idx="29">
                  <c:v>-0.124493082003496</c:v>
                </c:pt>
                <c:pt idx="30">
                  <c:v>-0.138300500483514</c:v>
                </c:pt>
                <c:pt idx="31">
                  <c:v>-0.150329428099269</c:v>
                </c:pt>
                <c:pt idx="32">
                  <c:v>-0.16053869119778999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18-424C-9D30-411D5BA7B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737312"/>
        <c:axId val="179740192"/>
      </c:lineChart>
      <c:catAx>
        <c:axId val="179737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40192"/>
        <c:crossesAt val="0"/>
        <c:auto val="1"/>
        <c:lblAlgn val="ctr"/>
        <c:lblOffset val="100"/>
        <c:noMultiLvlLbl val="0"/>
      </c:catAx>
      <c:valAx>
        <c:axId val="179740192"/>
        <c:scaling>
          <c:orientation val="minMax"/>
          <c:max val="0.6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3731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3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A2A-4805-A922-D13E89050633}"/>
              </c:ext>
            </c:extLst>
          </c:dPt>
          <c:cat>
            <c:numRef>
              <c:f>DATA!$B$728:$B$760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DATA!$M$728:$M$760</c:f>
              <c:numCache>
                <c:formatCode>General</c:formatCode>
                <c:ptCount val="33"/>
                <c:pt idx="0">
                  <c:v>9.2447295949761796E-2</c:v>
                </c:pt>
                <c:pt idx="1">
                  <c:v>0.100231532334339</c:v>
                </c:pt>
                <c:pt idx="2">
                  <c:v>0.108840227977456</c:v>
                </c:pt>
                <c:pt idx="3">
                  <c:v>0.11815846767701101</c:v>
                </c:pt>
                <c:pt idx="4">
                  <c:v>0.12832176062226899</c:v>
                </c:pt>
                <c:pt idx="5">
                  <c:v>0.139395718689763</c:v>
                </c:pt>
                <c:pt idx="6">
                  <c:v>0.15143869372043001</c:v>
                </c:pt>
                <c:pt idx="7">
                  <c:v>0.16449818946626599</c:v>
                </c:pt>
                <c:pt idx="8">
                  <c:v>0.17860538415632299</c:v>
                </c:pt>
                <c:pt idx="9">
                  <c:v>0.19376806162541699</c:v>
                </c:pt>
                <c:pt idx="10">
                  <c:v>0.20996167635398999</c:v>
                </c:pt>
                <c:pt idx="11">
                  <c:v>0.22711887814603399</c:v>
                </c:pt>
                <c:pt idx="12">
                  <c:v>0.245118066435141</c:v>
                </c:pt>
                <c:pt idx="13">
                  <c:v>0.26377223065098898</c:v>
                </c:pt>
                <c:pt idx="14">
                  <c:v>0.28281992614425799</c:v>
                </c:pt>
                <c:pt idx="15">
                  <c:v>0.30192073550614301</c:v>
                </c:pt>
                <c:pt idx="16">
                  <c:v>0.32065811178005199</c:v>
                </c:pt>
                <c:pt idx="17">
                  <c:v>0.33855031956591802</c:v>
                </c:pt>
                <c:pt idx="18">
                  <c:v>0.35507472125369199</c:v>
                </c:pt>
                <c:pt idx="19">
                  <c:v>0.36970159360705901</c:v>
                </c:pt>
                <c:pt idx="20">
                  <c:v>0.38193719684529898</c:v>
                </c:pt>
                <c:pt idx="21">
                  <c:v>0.39136999133578598</c:v>
                </c:pt>
                <c:pt idx="22">
                  <c:v>0.39771071969683802</c:v>
                </c:pt>
                <c:pt idx="23">
                  <c:v>0.40082030380396499</c:v>
                </c:pt>
                <c:pt idx="24">
                  <c:v>0.40072006347422101</c:v>
                </c:pt>
                <c:pt idx="25">
                  <c:v>0.39758263892169299</c:v>
                </c:pt>
                <c:pt idx="26">
                  <c:v>0.39170771312166303</c:v>
                </c:pt>
                <c:pt idx="27">
                  <c:v>0.38348842595646898</c:v>
                </c:pt>
                <c:pt idx="28">
                  <c:v>0.37347824640604399</c:v>
                </c:pt>
                <c:pt idx="29">
                  <c:v>0.36189155241454202</c:v>
                </c:pt>
                <c:pt idx="30">
                  <c:v>0.34884933235202498</c:v>
                </c:pt>
                <c:pt idx="31">
                  <c:v>0.33549130286643303</c:v>
                </c:pt>
                <c:pt idx="32">
                  <c:v>0.32185507289269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2A-4805-A922-D13E89050633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3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A2A-4805-A922-D13E89050633}"/>
              </c:ext>
            </c:extLst>
          </c:dPt>
          <c:cat>
            <c:numRef>
              <c:f>DATA!$B$728:$B$760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DATA!$N$728:$N$760</c:f>
              <c:numCache>
                <c:formatCode>General</c:formatCode>
                <c:ptCount val="33"/>
                <c:pt idx="0">
                  <c:v>0.16311674792252701</c:v>
                </c:pt>
                <c:pt idx="1">
                  <c:v>0.16759351285795901</c:v>
                </c:pt>
                <c:pt idx="2">
                  <c:v>0.17247487772768599</c:v>
                </c:pt>
                <c:pt idx="3">
                  <c:v>0.17693114889916101</c:v>
                </c:pt>
                <c:pt idx="4">
                  <c:v>0.18114509392592901</c:v>
                </c:pt>
                <c:pt idx="5">
                  <c:v>0.18501823353587299</c:v>
                </c:pt>
                <c:pt idx="6">
                  <c:v>0.188429926717436</c:v>
                </c:pt>
                <c:pt idx="7">
                  <c:v>0.19123551195577501</c:v>
                </c:pt>
                <c:pt idx="8">
                  <c:v>0.19326463965424701</c:v>
                </c:pt>
                <c:pt idx="9">
                  <c:v>0.19432051717628801</c:v>
                </c:pt>
                <c:pt idx="10">
                  <c:v>0.19418072267981401</c:v>
                </c:pt>
                <c:pt idx="11">
                  <c:v>0.19260061212016599</c:v>
                </c:pt>
                <c:pt idx="12">
                  <c:v>0.18932032954056</c:v>
                </c:pt>
                <c:pt idx="13">
                  <c:v>0.184076465532899</c:v>
                </c:pt>
                <c:pt idx="14">
                  <c:v>0.17661890629801799</c:v>
                </c:pt>
                <c:pt idx="15">
                  <c:v>0.166732844345647</c:v>
                </c:pt>
                <c:pt idx="16">
                  <c:v>0.154264740789049</c:v>
                </c:pt>
                <c:pt idx="17">
                  <c:v>0.13915099810442799</c:v>
                </c:pt>
                <c:pt idx="18">
                  <c:v>0.121443310084659</c:v>
                </c:pt>
                <c:pt idx="19">
                  <c:v>0.101327846585715</c:v>
                </c:pt>
                <c:pt idx="20">
                  <c:v>7.9131298125994703E-2</c:v>
                </c:pt>
                <c:pt idx="21">
                  <c:v>5.5309300606059902E-2</c:v>
                </c:pt>
                <c:pt idx="22">
                  <c:v>3.0418225255631301E-2</c:v>
                </c:pt>
                <c:pt idx="23">
                  <c:v>5.0729099550331199E-3</c:v>
                </c:pt>
                <c:pt idx="24">
                  <c:v>-2.0103504415431801E-2</c:v>
                </c:pt>
                <c:pt idx="25">
                  <c:v>-4.4529303602157601E-2</c:v>
                </c:pt>
                <c:pt idx="26">
                  <c:v>-6.7702031657553605E-2</c:v>
                </c:pt>
                <c:pt idx="27">
                  <c:v>-8.9222233422493802E-2</c:v>
                </c:pt>
                <c:pt idx="28">
                  <c:v>-0.108625842543321</c:v>
                </c:pt>
                <c:pt idx="29">
                  <c:v>-0.12623150619481699</c:v>
                </c:pt>
                <c:pt idx="30">
                  <c:v>-0.141744822976721</c:v>
                </c:pt>
                <c:pt idx="31">
                  <c:v>-0.155174299045407</c:v>
                </c:pt>
                <c:pt idx="32">
                  <c:v>-0.16659753486350801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2A-4805-A922-D13E89050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1693439"/>
        <c:axId val="1151694399"/>
      </c:lineChart>
      <c:catAx>
        <c:axId val="11516934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694399"/>
        <c:crossesAt val="0"/>
        <c:auto val="1"/>
        <c:lblAlgn val="ctr"/>
        <c:lblOffset val="100"/>
        <c:noMultiLvlLbl val="0"/>
      </c:catAx>
      <c:valAx>
        <c:axId val="1151694399"/>
        <c:scaling>
          <c:orientation val="minMax"/>
          <c:max val="0.6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693439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4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DAD-49FC-A4AB-BC2A7D8944C0}"/>
              </c:ext>
            </c:extLst>
          </c:dPt>
          <c:cat>
            <c:numRef>
              <c:f>DATA!$B$761:$B$793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DATA!$M$761:$M$793</c:f>
              <c:numCache>
                <c:formatCode>General</c:formatCode>
                <c:ptCount val="33"/>
                <c:pt idx="0">
                  <c:v>9.6388134038152107E-2</c:v>
                </c:pt>
                <c:pt idx="1">
                  <c:v>0.10452925621607299</c:v>
                </c:pt>
                <c:pt idx="2">
                  <c:v>0.113390422030195</c:v>
                </c:pt>
                <c:pt idx="3">
                  <c:v>0.12305390461808299</c:v>
                </c:pt>
                <c:pt idx="4">
                  <c:v>0.13359394526190399</c:v>
                </c:pt>
                <c:pt idx="5">
                  <c:v>0.145079833976342</c:v>
                </c:pt>
                <c:pt idx="6">
                  <c:v>0.15757422429854701</c:v>
                </c:pt>
                <c:pt idx="7">
                  <c:v>0.17112957020530301</c:v>
                </c:pt>
                <c:pt idx="8">
                  <c:v>0.18578284861604299</c:v>
                </c:pt>
                <c:pt idx="9">
                  <c:v>0.201548457086967</c:v>
                </c:pt>
                <c:pt idx="10">
                  <c:v>0.218409352401676</c:v>
                </c:pt>
                <c:pt idx="11">
                  <c:v>0.23630652058552901</c:v>
                </c:pt>
                <c:pt idx="12">
                  <c:v>0.25512716264552099</c:v>
                </c:pt>
                <c:pt idx="13">
                  <c:v>0.27469305430643498</c:v>
                </c:pt>
                <c:pt idx="14">
                  <c:v>0.29474969653842797</c:v>
                </c:pt>
                <c:pt idx="15">
                  <c:v>0.31496102451443397</c:v>
                </c:pt>
                <c:pt idx="16">
                  <c:v>0.33491042839328899</c:v>
                </c:pt>
                <c:pt idx="17">
                  <c:v>0.35410975740145101</c:v>
                </c:pt>
                <c:pt idx="18">
                  <c:v>0.372019069625111</c:v>
                </c:pt>
                <c:pt idx="19">
                  <c:v>0.388080784220737</c:v>
                </c:pt>
                <c:pt idx="20">
                  <c:v>0.40176369931109401</c:v>
                </c:pt>
                <c:pt idx="21">
                  <c:v>0.41260950194033702</c:v>
                </c:pt>
                <c:pt idx="22">
                  <c:v>0.42027672008758099</c:v>
                </c:pt>
                <c:pt idx="23">
                  <c:v>0.42457384805266701</c:v>
                </c:pt>
                <c:pt idx="24">
                  <c:v>0.42547541839478098</c:v>
                </c:pt>
                <c:pt idx="25">
                  <c:v>0.42310235621323899</c:v>
                </c:pt>
                <c:pt idx="26">
                  <c:v>0.41784304099104502</c:v>
                </c:pt>
                <c:pt idx="27">
                  <c:v>0.40995391807855303</c:v>
                </c:pt>
                <c:pt idx="28">
                  <c:v>0.39989258125941801</c:v>
                </c:pt>
                <c:pt idx="29">
                  <c:v>0.387679712276911</c:v>
                </c:pt>
                <c:pt idx="30">
                  <c:v>0.37466140563941303</c:v>
                </c:pt>
                <c:pt idx="31">
                  <c:v>0.36082327317365598</c:v>
                </c:pt>
                <c:pt idx="32">
                  <c:v>0.34649597692463302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AD-49FC-A4AB-BC2A7D8944C0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4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DAD-49FC-A4AB-BC2A7D8944C0}"/>
              </c:ext>
            </c:extLst>
          </c:dPt>
          <c:cat>
            <c:numRef>
              <c:f>DATA!$B$761:$B$793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DATA!$N$761:$N$793</c:f>
              <c:numCache>
                <c:formatCode>General</c:formatCode>
                <c:ptCount val="33"/>
                <c:pt idx="0">
                  <c:v>0.17243093788251801</c:v>
                </c:pt>
                <c:pt idx="1">
                  <c:v>0.17745242147856699</c:v>
                </c:pt>
                <c:pt idx="2">
                  <c:v>0.182366091228085</c:v>
                </c:pt>
                <c:pt idx="3">
                  <c:v>0.187122866268117</c:v>
                </c:pt>
                <c:pt idx="4">
                  <c:v>0.19164507385280699</c:v>
                </c:pt>
                <c:pt idx="5">
                  <c:v>0.19583365749324799</c:v>
                </c:pt>
                <c:pt idx="6">
                  <c:v>0.19956705566382199</c:v>
                </c:pt>
                <c:pt idx="7">
                  <c:v>0.20269914836368799</c:v>
                </c:pt>
                <c:pt idx="8">
                  <c:v>0.205057402131023</c:v>
                </c:pt>
                <c:pt idx="9">
                  <c:v>0.20644175252260599</c:v>
                </c:pt>
                <c:pt idx="10">
                  <c:v>0.206625013781078</c:v>
                </c:pt>
                <c:pt idx="11">
                  <c:v>0.205355706104385</c:v>
                </c:pt>
                <c:pt idx="12">
                  <c:v>0.20236432975885299</c:v>
                </c:pt>
                <c:pt idx="13">
                  <c:v>0.19737424794198799</c:v>
                </c:pt>
                <c:pt idx="14">
                  <c:v>0.19011808135852801</c:v>
                </c:pt>
                <c:pt idx="15">
                  <c:v>0.180359397515092</c:v>
                </c:pt>
                <c:pt idx="16">
                  <c:v>0.16791830287142101</c:v>
                </c:pt>
                <c:pt idx="17">
                  <c:v>0.15270057130520501</c:v>
                </c:pt>
                <c:pt idx="18">
                  <c:v>0.134726982470528</c:v>
                </c:pt>
                <c:pt idx="19">
                  <c:v>0.114155072820284</c:v>
                </c:pt>
                <c:pt idx="20">
                  <c:v>9.1287851381233007E-2</c:v>
                </c:pt>
                <c:pt idx="21">
                  <c:v>6.6567313229939501E-2</c:v>
                </c:pt>
                <c:pt idx="22">
                  <c:v>4.0550270177509999E-2</c:v>
                </c:pt>
                <c:pt idx="23">
                  <c:v>1.38679085459846E-2</c:v>
                </c:pt>
                <c:pt idx="24">
                  <c:v>-1.28248234982278E-2</c:v>
                </c:pt>
                <c:pt idx="25">
                  <c:v>-3.8717826155029202E-2</c:v>
                </c:pt>
                <c:pt idx="26">
                  <c:v>-6.3525124982905606E-2</c:v>
                </c:pt>
                <c:pt idx="27">
                  <c:v>-8.6832443175312607E-2</c:v>
                </c:pt>
                <c:pt idx="28">
                  <c:v>-0.108239042816037</c:v>
                </c:pt>
                <c:pt idx="29">
                  <c:v>-0.12763675513065301</c:v>
                </c:pt>
                <c:pt idx="30">
                  <c:v>-0.14466763609133501</c:v>
                </c:pt>
                <c:pt idx="31">
                  <c:v>-0.15951188573019401</c:v>
                </c:pt>
                <c:pt idx="32">
                  <c:v>-0.17228504575822301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AD-49FC-A4AB-BC2A7D894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667600"/>
        <c:axId val="41665200"/>
      </c:lineChart>
      <c:catAx>
        <c:axId val="41667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5200"/>
        <c:crossesAt val="0"/>
        <c:auto val="1"/>
        <c:lblAlgn val="ctr"/>
        <c:lblOffset val="100"/>
        <c:noMultiLvlLbl val="0"/>
      </c:catAx>
      <c:valAx>
        <c:axId val="41665200"/>
        <c:scaling>
          <c:orientation val="minMax"/>
          <c:max val="0.6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760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3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840-41EF-ABFA-41F58C3BB7F6}"/>
              </c:ext>
            </c:extLst>
          </c:dPt>
          <c:cat>
            <c:numRef>
              <c:f>DATA!$B$794:$B$826</c:f>
              <c:numCache>
                <c:formatCode>General</c:formatCode>
                <c:ptCount val="33"/>
                <c:pt idx="0">
                  <c:v>15.0625</c:v>
                </c:pt>
                <c:pt idx="1">
                  <c:v>15.125</c:v>
                </c:pt>
                <c:pt idx="2">
                  <c:v>15.1875</c:v>
                </c:pt>
                <c:pt idx="3">
                  <c:v>15.25</c:v>
                </c:pt>
                <c:pt idx="4">
                  <c:v>15.3125</c:v>
                </c:pt>
                <c:pt idx="5">
                  <c:v>15.375</c:v>
                </c:pt>
                <c:pt idx="6">
                  <c:v>15.4375</c:v>
                </c:pt>
                <c:pt idx="7">
                  <c:v>15.5</c:v>
                </c:pt>
                <c:pt idx="8">
                  <c:v>15.5625</c:v>
                </c:pt>
                <c:pt idx="9">
                  <c:v>15.625</c:v>
                </c:pt>
                <c:pt idx="10">
                  <c:v>15.6875</c:v>
                </c:pt>
                <c:pt idx="11">
                  <c:v>15.75</c:v>
                </c:pt>
                <c:pt idx="12">
                  <c:v>15.8125</c:v>
                </c:pt>
                <c:pt idx="13">
                  <c:v>15.875</c:v>
                </c:pt>
                <c:pt idx="14">
                  <c:v>15.9375</c:v>
                </c:pt>
                <c:pt idx="15">
                  <c:v>16</c:v>
                </c:pt>
                <c:pt idx="16">
                  <c:v>16.0625</c:v>
                </c:pt>
                <c:pt idx="17">
                  <c:v>16.125</c:v>
                </c:pt>
                <c:pt idx="18">
                  <c:v>16.1875</c:v>
                </c:pt>
                <c:pt idx="19">
                  <c:v>16.25</c:v>
                </c:pt>
                <c:pt idx="20">
                  <c:v>16.3125</c:v>
                </c:pt>
                <c:pt idx="21">
                  <c:v>16.375</c:v>
                </c:pt>
                <c:pt idx="22">
                  <c:v>16.4375</c:v>
                </c:pt>
                <c:pt idx="23">
                  <c:v>16.5</c:v>
                </c:pt>
                <c:pt idx="24">
                  <c:v>16.5625</c:v>
                </c:pt>
                <c:pt idx="25">
                  <c:v>16.625</c:v>
                </c:pt>
                <c:pt idx="26">
                  <c:v>16.6875</c:v>
                </c:pt>
                <c:pt idx="27">
                  <c:v>16.75</c:v>
                </c:pt>
                <c:pt idx="28">
                  <c:v>16.8125</c:v>
                </c:pt>
                <c:pt idx="29">
                  <c:v>16.875</c:v>
                </c:pt>
                <c:pt idx="30">
                  <c:v>16.9375</c:v>
                </c:pt>
                <c:pt idx="31">
                  <c:v>17</c:v>
                </c:pt>
                <c:pt idx="32">
                  <c:v>15</c:v>
                </c:pt>
              </c:numCache>
            </c:numRef>
          </c:cat>
          <c:val>
            <c:numRef>
              <c:f>DATA!$M$794:$M$826</c:f>
              <c:numCache>
                <c:formatCode>General</c:formatCode>
                <c:ptCount val="33"/>
                <c:pt idx="0">
                  <c:v>0.108703085468237</c:v>
                </c:pt>
                <c:pt idx="1">
                  <c:v>0.117880176208965</c:v>
                </c:pt>
                <c:pt idx="2">
                  <c:v>0.12788750748265401</c:v>
                </c:pt>
                <c:pt idx="3">
                  <c:v>0.13880300635472201</c:v>
                </c:pt>
                <c:pt idx="4">
                  <c:v>0.15069983230737599</c:v>
                </c:pt>
                <c:pt idx="5">
                  <c:v>0.16364511233634299</c:v>
                </c:pt>
                <c:pt idx="6">
                  <c:v>0.17769633330245899</c:v>
                </c:pt>
                <c:pt idx="7">
                  <c:v>0.19289608943404199</c:v>
                </c:pt>
                <c:pt idx="8">
                  <c:v>0.20926521434920201</c:v>
                </c:pt>
                <c:pt idx="9">
                  <c:v>0.22679388723605801</c:v>
                </c:pt>
                <c:pt idx="10">
                  <c:v>0.245431056240795</c:v>
                </c:pt>
                <c:pt idx="11">
                  <c:v>0.26507245443886102</c:v>
                </c:pt>
                <c:pt idx="12">
                  <c:v>0.28554828333822302</c:v>
                </c:pt>
                <c:pt idx="13">
                  <c:v>0.30661208765560299</c:v>
                </c:pt>
                <c:pt idx="14">
                  <c:v>0.32793390364797598</c:v>
                </c:pt>
                <c:pt idx="15">
                  <c:v>0.34909751564004998</c:v>
                </c:pt>
                <c:pt idx="16">
                  <c:v>0.36960809948450601</c:v>
                </c:pt>
                <c:pt idx="17">
                  <c:v>0.38890944084469498</c:v>
                </c:pt>
                <c:pt idx="18">
                  <c:v>0.40624324776825899</c:v>
                </c:pt>
                <c:pt idx="19">
                  <c:v>0.42141539070815998</c:v>
                </c:pt>
                <c:pt idx="20">
                  <c:v>0.43366424458420499</c:v>
                </c:pt>
                <c:pt idx="21">
                  <c:v>0.442743699662215</c:v>
                </c:pt>
                <c:pt idx="22">
                  <c:v>0.44833096314906601</c:v>
                </c:pt>
                <c:pt idx="23">
                  <c:v>0.45034942740794798</c:v>
                </c:pt>
                <c:pt idx="24">
                  <c:v>0.44858279735636503</c:v>
                </c:pt>
                <c:pt idx="25">
                  <c:v>0.443865167787729</c:v>
                </c:pt>
                <c:pt idx="26">
                  <c:v>0.436301657122108</c:v>
                </c:pt>
                <c:pt idx="27">
                  <c:v>0.42621718742033199</c:v>
                </c:pt>
                <c:pt idx="28">
                  <c:v>0.41440828147807901</c:v>
                </c:pt>
                <c:pt idx="29">
                  <c:v>0.40108161626084698</c:v>
                </c:pt>
                <c:pt idx="30">
                  <c:v>0.38670696219773099</c:v>
                </c:pt>
                <c:pt idx="31">
                  <c:v>0.37182672675337303</c:v>
                </c:pt>
                <c:pt idx="32">
                  <c:v>0.104089288654937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40-41EF-ABFA-41F58C3BB7F6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3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840-41EF-ABFA-41F58C3BB7F6}"/>
              </c:ext>
            </c:extLst>
          </c:dPt>
          <c:cat>
            <c:numRef>
              <c:f>DATA!$B$794:$B$826</c:f>
              <c:numCache>
                <c:formatCode>General</c:formatCode>
                <c:ptCount val="33"/>
                <c:pt idx="0">
                  <c:v>15.0625</c:v>
                </c:pt>
                <c:pt idx="1">
                  <c:v>15.125</c:v>
                </c:pt>
                <c:pt idx="2">
                  <c:v>15.1875</c:v>
                </c:pt>
                <c:pt idx="3">
                  <c:v>15.25</c:v>
                </c:pt>
                <c:pt idx="4">
                  <c:v>15.3125</c:v>
                </c:pt>
                <c:pt idx="5">
                  <c:v>15.375</c:v>
                </c:pt>
                <c:pt idx="6">
                  <c:v>15.4375</c:v>
                </c:pt>
                <c:pt idx="7">
                  <c:v>15.5</c:v>
                </c:pt>
                <c:pt idx="8">
                  <c:v>15.5625</c:v>
                </c:pt>
                <c:pt idx="9">
                  <c:v>15.625</c:v>
                </c:pt>
                <c:pt idx="10">
                  <c:v>15.6875</c:v>
                </c:pt>
                <c:pt idx="11">
                  <c:v>15.75</c:v>
                </c:pt>
                <c:pt idx="12">
                  <c:v>15.8125</c:v>
                </c:pt>
                <c:pt idx="13">
                  <c:v>15.875</c:v>
                </c:pt>
                <c:pt idx="14">
                  <c:v>15.9375</c:v>
                </c:pt>
                <c:pt idx="15">
                  <c:v>16</c:v>
                </c:pt>
                <c:pt idx="16">
                  <c:v>16.0625</c:v>
                </c:pt>
                <c:pt idx="17">
                  <c:v>16.125</c:v>
                </c:pt>
                <c:pt idx="18">
                  <c:v>16.1875</c:v>
                </c:pt>
                <c:pt idx="19">
                  <c:v>16.25</c:v>
                </c:pt>
                <c:pt idx="20">
                  <c:v>16.3125</c:v>
                </c:pt>
                <c:pt idx="21">
                  <c:v>16.375</c:v>
                </c:pt>
                <c:pt idx="22">
                  <c:v>16.4375</c:v>
                </c:pt>
                <c:pt idx="23">
                  <c:v>16.5</c:v>
                </c:pt>
                <c:pt idx="24">
                  <c:v>16.5625</c:v>
                </c:pt>
                <c:pt idx="25">
                  <c:v>16.625</c:v>
                </c:pt>
                <c:pt idx="26">
                  <c:v>16.6875</c:v>
                </c:pt>
                <c:pt idx="27">
                  <c:v>16.75</c:v>
                </c:pt>
                <c:pt idx="28">
                  <c:v>16.8125</c:v>
                </c:pt>
                <c:pt idx="29">
                  <c:v>16.875</c:v>
                </c:pt>
                <c:pt idx="30">
                  <c:v>16.9375</c:v>
                </c:pt>
                <c:pt idx="31">
                  <c:v>17</c:v>
                </c:pt>
                <c:pt idx="32">
                  <c:v>15</c:v>
                </c:pt>
              </c:numCache>
            </c:numRef>
          </c:cat>
          <c:val>
            <c:numRef>
              <c:f>DATA!$N$794:$N$826</c:f>
              <c:numCache>
                <c:formatCode>General</c:formatCode>
                <c:ptCount val="33"/>
                <c:pt idx="0">
                  <c:v>0.18711991555316301</c:v>
                </c:pt>
                <c:pt idx="1">
                  <c:v>0.192332367880126</c:v>
                </c:pt>
                <c:pt idx="2">
                  <c:v>0.19739637265204199</c:v>
                </c:pt>
                <c:pt idx="3">
                  <c:v>0.20223400527636001</c:v>
                </c:pt>
                <c:pt idx="4">
                  <c:v>0.20674568068697499</c:v>
                </c:pt>
                <c:pt idx="5">
                  <c:v>0.21080889470741701</c:v>
                </c:pt>
                <c:pt idx="6">
                  <c:v>0.21427601319575501</c:v>
                </c:pt>
                <c:pt idx="7">
                  <c:v>0.21697225841649101</c:v>
                </c:pt>
                <c:pt idx="8">
                  <c:v>0.21869432553052701</c:v>
                </c:pt>
                <c:pt idx="9">
                  <c:v>0.219210338657811</c:v>
                </c:pt>
                <c:pt idx="10">
                  <c:v>0.21826221180342101</c:v>
                </c:pt>
                <c:pt idx="11">
                  <c:v>0.21557130610377501</c:v>
                </c:pt>
                <c:pt idx="12">
                  <c:v>0.21084852751514699</c:v>
                </c:pt>
                <c:pt idx="13">
                  <c:v>0.203809775442929</c:v>
                </c:pt>
                <c:pt idx="14">
                  <c:v>0.19419674547366</c:v>
                </c:pt>
                <c:pt idx="15">
                  <c:v>0.18180360556821501</c:v>
                </c:pt>
                <c:pt idx="16">
                  <c:v>0.166506982100743</c:v>
                </c:pt>
                <c:pt idx="17">
                  <c:v>0.14829787157955099</c:v>
                </c:pt>
                <c:pt idx="18">
                  <c:v>0.12744812479809001</c:v>
                </c:pt>
                <c:pt idx="19">
                  <c:v>0.103970101316559</c:v>
                </c:pt>
                <c:pt idx="20">
                  <c:v>7.8502223178090094E-2</c:v>
                </c:pt>
                <c:pt idx="21">
                  <c:v>5.14255074381701E-2</c:v>
                </c:pt>
                <c:pt idx="22">
                  <c:v>2.3458245411890899E-2</c:v>
                </c:pt>
                <c:pt idx="23">
                  <c:v>-4.7185651369239202E-3</c:v>
                </c:pt>
                <c:pt idx="24">
                  <c:v>-3.2674137953141197E-2</c:v>
                </c:pt>
                <c:pt idx="25">
                  <c:v>-5.9291673889815502E-2</c:v>
                </c:pt>
                <c:pt idx="26">
                  <c:v>-8.4347471959018802E-2</c:v>
                </c:pt>
                <c:pt idx="27">
                  <c:v>-0.107478240516828</c:v>
                </c:pt>
                <c:pt idx="28">
                  <c:v>-0.12849536775384501</c:v>
                </c:pt>
                <c:pt idx="29">
                  <c:v>-0.14715750303776201</c:v>
                </c:pt>
                <c:pt idx="30">
                  <c:v>-0.16340456664949099</c:v>
                </c:pt>
                <c:pt idx="31">
                  <c:v>-0.177504798484311</c:v>
                </c:pt>
                <c:pt idx="32">
                  <c:v>0.191230537662196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40-41EF-ABFA-41F58C3B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668080"/>
        <c:axId val="131482976"/>
      </c:lineChart>
      <c:catAx>
        <c:axId val="41668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482976"/>
        <c:crossesAt val="0"/>
        <c:auto val="1"/>
        <c:lblAlgn val="ctr"/>
        <c:lblOffset val="100"/>
        <c:noMultiLvlLbl val="0"/>
      </c:catAx>
      <c:valAx>
        <c:axId val="131482976"/>
        <c:scaling>
          <c:orientation val="minMax"/>
          <c:max val="0.6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808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4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85BA-4AF4-A4D1-3AE6C028FBF1}"/>
              </c:ext>
            </c:extLst>
          </c:dPt>
          <c:cat>
            <c:numRef>
              <c:f>DATA!$B$826:$B$858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DATA!$M$826:$M$858</c:f>
              <c:numCache>
                <c:formatCode>General</c:formatCode>
                <c:ptCount val="33"/>
                <c:pt idx="0">
                  <c:v>0.104089288654937</c:v>
                </c:pt>
                <c:pt idx="1">
                  <c:v>0.112792094058965</c:v>
                </c:pt>
                <c:pt idx="2">
                  <c:v>0.12226752996132299</c:v>
                </c:pt>
                <c:pt idx="3">
                  <c:v>0.13260223157357301</c:v>
                </c:pt>
                <c:pt idx="4">
                  <c:v>0.143875769030921</c:v>
                </c:pt>
                <c:pt idx="5">
                  <c:v>0.156163982970251</c:v>
                </c:pt>
                <c:pt idx="6">
                  <c:v>0.16953754176338201</c:v>
                </c:pt>
                <c:pt idx="7">
                  <c:v>0.184058599040483</c:v>
                </c:pt>
                <c:pt idx="8">
                  <c:v>0.199775559204277</c:v>
                </c:pt>
                <c:pt idx="9">
                  <c:v>0.216716128370112</c:v>
                </c:pt>
                <c:pt idx="10">
                  <c:v>0.23487857253598399</c:v>
                </c:pt>
                <c:pt idx="11">
                  <c:v>0.25422085189757199</c:v>
                </c:pt>
                <c:pt idx="12">
                  <c:v>0.27464851274655799</c:v>
                </c:pt>
                <c:pt idx="13">
                  <c:v>0.29577698159960403</c:v>
                </c:pt>
                <c:pt idx="14">
                  <c:v>0.31781629190799898</c:v>
                </c:pt>
                <c:pt idx="15">
                  <c:v>0.34022698615816899</c:v>
                </c:pt>
                <c:pt idx="16">
                  <c:v>0.36259609693518902</c:v>
                </c:pt>
                <c:pt idx="17">
                  <c:v>0.38442399068077299</c:v>
                </c:pt>
                <c:pt idx="18">
                  <c:v>0.405061539137062</c:v>
                </c:pt>
                <c:pt idx="19">
                  <c:v>0.42407126222747299</c:v>
                </c:pt>
                <c:pt idx="20">
                  <c:v>0.44077766524776402</c:v>
                </c:pt>
                <c:pt idx="21">
                  <c:v>0.45463252421996297</c:v>
                </c:pt>
                <c:pt idx="22">
                  <c:v>0.46518814843217399</c:v>
                </c:pt>
                <c:pt idx="23">
                  <c:v>0.47213978656209998</c:v>
                </c:pt>
                <c:pt idx="24">
                  <c:v>0.47535627439037897</c:v>
                </c:pt>
                <c:pt idx="25">
                  <c:v>0.47455919099162802</c:v>
                </c:pt>
                <c:pt idx="26">
                  <c:v>0.47057745652751398</c:v>
                </c:pt>
                <c:pt idx="27">
                  <c:v>0.46348489109084401</c:v>
                </c:pt>
                <c:pt idx="28">
                  <c:v>0.453634341041602</c:v>
                </c:pt>
                <c:pt idx="29">
                  <c:v>0.441821711488252</c:v>
                </c:pt>
                <c:pt idx="30">
                  <c:v>0.42825969654532903</c:v>
                </c:pt>
                <c:pt idx="31">
                  <c:v>0.413532041552648</c:v>
                </c:pt>
                <c:pt idx="32">
                  <c:v>0.39793457631575202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BA-4AF4-A4D1-3AE6C028FBF1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4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85BA-4AF4-A4D1-3AE6C028FBF1}"/>
              </c:ext>
            </c:extLst>
          </c:dPt>
          <c:cat>
            <c:numRef>
              <c:f>DATA!$B$826:$B$858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DATA!$N$826:$N$858</c:f>
              <c:numCache>
                <c:formatCode>General</c:formatCode>
                <c:ptCount val="33"/>
                <c:pt idx="0">
                  <c:v>0.191230537662196</c:v>
                </c:pt>
                <c:pt idx="1">
                  <c:v>0.19682956158777001</c:v>
                </c:pt>
                <c:pt idx="2">
                  <c:v>0.20234091063641099</c:v>
                </c:pt>
                <c:pt idx="3">
                  <c:v>0.20771468366811999</c:v>
                </c:pt>
                <c:pt idx="4">
                  <c:v>0.21287213869061</c:v>
                </c:pt>
                <c:pt idx="5">
                  <c:v>0.217713075787306</c:v>
                </c:pt>
                <c:pt idx="6">
                  <c:v>0.22211444751906101</c:v>
                </c:pt>
                <c:pt idx="7">
                  <c:v>0.22592792802015399</c:v>
                </c:pt>
                <c:pt idx="8">
                  <c:v>0.22897748459768899</c:v>
                </c:pt>
                <c:pt idx="9">
                  <c:v>0.23105763395710699</c:v>
                </c:pt>
                <c:pt idx="10">
                  <c:v>0.23193300016869201</c:v>
                </c:pt>
                <c:pt idx="11">
                  <c:v>0.231340042938144</c:v>
                </c:pt>
                <c:pt idx="12">
                  <c:v>0.228992047492313</c:v>
                </c:pt>
                <c:pt idx="13">
                  <c:v>0.22458573575407401</c:v>
                </c:pt>
                <c:pt idx="14">
                  <c:v>0.21784916791667899</c:v>
                </c:pt>
                <c:pt idx="15">
                  <c:v>0.208479947493207</c:v>
                </c:pt>
                <c:pt idx="16">
                  <c:v>0.19624620588201999</c:v>
                </c:pt>
                <c:pt idx="17">
                  <c:v>0.18099554964331099</c:v>
                </c:pt>
                <c:pt idx="18">
                  <c:v>0.16271143158804</c:v>
                </c:pt>
                <c:pt idx="19">
                  <c:v>0.14144735719332099</c:v>
                </c:pt>
                <c:pt idx="20">
                  <c:v>0.11746101969089601</c:v>
                </c:pt>
                <c:pt idx="21">
                  <c:v>9.1153132493500197E-2</c:v>
                </c:pt>
                <c:pt idx="22">
                  <c:v>6.3065490335865906E-2</c:v>
                </c:pt>
                <c:pt idx="23">
                  <c:v>3.3845758408781297E-2</c:v>
                </c:pt>
                <c:pt idx="24">
                  <c:v>4.2091849979559804E-3</c:v>
                </c:pt>
                <c:pt idx="25">
                  <c:v>-2.5451620491166199E-2</c:v>
                </c:pt>
                <c:pt idx="26">
                  <c:v>-5.3833024696291802E-2</c:v>
                </c:pt>
                <c:pt idx="27">
                  <c:v>-8.0729237112337898E-2</c:v>
                </c:pt>
                <c:pt idx="28">
                  <c:v>-0.105630490966078</c:v>
                </c:pt>
                <c:pt idx="29">
                  <c:v>-0.128453418248929</c:v>
                </c:pt>
                <c:pt idx="30">
                  <c:v>-0.14882846066050001</c:v>
                </c:pt>
                <c:pt idx="31">
                  <c:v>-0.16678092599279001</c:v>
                </c:pt>
                <c:pt idx="32">
                  <c:v>-0.18228768610860599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BA-4AF4-A4D1-3AE6C028F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52032"/>
        <c:axId val="131485376"/>
      </c:lineChart>
      <c:catAx>
        <c:axId val="11652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485376"/>
        <c:crossesAt val="0"/>
        <c:auto val="1"/>
        <c:lblAlgn val="ctr"/>
        <c:lblOffset val="100"/>
        <c:noMultiLvlLbl val="0"/>
      </c:catAx>
      <c:valAx>
        <c:axId val="131485376"/>
        <c:scaling>
          <c:orientation val="minMax"/>
          <c:max val="0.6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203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5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C3B-4A27-93F6-20EC969EF2A9}"/>
              </c:ext>
            </c:extLst>
          </c:dPt>
          <c:cat>
            <c:numRef>
              <c:f>DATA!$B$859:$B$891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DATA!$M$859:$M$891</c:f>
              <c:numCache>
                <c:formatCode>General</c:formatCode>
                <c:ptCount val="33"/>
                <c:pt idx="0">
                  <c:v>0.10779516114422399</c:v>
                </c:pt>
                <c:pt idx="1">
                  <c:v>0.116786636873879</c:v>
                </c:pt>
                <c:pt idx="2">
                  <c:v>0.126568215986504</c:v>
                </c:pt>
                <c:pt idx="3">
                  <c:v>0.13723366276931201</c:v>
                </c:pt>
                <c:pt idx="4">
                  <c:v>0.14886777402534701</c:v>
                </c:pt>
                <c:pt idx="5">
                  <c:v>0.16155074403945099</c:v>
                </c:pt>
                <c:pt idx="6">
                  <c:v>0.17519109986222001</c:v>
                </c:pt>
                <c:pt idx="7">
                  <c:v>0.19017523356358301</c:v>
                </c:pt>
                <c:pt idx="8">
                  <c:v>0.206403460486945</c:v>
                </c:pt>
                <c:pt idx="9">
                  <c:v>0.223910408868843</c:v>
                </c:pt>
                <c:pt idx="10">
                  <c:v>0.242702271080417</c:v>
                </c:pt>
                <c:pt idx="11">
                  <c:v>0.26274615750258701</c:v>
                </c:pt>
                <c:pt idx="12">
                  <c:v>0.283957852003697</c:v>
                </c:pt>
                <c:pt idx="13">
                  <c:v>0.30618947430757898</c:v>
                </c:pt>
                <c:pt idx="14">
                  <c:v>0.32918233438775402</c:v>
                </c:pt>
                <c:pt idx="15">
                  <c:v>0.35267198204691003</c:v>
                </c:pt>
                <c:pt idx="16">
                  <c:v>0.376227425617916</c:v>
                </c:pt>
                <c:pt idx="17">
                  <c:v>0.39935067116845202</c:v>
                </c:pt>
                <c:pt idx="18">
                  <c:v>0.421487191193615</c:v>
                </c:pt>
                <c:pt idx="19">
                  <c:v>0.44197887262704699</c:v>
                </c:pt>
                <c:pt idx="20">
                  <c:v>0.46020921740869702</c:v>
                </c:pt>
                <c:pt idx="21">
                  <c:v>0.47559068542064598</c:v>
                </c:pt>
                <c:pt idx="22">
                  <c:v>0.487454654607128</c:v>
                </c:pt>
                <c:pt idx="23">
                  <c:v>0.49573315427238501</c:v>
                </c:pt>
                <c:pt idx="24">
                  <c:v>0.50011734161392396</c:v>
                </c:pt>
                <c:pt idx="25">
                  <c:v>0.50062300071986299</c:v>
                </c:pt>
                <c:pt idx="26">
                  <c:v>0.497432343650828</c:v>
                </c:pt>
                <c:pt idx="27">
                  <c:v>0.490881940307825</c:v>
                </c:pt>
                <c:pt idx="28">
                  <c:v>0.481414500854219</c:v>
                </c:pt>
                <c:pt idx="29">
                  <c:v>0.46947644126513399</c:v>
                </c:pt>
                <c:pt idx="30">
                  <c:v>0.45570646150614202</c:v>
                </c:pt>
                <c:pt idx="31">
                  <c:v>0.44057723139121002</c:v>
                </c:pt>
                <c:pt idx="32">
                  <c:v>0.42447405357953799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3B-4A27-93F6-20EC969EF2A9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4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C3B-4A27-93F6-20EC969EF2A9}"/>
              </c:ext>
            </c:extLst>
          </c:dPt>
          <c:cat>
            <c:numRef>
              <c:f>DATA!$B$859:$B$891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DATA!$N$859:$N$891</c:f>
              <c:numCache>
                <c:formatCode>General</c:formatCode>
                <c:ptCount val="33"/>
                <c:pt idx="0">
                  <c:v>0.200661656332731</c:v>
                </c:pt>
                <c:pt idx="1">
                  <c:v>0.20656482177204699</c:v>
                </c:pt>
                <c:pt idx="2">
                  <c:v>0.21238604145595799</c:v>
                </c:pt>
                <c:pt idx="3">
                  <c:v>0.21807826846431899</c:v>
                </c:pt>
                <c:pt idx="4">
                  <c:v>0.22356387308129999</c:v>
                </c:pt>
                <c:pt idx="5">
                  <c:v>0.22874258017784499</c:v>
                </c:pt>
                <c:pt idx="6">
                  <c:v>0.233389409968878</c:v>
                </c:pt>
                <c:pt idx="7">
                  <c:v>0.237563129509819</c:v>
                </c:pt>
                <c:pt idx="8">
                  <c:v>0.24098143850553799</c:v>
                </c:pt>
                <c:pt idx="9">
                  <c:v>0.243436666657774</c:v>
                </c:pt>
                <c:pt idx="10">
                  <c:v>0.24468989840129199</c:v>
                </c:pt>
                <c:pt idx="11">
                  <c:v>0.24447222759394899</c:v>
                </c:pt>
                <c:pt idx="12">
                  <c:v>0.24248899529873999</c:v>
                </c:pt>
                <c:pt idx="13">
                  <c:v>0.23842802792960599</c:v>
                </c:pt>
                <c:pt idx="14">
                  <c:v>0.231948832277796</c:v>
                </c:pt>
                <c:pt idx="15">
                  <c:v>0.222804081933347</c:v>
                </c:pt>
                <c:pt idx="16">
                  <c:v>0.210713654252699</c:v>
                </c:pt>
                <c:pt idx="17">
                  <c:v>0.19549537749511001</c:v>
                </c:pt>
                <c:pt idx="18">
                  <c:v>0.17705016697788001</c:v>
                </c:pt>
                <c:pt idx="19">
                  <c:v>0.15547771140774899</c:v>
                </c:pt>
                <c:pt idx="20">
                  <c:v>0.13097816616293001</c:v>
                </c:pt>
                <c:pt idx="21">
                  <c:v>0.103927837410119</c:v>
                </c:pt>
                <c:pt idx="22">
                  <c:v>7.4546017026152295E-2</c:v>
                </c:pt>
                <c:pt idx="23">
                  <c:v>4.4108060982781298E-2</c:v>
                </c:pt>
                <c:pt idx="24">
                  <c:v>1.3070007070596201E-2</c:v>
                </c:pt>
                <c:pt idx="25">
                  <c:v>-1.7870732632422399E-2</c:v>
                </c:pt>
                <c:pt idx="26">
                  <c:v>-4.7991560085848303E-2</c:v>
                </c:pt>
                <c:pt idx="27">
                  <c:v>-7.6694422569704601E-2</c:v>
                </c:pt>
                <c:pt idx="28">
                  <c:v>-0.103501538337164</c:v>
                </c:pt>
                <c:pt idx="29">
                  <c:v>-0.12815862898754801</c:v>
                </c:pt>
                <c:pt idx="30">
                  <c:v>-0.15028306056931301</c:v>
                </c:pt>
                <c:pt idx="31">
                  <c:v>-0.169872658881356</c:v>
                </c:pt>
                <c:pt idx="32">
                  <c:v>-0.18681642319134401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3B-4A27-93F6-20EC969E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32656"/>
        <c:axId val="48331216"/>
      </c:lineChart>
      <c:catAx>
        <c:axId val="483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1216"/>
        <c:crossesAt val="0"/>
        <c:auto val="1"/>
        <c:lblAlgn val="ctr"/>
        <c:lblOffset val="100"/>
        <c:noMultiLvlLbl val="0"/>
      </c:catAx>
      <c:valAx>
        <c:axId val="48331216"/>
        <c:scaling>
          <c:orientation val="minMax"/>
          <c:max val="0.6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265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5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143-4941-A810-32C8BB650614}"/>
              </c:ext>
            </c:extLst>
          </c:dPt>
          <c:cat>
            <c:numRef>
              <c:f>DATA!$B$892:$B$924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DATA!$M$892:$M$924</c:f>
              <c:numCache>
                <c:formatCode>General</c:formatCode>
                <c:ptCount val="33"/>
                <c:pt idx="0">
                  <c:v>0.111301411994736</c:v>
                </c:pt>
                <c:pt idx="1">
                  <c:v>0.12056715687776599</c:v>
                </c:pt>
                <c:pt idx="2">
                  <c:v>0.13063714950583399</c:v>
                </c:pt>
                <c:pt idx="3">
                  <c:v>0.141613940743709</c:v>
                </c:pt>
                <c:pt idx="4">
                  <c:v>0.15358799645704399</c:v>
                </c:pt>
                <c:pt idx="5">
                  <c:v>0.166645197080452</c:v>
                </c:pt>
                <c:pt idx="6">
                  <c:v>0.18086611050967699</c:v>
                </c:pt>
                <c:pt idx="7">
                  <c:v>0.19632281001515001</c:v>
                </c:pt>
                <c:pt idx="8">
                  <c:v>0.21307354361185701</c:v>
                </c:pt>
                <c:pt idx="9">
                  <c:v>0.231184293744083</c:v>
                </c:pt>
                <c:pt idx="10">
                  <c:v>0.25061047438787398</c:v>
                </c:pt>
                <c:pt idx="11">
                  <c:v>0.27135704490442403</c:v>
                </c:pt>
                <c:pt idx="12">
                  <c:v>0.29335151638271401</c:v>
                </c:pt>
                <c:pt idx="13">
                  <c:v>0.31645593615187201</c:v>
                </c:pt>
                <c:pt idx="14">
                  <c:v>0.34045009856521102</c:v>
                </c:pt>
                <c:pt idx="15">
                  <c:v>0.36513186830185801</c:v>
                </c:pt>
                <c:pt idx="16">
                  <c:v>0.389859526773216</c:v>
                </c:pt>
                <c:pt idx="17">
                  <c:v>0.41425909417166001</c:v>
                </c:pt>
                <c:pt idx="18">
                  <c:v>0.43775201635929001</c:v>
                </c:pt>
                <c:pt idx="19">
                  <c:v>0.45969727593681398</c:v>
                </c:pt>
                <c:pt idx="20">
                  <c:v>0.47941707119759802</c:v>
                </c:pt>
                <c:pt idx="21">
                  <c:v>0.49630592077749702</c:v>
                </c:pt>
                <c:pt idx="22">
                  <c:v>0.50980749293516403</c:v>
                </c:pt>
                <c:pt idx="23">
                  <c:v>0.51950769360390703</c:v>
                </c:pt>
                <c:pt idx="24">
                  <c:v>0.52517402200395202</c:v>
                </c:pt>
                <c:pt idx="25">
                  <c:v>0.52674683119852805</c:v>
                </c:pt>
                <c:pt idx="26">
                  <c:v>0.52438544331690495</c:v>
                </c:pt>
                <c:pt idx="27">
                  <c:v>0.51825073620096895</c:v>
                </c:pt>
                <c:pt idx="28">
                  <c:v>0.50910930960968903</c:v>
                </c:pt>
                <c:pt idx="29">
                  <c:v>0.49731723065360101</c:v>
                </c:pt>
                <c:pt idx="30">
                  <c:v>0.48342754205201299</c:v>
                </c:pt>
                <c:pt idx="31">
                  <c:v>0.46797695510892201</c:v>
                </c:pt>
                <c:pt idx="32">
                  <c:v>0.45159261242057502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43-4941-A810-32C8BB650614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5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143-4941-A810-32C8BB650614}"/>
              </c:ext>
            </c:extLst>
          </c:dPt>
          <c:cat>
            <c:numRef>
              <c:f>DATA!$B$892:$B$924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DATA!$N$892:$N$924</c:f>
              <c:numCache>
                <c:formatCode>General</c:formatCode>
                <c:ptCount val="33"/>
                <c:pt idx="0">
                  <c:v>0.20997802969377999</c:v>
                </c:pt>
                <c:pt idx="1">
                  <c:v>0.21619287498352899</c:v>
                </c:pt>
                <c:pt idx="2">
                  <c:v>0.22232760850764299</c:v>
                </c:pt>
                <c:pt idx="3">
                  <c:v>0.22834202260518099</c:v>
                </c:pt>
                <c:pt idx="4">
                  <c:v>0.234161125760523</c:v>
                </c:pt>
                <c:pt idx="5">
                  <c:v>0.23968601095964401</c:v>
                </c:pt>
                <c:pt idx="6">
                  <c:v>0.244793094533926</c:v>
                </c:pt>
                <c:pt idx="7">
                  <c:v>0.249331691363636</c:v>
                </c:pt>
                <c:pt idx="8">
                  <c:v>0.253122003677068</c:v>
                </c:pt>
                <c:pt idx="9">
                  <c:v>0.25593091379751698</c:v>
                </c:pt>
                <c:pt idx="10">
                  <c:v>0.25755576668303198</c:v>
                </c:pt>
                <c:pt idx="11">
                  <c:v>0.25770573888327802</c:v>
                </c:pt>
                <c:pt idx="12">
                  <c:v>0.25607861141273902</c:v>
                </c:pt>
                <c:pt idx="13">
                  <c:v>0.25235091516871699</c:v>
                </c:pt>
                <c:pt idx="14">
                  <c:v>0.24619275220230699</c:v>
                </c:pt>
                <c:pt idx="15">
                  <c:v>0.237036676342502</c:v>
                </c:pt>
                <c:pt idx="16">
                  <c:v>0.22508183468401399</c:v>
                </c:pt>
                <c:pt idx="17">
                  <c:v>0.209891203180916</c:v>
                </c:pt>
                <c:pt idx="18">
                  <c:v>0.191353993024378</c:v>
                </c:pt>
                <c:pt idx="19">
                  <c:v>0.16949479737288001</c:v>
                </c:pt>
                <c:pt idx="20">
                  <c:v>0.14451839275619099</c:v>
                </c:pt>
                <c:pt idx="21">
                  <c:v>0.116760393904173</c:v>
                </c:pt>
                <c:pt idx="22">
                  <c:v>8.6745976957827306E-2</c:v>
                </c:pt>
                <c:pt idx="23">
                  <c:v>5.51413410086505E-2</c:v>
                </c:pt>
                <c:pt idx="24">
                  <c:v>2.2565238345106299E-2</c:v>
                </c:pt>
                <c:pt idx="25">
                  <c:v>-9.9922473693387307E-3</c:v>
                </c:pt>
                <c:pt idx="26">
                  <c:v>-4.1877869448870703E-2</c:v>
                </c:pt>
                <c:pt idx="27">
                  <c:v>-7.2332233374587496E-2</c:v>
                </c:pt>
                <c:pt idx="28">
                  <c:v>-0.10096558306129701</c:v>
                </c:pt>
                <c:pt idx="29">
                  <c:v>-0.12733287661956899</c:v>
                </c:pt>
                <c:pt idx="30">
                  <c:v>-0.151182839068977</c:v>
                </c:pt>
                <c:pt idx="31">
                  <c:v>-0.17241041056254999</c:v>
                </c:pt>
                <c:pt idx="32">
                  <c:v>-0.191071170948277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43-4941-A810-32C8BB650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628496"/>
        <c:axId val="189622736"/>
      </c:lineChart>
      <c:catAx>
        <c:axId val="189628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22736"/>
        <c:crossesAt val="0"/>
        <c:auto val="1"/>
        <c:lblAlgn val="ctr"/>
        <c:lblOffset val="100"/>
        <c:noMultiLvlLbl val="0"/>
      </c:catAx>
      <c:valAx>
        <c:axId val="189622736"/>
        <c:scaling>
          <c:orientation val="minMax"/>
          <c:max val="0.6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2849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5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A67-45A9-AE1A-FC47ABE45886}"/>
              </c:ext>
            </c:extLst>
          </c:dPt>
          <c:cat>
            <c:numRef>
              <c:f>DATA!$B$925:$B$957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DATA!$M$925:$M$957</c:f>
              <c:numCache>
                <c:formatCode>General</c:formatCode>
                <c:ptCount val="33"/>
                <c:pt idx="0">
                  <c:v>0.114822212126552</c:v>
                </c:pt>
                <c:pt idx="1">
                  <c:v>0.12436385078223899</c:v>
                </c:pt>
                <c:pt idx="2">
                  <c:v>0.13473103525845201</c:v>
                </c:pt>
                <c:pt idx="3">
                  <c:v>0.14602895847873901</c:v>
                </c:pt>
                <c:pt idx="4">
                  <c:v>0.15835025635953001</c:v>
                </c:pt>
                <c:pt idx="5">
                  <c:v>0.17178400638740501</c:v>
                </c:pt>
                <c:pt idx="6">
                  <c:v>0.186415220508</c:v>
                </c:pt>
                <c:pt idx="7">
                  <c:v>0.20248146542741999</c:v>
                </c:pt>
                <c:pt idx="8">
                  <c:v>0.21973194736167001</c:v>
                </c:pt>
                <c:pt idx="9">
                  <c:v>0.238374362495653</c:v>
                </c:pt>
                <c:pt idx="10">
                  <c:v>0.25843381776055702</c:v>
                </c:pt>
                <c:pt idx="11">
                  <c:v>0.279897787330665</c:v>
                </c:pt>
                <c:pt idx="12">
                  <c:v>0.30260119191114498</c:v>
                </c:pt>
                <c:pt idx="13">
                  <c:v>0.32662466540731799</c:v>
                </c:pt>
                <c:pt idx="14">
                  <c:v>0.35160206876105299</c:v>
                </c:pt>
                <c:pt idx="15">
                  <c:v>0.377246710205205</c:v>
                </c:pt>
                <c:pt idx="16">
                  <c:v>0.40316814087296299</c:v>
                </c:pt>
                <c:pt idx="17">
                  <c:v>0.42893697009835702</c:v>
                </c:pt>
                <c:pt idx="18">
                  <c:v>0.45383682990573798</c:v>
                </c:pt>
                <c:pt idx="19">
                  <c:v>0.47725237320313102</c:v>
                </c:pt>
                <c:pt idx="20">
                  <c:v>0.49851337034736798</c:v>
                </c:pt>
                <c:pt idx="21">
                  <c:v>0.51694919029141795</c:v>
                </c:pt>
                <c:pt idx="22">
                  <c:v>0.53196295126724702</c:v>
                </c:pt>
                <c:pt idx="23">
                  <c:v>0.54308626875098398</c:v>
                </c:pt>
                <c:pt idx="24">
                  <c:v>0.55023853853563598</c:v>
                </c:pt>
                <c:pt idx="25">
                  <c:v>0.55292262540779102</c:v>
                </c:pt>
                <c:pt idx="26">
                  <c:v>0.551450301007961</c:v>
                </c:pt>
                <c:pt idx="27">
                  <c:v>0.54611038002955004</c:v>
                </c:pt>
                <c:pt idx="28">
                  <c:v>0.53733698445134803</c:v>
                </c:pt>
                <c:pt idx="29">
                  <c:v>0.525592005652188</c:v>
                </c:pt>
                <c:pt idx="30">
                  <c:v>0.51156050765800698</c:v>
                </c:pt>
                <c:pt idx="31">
                  <c:v>0.49576388090496298</c:v>
                </c:pt>
                <c:pt idx="32">
                  <c:v>0.478737040359688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67-45A9-AE1A-FC47ABE45886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5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A67-45A9-AE1A-FC47ABE45886}"/>
              </c:ext>
            </c:extLst>
          </c:dPt>
          <c:cat>
            <c:numRef>
              <c:f>DATA!$B$925:$B$957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DATA!$N$925:$N$957</c:f>
              <c:numCache>
                <c:formatCode>General</c:formatCode>
                <c:ptCount val="33"/>
                <c:pt idx="0">
                  <c:v>0.219379811987998</c:v>
                </c:pt>
                <c:pt idx="1">
                  <c:v>0.225904242960767</c:v>
                </c:pt>
                <c:pt idx="2">
                  <c:v>0.23235777335345301</c:v>
                </c:pt>
                <c:pt idx="3">
                  <c:v>0.23870001153701101</c:v>
                </c:pt>
                <c:pt idx="4">
                  <c:v>0.24485579888966799</c:v>
                </c:pt>
                <c:pt idx="5">
                  <c:v>0.25072656485721601</c:v>
                </c:pt>
                <c:pt idx="6">
                  <c:v>0.25618925588480701</c:v>
                </c:pt>
                <c:pt idx="7">
                  <c:v>0.26098338014336397</c:v>
                </c:pt>
                <c:pt idx="8">
                  <c:v>0.26513538051560898</c:v>
                </c:pt>
                <c:pt idx="9">
                  <c:v>0.26833495739830299</c:v>
                </c:pt>
                <c:pt idx="10">
                  <c:v>0.27033501490890799</c:v>
                </c:pt>
                <c:pt idx="11">
                  <c:v>0.27085372657052897</c:v>
                </c:pt>
                <c:pt idx="12">
                  <c:v>0.26953705838603098</c:v>
                </c:pt>
                <c:pt idx="13">
                  <c:v>0.26612587697725398</c:v>
                </c:pt>
                <c:pt idx="14">
                  <c:v>0.26024986148596901</c:v>
                </c:pt>
                <c:pt idx="15">
                  <c:v>0.25157096616451202</c:v>
                </c:pt>
                <c:pt idx="16">
                  <c:v>0.239785709042418</c:v>
                </c:pt>
                <c:pt idx="17">
                  <c:v>0.224601361041423</c:v>
                </c:pt>
                <c:pt idx="18">
                  <c:v>0.20597254576533799</c:v>
                </c:pt>
                <c:pt idx="19">
                  <c:v>0.183859564366567</c:v>
                </c:pt>
                <c:pt idx="20">
                  <c:v>0.15841669248512599</c:v>
                </c:pt>
                <c:pt idx="21">
                  <c:v>0.12997191533414101</c:v>
                </c:pt>
                <c:pt idx="22">
                  <c:v>9.90340757600668E-2</c:v>
                </c:pt>
                <c:pt idx="23">
                  <c:v>6.6271516695939198E-2</c:v>
                </c:pt>
                <c:pt idx="24">
                  <c:v>3.2485261912020197E-2</c:v>
                </c:pt>
                <c:pt idx="25">
                  <c:v>-1.6273765935092099E-3</c:v>
                </c:pt>
                <c:pt idx="26">
                  <c:v>-3.5212803426375998E-2</c:v>
                </c:pt>
                <c:pt idx="27">
                  <c:v>-6.75661568043852E-2</c:v>
                </c:pt>
                <c:pt idx="28">
                  <c:v>-9.8085371526537707E-2</c:v>
                </c:pt>
                <c:pt idx="29">
                  <c:v>-0.12654308856312799</c:v>
                </c:pt>
                <c:pt idx="30">
                  <c:v>-0.15219609240551199</c:v>
                </c:pt>
                <c:pt idx="31">
                  <c:v>-0.17512797899673599</c:v>
                </c:pt>
                <c:pt idx="32">
                  <c:v>-0.19531215253669501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7-45A9-AE1A-FC47ABE45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1263679"/>
        <c:axId val="891257439"/>
      </c:lineChart>
      <c:catAx>
        <c:axId val="8912636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257439"/>
        <c:crossesAt val="0"/>
        <c:auto val="1"/>
        <c:lblAlgn val="ctr"/>
        <c:lblOffset val="100"/>
        <c:noMultiLvlLbl val="0"/>
      </c:catAx>
      <c:valAx>
        <c:axId val="891257439"/>
        <c:scaling>
          <c:orientation val="minMax"/>
          <c:max val="0.8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263679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5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A09-4DAB-BB0F-F63906DBDA87}"/>
              </c:ext>
            </c:extLst>
          </c:dPt>
          <c:cat>
            <c:numRef>
              <c:f>DATA!$B$958:$B$990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DATA!$M$958:$M$990</c:f>
              <c:numCache>
                <c:formatCode>General</c:formatCode>
                <c:ptCount val="33"/>
                <c:pt idx="0">
                  <c:v>0.118356021495791</c:v>
                </c:pt>
                <c:pt idx="1">
                  <c:v>0.12816964425354099</c:v>
                </c:pt>
                <c:pt idx="2">
                  <c:v>0.13883394237632601</c:v>
                </c:pt>
                <c:pt idx="3">
                  <c:v>0.150453481202351</c:v>
                </c:pt>
                <c:pt idx="4">
                  <c:v>0.163048064106179</c:v>
                </c:pt>
                <c:pt idx="5">
                  <c:v>0.17685687641186801</c:v>
                </c:pt>
                <c:pt idx="6">
                  <c:v>0.19190233730699</c:v>
                </c:pt>
                <c:pt idx="7">
                  <c:v>0.20827078385237399</c:v>
                </c:pt>
                <c:pt idx="8">
                  <c:v>0.226037821027123</c:v>
                </c:pt>
                <c:pt idx="9">
                  <c:v>0.245265326008442</c:v>
                </c:pt>
                <c:pt idx="10">
                  <c:v>0.265973356331414</c:v>
                </c:pt>
                <c:pt idx="11">
                  <c:v>0.28816096262489199</c:v>
                </c:pt>
                <c:pt idx="12">
                  <c:v>0.31176912728449702</c:v>
                </c:pt>
                <c:pt idx="13">
                  <c:v>0.33665115582319599</c:v>
                </c:pt>
                <c:pt idx="14">
                  <c:v>0.36260548249818603</c:v>
                </c:pt>
                <c:pt idx="15">
                  <c:v>0.38936001702458001</c:v>
                </c:pt>
                <c:pt idx="16">
                  <c:v>0.41650855817176702</c:v>
                </c:pt>
                <c:pt idx="17">
                  <c:v>0.44355664706778097</c:v>
                </c:pt>
                <c:pt idx="18">
                  <c:v>0.469828537281481</c:v>
                </c:pt>
                <c:pt idx="19">
                  <c:v>0.49479168593384798</c:v>
                </c:pt>
                <c:pt idx="20">
                  <c:v>0.51766012084826296</c:v>
                </c:pt>
                <c:pt idx="21">
                  <c:v>0.53785448855520601</c:v>
                </c:pt>
                <c:pt idx="22">
                  <c:v>0.55443877903599403</c:v>
                </c:pt>
                <c:pt idx="23">
                  <c:v>0.56703757109080899</c:v>
                </c:pt>
                <c:pt idx="24">
                  <c:v>0.57530528570962602</c:v>
                </c:pt>
                <c:pt idx="25">
                  <c:v>0.57910985232928303</c:v>
                </c:pt>
                <c:pt idx="26">
                  <c:v>0.57852923165242998</c:v>
                </c:pt>
                <c:pt idx="27">
                  <c:v>0.57383397387089496</c:v>
                </c:pt>
                <c:pt idx="28">
                  <c:v>0.56506398631990495</c:v>
                </c:pt>
                <c:pt idx="29">
                  <c:v>0.553534508532877</c:v>
                </c:pt>
                <c:pt idx="30">
                  <c:v>0.539446714720904</c:v>
                </c:pt>
                <c:pt idx="31">
                  <c:v>0.52338496327794704</c:v>
                </c:pt>
                <c:pt idx="32">
                  <c:v>0.50590319162335695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09-4DAB-BB0F-F63906DBDA87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5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A09-4DAB-BB0F-F63906DBDA87}"/>
              </c:ext>
            </c:extLst>
          </c:dPt>
          <c:cat>
            <c:numRef>
              <c:f>DATA!$B$958:$B$990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DATA!$N$958:$N$990</c:f>
              <c:numCache>
                <c:formatCode>General</c:formatCode>
                <c:ptCount val="33"/>
                <c:pt idx="0">
                  <c:v>0.228668087963636</c:v>
                </c:pt>
                <c:pt idx="1">
                  <c:v>0.235509826629341</c:v>
                </c:pt>
                <c:pt idx="2">
                  <c:v>0.24228345535262</c:v>
                </c:pt>
                <c:pt idx="3">
                  <c:v>0.24895159939999401</c:v>
                </c:pt>
                <c:pt idx="4">
                  <c:v>0.255383026054882</c:v>
                </c:pt>
                <c:pt idx="5">
                  <c:v>0.26159938544544498</c:v>
                </c:pt>
                <c:pt idx="6">
                  <c:v>0.26741915188148502</c:v>
                </c:pt>
                <c:pt idx="7">
                  <c:v>0.27269175030892701</c:v>
                </c:pt>
                <c:pt idx="8">
                  <c:v>0.27723497021079102</c:v>
                </c:pt>
                <c:pt idx="9">
                  <c:v>0.28083277074332003</c:v>
                </c:pt>
                <c:pt idx="10">
                  <c:v>0.28322796537792999</c:v>
                </c:pt>
                <c:pt idx="11">
                  <c:v>0.284359365556624</c:v>
                </c:pt>
                <c:pt idx="12">
                  <c:v>0.28346557133582201</c:v>
                </c:pt>
                <c:pt idx="13">
                  <c:v>0.28042323170278</c:v>
                </c:pt>
                <c:pt idx="14">
                  <c:v>0.27487157577409599</c:v>
                </c:pt>
                <c:pt idx="15">
                  <c:v>0.26645659670453398</c:v>
                </c:pt>
                <c:pt idx="16">
                  <c:v>0.25485273947264497</c:v>
                </c:pt>
                <c:pt idx="17">
                  <c:v>0.23978815968207101</c:v>
                </c:pt>
                <c:pt idx="18">
                  <c:v>0.221143032429063</c:v>
                </c:pt>
                <c:pt idx="19">
                  <c:v>0.198791440426382</c:v>
                </c:pt>
                <c:pt idx="20">
                  <c:v>0.172891928954271</c:v>
                </c:pt>
                <c:pt idx="21">
                  <c:v>0.14356373744451001</c:v>
                </c:pt>
                <c:pt idx="22">
                  <c:v>0.111656857285465</c:v>
                </c:pt>
                <c:pt idx="23">
                  <c:v>7.7672609588197702E-2</c:v>
                </c:pt>
                <c:pt idx="24">
                  <c:v>4.2396870355735798E-2</c:v>
                </c:pt>
                <c:pt idx="25">
                  <c:v>6.6878294056586804E-3</c:v>
                </c:pt>
                <c:pt idx="26">
                  <c:v>-2.8637764290653799E-2</c:v>
                </c:pt>
                <c:pt idx="27">
                  <c:v>-6.2818052170958899E-2</c:v>
                </c:pt>
                <c:pt idx="28">
                  <c:v>-9.51105937130481E-2</c:v>
                </c:pt>
                <c:pt idx="29">
                  <c:v>-0.125160501606287</c:v>
                </c:pt>
                <c:pt idx="30">
                  <c:v>-0.15257591725617101</c:v>
                </c:pt>
                <c:pt idx="31">
                  <c:v>-0.17718714607332101</c:v>
                </c:pt>
                <c:pt idx="32">
                  <c:v>-0.19895526421517601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09-4DAB-BB0F-F63906DBD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5923599"/>
        <c:axId val="1165924079"/>
      </c:lineChart>
      <c:catAx>
        <c:axId val="11659235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924079"/>
        <c:crossesAt val="0"/>
        <c:auto val="1"/>
        <c:lblAlgn val="ctr"/>
        <c:lblOffset val="100"/>
        <c:noMultiLvlLbl val="0"/>
      </c:catAx>
      <c:valAx>
        <c:axId val="1165924079"/>
        <c:scaling>
          <c:orientation val="minMax"/>
          <c:max val="0.8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923599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6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A6-4C0B-B90D-163093906EE9}"/>
              </c:ext>
            </c:extLst>
          </c:dPt>
          <c:cat>
            <c:numRef>
              <c:f>DATA!$B$991:$B$1023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DATA!$M$991:$M$1023</c:f>
              <c:numCache>
                <c:formatCode>General</c:formatCode>
                <c:ptCount val="33"/>
                <c:pt idx="0">
                  <c:v>0.121407172064918</c:v>
                </c:pt>
                <c:pt idx="1">
                  <c:v>0.131447024270436</c:v>
                </c:pt>
                <c:pt idx="2">
                  <c:v>0.14238972843110301</c:v>
                </c:pt>
                <c:pt idx="3">
                  <c:v>0.15431759185754099</c:v>
                </c:pt>
                <c:pt idx="4">
                  <c:v>0.16732821988714799</c:v>
                </c:pt>
                <c:pt idx="5">
                  <c:v>0.18151942191440701</c:v>
                </c:pt>
                <c:pt idx="6">
                  <c:v>0.19699013454033101</c:v>
                </c:pt>
                <c:pt idx="7">
                  <c:v>0.21383727852140999</c:v>
                </c:pt>
                <c:pt idx="8">
                  <c:v>0.23215418447227401</c:v>
                </c:pt>
                <c:pt idx="9">
                  <c:v>0.25194008619490499</c:v>
                </c:pt>
                <c:pt idx="10">
                  <c:v>0.27338865912772398</c:v>
                </c:pt>
                <c:pt idx="11">
                  <c:v>0.29629747890032698</c:v>
                </c:pt>
                <c:pt idx="12">
                  <c:v>0.32066191660746701</c:v>
                </c:pt>
                <c:pt idx="13">
                  <c:v>0.34640666288511601</c:v>
                </c:pt>
                <c:pt idx="14">
                  <c:v>0.37336296723180301</c:v>
                </c:pt>
                <c:pt idx="15">
                  <c:v>0.40121071847270201</c:v>
                </c:pt>
                <c:pt idx="16">
                  <c:v>0.42956932998080799</c:v>
                </c:pt>
                <c:pt idx="17">
                  <c:v>0.45792633279807399</c:v>
                </c:pt>
                <c:pt idx="18">
                  <c:v>0.485671798871805</c:v>
                </c:pt>
                <c:pt idx="19">
                  <c:v>0.51210963456902603</c:v>
                </c:pt>
                <c:pt idx="20">
                  <c:v>0.53649568393172298</c:v>
                </c:pt>
                <c:pt idx="21">
                  <c:v>0.55808203800293099</c:v>
                </c:pt>
                <c:pt idx="22">
                  <c:v>0.57617120227587104</c:v>
                </c:pt>
                <c:pt idx="23">
                  <c:v>0.59020887192685401</c:v>
                </c:pt>
                <c:pt idx="24">
                  <c:v>0.59980214724290504</c:v>
                </c:pt>
                <c:pt idx="25">
                  <c:v>0.60476315622222498</c:v>
                </c:pt>
                <c:pt idx="26">
                  <c:v>0.60529366530658602</c:v>
                </c:pt>
                <c:pt idx="27">
                  <c:v>0.60124744173564504</c:v>
                </c:pt>
                <c:pt idx="28">
                  <c:v>0.59323689270713797</c:v>
                </c:pt>
                <c:pt idx="29">
                  <c:v>0.58181995938626296</c:v>
                </c:pt>
                <c:pt idx="30">
                  <c:v>0.56759685988608699</c:v>
                </c:pt>
                <c:pt idx="31">
                  <c:v>0.55098180483384296</c:v>
                </c:pt>
                <c:pt idx="32">
                  <c:v>0.53310586396494797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A6-4C0B-B90D-163093906EE9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5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0A6-4C0B-B90D-163093906EE9}"/>
              </c:ext>
            </c:extLst>
          </c:dPt>
          <c:cat>
            <c:numRef>
              <c:f>DATA!$B$991:$B$1023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DATA!$N$991:$N$1023</c:f>
              <c:numCache>
                <c:formatCode>General</c:formatCode>
                <c:ptCount val="33"/>
                <c:pt idx="0">
                  <c:v>0.23799329794039401</c:v>
                </c:pt>
                <c:pt idx="1">
                  <c:v>0.24515268629770701</c:v>
                </c:pt>
                <c:pt idx="2">
                  <c:v>0.25226660919211502</c:v>
                </c:pt>
                <c:pt idx="3">
                  <c:v>0.25929119019860802</c:v>
                </c:pt>
                <c:pt idx="4">
                  <c:v>0.2661518065222</c:v>
                </c:pt>
                <c:pt idx="5">
                  <c:v>0.27275079757888099</c:v>
                </c:pt>
                <c:pt idx="6">
                  <c:v>0.27896605433055699</c:v>
                </c:pt>
                <c:pt idx="7">
                  <c:v>0.284647495563847</c:v>
                </c:pt>
                <c:pt idx="8">
                  <c:v>0.28961196074131901</c:v>
                </c:pt>
                <c:pt idx="9">
                  <c:v>0.29361589619836198</c:v>
                </c:pt>
                <c:pt idx="10">
                  <c:v>0.296424091797655</c:v>
                </c:pt>
                <c:pt idx="11">
                  <c:v>0.29774246735251902</c:v>
                </c:pt>
                <c:pt idx="12">
                  <c:v>0.29696300579986401</c:v>
                </c:pt>
                <c:pt idx="13">
                  <c:v>0.29427677847161599</c:v>
                </c:pt>
                <c:pt idx="14">
                  <c:v>0.289038451364797</c:v>
                </c:pt>
                <c:pt idx="15">
                  <c:v>0.28087750367905201</c:v>
                </c:pt>
                <c:pt idx="16">
                  <c:v>0.26944063757713799</c:v>
                </c:pt>
                <c:pt idx="17">
                  <c:v>0.25443596823116899</c:v>
                </c:pt>
                <c:pt idx="18">
                  <c:v>0.23566477361882401</c:v>
                </c:pt>
                <c:pt idx="19">
                  <c:v>0.21306025060873199</c:v>
                </c:pt>
                <c:pt idx="20">
                  <c:v>0.18672064038733099</c:v>
                </c:pt>
                <c:pt idx="21">
                  <c:v>0.15693132975426199</c:v>
                </c:pt>
                <c:pt idx="22">
                  <c:v>0.124195014122264</c:v>
                </c:pt>
                <c:pt idx="23">
                  <c:v>8.9151248269578598E-2</c:v>
                </c:pt>
                <c:pt idx="24">
                  <c:v>5.2588751431861501E-2</c:v>
                </c:pt>
                <c:pt idx="25">
                  <c:v>1.5349437490747801E-2</c:v>
                </c:pt>
                <c:pt idx="26">
                  <c:v>-2.19872194960141E-2</c:v>
                </c:pt>
                <c:pt idx="27">
                  <c:v>-5.7995888594023999E-2</c:v>
                </c:pt>
                <c:pt idx="28">
                  <c:v>-9.2261895497049204E-2</c:v>
                </c:pt>
                <c:pt idx="29">
                  <c:v>-0.12421374517084099</c:v>
                </c:pt>
                <c:pt idx="30">
                  <c:v>-0.153480526538009</c:v>
                </c:pt>
                <c:pt idx="31">
                  <c:v>-0.179867190994148</c:v>
                </c:pt>
                <c:pt idx="32">
                  <c:v>-0.20308244083987601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A6-4C0B-B90D-163093906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3492159"/>
        <c:axId val="783498399"/>
      </c:lineChart>
      <c:catAx>
        <c:axId val="7834921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498399"/>
        <c:crossesAt val="0"/>
        <c:auto val="1"/>
        <c:lblAlgn val="ctr"/>
        <c:lblOffset val="100"/>
        <c:noMultiLvlLbl val="0"/>
      </c:catAx>
      <c:valAx>
        <c:axId val="783498399"/>
        <c:scaling>
          <c:orientation val="minMax"/>
          <c:max val="0.8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492159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6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C6D-4B5F-B999-015832852696}"/>
              </c:ext>
            </c:extLst>
          </c:dPt>
          <c:cat>
            <c:numRef>
              <c:f>DATA!$B$1024:$B$1056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DATA!$M$1024:$M$1056</c:f>
              <c:numCache>
                <c:formatCode>General</c:formatCode>
                <c:ptCount val="33"/>
                <c:pt idx="0">
                  <c:v>0.12426440135835901</c:v>
                </c:pt>
                <c:pt idx="1">
                  <c:v>0.13446383744396401</c:v>
                </c:pt>
                <c:pt idx="2">
                  <c:v>0.145677276501263</c:v>
                </c:pt>
                <c:pt idx="3">
                  <c:v>0.15796988080083799</c:v>
                </c:pt>
                <c:pt idx="4">
                  <c:v>0.171310938498906</c:v>
                </c:pt>
                <c:pt idx="5">
                  <c:v>0.18586082203162499</c:v>
                </c:pt>
                <c:pt idx="6">
                  <c:v>0.20172716162806201</c:v>
                </c:pt>
                <c:pt idx="7">
                  <c:v>0.219005721491596</c:v>
                </c:pt>
                <c:pt idx="8">
                  <c:v>0.23777839310013901</c:v>
                </c:pt>
                <c:pt idx="9">
                  <c:v>0.25811746967809102</c:v>
                </c:pt>
                <c:pt idx="10">
                  <c:v>0.28013076849614799</c:v>
                </c:pt>
                <c:pt idx="11">
                  <c:v>0.30373551127087101</c:v>
                </c:pt>
                <c:pt idx="12">
                  <c:v>0.32891544194938599</c:v>
                </c:pt>
                <c:pt idx="13">
                  <c:v>0.35558059928142799</c:v>
                </c:pt>
                <c:pt idx="14">
                  <c:v>0.383549559305771</c:v>
                </c:pt>
                <c:pt idx="15">
                  <c:v>0.412542769714627</c:v>
                </c:pt>
                <c:pt idx="16">
                  <c:v>0.44216819231677401</c:v>
                </c:pt>
                <c:pt idx="17">
                  <c:v>0.47192048377349</c:v>
                </c:pt>
                <c:pt idx="18">
                  <c:v>0.50117560333906996</c:v>
                </c:pt>
                <c:pt idx="19">
                  <c:v>0.52921983010835005</c:v>
                </c:pt>
                <c:pt idx="20">
                  <c:v>0.55540572757640705</c:v>
                </c:pt>
                <c:pt idx="21">
                  <c:v>0.57868854050806895</c:v>
                </c:pt>
                <c:pt idx="22">
                  <c:v>0.59844978303771301</c:v>
                </c:pt>
                <c:pt idx="23">
                  <c:v>0.61406838579498502</c:v>
                </c:pt>
                <c:pt idx="24">
                  <c:v>0.62472790545369095</c:v>
                </c:pt>
                <c:pt idx="25">
                  <c:v>0.63089079722816599</c:v>
                </c:pt>
                <c:pt idx="26">
                  <c:v>0.63220601552482003</c:v>
                </c:pt>
                <c:pt idx="27">
                  <c:v>0.62888812657933901</c:v>
                </c:pt>
                <c:pt idx="28">
                  <c:v>0.62134007062753904</c:v>
                </c:pt>
                <c:pt idx="29">
                  <c:v>0.61010916231026402</c:v>
                </c:pt>
                <c:pt idx="30">
                  <c:v>0.59581593250423504</c:v>
                </c:pt>
                <c:pt idx="31">
                  <c:v>0.57910818402339603</c:v>
                </c:pt>
                <c:pt idx="32">
                  <c:v>0.56062889959655005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D-4B5F-B999-015832852696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6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C6D-4B5F-B999-015832852696}"/>
              </c:ext>
            </c:extLst>
          </c:dPt>
          <c:cat>
            <c:numRef>
              <c:f>DATA!$B$1024:$B$1056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DATA!$N$1024:$N$1056</c:f>
              <c:numCache>
                <c:formatCode>General</c:formatCode>
                <c:ptCount val="33"/>
                <c:pt idx="0">
                  <c:v>0.24683669940512301</c:v>
                </c:pt>
                <c:pt idx="1">
                  <c:v>0.25442391106717399</c:v>
                </c:pt>
                <c:pt idx="2">
                  <c:v>0.26188973408926502</c:v>
                </c:pt>
                <c:pt idx="3">
                  <c:v>0.26913406632675901</c:v>
                </c:pt>
                <c:pt idx="4">
                  <c:v>0.276371627652991</c:v>
                </c:pt>
                <c:pt idx="5">
                  <c:v>0.28335740667107501</c:v>
                </c:pt>
                <c:pt idx="6">
                  <c:v>0.28997141838679102</c:v>
                </c:pt>
                <c:pt idx="7">
                  <c:v>0.29606028299821902</c:v>
                </c:pt>
                <c:pt idx="8">
                  <c:v>0.30143789208250699</c:v>
                </c:pt>
                <c:pt idx="9">
                  <c:v>0.305884126644621</c:v>
                </c:pt>
                <c:pt idx="10">
                  <c:v>0.30914114931412701</c:v>
                </c:pt>
                <c:pt idx="11">
                  <c:v>0.31109477537814201</c:v>
                </c:pt>
                <c:pt idx="12">
                  <c:v>0.31103485103969197</c:v>
                </c:pt>
                <c:pt idx="13">
                  <c:v>0.30877989532883099</c:v>
                </c:pt>
                <c:pt idx="14">
                  <c:v>0.30393833119759101</c:v>
                </c:pt>
                <c:pt idx="15">
                  <c:v>0.29611339427405098</c:v>
                </c:pt>
                <c:pt idx="16">
                  <c:v>0.284928608490016</c:v>
                </c:pt>
                <c:pt idx="17">
                  <c:v>0.27005940006909901</c:v>
                </c:pt>
                <c:pt idx="18">
                  <c:v>0.25127442026574198</c:v>
                </c:pt>
                <c:pt idx="19">
                  <c:v>0.228471703537516</c:v>
                </c:pt>
                <c:pt idx="20">
                  <c:v>0.20161621941989499</c:v>
                </c:pt>
                <c:pt idx="21">
                  <c:v>0.171141305214497</c:v>
                </c:pt>
                <c:pt idx="22">
                  <c:v>0.137440935783574</c:v>
                </c:pt>
                <c:pt idx="23">
                  <c:v>0.10115655009756799</c:v>
                </c:pt>
                <c:pt idx="24">
                  <c:v>6.3064214179319206E-2</c:v>
                </c:pt>
                <c:pt idx="25">
                  <c:v>2.41810482739916E-2</c:v>
                </c:pt>
                <c:pt idx="26">
                  <c:v>-1.46509229781295E-2</c:v>
                </c:pt>
                <c:pt idx="27">
                  <c:v>-5.2548217948196703E-2</c:v>
                </c:pt>
                <c:pt idx="28">
                  <c:v>-8.8748885348214901E-2</c:v>
                </c:pt>
                <c:pt idx="29">
                  <c:v>-0.122633930841497</c:v>
                </c:pt>
                <c:pt idx="30">
                  <c:v>-0.15377864892740101</c:v>
                </c:pt>
                <c:pt idx="31">
                  <c:v>-0.18192242116489099</c:v>
                </c:pt>
                <c:pt idx="32">
                  <c:v>-0.20693915520978201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6D-4B5F-B999-015832852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3498879"/>
        <c:axId val="783500319"/>
      </c:lineChart>
      <c:catAx>
        <c:axId val="783498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500319"/>
        <c:crossesAt val="0"/>
        <c:auto val="1"/>
        <c:lblAlgn val="ctr"/>
        <c:lblOffset val="100"/>
        <c:noMultiLvlLbl val="0"/>
      </c:catAx>
      <c:valAx>
        <c:axId val="783500319"/>
        <c:scaling>
          <c:orientation val="minMax"/>
          <c:max val="0.8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498879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38100" cap="rnd">
              <a:solidFill>
                <a:srgbClr val="F07F09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6"/>
            <c:marker>
              <c:symbol val="circle"/>
              <c:size val="10"/>
              <c:spPr>
                <a:solidFill>
                  <a:srgbClr val="F07F09"/>
                </a:solidFill>
                <a:ln w="9525">
                  <a:solidFill>
                    <a:srgbClr val="F07F0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81D-42DB-920F-E753A8A7B7E4}"/>
              </c:ext>
            </c:extLst>
          </c:dPt>
          <c:cat>
            <c:numRef>
              <c:f>DATA!$B$1057:$B$1089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DATA!$M$1057:$M$1089</c:f>
              <c:numCache>
                <c:formatCode>General</c:formatCode>
                <c:ptCount val="33"/>
                <c:pt idx="0">
                  <c:v>0.12711770811175199</c:v>
                </c:pt>
                <c:pt idx="1">
                  <c:v>0.13752408948919201</c:v>
                </c:pt>
                <c:pt idx="2">
                  <c:v>0.14889778996369099</c:v>
                </c:pt>
                <c:pt idx="3">
                  <c:v>0.16133615289470499</c:v>
                </c:pt>
                <c:pt idx="4">
                  <c:v>0.174939193016766</c:v>
                </c:pt>
                <c:pt idx="5">
                  <c:v>0.189808461712729</c:v>
                </c:pt>
                <c:pt idx="6">
                  <c:v>0.20604572504698301</c:v>
                </c:pt>
                <c:pt idx="7">
                  <c:v>0.22375025460109901</c:v>
                </c:pt>
                <c:pt idx="8">
                  <c:v>0.243014530098944</c:v>
                </c:pt>
                <c:pt idx="9">
                  <c:v>0.26391469406415702</c:v>
                </c:pt>
                <c:pt idx="10">
                  <c:v>0.28650346363997498</c:v>
                </c:pt>
                <c:pt idx="11">
                  <c:v>0.31080133250230602</c:v>
                </c:pt>
                <c:pt idx="12">
                  <c:v>0.336779226810556</c:v>
                </c:pt>
                <c:pt idx="13">
                  <c:v>0.36442902753440198</c:v>
                </c:pt>
                <c:pt idx="14">
                  <c:v>0.393431301570278</c:v>
                </c:pt>
                <c:pt idx="15">
                  <c:v>0.42358102939589998</c:v>
                </c:pt>
                <c:pt idx="16">
                  <c:v>0.45449239452245499</c:v>
                </c:pt>
                <c:pt idx="17">
                  <c:v>0.48565740417707198</c:v>
                </c:pt>
                <c:pt idx="18">
                  <c:v>0.51664087854964602</c:v>
                </c:pt>
                <c:pt idx="19">
                  <c:v>0.54628095166784196</c:v>
                </c:pt>
                <c:pt idx="20">
                  <c:v>0.57400041492383103</c:v>
                </c:pt>
                <c:pt idx="21">
                  <c:v>0.59896664078846895</c:v>
                </c:pt>
                <c:pt idx="22">
                  <c:v>0.62037554506735504</c:v>
                </c:pt>
                <c:pt idx="23">
                  <c:v>0.63756778438119299</c:v>
                </c:pt>
                <c:pt idx="24">
                  <c:v>0.64995784973309201</c:v>
                </c:pt>
                <c:pt idx="25">
                  <c:v>0.65727070315557301</c:v>
                </c:pt>
                <c:pt idx="26">
                  <c:v>0.65948490588934505</c:v>
                </c:pt>
                <c:pt idx="27">
                  <c:v>0.65641552130733305</c:v>
                </c:pt>
                <c:pt idx="28">
                  <c:v>0.64920718842976999</c:v>
                </c:pt>
                <c:pt idx="29">
                  <c:v>0.63804144942976604</c:v>
                </c:pt>
                <c:pt idx="30">
                  <c:v>0.62357639952109001</c:v>
                </c:pt>
                <c:pt idx="31">
                  <c:v>0.60650736131574901</c:v>
                </c:pt>
                <c:pt idx="32">
                  <c:v>0.58783884971439404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1D-42DB-920F-E753A8A7B7E4}"/>
            </c:ext>
          </c:extLst>
        </c:ser>
        <c:ser>
          <c:idx val="1"/>
          <c:order val="1"/>
          <c:tx>
            <c:v>Bself</c:v>
          </c:tx>
          <c:spPr>
            <a:ln w="38100" cap="rnd">
              <a:solidFill>
                <a:srgbClr val="9F2936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6"/>
            <c:marker>
              <c:symbol val="circle"/>
              <c:size val="10"/>
              <c:spPr>
                <a:solidFill>
                  <a:srgbClr val="9F2936"/>
                </a:solidFill>
                <a:ln w="9525">
                  <a:solidFill>
                    <a:srgbClr val="9F2936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81D-42DB-920F-E753A8A7B7E4}"/>
              </c:ext>
            </c:extLst>
          </c:dPt>
          <c:cat>
            <c:numRef>
              <c:f>DATA!$B$1057:$B$1089</c:f>
              <c:numCache>
                <c:formatCode>General</c:formatCode>
                <c:ptCount val="33"/>
                <c:pt idx="0">
                  <c:v>15</c:v>
                </c:pt>
                <c:pt idx="1">
                  <c:v>15.0625</c:v>
                </c:pt>
                <c:pt idx="2">
                  <c:v>15.125</c:v>
                </c:pt>
                <c:pt idx="3">
                  <c:v>15.1875</c:v>
                </c:pt>
                <c:pt idx="4">
                  <c:v>15.25</c:v>
                </c:pt>
                <c:pt idx="5">
                  <c:v>15.3125</c:v>
                </c:pt>
                <c:pt idx="6">
                  <c:v>15.375</c:v>
                </c:pt>
                <c:pt idx="7">
                  <c:v>15.4375</c:v>
                </c:pt>
                <c:pt idx="8">
                  <c:v>15.5</c:v>
                </c:pt>
                <c:pt idx="9">
                  <c:v>15.5625</c:v>
                </c:pt>
                <c:pt idx="10">
                  <c:v>15.625</c:v>
                </c:pt>
                <c:pt idx="11">
                  <c:v>15.6875</c:v>
                </c:pt>
                <c:pt idx="12">
                  <c:v>15.75</c:v>
                </c:pt>
                <c:pt idx="13">
                  <c:v>15.8125</c:v>
                </c:pt>
                <c:pt idx="14">
                  <c:v>15.875</c:v>
                </c:pt>
                <c:pt idx="15">
                  <c:v>15.9375</c:v>
                </c:pt>
                <c:pt idx="16">
                  <c:v>16</c:v>
                </c:pt>
                <c:pt idx="17">
                  <c:v>16.0625</c:v>
                </c:pt>
                <c:pt idx="18">
                  <c:v>16.125</c:v>
                </c:pt>
                <c:pt idx="19">
                  <c:v>16.1875</c:v>
                </c:pt>
                <c:pt idx="20">
                  <c:v>16.25</c:v>
                </c:pt>
                <c:pt idx="21">
                  <c:v>16.3125</c:v>
                </c:pt>
                <c:pt idx="22">
                  <c:v>16.375</c:v>
                </c:pt>
                <c:pt idx="23">
                  <c:v>16.4375</c:v>
                </c:pt>
                <c:pt idx="24">
                  <c:v>16.5</c:v>
                </c:pt>
                <c:pt idx="25">
                  <c:v>16.5625</c:v>
                </c:pt>
                <c:pt idx="26">
                  <c:v>16.625</c:v>
                </c:pt>
                <c:pt idx="27">
                  <c:v>16.6875</c:v>
                </c:pt>
                <c:pt idx="28">
                  <c:v>16.75</c:v>
                </c:pt>
                <c:pt idx="29">
                  <c:v>16.8125</c:v>
                </c:pt>
                <c:pt idx="30">
                  <c:v>16.875</c:v>
                </c:pt>
                <c:pt idx="31">
                  <c:v>16.9375</c:v>
                </c:pt>
                <c:pt idx="32">
                  <c:v>17</c:v>
                </c:pt>
              </c:numCache>
            </c:numRef>
          </c:cat>
          <c:val>
            <c:numRef>
              <c:f>DATA!$N$1057:$N$1089</c:f>
              <c:numCache>
                <c:formatCode>General</c:formatCode>
                <c:ptCount val="33"/>
                <c:pt idx="0">
                  <c:v>0.25586851671953398</c:v>
                </c:pt>
                <c:pt idx="1">
                  <c:v>0.26358773095347798</c:v>
                </c:pt>
                <c:pt idx="2">
                  <c:v>0.27133127336278601</c:v>
                </c:pt>
                <c:pt idx="3">
                  <c:v>0.27903974014092903</c:v>
                </c:pt>
                <c:pt idx="4">
                  <c:v>0.28663175801533902</c:v>
                </c:pt>
                <c:pt idx="5">
                  <c:v>0.29400418769734898</c:v>
                </c:pt>
                <c:pt idx="6">
                  <c:v>0.30102912877864701</c:v>
                </c:pt>
                <c:pt idx="7">
                  <c:v>0.30755026639976901</c:v>
                </c:pt>
                <c:pt idx="8">
                  <c:v>0.31337873405286498</c:v>
                </c:pt>
                <c:pt idx="9">
                  <c:v>0.31828877997410798</c:v>
                </c:pt>
                <c:pt idx="10">
                  <c:v>0.32201479752672801</c:v>
                </c:pt>
                <c:pt idx="11">
                  <c:v>0.32425152533391899</c:v>
                </c:pt>
                <c:pt idx="12">
                  <c:v>0.32465318918449398</c:v>
                </c:pt>
                <c:pt idx="13">
                  <c:v>0.32302579118001201</c:v>
                </c:pt>
                <c:pt idx="14">
                  <c:v>0.31858487921529799</c:v>
                </c:pt>
                <c:pt idx="15">
                  <c:v>0.31109847695617099</c:v>
                </c:pt>
                <c:pt idx="16">
                  <c:v>0.300162177433133</c:v>
                </c:pt>
                <c:pt idx="17">
                  <c:v>0.28541350833142798</c:v>
                </c:pt>
                <c:pt idx="18">
                  <c:v>0.26641508924260698</c:v>
                </c:pt>
                <c:pt idx="19">
                  <c:v>0.243369198879228</c:v>
                </c:pt>
                <c:pt idx="20">
                  <c:v>0.21613764068566199</c:v>
                </c:pt>
                <c:pt idx="21">
                  <c:v>0.184947981409601</c:v>
                </c:pt>
                <c:pt idx="22">
                  <c:v>0.150255102884296</c:v>
                </c:pt>
                <c:pt idx="23">
                  <c:v>0.112632303319738</c:v>
                </c:pt>
                <c:pt idx="24">
                  <c:v>7.3059795442723494E-2</c:v>
                </c:pt>
                <c:pt idx="25">
                  <c:v>3.2460550608998301E-2</c:v>
                </c:pt>
                <c:pt idx="26">
                  <c:v>-8.2583940628500607E-3</c:v>
                </c:pt>
                <c:pt idx="27">
                  <c:v>-4.8075209128211699E-2</c:v>
                </c:pt>
                <c:pt idx="28">
                  <c:v>-8.6225691192416395E-2</c:v>
                </c:pt>
                <c:pt idx="29">
                  <c:v>-0.122038981343948</c:v>
                </c:pt>
                <c:pt idx="30">
                  <c:v>-0.15503331650636101</c:v>
                </c:pt>
                <c:pt idx="31">
                  <c:v>-0.18511925075240199</c:v>
                </c:pt>
                <c:pt idx="32">
                  <c:v>-0.21150470044071401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D-42DB-920F-E753A8A7B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1185711"/>
        <c:axId val="1141183791"/>
      </c:lineChart>
      <c:catAx>
        <c:axId val="11411857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183791"/>
        <c:crossesAt val="0"/>
        <c:auto val="1"/>
        <c:lblAlgn val="ctr"/>
        <c:lblOffset val="100"/>
        <c:noMultiLvlLbl val="0"/>
      </c:catAx>
      <c:valAx>
        <c:axId val="1141183791"/>
        <c:scaling>
          <c:orientation val="minMax"/>
          <c:max val="0.8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185711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8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482600</xdr:colOff>
      <xdr:row>19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5F4753-AAF8-433E-44FA-9130B24194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0</xdr:row>
      <xdr:rowOff>0</xdr:rowOff>
    </xdr:from>
    <xdr:to>
      <xdr:col>19</xdr:col>
      <xdr:colOff>482600</xdr:colOff>
      <xdr:row>19</xdr:row>
      <xdr:rowOff>107950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4DFE31-0042-20B4-026F-94C1966F7C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29</xdr:col>
      <xdr:colOff>482600</xdr:colOff>
      <xdr:row>19</xdr:row>
      <xdr:rowOff>107950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4737F8-EAAA-CE25-980C-A55BF5ABE5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0</xdr:row>
      <xdr:rowOff>0</xdr:rowOff>
    </xdr:from>
    <xdr:to>
      <xdr:col>39</xdr:col>
      <xdr:colOff>482600</xdr:colOff>
      <xdr:row>19</xdr:row>
      <xdr:rowOff>107950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6F4D7BA-3E6A-9DFA-B1FA-3F3C3179AF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0</xdr:colOff>
      <xdr:row>0</xdr:row>
      <xdr:rowOff>0</xdr:rowOff>
    </xdr:from>
    <xdr:to>
      <xdr:col>49</xdr:col>
      <xdr:colOff>482600</xdr:colOff>
      <xdr:row>19</xdr:row>
      <xdr:rowOff>107950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6DE5A7-0965-278D-AA26-1030B093CC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20</xdr:row>
      <xdr:rowOff>50800</xdr:rowOff>
    </xdr:from>
    <xdr:to>
      <xdr:col>9</xdr:col>
      <xdr:colOff>482600</xdr:colOff>
      <xdr:row>39</xdr:row>
      <xdr:rowOff>158750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1E1BA59-8643-CBC4-B929-5CF066582D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20</xdr:row>
      <xdr:rowOff>50800</xdr:rowOff>
    </xdr:from>
    <xdr:to>
      <xdr:col>19</xdr:col>
      <xdr:colOff>482600</xdr:colOff>
      <xdr:row>39</xdr:row>
      <xdr:rowOff>158750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4874B7B-39B9-2BFC-6EBC-8F806BCA2A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0</xdr:colOff>
      <xdr:row>20</xdr:row>
      <xdr:rowOff>50800</xdr:rowOff>
    </xdr:from>
    <xdr:to>
      <xdr:col>29</xdr:col>
      <xdr:colOff>482600</xdr:colOff>
      <xdr:row>39</xdr:row>
      <xdr:rowOff>158750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052E960-5AAE-39DC-01CC-7CE867CB39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30</xdr:col>
      <xdr:colOff>0</xdr:colOff>
      <xdr:row>20</xdr:row>
      <xdr:rowOff>50800</xdr:rowOff>
    </xdr:from>
    <xdr:to>
      <xdr:col>39</xdr:col>
      <xdr:colOff>482600</xdr:colOff>
      <xdr:row>39</xdr:row>
      <xdr:rowOff>158750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63BBA2C-D7D7-5470-133B-2447FCABBA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40</xdr:col>
      <xdr:colOff>0</xdr:colOff>
      <xdr:row>20</xdr:row>
      <xdr:rowOff>50800</xdr:rowOff>
    </xdr:from>
    <xdr:to>
      <xdr:col>49</xdr:col>
      <xdr:colOff>482600</xdr:colOff>
      <xdr:row>39</xdr:row>
      <xdr:rowOff>158750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CB4B079-9745-6308-A6EA-2DA722DAE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40</xdr:row>
      <xdr:rowOff>101600</xdr:rowOff>
    </xdr:from>
    <xdr:to>
      <xdr:col>9</xdr:col>
      <xdr:colOff>482600</xdr:colOff>
      <xdr:row>60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161C052-5FA3-56E4-E764-E57904AD9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0</xdr:colOff>
      <xdr:row>40</xdr:row>
      <xdr:rowOff>101600</xdr:rowOff>
    </xdr:from>
    <xdr:to>
      <xdr:col>19</xdr:col>
      <xdr:colOff>482600</xdr:colOff>
      <xdr:row>60</xdr:row>
      <xdr:rowOff>25400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EFCFA6F-DF4B-AC16-BC87-DA6C48980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0</xdr:colOff>
      <xdr:row>40</xdr:row>
      <xdr:rowOff>101600</xdr:rowOff>
    </xdr:from>
    <xdr:to>
      <xdr:col>29</xdr:col>
      <xdr:colOff>482600</xdr:colOff>
      <xdr:row>60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1B69F63-1792-5792-64F9-AEC08B45D3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0</xdr:colOff>
      <xdr:row>40</xdr:row>
      <xdr:rowOff>101600</xdr:rowOff>
    </xdr:from>
    <xdr:to>
      <xdr:col>39</xdr:col>
      <xdr:colOff>482600</xdr:colOff>
      <xdr:row>60</xdr:row>
      <xdr:rowOff>25400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8C20F1D-4032-BBCA-BFF8-5C364D293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40</xdr:col>
      <xdr:colOff>0</xdr:colOff>
      <xdr:row>40</xdr:row>
      <xdr:rowOff>101600</xdr:rowOff>
    </xdr:from>
    <xdr:to>
      <xdr:col>49</xdr:col>
      <xdr:colOff>482600</xdr:colOff>
      <xdr:row>60</xdr:row>
      <xdr:rowOff>25400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28058AFB-C840-CEBF-55A9-9F466DF492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60</xdr:row>
      <xdr:rowOff>152400</xdr:rowOff>
    </xdr:from>
    <xdr:to>
      <xdr:col>9</xdr:col>
      <xdr:colOff>482600</xdr:colOff>
      <xdr:row>80</xdr:row>
      <xdr:rowOff>76200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F4E82D2F-33AF-D8A4-BBE8-A3438C9E5E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60</xdr:row>
      <xdr:rowOff>152400</xdr:rowOff>
    </xdr:from>
    <xdr:to>
      <xdr:col>19</xdr:col>
      <xdr:colOff>482600</xdr:colOff>
      <xdr:row>80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C6131CC-1D8E-2FF8-5B04-5A49173E1C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20</xdr:col>
      <xdr:colOff>0</xdr:colOff>
      <xdr:row>60</xdr:row>
      <xdr:rowOff>152400</xdr:rowOff>
    </xdr:from>
    <xdr:to>
      <xdr:col>29</xdr:col>
      <xdr:colOff>482600</xdr:colOff>
      <xdr:row>80</xdr:row>
      <xdr:rowOff>76200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6480D97D-0EEB-E2E1-513F-144497EEAC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30</xdr:col>
      <xdr:colOff>0</xdr:colOff>
      <xdr:row>60</xdr:row>
      <xdr:rowOff>152400</xdr:rowOff>
    </xdr:from>
    <xdr:to>
      <xdr:col>39</xdr:col>
      <xdr:colOff>482600</xdr:colOff>
      <xdr:row>80</xdr:row>
      <xdr:rowOff>76200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BA04CA24-F8A2-D57D-F0CE-E4DC3868C4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40</xdr:col>
      <xdr:colOff>0</xdr:colOff>
      <xdr:row>60</xdr:row>
      <xdr:rowOff>152400</xdr:rowOff>
    </xdr:from>
    <xdr:to>
      <xdr:col>49</xdr:col>
      <xdr:colOff>482600</xdr:colOff>
      <xdr:row>80</xdr:row>
      <xdr:rowOff>76200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3C561F76-2B50-763B-BAD7-4647056EDA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81</xdr:row>
      <xdr:rowOff>19050</xdr:rowOff>
    </xdr:from>
    <xdr:to>
      <xdr:col>9</xdr:col>
      <xdr:colOff>482600</xdr:colOff>
      <xdr:row>100</xdr:row>
      <xdr:rowOff>127000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83D26A8F-F064-78F5-4BE5-95DC54CCC8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0</xdr:colOff>
      <xdr:row>81</xdr:row>
      <xdr:rowOff>19050</xdr:rowOff>
    </xdr:from>
    <xdr:to>
      <xdr:col>19</xdr:col>
      <xdr:colOff>482600</xdr:colOff>
      <xdr:row>100</xdr:row>
      <xdr:rowOff>127000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C5B0D9D4-EAF1-161A-B4DD-0E3972B8E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20</xdr:col>
      <xdr:colOff>0</xdr:colOff>
      <xdr:row>81</xdr:row>
      <xdr:rowOff>19050</xdr:rowOff>
    </xdr:from>
    <xdr:to>
      <xdr:col>29</xdr:col>
      <xdr:colOff>482600</xdr:colOff>
      <xdr:row>100</xdr:row>
      <xdr:rowOff>127000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787AA4DC-F7C1-84AD-53A4-E13A5F5A3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30</xdr:col>
      <xdr:colOff>0</xdr:colOff>
      <xdr:row>81</xdr:row>
      <xdr:rowOff>19050</xdr:rowOff>
    </xdr:from>
    <xdr:to>
      <xdr:col>39</xdr:col>
      <xdr:colOff>482600</xdr:colOff>
      <xdr:row>100</xdr:row>
      <xdr:rowOff>127000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28C3260C-EF4F-2A09-C58B-8A8A0A43A0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40</xdr:col>
      <xdr:colOff>0</xdr:colOff>
      <xdr:row>81</xdr:row>
      <xdr:rowOff>19050</xdr:rowOff>
    </xdr:from>
    <xdr:to>
      <xdr:col>49</xdr:col>
      <xdr:colOff>482600</xdr:colOff>
      <xdr:row>100</xdr:row>
      <xdr:rowOff>127000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A3914926-AC5D-CEC7-7088-E184918A58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101</xdr:row>
      <xdr:rowOff>69850</xdr:rowOff>
    </xdr:from>
    <xdr:to>
      <xdr:col>9</xdr:col>
      <xdr:colOff>482600</xdr:colOff>
      <xdr:row>120</xdr:row>
      <xdr:rowOff>177800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4050ED6E-9C21-E345-56D9-B2341233BA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0</xdr:colOff>
      <xdr:row>101</xdr:row>
      <xdr:rowOff>69850</xdr:rowOff>
    </xdr:from>
    <xdr:to>
      <xdr:col>19</xdr:col>
      <xdr:colOff>482600</xdr:colOff>
      <xdr:row>120</xdr:row>
      <xdr:rowOff>177800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3D39F3E2-13E7-715E-4450-8C4D29A6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20</xdr:col>
      <xdr:colOff>0</xdr:colOff>
      <xdr:row>101</xdr:row>
      <xdr:rowOff>69850</xdr:rowOff>
    </xdr:from>
    <xdr:to>
      <xdr:col>29</xdr:col>
      <xdr:colOff>482600</xdr:colOff>
      <xdr:row>120</xdr:row>
      <xdr:rowOff>177800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EEE2D71-89E5-8EB4-8C51-C82697CA9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30</xdr:col>
      <xdr:colOff>0</xdr:colOff>
      <xdr:row>101</xdr:row>
      <xdr:rowOff>69850</xdr:rowOff>
    </xdr:from>
    <xdr:to>
      <xdr:col>39</xdr:col>
      <xdr:colOff>482600</xdr:colOff>
      <xdr:row>120</xdr:row>
      <xdr:rowOff>177800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C9D9DD49-BC04-D50F-C8BF-5A24CB5713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40</xdr:col>
      <xdr:colOff>0</xdr:colOff>
      <xdr:row>101</xdr:row>
      <xdr:rowOff>69850</xdr:rowOff>
    </xdr:from>
    <xdr:to>
      <xdr:col>49</xdr:col>
      <xdr:colOff>482600</xdr:colOff>
      <xdr:row>120</xdr:row>
      <xdr:rowOff>177800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1CFABA34-D3D4-1DD0-EBEC-3228139FD5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121</xdr:row>
      <xdr:rowOff>120650</xdr:rowOff>
    </xdr:from>
    <xdr:to>
      <xdr:col>9</xdr:col>
      <xdr:colOff>482600</xdr:colOff>
      <xdr:row>141</xdr:row>
      <xdr:rowOff>44450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2FF0B278-559B-4831-7046-E190F57C75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0</xdr:colOff>
      <xdr:row>121</xdr:row>
      <xdr:rowOff>120650</xdr:rowOff>
    </xdr:from>
    <xdr:to>
      <xdr:col>19</xdr:col>
      <xdr:colOff>482600</xdr:colOff>
      <xdr:row>141</xdr:row>
      <xdr:rowOff>44450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6A610F1-00D2-5035-58C5-50D7E790A1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20</xdr:col>
      <xdr:colOff>0</xdr:colOff>
      <xdr:row>121</xdr:row>
      <xdr:rowOff>120650</xdr:rowOff>
    </xdr:from>
    <xdr:to>
      <xdr:col>29</xdr:col>
      <xdr:colOff>482600</xdr:colOff>
      <xdr:row>141</xdr:row>
      <xdr:rowOff>44450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81209D12-D336-B1F3-49F1-C9EF86F1E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7D747-4EFE-429B-A0D7-419E02E40AA2}" name="Table1" displayName="Table1" ref="A1:V1089" totalsRowShown="0">
  <autoFilter ref="A1:V1089" xr:uid="{5E97D747-4EFE-429B-A0D7-419E02E40AA2}"/>
  <tableColumns count="22">
    <tableColumn id="1" xr3:uid="{2513BE9D-84CE-491D-9700-1D3C7CF44BB2}" name="Offset"/>
    <tableColumn id="2" xr3:uid="{EC79AD33-D5DD-4F26-8309-4295E723B99B}" name="L=Lcav" dataDxfId="8"/>
    <tableColumn id="3" xr3:uid="{70889754-2CBD-45AB-A4FF-3DC3736E317E}" name="S11 Re"/>
    <tableColumn id="4" xr3:uid="{D19AC076-C630-4536-BC54-5D8BC2E026A5}" name="S11 Im"/>
    <tableColumn id="5" xr3:uid="{CBA55ED6-2C80-4532-AAE9-D40EA22E464E}" name="S21 Re"/>
    <tableColumn id="6" xr3:uid="{B3556530-43B7-4526-9EBD-1AEC51D1A915}" name="S21 Im"/>
    <tableColumn id="7" xr3:uid="{5A86BF7D-CCD8-46DD-8EC5-6F733D590E6D}" name="Z11 Re">
      <calculatedColumnFormula>IMREAL(IMDIV(IMSUM(IMPRODUCT(COMPLEX(1 + C2,D2),COMPLEX(1 - C2, - D2)),IMPRODUCT(COMPLEX(E2,F2),COMPLEX(E2,F2))),IMSUB(IMPRODUCT(COMPLEX(1 - C2, - D2),COMPLEX(1 - C2, - D2)),IMPRODUCT(COMPLEX(E2,F2),COMPLEX(E2,F2)))))</calculatedColumnFormula>
    </tableColumn>
    <tableColumn id="8" xr3:uid="{8B17F374-2141-46EF-A8DB-CDDC9202F717}" name="Z11 Im">
      <calculatedColumnFormula>IMAGINARY(IMDIV(IMSUM(IMPRODUCT(COMPLEX(1 + C2,D2),COMPLEX(1 - C2, - D2)),IMPRODUCT(COMPLEX(E2,F2),COMPLEX(E2,F2))),IMSUB(IMPRODUCT(COMPLEX(1 - C2, - D2),COMPLEX(1 - C2, - D2)),IMPRODUCT(COMPLEX(E2,F2),COMPLEX(E2,F2)))))</calculatedColumnFormula>
    </tableColumn>
    <tableColumn id="9" xr3:uid="{57EA0F02-E62E-4C16-B8CB-D7A47E7286F8}" name="Z12 Re">
      <calculatedColumnFormula>IMREAL(IMDIV(IMPRODUCT(COMPLEX(2,0),COMPLEX(E2,F2)),IMSUB(IMPRODUCT(COMPLEX(1 - C2, - D2),COMPLEX(1 - C2, - D2)),IMPRODUCT(COMPLEX(E2,F2),COMPLEX(E2,F2)))))</calculatedColumnFormula>
    </tableColumn>
    <tableColumn id="10" xr3:uid="{CB6902E8-4453-4E4E-B850-D7E90E4E8105}" name="Z12 Im">
      <calculatedColumnFormula>IMAGINARY(IMDIV(IMPRODUCT(COMPLEX(2,0),COMPLEX(E2,F2)),IMSUB(IMPRODUCT(COMPLEX(1 - C2, - D2),COMPLEX(1 - C2, - D2)),IMPRODUCT(COMPLEX(E2,F2),COMPLEX(E2,F2)))))</calculatedColumnFormula>
    </tableColumn>
    <tableColumn id="11" xr3:uid="{24C1BE14-2950-4619-B2EA-BB78C2CE76A7}" name="Rself" dataDxfId="7">
      <calculatedColumnFormula>IMREAL(IMSUB(COMPLEX(G2,H2),COMPLEX(I2,J2)))</calculatedColumnFormula>
    </tableColumn>
    <tableColumn id="12" xr3:uid="{686F1441-507A-49DD-AFE0-56BADB6F9068}" name="Xself" dataDxfId="6">
      <calculatedColumnFormula>IMAGINARY(IMSUB(COMPLEX(G2,H2),COMPLEX(I2,J2)))</calculatedColumnFormula>
    </tableColumn>
    <tableColumn id="13" xr3:uid="{77E17CA3-A747-4717-9C3A-D1A0CFB25085}" name="Gself" dataDxfId="5">
      <calculatedColumnFormula>IMREAL(IMDIV(IMSUB(IMPRODUCT(COMPLEX(1 - C2, - D2),COMPLEX(1 - C2, - D2)),IMPRODUCT(COMPLEX(E2,F2),COMPLEX(E2,F2))),IMPRODUCT(COMPLEX(2,0),COMPLEX(E2,F2))))</calculatedColumnFormula>
    </tableColumn>
    <tableColumn id="14" xr3:uid="{9374055B-1525-4D0A-9005-FE959CAFC7F4}" name="Bself" dataDxfId="4">
      <calculatedColumnFormula>IMAGINARY(IMDIV(IMSUB(IMPRODUCT(COMPLEX(1 - C2, - D2),COMPLEX(1 - C2, - D2)),IMPRODUCT(COMPLEX(E2,F2),COMPLEX(E2,F2))),IMPRODUCT(COMPLEX(2,0),COMPLEX(E2,F2))))</calculatedColumnFormula>
    </tableColumn>
    <tableColumn id="15" xr3:uid="{AAA615D7-8102-47CC-8330-7B7A5524380C}" name="Re[Vcav]"/>
    <tableColumn id="16" xr3:uid="{45531EEE-CB7B-4265-90DE-395C7FC277DF}" name="Im[Vcav]"/>
    <tableColumn id="17" xr3:uid="{7921AC3A-1DA2-42EF-A201-66E22041E5DB}" name="Re[Vrad]"/>
    <tableColumn id="18" xr3:uid="{ED01122A-BB3F-4B7C-B0B1-2591A1B2DADD}" name="Im[Vrad]"/>
    <tableColumn id="19" xr3:uid="{DEDA3FE3-CA31-44CA-B855-4F0E8FA609F4}" name="|rho|" dataDxfId="3">
      <calculatedColumnFormula>IMABS(COMPLEX(Q2,R2))/IMABS(COMPLEX(O2,P2))</calculatedColumnFormula>
    </tableColumn>
    <tableColumn id="20" xr3:uid="{8726D354-B8FF-4D2F-A2A9-D21714AE0420}" name="arg(rho)" dataDxfId="2">
      <calculatedColumnFormula>IMARGUMENT(IMDIV(COMPLEX(Q2,R2),COMPLEX(O2/B2,P2/B2)))/PI()*180</calculatedColumnFormula>
    </tableColumn>
    <tableColumn id="21" xr3:uid="{A6804CBD-F45A-4DD6-9569-7C118617F827}" name="Column1" dataDxfId="1"/>
    <tableColumn id="22" xr3:uid="{0F81E51C-E2FC-4AD5-9344-9497C0A26A05}" name="Column2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EAD3810-65A4-4376-8437-9266C366DC1E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2fed9994-243f-4d65-9f35-3287be66d1f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0A462-76AA-4B0D-9C47-01D39BDAF6CD}">
  <dimension ref="A1:V2288"/>
  <sheetViews>
    <sheetView tabSelected="1" zoomScale="63" zoomScaleNormal="90" workbookViewId="0">
      <selection activeCell="AI33" sqref="AI33"/>
    </sheetView>
  </sheetViews>
  <sheetFormatPr defaultRowHeight="14.5" x14ac:dyDescent="0.35"/>
  <cols>
    <col min="2" max="2" width="9.1796875" style="5"/>
    <col min="3" max="14" width="9.1796875" customWidth="1"/>
    <col min="15" max="16" width="10.81640625" customWidth="1"/>
    <col min="17" max="18" width="11.1796875" customWidth="1"/>
    <col min="20" max="20" width="10.453125" customWidth="1"/>
    <col min="21" max="22" width="9.81640625" hidden="1" customWidth="1"/>
    <col min="24" max="28" width="8.7265625" customWidth="1"/>
    <col min="39" max="39" width="9.90625" customWidth="1"/>
    <col min="40" max="40" width="10.90625" customWidth="1"/>
  </cols>
  <sheetData>
    <row r="1" spans="1:22" ht="28" customHeight="1" x14ac:dyDescent="0.35">
      <c r="A1" s="1" t="s">
        <v>0</v>
      </c>
      <c r="B1" s="1" t="s">
        <v>9</v>
      </c>
      <c r="C1" s="2" t="s">
        <v>1</v>
      </c>
      <c r="D1" s="2" t="s">
        <v>2</v>
      </c>
      <c r="E1" s="2" t="s">
        <v>3</v>
      </c>
      <c r="F1" s="2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6" t="s">
        <v>16</v>
      </c>
      <c r="L1" s="6" t="s">
        <v>17</v>
      </c>
      <c r="M1" s="6" t="s">
        <v>18</v>
      </c>
      <c r="N1" s="6" t="s">
        <v>19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s="8" t="s">
        <v>20</v>
      </c>
      <c r="V1" s="8" t="s">
        <v>21</v>
      </c>
    </row>
    <row r="2" spans="1:22" x14ac:dyDescent="0.35">
      <c r="A2">
        <v>1</v>
      </c>
      <c r="B2">
        <v>15</v>
      </c>
      <c r="C2">
        <v>-4.9210829999999997E-3</v>
      </c>
      <c r="D2">
        <v>-2.4580689000000002E-3</v>
      </c>
      <c r="E2">
        <v>0.99520169999999997</v>
      </c>
      <c r="F2">
        <v>-4.1119303999999999E-3</v>
      </c>
      <c r="G2">
        <f t="shared" ref="G2" si="0">IMREAL(IMDIV(IMSUM(IMPRODUCT(COMPLEX(1 + C2,D2),COMPLEX(1 - C2, - D2)),IMPRODUCT(COMPLEX(E2,F2),COMPLEX(E2,F2))),IMSUB(IMPRODUCT(COMPLEX(1 - C2, - D2),COMPLEX(1 - C2, - D2)),IMPRODUCT(COMPLEX(E2,F2),COMPLEX(E2,F2)))))</f>
        <v>70.118957761546696</v>
      </c>
      <c r="H2">
        <f t="shared" ref="H2" si="1">IMAGINARY(IMDIV(IMSUM(IMPRODUCT(COMPLEX(1 + C2,D2),COMPLEX(1 - C2, - D2)),IMPRODUCT(COMPLEX(E2,F2),COMPLEX(E2,F2))),IMSUB(IMPRODUCT(COMPLEX(1 - C2, - D2),COMPLEX(1 - C2, - D2)),IMPRODUCT(COMPLEX(E2,F2),COMPLEX(E2,F2)))))</f>
        <v>-47.735817060851403</v>
      </c>
      <c r="I2">
        <f t="shared" ref="I2" si="2">IMREAL(IMDIV(IMPRODUCT(COMPLEX(2,0),COMPLEX(E2,F2)),IMSUB(IMPRODUCT(COMPLEX(1 - C2, - D2),COMPLEX(1 - C2, - D2)),IMPRODUCT(COMPLEX(E2,F2),COMPLEX(E2,F2)))))</f>
        <v>70.119019832966003</v>
      </c>
      <c r="J2">
        <f t="shared" ref="J2" si="3">IMAGINARY(IMDIV(IMPRODUCT(COMPLEX(2,0),COMPLEX(E2,F2)),IMSUB(IMPRODUCT(COMPLEX(1 - C2, - D2),COMPLEX(1 - C2, - D2)),IMPRODUCT(COMPLEX(E2,F2),COMPLEX(E2,F2)))))</f>
        <v>-47.736643889512401</v>
      </c>
      <c r="K2" s="7">
        <f>IMREAL(IMSUB(COMPLEX(G2,H2),COMPLEX(I2,J2)))</f>
        <v>-6.2071419307585502E-5</v>
      </c>
      <c r="L2" s="7">
        <f>IMAGINARY(IMSUB(COMPLEX(G2,H2),COMPLEX(I2,J2)))</f>
        <v>8.2682866099759199E-4</v>
      </c>
      <c r="M2" s="7">
        <v>9.7448918846486394E-3</v>
      </c>
      <c r="N2" s="7">
        <v>6.6342689151591104E-3</v>
      </c>
      <c r="O2">
        <v>0.89158198</v>
      </c>
      <c r="P2">
        <v>-0.60867313999999995</v>
      </c>
      <c r="Q2">
        <v>1.4899408000000001</v>
      </c>
      <c r="R2">
        <v>-2.7713839</v>
      </c>
      <c r="S2">
        <f>IMABS(COMPLEX(Q2,R2))/IMABS(COMPLEX(O2,P2))</f>
        <v>2.9146782769835271</v>
      </c>
      <c r="T2">
        <f>IMARGUMENT(IMDIV(COMPLEX(Q2,R2),COMPLEX(O2/B2,P2/B2)))/PI()*180</f>
        <v>-27.415886043246992</v>
      </c>
      <c r="U2" s="8"/>
      <c r="V2" s="8"/>
    </row>
    <row r="3" spans="1:22" x14ac:dyDescent="0.35">
      <c r="A3">
        <v>1</v>
      </c>
      <c r="B3">
        <v>15.0625</v>
      </c>
      <c r="C3">
        <v>-5.3949430999999997E-3</v>
      </c>
      <c r="D3">
        <v>-2.6437493E-3</v>
      </c>
      <c r="E3">
        <v>0.99440636000000004</v>
      </c>
      <c r="F3">
        <v>-4.4197580999999998E-3</v>
      </c>
      <c r="G3">
        <f t="shared" ref="G3:G66" si="4">IMREAL(IMDIV(IMSUM(IMPRODUCT(COMPLEX(1 + C3,D3),COMPLEX(1 - C3, - D3)),IMPRODUCT(COMPLEX(E3,F3),COMPLEX(E3,F3))),IMSUB(IMPRODUCT(COMPLEX(1 - C3, - D3),COMPLEX(1 - C3, - D3)),IMPRODUCT(COMPLEX(E3,F3),COMPLEX(E3,F3)))))</f>
        <v>63.895549576756203</v>
      </c>
      <c r="H3">
        <f t="shared" ref="H3:H66" si="5">IMAGINARY(IMDIV(IMSUM(IMPRODUCT(COMPLEX(1 + C3,D3),COMPLEX(1 - C3, - D3)),IMPRODUCT(COMPLEX(E3,F3),COMPLEX(E3,F3))),IMSUB(IMPRODUCT(COMPLEX(1 - C3, - D3),COMPLEX(1 - C3, - D3)),IMPRODUCT(COMPLEX(E3,F3),COMPLEX(E3,F3)))))</f>
        <v>-41.393254141963602</v>
      </c>
      <c r="I3">
        <f t="shared" ref="I3:I66" si="6">IMREAL(IMDIV(IMPRODUCT(COMPLEX(2,0),COMPLEX(E3,F3)),IMSUB(IMPRODUCT(COMPLEX(1 - C3, - D3),COMPLEX(1 - C3, - D3)),IMPRODUCT(COMPLEX(E3,F3),COMPLEX(E3,F3)))))</f>
        <v>63.895451007221197</v>
      </c>
      <c r="J3">
        <f t="shared" ref="J3:J66" si="7">IMAGINARY(IMDIV(IMPRODUCT(COMPLEX(2,0),COMPLEX(E3,F3)),IMSUB(IMPRODUCT(COMPLEX(1 - C3, - D3),COMPLEX(1 - C3, - D3)),IMPRODUCT(COMPLEX(E3,F3),COMPLEX(E3,F3)))))</f>
        <v>-41.394142322133</v>
      </c>
      <c r="K3" s="7">
        <f t="shared" ref="K3:K66" si="8">IMREAL(IMSUB(COMPLEX(G3,H3),COMPLEX(I3,J3)))</f>
        <v>9.85695350053106E-5</v>
      </c>
      <c r="L3" s="7">
        <f t="shared" ref="L3:L66" si="9">IMAGINARY(IMSUB(COMPLEX(G3,H3),COMPLEX(I3,J3)))</f>
        <v>8.8818016939740097E-4</v>
      </c>
      <c r="M3" s="7">
        <v>1.1023862676876E-2</v>
      </c>
      <c r="N3" s="7">
        <v>7.1417187513815898E-3</v>
      </c>
      <c r="O3">
        <v>0.90915223000000001</v>
      </c>
      <c r="P3">
        <v>-0.66891738999999995</v>
      </c>
      <c r="Q3">
        <v>1.4501048999999999</v>
      </c>
      <c r="R3">
        <v>-2.9431148</v>
      </c>
      <c r="S3">
        <f t="shared" ref="S3:S66" si="10">IMABS(COMPLEX(Q3,R3))/IMABS(COMPLEX(O3,P3))</f>
        <v>2.9068018567841403</v>
      </c>
      <c r="T3">
        <f t="shared" ref="T3:T66" si="11">IMARGUMENT(IMDIV(COMPLEX(Q3,R3),COMPLEX(O3/B3,P3/B3)))/PI()*180</f>
        <v>-27.42589795847298</v>
      </c>
      <c r="U3" s="8"/>
      <c r="V3" s="8"/>
    </row>
    <row r="4" spans="1:22" ht="18" customHeight="1" x14ac:dyDescent="0.35">
      <c r="A4">
        <v>1</v>
      </c>
      <c r="B4">
        <v>15.125</v>
      </c>
      <c r="C4">
        <v>-5.9039317000000001E-3</v>
      </c>
      <c r="D4">
        <v>-2.799185E-3</v>
      </c>
      <c r="E4">
        <v>0.99414990999999997</v>
      </c>
      <c r="F4">
        <v>-4.3815356999999996E-3</v>
      </c>
      <c r="G4">
        <f t="shared" si="4"/>
        <v>61.454632992308198</v>
      </c>
      <c r="H4">
        <f t="shared" si="5"/>
        <v>-37.848693523866103</v>
      </c>
      <c r="I4">
        <f t="shared" si="6"/>
        <v>61.454660538341102</v>
      </c>
      <c r="J4">
        <f t="shared" si="7"/>
        <v>-37.849484656124503</v>
      </c>
      <c r="K4" s="7">
        <f t="shared" si="8"/>
        <v>-2.7546032903558201E-5</v>
      </c>
      <c r="L4" s="7">
        <f t="shared" si="9"/>
        <v>7.9113225839932998E-4</v>
      </c>
      <c r="M4" s="7">
        <v>1.17971986051134E-2</v>
      </c>
      <c r="N4" s="7">
        <v>7.26581000819157E-3</v>
      </c>
      <c r="O4">
        <v>0.92367615999999997</v>
      </c>
      <c r="P4">
        <v>-0.72858643999999995</v>
      </c>
      <c r="Q4">
        <v>1.4135333999999999</v>
      </c>
      <c r="R4">
        <v>-3.1265607000000002</v>
      </c>
      <c r="S4">
        <f t="shared" si="10"/>
        <v>2.9166310613830708</v>
      </c>
      <c r="T4">
        <f t="shared" si="11"/>
        <v>-27.406020801978407</v>
      </c>
      <c r="U4" s="8"/>
      <c r="V4" s="8"/>
    </row>
    <row r="5" spans="1:22" x14ac:dyDescent="0.35">
      <c r="A5">
        <v>1</v>
      </c>
      <c r="B5">
        <v>15.1875</v>
      </c>
      <c r="C5">
        <v>-6.4467539000000003E-3</v>
      </c>
      <c r="D5">
        <v>-2.9217363E-3</v>
      </c>
      <c r="E5">
        <v>0.99360771999999997</v>
      </c>
      <c r="F5">
        <v>-4.4817090000000004E-3</v>
      </c>
      <c r="G5">
        <f t="shared" si="4"/>
        <v>57.951745920662802</v>
      </c>
      <c r="H5">
        <f t="shared" si="5"/>
        <v>-33.704981480428202</v>
      </c>
      <c r="I5">
        <f t="shared" si="6"/>
        <v>57.951773765199498</v>
      </c>
      <c r="J5">
        <f t="shared" si="7"/>
        <v>-33.705761423816497</v>
      </c>
      <c r="K5" s="7">
        <f t="shared" si="8"/>
        <v>-2.7844536695909001E-5</v>
      </c>
      <c r="L5" s="7">
        <f t="shared" si="9"/>
        <v>7.7994338829512301E-4</v>
      </c>
      <c r="M5" s="7">
        <v>1.28939701107977E-2</v>
      </c>
      <c r="N5" s="7">
        <v>7.4993576921600297E-3</v>
      </c>
      <c r="O5">
        <v>0.93395883999999996</v>
      </c>
      <c r="P5">
        <v>-0.79342877000000001</v>
      </c>
      <c r="Q5">
        <v>1.3566689000000001</v>
      </c>
      <c r="R5">
        <v>-3.3173691000000001</v>
      </c>
      <c r="S5">
        <f t="shared" si="10"/>
        <v>2.9246106286066027</v>
      </c>
      <c r="T5">
        <f t="shared" si="11"/>
        <v>-27.40844083914736</v>
      </c>
      <c r="U5" s="8"/>
      <c r="V5" s="8"/>
    </row>
    <row r="6" spans="1:22" x14ac:dyDescent="0.35">
      <c r="A6">
        <v>1</v>
      </c>
      <c r="B6">
        <v>15.25</v>
      </c>
      <c r="C6">
        <v>-7.0337810000000002E-3</v>
      </c>
      <c r="D6">
        <v>-3.0066207E-3</v>
      </c>
      <c r="E6">
        <v>0.99302325999999996</v>
      </c>
      <c r="F6">
        <v>-4.5449766999999999E-3</v>
      </c>
      <c r="G6">
        <f t="shared" si="4"/>
        <v>54.807295900188798</v>
      </c>
      <c r="H6">
        <f t="shared" si="5"/>
        <v>-29.809965943271699</v>
      </c>
      <c r="I6">
        <f t="shared" si="6"/>
        <v>54.807325011459298</v>
      </c>
      <c r="J6">
        <f t="shared" si="7"/>
        <v>-29.810735076943899</v>
      </c>
      <c r="K6" s="7">
        <f t="shared" si="8"/>
        <v>-2.91112704999819E-5</v>
      </c>
      <c r="L6" s="7">
        <f t="shared" si="9"/>
        <v>7.6913367220043905E-4</v>
      </c>
      <c r="M6" s="7">
        <v>1.4080155163393599E-2</v>
      </c>
      <c r="N6" s="7">
        <v>7.6584612609798403E-3</v>
      </c>
      <c r="O6">
        <v>0.94000658000000004</v>
      </c>
      <c r="P6">
        <v>-0.86345225000000003</v>
      </c>
      <c r="Q6">
        <v>1.2808660000000001</v>
      </c>
      <c r="R6">
        <v>-3.5160224000000002</v>
      </c>
      <c r="S6">
        <f t="shared" si="10"/>
        <v>2.9317630818371203</v>
      </c>
      <c r="T6">
        <f t="shared" si="11"/>
        <v>-27.414286599988706</v>
      </c>
      <c r="U6" s="8"/>
      <c r="V6" s="8"/>
    </row>
    <row r="7" spans="1:22" x14ac:dyDescent="0.35">
      <c r="A7">
        <v>1</v>
      </c>
      <c r="B7">
        <v>15.3125</v>
      </c>
      <c r="C7">
        <v>-7.6663959000000002E-3</v>
      </c>
      <c r="D7">
        <v>-3.0458797999999999E-3</v>
      </c>
      <c r="E7">
        <v>0.99239389</v>
      </c>
      <c r="F7">
        <v>-4.5636082999999999E-3</v>
      </c>
      <c r="G7">
        <f t="shared" si="4"/>
        <v>51.955108884873901</v>
      </c>
      <c r="H7">
        <f t="shared" si="5"/>
        <v>-26.135255851533501</v>
      </c>
      <c r="I7">
        <f t="shared" si="6"/>
        <v>51.955139602737802</v>
      </c>
      <c r="J7">
        <f t="shared" si="7"/>
        <v>-26.136014669599799</v>
      </c>
      <c r="K7" s="7">
        <f t="shared" si="8"/>
        <v>-3.0717863900520101E-5</v>
      </c>
      <c r="L7" s="7">
        <f t="shared" si="9"/>
        <v>7.5881806629851699E-4</v>
      </c>
      <c r="M7" s="7">
        <v>1.53603100399291E-2</v>
      </c>
      <c r="N7" s="7">
        <v>7.7269985530369302E-3</v>
      </c>
      <c r="O7">
        <v>0.94048834000000003</v>
      </c>
      <c r="P7">
        <v>-0.93859358999999998</v>
      </c>
      <c r="Q7">
        <v>1.1829934</v>
      </c>
      <c r="R7">
        <v>-3.7214548999999999</v>
      </c>
      <c r="S7">
        <f t="shared" si="10"/>
        <v>2.938904476306424</v>
      </c>
      <c r="T7">
        <f t="shared" si="11"/>
        <v>-27.423111641857762</v>
      </c>
      <c r="U7" s="8"/>
      <c r="V7" s="8"/>
    </row>
    <row r="8" spans="1:22" x14ac:dyDescent="0.35">
      <c r="A8">
        <v>1</v>
      </c>
      <c r="B8">
        <v>15.375</v>
      </c>
      <c r="C8">
        <v>-8.3433907999999994E-3</v>
      </c>
      <c r="D8">
        <v>-3.0292648000000001E-3</v>
      </c>
      <c r="E8">
        <v>0.99172022999999998</v>
      </c>
      <c r="F8">
        <v>-4.5275934999999996E-3</v>
      </c>
      <c r="G8">
        <f t="shared" si="4"/>
        <v>49.354173589228303</v>
      </c>
      <c r="H8">
        <f t="shared" si="5"/>
        <v>-22.6632483424744</v>
      </c>
      <c r="I8">
        <f t="shared" si="6"/>
        <v>49.354205959809697</v>
      </c>
      <c r="J8">
        <f t="shared" si="7"/>
        <v>-22.6639974587438</v>
      </c>
      <c r="K8" s="7">
        <f t="shared" si="8"/>
        <v>-3.2370581394047797E-5</v>
      </c>
      <c r="L8" s="7">
        <f t="shared" si="9"/>
        <v>7.4911626940021804E-4</v>
      </c>
      <c r="M8" s="7">
        <v>1.6733107041152301E-2</v>
      </c>
      <c r="N8" s="7">
        <v>7.6840278975693803E-3</v>
      </c>
      <c r="O8">
        <v>0.93426262000000004</v>
      </c>
      <c r="P8">
        <v>-1.0188961000000001</v>
      </c>
      <c r="Q8">
        <v>1.0598869</v>
      </c>
      <c r="R8">
        <v>-3.9314167000000002</v>
      </c>
      <c r="S8">
        <f t="shared" si="10"/>
        <v>2.9454692549433683</v>
      </c>
      <c r="T8">
        <f t="shared" si="11"/>
        <v>-27.430935864454202</v>
      </c>
      <c r="U8" s="8"/>
      <c r="V8" s="8"/>
    </row>
    <row r="9" spans="1:22" x14ac:dyDescent="0.35">
      <c r="A9">
        <v>1</v>
      </c>
      <c r="B9">
        <v>15.4375</v>
      </c>
      <c r="C9">
        <v>-9.0576890000000007E-3</v>
      </c>
      <c r="D9">
        <v>-2.9463765999999999E-3</v>
      </c>
      <c r="E9">
        <v>0.99079594999999998</v>
      </c>
      <c r="F9">
        <v>-4.4801260999999997E-3</v>
      </c>
      <c r="G9">
        <f t="shared" si="4"/>
        <v>46.488376473206898</v>
      </c>
      <c r="H9">
        <f t="shared" si="5"/>
        <v>-19.1083681526462</v>
      </c>
      <c r="I9">
        <f t="shared" si="6"/>
        <v>46.488303875576797</v>
      </c>
      <c r="J9">
        <f t="shared" si="7"/>
        <v>-19.109135139197999</v>
      </c>
      <c r="K9" s="7">
        <f t="shared" si="8"/>
        <v>7.25976301012565E-5</v>
      </c>
      <c r="L9" s="7">
        <f t="shared" si="9"/>
        <v>7.6698655179896502E-4</v>
      </c>
      <c r="M9" s="7">
        <v>1.84015791040604E-2</v>
      </c>
      <c r="N9" s="7">
        <v>7.5640157321134197E-3</v>
      </c>
      <c r="O9">
        <v>0.91924148999999999</v>
      </c>
      <c r="P9">
        <v>-1.1035744000000001</v>
      </c>
      <c r="Q9">
        <v>0.90576265</v>
      </c>
      <c r="R9">
        <v>-4.1406027999999999</v>
      </c>
      <c r="S9">
        <f t="shared" si="10"/>
        <v>2.9510492238537092</v>
      </c>
      <c r="T9">
        <f t="shared" si="11"/>
        <v>-27.454031259288882</v>
      </c>
      <c r="U9" s="8"/>
      <c r="V9" s="8"/>
    </row>
    <row r="10" spans="1:22" x14ac:dyDescent="0.35">
      <c r="A10">
        <v>1</v>
      </c>
      <c r="B10">
        <v>15.5</v>
      </c>
      <c r="C10">
        <v>-9.8092474000000002E-3</v>
      </c>
      <c r="D10">
        <v>-2.7823650999999998E-3</v>
      </c>
      <c r="E10">
        <v>0.99004939999999997</v>
      </c>
      <c r="F10">
        <v>-4.3003742999999997E-3</v>
      </c>
      <c r="G10">
        <f t="shared" si="4"/>
        <v>44.345916767186097</v>
      </c>
      <c r="H10">
        <f t="shared" si="5"/>
        <v>-16.074222991457201</v>
      </c>
      <c r="I10">
        <f t="shared" si="6"/>
        <v>44.3458466621003</v>
      </c>
      <c r="J10">
        <f t="shared" si="7"/>
        <v>-16.074982102918401</v>
      </c>
      <c r="K10" s="7">
        <f t="shared" si="8"/>
        <v>7.0105085796967601E-5</v>
      </c>
      <c r="L10" s="7">
        <f t="shared" si="9"/>
        <v>7.5911146119978E-4</v>
      </c>
      <c r="M10" s="7">
        <v>1.9931083385254601E-2</v>
      </c>
      <c r="N10" s="7">
        <v>7.2248436511092801E-3</v>
      </c>
      <c r="O10">
        <v>0.89550646</v>
      </c>
      <c r="P10">
        <v>-1.1923925</v>
      </c>
      <c r="Q10">
        <v>0.72353688999999999</v>
      </c>
      <c r="R10">
        <v>-4.3487195999999999</v>
      </c>
      <c r="S10">
        <f t="shared" si="10"/>
        <v>2.9563074807253189</v>
      </c>
      <c r="T10">
        <f t="shared" si="11"/>
        <v>-27.460853219054389</v>
      </c>
      <c r="U10" s="8"/>
      <c r="V10" s="8"/>
    </row>
    <row r="11" spans="1:22" x14ac:dyDescent="0.35">
      <c r="A11">
        <v>1</v>
      </c>
      <c r="B11">
        <v>15.5625</v>
      </c>
      <c r="C11">
        <v>-1.0584072E-2</v>
      </c>
      <c r="D11">
        <v>-2.5261192999999999E-3</v>
      </c>
      <c r="E11">
        <v>0.98927827999999995</v>
      </c>
      <c r="F11">
        <v>-4.0334871000000001E-3</v>
      </c>
      <c r="G11">
        <f t="shared" si="4"/>
        <v>42.371832034289099</v>
      </c>
      <c r="H11">
        <f t="shared" si="5"/>
        <v>-13.198950308614499</v>
      </c>
      <c r="I11">
        <f t="shared" si="6"/>
        <v>42.371763773708402</v>
      </c>
      <c r="J11">
        <f t="shared" si="7"/>
        <v>-13.19970409584</v>
      </c>
      <c r="K11" s="7">
        <f t="shared" si="8"/>
        <v>6.8260580697199202E-5</v>
      </c>
      <c r="L11" s="7">
        <f t="shared" si="9"/>
        <v>7.5378722550034595E-4</v>
      </c>
      <c r="M11" s="7">
        <v>2.1512893425993E-2</v>
      </c>
      <c r="N11" s="7">
        <v>6.7017230858029296E-3</v>
      </c>
      <c r="O11">
        <v>0.86036478000000005</v>
      </c>
      <c r="P11">
        <v>-1.2831052000000001</v>
      </c>
      <c r="Q11">
        <v>0.50811048000000003</v>
      </c>
      <c r="R11">
        <v>-4.5485207000000001</v>
      </c>
      <c r="S11">
        <f t="shared" si="10"/>
        <v>2.9626106066329223</v>
      </c>
      <c r="T11">
        <f t="shared" si="11"/>
        <v>-27.469143954892971</v>
      </c>
      <c r="U11" s="8"/>
      <c r="V11" s="8"/>
    </row>
    <row r="12" spans="1:22" x14ac:dyDescent="0.35">
      <c r="A12">
        <v>1</v>
      </c>
      <c r="B12">
        <v>15.625</v>
      </c>
      <c r="C12">
        <v>-1.1367779999999999E-2</v>
      </c>
      <c r="D12">
        <v>-2.1664996999999999E-3</v>
      </c>
      <c r="E12">
        <v>0.98849635999999996</v>
      </c>
      <c r="F12">
        <v>-3.6675445999999998E-3</v>
      </c>
      <c r="G12">
        <f t="shared" si="4"/>
        <v>40.5516637120895</v>
      </c>
      <c r="H12">
        <f t="shared" si="5"/>
        <v>-10.471078937961501</v>
      </c>
      <c r="I12">
        <f t="shared" si="6"/>
        <v>40.551596340873097</v>
      </c>
      <c r="J12">
        <f t="shared" si="7"/>
        <v>-10.471829561965</v>
      </c>
      <c r="K12" s="7">
        <f t="shared" si="8"/>
        <v>6.7371216402989403E-5</v>
      </c>
      <c r="L12" s="7">
        <f t="shared" si="9"/>
        <v>7.5062400349956704E-4</v>
      </c>
      <c r="M12" s="7">
        <v>2.3118294418988099E-2</v>
      </c>
      <c r="N12" s="7">
        <v>5.9699459642470198E-3</v>
      </c>
      <c r="O12">
        <v>0.81287381000000003</v>
      </c>
      <c r="P12">
        <v>-1.3744042000000001</v>
      </c>
      <c r="Q12">
        <v>0.25840153999999999</v>
      </c>
      <c r="R12">
        <v>-4.7335852000000003</v>
      </c>
      <c r="S12">
        <f t="shared" si="10"/>
        <v>2.9688445778055628</v>
      </c>
      <c r="T12">
        <f t="shared" si="11"/>
        <v>-27.477033936597877</v>
      </c>
      <c r="U12" s="8"/>
      <c r="V12" s="8"/>
    </row>
    <row r="13" spans="1:22" x14ac:dyDescent="0.35">
      <c r="A13">
        <v>1</v>
      </c>
      <c r="B13">
        <v>15.6875</v>
      </c>
      <c r="C13">
        <v>-1.2141963E-2</v>
      </c>
      <c r="D13">
        <v>-1.6948731E-3</v>
      </c>
      <c r="E13">
        <v>0.98772141999999996</v>
      </c>
      <c r="F13">
        <v>-3.1925743999999998E-3</v>
      </c>
      <c r="G13">
        <f t="shared" si="4"/>
        <v>38.872126581747402</v>
      </c>
      <c r="H13">
        <f t="shared" si="5"/>
        <v>-7.8794272162526102</v>
      </c>
      <c r="I13">
        <f t="shared" si="6"/>
        <v>38.872058829472898</v>
      </c>
      <c r="J13">
        <f t="shared" si="7"/>
        <v>-7.8801761687987604</v>
      </c>
      <c r="K13" s="7">
        <f t="shared" si="8"/>
        <v>6.7752274503618496E-5</v>
      </c>
      <c r="L13" s="7">
        <f t="shared" si="9"/>
        <v>7.4895254615014995E-4</v>
      </c>
      <c r="M13" s="7">
        <v>2.4709945571092198E-2</v>
      </c>
      <c r="N13" s="7">
        <v>5.0092207638356197E-3</v>
      </c>
      <c r="O13">
        <v>0.75188964000000003</v>
      </c>
      <c r="P13">
        <v>-1.4635901</v>
      </c>
      <c r="Q13">
        <v>-2.5220703000000001E-2</v>
      </c>
      <c r="R13">
        <v>-4.8967027999999999</v>
      </c>
      <c r="S13">
        <f t="shared" si="10"/>
        <v>2.9759838225646806</v>
      </c>
      <c r="T13">
        <f t="shared" si="11"/>
        <v>-27.48601218905122</v>
      </c>
      <c r="U13" s="8"/>
      <c r="V13" s="8"/>
    </row>
    <row r="14" spans="1:22" x14ac:dyDescent="0.35">
      <c r="A14">
        <v>1</v>
      </c>
      <c r="B14">
        <v>15.75</v>
      </c>
      <c r="C14">
        <v>-1.2884601000000001E-2</v>
      </c>
      <c r="D14">
        <v>-1.1066434E-3</v>
      </c>
      <c r="E14">
        <v>0.98697489999999999</v>
      </c>
      <c r="F14">
        <v>-2.6020572000000001E-3</v>
      </c>
      <c r="G14">
        <f t="shared" si="4"/>
        <v>37.320712973929503</v>
      </c>
      <c r="H14">
        <f t="shared" si="5"/>
        <v>-5.4132575236075802</v>
      </c>
      <c r="I14">
        <f t="shared" si="6"/>
        <v>37.320643278677402</v>
      </c>
      <c r="J14">
        <f t="shared" si="7"/>
        <v>-5.4140053351526003</v>
      </c>
      <c r="K14" s="7">
        <f t="shared" si="8"/>
        <v>6.9695252101098504E-5</v>
      </c>
      <c r="L14" s="7">
        <f t="shared" si="9"/>
        <v>7.4781154502012704E-4</v>
      </c>
      <c r="M14" s="7">
        <v>2.62425599760686E-2</v>
      </c>
      <c r="N14" s="7">
        <v>3.8069375883365698E-3</v>
      </c>
      <c r="O14">
        <v>0.67739939000000005</v>
      </c>
      <c r="P14">
        <v>-1.5489459999999999</v>
      </c>
      <c r="Q14">
        <v>-0.34046609999999999</v>
      </c>
      <c r="R14">
        <v>-5.0300235000000004</v>
      </c>
      <c r="S14">
        <f t="shared" si="10"/>
        <v>2.9821096995564735</v>
      </c>
      <c r="T14">
        <f t="shared" si="11"/>
        <v>-27.493426131328931</v>
      </c>
      <c r="U14" s="8"/>
      <c r="V14" s="8"/>
    </row>
    <row r="15" spans="1:22" x14ac:dyDescent="0.35">
      <c r="A15">
        <v>1</v>
      </c>
      <c r="B15">
        <v>15.8125</v>
      </c>
      <c r="C15">
        <v>-1.3571127000000001E-2</v>
      </c>
      <c r="D15">
        <v>-4.0275062999999998E-4</v>
      </c>
      <c r="E15">
        <v>0.98628088999999997</v>
      </c>
      <c r="F15">
        <v>-1.8944908E-3</v>
      </c>
      <c r="G15">
        <f t="shared" si="4"/>
        <v>35.885352759768097</v>
      </c>
      <c r="H15">
        <f t="shared" si="5"/>
        <v>-3.0624752897271201</v>
      </c>
      <c r="I15">
        <f t="shared" si="6"/>
        <v>35.8852793192383</v>
      </c>
      <c r="J15">
        <f t="shared" si="7"/>
        <v>-3.0632212697854002</v>
      </c>
      <c r="K15" s="7">
        <f t="shared" si="8"/>
        <v>7.3440529796187106E-5</v>
      </c>
      <c r="L15" s="7">
        <f t="shared" si="9"/>
        <v>7.4598005828008197E-4</v>
      </c>
      <c r="M15" s="7">
        <v>2.7664996438874399E-2</v>
      </c>
      <c r="N15" s="7">
        <v>2.36152559288191E-3</v>
      </c>
      <c r="O15">
        <v>0.58949138999999995</v>
      </c>
      <c r="P15">
        <v>-1.6273901</v>
      </c>
      <c r="Q15">
        <v>-0.68284769000000001</v>
      </c>
      <c r="R15">
        <v>-5.1259794000000003</v>
      </c>
      <c r="S15">
        <f t="shared" si="10"/>
        <v>2.9876721879011252</v>
      </c>
      <c r="T15">
        <f t="shared" si="11"/>
        <v>-27.499840323946273</v>
      </c>
      <c r="U15" s="8"/>
      <c r="V15" s="8"/>
    </row>
    <row r="16" spans="1:22" x14ac:dyDescent="0.35">
      <c r="A16">
        <v>1</v>
      </c>
      <c r="B16">
        <v>15.875</v>
      </c>
      <c r="C16">
        <v>-1.4176167999999999E-2</v>
      </c>
      <c r="D16">
        <v>4.0916238999999998E-4</v>
      </c>
      <c r="E16">
        <v>0.98566454000000003</v>
      </c>
      <c r="F16">
        <v>-1.0747347E-3</v>
      </c>
      <c r="G16">
        <f t="shared" si="4"/>
        <v>34.554346502077401</v>
      </c>
      <c r="H16">
        <f t="shared" si="5"/>
        <v>-0.81793285508964797</v>
      </c>
      <c r="I16">
        <f t="shared" si="6"/>
        <v>34.554267400352401</v>
      </c>
      <c r="J16">
        <f t="shared" si="7"/>
        <v>-0.81867492142667497</v>
      </c>
      <c r="K16" s="7">
        <f t="shared" si="8"/>
        <v>7.9101724999475196E-5</v>
      </c>
      <c r="L16" s="7">
        <f t="shared" si="9"/>
        <v>7.4206633702700298E-4</v>
      </c>
      <c r="M16" s="7">
        <v>2.8923749752934599E-2</v>
      </c>
      <c r="N16" s="7">
        <v>6.8527421756616597E-4</v>
      </c>
      <c r="O16">
        <v>0.48902052000000001</v>
      </c>
      <c r="P16">
        <v>-1.6954126</v>
      </c>
      <c r="Q16">
        <v>-1.0456411000000001</v>
      </c>
      <c r="R16">
        <v>-5.1778750000000002</v>
      </c>
      <c r="S16">
        <f t="shared" si="10"/>
        <v>2.9936592010401597</v>
      </c>
      <c r="T16">
        <f t="shared" si="11"/>
        <v>-27.506537889840796</v>
      </c>
      <c r="U16" s="8"/>
      <c r="V16" s="8"/>
    </row>
    <row r="17" spans="1:22" x14ac:dyDescent="0.35">
      <c r="A17">
        <v>1</v>
      </c>
      <c r="B17">
        <v>15.9375</v>
      </c>
      <c r="C17">
        <v>-1.4675834E-2</v>
      </c>
      <c r="D17">
        <v>1.3142649E-3</v>
      </c>
      <c r="E17">
        <v>0.98514995999999999</v>
      </c>
      <c r="F17">
        <v>-1.5483318000000001E-4</v>
      </c>
      <c r="G17">
        <f t="shared" si="4"/>
        <v>33.316497710586198</v>
      </c>
      <c r="H17">
        <f t="shared" si="5"/>
        <v>1.3282829799770599</v>
      </c>
      <c r="I17">
        <f t="shared" si="6"/>
        <v>33.3164111397016</v>
      </c>
      <c r="J17">
        <f t="shared" si="7"/>
        <v>1.3275483033539599</v>
      </c>
      <c r="K17" s="7">
        <f t="shared" si="8"/>
        <v>8.6570884597847493E-5</v>
      </c>
      <c r="L17" s="7">
        <f t="shared" si="9"/>
        <v>7.3467662310000602E-4</v>
      </c>
      <c r="M17" s="7">
        <v>2.9967656331660798E-2</v>
      </c>
      <c r="N17" s="7">
        <v>-1.19411154916331E-3</v>
      </c>
      <c r="O17">
        <v>0.37796281999999998</v>
      </c>
      <c r="P17">
        <v>-1.7505103</v>
      </c>
      <c r="Q17">
        <v>-1.4200953999999999</v>
      </c>
      <c r="R17">
        <v>-5.1806957000000002</v>
      </c>
      <c r="S17">
        <f t="shared" si="10"/>
        <v>2.999584182932173</v>
      </c>
      <c r="T17">
        <f t="shared" si="11"/>
        <v>-27.513009240803854</v>
      </c>
      <c r="U17" s="8"/>
      <c r="V17" s="8"/>
    </row>
    <row r="18" spans="1:22" x14ac:dyDescent="0.35">
      <c r="A18">
        <v>1</v>
      </c>
      <c r="B18">
        <v>16</v>
      </c>
      <c r="C18">
        <v>-1.5050226999999999E-2</v>
      </c>
      <c r="D18">
        <v>2.2909877000000002E-3</v>
      </c>
      <c r="E18">
        <v>0.98475798000000003</v>
      </c>
      <c r="F18">
        <v>8.4587270000000003E-4</v>
      </c>
      <c r="G18">
        <f t="shared" si="4"/>
        <v>32.161556578734398</v>
      </c>
      <c r="H18">
        <f t="shared" si="5"/>
        <v>3.3825664986352799</v>
      </c>
      <c r="I18">
        <f t="shared" si="6"/>
        <v>32.161461195276701</v>
      </c>
      <c r="J18">
        <f t="shared" si="7"/>
        <v>3.3818438029112499</v>
      </c>
      <c r="K18" s="7">
        <f t="shared" si="8"/>
        <v>9.5383457697550993E-5</v>
      </c>
      <c r="L18" s="7">
        <f t="shared" si="9"/>
        <v>7.2269572403005399E-4</v>
      </c>
      <c r="M18" s="7">
        <v>3.0753079225690601E-2</v>
      </c>
      <c r="N18" s="7">
        <v>-3.2337495416755102E-3</v>
      </c>
      <c r="O18">
        <v>0.25898128999999998</v>
      </c>
      <c r="P18">
        <v>-1.7903715</v>
      </c>
      <c r="Q18">
        <v>-1.7960223</v>
      </c>
      <c r="R18">
        <v>-5.1318282000000002</v>
      </c>
      <c r="S18">
        <f t="shared" si="10"/>
        <v>3.0055382533799921</v>
      </c>
      <c r="T18">
        <f t="shared" si="11"/>
        <v>-27.519749522646162</v>
      </c>
      <c r="U18" s="8"/>
      <c r="V18" s="8"/>
    </row>
    <row r="19" spans="1:22" x14ac:dyDescent="0.35">
      <c r="A19">
        <v>1</v>
      </c>
      <c r="B19">
        <v>16.0625</v>
      </c>
      <c r="C19">
        <v>-1.5285712E-2</v>
      </c>
      <c r="D19">
        <v>3.3125237000000002E-3</v>
      </c>
      <c r="E19">
        <v>0.98450422999999998</v>
      </c>
      <c r="F19">
        <v>1.9013541000000001E-3</v>
      </c>
      <c r="G19">
        <f t="shared" si="4"/>
        <v>31.081033469789201</v>
      </c>
      <c r="H19">
        <f t="shared" si="5"/>
        <v>5.3496527075436697</v>
      </c>
      <c r="I19">
        <f t="shared" si="6"/>
        <v>31.080928927763601</v>
      </c>
      <c r="J19">
        <f t="shared" si="7"/>
        <v>5.3489469748580198</v>
      </c>
      <c r="K19" s="7">
        <f t="shared" si="8"/>
        <v>1.04542025599841E-4</v>
      </c>
      <c r="L19" s="7">
        <f t="shared" si="9"/>
        <v>7.05732685649885E-4</v>
      </c>
      <c r="M19" s="7">
        <v>3.12485657098205E-2</v>
      </c>
      <c r="N19" s="7">
        <v>-5.3777968287456604E-3</v>
      </c>
      <c r="O19">
        <v>0.13531377999999999</v>
      </c>
      <c r="P19">
        <v>-1.8136268</v>
      </c>
      <c r="Q19">
        <v>-2.1626612000000001</v>
      </c>
      <c r="R19">
        <v>-5.031536</v>
      </c>
      <c r="S19">
        <f t="shared" si="10"/>
        <v>3.0113409494174954</v>
      </c>
      <c r="T19">
        <f t="shared" si="11"/>
        <v>-27.525965386648618</v>
      </c>
      <c r="U19" s="8"/>
      <c r="V19" s="8"/>
    </row>
    <row r="20" spans="1:22" x14ac:dyDescent="0.35">
      <c r="A20">
        <v>1</v>
      </c>
      <c r="B20">
        <v>16.125</v>
      </c>
      <c r="C20">
        <v>-1.5376456E-2</v>
      </c>
      <c r="D20">
        <v>4.3491635000000002E-3</v>
      </c>
      <c r="E20">
        <v>0.98439759999999998</v>
      </c>
      <c r="F20">
        <v>2.9802357000000002E-3</v>
      </c>
      <c r="G20">
        <f t="shared" si="4"/>
        <v>30.068994663901702</v>
      </c>
      <c r="H20">
        <f t="shared" si="5"/>
        <v>7.2327576280358903</v>
      </c>
      <c r="I20">
        <f t="shared" si="6"/>
        <v>30.0688821477871</v>
      </c>
      <c r="J20">
        <f t="shared" si="7"/>
        <v>7.2320730097799899</v>
      </c>
      <c r="K20" s="7">
        <f t="shared" si="8"/>
        <v>1.12516114601391E-4</v>
      </c>
      <c r="L20" s="7">
        <f t="shared" si="9"/>
        <v>6.8461825590038195E-4</v>
      </c>
      <c r="M20" s="7">
        <v>3.1438317868756199E-2</v>
      </c>
      <c r="N20" s="7">
        <v>-7.5614453844353802E-3</v>
      </c>
      <c r="O20">
        <v>1.0485606999999999E-2</v>
      </c>
      <c r="P20">
        <v>-1.8196508</v>
      </c>
      <c r="Q20">
        <v>-2.5097510000000001</v>
      </c>
      <c r="R20">
        <v>-4.8829966000000002</v>
      </c>
      <c r="S20">
        <f t="shared" si="10"/>
        <v>3.017132715510134</v>
      </c>
      <c r="T20">
        <f t="shared" si="11"/>
        <v>-27.532309058737784</v>
      </c>
      <c r="U20" s="8"/>
      <c r="V20" s="8"/>
    </row>
    <row r="21" spans="1:22" x14ac:dyDescent="0.35">
      <c r="A21">
        <v>1</v>
      </c>
      <c r="B21">
        <v>16.1875</v>
      </c>
      <c r="C21">
        <v>-1.5324901E-2</v>
      </c>
      <c r="D21">
        <v>5.3711083E-3</v>
      </c>
      <c r="E21">
        <v>0.98443904999999998</v>
      </c>
      <c r="F21">
        <v>4.0483658000000002E-3</v>
      </c>
      <c r="G21">
        <f t="shared" si="4"/>
        <v>29.122163162150699</v>
      </c>
      <c r="H21">
        <f t="shared" si="5"/>
        <v>9.0343912083396596</v>
      </c>
      <c r="I21">
        <f t="shared" si="6"/>
        <v>29.122045561286001</v>
      </c>
      <c r="J21">
        <f t="shared" si="7"/>
        <v>9.03372968123543</v>
      </c>
      <c r="K21" s="7">
        <f t="shared" si="8"/>
        <v>1.1760086469792E-4</v>
      </c>
      <c r="L21" s="7">
        <f t="shared" si="9"/>
        <v>6.6152710422962002E-4</v>
      </c>
      <c r="M21" s="7">
        <v>3.1324071072812099E-2</v>
      </c>
      <c r="N21" s="7">
        <v>-9.7168033746835199E-3</v>
      </c>
      <c r="O21">
        <v>-0.11202614</v>
      </c>
      <c r="P21">
        <v>-1.8089082999999999</v>
      </c>
      <c r="Q21">
        <v>-2.8284012000000001</v>
      </c>
      <c r="R21">
        <v>-4.6919314999999999</v>
      </c>
      <c r="S21">
        <f t="shared" si="10"/>
        <v>3.022836677741902</v>
      </c>
      <c r="T21">
        <f t="shared" si="11"/>
        <v>-27.538696350925427</v>
      </c>
      <c r="U21" s="8"/>
      <c r="V21" s="8"/>
    </row>
    <row r="22" spans="1:22" x14ac:dyDescent="0.35">
      <c r="A22">
        <v>1</v>
      </c>
      <c r="B22">
        <v>16.25</v>
      </c>
      <c r="C22">
        <v>-1.5141096999999999E-2</v>
      </c>
      <c r="D22">
        <v>6.3511916999999998E-3</v>
      </c>
      <c r="E22">
        <v>0.98462048000000002</v>
      </c>
      <c r="F22">
        <v>5.0733126999999998E-3</v>
      </c>
      <c r="G22">
        <f t="shared" si="4"/>
        <v>28.238129695479699</v>
      </c>
      <c r="H22">
        <f t="shared" si="5"/>
        <v>10.757579480595499</v>
      </c>
      <c r="I22">
        <f t="shared" si="6"/>
        <v>28.2380108781561</v>
      </c>
      <c r="J22">
        <f t="shared" si="7"/>
        <v>10.756940388991399</v>
      </c>
      <c r="K22" s="7">
        <f t="shared" si="8"/>
        <v>1.1881732359952901E-4</v>
      </c>
      <c r="L22" s="7">
        <f t="shared" si="9"/>
        <v>6.3909160409991695E-4</v>
      </c>
      <c r="M22" s="7">
        <v>3.0925531579346899E-2</v>
      </c>
      <c r="N22" s="7">
        <v>-1.178072000653E-2</v>
      </c>
      <c r="O22">
        <v>-0.22915247999999999</v>
      </c>
      <c r="P22">
        <v>-1.7829138</v>
      </c>
      <c r="Q22">
        <v>-3.111818</v>
      </c>
      <c r="R22">
        <v>-4.4659411999999996</v>
      </c>
      <c r="S22">
        <f t="shared" si="10"/>
        <v>3.0280520878985224</v>
      </c>
      <c r="T22">
        <f t="shared" si="11"/>
        <v>-27.544453567460195</v>
      </c>
      <c r="U22" s="8"/>
      <c r="V22" s="8"/>
    </row>
    <row r="23" spans="1:22" x14ac:dyDescent="0.35">
      <c r="A23">
        <v>1</v>
      </c>
      <c r="B23">
        <v>16.3125</v>
      </c>
      <c r="C23">
        <v>-1.4841085E-2</v>
      </c>
      <c r="D23">
        <v>7.2670288000000003E-3</v>
      </c>
      <c r="E23">
        <v>0.98492519999999995</v>
      </c>
      <c r="F23">
        <v>6.0295428E-3</v>
      </c>
      <c r="G23">
        <f t="shared" si="4"/>
        <v>27.412942794769201</v>
      </c>
      <c r="H23">
        <f t="shared" si="5"/>
        <v>12.406616928522499</v>
      </c>
      <c r="I23">
        <f t="shared" si="6"/>
        <v>27.412826306588901</v>
      </c>
      <c r="J23">
        <f t="shared" si="7"/>
        <v>12.405998041124599</v>
      </c>
      <c r="K23" s="7">
        <f t="shared" si="8"/>
        <v>1.16488180299967E-4</v>
      </c>
      <c r="L23" s="7">
        <f t="shared" si="9"/>
        <v>6.1888739790028101E-4</v>
      </c>
      <c r="M23" s="7">
        <v>3.0277975624959302E-2</v>
      </c>
      <c r="N23" s="7">
        <v>-1.37026551764995E-2</v>
      </c>
      <c r="O23">
        <v>-0.33821179000000001</v>
      </c>
      <c r="P23">
        <v>-1.7431118999999999</v>
      </c>
      <c r="Q23">
        <v>-3.3555896000000001</v>
      </c>
      <c r="R23">
        <v>-4.2137330999999998</v>
      </c>
      <c r="S23">
        <f t="shared" si="10"/>
        <v>3.033648209850806</v>
      </c>
      <c r="T23">
        <f t="shared" si="11"/>
        <v>-27.551398736301415</v>
      </c>
      <c r="U23" s="8"/>
      <c r="V23" s="8"/>
    </row>
    <row r="24" spans="1:22" x14ac:dyDescent="0.35">
      <c r="A24">
        <v>1</v>
      </c>
      <c r="B24">
        <v>16.375</v>
      </c>
      <c r="C24">
        <v>-1.4444754000000001E-2</v>
      </c>
      <c r="D24">
        <v>8.1022620000000007E-3</v>
      </c>
      <c r="E24">
        <v>0.98533095000000004</v>
      </c>
      <c r="F24">
        <v>6.9008239999999998E-3</v>
      </c>
      <c r="G24">
        <f t="shared" si="4"/>
        <v>26.640576515991899</v>
      </c>
      <c r="H24">
        <f t="shared" si="5"/>
        <v>13.986503153478001</v>
      </c>
      <c r="I24">
        <f t="shared" si="6"/>
        <v>26.640464716397901</v>
      </c>
      <c r="J24">
        <f t="shared" si="7"/>
        <v>13.9859022999334</v>
      </c>
      <c r="K24" s="7">
        <f t="shared" si="8"/>
        <v>1.1179959399854101E-4</v>
      </c>
      <c r="L24" s="7">
        <f t="shared" si="9"/>
        <v>6.0085354460070995E-4</v>
      </c>
      <c r="M24" s="7">
        <v>2.9426578349856399E-2</v>
      </c>
      <c r="N24" s="7">
        <v>-1.5448576224314199E-2</v>
      </c>
      <c r="O24">
        <v>-0.43726669000000001</v>
      </c>
      <c r="P24">
        <v>-1.6919534000000001</v>
      </c>
      <c r="Q24">
        <v>-3.5577098999999999</v>
      </c>
      <c r="R24">
        <v>-3.9443410999999999</v>
      </c>
      <c r="S24">
        <f t="shared" si="10"/>
        <v>3.0395759003203238</v>
      </c>
      <c r="T24">
        <f t="shared" si="11"/>
        <v>-27.559365654461914</v>
      </c>
      <c r="U24" s="8"/>
      <c r="V24" s="8"/>
    </row>
    <row r="25" spans="1:22" x14ac:dyDescent="0.35">
      <c r="A25">
        <v>1</v>
      </c>
      <c r="B25">
        <v>16.4375</v>
      </c>
      <c r="C25">
        <v>-1.3973614000000001E-2</v>
      </c>
      <c r="D25" s="4">
        <v>8.8468325000000004E-3</v>
      </c>
      <c r="E25">
        <v>0.98581392999999995</v>
      </c>
      <c r="F25">
        <v>7.6788927999999999E-3</v>
      </c>
      <c r="G25">
        <f t="shared" si="4"/>
        <v>25.914596728103799</v>
      </c>
      <c r="H25">
        <f t="shared" si="5"/>
        <v>15.5018684998218</v>
      </c>
      <c r="I25">
        <f t="shared" si="6"/>
        <v>25.914490829947599</v>
      </c>
      <c r="J25">
        <f t="shared" si="7"/>
        <v>15.5012844060834</v>
      </c>
      <c r="K25" s="7">
        <f t="shared" si="8"/>
        <v>1.05898156199657E-4</v>
      </c>
      <c r="L25" s="7">
        <f t="shared" si="9"/>
        <v>5.8409373840007095E-4</v>
      </c>
      <c r="M25" s="7">
        <v>2.84196658066918E-2</v>
      </c>
      <c r="N25" s="7">
        <v>-1.6999806219857101E-2</v>
      </c>
      <c r="O25">
        <v>-0.52543508999999999</v>
      </c>
      <c r="P25">
        <v>-1.6327560999999999</v>
      </c>
      <c r="Q25">
        <v>-3.7184598000000002</v>
      </c>
      <c r="R25">
        <v>-3.6663367999999998</v>
      </c>
      <c r="S25">
        <f t="shared" si="10"/>
        <v>3.0444924711903023</v>
      </c>
      <c r="T25">
        <f t="shared" si="11"/>
        <v>-27.565769365025382</v>
      </c>
      <c r="U25" s="8"/>
      <c r="V25" s="8"/>
    </row>
    <row r="26" spans="1:22" x14ac:dyDescent="0.35">
      <c r="A26">
        <v>1</v>
      </c>
      <c r="B26">
        <v>16.5</v>
      </c>
      <c r="C26">
        <v>-1.3448869E-2</v>
      </c>
      <c r="D26" s="4">
        <v>9.4964903999999999E-3</v>
      </c>
      <c r="E26">
        <v>0.98635149</v>
      </c>
      <c r="F26">
        <v>8.3610539000000001E-3</v>
      </c>
      <c r="G26">
        <f t="shared" si="4"/>
        <v>25.2296475278293</v>
      </c>
      <c r="H26">
        <f t="shared" si="5"/>
        <v>16.956441633651099</v>
      </c>
      <c r="I26">
        <f t="shared" si="6"/>
        <v>25.2295480197646</v>
      </c>
      <c r="J26">
        <f t="shared" si="7"/>
        <v>16.955873802227298</v>
      </c>
      <c r="K26" s="7">
        <f t="shared" si="8"/>
        <v>9.9508064700159994E-5</v>
      </c>
      <c r="L26" s="7">
        <f t="shared" si="9"/>
        <v>5.6783142380112395E-4</v>
      </c>
      <c r="M26" s="7">
        <v>2.7303767460953799E-2</v>
      </c>
      <c r="N26" s="7">
        <v>-1.8349882250392E-2</v>
      </c>
      <c r="O26">
        <v>-0.60197887000000005</v>
      </c>
      <c r="P26">
        <v>-1.5672758</v>
      </c>
      <c r="Q26">
        <v>-3.8400070999999998</v>
      </c>
      <c r="R26">
        <v>-3.3872654</v>
      </c>
      <c r="S26">
        <f t="shared" si="10"/>
        <v>3.0498817636014799</v>
      </c>
      <c r="T26">
        <f t="shared" si="11"/>
        <v>-27.573116935994598</v>
      </c>
      <c r="U26" s="8"/>
      <c r="V26" s="8"/>
    </row>
    <row r="27" spans="1:22" x14ac:dyDescent="0.35">
      <c r="A27">
        <v>1</v>
      </c>
      <c r="B27">
        <v>16.5625</v>
      </c>
      <c r="C27">
        <v>-1.2889984E-2</v>
      </c>
      <c r="D27" s="4">
        <v>1.0051823E-2</v>
      </c>
      <c r="E27">
        <v>0.98692351</v>
      </c>
      <c r="F27">
        <v>8.9485755E-3</v>
      </c>
      <c r="G27">
        <f t="shared" si="4"/>
        <v>24.581813440757902</v>
      </c>
      <c r="H27">
        <f t="shared" si="5"/>
        <v>18.3533093695955</v>
      </c>
      <c r="I27">
        <f t="shared" si="6"/>
        <v>24.5817204834348</v>
      </c>
      <c r="J27">
        <f t="shared" si="7"/>
        <v>18.352757643117901</v>
      </c>
      <c r="K27" s="7">
        <f t="shared" si="8"/>
        <v>9.2957323101217098E-5</v>
      </c>
      <c r="L27" s="7">
        <f t="shared" si="9"/>
        <v>5.5172647759960103E-4</v>
      </c>
      <c r="M27" s="7">
        <v>2.6120625075705398E-2</v>
      </c>
      <c r="N27" s="7">
        <v>-1.9501706637019899E-2</v>
      </c>
      <c r="O27">
        <v>-0.66703948000000002</v>
      </c>
      <c r="P27">
        <v>-1.4979442000000001</v>
      </c>
      <c r="Q27">
        <v>-3.9257738</v>
      </c>
      <c r="R27">
        <v>-3.1132648000000001</v>
      </c>
      <c r="S27">
        <f t="shared" si="10"/>
        <v>3.0555892103248921</v>
      </c>
      <c r="T27">
        <f t="shared" si="11"/>
        <v>-27.580885519719722</v>
      </c>
      <c r="U27" s="8"/>
      <c r="V27" s="8"/>
    </row>
    <row r="28" spans="1:22" x14ac:dyDescent="0.35">
      <c r="A28">
        <v>1</v>
      </c>
      <c r="B28">
        <v>16.625</v>
      </c>
      <c r="C28">
        <v>-1.2313810999999999E-2</v>
      </c>
      <c r="D28">
        <v>1.0517053E-2</v>
      </c>
      <c r="E28">
        <v>0.98751292000000002</v>
      </c>
      <c r="F28">
        <v>9.4457163000000004E-3</v>
      </c>
      <c r="G28">
        <f t="shared" si="4"/>
        <v>23.968255734068801</v>
      </c>
      <c r="H28">
        <f t="shared" si="5"/>
        <v>19.695257163365099</v>
      </c>
      <c r="I28">
        <f t="shared" si="6"/>
        <v>23.968169379077601</v>
      </c>
      <c r="J28">
        <f t="shared" si="7"/>
        <v>19.6947214023421</v>
      </c>
      <c r="K28" s="7">
        <f t="shared" si="8"/>
        <v>8.6354991200465707E-5</v>
      </c>
      <c r="L28" s="7">
        <f t="shared" si="9"/>
        <v>5.3576102299857098E-4</v>
      </c>
      <c r="M28" s="7">
        <v>2.49057411609129E-2</v>
      </c>
      <c r="N28" s="7">
        <v>-2.04651271327881E-2</v>
      </c>
      <c r="O28">
        <v>-0.72142127</v>
      </c>
      <c r="P28">
        <v>-1.4272368</v>
      </c>
      <c r="Q28">
        <v>-3.9800049999999998</v>
      </c>
      <c r="R28">
        <v>-2.8490348000000001</v>
      </c>
      <c r="S28">
        <f t="shared" si="10"/>
        <v>3.0606686884812868</v>
      </c>
      <c r="T28">
        <f t="shared" si="11"/>
        <v>-27.588414432622709</v>
      </c>
      <c r="U28" s="8"/>
      <c r="V28" s="8"/>
    </row>
    <row r="29" spans="1:22" x14ac:dyDescent="0.35">
      <c r="A29">
        <v>1</v>
      </c>
      <c r="B29">
        <v>16.6875</v>
      </c>
      <c r="C29">
        <v>-1.1733199E-2</v>
      </c>
      <c r="D29">
        <v>1.0897558999999999E-2</v>
      </c>
      <c r="E29">
        <v>0.98827723000000001</v>
      </c>
      <c r="F29">
        <v>9.8984716E-3</v>
      </c>
      <c r="G29">
        <f t="shared" si="4"/>
        <v>23.369933733615699</v>
      </c>
      <c r="H29">
        <f t="shared" si="5"/>
        <v>21.163303367995201</v>
      </c>
      <c r="I29">
        <f t="shared" si="6"/>
        <v>23.369939197628501</v>
      </c>
      <c r="J29">
        <f t="shared" si="7"/>
        <v>21.162803829629599</v>
      </c>
      <c r="K29" s="7">
        <f t="shared" si="8"/>
        <v>-5.4640128013261304E-6</v>
      </c>
      <c r="L29" s="7">
        <f t="shared" si="9"/>
        <v>4.9953836560234798E-4</v>
      </c>
      <c r="M29" s="7">
        <v>2.3510571820073E-2</v>
      </c>
      <c r="N29" s="7">
        <v>-2.1290154635965501E-2</v>
      </c>
      <c r="O29">
        <v>-0.76606507999999995</v>
      </c>
      <c r="P29">
        <v>-1.3559852999999999</v>
      </c>
      <c r="Q29">
        <v>-4.0068799999999998</v>
      </c>
      <c r="R29">
        <v>-2.5965801000000002</v>
      </c>
      <c r="S29">
        <f t="shared" si="10"/>
        <v>3.0657488550023264</v>
      </c>
      <c r="T29">
        <f t="shared" si="11"/>
        <v>-27.591220734104702</v>
      </c>
      <c r="U29" s="8"/>
      <c r="V29" s="8"/>
    </row>
    <row r="30" spans="1:22" x14ac:dyDescent="0.35">
      <c r="A30">
        <v>1</v>
      </c>
      <c r="B30">
        <v>16.75</v>
      </c>
      <c r="C30">
        <v>-1.1161027E-2</v>
      </c>
      <c r="D30">
        <v>1.1203873E-2</v>
      </c>
      <c r="E30">
        <v>0.98885586999999997</v>
      </c>
      <c r="F30">
        <v>1.0229281E-2</v>
      </c>
      <c r="G30">
        <f t="shared" si="4"/>
        <v>22.809802556299498</v>
      </c>
      <c r="H30">
        <f t="shared" si="5"/>
        <v>22.3987715260416</v>
      </c>
      <c r="I30">
        <f t="shared" si="6"/>
        <v>22.8098112421794</v>
      </c>
      <c r="J30">
        <f t="shared" si="7"/>
        <v>22.398284238391</v>
      </c>
      <c r="K30" s="7">
        <f t="shared" si="8"/>
        <v>-8.6858799015487892E-6</v>
      </c>
      <c r="L30" s="7">
        <f t="shared" si="9"/>
        <v>4.8728765059990998E-4</v>
      </c>
      <c r="M30" s="7">
        <v>2.2319439197129101E-2</v>
      </c>
      <c r="N30" s="7">
        <v>-2.1916759322161701E-2</v>
      </c>
      <c r="O30">
        <v>-0.80141439000000003</v>
      </c>
      <c r="P30">
        <v>-1.2862982999999999</v>
      </c>
      <c r="Q30">
        <v>-4.0110910999999998</v>
      </c>
      <c r="R30">
        <v>-2.3605128</v>
      </c>
      <c r="S30">
        <f t="shared" si="10"/>
        <v>3.0709567759012217</v>
      </c>
      <c r="T30">
        <f t="shared" si="11"/>
        <v>-27.598812324594483</v>
      </c>
      <c r="U30" s="8"/>
      <c r="V30" s="8"/>
    </row>
    <row r="31" spans="1:22" x14ac:dyDescent="0.35">
      <c r="A31">
        <v>1</v>
      </c>
      <c r="B31">
        <v>16.8125</v>
      </c>
      <c r="C31">
        <v>-1.06044E-2</v>
      </c>
      <c r="D31">
        <v>1.1443495999999999E-2</v>
      </c>
      <c r="E31">
        <v>0.98941942000000005</v>
      </c>
      <c r="F31">
        <v>1.0492649E-2</v>
      </c>
      <c r="G31">
        <f t="shared" si="4"/>
        <v>22.279595347585801</v>
      </c>
      <c r="H31">
        <f t="shared" si="5"/>
        <v>23.587545302884699</v>
      </c>
      <c r="I31">
        <f t="shared" si="6"/>
        <v>22.279607483463302</v>
      </c>
      <c r="J31">
        <f t="shared" si="7"/>
        <v>23.587069890816501</v>
      </c>
      <c r="K31" s="7">
        <f t="shared" si="8"/>
        <v>-1.2135877501151499E-5</v>
      </c>
      <c r="L31" s="7">
        <f t="shared" si="9"/>
        <v>4.7541206819801102E-4</v>
      </c>
      <c r="M31" s="7">
        <v>2.1163632714808901E-2</v>
      </c>
      <c r="N31" s="7">
        <v>-2.2405604962218599E-2</v>
      </c>
      <c r="O31">
        <v>-0.82906115999999996</v>
      </c>
      <c r="P31">
        <v>-1.2189795999999999</v>
      </c>
      <c r="Q31">
        <v>-3.9968222999999998</v>
      </c>
      <c r="R31">
        <v>-2.1407113</v>
      </c>
      <c r="S31">
        <f t="shared" si="10"/>
        <v>3.0755806647388368</v>
      </c>
      <c r="T31">
        <f t="shared" si="11"/>
        <v>-27.605665422243042</v>
      </c>
      <c r="U31" s="8"/>
      <c r="V31" s="8"/>
    </row>
    <row r="32" spans="1:22" x14ac:dyDescent="0.35">
      <c r="A32">
        <v>1</v>
      </c>
      <c r="B32">
        <v>16.875</v>
      </c>
      <c r="C32">
        <v>-1.006904E-2</v>
      </c>
      <c r="D32">
        <v>1.162507E-2</v>
      </c>
      <c r="E32">
        <v>0.98996207000000003</v>
      </c>
      <c r="F32">
        <v>1.0697236000000001E-2</v>
      </c>
      <c r="G32">
        <f t="shared" si="4"/>
        <v>21.777317441729199</v>
      </c>
      <c r="H32">
        <f t="shared" si="5"/>
        <v>24.732017635719799</v>
      </c>
      <c r="I32">
        <f t="shared" si="6"/>
        <v>21.777333211696099</v>
      </c>
      <c r="J32">
        <f t="shared" si="7"/>
        <v>24.731553733251801</v>
      </c>
      <c r="K32" s="7">
        <f t="shared" si="8"/>
        <v>-1.5769966900336399E-5</v>
      </c>
      <c r="L32" s="7">
        <f t="shared" si="9"/>
        <v>4.6390246799887802E-4</v>
      </c>
      <c r="M32" s="7">
        <v>2.0054602878216001E-2</v>
      </c>
      <c r="N32" s="7">
        <v>-2.27751251202441E-2</v>
      </c>
      <c r="O32">
        <v>-0.84967981000000004</v>
      </c>
      <c r="P32">
        <v>-1.1541835</v>
      </c>
      <c r="Q32">
        <v>-3.9677818</v>
      </c>
      <c r="R32">
        <v>-1.9375141</v>
      </c>
      <c r="S32">
        <f t="shared" si="10"/>
        <v>3.0808916078977391</v>
      </c>
      <c r="T32">
        <f t="shared" si="11"/>
        <v>-27.613671894658854</v>
      </c>
      <c r="U32" s="8"/>
      <c r="V32" s="8"/>
    </row>
    <row r="33" spans="1:22" x14ac:dyDescent="0.35">
      <c r="A33">
        <v>1</v>
      </c>
      <c r="B33">
        <v>16.9375</v>
      </c>
      <c r="C33">
        <v>-9.5587028000000008E-3</v>
      </c>
      <c r="D33">
        <v>1.1756814000000001E-2</v>
      </c>
      <c r="E33">
        <v>0.99047998999999998</v>
      </c>
      <c r="F33">
        <v>1.0851434E-2</v>
      </c>
      <c r="G33">
        <f t="shared" si="4"/>
        <v>21.3009904389322</v>
      </c>
      <c r="H33">
        <f t="shared" si="5"/>
        <v>25.834381117081399</v>
      </c>
      <c r="I33">
        <f t="shared" si="6"/>
        <v>21.301009989874199</v>
      </c>
      <c r="J33">
        <f t="shared" si="7"/>
        <v>25.833928444689601</v>
      </c>
      <c r="K33" s="7">
        <f t="shared" si="8"/>
        <v>-1.9550941999568699E-5</v>
      </c>
      <c r="L33" s="7">
        <f t="shared" si="9"/>
        <v>4.5267239179835899E-4</v>
      </c>
      <c r="M33" s="7">
        <v>1.8999676365998398E-2</v>
      </c>
      <c r="N33" s="7">
        <v>-2.3042864162065E-2</v>
      </c>
      <c r="O33">
        <v>-0.86468831999999995</v>
      </c>
      <c r="P33">
        <v>-1.0928180999999999</v>
      </c>
      <c r="Q33">
        <v>-3.9272155999999998</v>
      </c>
      <c r="R33">
        <v>-1.7507115</v>
      </c>
      <c r="S33">
        <f t="shared" si="10"/>
        <v>3.085513988488362</v>
      </c>
      <c r="T33">
        <f t="shared" si="11"/>
        <v>-27.620510976622562</v>
      </c>
      <c r="U33" s="8"/>
      <c r="V33" s="8"/>
    </row>
    <row r="34" spans="1:22" x14ac:dyDescent="0.35">
      <c r="A34">
        <v>1</v>
      </c>
      <c r="B34">
        <v>17</v>
      </c>
      <c r="C34">
        <v>-9.0755880000000008E-3</v>
      </c>
      <c r="D34">
        <v>1.1846288E-2</v>
      </c>
      <c r="E34">
        <v>0.99097095999999996</v>
      </c>
      <c r="F34">
        <v>1.0963093E-2</v>
      </c>
      <c r="G34">
        <f t="shared" si="4"/>
        <v>20.848642058545199</v>
      </c>
      <c r="H34">
        <f t="shared" si="5"/>
        <v>26.896635240932302</v>
      </c>
      <c r="I34">
        <f t="shared" si="6"/>
        <v>20.848665526998399</v>
      </c>
      <c r="J34">
        <f t="shared" si="7"/>
        <v>26.896193664073301</v>
      </c>
      <c r="K34" s="7">
        <f t="shared" si="8"/>
        <v>-2.3468453200337101E-5</v>
      </c>
      <c r="L34" s="7">
        <f t="shared" si="9"/>
        <v>4.4157685900003701E-4</v>
      </c>
      <c r="M34" s="7">
        <v>1.80029082345891E-2</v>
      </c>
      <c r="N34" s="7">
        <v>-2.32249735968478E-2</v>
      </c>
      <c r="O34">
        <v>-0.87468281000000003</v>
      </c>
      <c r="P34">
        <v>-1.0347453</v>
      </c>
      <c r="Q34">
        <v>-3.8779010999999999</v>
      </c>
      <c r="R34">
        <v>-1.5797194000000001</v>
      </c>
      <c r="S34">
        <f t="shared" si="10"/>
        <v>3.0904878641219677</v>
      </c>
      <c r="T34">
        <f t="shared" si="11"/>
        <v>-27.627516775363475</v>
      </c>
      <c r="U34" s="8"/>
      <c r="V34" s="8"/>
    </row>
    <row r="35" spans="1:22" x14ac:dyDescent="0.35">
      <c r="A35">
        <v>1.125</v>
      </c>
      <c r="B35">
        <v>15</v>
      </c>
      <c r="C35">
        <v>-6.1872500999999996E-3</v>
      </c>
      <c r="D35">
        <v>-4.3247147999999997E-3</v>
      </c>
      <c r="E35">
        <v>0.99359434999999996</v>
      </c>
      <c r="F35">
        <v>-6.1646514999999999E-3</v>
      </c>
      <c r="G35">
        <f t="shared" si="4"/>
        <v>46.382138828021802</v>
      </c>
      <c r="H35">
        <f t="shared" si="5"/>
        <v>-39.050382441924199</v>
      </c>
      <c r="I35">
        <f t="shared" si="6"/>
        <v>46.382030462764099</v>
      </c>
      <c r="J35">
        <f t="shared" si="7"/>
        <v>-39.051302610449099</v>
      </c>
      <c r="K35" s="7">
        <f t="shared" si="8"/>
        <v>1.08365257702303E-4</v>
      </c>
      <c r="L35" s="7">
        <f t="shared" si="9"/>
        <v>9.2016852489962297E-4</v>
      </c>
      <c r="M35" s="7">
        <f t="shared" ref="M35:M66" si="12">IMREAL(IMDIV(IMSUB(IMPRODUCT(COMPLEX(1 - C35, - D35),COMPLEX(1 - C35, - D35)),IMPRODUCT(COMPLEX(E35,F35),COMPLEX(E35,F35))),IMPRODUCT(COMPLEX(2,0),COMPLEX(E35,F35))))</f>
        <v>1.26165080369437E-2</v>
      </c>
      <c r="N35" s="7">
        <f t="shared" ref="N35:N66" si="13">IMAGINARY(IMDIV(IMSUB(IMPRODUCT(COMPLEX(1 - C35, - D35),COMPLEX(1 - C35, - D35)),IMPRODUCT(COMPLEX(E35,F35),COMPLEX(E35,F35))),IMPRODUCT(COMPLEX(2,0),COMPLEX(E35,F35))))</f>
        <v>1.0622455902041399E-2</v>
      </c>
      <c r="O35">
        <v>0.99901355000000003</v>
      </c>
      <c r="P35">
        <v>-0.68483126999999999</v>
      </c>
      <c r="Q35">
        <v>1.6569906000000001</v>
      </c>
      <c r="R35">
        <v>-3.0951292000000001</v>
      </c>
      <c r="S35">
        <f t="shared" si="10"/>
        <v>2.8985644224537026</v>
      </c>
      <c r="T35">
        <f t="shared" si="11"/>
        <v>-27.406511003673636</v>
      </c>
      <c r="U35" s="8"/>
      <c r="V35" s="8"/>
    </row>
    <row r="36" spans="1:22" x14ac:dyDescent="0.35">
      <c r="A36">
        <v>1.125</v>
      </c>
      <c r="B36">
        <v>15.0625</v>
      </c>
      <c r="C36">
        <v>-6.7612838000000001E-3</v>
      </c>
      <c r="D36">
        <v>-4.5364545999999999E-3</v>
      </c>
      <c r="E36">
        <v>0.99303218000000004</v>
      </c>
      <c r="F36">
        <v>-6.3289121000000004E-3</v>
      </c>
      <c r="G36">
        <f t="shared" si="4"/>
        <v>44.286711857169301</v>
      </c>
      <c r="H36">
        <f t="shared" si="5"/>
        <v>-35.444217227408203</v>
      </c>
      <c r="I36">
        <f t="shared" si="6"/>
        <v>44.286609381878101</v>
      </c>
      <c r="J36">
        <f t="shared" si="7"/>
        <v>-35.445113640570298</v>
      </c>
      <c r="K36" s="7">
        <f t="shared" si="8"/>
        <v>1.02475291200221E-4</v>
      </c>
      <c r="L36" s="7">
        <f t="shared" si="9"/>
        <v>8.9641316209565503E-4</v>
      </c>
      <c r="M36" s="7">
        <f t="shared" si="12"/>
        <v>1.37636081578782E-2</v>
      </c>
      <c r="N36" s="7">
        <f t="shared" si="13"/>
        <v>1.10158050496388E-2</v>
      </c>
      <c r="O36">
        <v>1.0163926000000001</v>
      </c>
      <c r="P36">
        <v>-0.74562824999999999</v>
      </c>
      <c r="Q36">
        <v>1.6274838</v>
      </c>
      <c r="R36">
        <v>-3.2870922999999999</v>
      </c>
      <c r="S36">
        <f t="shared" si="10"/>
        <v>2.9097553939036578</v>
      </c>
      <c r="T36">
        <f t="shared" si="11"/>
        <v>-27.395497754628995</v>
      </c>
      <c r="U36" s="8"/>
      <c r="V36" s="8"/>
    </row>
    <row r="37" spans="1:22" x14ac:dyDescent="0.35">
      <c r="A37">
        <v>1.125</v>
      </c>
      <c r="B37">
        <v>15.125</v>
      </c>
      <c r="C37">
        <v>-7.3840232E-3</v>
      </c>
      <c r="D37">
        <v>-4.7200434000000003E-3</v>
      </c>
      <c r="E37">
        <v>0.99242074999999996</v>
      </c>
      <c r="F37">
        <v>-6.4692841999999997E-3</v>
      </c>
      <c r="G37">
        <f t="shared" si="4"/>
        <v>42.362401941511898</v>
      </c>
      <c r="H37">
        <f t="shared" si="5"/>
        <v>-32.051434461229697</v>
      </c>
      <c r="I37">
        <f t="shared" si="6"/>
        <v>42.362305083766898</v>
      </c>
      <c r="J37">
        <f t="shared" si="7"/>
        <v>-32.052309251734698</v>
      </c>
      <c r="K37" s="7">
        <f t="shared" si="8"/>
        <v>9.6857744999567799E-5</v>
      </c>
      <c r="L37" s="7">
        <f t="shared" si="9"/>
        <v>8.7479050500149902E-4</v>
      </c>
      <c r="M37" s="7">
        <f t="shared" si="12"/>
        <v>1.5011897513950901E-2</v>
      </c>
      <c r="N37" s="7">
        <f t="shared" si="13"/>
        <v>1.1358352210085101E-2</v>
      </c>
      <c r="O37">
        <v>1.0320526999999999</v>
      </c>
      <c r="P37">
        <v>-0.81206990999999995</v>
      </c>
      <c r="Q37">
        <v>1.5828935</v>
      </c>
      <c r="R37">
        <v>-3.4886898</v>
      </c>
      <c r="S37">
        <f t="shared" si="10"/>
        <v>2.9172147562588391</v>
      </c>
      <c r="T37">
        <f t="shared" si="11"/>
        <v>-27.397771661983498</v>
      </c>
      <c r="U37" s="8"/>
      <c r="V37" s="8"/>
    </row>
    <row r="38" spans="1:22" x14ac:dyDescent="0.35">
      <c r="A38">
        <v>1.125</v>
      </c>
      <c r="B38">
        <v>15.1875</v>
      </c>
      <c r="C38">
        <v>-8.0645565999999998E-3</v>
      </c>
      <c r="D38">
        <v>-4.8679785999999996E-3</v>
      </c>
      <c r="E38">
        <v>0.99197723000000004</v>
      </c>
      <c r="F38">
        <v>-6.5030655999999999E-3</v>
      </c>
      <c r="G38">
        <f t="shared" si="4"/>
        <v>40.951196935302299</v>
      </c>
      <c r="H38">
        <f t="shared" si="5"/>
        <v>-29.298649243280401</v>
      </c>
      <c r="I38">
        <f t="shared" si="6"/>
        <v>40.9512184965008</v>
      </c>
      <c r="J38">
        <f t="shared" si="7"/>
        <v>-29.2994667520727</v>
      </c>
      <c r="K38" s="7">
        <f t="shared" si="8"/>
        <v>-2.1561198501274201E-5</v>
      </c>
      <c r="L38" s="7">
        <f t="shared" si="9"/>
        <v>8.1750879229858199E-4</v>
      </c>
      <c r="M38" s="7">
        <f t="shared" si="12"/>
        <v>1.6151389319861199E-2</v>
      </c>
      <c r="N38" s="7">
        <f t="shared" si="13"/>
        <v>1.1555873347639E-2</v>
      </c>
      <c r="O38">
        <v>1.0446871</v>
      </c>
      <c r="P38">
        <v>-0.88377907</v>
      </c>
      <c r="Q38">
        <v>1.5238157999999999</v>
      </c>
      <c r="R38">
        <v>-3.7017362999999999</v>
      </c>
      <c r="S38">
        <f t="shared" si="10"/>
        <v>2.9254565201515561</v>
      </c>
      <c r="T38">
        <f t="shared" si="11"/>
        <v>-27.395153819121994</v>
      </c>
      <c r="U38" s="8"/>
      <c r="V38" s="8"/>
    </row>
    <row r="39" spans="1:22" x14ac:dyDescent="0.35">
      <c r="A39">
        <v>1.125</v>
      </c>
      <c r="B39">
        <v>15.25</v>
      </c>
      <c r="C39">
        <v>-8.7975332000000007E-3</v>
      </c>
      <c r="D39">
        <v>-4.9735483999999996E-3</v>
      </c>
      <c r="E39">
        <v>0.99124920999999999</v>
      </c>
      <c r="F39">
        <v>-6.5864944000000002E-3</v>
      </c>
      <c r="G39">
        <f t="shared" si="4"/>
        <v>39.239997217002603</v>
      </c>
      <c r="H39">
        <f t="shared" si="5"/>
        <v>-26.178520108153101</v>
      </c>
      <c r="I39">
        <f t="shared" si="6"/>
        <v>39.240021238409099</v>
      </c>
      <c r="J39">
        <f t="shared" si="7"/>
        <v>-26.179326542932898</v>
      </c>
      <c r="K39" s="7">
        <f t="shared" si="8"/>
        <v>-2.40214064959332E-5</v>
      </c>
      <c r="L39" s="7">
        <f t="shared" si="9"/>
        <v>8.0643477979691603E-4</v>
      </c>
      <c r="M39" s="7">
        <f t="shared" si="12"/>
        <v>1.76348834838462E-2</v>
      </c>
      <c r="N39" s="7">
        <f t="shared" si="13"/>
        <v>1.1765268180290601E-2</v>
      </c>
      <c r="O39">
        <v>1.0518803999999999</v>
      </c>
      <c r="P39">
        <v>-0.96166403</v>
      </c>
      <c r="Q39">
        <v>1.4404505999999999</v>
      </c>
      <c r="R39">
        <v>-3.9228567000000001</v>
      </c>
      <c r="S39">
        <f t="shared" si="10"/>
        <v>2.9321519037556665</v>
      </c>
      <c r="T39">
        <f t="shared" si="11"/>
        <v>-27.402460715629591</v>
      </c>
      <c r="U39" s="8"/>
      <c r="V39" s="8"/>
    </row>
    <row r="40" spans="1:22" x14ac:dyDescent="0.35">
      <c r="A40">
        <v>1.125</v>
      </c>
      <c r="B40">
        <v>15.3125</v>
      </c>
      <c r="C40">
        <v>-9.5876482999999995E-3</v>
      </c>
      <c r="D40">
        <v>-5.0235156999999999E-3</v>
      </c>
      <c r="E40">
        <v>0.99046380999999994</v>
      </c>
      <c r="F40">
        <v>-6.6163315000000002E-3</v>
      </c>
      <c r="G40">
        <f t="shared" si="4"/>
        <v>37.6555380486719</v>
      </c>
      <c r="H40">
        <f t="shared" si="5"/>
        <v>-23.2232235177357</v>
      </c>
      <c r="I40">
        <f t="shared" si="6"/>
        <v>37.655564411376098</v>
      </c>
      <c r="J40">
        <f t="shared" si="7"/>
        <v>-23.224019884150501</v>
      </c>
      <c r="K40" s="7">
        <f t="shared" si="8"/>
        <v>-2.6362704197424601E-5</v>
      </c>
      <c r="L40" s="7">
        <f t="shared" si="9"/>
        <v>7.9636641480007597E-4</v>
      </c>
      <c r="M40" s="7">
        <f t="shared" si="12"/>
        <v>1.9238557825315E-2</v>
      </c>
      <c r="N40" s="7">
        <f t="shared" si="13"/>
        <v>1.18653552658611E-2</v>
      </c>
      <c r="O40">
        <v>1.0530082999999999</v>
      </c>
      <c r="P40">
        <v>-1.0453768000000001</v>
      </c>
      <c r="Q40">
        <v>1.3327956999999999</v>
      </c>
      <c r="R40">
        <v>-4.1517648999999999</v>
      </c>
      <c r="S40">
        <f t="shared" si="10"/>
        <v>2.938718064536038</v>
      </c>
      <c r="T40">
        <f t="shared" si="11"/>
        <v>-27.410754241539056</v>
      </c>
      <c r="U40" s="8"/>
      <c r="V40" s="8"/>
    </row>
    <row r="41" spans="1:22" x14ac:dyDescent="0.35">
      <c r="A41">
        <v>1.125</v>
      </c>
      <c r="B41" s="9">
        <v>15.5</v>
      </c>
      <c r="C41">
        <v>-1.0433158999999999E-2</v>
      </c>
      <c r="D41">
        <v>-5.0046053999999998E-3</v>
      </c>
      <c r="E41">
        <v>0.98962234000000004</v>
      </c>
      <c r="F41">
        <v>-6.5793572999999998E-3</v>
      </c>
      <c r="G41">
        <f t="shared" si="4"/>
        <v>36.185358923328998</v>
      </c>
      <c r="H41">
        <f t="shared" si="5"/>
        <v>-20.419849944644302</v>
      </c>
      <c r="I41">
        <f t="shared" si="6"/>
        <v>36.185387291967999</v>
      </c>
      <c r="J41">
        <f t="shared" si="7"/>
        <v>-20.420637276409501</v>
      </c>
      <c r="K41" s="7">
        <f t="shared" si="8"/>
        <v>-2.8368639000575499E-5</v>
      </c>
      <c r="L41" s="7">
        <f t="shared" si="9"/>
        <v>7.8733176519918402E-4</v>
      </c>
      <c r="M41" s="7">
        <f t="shared" si="12"/>
        <v>2.0960211073493301E-2</v>
      </c>
      <c r="N41" s="7">
        <f t="shared" si="13"/>
        <v>1.1828555657432399E-2</v>
      </c>
      <c r="O41">
        <v>1.0465538000000001</v>
      </c>
      <c r="P41">
        <v>-1.1345577</v>
      </c>
      <c r="Q41">
        <v>1.1973357</v>
      </c>
      <c r="R41">
        <v>-4.3859216999999999</v>
      </c>
      <c r="S41">
        <f t="shared" si="10"/>
        <v>2.9454613294914287</v>
      </c>
      <c r="T41">
        <f t="shared" si="11"/>
        <v>-27.420064693697626</v>
      </c>
      <c r="U41" s="8"/>
      <c r="V41" s="8"/>
    </row>
    <row r="42" spans="1:22" x14ac:dyDescent="0.35">
      <c r="A42">
        <v>1.125</v>
      </c>
      <c r="B42" s="9">
        <v>15.5</v>
      </c>
      <c r="C42">
        <v>-1.132677E-2</v>
      </c>
      <c r="D42">
        <v>-4.9036377000000004E-3</v>
      </c>
      <c r="E42">
        <v>0.98852488999999999</v>
      </c>
      <c r="F42">
        <v>-6.5249903000000001E-3</v>
      </c>
      <c r="G42">
        <f t="shared" si="4"/>
        <v>34.550772462764797</v>
      </c>
      <c r="H42">
        <f t="shared" si="5"/>
        <v>-17.567524065856599</v>
      </c>
      <c r="I42">
        <f t="shared" si="6"/>
        <v>34.550698944605102</v>
      </c>
      <c r="J42">
        <f t="shared" si="7"/>
        <v>-17.568334861892801</v>
      </c>
      <c r="K42" s="7">
        <f t="shared" si="8"/>
        <v>7.3518159695140598E-5</v>
      </c>
      <c r="L42" s="7">
        <f t="shared" si="9"/>
        <v>8.1079603620182205E-4</v>
      </c>
      <c r="M42" s="7">
        <f t="shared" si="12"/>
        <v>2.29970471422738E-2</v>
      </c>
      <c r="N42" s="7">
        <f t="shared" si="13"/>
        <v>1.16935355107566E-2</v>
      </c>
      <c r="O42">
        <v>1.0306332</v>
      </c>
      <c r="P42">
        <v>-1.2285455999999999</v>
      </c>
      <c r="Q42">
        <v>1.0285644</v>
      </c>
      <c r="R42">
        <v>-4.6193564</v>
      </c>
      <c r="S42">
        <f t="shared" si="10"/>
        <v>2.9511641780494831</v>
      </c>
      <c r="T42">
        <f t="shared" si="11"/>
        <v>-27.440532963232087</v>
      </c>
      <c r="U42" s="8"/>
      <c r="V42" s="8"/>
    </row>
    <row r="43" spans="1:22" x14ac:dyDescent="0.35">
      <c r="A43">
        <v>1.125</v>
      </c>
      <c r="B43" s="9">
        <v>15.5</v>
      </c>
      <c r="C43">
        <v>-1.2265715E-2</v>
      </c>
      <c r="D43">
        <v>-4.7024980000000003E-3</v>
      </c>
      <c r="E43">
        <v>0.98759076999999995</v>
      </c>
      <c r="F43">
        <v>-6.3158290000000002E-3</v>
      </c>
      <c r="G43">
        <f t="shared" si="4"/>
        <v>33.289460238888601</v>
      </c>
      <c r="H43">
        <f t="shared" si="5"/>
        <v>-15.087894893530899</v>
      </c>
      <c r="I43">
        <f t="shared" si="6"/>
        <v>33.289389127087901</v>
      </c>
      <c r="J43">
        <f t="shared" si="7"/>
        <v>-15.0887016742869</v>
      </c>
      <c r="K43" s="7">
        <f t="shared" si="8"/>
        <v>7.1111800700407498E-5</v>
      </c>
      <c r="L43" s="7">
        <f t="shared" si="9"/>
        <v>8.0678075600104605E-4</v>
      </c>
      <c r="M43" s="7">
        <f t="shared" si="12"/>
        <v>2.4919961558673501E-2</v>
      </c>
      <c r="N43" s="7">
        <f t="shared" si="13"/>
        <v>1.12951867112383E-2</v>
      </c>
      <c r="O43">
        <v>1.0046524999999999</v>
      </c>
      <c r="P43">
        <v>-1.3268154999999999</v>
      </c>
      <c r="Q43">
        <v>0.82792578999999999</v>
      </c>
      <c r="R43">
        <v>-4.8520171999999997</v>
      </c>
      <c r="S43">
        <f t="shared" si="10"/>
        <v>2.9575564791478688</v>
      </c>
      <c r="T43">
        <f t="shared" si="11"/>
        <v>-27.449247137599158</v>
      </c>
      <c r="U43" s="8"/>
      <c r="V43" s="8"/>
    </row>
    <row r="44" spans="1:22" x14ac:dyDescent="0.35">
      <c r="A44">
        <v>1.125</v>
      </c>
      <c r="B44" s="9">
        <v>15.5625</v>
      </c>
      <c r="C44">
        <v>-1.323449E-2</v>
      </c>
      <c r="D44">
        <v>-4.3873298999999996E-3</v>
      </c>
      <c r="E44">
        <v>0.98662393000000004</v>
      </c>
      <c r="F44">
        <v>-5.9968297999999998E-3</v>
      </c>
      <c r="G44">
        <f t="shared" si="4"/>
        <v>32.112906844936198</v>
      </c>
      <c r="H44">
        <f t="shared" si="5"/>
        <v>-12.726021542436699</v>
      </c>
      <c r="I44">
        <f t="shared" si="6"/>
        <v>32.112836697684202</v>
      </c>
      <c r="J44">
        <f t="shared" si="7"/>
        <v>-12.726826405813901</v>
      </c>
      <c r="K44" s="7">
        <f t="shared" si="8"/>
        <v>7.0147251996388604E-5</v>
      </c>
      <c r="L44" s="7">
        <f t="shared" si="9"/>
        <v>8.0486337720131495E-4</v>
      </c>
      <c r="M44" s="7">
        <f t="shared" si="12"/>
        <v>2.69130612576713E-2</v>
      </c>
      <c r="N44" s="7">
        <f t="shared" si="13"/>
        <v>1.0666072944596599E-2</v>
      </c>
      <c r="O44">
        <v>0.96680312999999996</v>
      </c>
      <c r="P44">
        <v>-1.4283300000000001</v>
      </c>
      <c r="Q44">
        <v>0.59062837000000001</v>
      </c>
      <c r="R44">
        <v>-5.0758444000000003</v>
      </c>
      <c r="S44">
        <f t="shared" si="10"/>
        <v>2.9627654385157696</v>
      </c>
      <c r="T44">
        <f t="shared" si="11"/>
        <v>-27.456026733628054</v>
      </c>
      <c r="U44" s="8"/>
      <c r="V44" s="8"/>
    </row>
    <row r="45" spans="1:22" x14ac:dyDescent="0.35">
      <c r="A45">
        <v>1.125</v>
      </c>
      <c r="B45" s="9">
        <v>15.625</v>
      </c>
      <c r="C45">
        <v>-1.4215658000000001E-2</v>
      </c>
      <c r="D45">
        <v>-3.9442282000000002E-3</v>
      </c>
      <c r="E45">
        <v>0.98564132000000004</v>
      </c>
      <c r="F45">
        <v>-5.5524935999999997E-3</v>
      </c>
      <c r="G45">
        <f t="shared" si="4"/>
        <v>31.015367970847901</v>
      </c>
      <c r="H45">
        <f t="shared" si="5"/>
        <v>-10.473763385694401</v>
      </c>
      <c r="I45">
        <f t="shared" si="6"/>
        <v>31.015297101501499</v>
      </c>
      <c r="J45">
        <f t="shared" si="7"/>
        <v>-10.474567632895299</v>
      </c>
      <c r="K45" s="7">
        <f t="shared" si="8"/>
        <v>7.0869346401991606E-5</v>
      </c>
      <c r="L45" s="7">
        <f t="shared" si="9"/>
        <v>8.0424720089844503E-4</v>
      </c>
      <c r="M45" s="7">
        <f t="shared" si="12"/>
        <v>2.8941218285742799E-2</v>
      </c>
      <c r="N45" s="7">
        <f t="shared" si="13"/>
        <v>9.7741042853890202E-3</v>
      </c>
      <c r="O45">
        <v>0.91501798999999995</v>
      </c>
      <c r="P45">
        <v>-1.5301248999999999</v>
      </c>
      <c r="Q45">
        <v>0.31534962999999999</v>
      </c>
      <c r="R45">
        <v>-5.2839328999999999</v>
      </c>
      <c r="S45">
        <f t="shared" si="10"/>
        <v>2.969036291895883</v>
      </c>
      <c r="T45">
        <f t="shared" si="11"/>
        <v>-27.46410478547763</v>
      </c>
      <c r="U45" s="8"/>
      <c r="V45" s="8"/>
    </row>
    <row r="46" spans="1:22" x14ac:dyDescent="0.35">
      <c r="A46">
        <v>1.125</v>
      </c>
      <c r="B46" s="9">
        <v>15.6875</v>
      </c>
      <c r="C46">
        <v>-1.518681E-2</v>
      </c>
      <c r="D46">
        <v>-3.3622547000000001E-3</v>
      </c>
      <c r="E46">
        <v>0.98466496000000003</v>
      </c>
      <c r="F46">
        <v>-4.9698585000000003E-3</v>
      </c>
      <c r="G46">
        <f t="shared" si="4"/>
        <v>29.991168818099201</v>
      </c>
      <c r="H46">
        <f t="shared" si="5"/>
        <v>-8.3233256019450206</v>
      </c>
      <c r="I46">
        <f t="shared" si="6"/>
        <v>29.991095343846599</v>
      </c>
      <c r="J46">
        <f t="shared" si="7"/>
        <v>-8.3241295224863503</v>
      </c>
      <c r="K46" s="7">
        <f t="shared" si="8"/>
        <v>7.3474252602068204E-5</v>
      </c>
      <c r="L46" s="7">
        <f t="shared" si="9"/>
        <v>8.0392054132971701E-4</v>
      </c>
      <c r="M46" s="7">
        <f t="shared" si="12"/>
        <v>3.0958328499166399E-2</v>
      </c>
      <c r="N46" s="7">
        <f t="shared" si="13"/>
        <v>8.5925883423799507E-3</v>
      </c>
      <c r="O46">
        <v>0.84834414000000002</v>
      </c>
      <c r="P46">
        <v>-1.629786</v>
      </c>
      <c r="Q46">
        <v>2.3902833000000001E-3</v>
      </c>
      <c r="R46">
        <v>-5.4682510000000004</v>
      </c>
      <c r="S46">
        <f t="shared" si="10"/>
        <v>2.976146648040173</v>
      </c>
      <c r="T46">
        <f t="shared" si="11"/>
        <v>-27.473053178608257</v>
      </c>
      <c r="U46" s="8"/>
      <c r="V46" s="8"/>
    </row>
    <row r="47" spans="1:22" x14ac:dyDescent="0.35">
      <c r="A47">
        <v>1.125</v>
      </c>
      <c r="B47" s="9">
        <v>15.75</v>
      </c>
      <c r="C47">
        <v>-1.6121033999999999E-2</v>
      </c>
      <c r="D47">
        <v>-2.6352951999999998E-3</v>
      </c>
      <c r="E47">
        <v>0.98372152999999996</v>
      </c>
      <c r="F47">
        <v>-4.2404443999999996E-3</v>
      </c>
      <c r="G47">
        <f t="shared" si="4"/>
        <v>29.034584223377699</v>
      </c>
      <c r="H47">
        <f t="shared" si="5"/>
        <v>-6.2673440413580801</v>
      </c>
      <c r="I47">
        <f t="shared" si="6"/>
        <v>29.034506143458401</v>
      </c>
      <c r="J47">
        <f t="shared" si="7"/>
        <v>-6.2681467418100203</v>
      </c>
      <c r="K47" s="7">
        <f t="shared" si="8"/>
        <v>7.8079919298090799E-5</v>
      </c>
      <c r="L47" s="7">
        <f t="shared" si="9"/>
        <v>8.0270045194019701E-4</v>
      </c>
      <c r="M47" s="7">
        <f t="shared" si="12"/>
        <v>3.2908038624363603E-2</v>
      </c>
      <c r="N47" s="7">
        <f t="shared" si="13"/>
        <v>7.1043886217137201E-3</v>
      </c>
      <c r="O47">
        <v>0.76672494999999996</v>
      </c>
      <c r="P47">
        <v>-1.7254290999999999</v>
      </c>
      <c r="Q47">
        <v>-0.34589403000000002</v>
      </c>
      <c r="R47">
        <v>-5.6202582999999997</v>
      </c>
      <c r="S47">
        <f t="shared" si="10"/>
        <v>2.9822847024554795</v>
      </c>
      <c r="T47">
        <f t="shared" si="11"/>
        <v>-27.480594916388085</v>
      </c>
      <c r="U47" s="8"/>
      <c r="V47" s="8"/>
    </row>
    <row r="48" spans="1:22" x14ac:dyDescent="0.35">
      <c r="A48">
        <v>1.125</v>
      </c>
      <c r="B48" s="9">
        <v>15.8125</v>
      </c>
      <c r="C48">
        <v>-1.6988149000000001E-2</v>
      </c>
      <c r="D48">
        <v>-1.7639034E-3</v>
      </c>
      <c r="E48">
        <v>0.98284115999999999</v>
      </c>
      <c r="F48">
        <v>-3.3622316E-3</v>
      </c>
      <c r="G48">
        <f t="shared" si="4"/>
        <v>28.1397785513368</v>
      </c>
      <c r="H48">
        <f t="shared" si="5"/>
        <v>-4.2989883310714099</v>
      </c>
      <c r="I48">
        <f t="shared" si="6"/>
        <v>28.139693837378701</v>
      </c>
      <c r="J48">
        <f t="shared" si="7"/>
        <v>-4.2997876310884298</v>
      </c>
      <c r="K48" s="7">
        <f t="shared" si="8"/>
        <v>8.47139580990586E-5</v>
      </c>
      <c r="L48" s="7">
        <f t="shared" si="9"/>
        <v>7.9930001701988796E-4</v>
      </c>
      <c r="M48" s="7">
        <f t="shared" si="12"/>
        <v>3.47261917778596E-2</v>
      </c>
      <c r="N48" s="7">
        <f t="shared" si="13"/>
        <v>5.3062144437018002E-3</v>
      </c>
      <c r="O48">
        <v>0.67010501</v>
      </c>
      <c r="P48">
        <v>-1.8133889000000001</v>
      </c>
      <c r="Q48">
        <v>-0.72476421999999996</v>
      </c>
      <c r="R48">
        <v>-5.7315601000000003</v>
      </c>
      <c r="S48">
        <f t="shared" si="10"/>
        <v>2.9883510081178493</v>
      </c>
      <c r="T48">
        <f t="shared" si="11"/>
        <v>-27.487764061600203</v>
      </c>
      <c r="U48" s="8"/>
      <c r="V48" s="8"/>
    </row>
    <row r="49" spans="1:22" x14ac:dyDescent="0.35">
      <c r="A49">
        <v>1.125</v>
      </c>
      <c r="B49" s="9">
        <v>15.875</v>
      </c>
      <c r="C49">
        <v>-1.7756770000000002E-2</v>
      </c>
      <c r="D49">
        <v>-7.5677869999999996E-4</v>
      </c>
      <c r="E49">
        <v>0.98205545999999999</v>
      </c>
      <c r="F49">
        <v>-2.3412825999999999E-3</v>
      </c>
      <c r="G49">
        <f t="shared" si="4"/>
        <v>27.300874987018201</v>
      </c>
      <c r="H49">
        <f t="shared" si="5"/>
        <v>-2.4120830739363801</v>
      </c>
      <c r="I49">
        <f t="shared" si="6"/>
        <v>27.300781721042501</v>
      </c>
      <c r="J49">
        <f t="shared" si="7"/>
        <v>-2.4128754741710199</v>
      </c>
      <c r="K49" s="7">
        <f t="shared" si="8"/>
        <v>9.3265975699807795E-5</v>
      </c>
      <c r="L49" s="7">
        <f t="shared" si="9"/>
        <v>7.9240023463977795E-4</v>
      </c>
      <c r="M49" s="7">
        <f t="shared" si="12"/>
        <v>3.6345087789850801E-2</v>
      </c>
      <c r="N49" s="7">
        <f t="shared" si="13"/>
        <v>3.2122219733778002E-3</v>
      </c>
      <c r="O49">
        <v>0.55962741999999999</v>
      </c>
      <c r="P49">
        <v>-1.8907502</v>
      </c>
      <c r="Q49">
        <v>-1.1270285</v>
      </c>
      <c r="R49">
        <v>-5.7946698000000003</v>
      </c>
      <c r="S49">
        <f t="shared" si="10"/>
        <v>2.9937917266469252</v>
      </c>
      <c r="T49">
        <f t="shared" si="11"/>
        <v>-27.494065215827231</v>
      </c>
      <c r="U49" s="8"/>
      <c r="V49" s="8"/>
    </row>
    <row r="50" spans="1:22" x14ac:dyDescent="0.35">
      <c r="A50">
        <v>1.125</v>
      </c>
      <c r="B50" s="9">
        <v>15.9375</v>
      </c>
      <c r="C50">
        <v>-1.839706E-2</v>
      </c>
      <c r="D50">
        <v>3.6855360999999998E-4</v>
      </c>
      <c r="E50">
        <v>0.98139482</v>
      </c>
      <c r="F50">
        <v>-1.1925944999999999E-3</v>
      </c>
      <c r="G50">
        <f t="shared" si="4"/>
        <v>26.512045916390999</v>
      </c>
      <c r="H50">
        <f t="shared" si="5"/>
        <v>-0.60116747629290201</v>
      </c>
      <c r="I50">
        <f t="shared" si="6"/>
        <v>26.511942455047201</v>
      </c>
      <c r="J50">
        <f t="shared" si="7"/>
        <v>-0.60194821235053697</v>
      </c>
      <c r="K50" s="7">
        <f t="shared" si="8"/>
        <v>1.03461343798017E-4</v>
      </c>
      <c r="L50" s="7">
        <f t="shared" si="9"/>
        <v>7.8073605763495603E-4</v>
      </c>
      <c r="M50" s="7">
        <f t="shared" si="12"/>
        <v>3.7699416389443997E-2</v>
      </c>
      <c r="N50" s="7">
        <f t="shared" si="13"/>
        <v>8.5595751200660103E-4</v>
      </c>
      <c r="O50">
        <v>0.43709726999999998</v>
      </c>
      <c r="P50">
        <v>-1.953714</v>
      </c>
      <c r="Q50">
        <v>-1.5431941</v>
      </c>
      <c r="R50">
        <v>-5.8038369000000003</v>
      </c>
      <c r="S50">
        <f t="shared" si="10"/>
        <v>2.9997296585593882</v>
      </c>
      <c r="T50">
        <f t="shared" si="11"/>
        <v>-27.50087878921968</v>
      </c>
      <c r="U50" s="8"/>
      <c r="V50" s="8"/>
    </row>
    <row r="51" spans="1:22" x14ac:dyDescent="0.35">
      <c r="A51">
        <v>1.125</v>
      </c>
      <c r="B51" s="9">
        <v>16</v>
      </c>
      <c r="C51">
        <v>-1.8883800999999999E-2</v>
      </c>
      <c r="D51">
        <v>1.5861839E-3</v>
      </c>
      <c r="E51">
        <v>0.98088547999999998</v>
      </c>
      <c r="F51">
        <v>6.0094204000000002E-5</v>
      </c>
      <c r="G51">
        <f t="shared" si="4"/>
        <v>25.7677037785149</v>
      </c>
      <c r="H51">
        <f t="shared" si="5"/>
        <v>1.1384279750924799</v>
      </c>
      <c r="I51">
        <f t="shared" si="6"/>
        <v>25.767588988144201</v>
      </c>
      <c r="J51">
        <f t="shared" si="7"/>
        <v>1.13766475460955</v>
      </c>
      <c r="K51" s="7">
        <f t="shared" si="8"/>
        <v>1.1479037069861399E-4</v>
      </c>
      <c r="L51" s="7">
        <f t="shared" si="9"/>
        <v>7.6322048292998301E-4</v>
      </c>
      <c r="M51" s="7">
        <f t="shared" si="12"/>
        <v>3.8732940140664598E-2</v>
      </c>
      <c r="N51" s="7">
        <f t="shared" si="13"/>
        <v>-1.71009793973003E-3</v>
      </c>
      <c r="O51">
        <v>0.30548497000000002</v>
      </c>
      <c r="P51">
        <v>-2.0000846999999999</v>
      </c>
      <c r="Q51">
        <v>-1.9621261000000001</v>
      </c>
      <c r="R51">
        <v>-5.7559190999999998</v>
      </c>
      <c r="S51">
        <f t="shared" si="10"/>
        <v>3.0055971270273476</v>
      </c>
      <c r="T51">
        <f t="shared" si="11"/>
        <v>-27.507664770024725</v>
      </c>
      <c r="U51" s="8"/>
      <c r="V51" s="8"/>
    </row>
    <row r="52" spans="1:22" x14ac:dyDescent="0.35">
      <c r="A52">
        <v>1.125</v>
      </c>
      <c r="B52" s="9">
        <v>16.0625</v>
      </c>
      <c r="C52">
        <v>-1.9199214999999999E-2</v>
      </c>
      <c r="D52">
        <v>2.8635238E-3</v>
      </c>
      <c r="E52">
        <v>0.98054717999999996</v>
      </c>
      <c r="F52">
        <v>1.3853629000000001E-3</v>
      </c>
      <c r="G52">
        <f t="shared" si="4"/>
        <v>25.063022998649299</v>
      </c>
      <c r="H52">
        <f t="shared" si="5"/>
        <v>2.8104188374485699</v>
      </c>
      <c r="I52">
        <f t="shared" si="6"/>
        <v>25.062896726515799</v>
      </c>
      <c r="J52">
        <f t="shared" si="7"/>
        <v>2.8096795699323298</v>
      </c>
      <c r="K52" s="7">
        <f t="shared" si="8"/>
        <v>1.26272133499583E-4</v>
      </c>
      <c r="L52" s="7">
        <f t="shared" si="9"/>
        <v>7.3926751624009402E-4</v>
      </c>
      <c r="M52" s="7">
        <f t="shared" si="12"/>
        <v>3.9404400514887902E-2</v>
      </c>
      <c r="N52" s="7">
        <f t="shared" si="13"/>
        <v>-4.4174358734431303E-3</v>
      </c>
      <c r="O52">
        <v>0.16833655</v>
      </c>
      <c r="P52">
        <v>-2.0280035999999999</v>
      </c>
      <c r="Q52">
        <v>-2.3719366000000002</v>
      </c>
      <c r="R52">
        <v>-5.6509311000000002</v>
      </c>
      <c r="S52">
        <f t="shared" si="10"/>
        <v>3.0116041329444174</v>
      </c>
      <c r="T52">
        <f t="shared" si="11"/>
        <v>-27.514886884218743</v>
      </c>
      <c r="U52" s="8"/>
      <c r="V52" s="8"/>
    </row>
    <row r="53" spans="1:22" x14ac:dyDescent="0.35">
      <c r="A53">
        <v>1.125</v>
      </c>
      <c r="B53" s="9">
        <v>16.125</v>
      </c>
      <c r="C53">
        <v>-1.9334963E-2</v>
      </c>
      <c r="D53">
        <v>4.1640799999999997E-3</v>
      </c>
      <c r="E53">
        <v>0.98039206999999995</v>
      </c>
      <c r="F53">
        <v>2.7451392999999998E-3</v>
      </c>
      <c r="G53">
        <f t="shared" si="4"/>
        <v>24.3950599382094</v>
      </c>
      <c r="H53">
        <f t="shared" si="5"/>
        <v>4.4172059060020699</v>
      </c>
      <c r="I53">
        <f t="shared" si="6"/>
        <v>24.394923939633198</v>
      </c>
      <c r="J53">
        <f t="shared" si="7"/>
        <v>4.4164962423077396</v>
      </c>
      <c r="K53" s="7">
        <f t="shared" si="8"/>
        <v>1.35998576201501E-4</v>
      </c>
      <c r="L53" s="7">
        <f t="shared" si="9"/>
        <v>7.0966369433023103E-4</v>
      </c>
      <c r="M53" s="7">
        <f t="shared" si="12"/>
        <v>3.9691212656047699E-2</v>
      </c>
      <c r="N53" s="7">
        <f t="shared" si="13"/>
        <v>-7.1857609387040201E-3</v>
      </c>
      <c r="O53">
        <v>2.9529514999999999E-2</v>
      </c>
      <c r="P53">
        <v>-2.0370626999999999</v>
      </c>
      <c r="Q53">
        <v>-2.7611851000000001</v>
      </c>
      <c r="R53">
        <v>-5.4921613999999996</v>
      </c>
      <c r="S53">
        <f t="shared" si="10"/>
        <v>3.0173578254547322</v>
      </c>
      <c r="T53">
        <f t="shared" si="11"/>
        <v>-27.521479744564086</v>
      </c>
      <c r="U53" s="8"/>
      <c r="V53" s="8"/>
    </row>
    <row r="54" spans="1:22" x14ac:dyDescent="0.35">
      <c r="A54">
        <v>1.125</v>
      </c>
      <c r="B54" s="9">
        <v>16.1875</v>
      </c>
      <c r="C54">
        <v>-1.9292883E-2</v>
      </c>
      <c r="D54">
        <v>5.4508257999999997E-3</v>
      </c>
      <c r="E54">
        <v>0.98042417000000004</v>
      </c>
      <c r="F54">
        <v>4.0951386000000001E-3</v>
      </c>
      <c r="G54">
        <f t="shared" si="4"/>
        <v>23.764167849877499</v>
      </c>
      <c r="H54">
        <f t="shared" si="5"/>
        <v>5.95948176917498</v>
      </c>
      <c r="I54">
        <f t="shared" si="6"/>
        <v>23.7640268160267</v>
      </c>
      <c r="J54">
        <f t="shared" si="7"/>
        <v>5.9588037340520801</v>
      </c>
      <c r="K54" s="7">
        <f t="shared" si="8"/>
        <v>1.4103385079877699E-4</v>
      </c>
      <c r="L54" s="7">
        <f t="shared" si="9"/>
        <v>6.78035122899878E-4</v>
      </c>
      <c r="M54" s="7">
        <f t="shared" si="12"/>
        <v>3.9591118236213398E-2</v>
      </c>
      <c r="N54" s="7">
        <f t="shared" si="13"/>
        <v>-9.9274295980065798E-3</v>
      </c>
      <c r="O54">
        <v>-0.10712639</v>
      </c>
      <c r="P54">
        <v>-2.0275299000000002</v>
      </c>
      <c r="Q54">
        <v>-3.1200302</v>
      </c>
      <c r="R54">
        <v>-5.2856677000000003</v>
      </c>
      <c r="S54">
        <f t="shared" si="10"/>
        <v>3.0230250337751969</v>
      </c>
      <c r="T54">
        <f t="shared" si="11"/>
        <v>-27.528091692334655</v>
      </c>
      <c r="U54" s="8"/>
      <c r="V54" s="8"/>
    </row>
    <row r="55" spans="1:22" x14ac:dyDescent="0.35">
      <c r="A55">
        <v>1.125</v>
      </c>
      <c r="B55" s="9">
        <v>16.25</v>
      </c>
      <c r="C55">
        <v>-1.9084336E-2</v>
      </c>
      <c r="D55">
        <v>6.6895838999999997E-3</v>
      </c>
      <c r="E55">
        <v>0.98063657000000004</v>
      </c>
      <c r="F55">
        <v>5.3886215000000003E-3</v>
      </c>
      <c r="G55">
        <f t="shared" si="4"/>
        <v>23.173144106037402</v>
      </c>
      <c r="H55">
        <f t="shared" si="5"/>
        <v>7.4371230031029203</v>
      </c>
      <c r="I55">
        <f t="shared" si="6"/>
        <v>23.173004962864098</v>
      </c>
      <c r="J55">
        <f t="shared" si="7"/>
        <v>7.4364723405948903</v>
      </c>
      <c r="K55" s="7">
        <f t="shared" si="8"/>
        <v>1.39143173303324E-4</v>
      </c>
      <c r="L55" s="7">
        <f t="shared" si="9"/>
        <v>6.5066250803003101E-4</v>
      </c>
      <c r="M55" s="7">
        <f t="shared" si="12"/>
        <v>3.91244713520831E-2</v>
      </c>
      <c r="N55" s="7">
        <f t="shared" si="13"/>
        <v>-1.25554734708089E-2</v>
      </c>
      <c r="O55">
        <v>-0.23822386000000001</v>
      </c>
      <c r="P55">
        <v>-2.0006282999999998</v>
      </c>
      <c r="Q55">
        <v>-3.4409652999999998</v>
      </c>
      <c r="R55">
        <v>-5.0394224999999997</v>
      </c>
      <c r="S55">
        <f t="shared" si="10"/>
        <v>3.0287119827001274</v>
      </c>
      <c r="T55">
        <f t="shared" si="11"/>
        <v>-27.535136080201852</v>
      </c>
      <c r="U55" s="8"/>
      <c r="V55" s="8"/>
    </row>
    <row r="56" spans="1:22" x14ac:dyDescent="0.35">
      <c r="A56">
        <v>1.125</v>
      </c>
      <c r="B56" s="9">
        <v>16.3125</v>
      </c>
      <c r="C56">
        <v>-1.8727245E-2</v>
      </c>
      <c r="D56">
        <v>7.8512168999999993E-3</v>
      </c>
      <c r="E56">
        <v>0.98124376000000002</v>
      </c>
      <c r="F56">
        <v>6.6652782999999998E-3</v>
      </c>
      <c r="G56">
        <f t="shared" si="4"/>
        <v>22.6989614156447</v>
      </c>
      <c r="H56">
        <f t="shared" si="5"/>
        <v>8.9847201495719808</v>
      </c>
      <c r="I56">
        <f t="shared" si="6"/>
        <v>22.6989472695623</v>
      </c>
      <c r="J56">
        <f t="shared" si="7"/>
        <v>8.9841271632869795</v>
      </c>
      <c r="K56" s="7">
        <f t="shared" si="8"/>
        <v>1.41460823996908E-5</v>
      </c>
      <c r="L56" s="7">
        <f t="shared" si="9"/>
        <v>5.9298628500137297E-4</v>
      </c>
      <c r="M56" s="7">
        <f t="shared" si="12"/>
        <v>3.8088246075745603E-2</v>
      </c>
      <c r="N56" s="7">
        <f t="shared" si="13"/>
        <v>-1.5075132873228699E-2</v>
      </c>
      <c r="O56">
        <v>-0.36181413000000001</v>
      </c>
      <c r="P56">
        <v>-1.9585398999999999</v>
      </c>
      <c r="Q56">
        <v>-3.7208629000000002</v>
      </c>
      <c r="R56">
        <v>-4.7619191000000001</v>
      </c>
      <c r="S56">
        <f t="shared" si="10"/>
        <v>3.034240610386234</v>
      </c>
      <c r="T56">
        <f t="shared" si="11"/>
        <v>-27.536688031588021</v>
      </c>
      <c r="U56" s="8"/>
      <c r="V56" s="8"/>
    </row>
    <row r="57" spans="1:22" x14ac:dyDescent="0.35">
      <c r="A57">
        <v>1.125</v>
      </c>
      <c r="B57" s="9">
        <v>16.375</v>
      </c>
      <c r="C57">
        <v>-1.8247874000000001E-2</v>
      </c>
      <c r="D57">
        <v>8.9154987999999994E-3</v>
      </c>
      <c r="E57">
        <v>0.98173705</v>
      </c>
      <c r="F57">
        <v>7.7386284000000001E-3</v>
      </c>
      <c r="G57">
        <f t="shared" si="4"/>
        <v>22.171898136327201</v>
      </c>
      <c r="H57">
        <f t="shared" si="5"/>
        <v>10.341901837837</v>
      </c>
      <c r="I57">
        <f t="shared" si="6"/>
        <v>22.171890944534098</v>
      </c>
      <c r="J57">
        <f t="shared" si="7"/>
        <v>10.341313393969401</v>
      </c>
      <c r="K57" s="7">
        <f t="shared" si="8"/>
        <v>7.1917931023790499E-6</v>
      </c>
      <c r="L57" s="7">
        <f t="shared" si="9"/>
        <v>5.8844386759915302E-4</v>
      </c>
      <c r="M57" s="7">
        <f t="shared" si="12"/>
        <v>3.7043568085145397E-2</v>
      </c>
      <c r="N57" s="7">
        <f t="shared" si="13"/>
        <v>-1.7277693984588598E-2</v>
      </c>
      <c r="O57">
        <v>-0.4737439</v>
      </c>
      <c r="P57">
        <v>-1.9031901</v>
      </c>
      <c r="Q57">
        <v>-3.9526762</v>
      </c>
      <c r="R57">
        <v>-4.4639465999999999</v>
      </c>
      <c r="S57">
        <f t="shared" si="10"/>
        <v>3.0400874625729899</v>
      </c>
      <c r="T57">
        <f t="shared" si="11"/>
        <v>-27.545780526958364</v>
      </c>
      <c r="U57" s="8"/>
      <c r="V57" s="8"/>
    </row>
    <row r="58" spans="1:22" x14ac:dyDescent="0.35">
      <c r="A58">
        <v>1.125</v>
      </c>
      <c r="B58" s="9">
        <v>16.4375</v>
      </c>
      <c r="C58">
        <v>-1.7671618E-2</v>
      </c>
      <c r="D58">
        <v>9.8685443000000005E-3</v>
      </c>
      <c r="E58">
        <v>0.98232805000000001</v>
      </c>
      <c r="F58">
        <v>8.6986955000000008E-3</v>
      </c>
      <c r="G58">
        <f t="shared" si="4"/>
        <v>21.6741275136688</v>
      </c>
      <c r="H58">
        <f t="shared" si="5"/>
        <v>11.6491544145963</v>
      </c>
      <c r="I58">
        <f t="shared" si="6"/>
        <v>21.674127689805399</v>
      </c>
      <c r="J58">
        <f t="shared" si="7"/>
        <v>11.648569490202201</v>
      </c>
      <c r="K58" s="7">
        <f t="shared" si="8"/>
        <v>-1.7613659863968699E-7</v>
      </c>
      <c r="L58" s="7">
        <f t="shared" si="9"/>
        <v>5.8492439409896203E-4</v>
      </c>
      <c r="M58" s="7">
        <f t="shared" si="12"/>
        <v>3.5797964717678703E-2</v>
      </c>
      <c r="N58" s="7">
        <f t="shared" si="13"/>
        <v>-1.92393016037192E-2</v>
      </c>
      <c r="O58">
        <v>-0.57359952999999997</v>
      </c>
      <c r="P58">
        <v>-1.8381411000000001</v>
      </c>
      <c r="Q58">
        <v>-4.1383846999999996</v>
      </c>
      <c r="R58">
        <v>-4.1550538000000001</v>
      </c>
      <c r="S58">
        <f t="shared" si="10"/>
        <v>3.045534898560339</v>
      </c>
      <c r="T58">
        <f t="shared" si="11"/>
        <v>-27.554092288164348</v>
      </c>
      <c r="U58" s="8"/>
      <c r="V58" s="8"/>
    </row>
    <row r="59" spans="1:22" x14ac:dyDescent="0.35">
      <c r="A59">
        <v>1.125</v>
      </c>
      <c r="B59" s="9">
        <v>16.5</v>
      </c>
      <c r="C59">
        <v>-1.7024862000000002E-2</v>
      </c>
      <c r="D59">
        <v>1.0704119E-2</v>
      </c>
      <c r="E59">
        <v>0.98298750999999995</v>
      </c>
      <c r="F59">
        <v>9.5438117999999995E-3</v>
      </c>
      <c r="G59">
        <f t="shared" si="4"/>
        <v>21.2002946546476</v>
      </c>
      <c r="H59">
        <f t="shared" si="5"/>
        <v>12.9092299501298</v>
      </c>
      <c r="I59">
        <f t="shared" si="6"/>
        <v>21.200301177181199</v>
      </c>
      <c r="J59">
        <f t="shared" si="7"/>
        <v>12.9086498039026</v>
      </c>
      <c r="K59" s="7">
        <f t="shared" si="8"/>
        <v>-6.5225335994512096E-6</v>
      </c>
      <c r="L59" s="7">
        <f t="shared" si="9"/>
        <v>5.8014622720037302E-4</v>
      </c>
      <c r="M59" s="7">
        <f t="shared" si="12"/>
        <v>3.4411268623575998E-2</v>
      </c>
      <c r="N59" s="7">
        <f t="shared" si="13"/>
        <v>-2.09526747878413E-2</v>
      </c>
      <c r="O59">
        <v>-0.66085340000000004</v>
      </c>
      <c r="P59">
        <v>-1.7664184999999999</v>
      </c>
      <c r="Q59">
        <v>-4.2800884999999997</v>
      </c>
      <c r="R59">
        <v>-3.8438978000000001</v>
      </c>
      <c r="S59">
        <f t="shared" si="10"/>
        <v>3.0502798908149718</v>
      </c>
      <c r="T59">
        <f t="shared" si="11"/>
        <v>-27.561502973344606</v>
      </c>
      <c r="U59" s="8"/>
      <c r="V59" s="8"/>
    </row>
    <row r="60" spans="1:22" x14ac:dyDescent="0.35">
      <c r="A60">
        <v>1.125</v>
      </c>
      <c r="B60" s="9">
        <v>16.5625</v>
      </c>
      <c r="C60">
        <v>-1.6332073999999999E-2</v>
      </c>
      <c r="D60">
        <v>1.1422119E-2</v>
      </c>
      <c r="E60">
        <v>0.98369057999999998</v>
      </c>
      <c r="F60">
        <v>1.0274629E-2</v>
      </c>
      <c r="G60">
        <f t="shared" si="4"/>
        <v>20.747978770529901</v>
      </c>
      <c r="H60">
        <f t="shared" si="5"/>
        <v>14.1237876879793</v>
      </c>
      <c r="I60">
        <f t="shared" si="6"/>
        <v>20.747990426573701</v>
      </c>
      <c r="J60">
        <f t="shared" si="7"/>
        <v>14.1232139561655</v>
      </c>
      <c r="K60" s="7">
        <f t="shared" si="8"/>
        <v>-1.16560437994906E-5</v>
      </c>
      <c r="L60" s="7">
        <f t="shared" si="9"/>
        <v>5.7373181379993799E-4</v>
      </c>
      <c r="M60" s="7">
        <f t="shared" si="12"/>
        <v>3.2936231206288802E-2</v>
      </c>
      <c r="N60" s="7">
        <f t="shared" si="13"/>
        <v>-2.2419782864386499E-2</v>
      </c>
      <c r="O60">
        <v>-0.73515441000000004</v>
      </c>
      <c r="P60">
        <v>-1.6896694999999999</v>
      </c>
      <c r="Q60">
        <v>-4.3814761000000004</v>
      </c>
      <c r="R60">
        <v>-3.5375320000000001</v>
      </c>
      <c r="S60">
        <f t="shared" si="10"/>
        <v>3.0560499194153725</v>
      </c>
      <c r="T60">
        <f t="shared" si="11"/>
        <v>-27.569896824822891</v>
      </c>
      <c r="U60" s="8"/>
      <c r="V60" s="8"/>
    </row>
    <row r="61" spans="1:22" x14ac:dyDescent="0.35">
      <c r="A61">
        <v>1.125</v>
      </c>
      <c r="B61" s="9">
        <v>16.625</v>
      </c>
      <c r="C61">
        <v>-1.5614632999999999E-2</v>
      </c>
      <c r="D61">
        <v>1.2027137E-2</v>
      </c>
      <c r="E61">
        <v>0.98441639999999997</v>
      </c>
      <c r="F61">
        <v>1.0895017E-2</v>
      </c>
      <c r="G61">
        <f t="shared" si="4"/>
        <v>20.3160930230021</v>
      </c>
      <c r="H61">
        <f t="shared" si="5"/>
        <v>15.2944143091655</v>
      </c>
      <c r="I61">
        <f t="shared" si="6"/>
        <v>20.316108859670301</v>
      </c>
      <c r="J61">
        <f t="shared" si="7"/>
        <v>15.293848266913001</v>
      </c>
      <c r="K61" s="7">
        <f t="shared" si="8"/>
        <v>-1.58366682008193E-5</v>
      </c>
      <c r="L61" s="7">
        <f t="shared" si="9"/>
        <v>5.6604225249934402E-4</v>
      </c>
      <c r="M61" s="7">
        <f t="shared" si="12"/>
        <v>3.1417663659049903E-2</v>
      </c>
      <c r="N61" s="7">
        <f t="shared" si="13"/>
        <v>-2.3651033976110201E-2</v>
      </c>
      <c r="O61">
        <v>-0.79755049</v>
      </c>
      <c r="P61">
        <v>-1.611189</v>
      </c>
      <c r="Q61">
        <v>-4.4471794999999998</v>
      </c>
      <c r="R61">
        <v>-3.2413607</v>
      </c>
      <c r="S61">
        <f t="shared" si="10"/>
        <v>3.0610368542328481</v>
      </c>
      <c r="T61">
        <f t="shared" si="11"/>
        <v>-27.577527074472474</v>
      </c>
      <c r="U61" s="8"/>
      <c r="V61" s="8"/>
    </row>
    <row r="62" spans="1:22" x14ac:dyDescent="0.35">
      <c r="A62">
        <v>1.125</v>
      </c>
      <c r="B62" s="9">
        <v>16.6875</v>
      </c>
      <c r="C62">
        <v>-1.4890280000000001E-2</v>
      </c>
      <c r="D62">
        <v>1.2527007999999999E-2</v>
      </c>
      <c r="E62">
        <v>0.98514784</v>
      </c>
      <c r="F62">
        <v>1.1411874000000001E-2</v>
      </c>
      <c r="G62">
        <f t="shared" si="4"/>
        <v>19.903907974525101</v>
      </c>
      <c r="H62">
        <f t="shared" si="5"/>
        <v>16.4228378229196</v>
      </c>
      <c r="I62">
        <f t="shared" si="6"/>
        <v>19.903927345024901</v>
      </c>
      <c r="J62">
        <f t="shared" si="7"/>
        <v>16.422280277346701</v>
      </c>
      <c r="K62" s="7">
        <f t="shared" si="8"/>
        <v>-1.9370499799720198E-5</v>
      </c>
      <c r="L62" s="7">
        <f t="shared" si="9"/>
        <v>5.5754557289944295E-4</v>
      </c>
      <c r="M62" s="7">
        <f t="shared" si="12"/>
        <v>2.9892167557361099E-2</v>
      </c>
      <c r="N62" s="7">
        <f t="shared" si="13"/>
        <v>-2.46633513685478E-2</v>
      </c>
      <c r="O62">
        <v>-0.84869262000000001</v>
      </c>
      <c r="P62">
        <v>-1.5322884000000001</v>
      </c>
      <c r="Q62">
        <v>-4.4820909999999996</v>
      </c>
      <c r="R62">
        <v>-2.9591859</v>
      </c>
      <c r="S62">
        <f t="shared" si="10"/>
        <v>3.066205782698511</v>
      </c>
      <c r="T62">
        <f t="shared" si="11"/>
        <v>-27.585364297778007</v>
      </c>
      <c r="U62" s="8"/>
      <c r="V62" s="8"/>
    </row>
    <row r="63" spans="1:22" x14ac:dyDescent="0.35">
      <c r="A63">
        <v>1.125</v>
      </c>
      <c r="B63" s="9">
        <v>16.75</v>
      </c>
      <c r="C63">
        <v>-1.4173043999999999E-2</v>
      </c>
      <c r="D63">
        <v>1.2931493000000001E-2</v>
      </c>
      <c r="E63">
        <v>0.98587137000000002</v>
      </c>
      <c r="F63">
        <v>1.1834236E-2</v>
      </c>
      <c r="G63">
        <f t="shared" si="4"/>
        <v>19.510702200601202</v>
      </c>
      <c r="H63">
        <f t="shared" si="5"/>
        <v>17.510895988420302</v>
      </c>
      <c r="I63">
        <f t="shared" si="6"/>
        <v>19.510724708081099</v>
      </c>
      <c r="J63">
        <f t="shared" si="7"/>
        <v>17.5103473844514</v>
      </c>
      <c r="K63" s="7">
        <f t="shared" si="8"/>
        <v>-2.2507479897626601E-5</v>
      </c>
      <c r="L63" s="7">
        <f t="shared" si="9"/>
        <v>5.4860396890177299E-4</v>
      </c>
      <c r="M63" s="7">
        <f t="shared" si="12"/>
        <v>2.8388293594335801E-2</v>
      </c>
      <c r="N63" s="7">
        <f t="shared" si="13"/>
        <v>-2.5477725196067599E-2</v>
      </c>
      <c r="O63">
        <v>-0.88975046999999996</v>
      </c>
      <c r="P63">
        <v>-1.4545304999999999</v>
      </c>
      <c r="Q63">
        <v>-4.491136</v>
      </c>
      <c r="R63">
        <v>-2.6934855</v>
      </c>
      <c r="S63">
        <f t="shared" si="10"/>
        <v>3.0713450007070602</v>
      </c>
      <c r="T63">
        <f t="shared" si="11"/>
        <v>-27.592933303751991</v>
      </c>
      <c r="U63" s="8"/>
      <c r="V63" s="8"/>
    </row>
    <row r="64" spans="1:22" x14ac:dyDescent="0.35">
      <c r="A64">
        <v>1.125</v>
      </c>
      <c r="B64" s="9">
        <v>16.8125</v>
      </c>
      <c r="C64">
        <v>-1.3473506E-2</v>
      </c>
      <c r="D64">
        <v>1.3251222999999999E-2</v>
      </c>
      <c r="E64">
        <v>0.98657673999999995</v>
      </c>
      <c r="F64">
        <v>1.2172278999999999E-2</v>
      </c>
      <c r="G64">
        <f t="shared" si="4"/>
        <v>19.1356662434215</v>
      </c>
      <c r="H64">
        <f t="shared" si="5"/>
        <v>18.560408999315602</v>
      </c>
      <c r="I64">
        <f t="shared" si="6"/>
        <v>19.1356916567984</v>
      </c>
      <c r="J64">
        <f t="shared" si="7"/>
        <v>18.559869554577901</v>
      </c>
      <c r="K64" s="7">
        <f t="shared" si="8"/>
        <v>-2.54133768997633E-5</v>
      </c>
      <c r="L64" s="7">
        <f t="shared" si="9"/>
        <v>5.3944473770073398E-4</v>
      </c>
      <c r="M64" s="7">
        <f t="shared" si="12"/>
        <v>2.6927274956537101E-2</v>
      </c>
      <c r="N64" s="7">
        <f t="shared" si="13"/>
        <v>-2.61169922476269E-2</v>
      </c>
      <c r="O64">
        <v>-0.92203325999999997</v>
      </c>
      <c r="P64">
        <v>-1.3791693</v>
      </c>
      <c r="Q64">
        <v>-4.4789604000000001</v>
      </c>
      <c r="R64">
        <v>-2.4456337000000001</v>
      </c>
      <c r="S64">
        <f t="shared" si="10"/>
        <v>3.0760594334282247</v>
      </c>
      <c r="T64">
        <f t="shared" si="11"/>
        <v>-27.599854597211468</v>
      </c>
      <c r="U64" s="8"/>
      <c r="V64" s="8"/>
    </row>
    <row r="65" spans="1:22" x14ac:dyDescent="0.35">
      <c r="A65">
        <v>1.125</v>
      </c>
      <c r="B65" s="9">
        <v>16.875</v>
      </c>
      <c r="C65">
        <v>-1.2799232000000001E-2</v>
      </c>
      <c r="D65">
        <v>1.3496917000000001E-2</v>
      </c>
      <c r="E65">
        <v>0.98725664000000002</v>
      </c>
      <c r="F65">
        <v>1.2436511000000001E-2</v>
      </c>
      <c r="G65">
        <f t="shared" si="4"/>
        <v>18.777898398935701</v>
      </c>
      <c r="H65">
        <f t="shared" si="5"/>
        <v>19.573155574506401</v>
      </c>
      <c r="I65">
        <f t="shared" si="6"/>
        <v>18.777926615246798</v>
      </c>
      <c r="J65">
        <f t="shared" si="7"/>
        <v>19.572625401277602</v>
      </c>
      <c r="K65" s="7">
        <f t="shared" si="8"/>
        <v>-2.8216311097395399E-5</v>
      </c>
      <c r="L65" s="7">
        <f t="shared" si="9"/>
        <v>5.3017322879966898E-4</v>
      </c>
      <c r="M65" s="7">
        <f t="shared" si="12"/>
        <v>2.5523953697618701E-2</v>
      </c>
      <c r="N65" s="7">
        <f t="shared" si="13"/>
        <v>-2.6604150432530602E-2</v>
      </c>
      <c r="O65">
        <v>-0.94638831999999995</v>
      </c>
      <c r="P65">
        <v>-1.3065511999999999</v>
      </c>
      <c r="Q65">
        <v>-4.4497333000000001</v>
      </c>
      <c r="R65">
        <v>-2.2161309</v>
      </c>
      <c r="S65">
        <f t="shared" si="10"/>
        <v>3.0813004487599618</v>
      </c>
      <c r="T65">
        <f t="shared" si="11"/>
        <v>-27.607659435555959</v>
      </c>
      <c r="U65" s="8"/>
      <c r="V65" s="8"/>
    </row>
    <row r="66" spans="1:22" x14ac:dyDescent="0.35">
      <c r="A66">
        <v>1.125</v>
      </c>
      <c r="B66" s="9">
        <v>16.9375</v>
      </c>
      <c r="C66">
        <v>-1.2155282E-2</v>
      </c>
      <c r="D66">
        <v>1.3678846999999999E-2</v>
      </c>
      <c r="E66">
        <v>0.98790621000000001</v>
      </c>
      <c r="F66">
        <v>1.2637176999999999E-2</v>
      </c>
      <c r="G66">
        <f t="shared" si="4"/>
        <v>18.436426185134099</v>
      </c>
      <c r="H66">
        <f t="shared" si="5"/>
        <v>20.550814009202</v>
      </c>
      <c r="I66">
        <f t="shared" si="6"/>
        <v>18.436457201432798</v>
      </c>
      <c r="J66">
        <f t="shared" si="7"/>
        <v>20.550293206368998</v>
      </c>
      <c r="K66" s="7">
        <f t="shared" si="8"/>
        <v>-3.1016298699171303E-5</v>
      </c>
      <c r="L66" s="7">
        <f t="shared" si="9"/>
        <v>5.2080283300171004E-4</v>
      </c>
      <c r="M66" s="7">
        <f t="shared" si="12"/>
        <v>2.4187921531976998E-2</v>
      </c>
      <c r="N66" s="7">
        <f t="shared" si="13"/>
        <v>-2.6961192928983298E-2</v>
      </c>
      <c r="O66">
        <v>-0.96426193000000004</v>
      </c>
      <c r="P66">
        <v>-1.2375657</v>
      </c>
      <c r="Q66">
        <v>-4.4071113999999998</v>
      </c>
      <c r="R66">
        <v>-2.0048363</v>
      </c>
      <c r="S66">
        <f t="shared" si="10"/>
        <v>3.0860920840066806</v>
      </c>
      <c r="T66">
        <f t="shared" si="11"/>
        <v>-27.614464410770456</v>
      </c>
      <c r="U66" s="8"/>
      <c r="V66" s="8"/>
    </row>
    <row r="67" spans="1:22" x14ac:dyDescent="0.35">
      <c r="A67">
        <v>1.125</v>
      </c>
      <c r="B67" s="9">
        <v>17</v>
      </c>
      <c r="C67">
        <v>-1.1544709E-2</v>
      </c>
      <c r="D67">
        <v>1.3806525E-2</v>
      </c>
      <c r="E67">
        <v>0.98852256000000005</v>
      </c>
      <c r="F67">
        <v>1.2783889E-2</v>
      </c>
      <c r="G67">
        <f t="shared" ref="G67:G130" si="14">IMREAL(IMDIV(IMSUM(IMPRODUCT(COMPLEX(1 + C67,D67),COMPLEX(1 - C67, - D67)),IMPRODUCT(COMPLEX(E67,F67),COMPLEX(E67,F67))),IMSUB(IMPRODUCT(COMPLEX(1 - C67, - D67),COMPLEX(1 - C67, - D67)),IMPRODUCT(COMPLEX(E67,F67),COMPLEX(E67,F67)))))</f>
        <v>18.1102145074932</v>
      </c>
      <c r="H67">
        <f t="shared" ref="H67:H130" si="15">IMAGINARY(IMDIV(IMSUM(IMPRODUCT(COMPLEX(1 + C67,D67),COMPLEX(1 - C67, - D67)),IMPRODUCT(COMPLEX(E67,F67),COMPLEX(E67,F67))),IMSUB(IMPRODUCT(COMPLEX(1 - C67, - D67),COMPLEX(1 - C67, - D67)),IMPRODUCT(COMPLEX(E67,F67),COMPLEX(E67,F67)))))</f>
        <v>21.494937090512501</v>
      </c>
      <c r="I67">
        <f t="shared" ref="I67:I130" si="16">IMREAL(IMDIV(IMPRODUCT(COMPLEX(2,0),COMPLEX(E67,F67)),IMSUB(IMPRODUCT(COMPLEX(1 - C67, - D67),COMPLEX(1 - C67, - D67)),IMPRODUCT(COMPLEX(E67,F67),COMPLEX(E67,F67)))))</f>
        <v>18.110248402281599</v>
      </c>
      <c r="J67">
        <f t="shared" ref="J67:J130" si="17">IMAGINARY(IMDIV(IMPRODUCT(COMPLEX(2,0),COMPLEX(E67,F67)),IMSUB(IMPRODUCT(COMPLEX(1 - C67, - D67),COMPLEX(1 - C67, - D67)),IMPRODUCT(COMPLEX(E67,F67),COMPLEX(E67,F67)))))</f>
        <v>21.494425807040301</v>
      </c>
      <c r="K67" s="7">
        <f t="shared" ref="K67:K130" si="18">IMREAL(IMSUB(COMPLEX(G67,H67),COMPLEX(I67,J67)))</f>
        <v>-3.38947883982144E-5</v>
      </c>
      <c r="L67" s="7">
        <f t="shared" ref="L67:L130" si="19">IMAGINARY(IMSUB(COMPLEX(G67,H67),COMPLEX(I67,J67)))</f>
        <v>5.1128347219986403E-4</v>
      </c>
      <c r="M67" s="7">
        <f t="shared" ref="M67:M130" si="20">IMREAL(IMDIV(IMSUB(IMPRODUCT(COMPLEX(1 - C67, - D67),COMPLEX(1 - C67, - D67)),IMPRODUCT(COMPLEX(E67,F67),COMPLEX(E67,F67))),IMPRODUCT(COMPLEX(2,0),COMPLEX(E67,F67))))</f>
        <v>2.29246135235265E-2</v>
      </c>
      <c r="N67" s="7">
        <f t="shared" ref="N67:N130" si="21">IMAGINARY(IMDIV(IMSUB(IMPRODUCT(COMPLEX(1 - C67, - D67),COMPLEX(1 - C67, - D67)),IMPRODUCT(COMPLEX(E67,F67),COMPLEX(E67,F67))),IMPRODUCT(COMPLEX(2,0),COMPLEX(E67,F67))))</f>
        <v>-2.7208428818371901E-2</v>
      </c>
      <c r="O67">
        <v>-0.97654461000000004</v>
      </c>
      <c r="P67">
        <v>-1.1723452999999999</v>
      </c>
      <c r="Q67">
        <v>-4.3542854999999996</v>
      </c>
      <c r="R67">
        <v>-1.8111680999999999</v>
      </c>
      <c r="S67">
        <f t="shared" ref="S67:S130" si="22">IMABS(COMPLEX(Q67,R67))/IMABS(COMPLEX(O67,P67))</f>
        <v>3.0908229377334631</v>
      </c>
      <c r="T67">
        <f t="shared" ref="T67:T130" si="23">IMARGUMENT(IMDIV(COMPLEX(Q67,R67),COMPLEX(O67/B67,P67/B67)))/PI()*180</f>
        <v>-27.621348473794036</v>
      </c>
      <c r="U67" s="8"/>
      <c r="V67" s="8"/>
    </row>
    <row r="68" spans="1:22" x14ac:dyDescent="0.35">
      <c r="A68">
        <v>1.25</v>
      </c>
      <c r="B68" s="9">
        <v>15</v>
      </c>
      <c r="C68">
        <v>-7.5654620000000002E-3</v>
      </c>
      <c r="D68">
        <v>-6.3599236000000002E-3</v>
      </c>
      <c r="E68">
        <v>0.99245835000000004</v>
      </c>
      <c r="F68">
        <v>-8.1249571999999996E-3</v>
      </c>
      <c r="G68">
        <f t="shared" si="14"/>
        <v>33.988234675575498</v>
      </c>
      <c r="H68">
        <f t="shared" si="15"/>
        <v>-33.067299307098502</v>
      </c>
      <c r="I68">
        <f t="shared" si="16"/>
        <v>33.988247360241097</v>
      </c>
      <c r="J68">
        <f t="shared" si="17"/>
        <v>-33.068181802197003</v>
      </c>
      <c r="K68" s="7">
        <f t="shared" si="18"/>
        <v>-1.2684665598783299E-5</v>
      </c>
      <c r="L68" s="7">
        <f t="shared" si="19"/>
        <v>8.8249509850157903E-4</v>
      </c>
      <c r="M68" s="7">
        <f t="shared" si="20"/>
        <v>1.51145829247969E-2</v>
      </c>
      <c r="N68" s="7">
        <f t="shared" si="21"/>
        <v>1.4705429518741099E-2</v>
      </c>
      <c r="O68">
        <v>1.1041387</v>
      </c>
      <c r="P68">
        <v>-0.75433138</v>
      </c>
      <c r="Q68">
        <v>1.8369929</v>
      </c>
      <c r="R68">
        <v>-3.4146318</v>
      </c>
      <c r="S68">
        <f t="shared" si="22"/>
        <v>2.8996154313626623</v>
      </c>
      <c r="T68">
        <f t="shared" si="23"/>
        <v>-27.380459718250904</v>
      </c>
      <c r="U68" s="8"/>
      <c r="V68" s="8"/>
    </row>
    <row r="69" spans="1:22" x14ac:dyDescent="0.35">
      <c r="A69">
        <v>1.25</v>
      </c>
      <c r="B69" s="9">
        <v>15.0625</v>
      </c>
      <c r="C69">
        <v>-8.2627870000000006E-3</v>
      </c>
      <c r="D69">
        <v>-6.6153441999999996E-3</v>
      </c>
      <c r="E69">
        <v>0.99176494000000004</v>
      </c>
      <c r="F69">
        <v>-8.3604748999999996E-3</v>
      </c>
      <c r="G69">
        <f t="shared" si="14"/>
        <v>32.731355982525699</v>
      </c>
      <c r="H69">
        <f t="shared" si="15"/>
        <v>-30.1651292820391</v>
      </c>
      <c r="I69">
        <f t="shared" si="16"/>
        <v>32.731370607171499</v>
      </c>
      <c r="J69">
        <f t="shared" si="17"/>
        <v>-30.166001822531602</v>
      </c>
      <c r="K69" s="7">
        <f t="shared" si="18"/>
        <v>-1.46246458001542E-5</v>
      </c>
      <c r="L69" s="7">
        <f t="shared" si="19"/>
        <v>8.7254049250162801E-4</v>
      </c>
      <c r="M69" s="7">
        <f t="shared" si="20"/>
        <v>1.6519896157156801E-2</v>
      </c>
      <c r="N69" s="7">
        <f t="shared" si="21"/>
        <v>1.5225125264862501E-2</v>
      </c>
      <c r="O69">
        <v>1.1233266</v>
      </c>
      <c r="P69">
        <v>-0.82102357000000004</v>
      </c>
      <c r="Q69">
        <v>1.8048709999999999</v>
      </c>
      <c r="R69">
        <v>-3.6254268999999999</v>
      </c>
      <c r="S69">
        <f t="shared" si="22"/>
        <v>2.9106678893807159</v>
      </c>
      <c r="T69">
        <f t="shared" si="23"/>
        <v>-27.371644755314374</v>
      </c>
      <c r="U69" s="8"/>
      <c r="V69" s="8"/>
    </row>
    <row r="70" spans="1:22" x14ac:dyDescent="0.35">
      <c r="A70">
        <v>1.25</v>
      </c>
      <c r="B70" s="9">
        <v>15.125</v>
      </c>
      <c r="C70">
        <v>-9.0192945000000004E-3</v>
      </c>
      <c r="D70">
        <v>-6.8372355000000003E-3</v>
      </c>
      <c r="E70">
        <v>0.99101340000000004</v>
      </c>
      <c r="F70">
        <v>-8.5612021999999996E-3</v>
      </c>
      <c r="G70">
        <f t="shared" si="14"/>
        <v>31.577527137796999</v>
      </c>
      <c r="H70">
        <f t="shared" si="15"/>
        <v>-27.431915401346298</v>
      </c>
      <c r="I70">
        <f t="shared" si="16"/>
        <v>31.577544227758001</v>
      </c>
      <c r="J70">
        <f t="shared" si="17"/>
        <v>-27.4327773558744</v>
      </c>
      <c r="K70" s="7">
        <f t="shared" si="18"/>
        <v>-1.70899610019148E-5</v>
      </c>
      <c r="L70" s="7">
        <f t="shared" si="19"/>
        <v>8.6195452810145E-4</v>
      </c>
      <c r="M70" s="7">
        <f t="shared" si="20"/>
        <v>1.8047419547920301E-2</v>
      </c>
      <c r="N70" s="7">
        <f t="shared" si="21"/>
        <v>1.56785733157471E-2</v>
      </c>
      <c r="O70">
        <v>1.1404957</v>
      </c>
      <c r="P70">
        <v>-0.89374677999999996</v>
      </c>
      <c r="Q70">
        <v>1.7564241</v>
      </c>
      <c r="R70">
        <v>-3.8468257000000001</v>
      </c>
      <c r="S70">
        <f t="shared" si="22"/>
        <v>2.9185152246723844</v>
      </c>
      <c r="T70">
        <f t="shared" si="23"/>
        <v>-27.375069984911242</v>
      </c>
      <c r="U70" s="8"/>
      <c r="V70" s="8"/>
    </row>
    <row r="71" spans="1:22" x14ac:dyDescent="0.35">
      <c r="A71">
        <v>1.25</v>
      </c>
      <c r="B71" s="9">
        <v>15.1875</v>
      </c>
      <c r="C71">
        <v>-9.8411990000000001E-3</v>
      </c>
      <c r="D71">
        <v>-7.0182159000000003E-3</v>
      </c>
      <c r="E71">
        <v>0.99019679999999999</v>
      </c>
      <c r="F71">
        <v>-8.7221364000000003E-3</v>
      </c>
      <c r="G71">
        <f t="shared" si="14"/>
        <v>30.501418060783401</v>
      </c>
      <c r="H71">
        <f t="shared" si="15"/>
        <v>-24.8399062509116</v>
      </c>
      <c r="I71">
        <f t="shared" si="16"/>
        <v>30.501437785716799</v>
      </c>
      <c r="J71">
        <f t="shared" si="17"/>
        <v>-24.8407581781705</v>
      </c>
      <c r="K71" s="7">
        <f t="shared" si="18"/>
        <v>-1.97249333986349E-5</v>
      </c>
      <c r="L71" s="7">
        <f t="shared" si="19"/>
        <v>8.5192725889982101E-4</v>
      </c>
      <c r="M71" s="7">
        <f t="shared" si="20"/>
        <v>1.9711398855841101E-2</v>
      </c>
      <c r="N71" s="7">
        <f t="shared" si="21"/>
        <v>1.6053213483618399E-2</v>
      </c>
      <c r="O71">
        <v>1.1538870999999999</v>
      </c>
      <c r="P71">
        <v>-0.97264985000000004</v>
      </c>
      <c r="Q71">
        <v>1.6887779999999999</v>
      </c>
      <c r="R71">
        <v>-4.0792443</v>
      </c>
      <c r="S71">
        <f t="shared" si="22"/>
        <v>2.9255059933307073</v>
      </c>
      <c r="T71">
        <f t="shared" si="23"/>
        <v>-27.382140168549771</v>
      </c>
      <c r="U71" s="8"/>
      <c r="V71" s="8"/>
    </row>
    <row r="72" spans="1:22" x14ac:dyDescent="0.35">
      <c r="A72">
        <v>1.25</v>
      </c>
      <c r="B72" s="9">
        <v>15.25</v>
      </c>
      <c r="C72">
        <v>-1.0731608E-2</v>
      </c>
      <c r="D72">
        <v>-7.1465675000000001E-3</v>
      </c>
      <c r="E72">
        <v>0.98931141</v>
      </c>
      <c r="F72">
        <v>-8.8325758000000008E-3</v>
      </c>
      <c r="G72">
        <f t="shared" si="14"/>
        <v>29.4936330287677</v>
      </c>
      <c r="H72">
        <f t="shared" si="15"/>
        <v>-22.3743827910783</v>
      </c>
      <c r="I72">
        <f t="shared" si="16"/>
        <v>29.493655247914699</v>
      </c>
      <c r="J72">
        <f t="shared" si="17"/>
        <v>-22.375225758366099</v>
      </c>
      <c r="K72" s="7">
        <f t="shared" si="18"/>
        <v>-2.2219146998736499E-5</v>
      </c>
      <c r="L72" s="7">
        <f t="shared" si="19"/>
        <v>8.4296728779875696E-4</v>
      </c>
      <c r="M72" s="7">
        <f t="shared" si="20"/>
        <v>2.1519946389590702E-2</v>
      </c>
      <c r="N72" s="7">
        <f t="shared" si="21"/>
        <v>1.6326008245758999E-2</v>
      </c>
      <c r="O72">
        <v>1.1621136000000001</v>
      </c>
      <c r="P72">
        <v>-1.0579088999999999</v>
      </c>
      <c r="Q72">
        <v>1.5984658</v>
      </c>
      <c r="R72">
        <v>-4.3219181000000004</v>
      </c>
      <c r="S72">
        <f t="shared" si="22"/>
        <v>2.9322185344945484</v>
      </c>
      <c r="T72">
        <f t="shared" si="23"/>
        <v>-27.390444861944165</v>
      </c>
      <c r="U72" s="8"/>
      <c r="V72" s="8"/>
    </row>
    <row r="73" spans="1:22" x14ac:dyDescent="0.35">
      <c r="A73">
        <v>1.25</v>
      </c>
      <c r="B73" s="9">
        <v>15.3125</v>
      </c>
      <c r="C73">
        <v>-1.1691314E-2</v>
      </c>
      <c r="D73">
        <v>-7.2083119999999997E-3</v>
      </c>
      <c r="E73">
        <v>0.98835587000000003</v>
      </c>
      <c r="F73">
        <v>-8.8786530000000002E-3</v>
      </c>
      <c r="G73">
        <f t="shared" si="14"/>
        <v>28.548256360803599</v>
      </c>
      <c r="H73">
        <f t="shared" si="15"/>
        <v>-20.0248486672875</v>
      </c>
      <c r="I73">
        <f t="shared" si="16"/>
        <v>28.5482806497069</v>
      </c>
      <c r="J73">
        <f t="shared" si="17"/>
        <v>-20.025683797799601</v>
      </c>
      <c r="K73" s="7">
        <f t="shared" si="18"/>
        <v>-2.4288903301083999E-5</v>
      </c>
      <c r="L73" s="7">
        <f t="shared" si="19"/>
        <v>8.3513051210104495E-4</v>
      </c>
      <c r="M73" s="7">
        <f t="shared" si="20"/>
        <v>2.3476580120012899E-2</v>
      </c>
      <c r="N73" s="7">
        <f t="shared" si="21"/>
        <v>1.6468051996046101E-2</v>
      </c>
      <c r="O73">
        <v>1.1637579</v>
      </c>
      <c r="P73">
        <v>-1.1495294</v>
      </c>
      <c r="Q73">
        <v>1.4817761</v>
      </c>
      <c r="R73">
        <v>-4.5731187000000002</v>
      </c>
      <c r="S73">
        <f t="shared" si="22"/>
        <v>2.9387895770153243</v>
      </c>
      <c r="T73">
        <f t="shared" si="23"/>
        <v>-27.399113413508534</v>
      </c>
      <c r="U73" s="8"/>
      <c r="V73" s="8"/>
    </row>
    <row r="74" spans="1:22" x14ac:dyDescent="0.35">
      <c r="A74">
        <v>1.25</v>
      </c>
      <c r="B74" s="9">
        <v>15.375</v>
      </c>
      <c r="C74">
        <v>-1.2715837000000001E-2</v>
      </c>
      <c r="D74">
        <v>-7.1888606999999998E-3</v>
      </c>
      <c r="E74">
        <v>0.98713304000000002</v>
      </c>
      <c r="F74">
        <v>-8.9109513000000008E-3</v>
      </c>
      <c r="G74">
        <f t="shared" si="14"/>
        <v>27.499665767914902</v>
      </c>
      <c r="H74">
        <f t="shared" si="15"/>
        <v>-17.620346084784899</v>
      </c>
      <c r="I74">
        <f t="shared" si="16"/>
        <v>27.499590942271499</v>
      </c>
      <c r="J74">
        <f t="shared" si="17"/>
        <v>-17.621207259584899</v>
      </c>
      <c r="K74" s="7">
        <f t="shared" si="18"/>
        <v>7.4825643402221003E-5</v>
      </c>
      <c r="L74" s="7">
        <f t="shared" si="19"/>
        <v>8.6117480000069701E-4</v>
      </c>
      <c r="M74" s="7">
        <f t="shared" si="20"/>
        <v>2.5779228384772999E-2</v>
      </c>
      <c r="N74" s="7">
        <f t="shared" si="21"/>
        <v>1.65188321278621E-2</v>
      </c>
      <c r="O74">
        <v>1.1567635000000001</v>
      </c>
      <c r="P74">
        <v>-1.2468458</v>
      </c>
      <c r="Q74">
        <v>1.3330668999999999</v>
      </c>
      <c r="R74">
        <v>-4.8278353000000003</v>
      </c>
      <c r="S74">
        <f t="shared" si="22"/>
        <v>2.944787176589303</v>
      </c>
      <c r="T74">
        <f t="shared" si="23"/>
        <v>-27.417728347795432</v>
      </c>
      <c r="U74" s="8"/>
      <c r="V74" s="8"/>
    </row>
    <row r="75" spans="1:22" x14ac:dyDescent="0.35">
      <c r="A75">
        <v>1.25</v>
      </c>
      <c r="B75" s="9">
        <v>15.4375</v>
      </c>
      <c r="C75">
        <v>-1.3804998000000001E-2</v>
      </c>
      <c r="D75">
        <v>-7.0681511000000004E-3</v>
      </c>
      <c r="E75">
        <v>0.98604846000000002</v>
      </c>
      <c r="F75">
        <v>-8.7863025000000008E-3</v>
      </c>
      <c r="G75">
        <f t="shared" si="14"/>
        <v>26.6646810876661</v>
      </c>
      <c r="H75">
        <f t="shared" si="15"/>
        <v>-15.5159363395484</v>
      </c>
      <c r="I75">
        <f t="shared" si="16"/>
        <v>26.664608549469801</v>
      </c>
      <c r="J75">
        <f t="shared" si="17"/>
        <v>-15.5167955405187</v>
      </c>
      <c r="K75" s="7">
        <f t="shared" si="18"/>
        <v>7.2538196299376496E-5</v>
      </c>
      <c r="L75" s="7">
        <f t="shared" si="19"/>
        <v>8.59200970300122E-4</v>
      </c>
      <c r="M75" s="7">
        <f t="shared" si="20"/>
        <v>2.8015743626059301E-2</v>
      </c>
      <c r="N75" s="7">
        <f t="shared" si="21"/>
        <v>1.63030544759224E-2</v>
      </c>
      <c r="O75">
        <v>1.1406007</v>
      </c>
      <c r="P75">
        <v>-1.3499964</v>
      </c>
      <c r="Q75">
        <v>1.152682</v>
      </c>
      <c r="R75">
        <v>-5.0868475000000002</v>
      </c>
      <c r="S75">
        <f t="shared" si="22"/>
        <v>2.9512359065440927</v>
      </c>
      <c r="T75">
        <f t="shared" si="23"/>
        <v>-27.426553484317569</v>
      </c>
      <c r="U75" s="8"/>
      <c r="V75" s="8"/>
    </row>
    <row r="76" spans="1:22" x14ac:dyDescent="0.35">
      <c r="A76">
        <v>1.25</v>
      </c>
      <c r="B76" s="9">
        <v>15.5</v>
      </c>
      <c r="C76">
        <v>-1.4946409000000001E-2</v>
      </c>
      <c r="D76">
        <v>-6.8290297000000002E-3</v>
      </c>
      <c r="E76">
        <v>0.98490812999999999</v>
      </c>
      <c r="F76">
        <v>-8.5467498999999992E-3</v>
      </c>
      <c r="G76">
        <f t="shared" si="14"/>
        <v>25.879188762807701</v>
      </c>
      <c r="H76">
        <f t="shared" si="15"/>
        <v>-13.5023427182511</v>
      </c>
      <c r="I76">
        <f t="shared" si="16"/>
        <v>25.879116764818701</v>
      </c>
      <c r="J76">
        <f t="shared" si="17"/>
        <v>-13.5032017026617</v>
      </c>
      <c r="K76" s="7">
        <f t="shared" si="18"/>
        <v>7.1997989000038802E-5</v>
      </c>
      <c r="L76" s="7">
        <f t="shared" si="19"/>
        <v>8.5898441060017195E-4</v>
      </c>
      <c r="M76" s="7">
        <f t="shared" si="20"/>
        <v>3.03722280459016E-2</v>
      </c>
      <c r="N76" s="7">
        <f t="shared" si="21"/>
        <v>1.5847616639706401E-2</v>
      </c>
      <c r="O76">
        <v>1.1129479</v>
      </c>
      <c r="P76">
        <v>-1.4576903999999999</v>
      </c>
      <c r="Q76">
        <v>0.93507719</v>
      </c>
      <c r="R76">
        <v>-5.3430488</v>
      </c>
      <c r="S76">
        <f t="shared" si="22"/>
        <v>2.9576272473151235</v>
      </c>
      <c r="T76">
        <f t="shared" si="23"/>
        <v>-27.435066021549627</v>
      </c>
      <c r="U76" s="8"/>
      <c r="V76" s="8"/>
    </row>
    <row r="77" spans="1:22" x14ac:dyDescent="0.35">
      <c r="A77">
        <v>1.25</v>
      </c>
      <c r="B77" s="9">
        <v>15.5625</v>
      </c>
      <c r="C77">
        <v>-1.6125271E-2</v>
      </c>
      <c r="D77">
        <v>-6.4530763E-3</v>
      </c>
      <c r="E77">
        <v>0.98372651</v>
      </c>
      <c r="F77">
        <v>-8.1722085E-3</v>
      </c>
      <c r="G77">
        <f t="shared" si="14"/>
        <v>25.140514620961699</v>
      </c>
      <c r="H77">
        <f t="shared" si="15"/>
        <v>-11.574064998527</v>
      </c>
      <c r="I77">
        <f t="shared" si="16"/>
        <v>25.1404412449867</v>
      </c>
      <c r="J77">
        <f t="shared" si="17"/>
        <v>-11.574924691409899</v>
      </c>
      <c r="K77" s="7">
        <f t="shared" si="18"/>
        <v>7.3375974999123601E-5</v>
      </c>
      <c r="L77" s="7">
        <f t="shared" si="19"/>
        <v>8.5969288289966495E-4</v>
      </c>
      <c r="M77" s="7">
        <f t="shared" si="20"/>
        <v>3.2819533869246402E-2</v>
      </c>
      <c r="N77" s="7">
        <f t="shared" si="21"/>
        <v>1.5110460044906999E-2</v>
      </c>
      <c r="O77">
        <v>1.0724263000000001</v>
      </c>
      <c r="P77">
        <v>-1.5689811</v>
      </c>
      <c r="Q77">
        <v>0.67755712000000001</v>
      </c>
      <c r="R77">
        <v>-5.5902267999999999</v>
      </c>
      <c r="S77">
        <f t="shared" si="22"/>
        <v>2.9630184824883234</v>
      </c>
      <c r="T77">
        <f t="shared" si="23"/>
        <v>-27.442535262480231</v>
      </c>
      <c r="U77" s="8"/>
      <c r="V77" s="8"/>
    </row>
    <row r="78" spans="1:22" x14ac:dyDescent="0.35">
      <c r="A78">
        <v>1.25</v>
      </c>
      <c r="B78" s="9">
        <v>15.625</v>
      </c>
      <c r="C78">
        <v>-1.7321033E-2</v>
      </c>
      <c r="D78">
        <v>-5.9233677000000004E-3</v>
      </c>
      <c r="E78">
        <v>0.98252401</v>
      </c>
      <c r="F78">
        <v>-7.6438425999999999E-3</v>
      </c>
      <c r="G78">
        <f t="shared" si="14"/>
        <v>24.445893260602201</v>
      </c>
      <c r="H78">
        <f t="shared" si="15"/>
        <v>-9.7258518415547304</v>
      </c>
      <c r="I78">
        <f t="shared" si="16"/>
        <v>24.4458165162788</v>
      </c>
      <c r="J78">
        <f t="shared" si="17"/>
        <v>-9.7267122116832496</v>
      </c>
      <c r="K78" s="7">
        <f t="shared" si="18"/>
        <v>7.6744323401101196E-5</v>
      </c>
      <c r="L78" s="7">
        <f t="shared" si="19"/>
        <v>8.6037012851924999E-4</v>
      </c>
      <c r="M78" s="7">
        <f t="shared" si="20"/>
        <v>3.5315766684943302E-2</v>
      </c>
      <c r="N78" s="7">
        <f t="shared" si="21"/>
        <v>1.4051741689652701E-2</v>
      </c>
      <c r="O78">
        <v>1.0168348</v>
      </c>
      <c r="P78">
        <v>-1.6808202999999999</v>
      </c>
      <c r="Q78">
        <v>0.37861394999999998</v>
      </c>
      <c r="R78">
        <v>-5.8207661000000002</v>
      </c>
      <c r="S78">
        <f t="shared" si="22"/>
        <v>2.9692951287024454</v>
      </c>
      <c r="T78">
        <f t="shared" si="23"/>
        <v>-27.450820777404576</v>
      </c>
      <c r="U78" s="8"/>
      <c r="V78" s="8"/>
    </row>
    <row r="79" spans="1:22" x14ac:dyDescent="0.35">
      <c r="A79">
        <v>1.25</v>
      </c>
      <c r="B79" s="9">
        <v>15.6875</v>
      </c>
      <c r="C79">
        <v>-1.8507198999999998E-2</v>
      </c>
      <c r="D79">
        <v>-5.2263752000000002E-3</v>
      </c>
      <c r="E79">
        <v>0.98132712</v>
      </c>
      <c r="F79">
        <v>-6.9460763999999999E-3</v>
      </c>
      <c r="G79">
        <f t="shared" si="14"/>
        <v>23.7923812645369</v>
      </c>
      <c r="H79">
        <f t="shared" si="15"/>
        <v>-7.9526820846998696</v>
      </c>
      <c r="I79">
        <f t="shared" si="16"/>
        <v>23.7922991567</v>
      </c>
      <c r="J79">
        <f t="shared" si="17"/>
        <v>-7.9535420771425303</v>
      </c>
      <c r="K79" s="7">
        <f t="shared" si="18"/>
        <v>8.2107836899325494E-5</v>
      </c>
      <c r="L79" s="7">
        <f t="shared" si="19"/>
        <v>8.5999244266066199E-4</v>
      </c>
      <c r="M79" s="7">
        <f t="shared" si="20"/>
        <v>3.7805620329279803E-2</v>
      </c>
      <c r="N79" s="7">
        <f t="shared" si="21"/>
        <v>1.2638063688633801E-2</v>
      </c>
      <c r="O79">
        <v>0.94509370000000004</v>
      </c>
      <c r="P79">
        <v>-1.7906280999999999</v>
      </c>
      <c r="Q79">
        <v>3.8440111999999999E-2</v>
      </c>
      <c r="R79">
        <v>-6.0260924999999999</v>
      </c>
      <c r="S79">
        <f t="shared" si="22"/>
        <v>2.9762984469486602</v>
      </c>
      <c r="T79">
        <f t="shared" si="23"/>
        <v>-27.459615284395237</v>
      </c>
      <c r="U79" s="8"/>
      <c r="V79" s="8"/>
    </row>
    <row r="80" spans="1:22" x14ac:dyDescent="0.35">
      <c r="A80">
        <v>1.25</v>
      </c>
      <c r="B80" s="9">
        <v>15.75</v>
      </c>
      <c r="C80">
        <v>-1.9651808999999999E-2</v>
      </c>
      <c r="D80">
        <v>-4.3541530000000004E-3</v>
      </c>
      <c r="E80">
        <v>0.98016800999999998</v>
      </c>
      <c r="F80">
        <v>-6.0689033999999998E-3</v>
      </c>
      <c r="G80">
        <f t="shared" si="14"/>
        <v>23.176916037190701</v>
      </c>
      <c r="H80">
        <f t="shared" si="15"/>
        <v>-6.2498655780677002</v>
      </c>
      <c r="I80">
        <f t="shared" si="16"/>
        <v>23.176826673863999</v>
      </c>
      <c r="J80">
        <f t="shared" si="17"/>
        <v>-6.2507231071408098</v>
      </c>
      <c r="K80" s="7">
        <f t="shared" si="18"/>
        <v>8.9363326701175097E-5</v>
      </c>
      <c r="L80" s="7">
        <f t="shared" si="19"/>
        <v>8.5752907310965298E-4</v>
      </c>
      <c r="M80" s="7">
        <f t="shared" si="20"/>
        <v>4.02210086288197E-2</v>
      </c>
      <c r="N80" s="7">
        <f t="shared" si="21"/>
        <v>1.08474896743385E-2</v>
      </c>
      <c r="O80">
        <v>0.85704639000000005</v>
      </c>
      <c r="P80">
        <v>-1.8962843</v>
      </c>
      <c r="Q80">
        <v>-0.3406207</v>
      </c>
      <c r="R80">
        <v>-6.1970051000000002</v>
      </c>
      <c r="S80">
        <f t="shared" si="22"/>
        <v>2.9824403388054312</v>
      </c>
      <c r="T80">
        <f t="shared" si="23"/>
        <v>-27.467227062801246</v>
      </c>
      <c r="U80" s="8"/>
      <c r="V80" s="8"/>
    </row>
    <row r="81" spans="1:22" x14ac:dyDescent="0.35">
      <c r="A81">
        <v>1.25</v>
      </c>
      <c r="B81" s="9">
        <v>15.8125</v>
      </c>
      <c r="C81">
        <v>-2.0718828000000002E-2</v>
      </c>
      <c r="D81">
        <v>-3.3065483E-3</v>
      </c>
      <c r="E81">
        <v>0.97908307000000006</v>
      </c>
      <c r="F81">
        <v>-5.0101922999999998E-3</v>
      </c>
      <c r="G81">
        <f t="shared" si="14"/>
        <v>22.5963234454256</v>
      </c>
      <c r="H81">
        <f t="shared" si="15"/>
        <v>-4.6130536489341702</v>
      </c>
      <c r="I81">
        <f t="shared" si="16"/>
        <v>22.596225110429401</v>
      </c>
      <c r="J81">
        <f t="shared" si="17"/>
        <v>-4.61390563908855</v>
      </c>
      <c r="K81" s="7">
        <f t="shared" si="18"/>
        <v>9.8334996199156394E-5</v>
      </c>
      <c r="L81" s="7">
        <f t="shared" si="19"/>
        <v>8.51990154379756E-4</v>
      </c>
      <c r="M81" s="7">
        <f t="shared" si="20"/>
        <v>4.2483888667859099E-2</v>
      </c>
      <c r="N81" s="7">
        <f t="shared" si="21"/>
        <v>8.6747522002944208E-3</v>
      </c>
      <c r="O81">
        <v>0.75257532000000005</v>
      </c>
      <c r="P81">
        <v>-1.9938897</v>
      </c>
      <c r="Q81">
        <v>-0.75371683</v>
      </c>
      <c r="R81">
        <v>-6.3243726000000002</v>
      </c>
      <c r="S81">
        <f t="shared" si="22"/>
        <v>2.9885324550512742</v>
      </c>
      <c r="T81">
        <f t="shared" si="23"/>
        <v>-27.474810441207214</v>
      </c>
      <c r="U81" s="8"/>
      <c r="V81" s="8"/>
    </row>
    <row r="82" spans="1:22" x14ac:dyDescent="0.35">
      <c r="A82">
        <v>1.25</v>
      </c>
      <c r="B82" s="9">
        <v>15.875</v>
      </c>
      <c r="C82">
        <v>-2.1670517E-2</v>
      </c>
      <c r="D82">
        <v>-2.0930157E-3</v>
      </c>
      <c r="E82">
        <v>0.97811046999999995</v>
      </c>
      <c r="F82">
        <v>-3.7775216E-3</v>
      </c>
      <c r="G82">
        <f t="shared" si="14"/>
        <v>22.047352272669201</v>
      </c>
      <c r="H82">
        <f t="shared" si="15"/>
        <v>-3.0382521133494098</v>
      </c>
      <c r="I82">
        <f t="shared" si="16"/>
        <v>22.0472434637988</v>
      </c>
      <c r="J82">
        <f t="shared" si="17"/>
        <v>-3.0390945501963098</v>
      </c>
      <c r="K82" s="7">
        <f t="shared" si="18"/>
        <v>1.0880887040087801E-4</v>
      </c>
      <c r="L82" s="7">
        <f t="shared" si="19"/>
        <v>8.4243684689999697E-4</v>
      </c>
      <c r="M82" s="7">
        <f t="shared" si="20"/>
        <v>4.4511376919618102E-2</v>
      </c>
      <c r="N82" s="7">
        <f t="shared" si="21"/>
        <v>6.1356551552697799E-3</v>
      </c>
      <c r="O82">
        <v>0.6328435</v>
      </c>
      <c r="P82">
        <v>-2.0803430999999999</v>
      </c>
      <c r="Q82">
        <v>-1.1932566</v>
      </c>
      <c r="R82">
        <v>-6.3998432000000003</v>
      </c>
      <c r="S82">
        <f t="shared" si="22"/>
        <v>2.9938954092068473</v>
      </c>
      <c r="T82">
        <f t="shared" si="23"/>
        <v>-27.48141718906594</v>
      </c>
      <c r="U82" s="8"/>
      <c r="V82" s="8"/>
    </row>
    <row r="83" spans="1:22" x14ac:dyDescent="0.35">
      <c r="A83">
        <v>1.25</v>
      </c>
      <c r="B83" s="9">
        <v>15.9375</v>
      </c>
      <c r="C83">
        <v>-2.2470633E-2</v>
      </c>
      <c r="D83">
        <v>-7.3353108000000005E-4</v>
      </c>
      <c r="E83">
        <v>0.97728680999999995</v>
      </c>
      <c r="F83">
        <v>-2.3889758000000001E-3</v>
      </c>
      <c r="G83">
        <f t="shared" si="14"/>
        <v>21.526681585327101</v>
      </c>
      <c r="H83">
        <f t="shared" si="15"/>
        <v>-1.5217741123911399</v>
      </c>
      <c r="I83">
        <f t="shared" si="16"/>
        <v>21.52656097749</v>
      </c>
      <c r="J83">
        <f t="shared" si="17"/>
        <v>-1.5226020349901499</v>
      </c>
      <c r="K83" s="7">
        <f t="shared" si="18"/>
        <v>1.2060783710055E-4</v>
      </c>
      <c r="L83" s="7">
        <f t="shared" si="19"/>
        <v>8.27922599009989E-4</v>
      </c>
      <c r="M83" s="7">
        <f t="shared" si="20"/>
        <v>4.6222988719279698E-2</v>
      </c>
      <c r="N83" s="7">
        <f t="shared" si="21"/>
        <v>3.2694129248464999E-3</v>
      </c>
      <c r="O83">
        <v>0.49966464999999999</v>
      </c>
      <c r="P83">
        <v>-2.1513548999999998</v>
      </c>
      <c r="Q83">
        <v>-1.6491861000000001</v>
      </c>
      <c r="R83">
        <v>-6.4169527999999998</v>
      </c>
      <c r="S83">
        <f t="shared" si="22"/>
        <v>2.9998347640934169</v>
      </c>
      <c r="T83">
        <f t="shared" si="23"/>
        <v>-27.488798133442554</v>
      </c>
      <c r="U83" s="8"/>
      <c r="V83" s="8"/>
    </row>
    <row r="84" spans="1:22" x14ac:dyDescent="0.35">
      <c r="A84">
        <v>1.25</v>
      </c>
      <c r="B84" s="9">
        <v>16</v>
      </c>
      <c r="C84">
        <v>-2.3088062999999999E-2</v>
      </c>
      <c r="D84">
        <v>7.4179447999999997E-4</v>
      </c>
      <c r="E84">
        <v>0.97664326000000001</v>
      </c>
      <c r="F84">
        <v>-8.7234490000000003E-4</v>
      </c>
      <c r="G84">
        <f t="shared" si="14"/>
        <v>21.0308309953997</v>
      </c>
      <c r="H84">
        <f t="shared" si="15"/>
        <v>-6.0116590031205702E-2</v>
      </c>
      <c r="I84">
        <f t="shared" si="16"/>
        <v>21.030697290474102</v>
      </c>
      <c r="J84">
        <f t="shared" si="17"/>
        <v>-6.0923876079995401E-2</v>
      </c>
      <c r="K84" s="7">
        <f t="shared" si="18"/>
        <v>1.3370492559872099E-4</v>
      </c>
      <c r="L84" s="7">
        <f t="shared" si="19"/>
        <v>8.07286048789699E-4</v>
      </c>
      <c r="M84" s="7">
        <f t="shared" si="20"/>
        <v>4.7549141819479099E-2</v>
      </c>
      <c r="N84" s="7">
        <f t="shared" si="21"/>
        <v>1.37745219947235E-4</v>
      </c>
      <c r="O84">
        <v>0.35618362999999997</v>
      </c>
      <c r="P84">
        <v>-2.2042769999999998</v>
      </c>
      <c r="Q84">
        <v>-2.1095025999999999</v>
      </c>
      <c r="R84">
        <v>-6.3719549000000004</v>
      </c>
      <c r="S84">
        <f t="shared" si="22"/>
        <v>3.0060270500506605</v>
      </c>
      <c r="T84">
        <f t="shared" si="23"/>
        <v>-27.496609913683198</v>
      </c>
      <c r="U84" s="8"/>
      <c r="V84" s="8"/>
    </row>
    <row r="85" spans="1:22" x14ac:dyDescent="0.35">
      <c r="A85">
        <v>1.25</v>
      </c>
      <c r="B85" s="9">
        <v>16.0625</v>
      </c>
      <c r="C85">
        <v>-2.3500244999999999E-2</v>
      </c>
      <c r="D85">
        <v>2.2945823E-3</v>
      </c>
      <c r="E85">
        <v>0.97620203999999999</v>
      </c>
      <c r="F85">
        <v>7.3760454E-4</v>
      </c>
      <c r="G85">
        <f t="shared" si="14"/>
        <v>20.555989543823902</v>
      </c>
      <c r="H85">
        <f t="shared" si="15"/>
        <v>1.3502390975766001</v>
      </c>
      <c r="I85">
        <f t="shared" si="16"/>
        <v>20.555841270477401</v>
      </c>
      <c r="J85">
        <f t="shared" si="17"/>
        <v>1.3494603773491101</v>
      </c>
      <c r="K85" s="7">
        <f t="shared" si="18"/>
        <v>1.4827334650036099E-4</v>
      </c>
      <c r="L85" s="7">
        <f t="shared" si="19"/>
        <v>7.7872022749003701E-4</v>
      </c>
      <c r="M85" s="7">
        <f t="shared" si="20"/>
        <v>4.8439212674824698E-2</v>
      </c>
      <c r="N85" s="7">
        <f t="shared" si="21"/>
        <v>-3.1799621992870501E-3</v>
      </c>
      <c r="O85">
        <v>0.20625367999999999</v>
      </c>
      <c r="P85">
        <v>-2.2376119999999999</v>
      </c>
      <c r="Q85">
        <v>-2.5612305000000002</v>
      </c>
      <c r="R85">
        <v>-6.2645030999999998</v>
      </c>
      <c r="S85">
        <f t="shared" si="22"/>
        <v>3.011821842802505</v>
      </c>
      <c r="T85">
        <f t="shared" si="23"/>
        <v>-27.503510528845247</v>
      </c>
      <c r="U85" s="8"/>
      <c r="V85" s="8"/>
    </row>
    <row r="86" spans="1:22" x14ac:dyDescent="0.35">
      <c r="A86">
        <v>1.25</v>
      </c>
      <c r="B86" s="9">
        <v>16.125</v>
      </c>
      <c r="C86">
        <v>-2.3694366000000001E-2</v>
      </c>
      <c r="D86">
        <v>3.8819127000000002E-3</v>
      </c>
      <c r="E86">
        <v>0.97623280999999995</v>
      </c>
      <c r="F86">
        <v>2.5281881999999999E-3</v>
      </c>
      <c r="G86">
        <f t="shared" si="14"/>
        <v>20.1922575897275</v>
      </c>
      <c r="H86">
        <f t="shared" si="15"/>
        <v>2.7950075507671399</v>
      </c>
      <c r="I86">
        <f t="shared" si="16"/>
        <v>20.192221634593999</v>
      </c>
      <c r="J86">
        <f t="shared" si="17"/>
        <v>2.7943306395327698</v>
      </c>
      <c r="K86" s="7">
        <f t="shared" si="18"/>
        <v>3.5955133501630598E-5</v>
      </c>
      <c r="L86" s="7">
        <f t="shared" si="19"/>
        <v>6.7691123437008105E-4</v>
      </c>
      <c r="M86" s="7">
        <f t="shared" si="20"/>
        <v>4.8593416807361199E-2</v>
      </c>
      <c r="N86" s="7">
        <f t="shared" si="21"/>
        <v>-6.7246722981567798E-3</v>
      </c>
      <c r="O86">
        <v>5.3642277000000002E-2</v>
      </c>
      <c r="P86">
        <v>-2.2504263999999998</v>
      </c>
      <c r="Q86">
        <v>-2.9926941999999999</v>
      </c>
      <c r="R86">
        <v>-6.0981810999999997</v>
      </c>
      <c r="S86">
        <f t="shared" si="22"/>
        <v>3.0176551580887221</v>
      </c>
      <c r="T86">
        <f t="shared" si="23"/>
        <v>-27.505057163788209</v>
      </c>
      <c r="U86" s="8"/>
      <c r="V86" s="8"/>
    </row>
    <row r="87" spans="1:22" x14ac:dyDescent="0.35">
      <c r="A87">
        <v>1.25</v>
      </c>
      <c r="B87" s="9">
        <v>16.1875</v>
      </c>
      <c r="C87">
        <v>-2.3673567999999999E-2</v>
      </c>
      <c r="D87">
        <v>5.4576523E-3</v>
      </c>
      <c r="E87">
        <v>0.97620616000000004</v>
      </c>
      <c r="F87">
        <v>4.1927220999999999E-3</v>
      </c>
      <c r="G87">
        <f t="shared" si="14"/>
        <v>19.730912792479799</v>
      </c>
      <c r="H87">
        <f t="shared" si="15"/>
        <v>4.1133614707961499</v>
      </c>
      <c r="I87">
        <f t="shared" si="16"/>
        <v>19.7308530529473</v>
      </c>
      <c r="J87">
        <f t="shared" si="17"/>
        <v>4.11272892987449</v>
      </c>
      <c r="K87" s="7">
        <f t="shared" si="18"/>
        <v>5.9739532499492002E-5</v>
      </c>
      <c r="L87" s="7">
        <f t="shared" si="19"/>
        <v>6.3254092165987397E-4</v>
      </c>
      <c r="M87" s="7">
        <f t="shared" si="20"/>
        <v>4.8571708812352801E-2</v>
      </c>
      <c r="N87" s="7">
        <f t="shared" si="21"/>
        <v>-1.0124360638130801E-2</v>
      </c>
      <c r="O87">
        <v>-9.6483459999999993E-2</v>
      </c>
      <c r="P87">
        <v>-2.2428545999999998</v>
      </c>
      <c r="Q87">
        <v>-3.3908372999999998</v>
      </c>
      <c r="R87">
        <v>-5.8792682000000003</v>
      </c>
      <c r="S87">
        <f t="shared" si="22"/>
        <v>3.0232649836726</v>
      </c>
      <c r="T87">
        <f t="shared" si="23"/>
        <v>-27.510734762420665</v>
      </c>
      <c r="U87" s="8"/>
      <c r="V87" s="8"/>
    </row>
    <row r="88" spans="1:22" x14ac:dyDescent="0.35">
      <c r="A88">
        <v>1.25</v>
      </c>
      <c r="B88" s="9">
        <v>16.25</v>
      </c>
      <c r="C88">
        <v>-2.3448185E-2</v>
      </c>
      <c r="D88">
        <v>6.9828525999999997E-3</v>
      </c>
      <c r="E88">
        <v>0.97648984999999999</v>
      </c>
      <c r="F88">
        <v>5.6812025000000004E-3</v>
      </c>
      <c r="G88">
        <f t="shared" si="14"/>
        <v>19.351657316100699</v>
      </c>
      <c r="H88">
        <f t="shared" si="15"/>
        <v>5.3540563212565404</v>
      </c>
      <c r="I88">
        <f t="shared" si="16"/>
        <v>19.3516267562532</v>
      </c>
      <c r="J88">
        <f t="shared" si="17"/>
        <v>5.3534054561520099</v>
      </c>
      <c r="K88" s="7">
        <f t="shared" si="18"/>
        <v>3.0559847498778902E-5</v>
      </c>
      <c r="L88" s="7">
        <f t="shared" si="19"/>
        <v>6.5086510453049595E-4</v>
      </c>
      <c r="M88" s="7">
        <f t="shared" si="20"/>
        <v>4.80017243644143E-2</v>
      </c>
      <c r="N88" s="7">
        <f t="shared" si="21"/>
        <v>-1.3279126161015E-2</v>
      </c>
      <c r="O88">
        <v>-0.24261553999999999</v>
      </c>
      <c r="P88">
        <v>-2.2162090000000001</v>
      </c>
      <c r="Q88">
        <v>-3.7540797000000001</v>
      </c>
      <c r="R88">
        <v>-5.6135121000000003</v>
      </c>
      <c r="S88">
        <f t="shared" si="22"/>
        <v>3.0290529136220128</v>
      </c>
      <c r="T88">
        <f t="shared" si="23"/>
        <v>-27.525457428142179</v>
      </c>
      <c r="U88" s="8"/>
      <c r="V88" s="8"/>
    </row>
    <row r="89" spans="1:22" x14ac:dyDescent="0.35">
      <c r="A89">
        <v>1.25</v>
      </c>
      <c r="B89" s="9">
        <v>16.3125</v>
      </c>
      <c r="C89">
        <v>-2.3041051999999999E-2</v>
      </c>
      <c r="D89">
        <v>8.4180528000000008E-3</v>
      </c>
      <c r="E89">
        <v>0.97692078000000004</v>
      </c>
      <c r="F89">
        <v>7.1190035000000002E-3</v>
      </c>
      <c r="G89">
        <f t="shared" si="14"/>
        <v>18.972531639489901</v>
      </c>
      <c r="H89">
        <f t="shared" si="15"/>
        <v>6.5602530292669297</v>
      </c>
      <c r="I89">
        <f t="shared" si="16"/>
        <v>18.972512977032</v>
      </c>
      <c r="J89">
        <f t="shared" si="17"/>
        <v>6.5596034800992102</v>
      </c>
      <c r="K89" s="7">
        <f t="shared" si="18"/>
        <v>1.8662457900831E-5</v>
      </c>
      <c r="L89" s="7">
        <f t="shared" si="19"/>
        <v>6.4954916771942095E-4</v>
      </c>
      <c r="M89" s="7">
        <f t="shared" si="20"/>
        <v>4.7079989629292503E-2</v>
      </c>
      <c r="N89" s="7">
        <f t="shared" si="21"/>
        <v>-1.62775518556348E-2</v>
      </c>
      <c r="O89">
        <v>-0.37886479000000001</v>
      </c>
      <c r="P89">
        <v>-2.1720868000000002</v>
      </c>
      <c r="Q89">
        <v>-4.0665959999999997</v>
      </c>
      <c r="R89">
        <v>-5.3135062</v>
      </c>
      <c r="S89">
        <f t="shared" si="22"/>
        <v>3.0346673595417011</v>
      </c>
      <c r="T89">
        <f t="shared" si="23"/>
        <v>-27.533744999799666</v>
      </c>
      <c r="U89" s="8"/>
      <c r="V89" s="8"/>
    </row>
    <row r="90" spans="1:22" x14ac:dyDescent="0.35">
      <c r="A90">
        <v>1.25</v>
      </c>
      <c r="B90" s="9">
        <v>16.375</v>
      </c>
      <c r="C90">
        <v>-2.2479959000000001E-2</v>
      </c>
      <c r="D90">
        <v>9.7384631000000006E-3</v>
      </c>
      <c r="E90">
        <v>0.97750793999999996</v>
      </c>
      <c r="F90">
        <v>8.4289653000000006E-3</v>
      </c>
      <c r="G90">
        <f t="shared" si="14"/>
        <v>18.616386904008301</v>
      </c>
      <c r="H90">
        <f t="shared" si="15"/>
        <v>7.7228078672648897</v>
      </c>
      <c r="I90">
        <f t="shared" si="16"/>
        <v>18.6163812821754</v>
      </c>
      <c r="J90">
        <f t="shared" si="17"/>
        <v>7.7221531107224104</v>
      </c>
      <c r="K90" s="7">
        <f t="shared" si="18"/>
        <v>5.6218329014257102E-6</v>
      </c>
      <c r="L90" s="7">
        <f t="shared" si="19"/>
        <v>6.5475654247926197E-4</v>
      </c>
      <c r="M90" s="7">
        <f t="shared" si="20"/>
        <v>4.5830432472008603E-2</v>
      </c>
      <c r="N90" s="7">
        <f t="shared" si="21"/>
        <v>-1.9010655793686999E-2</v>
      </c>
      <c r="O90">
        <v>-0.50371098000000003</v>
      </c>
      <c r="P90">
        <v>-2.1133264999999999</v>
      </c>
      <c r="Q90">
        <v>-4.3291427999999996</v>
      </c>
      <c r="R90">
        <v>-4.9890511999999996</v>
      </c>
      <c r="S90">
        <f t="shared" si="22"/>
        <v>3.0404503635074995</v>
      </c>
      <c r="T90">
        <f t="shared" si="23"/>
        <v>-27.542812992199448</v>
      </c>
      <c r="U90" s="8"/>
      <c r="V90" s="8"/>
    </row>
    <row r="91" spans="1:22" x14ac:dyDescent="0.35">
      <c r="A91">
        <v>1.25</v>
      </c>
      <c r="B91" s="9">
        <v>16.4375</v>
      </c>
      <c r="C91">
        <v>-2.1798930000000001E-2</v>
      </c>
      <c r="D91">
        <v>1.0925564E-2</v>
      </c>
      <c r="E91">
        <v>0.97818238000000002</v>
      </c>
      <c r="F91">
        <v>9.5987816999999996E-3</v>
      </c>
      <c r="G91">
        <f t="shared" si="14"/>
        <v>18.2706922490902</v>
      </c>
      <c r="H91">
        <f t="shared" si="15"/>
        <v>8.8331276326249597</v>
      </c>
      <c r="I91">
        <f t="shared" si="16"/>
        <v>18.270683344102899</v>
      </c>
      <c r="J91">
        <f t="shared" si="17"/>
        <v>8.8324642293679805</v>
      </c>
      <c r="K91" s="7">
        <f t="shared" si="18"/>
        <v>8.9049873004398705E-6</v>
      </c>
      <c r="L91" s="7">
        <f t="shared" si="19"/>
        <v>6.6340325697922297E-4</v>
      </c>
      <c r="M91" s="7">
        <f t="shared" si="20"/>
        <v>4.4364592892686697E-2</v>
      </c>
      <c r="N91" s="7">
        <f t="shared" si="21"/>
        <v>-2.1446854088333901E-2</v>
      </c>
      <c r="O91">
        <v>-0.61489572999999997</v>
      </c>
      <c r="P91">
        <v>-2.0444209</v>
      </c>
      <c r="Q91">
        <v>-4.5402385000000001</v>
      </c>
      <c r="R91">
        <v>-4.6551998000000001</v>
      </c>
      <c r="S91">
        <f t="shared" si="22"/>
        <v>3.0459021964122952</v>
      </c>
      <c r="T91">
        <f t="shared" si="23"/>
        <v>-27.544137188717301</v>
      </c>
      <c r="U91" s="8"/>
      <c r="V91" s="8"/>
    </row>
    <row r="92" spans="1:22" x14ac:dyDescent="0.35">
      <c r="A92">
        <v>1.25</v>
      </c>
      <c r="B92" s="9">
        <v>16.5</v>
      </c>
      <c r="C92">
        <v>-2.1023617000000001E-2</v>
      </c>
      <c r="D92">
        <v>1.1972282000000001E-2</v>
      </c>
      <c r="E92">
        <v>0.97900712000000001</v>
      </c>
      <c r="F92">
        <v>1.0717447E-2</v>
      </c>
      <c r="G92">
        <f t="shared" si="14"/>
        <v>17.926584527393899</v>
      </c>
      <c r="H92">
        <f t="shared" si="15"/>
        <v>9.9510334874221194</v>
      </c>
      <c r="I92">
        <f t="shared" si="16"/>
        <v>17.9266002892922</v>
      </c>
      <c r="J92">
        <f t="shared" si="17"/>
        <v>9.9504060894535904</v>
      </c>
      <c r="K92" s="7">
        <f t="shared" si="18"/>
        <v>-1.5761898300326001E-5</v>
      </c>
      <c r="L92" s="7">
        <f t="shared" si="19"/>
        <v>6.2739796852895303E-4</v>
      </c>
      <c r="M92" s="7">
        <f t="shared" si="20"/>
        <v>4.2644450491204702E-2</v>
      </c>
      <c r="N92" s="7">
        <f t="shared" si="21"/>
        <v>-2.3670388863556199E-2</v>
      </c>
      <c r="O92">
        <v>-0.71317454000000002</v>
      </c>
      <c r="P92">
        <v>-1.9670352</v>
      </c>
      <c r="Q92">
        <v>-4.7044598000000004</v>
      </c>
      <c r="R92">
        <v>-4.3137276</v>
      </c>
      <c r="S92">
        <f t="shared" si="22"/>
        <v>3.0505721628282112</v>
      </c>
      <c r="T92">
        <f t="shared" si="23"/>
        <v>-27.552130008065625</v>
      </c>
      <c r="U92" s="8"/>
      <c r="V92" s="8"/>
    </row>
    <row r="93" spans="1:22" x14ac:dyDescent="0.35">
      <c r="A93">
        <v>1.25</v>
      </c>
      <c r="B93" s="9">
        <v>16.5625</v>
      </c>
      <c r="C93">
        <v>-2.0188936000000001E-2</v>
      </c>
      <c r="D93">
        <v>1.2876759999999999E-2</v>
      </c>
      <c r="E93">
        <v>0.97985913999999996</v>
      </c>
      <c r="F93">
        <v>1.1619726E-2</v>
      </c>
      <c r="G93">
        <f t="shared" si="14"/>
        <v>17.612955746978798</v>
      </c>
      <c r="H93">
        <f t="shared" si="15"/>
        <v>11.0022063958793</v>
      </c>
      <c r="I93">
        <f t="shared" si="16"/>
        <v>17.612980179405898</v>
      </c>
      <c r="J93">
        <f t="shared" si="17"/>
        <v>11.0015779093431</v>
      </c>
      <c r="K93" s="7">
        <f t="shared" si="18"/>
        <v>-2.4432427100151699E-5</v>
      </c>
      <c r="L93" s="7">
        <f t="shared" si="19"/>
        <v>6.2848653620051198E-4</v>
      </c>
      <c r="M93" s="7">
        <f t="shared" si="20"/>
        <v>4.08415239038478E-2</v>
      </c>
      <c r="N93" s="7">
        <f t="shared" si="21"/>
        <v>-2.5510799568709601E-2</v>
      </c>
      <c r="O93">
        <v>-0.79725175000000004</v>
      </c>
      <c r="P93">
        <v>-1.8833975999999999</v>
      </c>
      <c r="Q93">
        <v>-4.8236946999999999</v>
      </c>
      <c r="R93">
        <v>-3.9757387999999998</v>
      </c>
      <c r="S93">
        <f t="shared" si="22"/>
        <v>3.0564232291979221</v>
      </c>
      <c r="T93">
        <f t="shared" si="23"/>
        <v>-27.561115222841234</v>
      </c>
      <c r="U93" s="8"/>
      <c r="V93" s="8"/>
    </row>
    <row r="94" spans="1:22" x14ac:dyDescent="0.35">
      <c r="A94">
        <v>1.25</v>
      </c>
      <c r="B94" s="9">
        <v>16.625</v>
      </c>
      <c r="C94">
        <v>-1.9320039000000001E-2</v>
      </c>
      <c r="D94">
        <v>1.364336E-2</v>
      </c>
      <c r="E94">
        <v>0.98073926</v>
      </c>
      <c r="F94">
        <v>1.2391889E-2</v>
      </c>
      <c r="G94">
        <f t="shared" si="14"/>
        <v>17.3094243288058</v>
      </c>
      <c r="H94">
        <f t="shared" si="15"/>
        <v>12.018556130225299</v>
      </c>
      <c r="I94">
        <f t="shared" si="16"/>
        <v>17.309454368936699</v>
      </c>
      <c r="J94">
        <f t="shared" si="17"/>
        <v>12.017930432074101</v>
      </c>
      <c r="K94" s="7">
        <f t="shared" si="18"/>
        <v>-3.0040130898356699E-5</v>
      </c>
      <c r="L94" s="7">
        <f t="shared" si="19"/>
        <v>6.2569815119850603E-4</v>
      </c>
      <c r="M94" s="7">
        <f t="shared" si="20"/>
        <v>3.8981055498351201E-2</v>
      </c>
      <c r="N94" s="7">
        <f t="shared" si="21"/>
        <v>-2.7064493378180499E-2</v>
      </c>
      <c r="O94">
        <v>-0.86819533999999998</v>
      </c>
      <c r="P94">
        <v>-1.7976086</v>
      </c>
      <c r="Q94">
        <v>-4.9029417999999998</v>
      </c>
      <c r="R94">
        <v>-3.6481398999999999</v>
      </c>
      <c r="S94">
        <f t="shared" si="22"/>
        <v>3.0613249101950353</v>
      </c>
      <c r="T94">
        <f t="shared" si="23"/>
        <v>-27.568850449873363</v>
      </c>
      <c r="U94" s="8"/>
      <c r="V94" s="8"/>
    </row>
    <row r="95" spans="1:22" x14ac:dyDescent="0.35">
      <c r="A95">
        <v>1.25</v>
      </c>
      <c r="B95" s="9">
        <v>16.6875</v>
      </c>
      <c r="C95">
        <v>-1.8439054E-2</v>
      </c>
      <c r="D95">
        <v>1.4280885E-2</v>
      </c>
      <c r="E95">
        <v>0.98162811999999999</v>
      </c>
      <c r="F95">
        <v>1.3039448E-2</v>
      </c>
      <c r="G95">
        <f t="shared" si="14"/>
        <v>17.016942055259801</v>
      </c>
      <c r="H95">
        <f t="shared" si="15"/>
        <v>13.0010441458698</v>
      </c>
      <c r="I95">
        <f t="shared" si="16"/>
        <v>17.016976026384199</v>
      </c>
      <c r="J95">
        <f t="shared" si="17"/>
        <v>13.0004234693029</v>
      </c>
      <c r="K95" s="7">
        <f t="shared" si="18"/>
        <v>-3.39711243988461E-5</v>
      </c>
      <c r="L95" s="7">
        <f t="shared" si="19"/>
        <v>6.2067656689990302E-4</v>
      </c>
      <c r="M95" s="7">
        <f t="shared" si="20"/>
        <v>3.7107290392149203E-2</v>
      </c>
      <c r="N95" s="7">
        <f t="shared" si="21"/>
        <v>-2.8348778781164E-2</v>
      </c>
      <c r="O95">
        <v>-0.92659457999999995</v>
      </c>
      <c r="P95">
        <v>-1.7109532999999999</v>
      </c>
      <c r="Q95">
        <v>-4.9476069999999996</v>
      </c>
      <c r="R95">
        <v>-3.3352694000000001</v>
      </c>
      <c r="S95">
        <f t="shared" si="22"/>
        <v>3.0665885759863922</v>
      </c>
      <c r="T95">
        <f t="shared" si="23"/>
        <v>-27.576912817929873</v>
      </c>
      <c r="U95" s="8"/>
      <c r="V95" s="8"/>
    </row>
    <row r="96" spans="1:22" x14ac:dyDescent="0.35">
      <c r="A96">
        <v>1.25</v>
      </c>
      <c r="B96" s="9">
        <v>16.75</v>
      </c>
      <c r="C96">
        <v>-1.7563664E-2</v>
      </c>
      <c r="D96">
        <v>1.4800714E-2</v>
      </c>
      <c r="E96">
        <v>0.98250954999999995</v>
      </c>
      <c r="F96">
        <v>1.3571893E-2</v>
      </c>
      <c r="G96">
        <f t="shared" si="14"/>
        <v>16.735790087598701</v>
      </c>
      <c r="H96">
        <f t="shared" si="15"/>
        <v>13.950875813293999</v>
      </c>
      <c r="I96">
        <f t="shared" si="16"/>
        <v>16.735827070717399</v>
      </c>
      <c r="J96">
        <f t="shared" si="17"/>
        <v>13.9502614480069</v>
      </c>
      <c r="K96" s="7">
        <f t="shared" si="18"/>
        <v>-3.6983118697264699E-5</v>
      </c>
      <c r="L96" s="7">
        <f t="shared" si="19"/>
        <v>6.1436528709890603E-4</v>
      </c>
      <c r="M96" s="7">
        <f t="shared" si="20"/>
        <v>3.5255757491236703E-2</v>
      </c>
      <c r="N96" s="7">
        <f t="shared" si="21"/>
        <v>-2.9387674267430001E-2</v>
      </c>
      <c r="O96">
        <v>-0.97381691999999997</v>
      </c>
      <c r="P96">
        <v>-1.6253823999999999</v>
      </c>
      <c r="Q96">
        <v>-4.9630745000000003</v>
      </c>
      <c r="R96">
        <v>-3.0399953000000002</v>
      </c>
      <c r="S96">
        <f t="shared" si="22"/>
        <v>3.0716564062783855</v>
      </c>
      <c r="T96">
        <f t="shared" si="23"/>
        <v>-27.584458438850305</v>
      </c>
      <c r="U96" s="8"/>
      <c r="V96" s="8"/>
    </row>
    <row r="97" spans="1:22" x14ac:dyDescent="0.35">
      <c r="A97">
        <v>1.25</v>
      </c>
      <c r="B97" s="9">
        <v>16.8125</v>
      </c>
      <c r="C97">
        <v>-1.6707357999999999E-2</v>
      </c>
      <c r="D97">
        <v>1.5215489E-2</v>
      </c>
      <c r="E97">
        <v>0.98337092000000004</v>
      </c>
      <c r="F97">
        <v>1.4000827E-2</v>
      </c>
      <c r="G97">
        <f t="shared" si="14"/>
        <v>16.465855180690401</v>
      </c>
      <c r="H97">
        <f t="shared" si="15"/>
        <v>14.869329639034101</v>
      </c>
      <c r="I97">
        <f t="shared" si="16"/>
        <v>16.465894686966099</v>
      </c>
      <c r="J97">
        <f t="shared" si="17"/>
        <v>14.868722355796001</v>
      </c>
      <c r="K97" s="7">
        <f t="shared" si="18"/>
        <v>-3.9506275697931401E-5</v>
      </c>
      <c r="L97" s="7">
        <f t="shared" si="19"/>
        <v>6.0728323810010898E-4</v>
      </c>
      <c r="M97" s="7">
        <f t="shared" si="20"/>
        <v>3.3453354445188897E-2</v>
      </c>
      <c r="N97" s="7">
        <f t="shared" si="21"/>
        <v>-3.0208418587134599E-2</v>
      </c>
      <c r="O97">
        <v>-1.0111623999999999</v>
      </c>
      <c r="P97">
        <v>-1.5421435999999999</v>
      </c>
      <c r="Q97">
        <v>-4.9544597000000001</v>
      </c>
      <c r="R97">
        <v>-2.7639865000000001</v>
      </c>
      <c r="S97">
        <f t="shared" si="22"/>
        <v>3.0764800721895171</v>
      </c>
      <c r="T97">
        <f t="shared" si="23"/>
        <v>-27.591485940180949</v>
      </c>
      <c r="U97" s="8"/>
      <c r="V97" s="8"/>
    </row>
    <row r="98" spans="1:22" x14ac:dyDescent="0.35">
      <c r="A98">
        <v>1.25</v>
      </c>
      <c r="B98" s="9">
        <v>16.875</v>
      </c>
      <c r="C98">
        <v>-1.5879916000000001E-2</v>
      </c>
      <c r="D98">
        <v>1.5538115999999999E-2</v>
      </c>
      <c r="E98">
        <v>0.98420297000000001</v>
      </c>
      <c r="F98">
        <v>1.433862E-2</v>
      </c>
      <c r="G98">
        <f t="shared" si="14"/>
        <v>16.206803834176402</v>
      </c>
      <c r="H98">
        <f t="shared" si="15"/>
        <v>15.7576709035338</v>
      </c>
      <c r="I98">
        <f t="shared" si="16"/>
        <v>16.206845635111701</v>
      </c>
      <c r="J98">
        <f t="shared" si="17"/>
        <v>15.7570712054571</v>
      </c>
      <c r="K98" s="7">
        <f t="shared" si="18"/>
        <v>-4.18009352998183E-5</v>
      </c>
      <c r="L98" s="7">
        <f t="shared" si="19"/>
        <v>5.9969807669979502E-4</v>
      </c>
      <c r="M98" s="7">
        <f t="shared" si="20"/>
        <v>3.1719221846339199E-2</v>
      </c>
      <c r="N98" s="7">
        <f t="shared" si="21"/>
        <v>-3.0838945990307301E-2</v>
      </c>
      <c r="O98">
        <v>-1.0396744</v>
      </c>
      <c r="P98">
        <v>-1.4618258</v>
      </c>
      <c r="Q98">
        <v>-4.9263329000000002</v>
      </c>
      <c r="R98">
        <v>-2.5079169000000001</v>
      </c>
      <c r="S98">
        <f t="shared" si="22"/>
        <v>3.0816401326524501</v>
      </c>
      <c r="T98">
        <f t="shared" si="23"/>
        <v>-27.599027482387708</v>
      </c>
      <c r="U98" s="8"/>
      <c r="V98" s="8"/>
    </row>
    <row r="99" spans="1:22" x14ac:dyDescent="0.35">
      <c r="A99">
        <v>1.25</v>
      </c>
      <c r="B99" s="9">
        <v>16.9375</v>
      </c>
      <c r="C99">
        <v>-1.5088000000000001E-2</v>
      </c>
      <c r="D99">
        <v>1.5781085E-2</v>
      </c>
      <c r="E99">
        <v>0.98499941000000002</v>
      </c>
      <c r="F99">
        <v>1.4597527000000001E-2</v>
      </c>
      <c r="G99">
        <f t="shared" si="14"/>
        <v>15.958168872104199</v>
      </c>
      <c r="H99">
        <f t="shared" si="15"/>
        <v>16.617126214653901</v>
      </c>
      <c r="I99">
        <f t="shared" si="16"/>
        <v>15.9582129253505</v>
      </c>
      <c r="J99">
        <f t="shared" si="17"/>
        <v>16.616534487585099</v>
      </c>
      <c r="K99" s="7">
        <f t="shared" si="18"/>
        <v>-4.4053246300634903E-5</v>
      </c>
      <c r="L99" s="7">
        <f t="shared" si="19"/>
        <v>5.9172706880161697E-4</v>
      </c>
      <c r="M99" s="7">
        <f t="shared" si="20"/>
        <v>3.0065940674452299E-2</v>
      </c>
      <c r="N99" s="7">
        <f t="shared" si="21"/>
        <v>-3.1306246034923803E-2</v>
      </c>
      <c r="O99">
        <v>-1.0608424000000001</v>
      </c>
      <c r="P99">
        <v>-1.3853366</v>
      </c>
      <c r="Q99">
        <v>-4.8828399999999998</v>
      </c>
      <c r="R99">
        <v>-2.2717733</v>
      </c>
      <c r="S99">
        <f t="shared" si="22"/>
        <v>3.0864619626456924</v>
      </c>
      <c r="T99">
        <f t="shared" si="23"/>
        <v>-27.605856134736726</v>
      </c>
      <c r="U99" s="8"/>
      <c r="V99" s="8"/>
    </row>
    <row r="100" spans="1:22" x14ac:dyDescent="0.35">
      <c r="A100">
        <v>1.25</v>
      </c>
      <c r="B100" s="9">
        <v>17</v>
      </c>
      <c r="C100">
        <v>-1.4337280000000001E-2</v>
      </c>
      <c r="D100">
        <v>1.5955469E-2</v>
      </c>
      <c r="E100">
        <v>0.98573624000000004</v>
      </c>
      <c r="F100">
        <v>1.469313E-2</v>
      </c>
      <c r="G100">
        <f t="shared" si="14"/>
        <v>15.775020863664</v>
      </c>
      <c r="H100">
        <f t="shared" si="15"/>
        <v>17.4404910785289</v>
      </c>
      <c r="I100">
        <f t="shared" si="16"/>
        <v>15.7750580206436</v>
      </c>
      <c r="J100">
        <f t="shared" si="17"/>
        <v>17.439859955681399</v>
      </c>
      <c r="K100" s="7">
        <f t="shared" si="18"/>
        <v>-3.7156979599828299E-5</v>
      </c>
      <c r="L100" s="7">
        <f t="shared" si="19"/>
        <v>6.3112284750133096E-4</v>
      </c>
      <c r="M100" s="7">
        <f t="shared" si="20"/>
        <v>2.8526265137939998E-2</v>
      </c>
      <c r="N100" s="7">
        <f t="shared" si="21"/>
        <v>-3.1536750509144E-2</v>
      </c>
      <c r="O100">
        <v>-1.0755211</v>
      </c>
      <c r="P100">
        <v>-1.3126783</v>
      </c>
      <c r="Q100">
        <v>-4.8264126999999997</v>
      </c>
      <c r="R100">
        <v>-2.0548532000000002</v>
      </c>
      <c r="S100">
        <f t="shared" si="22"/>
        <v>3.0910895561293286</v>
      </c>
      <c r="T100">
        <f t="shared" si="23"/>
        <v>-27.609134210921322</v>
      </c>
      <c r="U100" s="8"/>
      <c r="V100" s="8"/>
    </row>
    <row r="101" spans="1:22" x14ac:dyDescent="0.35">
      <c r="A101">
        <v>1.375</v>
      </c>
      <c r="B101" s="9">
        <v>15</v>
      </c>
      <c r="C101">
        <v>-9.0529960000000007E-3</v>
      </c>
      <c r="D101">
        <v>-8.5747062000000006E-3</v>
      </c>
      <c r="E101">
        <v>0.99096682000000003</v>
      </c>
      <c r="F101">
        <v>-1.0408127E-2</v>
      </c>
      <c r="G101">
        <f t="shared" si="14"/>
        <v>25.808777712615399</v>
      </c>
      <c r="H101">
        <f t="shared" si="15"/>
        <v>-27.6126336108216</v>
      </c>
      <c r="I101">
        <f t="shared" si="16"/>
        <v>25.808788460849598</v>
      </c>
      <c r="J101">
        <f t="shared" si="17"/>
        <v>-27.6135503022861</v>
      </c>
      <c r="K101" s="7">
        <f t="shared" si="18"/>
        <v>-1.07482341995535E-5</v>
      </c>
      <c r="L101" s="7">
        <f t="shared" si="19"/>
        <v>9.1669146450001904E-4</v>
      </c>
      <c r="M101" s="7">
        <f t="shared" si="20"/>
        <v>1.80657688293017E-2</v>
      </c>
      <c r="N101" s="7">
        <f t="shared" si="21"/>
        <v>1.9329075329287002E-2</v>
      </c>
      <c r="O101">
        <v>1.2064094999999999</v>
      </c>
      <c r="P101">
        <v>-0.82244046999999998</v>
      </c>
      <c r="Q101">
        <v>2.0106742</v>
      </c>
      <c r="R101">
        <v>-3.7257731999999999</v>
      </c>
      <c r="S101">
        <f t="shared" si="22"/>
        <v>2.8996350492309437</v>
      </c>
      <c r="T101">
        <f t="shared" si="23"/>
        <v>-27.362496141423048</v>
      </c>
      <c r="U101" s="8"/>
      <c r="V101" s="8"/>
    </row>
    <row r="102" spans="1:22" x14ac:dyDescent="0.35">
      <c r="A102">
        <v>1.375</v>
      </c>
      <c r="B102" s="9">
        <v>15.0625</v>
      </c>
      <c r="C102">
        <v>-9.8831699000000005E-3</v>
      </c>
      <c r="D102">
        <v>-8.8781490999999997E-3</v>
      </c>
      <c r="E102">
        <v>0.99014144999999998</v>
      </c>
      <c r="F102">
        <v>-1.0695405E-2</v>
      </c>
      <c r="G102">
        <f t="shared" si="14"/>
        <v>25.043729737126299</v>
      </c>
      <c r="H102">
        <f t="shared" si="15"/>
        <v>-25.3256929132782</v>
      </c>
      <c r="I102">
        <f t="shared" si="16"/>
        <v>25.043742872498299</v>
      </c>
      <c r="J102">
        <f t="shared" si="17"/>
        <v>-25.326601518108099</v>
      </c>
      <c r="K102" s="7">
        <f t="shared" si="18"/>
        <v>-1.3135372000761E-5</v>
      </c>
      <c r="L102" s="7">
        <f t="shared" si="19"/>
        <v>9.0860482989896197E-4</v>
      </c>
      <c r="M102" s="7">
        <f t="shared" si="20"/>
        <v>1.9740843077978899E-2</v>
      </c>
      <c r="N102" s="7">
        <f t="shared" si="21"/>
        <v>1.9963807678943801E-2</v>
      </c>
      <c r="O102">
        <v>1.2278244</v>
      </c>
      <c r="P102">
        <v>-0.89500608999999998</v>
      </c>
      <c r="Q102">
        <v>1.9764135</v>
      </c>
      <c r="R102">
        <v>-3.9545264000000002</v>
      </c>
      <c r="S102">
        <f t="shared" si="22"/>
        <v>2.9096374996184773</v>
      </c>
      <c r="T102">
        <f t="shared" si="23"/>
        <v>-27.355123201246915</v>
      </c>
      <c r="U102" s="8"/>
      <c r="V102" s="8"/>
    </row>
    <row r="103" spans="1:22" x14ac:dyDescent="0.35">
      <c r="A103">
        <v>1.375</v>
      </c>
      <c r="B103" s="9">
        <v>15.125</v>
      </c>
      <c r="C103">
        <v>-1.0783437999999999E-2</v>
      </c>
      <c r="D103">
        <v>-9.1422707999999995E-3</v>
      </c>
      <c r="E103">
        <v>0.98924672000000002</v>
      </c>
      <c r="F103">
        <v>-1.0942716E-2</v>
      </c>
      <c r="G103">
        <f t="shared" si="14"/>
        <v>24.333711167970801</v>
      </c>
      <c r="H103">
        <f t="shared" si="15"/>
        <v>-23.159295996275102</v>
      </c>
      <c r="I103">
        <f t="shared" si="16"/>
        <v>24.333727057106898</v>
      </c>
      <c r="J103">
        <f t="shared" si="17"/>
        <v>-23.160196190997301</v>
      </c>
      <c r="K103" s="7">
        <f t="shared" si="18"/>
        <v>-1.5889136097513301E-5</v>
      </c>
      <c r="L103" s="7">
        <f t="shared" si="19"/>
        <v>9.0019472219893303E-4</v>
      </c>
      <c r="M103" s="7">
        <f t="shared" si="20"/>
        <v>2.1562418127688401E-2</v>
      </c>
      <c r="N103" s="7">
        <f t="shared" si="21"/>
        <v>2.0522537834734501E-2</v>
      </c>
      <c r="O103">
        <v>1.2464027</v>
      </c>
      <c r="P103">
        <v>-0.97354821000000002</v>
      </c>
      <c r="Q103">
        <v>1.9246664</v>
      </c>
      <c r="R103">
        <v>-4.1947546000000004</v>
      </c>
      <c r="S103">
        <f t="shared" si="22"/>
        <v>2.9181570868801985</v>
      </c>
      <c r="T103">
        <f t="shared" si="23"/>
        <v>-27.360156421574661</v>
      </c>
      <c r="U103" s="8"/>
      <c r="V103" s="8"/>
    </row>
    <row r="104" spans="1:22" x14ac:dyDescent="0.35">
      <c r="A104">
        <v>1.375</v>
      </c>
      <c r="B104" s="9">
        <v>15.1875</v>
      </c>
      <c r="C104">
        <v>-1.1758242E-2</v>
      </c>
      <c r="D104">
        <v>-9.3595389000000005E-3</v>
      </c>
      <c r="E104">
        <v>0.98807645</v>
      </c>
      <c r="F104">
        <v>-1.1202452999999999E-2</v>
      </c>
      <c r="G104">
        <f t="shared" si="14"/>
        <v>23.5761322731414</v>
      </c>
      <c r="H104">
        <f t="shared" si="15"/>
        <v>-20.903886116719701</v>
      </c>
      <c r="I104">
        <f t="shared" si="16"/>
        <v>23.576050461602001</v>
      </c>
      <c r="J104">
        <f t="shared" si="17"/>
        <v>-20.904807725330201</v>
      </c>
      <c r="K104" s="7">
        <f t="shared" si="18"/>
        <v>8.1811539399012604E-5</v>
      </c>
      <c r="L104" s="7">
        <f t="shared" si="19"/>
        <v>9.2160861050061304E-4</v>
      </c>
      <c r="M104" s="7">
        <f t="shared" si="20"/>
        <v>2.37460450403306E-2</v>
      </c>
      <c r="N104" s="7">
        <f t="shared" si="21"/>
        <v>2.1055541368713598E-2</v>
      </c>
      <c r="O104">
        <v>1.2604626000000001</v>
      </c>
      <c r="P104">
        <v>-1.0586654</v>
      </c>
      <c r="Q104">
        <v>1.8501453999999999</v>
      </c>
      <c r="R104">
        <v>-4.4450485000000004</v>
      </c>
      <c r="S104">
        <f t="shared" si="22"/>
        <v>2.9249810568209731</v>
      </c>
      <c r="T104">
        <f t="shared" si="23"/>
        <v>-27.37466860894126</v>
      </c>
      <c r="U104" s="8"/>
      <c r="V104" s="8"/>
    </row>
    <row r="105" spans="1:22" x14ac:dyDescent="0.35">
      <c r="A105">
        <v>1.375</v>
      </c>
      <c r="B105" s="9">
        <v>15.25</v>
      </c>
      <c r="C105">
        <v>-1.2817139999999999E-2</v>
      </c>
      <c r="D105">
        <v>-9.5138116999999994E-3</v>
      </c>
      <c r="E105">
        <v>0.98702734999999997</v>
      </c>
      <c r="F105">
        <v>-1.1346336E-2</v>
      </c>
      <c r="G105">
        <f t="shared" si="14"/>
        <v>22.939782456882899</v>
      </c>
      <c r="H105">
        <f t="shared" si="15"/>
        <v>-18.9588478572159</v>
      </c>
      <c r="I105">
        <f t="shared" si="16"/>
        <v>22.939705535568098</v>
      </c>
      <c r="J105">
        <f t="shared" si="17"/>
        <v>-18.959764261101</v>
      </c>
      <c r="K105" s="7">
        <f t="shared" si="18"/>
        <v>7.6921314800415503E-5</v>
      </c>
      <c r="L105" s="7">
        <f t="shared" si="19"/>
        <v>9.1640388509972603E-4</v>
      </c>
      <c r="M105" s="7">
        <f t="shared" si="20"/>
        <v>2.5900004840659199E-2</v>
      </c>
      <c r="N105" s="7">
        <f t="shared" si="21"/>
        <v>2.1406464236382001E-2</v>
      </c>
      <c r="O105">
        <v>1.2698027999999999</v>
      </c>
      <c r="P105">
        <v>-1.1508461999999999</v>
      </c>
      <c r="Q105">
        <v>1.7536788999999999</v>
      </c>
      <c r="R105">
        <v>-4.7081213000000002</v>
      </c>
      <c r="S105">
        <f t="shared" si="22"/>
        <v>2.9317000113839322</v>
      </c>
      <c r="T105">
        <f t="shared" si="23"/>
        <v>-27.384057784479882</v>
      </c>
      <c r="U105" s="8"/>
      <c r="V105" s="8"/>
    </row>
    <row r="106" spans="1:22" x14ac:dyDescent="0.35">
      <c r="A106">
        <v>1.375</v>
      </c>
      <c r="B106" s="9">
        <v>15.3125</v>
      </c>
      <c r="C106">
        <v>-1.3958182E-2</v>
      </c>
      <c r="D106">
        <v>-9.5900651999999992E-3</v>
      </c>
      <c r="E106">
        <v>0.98589304</v>
      </c>
      <c r="F106">
        <v>-1.1417591E-2</v>
      </c>
      <c r="G106">
        <f t="shared" si="14"/>
        <v>22.336277608366998</v>
      </c>
      <c r="H106">
        <f t="shared" si="15"/>
        <v>-17.093199524493901</v>
      </c>
      <c r="I106">
        <f t="shared" si="16"/>
        <v>22.336204048981202</v>
      </c>
      <c r="J106">
        <f t="shared" si="17"/>
        <v>-17.0941134225938</v>
      </c>
      <c r="K106" s="7">
        <f t="shared" si="18"/>
        <v>7.35593857967842E-5</v>
      </c>
      <c r="L106" s="7">
        <f t="shared" si="19"/>
        <v>9.13898099899058E-4</v>
      </c>
      <c r="M106" s="7">
        <f t="shared" si="20"/>
        <v>2.8233836815960801E-2</v>
      </c>
      <c r="N106" s="7">
        <f t="shared" si="21"/>
        <v>2.1607628934113901E-2</v>
      </c>
      <c r="O106">
        <v>1.2721245999999999</v>
      </c>
      <c r="P106">
        <v>-1.2498967999999999</v>
      </c>
      <c r="Q106">
        <v>1.6290072</v>
      </c>
      <c r="R106">
        <v>-4.9805137999999998</v>
      </c>
      <c r="S106">
        <f t="shared" si="22"/>
        <v>2.9382798903822613</v>
      </c>
      <c r="T106">
        <f t="shared" si="23"/>
        <v>-27.393277031780048</v>
      </c>
      <c r="U106" s="8"/>
      <c r="V106" s="8"/>
    </row>
    <row r="107" spans="1:22" x14ac:dyDescent="0.35">
      <c r="A107">
        <v>1.375</v>
      </c>
      <c r="B107" s="9">
        <v>15.375</v>
      </c>
      <c r="C107">
        <v>-1.5179272000000001E-2</v>
      </c>
      <c r="D107">
        <v>-9.5697040000000001E-3</v>
      </c>
      <c r="E107">
        <v>0.98467515000000005</v>
      </c>
      <c r="F107">
        <v>-1.1396526000000001E-2</v>
      </c>
      <c r="G107">
        <f t="shared" si="14"/>
        <v>21.764449128674599</v>
      </c>
      <c r="H107">
        <f t="shared" si="15"/>
        <v>-15.3024195705514</v>
      </c>
      <c r="I107">
        <f t="shared" si="16"/>
        <v>21.7643771688771</v>
      </c>
      <c r="J107">
        <f t="shared" si="17"/>
        <v>-15.303333113776199</v>
      </c>
      <c r="K107" s="7">
        <f t="shared" si="18"/>
        <v>7.1959797498521993E-5</v>
      </c>
      <c r="L107" s="7">
        <f t="shared" si="19"/>
        <v>9.13543224799085E-4</v>
      </c>
      <c r="M107" s="7">
        <f t="shared" si="20"/>
        <v>3.07458517583502E-2</v>
      </c>
      <c r="N107" s="7">
        <f t="shared" si="21"/>
        <v>2.1618537837032398E-2</v>
      </c>
      <c r="O107">
        <v>1.265774</v>
      </c>
      <c r="P107">
        <v>-1.3555295999999999</v>
      </c>
      <c r="Q107">
        <v>1.4720565000000001</v>
      </c>
      <c r="R107">
        <v>-5.2595096999999997</v>
      </c>
      <c r="S107">
        <f t="shared" si="22"/>
        <v>2.9448653185902165</v>
      </c>
      <c r="T107">
        <f t="shared" si="23"/>
        <v>-27.402788950398218</v>
      </c>
      <c r="U107" s="8"/>
      <c r="V107" s="8"/>
    </row>
    <row r="108" spans="1:22" x14ac:dyDescent="0.35">
      <c r="A108">
        <v>1.375</v>
      </c>
      <c r="B108" s="9">
        <v>15.4375</v>
      </c>
      <c r="C108">
        <v>-1.6474335999999999E-2</v>
      </c>
      <c r="D108">
        <v>-9.4322442000000003E-3</v>
      </c>
      <c r="E108">
        <v>0.98337942</v>
      </c>
      <c r="F108">
        <v>-1.1261200000000001E-2</v>
      </c>
      <c r="G108">
        <f t="shared" si="14"/>
        <v>21.2230999181428</v>
      </c>
      <c r="H108">
        <f t="shared" si="15"/>
        <v>-13.5824449153489</v>
      </c>
      <c r="I108">
        <f t="shared" si="16"/>
        <v>21.2230276272483</v>
      </c>
      <c r="J108">
        <f t="shared" si="17"/>
        <v>-13.583359526235499</v>
      </c>
      <c r="K108" s="7">
        <f t="shared" si="18"/>
        <v>7.2290894500781606E-5</v>
      </c>
      <c r="L108" s="7">
        <f t="shared" si="19"/>
        <v>9.1461088659983104E-4</v>
      </c>
      <c r="M108" s="7">
        <f t="shared" si="20"/>
        <v>3.3426061994828199E-2</v>
      </c>
      <c r="N108" s="7">
        <f t="shared" si="21"/>
        <v>2.1393659076193599E-2</v>
      </c>
      <c r="O108">
        <v>1.2490178999999999</v>
      </c>
      <c r="P108">
        <v>-1.4672069999999999</v>
      </c>
      <c r="Q108">
        <v>1.2788406000000001</v>
      </c>
      <c r="R108">
        <v>-5.5411152000000001</v>
      </c>
      <c r="S108">
        <f t="shared" si="22"/>
        <v>2.9513351289007224</v>
      </c>
      <c r="T108">
        <f t="shared" si="23"/>
        <v>-27.411590191837316</v>
      </c>
      <c r="U108" s="8"/>
      <c r="V108" s="8"/>
    </row>
    <row r="109" spans="1:22" x14ac:dyDescent="0.35">
      <c r="A109">
        <v>1.375</v>
      </c>
      <c r="B109" s="9">
        <v>15.5</v>
      </c>
      <c r="C109">
        <v>-1.783235E-2</v>
      </c>
      <c r="D109">
        <v>-9.1560058999999999E-3</v>
      </c>
      <c r="E109">
        <v>0.98201678999999997</v>
      </c>
      <c r="F109">
        <v>-1.0988266999999999E-2</v>
      </c>
      <c r="G109">
        <f t="shared" si="14"/>
        <v>20.7109243814552</v>
      </c>
      <c r="H109">
        <f t="shared" si="15"/>
        <v>-11.929493480831001</v>
      </c>
      <c r="I109">
        <f t="shared" si="16"/>
        <v>20.710849785249501</v>
      </c>
      <c r="J109">
        <f t="shared" si="17"/>
        <v>-11.930409748834901</v>
      </c>
      <c r="K109" s="7">
        <f t="shared" si="18"/>
        <v>7.4596205699606303E-5</v>
      </c>
      <c r="L109" s="7">
        <f t="shared" si="19"/>
        <v>9.162680039001E-4</v>
      </c>
      <c r="M109" s="7">
        <f t="shared" si="20"/>
        <v>3.6253795323715102E-2</v>
      </c>
      <c r="N109" s="7">
        <f t="shared" si="21"/>
        <v>2.08838670381533E-2</v>
      </c>
      <c r="O109">
        <v>1.2203200999999999</v>
      </c>
      <c r="P109">
        <v>-1.5843322</v>
      </c>
      <c r="Q109">
        <v>1.0456726999999999</v>
      </c>
      <c r="R109">
        <v>-5.8201744</v>
      </c>
      <c r="S109">
        <f t="shared" si="22"/>
        <v>2.956944041422727</v>
      </c>
      <c r="T109">
        <f t="shared" si="23"/>
        <v>-27.419699389479426</v>
      </c>
      <c r="U109" s="8"/>
      <c r="V109" s="8"/>
    </row>
    <row r="110" spans="1:22" x14ac:dyDescent="0.35">
      <c r="A110">
        <v>1.375</v>
      </c>
      <c r="B110" s="9">
        <v>15.5625</v>
      </c>
      <c r="C110">
        <v>-1.9236369999999999E-2</v>
      </c>
      <c r="D110">
        <v>-8.7192594000000002E-3</v>
      </c>
      <c r="E110">
        <v>0.98060427999999999</v>
      </c>
      <c r="F110">
        <v>-1.0554235E-2</v>
      </c>
      <c r="G110">
        <f t="shared" si="14"/>
        <v>20.226455206175899</v>
      </c>
      <c r="H110">
        <f t="shared" si="15"/>
        <v>-10.339920349843499</v>
      </c>
      <c r="I110">
        <f t="shared" si="16"/>
        <v>20.2263763668116</v>
      </c>
      <c r="J110">
        <f t="shared" si="17"/>
        <v>-10.3408379830901</v>
      </c>
      <c r="K110" s="7">
        <f t="shared" si="18"/>
        <v>7.8839364299199106E-5</v>
      </c>
      <c r="L110" s="7">
        <f t="shared" si="19"/>
        <v>9.1763324660121303E-4</v>
      </c>
      <c r="M110" s="7">
        <f t="shared" si="20"/>
        <v>3.9195423810586903E-2</v>
      </c>
      <c r="N110" s="7">
        <f t="shared" si="21"/>
        <v>2.00388601474305E-2</v>
      </c>
      <c r="O110">
        <v>1.1771995</v>
      </c>
      <c r="P110">
        <v>-1.7044801000000001</v>
      </c>
      <c r="Q110">
        <v>0.76962006000000005</v>
      </c>
      <c r="R110">
        <v>-6.0899723999999997</v>
      </c>
      <c r="S110">
        <f t="shared" si="22"/>
        <v>2.9632893468033048</v>
      </c>
      <c r="T110">
        <f t="shared" si="23"/>
        <v>-27.428334340580136</v>
      </c>
      <c r="U110" s="8"/>
      <c r="V110" s="8"/>
    </row>
    <row r="111" spans="1:22" x14ac:dyDescent="0.35">
      <c r="A111">
        <v>1.375</v>
      </c>
      <c r="B111" s="9">
        <v>15.625</v>
      </c>
      <c r="C111">
        <v>-2.066277E-2</v>
      </c>
      <c r="D111">
        <v>-8.1018801999999997E-3</v>
      </c>
      <c r="E111">
        <v>0.97916576</v>
      </c>
      <c r="F111">
        <v>-9.9372574999999994E-3</v>
      </c>
      <c r="G111">
        <f t="shared" si="14"/>
        <v>19.768070259792101</v>
      </c>
      <c r="H111">
        <f t="shared" si="15"/>
        <v>-8.8102420066310092</v>
      </c>
      <c r="I111">
        <f t="shared" si="16"/>
        <v>19.767985359809298</v>
      </c>
      <c r="J111">
        <f t="shared" si="17"/>
        <v>-8.81115985188422</v>
      </c>
      <c r="K111" s="7">
        <f t="shared" si="18"/>
        <v>8.4899982802255595E-5</v>
      </c>
      <c r="L111" s="7">
        <f t="shared" si="19"/>
        <v>9.17845253210814E-4</v>
      </c>
      <c r="M111" s="7">
        <f t="shared" si="20"/>
        <v>4.2202332385314303E-2</v>
      </c>
      <c r="N111" s="7">
        <f t="shared" si="21"/>
        <v>1.8810793816418599E-2</v>
      </c>
      <c r="O111">
        <v>1.1183179000000001</v>
      </c>
      <c r="P111">
        <v>-1.8259491000000001</v>
      </c>
      <c r="Q111">
        <v>0.44897835000000003</v>
      </c>
      <c r="R111">
        <v>-6.3425637000000004</v>
      </c>
      <c r="S111">
        <f t="shared" si="22"/>
        <v>2.9695701538025019</v>
      </c>
      <c r="T111">
        <f t="shared" si="23"/>
        <v>-27.436628952399271</v>
      </c>
      <c r="U111" s="8"/>
      <c r="V111" s="8"/>
    </row>
    <row r="112" spans="1:22" x14ac:dyDescent="0.35">
      <c r="A112">
        <v>1.375</v>
      </c>
      <c r="B112" s="9">
        <v>15.6875</v>
      </c>
      <c r="C112">
        <v>-2.2080973E-2</v>
      </c>
      <c r="D112">
        <v>-7.2875149E-3</v>
      </c>
      <c r="E112">
        <v>0.97773224999999997</v>
      </c>
      <c r="F112">
        <v>-9.1193947999999997E-3</v>
      </c>
      <c r="G112">
        <f t="shared" si="14"/>
        <v>19.334037320879901</v>
      </c>
      <c r="H112">
        <f t="shared" si="15"/>
        <v>-7.3371714863993498</v>
      </c>
      <c r="I112">
        <f t="shared" si="16"/>
        <v>19.333944762838001</v>
      </c>
      <c r="J112">
        <f t="shared" si="17"/>
        <v>-7.3380875966810999</v>
      </c>
      <c r="K112" s="7">
        <f t="shared" si="18"/>
        <v>9.2558041899337695E-5</v>
      </c>
      <c r="L112" s="7">
        <f t="shared" si="19"/>
        <v>9.1611028175009302E-4</v>
      </c>
      <c r="M112" s="7">
        <f t="shared" si="20"/>
        <v>4.5209849755975799E-2</v>
      </c>
      <c r="N112" s="7">
        <f t="shared" si="21"/>
        <v>1.71591385933723E-2</v>
      </c>
      <c r="O112">
        <v>1.0421446000000001</v>
      </c>
      <c r="P112">
        <v>-1.9455631</v>
      </c>
      <c r="Q112">
        <v>8.3755448999999996E-2</v>
      </c>
      <c r="R112">
        <v>-6.5688342000000004</v>
      </c>
      <c r="S112">
        <f t="shared" si="22"/>
        <v>2.9764733748595291</v>
      </c>
      <c r="T112">
        <f t="shared" si="23"/>
        <v>-27.445307197164968</v>
      </c>
      <c r="U112" s="8"/>
      <c r="V112" s="8"/>
    </row>
    <row r="113" spans="1:22" x14ac:dyDescent="0.35">
      <c r="A113">
        <v>1.375</v>
      </c>
      <c r="B113" s="9">
        <v>15.75</v>
      </c>
      <c r="C113">
        <v>-2.3453934999999999E-2</v>
      </c>
      <c r="D113">
        <v>-6.2661037999999997E-3</v>
      </c>
      <c r="E113">
        <v>0.97634135</v>
      </c>
      <c r="F113">
        <v>-8.0892240000000008E-3</v>
      </c>
      <c r="G113">
        <f t="shared" si="14"/>
        <v>18.922545833112199</v>
      </c>
      <c r="H113">
        <f t="shared" si="15"/>
        <v>-5.9176291428914203</v>
      </c>
      <c r="I113">
        <f t="shared" si="16"/>
        <v>18.922444296330401</v>
      </c>
      <c r="J113">
        <f t="shared" si="17"/>
        <v>-5.9185408888723297</v>
      </c>
      <c r="K113" s="7">
        <f t="shared" si="18"/>
        <v>1.01536781798472E-4</v>
      </c>
      <c r="L113" s="7">
        <f t="shared" si="19"/>
        <v>9.1174598090937298E-4</v>
      </c>
      <c r="M113" s="7">
        <f t="shared" si="20"/>
        <v>4.8137931256404802E-2</v>
      </c>
      <c r="N113" s="7">
        <f t="shared" si="21"/>
        <v>1.5056528109426599E-2</v>
      </c>
      <c r="O113">
        <v>0.9483992</v>
      </c>
      <c r="P113">
        <v>-2.0609720999999999</v>
      </c>
      <c r="Q113">
        <v>-0.32381520000000003</v>
      </c>
      <c r="R113">
        <v>-6.7590181999999999</v>
      </c>
      <c r="S113">
        <f t="shared" si="22"/>
        <v>2.9826447971102752</v>
      </c>
      <c r="T113">
        <f t="shared" si="23"/>
        <v>-27.453371395689867</v>
      </c>
      <c r="U113" s="8"/>
      <c r="V113" s="8"/>
    </row>
    <row r="114" spans="1:22" x14ac:dyDescent="0.35">
      <c r="A114">
        <v>1.375</v>
      </c>
      <c r="B114" s="9">
        <v>15.8125</v>
      </c>
      <c r="C114">
        <v>-2.4739653E-2</v>
      </c>
      <c r="D114">
        <v>-5.0364598999999999E-3</v>
      </c>
      <c r="E114">
        <v>0.97503567999999996</v>
      </c>
      <c r="F114">
        <v>-6.8444567999999999E-3</v>
      </c>
      <c r="G114">
        <f t="shared" si="14"/>
        <v>18.531756843320501</v>
      </c>
      <c r="H114">
        <f t="shared" si="15"/>
        <v>-4.5487628120146102</v>
      </c>
      <c r="I114">
        <f t="shared" si="16"/>
        <v>18.531645314688301</v>
      </c>
      <c r="J114">
        <f t="shared" si="17"/>
        <v>-4.5496670128583698</v>
      </c>
      <c r="K114" s="7">
        <f t="shared" si="18"/>
        <v>1.11528632199764E-4</v>
      </c>
      <c r="L114" s="7">
        <f t="shared" si="19"/>
        <v>9.0420084375963895E-4</v>
      </c>
      <c r="M114" s="7">
        <f t="shared" si="20"/>
        <v>5.08941467360099E-2</v>
      </c>
      <c r="N114" s="7">
        <f t="shared" si="21"/>
        <v>1.2494919723553599E-2</v>
      </c>
      <c r="O114">
        <v>0.83706378999999997</v>
      </c>
      <c r="P114">
        <v>-2.1686375999999998</v>
      </c>
      <c r="Q114">
        <v>-0.76877786000000004</v>
      </c>
      <c r="R114">
        <v>-6.9031586999999996</v>
      </c>
      <c r="S114">
        <f t="shared" si="22"/>
        <v>2.9879975758104771</v>
      </c>
      <c r="T114">
        <f t="shared" si="23"/>
        <v>-27.460513963294982</v>
      </c>
      <c r="U114" s="8"/>
      <c r="V114" s="8"/>
    </row>
    <row r="115" spans="1:22" x14ac:dyDescent="0.35">
      <c r="A115">
        <v>1.375</v>
      </c>
      <c r="B115" s="9">
        <v>15.875</v>
      </c>
      <c r="C115">
        <v>-2.5893807000000001E-2</v>
      </c>
      <c r="D115">
        <v>-3.6084314999999998E-3</v>
      </c>
      <c r="E115">
        <v>0.97386015999999997</v>
      </c>
      <c r="F115">
        <v>-5.3940806000000001E-3</v>
      </c>
      <c r="G115">
        <f t="shared" si="14"/>
        <v>18.159840671956001</v>
      </c>
      <c r="H115">
        <f t="shared" si="15"/>
        <v>-3.2279432012457501</v>
      </c>
      <c r="I115">
        <f t="shared" si="16"/>
        <v>18.159718437750399</v>
      </c>
      <c r="J115">
        <f t="shared" si="17"/>
        <v>-3.2288362447885501</v>
      </c>
      <c r="K115" s="7">
        <f t="shared" si="18"/>
        <v>1.2223420560175701E-4</v>
      </c>
      <c r="L115" s="7">
        <f t="shared" si="19"/>
        <v>8.9304354280006504E-4</v>
      </c>
      <c r="M115" s="7">
        <f t="shared" si="20"/>
        <v>5.3379418039501698E-2</v>
      </c>
      <c r="N115" s="7">
        <f t="shared" si="21"/>
        <v>9.4909731272801705E-3</v>
      </c>
      <c r="O115">
        <v>0.70877347999999996</v>
      </c>
      <c r="P115">
        <v>-2.2636737999999998</v>
      </c>
      <c r="Q115">
        <v>-1.2433346999999999</v>
      </c>
      <c r="R115">
        <v>-6.9922586000000004</v>
      </c>
      <c r="S115">
        <f t="shared" si="22"/>
        <v>2.9940209402646532</v>
      </c>
      <c r="T115">
        <f t="shared" si="23"/>
        <v>-27.468449896639999</v>
      </c>
      <c r="U115" s="8"/>
      <c r="V115" s="8"/>
    </row>
    <row r="116" spans="1:22" x14ac:dyDescent="0.35">
      <c r="A116">
        <v>1.375</v>
      </c>
      <c r="B116" s="9">
        <v>15.9375</v>
      </c>
      <c r="C116">
        <v>-2.6873383000000001E-2</v>
      </c>
      <c r="D116">
        <v>-2.0041048999999999E-3</v>
      </c>
      <c r="E116">
        <v>0.97285811</v>
      </c>
      <c r="F116">
        <v>-3.7593946999999999E-3</v>
      </c>
      <c r="G116">
        <f t="shared" si="14"/>
        <v>17.804945010026199</v>
      </c>
      <c r="H116">
        <f t="shared" si="15"/>
        <v>-1.9527152823064899</v>
      </c>
      <c r="I116">
        <f t="shared" si="16"/>
        <v>17.804811509070099</v>
      </c>
      <c r="J116">
        <f t="shared" si="17"/>
        <v>-1.95359316223138</v>
      </c>
      <c r="K116" s="7">
        <f t="shared" si="18"/>
        <v>1.33500956099653E-4</v>
      </c>
      <c r="L116" s="7">
        <f t="shared" si="19"/>
        <v>8.7787992489007905E-4</v>
      </c>
      <c r="M116" s="7">
        <f t="shared" si="20"/>
        <v>5.54964667594674E-2</v>
      </c>
      <c r="N116" s="7">
        <f t="shared" si="21"/>
        <v>6.0892258215744996E-3</v>
      </c>
      <c r="O116">
        <v>0.56580525000000004</v>
      </c>
      <c r="P116">
        <v>-2.3429381</v>
      </c>
      <c r="Q116">
        <v>-1.7369881</v>
      </c>
      <c r="R116">
        <v>-7.0190657999999999</v>
      </c>
      <c r="S116">
        <f t="shared" si="22"/>
        <v>2.9999702116046829</v>
      </c>
      <c r="T116">
        <f t="shared" si="23"/>
        <v>-27.476214431140104</v>
      </c>
      <c r="U116" s="8"/>
      <c r="V116" s="8"/>
    </row>
    <row r="117" spans="1:22" x14ac:dyDescent="0.35">
      <c r="A117">
        <v>1.375</v>
      </c>
      <c r="B117" s="9">
        <v>16</v>
      </c>
      <c r="C117">
        <v>-2.7640867999999999E-2</v>
      </c>
      <c r="D117">
        <v>-2.5754066999999998E-4</v>
      </c>
      <c r="E117">
        <v>0.97206669999999995</v>
      </c>
      <c r="F117">
        <v>-1.9732652000000002E-3</v>
      </c>
      <c r="G117">
        <f t="shared" si="14"/>
        <v>17.465097213601499</v>
      </c>
      <c r="H117">
        <f t="shared" si="15"/>
        <v>-0.72070602264692896</v>
      </c>
      <c r="I117">
        <f t="shared" si="16"/>
        <v>17.464951712469301</v>
      </c>
      <c r="J117">
        <f t="shared" si="17"/>
        <v>-0.72156413520164597</v>
      </c>
      <c r="K117" s="7">
        <f t="shared" si="18"/>
        <v>1.4550113219868901E-4</v>
      </c>
      <c r="L117" s="7">
        <f t="shared" si="19"/>
        <v>8.5811255471701696E-4</v>
      </c>
      <c r="M117" s="7">
        <f t="shared" si="20"/>
        <v>5.71599622763653E-2</v>
      </c>
      <c r="N117" s="7">
        <f t="shared" si="21"/>
        <v>2.3615627129765899E-3</v>
      </c>
      <c r="O117">
        <v>0.41123319000000003</v>
      </c>
      <c r="P117">
        <v>-2.4029164000000001</v>
      </c>
      <c r="Q117">
        <v>-2.2371568000000002</v>
      </c>
      <c r="R117">
        <v>-6.9791455999999998</v>
      </c>
      <c r="S117">
        <f t="shared" si="22"/>
        <v>3.0063105888736339</v>
      </c>
      <c r="T117">
        <f t="shared" si="23"/>
        <v>-27.484661963761852</v>
      </c>
      <c r="U117" s="8"/>
      <c r="V117" s="8"/>
    </row>
    <row r="118" spans="1:22" x14ac:dyDescent="0.35">
      <c r="A118">
        <v>1.375</v>
      </c>
      <c r="B118" s="9">
        <v>16.0625</v>
      </c>
      <c r="C118">
        <v>-2.8166772999999999E-2</v>
      </c>
      <c r="D118">
        <v>1.5889306999999999E-3</v>
      </c>
      <c r="E118">
        <v>0.97179254999999998</v>
      </c>
      <c r="F118">
        <v>4.6094499999999997E-5</v>
      </c>
      <c r="G118">
        <f t="shared" si="14"/>
        <v>17.223704782271</v>
      </c>
      <c r="H118">
        <f t="shared" si="15"/>
        <v>0.51442718306100299</v>
      </c>
      <c r="I118">
        <f t="shared" si="16"/>
        <v>17.223685038479299</v>
      </c>
      <c r="J118">
        <f t="shared" si="17"/>
        <v>0.51365573404017095</v>
      </c>
      <c r="K118" s="7">
        <f t="shared" si="18"/>
        <v>1.9743791700221901E-5</v>
      </c>
      <c r="L118" s="7">
        <f t="shared" si="19"/>
        <v>7.7144902083203803E-4</v>
      </c>
      <c r="M118" s="7">
        <f t="shared" si="20"/>
        <v>5.8007992964738499E-2</v>
      </c>
      <c r="N118" s="7">
        <f t="shared" si="21"/>
        <v>-1.7299514093489601E-3</v>
      </c>
      <c r="O118">
        <v>0.24888030999999999</v>
      </c>
      <c r="P118">
        <v>-2.4418489000000001</v>
      </c>
      <c r="Q118">
        <v>-2.7302255</v>
      </c>
      <c r="R118">
        <v>-6.8711229999999999</v>
      </c>
      <c r="S118">
        <f t="shared" si="22"/>
        <v>3.0122953408777811</v>
      </c>
      <c r="T118">
        <f t="shared" si="23"/>
        <v>-27.489944342562467</v>
      </c>
      <c r="U118" s="8"/>
      <c r="V118" s="8"/>
    </row>
    <row r="119" spans="1:22" x14ac:dyDescent="0.35">
      <c r="A119">
        <v>1.375</v>
      </c>
      <c r="B119" s="9">
        <v>16.125</v>
      </c>
      <c r="C119">
        <v>-2.8438364000000001E-2</v>
      </c>
      <c r="D119">
        <v>3.4808904000000001E-3</v>
      </c>
      <c r="E119">
        <v>0.97146600000000005</v>
      </c>
      <c r="F119">
        <v>1.9862707999999999E-3</v>
      </c>
      <c r="G119">
        <f t="shared" si="14"/>
        <v>16.892234875848199</v>
      </c>
      <c r="H119">
        <f t="shared" si="15"/>
        <v>1.6693587179898199</v>
      </c>
      <c r="I119">
        <f t="shared" si="16"/>
        <v>16.892187614113201</v>
      </c>
      <c r="J119">
        <f t="shared" si="17"/>
        <v>1.6686113371324101</v>
      </c>
      <c r="K119" s="7">
        <f t="shared" si="18"/>
        <v>4.7261734998471598E-5</v>
      </c>
      <c r="L119" s="7">
        <f t="shared" si="19"/>
        <v>7.4738085740988502E-4</v>
      </c>
      <c r="M119" s="7">
        <f t="shared" si="20"/>
        <v>5.8626911493145799E-2</v>
      </c>
      <c r="N119" s="7">
        <f t="shared" si="21"/>
        <v>-5.7911699427721803E-3</v>
      </c>
      <c r="O119">
        <v>8.3817922000000003E-2</v>
      </c>
      <c r="P119">
        <v>-2.4587216999999999</v>
      </c>
      <c r="Q119">
        <v>-3.2012914000000001</v>
      </c>
      <c r="R119">
        <v>-6.6982685000000002</v>
      </c>
      <c r="S119">
        <f t="shared" si="22"/>
        <v>3.0176828223329988</v>
      </c>
      <c r="T119">
        <f t="shared" si="23"/>
        <v>-27.496910080081701</v>
      </c>
      <c r="U119" s="8"/>
      <c r="V119" s="8"/>
    </row>
    <row r="120" spans="1:22" x14ac:dyDescent="0.35">
      <c r="A120">
        <v>1.375</v>
      </c>
      <c r="B120" s="9">
        <v>16.1875</v>
      </c>
      <c r="C120">
        <v>-2.8452849999999998E-2</v>
      </c>
      <c r="D120">
        <v>5.3706620999999996E-3</v>
      </c>
      <c r="E120">
        <v>0.97138950000000002</v>
      </c>
      <c r="F120">
        <v>3.9637235000000003E-3</v>
      </c>
      <c r="G120">
        <f t="shared" si="14"/>
        <v>16.567721641359899</v>
      </c>
      <c r="H120">
        <f t="shared" si="15"/>
        <v>2.7922721644582098</v>
      </c>
      <c r="I120">
        <f t="shared" si="16"/>
        <v>16.567643305131799</v>
      </c>
      <c r="J120">
        <f t="shared" si="17"/>
        <v>2.7915685845913898</v>
      </c>
      <c r="K120" s="7">
        <f t="shared" si="18"/>
        <v>7.8336228099829E-5</v>
      </c>
      <c r="L120" s="7">
        <f t="shared" si="19"/>
        <v>7.0357986682001395E-4</v>
      </c>
      <c r="M120" s="7">
        <f t="shared" si="20"/>
        <v>5.8692302924058901E-2</v>
      </c>
      <c r="N120" s="7">
        <f t="shared" si="21"/>
        <v>-9.8893720719695506E-3</v>
      </c>
      <c r="O120">
        <v>-8.0187849000000005E-2</v>
      </c>
      <c r="P120">
        <v>-2.4542088</v>
      </c>
      <c r="Q120">
        <v>-3.6423245</v>
      </c>
      <c r="R120">
        <v>-6.4695895999999999</v>
      </c>
      <c r="S120">
        <f t="shared" si="22"/>
        <v>3.0235680091957859</v>
      </c>
      <c r="T120">
        <f t="shared" si="23"/>
        <v>-27.507751049530256</v>
      </c>
      <c r="U120" s="8"/>
      <c r="V120" s="8"/>
    </row>
    <row r="121" spans="1:22" x14ac:dyDescent="0.35">
      <c r="A121">
        <v>1.375</v>
      </c>
      <c r="B121" s="9">
        <v>16.25</v>
      </c>
      <c r="C121">
        <v>-2.8223116999999999E-2</v>
      </c>
      <c r="D121">
        <v>7.2039512000000002E-3</v>
      </c>
      <c r="E121">
        <v>0.97160473000000003</v>
      </c>
      <c r="F121">
        <v>5.8972253000000004E-3</v>
      </c>
      <c r="G121">
        <f t="shared" si="14"/>
        <v>16.2645230844563</v>
      </c>
      <c r="H121">
        <f t="shared" si="15"/>
        <v>3.8795332357218899</v>
      </c>
      <c r="I121">
        <f t="shared" si="16"/>
        <v>16.264437427539701</v>
      </c>
      <c r="J121">
        <f t="shared" si="17"/>
        <v>3.8788797605579801</v>
      </c>
      <c r="K121" s="7">
        <f t="shared" si="18"/>
        <v>8.56569165996746E-5</v>
      </c>
      <c r="L121" s="7">
        <f t="shared" si="19"/>
        <v>6.5347516390978899E-4</v>
      </c>
      <c r="M121" s="7">
        <f t="shared" si="20"/>
        <v>5.8175030853499898E-2</v>
      </c>
      <c r="N121" s="7">
        <f t="shared" si="21"/>
        <v>-1.38740703914781E-2</v>
      </c>
      <c r="O121">
        <v>-0.23854204000000001</v>
      </c>
      <c r="P121">
        <v>-2.4287236999999999</v>
      </c>
      <c r="Q121">
        <v>-4.0396261999999998</v>
      </c>
      <c r="R121">
        <v>-6.1910635000000003</v>
      </c>
      <c r="S121">
        <f t="shared" si="22"/>
        <v>3.0291705596423637</v>
      </c>
      <c r="T121">
        <f t="shared" si="23"/>
        <v>-27.514740289238013</v>
      </c>
      <c r="U121" s="8"/>
      <c r="V121" s="8"/>
    </row>
    <row r="122" spans="1:22" x14ac:dyDescent="0.35">
      <c r="A122">
        <v>1.375</v>
      </c>
      <c r="B122" s="9">
        <v>16.3125</v>
      </c>
      <c r="C122">
        <v>-2.7773365000000001E-2</v>
      </c>
      <c r="D122">
        <v>8.9365594000000003E-3</v>
      </c>
      <c r="E122">
        <v>0.97227947999999997</v>
      </c>
      <c r="F122">
        <v>7.3585934999999998E-3</v>
      </c>
      <c r="G122">
        <f t="shared" si="14"/>
        <v>16.0895744062076</v>
      </c>
      <c r="H122">
        <f t="shared" si="15"/>
        <v>4.8717396977026199</v>
      </c>
      <c r="I122">
        <f t="shared" si="16"/>
        <v>16.089601450453898</v>
      </c>
      <c r="J122">
        <f t="shared" si="17"/>
        <v>4.8709507569358497</v>
      </c>
      <c r="K122" s="7">
        <f t="shared" si="18"/>
        <v>-2.7044246298402199E-5</v>
      </c>
      <c r="L122" s="7">
        <f t="shared" si="19"/>
        <v>7.8894076677027403E-4</v>
      </c>
      <c r="M122" s="7">
        <f t="shared" si="20"/>
        <v>5.6933898397238003E-2</v>
      </c>
      <c r="N122" s="7">
        <f t="shared" si="21"/>
        <v>-1.72361146637049E-2</v>
      </c>
      <c r="O122">
        <v>-0.38963184000000001</v>
      </c>
      <c r="P122">
        <v>-2.382908</v>
      </c>
      <c r="Q122">
        <v>-4.3909038999999996</v>
      </c>
      <c r="R122">
        <v>-5.8669244999999997</v>
      </c>
      <c r="S122">
        <f t="shared" si="22"/>
        <v>3.0349664696591443</v>
      </c>
      <c r="T122">
        <f t="shared" si="23"/>
        <v>-27.525475719076862</v>
      </c>
      <c r="U122" s="8"/>
      <c r="V122" s="8"/>
    </row>
    <row r="123" spans="1:22" x14ac:dyDescent="0.35">
      <c r="A123">
        <v>1.375</v>
      </c>
      <c r="B123" s="9">
        <v>16.375</v>
      </c>
      <c r="C123">
        <v>-2.7135113999999998E-2</v>
      </c>
      <c r="D123">
        <v>1.0541300999999999E-2</v>
      </c>
      <c r="E123">
        <v>0.97285988000000001</v>
      </c>
      <c r="F123">
        <v>9.1488112000000007E-3</v>
      </c>
      <c r="G123">
        <f t="shared" si="14"/>
        <v>15.781749578995299</v>
      </c>
      <c r="H123">
        <f t="shared" si="15"/>
        <v>5.9070837108843701</v>
      </c>
      <c r="I123">
        <f t="shared" si="16"/>
        <v>15.7817475607494</v>
      </c>
      <c r="J123">
        <f t="shared" si="17"/>
        <v>5.9063874628364701</v>
      </c>
      <c r="K123" s="7">
        <f t="shared" si="18"/>
        <v>2.0182458992934501E-6</v>
      </c>
      <c r="L123" s="7">
        <f t="shared" si="19"/>
        <v>6.9624804790002803E-4</v>
      </c>
      <c r="M123" s="7">
        <f t="shared" si="20"/>
        <v>5.55795205740231E-2</v>
      </c>
      <c r="N123" s="7">
        <f t="shared" si="21"/>
        <v>-2.0800876597805801E-2</v>
      </c>
      <c r="O123">
        <v>-0.52617407000000005</v>
      </c>
      <c r="P123">
        <v>-2.3235958000000001</v>
      </c>
      <c r="Q123">
        <v>-4.6846622</v>
      </c>
      <c r="R123">
        <v>-5.5257731999999997</v>
      </c>
      <c r="S123">
        <f t="shared" si="22"/>
        <v>3.0407332950512473</v>
      </c>
      <c r="T123">
        <f t="shared" si="23"/>
        <v>-27.53140925812335</v>
      </c>
      <c r="U123" s="8"/>
      <c r="V123" s="8"/>
    </row>
    <row r="124" spans="1:22" x14ac:dyDescent="0.35">
      <c r="A124">
        <v>1.375</v>
      </c>
      <c r="B124" s="9">
        <v>16.4375</v>
      </c>
      <c r="C124">
        <v>-2.6345396E-2</v>
      </c>
      <c r="D124">
        <v>1.1991323E-2</v>
      </c>
      <c r="E124">
        <v>0.97366923999999999</v>
      </c>
      <c r="F124">
        <v>1.0560428E-2</v>
      </c>
      <c r="G124">
        <f t="shared" si="14"/>
        <v>15.543370525539901</v>
      </c>
      <c r="H124">
        <f t="shared" si="15"/>
        <v>6.8688578719976396</v>
      </c>
      <c r="I124">
        <f t="shared" si="16"/>
        <v>15.5433783553399</v>
      </c>
      <c r="J124">
        <f t="shared" si="17"/>
        <v>6.8681424353350096</v>
      </c>
      <c r="K124" s="7">
        <f t="shared" si="18"/>
        <v>-7.8297999994703105E-6</v>
      </c>
      <c r="L124" s="7">
        <f t="shared" si="19"/>
        <v>7.1543666263007598E-4</v>
      </c>
      <c r="M124" s="7">
        <f t="shared" si="20"/>
        <v>5.3826527968863697E-2</v>
      </c>
      <c r="N124" s="7">
        <f t="shared" si="21"/>
        <v>-2.37842927347061E-2</v>
      </c>
      <c r="O124">
        <v>-0.65054192</v>
      </c>
      <c r="P124">
        <v>-2.2498841000000001</v>
      </c>
      <c r="Q124">
        <v>-4.9251101000000004</v>
      </c>
      <c r="R124">
        <v>-5.1596473999999999</v>
      </c>
      <c r="S124">
        <f t="shared" si="22"/>
        <v>3.0455961002074892</v>
      </c>
      <c r="T124">
        <f t="shared" si="23"/>
        <v>-27.540792554157271</v>
      </c>
      <c r="U124" s="8"/>
      <c r="V124" s="8"/>
    </row>
    <row r="125" spans="1:22" x14ac:dyDescent="0.35">
      <c r="A125">
        <v>1.375</v>
      </c>
      <c r="B125" s="9">
        <v>16.5</v>
      </c>
      <c r="C125">
        <v>-2.5441644999999999E-2</v>
      </c>
      <c r="D125">
        <v>1.3275599000000001E-2</v>
      </c>
      <c r="E125">
        <v>0.97457837999999997</v>
      </c>
      <c r="F125">
        <v>1.1840642E-2</v>
      </c>
      <c r="G125">
        <f t="shared" si="14"/>
        <v>15.306361578169399</v>
      </c>
      <c r="H125">
        <f t="shared" si="15"/>
        <v>7.8055304787557498</v>
      </c>
      <c r="I125">
        <f t="shared" si="16"/>
        <v>15.3063721053288</v>
      </c>
      <c r="J125">
        <f t="shared" si="17"/>
        <v>7.8048130149923498</v>
      </c>
      <c r="K125" s="7">
        <f t="shared" si="18"/>
        <v>-1.05271594001977E-5</v>
      </c>
      <c r="L125" s="7">
        <f t="shared" si="19"/>
        <v>7.1746376339998396E-4</v>
      </c>
      <c r="M125" s="7">
        <f t="shared" si="20"/>
        <v>5.1850830614706502E-2</v>
      </c>
      <c r="N125" s="7">
        <f t="shared" si="21"/>
        <v>-2.64390565468441E-2</v>
      </c>
      <c r="O125">
        <v>-0.75959876999999998</v>
      </c>
      <c r="P125">
        <v>-2.1666875999999999</v>
      </c>
      <c r="Q125">
        <v>-5.1120948000000004</v>
      </c>
      <c r="R125">
        <v>-4.7890119000000002</v>
      </c>
      <c r="S125">
        <f t="shared" si="22"/>
        <v>3.0509260463045202</v>
      </c>
      <c r="T125">
        <f t="shared" si="23"/>
        <v>-27.549275260711838</v>
      </c>
      <c r="U125" s="8"/>
      <c r="V125" s="8"/>
    </row>
    <row r="126" spans="1:22" x14ac:dyDescent="0.35">
      <c r="A126">
        <v>1.375</v>
      </c>
      <c r="B126" s="9">
        <v>16.5625</v>
      </c>
      <c r="C126">
        <v>-2.4463130999999999E-2</v>
      </c>
      <c r="D126">
        <v>1.4390004E-2</v>
      </c>
      <c r="E126">
        <v>0.97557941000000004</v>
      </c>
      <c r="F126">
        <v>1.2877036E-2</v>
      </c>
      <c r="G126">
        <f t="shared" si="14"/>
        <v>15.1022904579364</v>
      </c>
      <c r="H126">
        <f t="shared" si="15"/>
        <v>8.7032463194566194</v>
      </c>
      <c r="I126">
        <f t="shared" si="16"/>
        <v>15.1023123002152</v>
      </c>
      <c r="J126">
        <f t="shared" si="17"/>
        <v>8.7024898680700602</v>
      </c>
      <c r="K126" s="7">
        <f t="shared" si="18"/>
        <v>-2.1842278799866201E-5</v>
      </c>
      <c r="L126" s="7">
        <f t="shared" si="19"/>
        <v>7.5645138655921996E-4</v>
      </c>
      <c r="M126" s="7">
        <f t="shared" si="20"/>
        <v>4.9709209325605901E-2</v>
      </c>
      <c r="N126" s="7">
        <f t="shared" si="21"/>
        <v>-2.8644215660915399E-2</v>
      </c>
      <c r="O126">
        <v>-0.85350700999999995</v>
      </c>
      <c r="P126">
        <v>-2.077922</v>
      </c>
      <c r="Q126">
        <v>-5.2511115999999998</v>
      </c>
      <c r="R126">
        <v>-4.4248086000000004</v>
      </c>
      <c r="S126">
        <f t="shared" si="22"/>
        <v>3.0568311423433832</v>
      </c>
      <c r="T126">
        <f t="shared" si="23"/>
        <v>-27.5506748345767</v>
      </c>
      <c r="U126" s="8"/>
      <c r="V126" s="8"/>
    </row>
    <row r="127" spans="1:22" x14ac:dyDescent="0.35">
      <c r="A127">
        <v>1.375</v>
      </c>
      <c r="B127" s="9">
        <v>16.625</v>
      </c>
      <c r="C127">
        <v>-2.3433367E-2</v>
      </c>
      <c r="D127">
        <v>1.5340731E-2</v>
      </c>
      <c r="E127">
        <v>0.97667292999999999</v>
      </c>
      <c r="F127">
        <v>1.3931133E-2</v>
      </c>
      <c r="G127">
        <f t="shared" si="14"/>
        <v>14.864610346774899</v>
      </c>
      <c r="H127">
        <f t="shared" si="15"/>
        <v>9.6185595139835307</v>
      </c>
      <c r="I127">
        <f t="shared" si="16"/>
        <v>14.864663989112501</v>
      </c>
      <c r="J127">
        <f t="shared" si="17"/>
        <v>9.6178547902456</v>
      </c>
      <c r="K127" s="7">
        <f t="shared" si="18"/>
        <v>-5.3642337601189597E-5</v>
      </c>
      <c r="L127" s="7">
        <f t="shared" si="19"/>
        <v>7.0472373793073505E-4</v>
      </c>
      <c r="M127" s="7">
        <f t="shared" si="20"/>
        <v>4.74210400016234E-2</v>
      </c>
      <c r="N127" s="7">
        <f t="shared" si="21"/>
        <v>-3.0682743792399301E-2</v>
      </c>
      <c r="O127">
        <v>-0.93337764000000001</v>
      </c>
      <c r="P127">
        <v>-1.9856889</v>
      </c>
      <c r="Q127">
        <v>-5.3460929999999998</v>
      </c>
      <c r="R127">
        <v>-4.0675999000000003</v>
      </c>
      <c r="S127">
        <f t="shared" si="22"/>
        <v>3.0616377320749812</v>
      </c>
      <c r="T127">
        <f t="shared" si="23"/>
        <v>-27.558159113921732</v>
      </c>
      <c r="U127" s="8"/>
      <c r="V127" s="8"/>
    </row>
    <row r="128" spans="1:22" x14ac:dyDescent="0.35">
      <c r="A128">
        <v>1.375</v>
      </c>
      <c r="B128" s="9">
        <v>16.6875</v>
      </c>
      <c r="C128">
        <v>-2.2385676E-2</v>
      </c>
      <c r="D128">
        <v>1.6136823000000002E-2</v>
      </c>
      <c r="E128">
        <v>0.97772342000000001</v>
      </c>
      <c r="F128">
        <v>1.4736038999999999E-2</v>
      </c>
      <c r="G128">
        <f t="shared" si="14"/>
        <v>14.650758684185099</v>
      </c>
      <c r="H128">
        <f t="shared" si="15"/>
        <v>10.473357423622099</v>
      </c>
      <c r="I128">
        <f t="shared" si="16"/>
        <v>14.6508137196783</v>
      </c>
      <c r="J128">
        <f t="shared" si="17"/>
        <v>10.4726571083694</v>
      </c>
      <c r="K128" s="7">
        <f t="shared" si="18"/>
        <v>-5.50354932009611E-5</v>
      </c>
      <c r="L128" s="7">
        <f t="shared" si="19"/>
        <v>7.0031525269875804E-4</v>
      </c>
      <c r="M128" s="7">
        <f t="shared" si="20"/>
        <v>4.5173542143868699E-2</v>
      </c>
      <c r="N128" s="7">
        <f t="shared" si="21"/>
        <v>-3.2290835601013798E-2</v>
      </c>
      <c r="O128">
        <v>-0.99942507000000003</v>
      </c>
      <c r="P128">
        <v>-1.8916715</v>
      </c>
      <c r="Q128">
        <v>-5.4021534999999998</v>
      </c>
      <c r="R128">
        <v>-3.7245729000000001</v>
      </c>
      <c r="S128">
        <f t="shared" si="22"/>
        <v>3.066987583616009</v>
      </c>
      <c r="T128">
        <f t="shared" si="23"/>
        <v>-27.566463880818429</v>
      </c>
      <c r="U128" s="8"/>
      <c r="V128" s="8"/>
    </row>
    <row r="129" spans="1:22" x14ac:dyDescent="0.35">
      <c r="A129">
        <v>1.375</v>
      </c>
      <c r="B129" s="9">
        <v>16.75</v>
      </c>
      <c r="C129">
        <v>-2.1340516E-2</v>
      </c>
      <c r="D129">
        <v>1.6790719999999999E-2</v>
      </c>
      <c r="E129">
        <v>0.9787709</v>
      </c>
      <c r="F129">
        <v>1.5401196000000001E-2</v>
      </c>
      <c r="G129">
        <f t="shared" si="14"/>
        <v>14.444588583844901</v>
      </c>
      <c r="H129">
        <f t="shared" si="15"/>
        <v>11.3017376280458</v>
      </c>
      <c r="I129">
        <f t="shared" si="16"/>
        <v>14.444644771355099</v>
      </c>
      <c r="J129">
        <f t="shared" si="17"/>
        <v>11.3010429437822</v>
      </c>
      <c r="K129" s="7">
        <f t="shared" si="18"/>
        <v>-5.6187510198313402E-5</v>
      </c>
      <c r="L129" s="7">
        <f t="shared" si="19"/>
        <v>6.94684263599754E-4</v>
      </c>
      <c r="M129" s="7">
        <f t="shared" si="20"/>
        <v>4.2943832430181399E-2</v>
      </c>
      <c r="N129" s="7">
        <f t="shared" si="21"/>
        <v>-3.3597925192765998E-2</v>
      </c>
      <c r="O129">
        <v>-1.0532398999999999</v>
      </c>
      <c r="P129">
        <v>-1.7986145</v>
      </c>
      <c r="Q129">
        <v>-5.4256357</v>
      </c>
      <c r="R129">
        <v>-3.3999994</v>
      </c>
      <c r="S129">
        <f t="shared" si="22"/>
        <v>3.0719734798842127</v>
      </c>
      <c r="T129">
        <f t="shared" si="23"/>
        <v>-27.573939121204287</v>
      </c>
      <c r="U129" s="8"/>
      <c r="V129" s="8"/>
    </row>
    <row r="130" spans="1:22" x14ac:dyDescent="0.35">
      <c r="A130">
        <v>1.375</v>
      </c>
      <c r="B130" s="9">
        <v>16.8125</v>
      </c>
      <c r="C130">
        <v>-2.0314743E-2</v>
      </c>
      <c r="D130">
        <v>1.7317052999999999E-2</v>
      </c>
      <c r="E130">
        <v>0.97979886000000005</v>
      </c>
      <c r="F130">
        <v>1.5940203999999999E-2</v>
      </c>
      <c r="G130">
        <f t="shared" si="14"/>
        <v>14.2459859333963</v>
      </c>
      <c r="H130">
        <f t="shared" si="15"/>
        <v>12.1045354172496</v>
      </c>
      <c r="I130">
        <f t="shared" si="16"/>
        <v>14.246043205517401</v>
      </c>
      <c r="J130">
        <f t="shared" si="17"/>
        <v>12.103847071276199</v>
      </c>
      <c r="K130" s="7">
        <f t="shared" si="18"/>
        <v>-5.7272121100737602E-5</v>
      </c>
      <c r="L130" s="7">
        <f t="shared" si="19"/>
        <v>6.8834597340128301E-4</v>
      </c>
      <c r="M130" s="7">
        <f t="shared" si="20"/>
        <v>4.0766709327448698E-2</v>
      </c>
      <c r="N130" s="7">
        <f t="shared" si="21"/>
        <v>-3.4636565969946201E-2</v>
      </c>
      <c r="O130">
        <v>-1.0960715999999999</v>
      </c>
      <c r="P130">
        <v>-1.7077271000000001</v>
      </c>
      <c r="Q130">
        <v>-5.4220367999999999</v>
      </c>
      <c r="R130">
        <v>-3.0958644999999998</v>
      </c>
      <c r="S130">
        <f t="shared" si="22"/>
        <v>3.0768706924568838</v>
      </c>
      <c r="T130">
        <f t="shared" si="23"/>
        <v>-27.580986009644789</v>
      </c>
      <c r="U130" s="8"/>
      <c r="V130" s="8"/>
    </row>
    <row r="131" spans="1:22" x14ac:dyDescent="0.35">
      <c r="A131">
        <v>1.375</v>
      </c>
      <c r="B131" s="9">
        <v>16.875</v>
      </c>
      <c r="C131">
        <v>-1.9322221000000001E-2</v>
      </c>
      <c r="D131">
        <v>1.7730724999999999E-2</v>
      </c>
      <c r="E131">
        <v>0.98075042999999995</v>
      </c>
      <c r="F131">
        <v>1.6264954000000002E-2</v>
      </c>
      <c r="G131">
        <f t="shared" ref="G131:G194" si="24">IMREAL(IMDIV(IMSUM(IMPRODUCT(COMPLEX(1 + C131,D131),COMPLEX(1 - C131, - D131)),IMPRODUCT(COMPLEX(E131,F131),COMPLEX(E131,F131))),IMSUB(IMPRODUCT(COMPLEX(1 - C131, - D131),COMPLEX(1 - C131, - D131)),IMPRODUCT(COMPLEX(E131,F131),COMPLEX(E131,F131)))))</f>
        <v>14.0912234200427</v>
      </c>
      <c r="H131">
        <f t="shared" ref="H131:H194" si="25">IMAGINARY(IMDIV(IMSUM(IMPRODUCT(COMPLEX(1 + C131,D131),COMPLEX(1 - C131, - D131)),IMPRODUCT(COMPLEX(E131,F131),COMPLEX(E131,F131))),IMSUB(IMPRODUCT(COMPLEX(1 - C131, - D131),COMPLEX(1 - C131, - D131)),IMPRODUCT(COMPLEX(E131,F131),COMPLEX(E131,F131)))))</f>
        <v>12.8605204639133</v>
      </c>
      <c r="I131">
        <f t="shared" ref="I131:I194" si="26">IMREAL(IMDIV(IMPRODUCT(COMPLEX(2,0),COMPLEX(E131,F131)),IMSUB(IMPRODUCT(COMPLEX(1 - C131, - D131),COMPLEX(1 - C131, - D131)),IMPRODUCT(COMPLEX(E131,F131),COMPLEX(E131,F131)))))</f>
        <v>14.091260281285599</v>
      </c>
      <c r="J131">
        <f t="shared" ref="J131:J194" si="27">IMAGINARY(IMDIV(IMPRODUCT(COMPLEX(2,0),COMPLEX(E131,F131)),IMSUB(IMPRODUCT(COMPLEX(1 - C131, - D131),COMPLEX(1 - C131, - D131)),IMPRODUCT(COMPLEX(E131,F131),COMPLEX(E131,F131)))))</f>
        <v>12.8597876320488</v>
      </c>
      <c r="K131" s="7">
        <f t="shared" ref="K131:K194" si="28">IMREAL(IMSUB(COMPLEX(G131,H131),COMPLEX(I131,J131)))</f>
        <v>-3.6861242898922301E-5</v>
      </c>
      <c r="L131" s="7">
        <f t="shared" ref="L131:L194" si="29">IMAGINARY(IMSUB(COMPLEX(G131,H131),COMPLEX(I131,J131)))</f>
        <v>7.3283186450012695E-4</v>
      </c>
      <c r="M131" s="7">
        <f t="shared" ref="M131:M194" si="30">IMREAL(IMDIV(IMSUB(IMPRODUCT(COMPLEX(1 - C131, - D131),COMPLEX(1 - C131, - D131)),IMPRODUCT(COMPLEX(E131,F131),COMPLEX(E131,F131))),IMPRODUCT(COMPLEX(2,0),COMPLEX(E131,F131))))</f>
        <v>3.87188746330525E-2</v>
      </c>
      <c r="N131" s="7">
        <f t="shared" ref="N131:N194" si="31">IMAGINARY(IMDIV(IMSUB(IMPRODUCT(COMPLEX(1 - C131, - D131),COMPLEX(1 - C131, - D131)),IMPRODUCT(COMPLEX(E131,F131),COMPLEX(E131,F131))),IMPRODUCT(COMPLEX(2,0),COMPLEX(E131,F131))))</f>
        <v>-3.5335129377622398E-2</v>
      </c>
      <c r="O131">
        <v>-1.1289777000000001</v>
      </c>
      <c r="P131">
        <v>-1.6196291</v>
      </c>
      <c r="Q131">
        <v>-5.3954697999999999</v>
      </c>
      <c r="R131">
        <v>-2.8128267</v>
      </c>
      <c r="S131">
        <f t="shared" ref="S131:S194" si="32">IMABS(COMPLEX(Q131,R131))/IMABS(COMPLEX(O131,P131))</f>
        <v>3.0819611182260562</v>
      </c>
      <c r="T131">
        <f t="shared" ref="T131:T194" si="33">IMARGUMENT(IMDIV(COMPLEX(Q131,R131),COMPLEX(O131/B131,P131/B131)))/PI()*180</f>
        <v>-27.58677587965688</v>
      </c>
      <c r="U131" s="8"/>
      <c r="V131" s="8"/>
    </row>
    <row r="132" spans="1:22" x14ac:dyDescent="0.35">
      <c r="A132">
        <v>1.375</v>
      </c>
      <c r="B132" s="9">
        <v>16.9375</v>
      </c>
      <c r="C132">
        <v>-1.8368621000000002E-2</v>
      </c>
      <c r="D132">
        <v>1.8047001E-2</v>
      </c>
      <c r="E132">
        <v>0.98170873999999997</v>
      </c>
      <c r="F132">
        <v>1.6597979999999998E-2</v>
      </c>
      <c r="G132">
        <f t="shared" si="24"/>
        <v>13.909055943549101</v>
      </c>
      <c r="H132">
        <f t="shared" si="25"/>
        <v>13.6174863115544</v>
      </c>
      <c r="I132">
        <f t="shared" si="26"/>
        <v>13.9090951474072</v>
      </c>
      <c r="J132">
        <f t="shared" si="27"/>
        <v>13.616761857480199</v>
      </c>
      <c r="K132" s="7">
        <f t="shared" si="28"/>
        <v>-3.9203858099412501E-5</v>
      </c>
      <c r="L132" s="7">
        <f t="shared" si="29"/>
        <v>7.2445407420040897E-4</v>
      </c>
      <c r="M132" s="7">
        <f t="shared" si="30"/>
        <v>3.6711167225215703E-2</v>
      </c>
      <c r="N132" s="7">
        <f t="shared" si="31"/>
        <v>-3.5939593217110002E-2</v>
      </c>
      <c r="O132">
        <v>-1.1538288000000001</v>
      </c>
      <c r="P132">
        <v>-1.5357575999999999</v>
      </c>
      <c r="Q132">
        <v>-5.3523144</v>
      </c>
      <c r="R132">
        <v>-2.5516532000000001</v>
      </c>
      <c r="S132">
        <f t="shared" si="32"/>
        <v>3.0867941552625435</v>
      </c>
      <c r="T132">
        <f t="shared" si="33"/>
        <v>-27.593200227749339</v>
      </c>
      <c r="U132" s="8"/>
      <c r="V132" s="8"/>
    </row>
    <row r="133" spans="1:22" x14ac:dyDescent="0.35">
      <c r="A133">
        <v>1.375</v>
      </c>
      <c r="B133" s="9">
        <v>17</v>
      </c>
      <c r="C133">
        <v>-1.7460930999999999E-2</v>
      </c>
      <c r="D133">
        <v>1.8279654999999999E-2</v>
      </c>
      <c r="E133">
        <v>0.98262115999999999</v>
      </c>
      <c r="F133">
        <v>1.6849037000000001E-2</v>
      </c>
      <c r="G133">
        <f t="shared" si="24"/>
        <v>13.7328732095076</v>
      </c>
      <c r="H133">
        <f t="shared" si="25"/>
        <v>14.351282869145299</v>
      </c>
      <c r="I133">
        <f t="shared" si="26"/>
        <v>13.732914764926701</v>
      </c>
      <c r="J133">
        <f t="shared" si="27"/>
        <v>14.3505676192281</v>
      </c>
      <c r="K133" s="7">
        <f t="shared" si="28"/>
        <v>-4.15554191004475E-5</v>
      </c>
      <c r="L133" s="7">
        <f t="shared" si="29"/>
        <v>7.1524991719940101E-4</v>
      </c>
      <c r="M133" s="7">
        <f t="shared" si="30"/>
        <v>3.4808136861194099E-2</v>
      </c>
      <c r="N133" s="7">
        <f t="shared" si="31"/>
        <v>-3.6373670868594998E-2</v>
      </c>
      <c r="O133">
        <v>-1.1716717000000001</v>
      </c>
      <c r="P133">
        <v>-1.4562421000000001</v>
      </c>
      <c r="Q133">
        <v>-5.2955563000000003</v>
      </c>
      <c r="R133">
        <v>-2.3114878999999999</v>
      </c>
      <c r="S133">
        <f t="shared" si="32"/>
        <v>3.0913905990814952</v>
      </c>
      <c r="T133">
        <f t="shared" si="33"/>
        <v>-27.599273139198871</v>
      </c>
      <c r="U133" s="8"/>
      <c r="V133" s="8"/>
    </row>
    <row r="134" spans="1:22" x14ac:dyDescent="0.35">
      <c r="A134">
        <v>1.5</v>
      </c>
      <c r="B134" s="9">
        <v>15</v>
      </c>
      <c r="C134">
        <v>-1.0645180000000001E-2</v>
      </c>
      <c r="D134">
        <v>-1.0961261999999999E-2</v>
      </c>
      <c r="E134">
        <v>0.98917272999999994</v>
      </c>
      <c r="F134">
        <v>-1.2934873E-2</v>
      </c>
      <c r="G134">
        <f t="shared" si="24"/>
        <v>20.304840506129501</v>
      </c>
      <c r="H134">
        <f t="shared" si="25"/>
        <v>-23.152626022187199</v>
      </c>
      <c r="I134">
        <f t="shared" si="26"/>
        <v>20.304750426889701</v>
      </c>
      <c r="J134">
        <f t="shared" si="27"/>
        <v>-23.153613006437901</v>
      </c>
      <c r="K134" s="7">
        <f t="shared" si="28"/>
        <v>9.00792398006445E-5</v>
      </c>
      <c r="L134" s="7">
        <f t="shared" si="29"/>
        <v>9.8698425070153895E-4</v>
      </c>
      <c r="M134" s="7">
        <f t="shared" si="30"/>
        <v>2.1410096204610301E-2</v>
      </c>
      <c r="N134" s="7">
        <f t="shared" si="31"/>
        <v>2.4414044572331501E-2</v>
      </c>
      <c r="O134">
        <v>1.3059253</v>
      </c>
      <c r="P134">
        <v>-0.88866593000000005</v>
      </c>
      <c r="Q134">
        <v>2.1794147000000001</v>
      </c>
      <c r="R134">
        <v>-4.0277589000000003</v>
      </c>
      <c r="S134">
        <f t="shared" si="32"/>
        <v>2.8991933017033951</v>
      </c>
      <c r="T134">
        <f t="shared" si="33"/>
        <v>-27.347441550614686</v>
      </c>
      <c r="U134" s="8"/>
      <c r="V134" s="8"/>
    </row>
    <row r="135" spans="1:22" x14ac:dyDescent="0.35">
      <c r="A135">
        <v>1.5</v>
      </c>
      <c r="B135" s="9">
        <v>15.0625</v>
      </c>
      <c r="C135">
        <v>-1.1616269E-2</v>
      </c>
      <c r="D135">
        <v>-1.1316298000000001E-2</v>
      </c>
      <c r="E135">
        <v>0.98821471999999999</v>
      </c>
      <c r="F135">
        <v>-1.3274205000000001E-2</v>
      </c>
      <c r="G135">
        <f t="shared" si="24"/>
        <v>19.808151233498201</v>
      </c>
      <c r="H135">
        <f t="shared" si="25"/>
        <v>-21.339406638181501</v>
      </c>
      <c r="I135">
        <f t="shared" si="26"/>
        <v>19.808067679448399</v>
      </c>
      <c r="J135">
        <f t="shared" si="27"/>
        <v>-21.340385756217898</v>
      </c>
      <c r="K135" s="7">
        <f t="shared" si="28"/>
        <v>8.3554049801648502E-5</v>
      </c>
      <c r="L135" s="7">
        <f t="shared" si="29"/>
        <v>9.7911803639760798E-4</v>
      </c>
      <c r="M135" s="7">
        <f t="shared" si="30"/>
        <v>2.33648632006579E-2</v>
      </c>
      <c r="N135" s="7">
        <f t="shared" si="31"/>
        <v>2.5172328866819801E-2</v>
      </c>
      <c r="O135">
        <v>1.3292207</v>
      </c>
      <c r="P135">
        <v>-0.96646728000000004</v>
      </c>
      <c r="Q135">
        <v>2.1434058</v>
      </c>
      <c r="R135">
        <v>-4.2735298999999998</v>
      </c>
      <c r="S135">
        <f t="shared" si="32"/>
        <v>2.9091008179768778</v>
      </c>
      <c r="T135">
        <f t="shared" si="33"/>
        <v>-27.343121668439171</v>
      </c>
      <c r="U135" s="8"/>
      <c r="V135" s="8"/>
    </row>
    <row r="136" spans="1:22" x14ac:dyDescent="0.35">
      <c r="A136">
        <v>1.5</v>
      </c>
      <c r="B136" s="9">
        <v>15.125</v>
      </c>
      <c r="C136">
        <v>-1.2668753E-2</v>
      </c>
      <c r="D136">
        <v>-1.1626038999999999E-2</v>
      </c>
      <c r="E136">
        <v>0.98717394000000003</v>
      </c>
      <c r="F136">
        <v>-1.3572183E-2</v>
      </c>
      <c r="G136">
        <f t="shared" si="24"/>
        <v>19.341350286538798</v>
      </c>
      <c r="H136">
        <f t="shared" si="25"/>
        <v>-19.610003184029299</v>
      </c>
      <c r="I136">
        <f t="shared" si="26"/>
        <v>19.341272573943701</v>
      </c>
      <c r="J136">
        <f t="shared" si="27"/>
        <v>-19.610976408196802</v>
      </c>
      <c r="K136" s="7">
        <f t="shared" si="28"/>
        <v>7.7712595096812706E-5</v>
      </c>
      <c r="L136" s="7">
        <f t="shared" si="29"/>
        <v>9.73224167502451E-4</v>
      </c>
      <c r="M136" s="7">
        <f t="shared" si="30"/>
        <v>2.54934813373166E-2</v>
      </c>
      <c r="N136" s="7">
        <f t="shared" si="31"/>
        <v>2.58489744745364E-2</v>
      </c>
      <c r="O136">
        <v>1.3494486000000001</v>
      </c>
      <c r="P136">
        <v>-1.0506243</v>
      </c>
      <c r="Q136">
        <v>2.0888068999999998</v>
      </c>
      <c r="R136">
        <v>-4.5315877000000002</v>
      </c>
      <c r="S136">
        <f t="shared" si="32"/>
        <v>2.917668463293277</v>
      </c>
      <c r="T136">
        <f t="shared" si="33"/>
        <v>-27.350123122386041</v>
      </c>
      <c r="U136" s="8"/>
      <c r="V136" s="8"/>
    </row>
    <row r="137" spans="1:22" x14ac:dyDescent="0.35">
      <c r="A137">
        <v>1.5</v>
      </c>
      <c r="B137" s="9">
        <v>15.1875</v>
      </c>
      <c r="C137">
        <v>-1.3811016000000001E-2</v>
      </c>
      <c r="D137">
        <v>-1.1880385E-2</v>
      </c>
      <c r="E137">
        <v>0.98604038000000005</v>
      </c>
      <c r="F137">
        <v>-1.3819842000000001E-2</v>
      </c>
      <c r="G137">
        <f t="shared" si="24"/>
        <v>18.896868514464799</v>
      </c>
      <c r="H137">
        <f t="shared" si="25"/>
        <v>-17.950237587657</v>
      </c>
      <c r="I137">
        <f t="shared" si="26"/>
        <v>18.896795147525701</v>
      </c>
      <c r="J137">
        <f t="shared" si="27"/>
        <v>-17.951207459366401</v>
      </c>
      <c r="K137" s="7">
        <f t="shared" si="28"/>
        <v>7.3366939098207199E-5</v>
      </c>
      <c r="L137" s="7">
        <f t="shared" si="29"/>
        <v>9.6987170940110402E-4</v>
      </c>
      <c r="M137" s="7">
        <f t="shared" si="30"/>
        <v>2.7816619259649501E-2</v>
      </c>
      <c r="N137" s="7">
        <f t="shared" si="31"/>
        <v>2.6424687321307899E-2</v>
      </c>
      <c r="O137">
        <v>1.3655926</v>
      </c>
      <c r="P137">
        <v>-1.1420337</v>
      </c>
      <c r="Q137">
        <v>2.0123655999999999</v>
      </c>
      <c r="R137">
        <v>-4.8023803999999997</v>
      </c>
      <c r="S137">
        <f t="shared" si="32"/>
        <v>2.9249448448616047</v>
      </c>
      <c r="T137">
        <f t="shared" si="33"/>
        <v>-27.35915065433311</v>
      </c>
      <c r="U137" s="8"/>
      <c r="V137" s="8"/>
    </row>
    <row r="138" spans="1:22" x14ac:dyDescent="0.35">
      <c r="A138">
        <v>1.5</v>
      </c>
      <c r="B138" s="9">
        <v>15.25</v>
      </c>
      <c r="C138">
        <v>-1.504753E-2</v>
      </c>
      <c r="D138">
        <v>-1.2063711E-2</v>
      </c>
      <c r="E138">
        <v>0.98480906000000001</v>
      </c>
      <c r="F138">
        <v>-1.400127E-2</v>
      </c>
      <c r="G138">
        <f t="shared" si="24"/>
        <v>18.473213241399101</v>
      </c>
      <c r="H138">
        <f t="shared" si="25"/>
        <v>-16.354030843040899</v>
      </c>
      <c r="I138">
        <f t="shared" si="26"/>
        <v>18.473142469991899</v>
      </c>
      <c r="J138">
        <f t="shared" si="27"/>
        <v>-16.354999760578998</v>
      </c>
      <c r="K138" s="7">
        <f t="shared" si="28"/>
        <v>7.0771407202130403E-5</v>
      </c>
      <c r="L138" s="7">
        <f t="shared" si="29"/>
        <v>9.6891753809913396E-4</v>
      </c>
      <c r="M138" s="7">
        <f t="shared" si="30"/>
        <v>3.0346373050717999E-2</v>
      </c>
      <c r="N138" s="7">
        <f t="shared" si="31"/>
        <v>2.68668378856038E-2</v>
      </c>
      <c r="O138">
        <v>1.3759186000000001</v>
      </c>
      <c r="P138">
        <v>-1.2407684000000001</v>
      </c>
      <c r="Q138">
        <v>1.9101581000000001</v>
      </c>
      <c r="R138">
        <v>-5.0851252000000002</v>
      </c>
      <c r="S138">
        <f t="shared" si="32"/>
        <v>2.9318971750073506</v>
      </c>
      <c r="T138">
        <f t="shared" si="33"/>
        <v>-27.368657009225281</v>
      </c>
      <c r="U138" s="8"/>
      <c r="V138" s="8"/>
    </row>
    <row r="139" spans="1:22" x14ac:dyDescent="0.35">
      <c r="A139">
        <v>1.5</v>
      </c>
      <c r="B139" s="9">
        <v>15.3125</v>
      </c>
      <c r="C139">
        <v>-1.6379694E-2</v>
      </c>
      <c r="D139">
        <v>-1.2157317000000001E-2</v>
      </c>
      <c r="E139">
        <v>0.98347823999999995</v>
      </c>
      <c r="F139">
        <v>-1.409669E-2</v>
      </c>
      <c r="G139">
        <f t="shared" si="24"/>
        <v>18.0697676122983</v>
      </c>
      <c r="H139">
        <f t="shared" si="25"/>
        <v>-14.8173978697537</v>
      </c>
      <c r="I139">
        <f t="shared" si="26"/>
        <v>18.069697514743599</v>
      </c>
      <c r="J139">
        <f t="shared" si="27"/>
        <v>-14.8183676931158</v>
      </c>
      <c r="K139" s="7">
        <f t="shared" si="28"/>
        <v>7.0097554701220602E-5</v>
      </c>
      <c r="L139" s="7">
        <f t="shared" si="29"/>
        <v>9.69823362099831E-4</v>
      </c>
      <c r="M139" s="7">
        <f t="shared" si="30"/>
        <v>3.3088745731935001E-2</v>
      </c>
      <c r="N139" s="7">
        <f t="shared" si="31"/>
        <v>2.7134997714254001E-2</v>
      </c>
      <c r="O139">
        <v>1.3789293</v>
      </c>
      <c r="P139">
        <v>-1.3469352000000001</v>
      </c>
      <c r="Q139">
        <v>1.7780296</v>
      </c>
      <c r="R139">
        <v>-5.3779649000000003</v>
      </c>
      <c r="S139">
        <f t="shared" si="32"/>
        <v>2.9384910312970303</v>
      </c>
      <c r="T139">
        <f t="shared" si="33"/>
        <v>-27.377862492770973</v>
      </c>
      <c r="U139" s="8"/>
      <c r="V139" s="8"/>
    </row>
    <row r="140" spans="1:22" x14ac:dyDescent="0.35">
      <c r="A140">
        <v>1.5</v>
      </c>
      <c r="B140" s="9">
        <v>15.375</v>
      </c>
      <c r="C140">
        <v>-1.7805316000000002E-2</v>
      </c>
      <c r="D140">
        <v>-1.2139878E-2</v>
      </c>
      <c r="E140">
        <v>0.98204996</v>
      </c>
      <c r="F140">
        <v>-1.4083292000000001E-2</v>
      </c>
      <c r="G140">
        <f t="shared" si="24"/>
        <v>17.685964036847899</v>
      </c>
      <c r="H140">
        <f t="shared" si="25"/>
        <v>-13.3371715197834</v>
      </c>
      <c r="I140">
        <f t="shared" si="26"/>
        <v>17.6858926140298</v>
      </c>
      <c r="J140">
        <f t="shared" si="27"/>
        <v>-13.3381433665102</v>
      </c>
      <c r="K140" s="7">
        <f t="shared" si="28"/>
        <v>7.1422818098909602E-5</v>
      </c>
      <c r="L140" s="7">
        <f t="shared" si="29"/>
        <v>9.7184672680050699E-4</v>
      </c>
      <c r="M140" s="7">
        <f t="shared" si="30"/>
        <v>3.6042399776175203E-2</v>
      </c>
      <c r="N140" s="7">
        <f t="shared" si="31"/>
        <v>2.7182043110809101E-2</v>
      </c>
      <c r="O140">
        <v>1.372825</v>
      </c>
      <c r="P140">
        <v>-1.4602081</v>
      </c>
      <c r="Q140">
        <v>1.6116705</v>
      </c>
      <c r="R140">
        <v>-5.6781098999999999</v>
      </c>
      <c r="S140">
        <f t="shared" si="32"/>
        <v>2.9450050636232428</v>
      </c>
      <c r="T140">
        <f t="shared" si="33"/>
        <v>-27.387284711992589</v>
      </c>
      <c r="U140" s="8"/>
      <c r="V140" s="8"/>
    </row>
    <row r="141" spans="1:22" x14ac:dyDescent="0.35">
      <c r="A141">
        <v>1.5</v>
      </c>
      <c r="B141" s="9">
        <v>15.4375</v>
      </c>
      <c r="C141">
        <v>-1.9317706E-2</v>
      </c>
      <c r="D141">
        <v>-1.1987858000000001E-2</v>
      </c>
      <c r="E141">
        <v>0.98053104999999996</v>
      </c>
      <c r="F141">
        <v>-1.3935928E-2</v>
      </c>
      <c r="G141">
        <f t="shared" si="24"/>
        <v>17.321123499032801</v>
      </c>
      <c r="H141">
        <f t="shared" si="25"/>
        <v>-11.910568708754299</v>
      </c>
      <c r="I141">
        <f t="shared" si="26"/>
        <v>17.3210488202722</v>
      </c>
      <c r="J141">
        <f t="shared" si="27"/>
        <v>-11.911542890163499</v>
      </c>
      <c r="K141" s="7">
        <f t="shared" si="28"/>
        <v>7.4678760601187805E-5</v>
      </c>
      <c r="L141" s="7">
        <f t="shared" si="29"/>
        <v>9.7418140919991502E-4</v>
      </c>
      <c r="M141" s="7">
        <f t="shared" si="30"/>
        <v>3.9196443203657498E-2</v>
      </c>
      <c r="N141" s="7">
        <f t="shared" si="31"/>
        <v>2.6955071786171798E-2</v>
      </c>
      <c r="O141">
        <v>1.3556988999999999</v>
      </c>
      <c r="P141">
        <v>-1.5799414000000001</v>
      </c>
      <c r="Q141">
        <v>1.4068273</v>
      </c>
      <c r="R141">
        <v>-5.9813723999999997</v>
      </c>
      <c r="S141">
        <f t="shared" si="32"/>
        <v>2.9514924934387294</v>
      </c>
      <c r="T141">
        <f t="shared" si="33"/>
        <v>-27.396386520847429</v>
      </c>
      <c r="U141" s="8"/>
      <c r="V141" s="8"/>
    </row>
    <row r="142" spans="1:22" x14ac:dyDescent="0.35">
      <c r="A142">
        <v>1.5</v>
      </c>
      <c r="B142" s="9">
        <v>15.5</v>
      </c>
      <c r="C142">
        <v>-2.0904576000000001E-2</v>
      </c>
      <c r="D142">
        <v>-1.1676287E-2</v>
      </c>
      <c r="E142">
        <v>0.97893406999999999</v>
      </c>
      <c r="F142">
        <v>-1.3628049E-2</v>
      </c>
      <c r="G142">
        <f t="shared" si="24"/>
        <v>16.974406149273602</v>
      </c>
      <c r="H142">
        <f t="shared" si="25"/>
        <v>-10.534939784560899</v>
      </c>
      <c r="I142">
        <f t="shared" si="26"/>
        <v>16.974326418337601</v>
      </c>
      <c r="J142">
        <f t="shared" si="27"/>
        <v>-10.5359158221125</v>
      </c>
      <c r="K142" s="7">
        <f t="shared" si="28"/>
        <v>7.9730936000998995E-5</v>
      </c>
      <c r="L142" s="7">
        <f t="shared" si="29"/>
        <v>9.7603755160058402E-4</v>
      </c>
      <c r="M142" s="7">
        <f t="shared" si="30"/>
        <v>4.2527965687942197E-2</v>
      </c>
      <c r="N142" s="7">
        <f t="shared" si="31"/>
        <v>2.6396986574370999E-2</v>
      </c>
      <c r="O142">
        <v>1.3259247999999999</v>
      </c>
      <c r="P142">
        <v>-1.7055092000000001</v>
      </c>
      <c r="Q142">
        <v>1.1596139999999999</v>
      </c>
      <c r="R142">
        <v>-6.2823177000000001</v>
      </c>
      <c r="S142">
        <f t="shared" si="32"/>
        <v>2.9572207090708154</v>
      </c>
      <c r="T142">
        <f t="shared" si="33"/>
        <v>-27.404633369200763</v>
      </c>
      <c r="U142" s="8"/>
      <c r="V142" s="8"/>
    </row>
    <row r="143" spans="1:22" x14ac:dyDescent="0.35">
      <c r="A143">
        <v>1.5</v>
      </c>
      <c r="B143" s="9">
        <v>15.5625</v>
      </c>
      <c r="C143">
        <v>-2.2546925999999998E-2</v>
      </c>
      <c r="D143">
        <v>-1.1180024E-2</v>
      </c>
      <c r="E143">
        <v>0.97727847999999995</v>
      </c>
      <c r="F143">
        <v>-1.3133082000000001E-2</v>
      </c>
      <c r="G143">
        <f t="shared" si="24"/>
        <v>16.644848256860001</v>
      </c>
      <c r="H143">
        <f t="shared" si="25"/>
        <v>-9.2077681765725892</v>
      </c>
      <c r="I143">
        <f t="shared" si="26"/>
        <v>16.644761906096399</v>
      </c>
      <c r="J143">
        <f t="shared" si="27"/>
        <v>-9.2087448751594803</v>
      </c>
      <c r="K143" s="7">
        <f t="shared" si="28"/>
        <v>8.6350763602638394E-5</v>
      </c>
      <c r="L143" s="7">
        <f t="shared" si="29"/>
        <v>9.7669858689108892E-4</v>
      </c>
      <c r="M143" s="7">
        <f t="shared" si="30"/>
        <v>4.5999182466132701E-2</v>
      </c>
      <c r="N143" s="7">
        <f t="shared" si="31"/>
        <v>2.5449131575824999E-2</v>
      </c>
      <c r="O143">
        <v>1.2809603000000001</v>
      </c>
      <c r="P143">
        <v>-1.8345282999999999</v>
      </c>
      <c r="Q143">
        <v>0.86684654000000005</v>
      </c>
      <c r="R143">
        <v>-6.5740340000000002</v>
      </c>
      <c r="S143">
        <f t="shared" si="32"/>
        <v>2.9635636022689047</v>
      </c>
      <c r="T143">
        <f t="shared" si="33"/>
        <v>-27.413052043382525</v>
      </c>
      <c r="U143" s="8"/>
      <c r="V143" s="8"/>
    </row>
    <row r="144" spans="1:22" x14ac:dyDescent="0.35">
      <c r="A144">
        <v>1.5</v>
      </c>
      <c r="B144" s="9">
        <v>15.625</v>
      </c>
      <c r="C144">
        <v>-2.4218163000000001E-2</v>
      </c>
      <c r="D144">
        <v>-1.0475600999999999E-2</v>
      </c>
      <c r="E144">
        <v>0.97559141999999999</v>
      </c>
      <c r="F144">
        <v>-1.2426345E-2</v>
      </c>
      <c r="G144">
        <f t="shared" si="24"/>
        <v>16.331388595151999</v>
      </c>
      <c r="H144">
        <f t="shared" si="25"/>
        <v>-7.9266413997519196</v>
      </c>
      <c r="I144">
        <f t="shared" si="26"/>
        <v>16.331294329207999</v>
      </c>
      <c r="J144">
        <f t="shared" si="27"/>
        <v>-7.9276169565775998</v>
      </c>
      <c r="K144" s="7">
        <f t="shared" si="28"/>
        <v>9.4265943999971596E-5</v>
      </c>
      <c r="L144" s="7">
        <f t="shared" si="29"/>
        <v>9.75556825680179E-4</v>
      </c>
      <c r="M144" s="7">
        <f t="shared" si="30"/>
        <v>4.9555101688220603E-2</v>
      </c>
      <c r="N144" s="7">
        <f t="shared" si="31"/>
        <v>2.4055280402721001E-2</v>
      </c>
      <c r="O144">
        <v>1.2193228</v>
      </c>
      <c r="P144">
        <v>-1.9651803999999999</v>
      </c>
      <c r="Q144">
        <v>0.52652065000000003</v>
      </c>
      <c r="R144">
        <v>-6.8482526000000004</v>
      </c>
      <c r="S144">
        <f t="shared" si="32"/>
        <v>2.9698614364142539</v>
      </c>
      <c r="T144">
        <f t="shared" si="33"/>
        <v>-27.421617277118155</v>
      </c>
      <c r="U144" s="8"/>
      <c r="V144" s="8"/>
    </row>
    <row r="145" spans="1:22" x14ac:dyDescent="0.35">
      <c r="A145">
        <v>1.5</v>
      </c>
      <c r="B145" s="9">
        <v>15.6875</v>
      </c>
      <c r="C145">
        <v>-2.5883726999999999E-2</v>
      </c>
      <c r="D145">
        <v>-9.5436310000000003E-3</v>
      </c>
      <c r="E145">
        <v>0.97390810999999999</v>
      </c>
      <c r="F145">
        <v>-1.1487512E-2</v>
      </c>
      <c r="G145">
        <f t="shared" si="24"/>
        <v>16.032926177495</v>
      </c>
      <c r="H145">
        <f t="shared" si="25"/>
        <v>-6.6892902138193504</v>
      </c>
      <c r="I145">
        <f t="shared" si="26"/>
        <v>16.0328230301233</v>
      </c>
      <c r="J145">
        <f t="shared" si="27"/>
        <v>-6.6902623557544301</v>
      </c>
      <c r="K145" s="7">
        <f t="shared" si="28"/>
        <v>1.0314737169991901E-4</v>
      </c>
      <c r="L145" s="7">
        <f t="shared" si="29"/>
        <v>9.7214193507966196E-4</v>
      </c>
      <c r="M145" s="7">
        <f t="shared" si="30"/>
        <v>5.3122058897097403E-2</v>
      </c>
      <c r="N145" s="7">
        <f t="shared" si="31"/>
        <v>2.2167057556343999E-2</v>
      </c>
      <c r="O145">
        <v>1.1393751999999999</v>
      </c>
      <c r="P145">
        <v>-2.0942276</v>
      </c>
      <c r="Q145">
        <v>0.13845225999999999</v>
      </c>
      <c r="R145">
        <v>-7.0953869999999997</v>
      </c>
      <c r="S145">
        <f t="shared" si="32"/>
        <v>2.9766861838236593</v>
      </c>
      <c r="T145">
        <f t="shared" si="33"/>
        <v>-27.430756149174378</v>
      </c>
      <c r="U145" s="8"/>
      <c r="V145" s="8"/>
    </row>
    <row r="146" spans="1:22" x14ac:dyDescent="0.35">
      <c r="A146">
        <v>1.5</v>
      </c>
      <c r="B146" s="9">
        <v>15.75</v>
      </c>
      <c r="C146">
        <v>-2.7501557999999999E-2</v>
      </c>
      <c r="D146">
        <v>-8.3716567000000006E-3</v>
      </c>
      <c r="E146">
        <v>0.97227134000000004</v>
      </c>
      <c r="F146">
        <v>-1.0303483E-2</v>
      </c>
      <c r="G146">
        <f t="shared" si="24"/>
        <v>15.7483583476465</v>
      </c>
      <c r="H146">
        <f t="shared" si="25"/>
        <v>-5.4935982782331498</v>
      </c>
      <c r="I146">
        <f t="shared" si="26"/>
        <v>15.7482457170565</v>
      </c>
      <c r="J146">
        <f t="shared" si="27"/>
        <v>-5.4945644098797297</v>
      </c>
      <c r="K146" s="7">
        <f t="shared" si="28"/>
        <v>1.12630589999441E-4</v>
      </c>
      <c r="L146" s="7">
        <f t="shared" si="29"/>
        <v>9.6613164657988204E-4</v>
      </c>
      <c r="M146" s="7">
        <f t="shared" si="30"/>
        <v>5.6608153488828201E-2</v>
      </c>
      <c r="N146" s="7">
        <f t="shared" si="31"/>
        <v>1.9750590069333801E-2</v>
      </c>
      <c r="O146">
        <v>1.0406925</v>
      </c>
      <c r="P146">
        <v>-2.2190989000000001</v>
      </c>
      <c r="Q146">
        <v>-0.29518517999999999</v>
      </c>
      <c r="R146">
        <v>-7.3050566999999997</v>
      </c>
      <c r="S146">
        <f t="shared" si="32"/>
        <v>2.9828616954277143</v>
      </c>
      <c r="T146">
        <f t="shared" si="33"/>
        <v>-27.439172270647305</v>
      </c>
      <c r="U146" s="8"/>
      <c r="V146" s="8"/>
    </row>
    <row r="147" spans="1:22" x14ac:dyDescent="0.35">
      <c r="A147">
        <v>1.5</v>
      </c>
      <c r="B147" s="9">
        <v>15.8125</v>
      </c>
      <c r="C147">
        <v>-2.9023690000000001E-2</v>
      </c>
      <c r="D147">
        <v>-6.9570897999999999E-3</v>
      </c>
      <c r="E147">
        <v>0.97072981999999997</v>
      </c>
      <c r="F147">
        <v>-8.8713423999999992E-3</v>
      </c>
      <c r="G147">
        <f t="shared" si="24"/>
        <v>15.476611070010099</v>
      </c>
      <c r="H147">
        <f t="shared" si="25"/>
        <v>-4.3376058700904601</v>
      </c>
      <c r="I147">
        <f t="shared" si="26"/>
        <v>15.4764887262477</v>
      </c>
      <c r="J147">
        <f t="shared" si="27"/>
        <v>-4.3385632314789104</v>
      </c>
      <c r="K147" s="7">
        <f t="shared" si="28"/>
        <v>1.2234376239916899E-4</v>
      </c>
      <c r="L147" s="7">
        <f t="shared" si="29"/>
        <v>9.5736138845037299E-4</v>
      </c>
      <c r="M147" s="7">
        <f t="shared" si="30"/>
        <v>5.9906321617541398E-2</v>
      </c>
      <c r="N147" s="7">
        <f t="shared" si="31"/>
        <v>1.6793690668492501E-2</v>
      </c>
      <c r="O147">
        <v>0.92321845000000002</v>
      </c>
      <c r="P147">
        <v>-2.3362289999999999</v>
      </c>
      <c r="Q147">
        <v>-0.76949020000000001</v>
      </c>
      <c r="R147">
        <v>-7.4667374000000004</v>
      </c>
      <c r="S147">
        <f t="shared" si="32"/>
        <v>2.9881334123453311</v>
      </c>
      <c r="T147">
        <f t="shared" si="33"/>
        <v>-27.446563059904086</v>
      </c>
      <c r="U147" s="8"/>
      <c r="V147" s="8"/>
    </row>
    <row r="148" spans="1:22" x14ac:dyDescent="0.35">
      <c r="A148">
        <v>1.5</v>
      </c>
      <c r="B148" s="9">
        <v>15.875</v>
      </c>
      <c r="C148">
        <v>-3.0399111999999999E-2</v>
      </c>
      <c r="D148">
        <v>-5.3097480000000004E-3</v>
      </c>
      <c r="E148">
        <v>0.96933528999999996</v>
      </c>
      <c r="F148">
        <v>-7.2009005000000003E-3</v>
      </c>
      <c r="G148">
        <f t="shared" si="24"/>
        <v>15.2166687880905</v>
      </c>
      <c r="H148">
        <f t="shared" si="25"/>
        <v>-3.21951704381175</v>
      </c>
      <c r="I148">
        <f t="shared" si="26"/>
        <v>15.2165368659225</v>
      </c>
      <c r="J148">
        <f t="shared" si="27"/>
        <v>-3.2204628704090501</v>
      </c>
      <c r="K148" s="7">
        <f t="shared" si="28"/>
        <v>1.31922168000287E-4</v>
      </c>
      <c r="L148" s="7">
        <f t="shared" si="29"/>
        <v>9.4582659730013696E-4</v>
      </c>
      <c r="M148" s="7">
        <f t="shared" si="30"/>
        <v>6.29005070392233E-2</v>
      </c>
      <c r="N148" s="7">
        <f t="shared" si="31"/>
        <v>1.3312408022575399E-2</v>
      </c>
      <c r="O148">
        <v>0.78742650999999997</v>
      </c>
      <c r="P148">
        <v>-2.440296</v>
      </c>
      <c r="Q148">
        <v>-1.2765655</v>
      </c>
      <c r="R148">
        <v>-7.5707442</v>
      </c>
      <c r="S148">
        <f t="shared" si="32"/>
        <v>2.9941647814876164</v>
      </c>
      <c r="T148">
        <f t="shared" si="33"/>
        <v>-27.454760118938736</v>
      </c>
      <c r="U148" s="8"/>
      <c r="V148" s="8"/>
    </row>
    <row r="149" spans="1:22" x14ac:dyDescent="0.35">
      <c r="A149">
        <v>1.5</v>
      </c>
      <c r="B149" s="9">
        <v>15.9375</v>
      </c>
      <c r="C149">
        <v>-3.1577782999999998E-2</v>
      </c>
      <c r="D149">
        <v>-3.4533724999999999E-3</v>
      </c>
      <c r="E149">
        <v>0.96813837000000003</v>
      </c>
      <c r="F149">
        <v>-5.3161948999999997E-3</v>
      </c>
      <c r="G149">
        <f t="shared" si="24"/>
        <v>14.967573430624901</v>
      </c>
      <c r="H149">
        <f t="shared" si="25"/>
        <v>-2.1376893363693399</v>
      </c>
      <c r="I149">
        <f t="shared" si="26"/>
        <v>14.967432354875299</v>
      </c>
      <c r="J149">
        <f t="shared" si="27"/>
        <v>-2.13862101119543</v>
      </c>
      <c r="K149" s="7">
        <f t="shared" si="28"/>
        <v>1.4107574960142699E-4</v>
      </c>
      <c r="L149" s="7">
        <f t="shared" si="29"/>
        <v>9.3167482609013397E-4</v>
      </c>
      <c r="M149" s="7">
        <f t="shared" si="30"/>
        <v>6.5474982105315493E-2</v>
      </c>
      <c r="N149" s="7">
        <f t="shared" si="31"/>
        <v>9.3553903647650306E-3</v>
      </c>
      <c r="O149">
        <v>0.63561582999999999</v>
      </c>
      <c r="P149">
        <v>-2.5280106</v>
      </c>
      <c r="Q149">
        <v>-1.8057059</v>
      </c>
      <c r="R149">
        <v>-7.6091255000000002</v>
      </c>
      <c r="S149">
        <f t="shared" si="32"/>
        <v>3.0001412551934954</v>
      </c>
      <c r="T149">
        <f t="shared" si="33"/>
        <v>-27.46309223954604</v>
      </c>
      <c r="U149" s="8"/>
      <c r="V149" s="8"/>
    </row>
    <row r="150" spans="1:22" x14ac:dyDescent="0.35">
      <c r="A150">
        <v>1.5</v>
      </c>
      <c r="B150" s="9">
        <v>16</v>
      </c>
      <c r="C150">
        <v>-3.2514096999999999E-2</v>
      </c>
      <c r="D150">
        <v>-1.4227230000000001E-3</v>
      </c>
      <c r="E150">
        <v>0.96749061000000003</v>
      </c>
      <c r="F150">
        <v>-3.1286793000000002E-3</v>
      </c>
      <c r="G150">
        <f t="shared" si="24"/>
        <v>14.804074791719801</v>
      </c>
      <c r="H150">
        <f t="shared" si="25"/>
        <v>-1.0708019482539399</v>
      </c>
      <c r="I150">
        <f t="shared" si="26"/>
        <v>14.804077872780301</v>
      </c>
      <c r="J150">
        <f t="shared" si="27"/>
        <v>-1.0716549217683899</v>
      </c>
      <c r="K150" s="7">
        <f t="shared" si="28"/>
        <v>-3.08106050006529E-6</v>
      </c>
      <c r="L150" s="7">
        <f t="shared" si="29"/>
        <v>8.5297351445001702E-4</v>
      </c>
      <c r="M150" s="7">
        <f t="shared" si="30"/>
        <v>6.7196831370913701E-2</v>
      </c>
      <c r="N150" s="7">
        <f t="shared" si="31"/>
        <v>4.8643229037781304E-3</v>
      </c>
      <c r="O150">
        <v>0.47057126999999999</v>
      </c>
      <c r="P150">
        <v>-2.5951832000000001</v>
      </c>
      <c r="Q150">
        <v>-2.3443179000000001</v>
      </c>
      <c r="R150">
        <v>-7.5759676000000002</v>
      </c>
      <c r="S150">
        <f t="shared" si="32"/>
        <v>3.0067820647544043</v>
      </c>
      <c r="T150">
        <f t="shared" si="33"/>
        <v>-27.471715555965933</v>
      </c>
      <c r="U150" s="8"/>
      <c r="V150" s="8"/>
    </row>
    <row r="151" spans="1:22" x14ac:dyDescent="0.35">
      <c r="A151">
        <v>1.5</v>
      </c>
      <c r="B151" s="9">
        <v>16.0625</v>
      </c>
      <c r="C151">
        <v>-3.3175900000000001E-2</v>
      </c>
      <c r="D151">
        <v>7.2689399E-4</v>
      </c>
      <c r="E151">
        <v>0.96681592999999999</v>
      </c>
      <c r="F151">
        <v>-9.6877701000000005E-4</v>
      </c>
      <c r="G151">
        <f t="shared" si="24"/>
        <v>14.5691271520966</v>
      </c>
      <c r="H151">
        <f t="shared" si="25"/>
        <v>-5.4503252464068098E-2</v>
      </c>
      <c r="I151">
        <f t="shared" si="26"/>
        <v>14.5691237859133</v>
      </c>
      <c r="J151">
        <f t="shared" si="27"/>
        <v>-5.5351094281471697E-2</v>
      </c>
      <c r="K151" s="7">
        <f t="shared" si="28"/>
        <v>3.3661833001019701E-6</v>
      </c>
      <c r="L151" s="7">
        <f t="shared" si="29"/>
        <v>8.4784181740359804E-4</v>
      </c>
      <c r="M151" s="7">
        <f t="shared" si="30"/>
        <v>6.8637316899817002E-2</v>
      </c>
      <c r="N151" s="7">
        <f t="shared" si="31"/>
        <v>2.6076726746068101E-4</v>
      </c>
      <c r="O151">
        <v>0.29718251000000001</v>
      </c>
      <c r="P151">
        <v>-2.6406049</v>
      </c>
      <c r="Q151">
        <v>-2.8764877000000002</v>
      </c>
      <c r="R151">
        <v>-7.4704816000000003</v>
      </c>
      <c r="S151">
        <f t="shared" si="32"/>
        <v>3.0125372562529518</v>
      </c>
      <c r="T151">
        <f t="shared" si="33"/>
        <v>-27.480297853452722</v>
      </c>
      <c r="U151" s="8"/>
      <c r="V151" s="8"/>
    </row>
    <row r="152" spans="1:22" x14ac:dyDescent="0.35">
      <c r="A152">
        <v>1.5</v>
      </c>
      <c r="B152" s="9">
        <v>16.125</v>
      </c>
      <c r="C152">
        <v>-3.3542633000000002E-2</v>
      </c>
      <c r="D152">
        <v>2.9409277000000001E-3</v>
      </c>
      <c r="E152">
        <v>0.96642291000000002</v>
      </c>
      <c r="F152">
        <v>1.2459361E-3</v>
      </c>
      <c r="G152">
        <f t="shared" si="24"/>
        <v>14.3410101742588</v>
      </c>
      <c r="H152">
        <f t="shared" si="25"/>
        <v>0.92619119556988505</v>
      </c>
      <c r="I152">
        <f t="shared" si="26"/>
        <v>14.3409936637477</v>
      </c>
      <c r="J152">
        <f t="shared" si="27"/>
        <v>0.92534367117572103</v>
      </c>
      <c r="K152" s="7">
        <f t="shared" si="28"/>
        <v>1.6510511100520399E-5</v>
      </c>
      <c r="L152" s="7">
        <f t="shared" si="29"/>
        <v>8.4752439416402303E-4</v>
      </c>
      <c r="M152" s="7">
        <f t="shared" si="30"/>
        <v>6.9441064559949806E-2</v>
      </c>
      <c r="N152" s="7">
        <f t="shared" si="31"/>
        <v>-4.4806413779184496E-3</v>
      </c>
      <c r="O152">
        <v>0.11965184</v>
      </c>
      <c r="P152">
        <v>-2.6624927</v>
      </c>
      <c r="Q152">
        <v>-3.3884671000000002</v>
      </c>
      <c r="R152">
        <v>-7.2945859000000004</v>
      </c>
      <c r="S152">
        <f t="shared" si="32"/>
        <v>3.0178738622471375</v>
      </c>
      <c r="T152">
        <f t="shared" si="33"/>
        <v>-27.488849384479291</v>
      </c>
      <c r="U152" s="8"/>
      <c r="V152" s="8"/>
    </row>
    <row r="153" spans="1:22" x14ac:dyDescent="0.35">
      <c r="A153">
        <v>1.5</v>
      </c>
      <c r="B153" s="9">
        <v>16.1875</v>
      </c>
      <c r="C153">
        <v>-3.3610651999999998E-2</v>
      </c>
      <c r="D153">
        <v>5.1615057000000001E-3</v>
      </c>
      <c r="E153">
        <v>0.96642950999999999</v>
      </c>
      <c r="F153">
        <v>3.4102067000000001E-3</v>
      </c>
      <c r="G153">
        <f t="shared" si="24"/>
        <v>14.146678675186299</v>
      </c>
      <c r="H153">
        <f t="shared" si="25"/>
        <v>1.8692242375155099</v>
      </c>
      <c r="I153">
        <f t="shared" si="26"/>
        <v>14.146699522498301</v>
      </c>
      <c r="J153">
        <f t="shared" si="27"/>
        <v>1.86834862385365</v>
      </c>
      <c r="K153" s="7">
        <f t="shared" si="28"/>
        <v>-2.08473120011377E-5</v>
      </c>
      <c r="L153" s="7">
        <f t="shared" si="29"/>
        <v>8.7561366185995304E-4</v>
      </c>
      <c r="M153" s="7">
        <f t="shared" si="30"/>
        <v>6.9476038985817806E-2</v>
      </c>
      <c r="N153" s="7">
        <f t="shared" si="31"/>
        <v>-9.1756710901732506E-3</v>
      </c>
      <c r="O153">
        <v>-5.7697153000000001E-2</v>
      </c>
      <c r="P153">
        <v>-2.6620697</v>
      </c>
      <c r="Q153">
        <v>-3.8718213000000001</v>
      </c>
      <c r="R153">
        <v>-7.0600893999999998</v>
      </c>
      <c r="S153">
        <f t="shared" si="32"/>
        <v>3.0240310241587003</v>
      </c>
      <c r="T153">
        <f t="shared" si="33"/>
        <v>-27.499167036393388</v>
      </c>
      <c r="U153" s="8"/>
      <c r="V153" s="8"/>
    </row>
    <row r="154" spans="1:22" x14ac:dyDescent="0.35">
      <c r="A154">
        <v>1.5</v>
      </c>
      <c r="B154" s="9">
        <v>16.25</v>
      </c>
      <c r="C154">
        <v>-3.3390514000000003E-2</v>
      </c>
      <c r="D154">
        <v>7.3250127999999999E-3</v>
      </c>
      <c r="E154">
        <v>0.96666967999999998</v>
      </c>
      <c r="F154">
        <v>5.5941695000000001E-3</v>
      </c>
      <c r="G154">
        <f t="shared" si="24"/>
        <v>13.9461794674998</v>
      </c>
      <c r="H154">
        <f t="shared" si="25"/>
        <v>2.79765529299064</v>
      </c>
      <c r="I154">
        <f t="shared" si="26"/>
        <v>13.946210312480501</v>
      </c>
      <c r="J154">
        <f t="shared" si="27"/>
        <v>2.7967899240795702</v>
      </c>
      <c r="K154" s="7">
        <f t="shared" si="28"/>
        <v>-3.0844980701161303E-5</v>
      </c>
      <c r="L154" s="7">
        <f t="shared" si="29"/>
        <v>8.6536891106980796E-4</v>
      </c>
      <c r="M154" s="7">
        <f t="shared" si="30"/>
        <v>6.8931850190746199E-2</v>
      </c>
      <c r="N154" s="7">
        <f t="shared" si="31"/>
        <v>-1.3823676808395399E-2</v>
      </c>
      <c r="O154">
        <v>-0.22952859</v>
      </c>
      <c r="P154">
        <v>-2.6376100999999998</v>
      </c>
      <c r="Q154">
        <v>-4.3074427000000002</v>
      </c>
      <c r="R154">
        <v>-6.7665341999999997</v>
      </c>
      <c r="S154">
        <f t="shared" si="32"/>
        <v>3.0296460269222276</v>
      </c>
      <c r="T154">
        <f t="shared" si="33"/>
        <v>-27.506597696963677</v>
      </c>
      <c r="U154" s="8"/>
      <c r="V154" s="8"/>
    </row>
    <row r="155" spans="1:22" x14ac:dyDescent="0.35">
      <c r="A155">
        <v>1.5</v>
      </c>
      <c r="B155" s="9">
        <v>16.3125</v>
      </c>
      <c r="C155">
        <v>-3.2908754999999998E-2</v>
      </c>
      <c r="D155">
        <v>9.3850022000000009E-3</v>
      </c>
      <c r="E155">
        <v>0.96708822999999999</v>
      </c>
      <c r="F155">
        <v>7.7365324000000001E-3</v>
      </c>
      <c r="G155">
        <f t="shared" si="24"/>
        <v>13.729962415464501</v>
      </c>
      <c r="H155">
        <f t="shared" si="25"/>
        <v>3.7019746137524798</v>
      </c>
      <c r="I155">
        <f t="shared" si="26"/>
        <v>13.729961587328001</v>
      </c>
      <c r="J155">
        <f t="shared" si="27"/>
        <v>3.7011503769273699</v>
      </c>
      <c r="K155" s="7">
        <f t="shared" si="28"/>
        <v>8.2813649981971995E-7</v>
      </c>
      <c r="L155" s="7">
        <f t="shared" si="29"/>
        <v>8.2423682510990304E-4</v>
      </c>
      <c r="M155" s="7">
        <f t="shared" si="30"/>
        <v>6.7899397611046394E-2</v>
      </c>
      <c r="N155" s="7">
        <f t="shared" si="31"/>
        <v>-1.8303465706212E-2</v>
      </c>
      <c r="O155">
        <v>-0.39301301999999999</v>
      </c>
      <c r="P155">
        <v>-2.5924949000000002</v>
      </c>
      <c r="Q155">
        <v>-4.6939941999999997</v>
      </c>
      <c r="R155">
        <v>-6.4276365999999996</v>
      </c>
      <c r="S155">
        <f t="shared" si="32"/>
        <v>3.0353933513500282</v>
      </c>
      <c r="T155">
        <f t="shared" si="33"/>
        <v>-27.519821614662238</v>
      </c>
      <c r="U155" s="8"/>
      <c r="V155" s="8"/>
    </row>
    <row r="156" spans="1:22" x14ac:dyDescent="0.35">
      <c r="A156">
        <v>1.5</v>
      </c>
      <c r="B156" s="9">
        <v>16.375</v>
      </c>
      <c r="C156">
        <v>-3.2201524000000002E-2</v>
      </c>
      <c r="D156">
        <v>1.1297398E-2</v>
      </c>
      <c r="E156">
        <v>0.96786472000000001</v>
      </c>
      <c r="F156">
        <v>9.6626703000000005E-3</v>
      </c>
      <c r="G156">
        <f t="shared" si="24"/>
        <v>13.551772578729601</v>
      </c>
      <c r="H156">
        <f t="shared" si="25"/>
        <v>4.5782932988858898</v>
      </c>
      <c r="I156">
        <f t="shared" si="26"/>
        <v>13.5518063676494</v>
      </c>
      <c r="J156">
        <f t="shared" si="27"/>
        <v>4.5774759897246504</v>
      </c>
      <c r="K156" s="7">
        <f t="shared" si="28"/>
        <v>-3.3788919798993802E-5</v>
      </c>
      <c r="L156" s="7">
        <f t="shared" si="29"/>
        <v>8.1730916123934295E-4</v>
      </c>
      <c r="M156" s="7">
        <f t="shared" si="30"/>
        <v>6.6234077557426205E-2</v>
      </c>
      <c r="N156" s="7">
        <f t="shared" si="31"/>
        <v>-2.2372286874201199E-2</v>
      </c>
      <c r="O156">
        <v>-0.54309753000000005</v>
      </c>
      <c r="P156">
        <v>-2.5308442000000002</v>
      </c>
      <c r="Q156">
        <v>-5.0213774000000004</v>
      </c>
      <c r="R156">
        <v>-6.0618626999999998</v>
      </c>
      <c r="S156">
        <f t="shared" si="32"/>
        <v>3.0409943689326862</v>
      </c>
      <c r="T156">
        <f t="shared" si="33"/>
        <v>-27.525334635232191</v>
      </c>
      <c r="U156" s="8"/>
      <c r="V156" s="8"/>
    </row>
    <row r="157" spans="1:22" x14ac:dyDescent="0.35">
      <c r="A157">
        <v>1.5</v>
      </c>
      <c r="B157" s="9">
        <v>16.4375</v>
      </c>
      <c r="C157">
        <v>-3.1310125000000001E-2</v>
      </c>
      <c r="D157">
        <v>1.3035747E-2</v>
      </c>
      <c r="E157">
        <v>0.96873878999999996</v>
      </c>
      <c r="F157">
        <v>1.1415476000000001E-2</v>
      </c>
      <c r="G157">
        <f t="shared" si="24"/>
        <v>13.364569730685099</v>
      </c>
      <c r="H157">
        <f t="shared" si="25"/>
        <v>5.4183171524377904</v>
      </c>
      <c r="I157">
        <f t="shared" si="26"/>
        <v>13.364594843857899</v>
      </c>
      <c r="J157">
        <f t="shared" si="27"/>
        <v>5.4175070570957704</v>
      </c>
      <c r="K157" s="7">
        <f t="shared" si="28"/>
        <v>-2.5113172799962099E-5</v>
      </c>
      <c r="L157" s="7">
        <f t="shared" si="29"/>
        <v>8.1009534202003397E-4</v>
      </c>
      <c r="M157" s="7">
        <f t="shared" si="30"/>
        <v>6.4264669060377297E-2</v>
      </c>
      <c r="N157" s="7">
        <f t="shared" si="31"/>
        <v>-2.60504940272487E-2</v>
      </c>
      <c r="O157">
        <v>-0.67880587999999997</v>
      </c>
      <c r="P157">
        <v>-2.4546456000000001</v>
      </c>
      <c r="Q157">
        <v>-5.2894797000000002</v>
      </c>
      <c r="R157">
        <v>-5.6742049000000003</v>
      </c>
      <c r="S157">
        <f t="shared" si="32"/>
        <v>3.0459179248886707</v>
      </c>
      <c r="T157">
        <f t="shared" si="33"/>
        <v>-27.532054637800041</v>
      </c>
      <c r="U157" s="8"/>
      <c r="V157" s="8"/>
    </row>
    <row r="158" spans="1:22" x14ac:dyDescent="0.35">
      <c r="A158">
        <v>1.5</v>
      </c>
      <c r="B158" s="9">
        <v>16.5</v>
      </c>
      <c r="C158">
        <v>-3.0277648000000001E-2</v>
      </c>
      <c r="D158">
        <v>1.4583743999999999E-2</v>
      </c>
      <c r="E158">
        <v>0.96975626000000004</v>
      </c>
      <c r="F158">
        <v>1.2979454E-2</v>
      </c>
      <c r="G158">
        <f t="shared" si="24"/>
        <v>13.1846612933877</v>
      </c>
      <c r="H158">
        <f t="shared" si="25"/>
        <v>6.2327973035701296</v>
      </c>
      <c r="I158">
        <f t="shared" si="26"/>
        <v>13.184678890503699</v>
      </c>
      <c r="J158">
        <f t="shared" si="27"/>
        <v>6.2319951862846503</v>
      </c>
      <c r="K158" s="7">
        <f t="shared" si="28"/>
        <v>-1.7597115999024E-5</v>
      </c>
      <c r="L158" s="7">
        <f t="shared" si="29"/>
        <v>8.0211728547929795E-4</v>
      </c>
      <c r="M158" s="7">
        <f t="shared" si="30"/>
        <v>6.1994924430468598E-2</v>
      </c>
      <c r="N158" s="7">
        <f t="shared" si="31"/>
        <v>-2.93031080872991E-2</v>
      </c>
      <c r="O158">
        <v>-0.79881616</v>
      </c>
      <c r="P158">
        <v>-2.3670776</v>
      </c>
      <c r="Q158">
        <v>-5.5013854000000002</v>
      </c>
      <c r="R158">
        <v>-5.2778508999999998</v>
      </c>
      <c r="S158">
        <f t="shared" si="32"/>
        <v>3.051641928566367</v>
      </c>
      <c r="T158">
        <f t="shared" si="33"/>
        <v>-27.540038757012439</v>
      </c>
      <c r="U158" s="8"/>
      <c r="V158" s="8"/>
    </row>
    <row r="159" spans="1:22" x14ac:dyDescent="0.35">
      <c r="A159">
        <v>1.5</v>
      </c>
      <c r="B159" s="9">
        <v>16.5625</v>
      </c>
      <c r="C159">
        <v>-2.9150058E-2</v>
      </c>
      <c r="D159">
        <v>1.5934152E-2</v>
      </c>
      <c r="E159">
        <v>0.97092816999999998</v>
      </c>
      <c r="F159">
        <v>1.4200341E-2</v>
      </c>
      <c r="G159">
        <f t="shared" si="24"/>
        <v>13.0466457257749</v>
      </c>
      <c r="H159">
        <f t="shared" si="25"/>
        <v>7.0119185396493497</v>
      </c>
      <c r="I159">
        <f t="shared" si="26"/>
        <v>13.0466855896815</v>
      </c>
      <c r="J159">
        <f t="shared" si="27"/>
        <v>7.0110517026130497</v>
      </c>
      <c r="K159" s="7">
        <f t="shared" si="28"/>
        <v>-3.9863906600601199E-5</v>
      </c>
      <c r="L159" s="7">
        <f t="shared" si="29"/>
        <v>8.6683703630008302E-4</v>
      </c>
      <c r="M159" s="7">
        <f t="shared" si="30"/>
        <v>5.9473195909883897E-2</v>
      </c>
      <c r="N159" s="7">
        <f t="shared" si="31"/>
        <v>-3.1959814512094002E-2</v>
      </c>
      <c r="O159">
        <v>-0.90346912999999995</v>
      </c>
      <c r="P159">
        <v>-2.2732483000000001</v>
      </c>
      <c r="Q159">
        <v>-5.6624435000000002</v>
      </c>
      <c r="R159">
        <v>-4.8850981999999998</v>
      </c>
      <c r="S159">
        <f t="shared" si="32"/>
        <v>3.0571716926659924</v>
      </c>
      <c r="T159">
        <f t="shared" si="33"/>
        <v>-27.54041248338666</v>
      </c>
      <c r="U159" s="8"/>
      <c r="V159" s="8"/>
    </row>
    <row r="160" spans="1:22" x14ac:dyDescent="0.35">
      <c r="A160">
        <v>1.5</v>
      </c>
      <c r="B160" s="9">
        <v>16.625</v>
      </c>
      <c r="C160">
        <v>-2.7956834999999999E-2</v>
      </c>
      <c r="D160">
        <v>1.7093712E-2</v>
      </c>
      <c r="E160">
        <v>0.97211919999999996</v>
      </c>
      <c r="F160">
        <v>1.538057E-2</v>
      </c>
      <c r="G160">
        <f t="shared" si="24"/>
        <v>12.882532875226</v>
      </c>
      <c r="H160">
        <f t="shared" si="25"/>
        <v>7.7835081708258196</v>
      </c>
      <c r="I160">
        <f t="shared" si="26"/>
        <v>12.8825716249103</v>
      </c>
      <c r="J160">
        <f t="shared" si="27"/>
        <v>7.7826516655798503</v>
      </c>
      <c r="K160" s="7">
        <f t="shared" si="28"/>
        <v>-3.8749684300398699E-5</v>
      </c>
      <c r="L160" s="7">
        <f t="shared" si="29"/>
        <v>8.5650524596925205E-4</v>
      </c>
      <c r="M160" s="7">
        <f t="shared" si="30"/>
        <v>5.6869083588738698E-2</v>
      </c>
      <c r="N160" s="7">
        <f t="shared" si="31"/>
        <v>-3.4355894226590702E-2</v>
      </c>
      <c r="O160">
        <v>-0.99240744999999997</v>
      </c>
      <c r="P160">
        <v>-2.1746908999999999</v>
      </c>
      <c r="Q160">
        <v>-5.7736643000000001</v>
      </c>
      <c r="R160">
        <v>-4.498437</v>
      </c>
      <c r="S160">
        <f t="shared" si="32"/>
        <v>3.0618893269094687</v>
      </c>
      <c r="T160">
        <f t="shared" si="33"/>
        <v>-27.547454893928972</v>
      </c>
      <c r="U160" s="8"/>
      <c r="V160" s="8"/>
    </row>
    <row r="161" spans="1:22" x14ac:dyDescent="0.35">
      <c r="A161">
        <v>1.5</v>
      </c>
      <c r="B161" s="9">
        <v>16.6875</v>
      </c>
      <c r="C161">
        <v>-2.6734638000000002E-2</v>
      </c>
      <c r="D161">
        <v>1.8070458000000001E-2</v>
      </c>
      <c r="E161">
        <v>0.97334224999999996</v>
      </c>
      <c r="F161">
        <v>1.6374336E-2</v>
      </c>
      <c r="G161">
        <f t="shared" si="24"/>
        <v>12.725113667805701</v>
      </c>
      <c r="H161">
        <f t="shared" si="25"/>
        <v>8.53229543911063</v>
      </c>
      <c r="I161">
        <f t="shared" si="26"/>
        <v>12.725152829451799</v>
      </c>
      <c r="J161">
        <f t="shared" si="27"/>
        <v>8.5314474439224206</v>
      </c>
      <c r="K161" s="7">
        <f t="shared" si="28"/>
        <v>-3.9161646098406797E-5</v>
      </c>
      <c r="L161" s="7">
        <f t="shared" si="29"/>
        <v>8.4799518820943799E-4</v>
      </c>
      <c r="M161" s="7">
        <f t="shared" si="30"/>
        <v>5.4215311610301499E-2</v>
      </c>
      <c r="N161" s="7">
        <f t="shared" si="31"/>
        <v>-3.6348096392889502E-2</v>
      </c>
      <c r="O161">
        <v>-1.0664601</v>
      </c>
      <c r="P161">
        <v>-2.0739291999999998</v>
      </c>
      <c r="Q161">
        <v>-5.8429253000000001</v>
      </c>
      <c r="R161">
        <v>-4.1265644000000004</v>
      </c>
      <c r="S161">
        <f t="shared" si="32"/>
        <v>3.0673278081285602</v>
      </c>
      <c r="T161">
        <f t="shared" si="33"/>
        <v>-27.555134366371963</v>
      </c>
      <c r="U161" s="8"/>
      <c r="V161" s="8"/>
    </row>
    <row r="162" spans="1:22" x14ac:dyDescent="0.35">
      <c r="A162">
        <v>1.5</v>
      </c>
      <c r="B162" s="9">
        <v>16.75</v>
      </c>
      <c r="C162">
        <v>-2.5509961000000001E-2</v>
      </c>
      <c r="D162">
        <v>1.8878517000000001E-2</v>
      </c>
      <c r="E162">
        <v>0.97456922999999995</v>
      </c>
      <c r="F162">
        <v>1.7198089999999999E-2</v>
      </c>
      <c r="G162">
        <f t="shared" si="24"/>
        <v>12.573506625317901</v>
      </c>
      <c r="H162">
        <f t="shared" si="25"/>
        <v>9.2591895944495004</v>
      </c>
      <c r="I162">
        <f t="shared" si="26"/>
        <v>12.5735469251245</v>
      </c>
      <c r="J162">
        <f t="shared" si="27"/>
        <v>9.25834944807597</v>
      </c>
      <c r="K162" s="7">
        <f t="shared" si="28"/>
        <v>-4.0299806599364301E-5</v>
      </c>
      <c r="L162" s="7">
        <f t="shared" si="29"/>
        <v>8.4014637353035904E-4</v>
      </c>
      <c r="M162" s="7">
        <f t="shared" si="30"/>
        <v>5.1570851613048897E-2</v>
      </c>
      <c r="N162" s="7">
        <f t="shared" si="31"/>
        <v>-3.7973450802049599E-2</v>
      </c>
      <c r="O162">
        <v>-1.1272947</v>
      </c>
      <c r="P162">
        <v>-1.9738632</v>
      </c>
      <c r="Q162">
        <v>-5.8762245999999996</v>
      </c>
      <c r="R162">
        <v>-3.7734491999999999</v>
      </c>
      <c r="S162">
        <f t="shared" si="32"/>
        <v>3.0722416664255987</v>
      </c>
      <c r="T162">
        <f t="shared" si="33"/>
        <v>-27.56207700386128</v>
      </c>
      <c r="U162" s="8"/>
      <c r="V162" s="8"/>
    </row>
    <row r="163" spans="1:22" x14ac:dyDescent="0.35">
      <c r="A163">
        <v>1.5</v>
      </c>
      <c r="B163" s="9">
        <v>16.8125</v>
      </c>
      <c r="C163">
        <v>-2.4303518E-2</v>
      </c>
      <c r="D163">
        <v>1.9534403999999998E-2</v>
      </c>
      <c r="E163">
        <v>0.97577868999999995</v>
      </c>
      <c r="F163">
        <v>1.7869520999999999E-2</v>
      </c>
      <c r="G163">
        <f t="shared" si="24"/>
        <v>12.4271352207574</v>
      </c>
      <c r="H163">
        <f t="shared" si="25"/>
        <v>9.96493121583209</v>
      </c>
      <c r="I163">
        <f t="shared" si="26"/>
        <v>12.427177015940799</v>
      </c>
      <c r="J163">
        <f t="shared" si="27"/>
        <v>9.9640988433379505</v>
      </c>
      <c r="K163" s="7">
        <f t="shared" si="28"/>
        <v>-4.1795183399528903E-5</v>
      </c>
      <c r="L163" s="7">
        <f t="shared" si="29"/>
        <v>8.3237249413947701E-4</v>
      </c>
      <c r="M163" s="7">
        <f t="shared" si="30"/>
        <v>4.8980274528838297E-2</v>
      </c>
      <c r="N163" s="7">
        <f t="shared" si="31"/>
        <v>-3.9272338050157202E-2</v>
      </c>
      <c r="O163">
        <v>-1.1760524000000001</v>
      </c>
      <c r="P163">
        <v>-1.8756611000000001</v>
      </c>
      <c r="Q163">
        <v>-5.8793698000000001</v>
      </c>
      <c r="R163">
        <v>-3.4415776999999999</v>
      </c>
      <c r="S163">
        <f t="shared" si="32"/>
        <v>3.0772385897986956</v>
      </c>
      <c r="T163">
        <f t="shared" si="33"/>
        <v>-27.568789952750002</v>
      </c>
      <c r="U163" s="8"/>
      <c r="V163" s="8"/>
    </row>
    <row r="164" spans="1:22" x14ac:dyDescent="0.35">
      <c r="A164">
        <v>1.5</v>
      </c>
      <c r="B164" s="9">
        <v>16.875</v>
      </c>
      <c r="C164">
        <v>-2.3130773E-2</v>
      </c>
      <c r="D164">
        <v>2.0055534E-2</v>
      </c>
      <c r="E164">
        <v>0.97695478999999996</v>
      </c>
      <c r="F164">
        <v>1.8406684999999999E-2</v>
      </c>
      <c r="G164">
        <f t="shared" si="24"/>
        <v>12.285571127495301</v>
      </c>
      <c r="H164">
        <f t="shared" si="25"/>
        <v>10.6501534613773</v>
      </c>
      <c r="I164">
        <f t="shared" si="26"/>
        <v>12.2856145867532</v>
      </c>
      <c r="J164">
        <f t="shared" si="27"/>
        <v>10.649329107973299</v>
      </c>
      <c r="K164" s="7">
        <f t="shared" si="28"/>
        <v>-4.3459257899058898E-5</v>
      </c>
      <c r="L164" s="7">
        <f t="shared" si="29"/>
        <v>8.2435340400088797E-4</v>
      </c>
      <c r="M164" s="7">
        <f t="shared" si="30"/>
        <v>4.6475765159506598E-2</v>
      </c>
      <c r="N164" s="7">
        <f t="shared" si="31"/>
        <v>-4.02857923983811E-2</v>
      </c>
      <c r="O164">
        <v>-1.2141712</v>
      </c>
      <c r="P164">
        <v>-1.7805388</v>
      </c>
      <c r="Q164">
        <v>-5.8577995999999999</v>
      </c>
      <c r="R164">
        <v>-3.1322288</v>
      </c>
      <c r="S164">
        <f t="shared" si="32"/>
        <v>3.0822641861320563</v>
      </c>
      <c r="T164">
        <f t="shared" si="33"/>
        <v>-27.575546581175729</v>
      </c>
      <c r="U164" s="8"/>
      <c r="V164" s="8"/>
    </row>
    <row r="165" spans="1:22" x14ac:dyDescent="0.35">
      <c r="A165">
        <v>1.5</v>
      </c>
      <c r="B165" s="9">
        <v>16.9375</v>
      </c>
      <c r="C165">
        <v>-2.1998499000000001E-2</v>
      </c>
      <c r="D165">
        <v>2.0460175000000001E-2</v>
      </c>
      <c r="E165">
        <v>0.97802787000000002</v>
      </c>
      <c r="F165">
        <v>1.8968395999999998E-2</v>
      </c>
      <c r="G165">
        <f t="shared" si="24"/>
        <v>12.1061487089375</v>
      </c>
      <c r="H165">
        <f t="shared" si="25"/>
        <v>11.3043435987195</v>
      </c>
      <c r="I165">
        <f t="shared" si="26"/>
        <v>12.1061624495925</v>
      </c>
      <c r="J165">
        <f t="shared" si="27"/>
        <v>11.3035977293024</v>
      </c>
      <c r="K165" s="7">
        <f t="shared" si="28"/>
        <v>-1.3740654999594401E-5</v>
      </c>
      <c r="L165" s="7">
        <f t="shared" si="29"/>
        <v>7.4586941710030896E-4</v>
      </c>
      <c r="M165" s="7">
        <f t="shared" si="30"/>
        <v>4.4129846488001299E-2</v>
      </c>
      <c r="N165" s="7">
        <f t="shared" si="31"/>
        <v>-4.1204306867121801E-2</v>
      </c>
      <c r="O165">
        <v>-1.2428703999999999</v>
      </c>
      <c r="P165">
        <v>-1.6891910999999999</v>
      </c>
      <c r="Q165">
        <v>-5.8153722999999999</v>
      </c>
      <c r="R165">
        <v>-2.8444981</v>
      </c>
      <c r="S165">
        <f t="shared" si="32"/>
        <v>3.0869186060316749</v>
      </c>
      <c r="T165">
        <f t="shared" si="33"/>
        <v>-27.590323387198417</v>
      </c>
      <c r="U165" s="8"/>
      <c r="V165" s="8"/>
    </row>
    <row r="166" spans="1:22" x14ac:dyDescent="0.35">
      <c r="A166">
        <v>1.5</v>
      </c>
      <c r="B166" s="9">
        <v>17</v>
      </c>
      <c r="C166">
        <v>-2.0922171999999999E-2</v>
      </c>
      <c r="D166">
        <v>2.0762553999999999E-2</v>
      </c>
      <c r="E166">
        <v>0.97910668999999995</v>
      </c>
      <c r="F166">
        <v>1.9288416999999999E-2</v>
      </c>
      <c r="G166">
        <f t="shared" si="24"/>
        <v>11.972490647471901</v>
      </c>
      <c r="H166">
        <f t="shared" si="25"/>
        <v>11.946557762176001</v>
      </c>
      <c r="I166">
        <f t="shared" si="26"/>
        <v>11.972505621509701</v>
      </c>
      <c r="J166">
        <f t="shared" si="27"/>
        <v>11.9458207153492</v>
      </c>
      <c r="K166" s="7">
        <f t="shared" si="28"/>
        <v>-1.4974037799930801E-5</v>
      </c>
      <c r="L166" s="7">
        <f t="shared" si="29"/>
        <v>7.3704682680109102E-4</v>
      </c>
      <c r="M166" s="7">
        <f t="shared" si="30"/>
        <v>4.1855538200443097E-2</v>
      </c>
      <c r="N166" s="7">
        <f t="shared" si="31"/>
        <v>-4.1762248529551599E-2</v>
      </c>
      <c r="O166">
        <v>-1.2641020000000001</v>
      </c>
      <c r="P166">
        <v>-1.6026681</v>
      </c>
      <c r="Q166">
        <v>-5.7584831000000003</v>
      </c>
      <c r="R166">
        <v>-2.5805566999999998</v>
      </c>
      <c r="S166">
        <f t="shared" si="32"/>
        <v>3.0914464109268098</v>
      </c>
      <c r="T166">
        <f t="shared" si="33"/>
        <v>-27.596797418673265</v>
      </c>
      <c r="U166" s="8"/>
      <c r="V166" s="8"/>
    </row>
    <row r="167" spans="1:22" x14ac:dyDescent="0.35">
      <c r="A167">
        <v>1.625</v>
      </c>
      <c r="B167" s="9">
        <v>15</v>
      </c>
      <c r="C167">
        <v>-1.2341253999999999E-2</v>
      </c>
      <c r="D167">
        <v>-1.3507508999999999E-2</v>
      </c>
      <c r="E167">
        <v>0.98750174999999996</v>
      </c>
      <c r="F167">
        <v>-1.5569141999999999E-2</v>
      </c>
      <c r="G167">
        <f t="shared" si="24"/>
        <v>16.484865531512501</v>
      </c>
      <c r="H167">
        <f t="shared" si="25"/>
        <v>-19.881599769164598</v>
      </c>
      <c r="I167">
        <f t="shared" si="26"/>
        <v>16.484788090181802</v>
      </c>
      <c r="J167">
        <f t="shared" si="27"/>
        <v>-19.882630746421999</v>
      </c>
      <c r="K167" s="7">
        <f t="shared" si="28"/>
        <v>7.7441330699201699E-5</v>
      </c>
      <c r="L167" s="7">
        <f t="shared" si="29"/>
        <v>1.03097725740042E-3</v>
      </c>
      <c r="M167" s="7">
        <f t="shared" si="30"/>
        <v>2.4712333342661399E-2</v>
      </c>
      <c r="N167" s="7">
        <f t="shared" si="31"/>
        <v>2.9806036695568399E-2</v>
      </c>
      <c r="O167">
        <v>1.4039218</v>
      </c>
      <c r="P167">
        <v>-0.95287745000000001</v>
      </c>
      <c r="Q167">
        <v>2.3476960999999998</v>
      </c>
      <c r="R167">
        <v>-4.3230681999999998</v>
      </c>
      <c r="S167">
        <f t="shared" si="32"/>
        <v>2.8993077603992581</v>
      </c>
      <c r="T167">
        <f t="shared" si="33"/>
        <v>-27.329539070831395</v>
      </c>
      <c r="U167" s="8"/>
      <c r="V167" s="8"/>
    </row>
    <row r="168" spans="1:22" x14ac:dyDescent="0.35">
      <c r="A168">
        <v>1.625</v>
      </c>
      <c r="B168" s="9">
        <v>15.0625</v>
      </c>
      <c r="C168">
        <v>-1.3459606000000001E-2</v>
      </c>
      <c r="D168">
        <v>-1.3917511E-2</v>
      </c>
      <c r="E168">
        <v>0.98639295000000005</v>
      </c>
      <c r="F168">
        <v>-1.5972216000000001E-2</v>
      </c>
      <c r="G168">
        <f t="shared" si="24"/>
        <v>16.146199849702999</v>
      </c>
      <c r="H168">
        <f t="shared" si="25"/>
        <v>-18.381856166192001</v>
      </c>
      <c r="I168">
        <f t="shared" si="26"/>
        <v>16.146127177953201</v>
      </c>
      <c r="J168">
        <f t="shared" si="27"/>
        <v>-18.382883669100998</v>
      </c>
      <c r="K168" s="7">
        <f t="shared" si="28"/>
        <v>7.2671749798303194E-5</v>
      </c>
      <c r="L168" s="7">
        <f t="shared" si="29"/>
        <v>1.02750290899678E-3</v>
      </c>
      <c r="M168" s="7">
        <f t="shared" si="30"/>
        <v>2.6971895121304299E-2</v>
      </c>
      <c r="N168" s="7">
        <f t="shared" si="31"/>
        <v>3.0708367702389501E-2</v>
      </c>
      <c r="O168">
        <v>1.4285148000000001</v>
      </c>
      <c r="P168">
        <v>-1.0353384999999999</v>
      </c>
      <c r="Q168">
        <v>2.3100285999999999</v>
      </c>
      <c r="R168">
        <v>-4.5851407999999996</v>
      </c>
      <c r="S168">
        <f t="shared" si="32"/>
        <v>2.9101162912110348</v>
      </c>
      <c r="T168">
        <f t="shared" si="33"/>
        <v>-27.327378205575755</v>
      </c>
      <c r="U168" s="8"/>
      <c r="V168" s="8"/>
    </row>
    <row r="169" spans="1:22" x14ac:dyDescent="0.35">
      <c r="A169">
        <v>1.625</v>
      </c>
      <c r="B169" s="9">
        <v>15.125</v>
      </c>
      <c r="C169">
        <v>-1.4671114000000001E-2</v>
      </c>
      <c r="D169">
        <v>-1.4276186E-2</v>
      </c>
      <c r="E169">
        <v>0.98518877000000005</v>
      </c>
      <c r="F169">
        <v>-1.6327669E-2</v>
      </c>
      <c r="G169">
        <f t="shared" si="24"/>
        <v>15.826465858505401</v>
      </c>
      <c r="H169">
        <f t="shared" si="25"/>
        <v>-16.946977318595501</v>
      </c>
      <c r="I169">
        <f t="shared" si="26"/>
        <v>15.8263968479626</v>
      </c>
      <c r="J169">
        <f t="shared" si="27"/>
        <v>-16.948003202753899</v>
      </c>
      <c r="K169" s="7">
        <f t="shared" si="28"/>
        <v>6.9010542800285207E-5</v>
      </c>
      <c r="L169" s="7">
        <f t="shared" si="29"/>
        <v>1.02588415839833E-3</v>
      </c>
      <c r="M169" s="7">
        <f t="shared" si="30"/>
        <v>2.9432979034927201E-2</v>
      </c>
      <c r="N169" s="7">
        <f t="shared" si="31"/>
        <v>3.1518874936764203E-2</v>
      </c>
      <c r="O169">
        <v>1.4507401</v>
      </c>
      <c r="P169">
        <v>-1.1252145</v>
      </c>
      <c r="Q169">
        <v>2.2527827999999999</v>
      </c>
      <c r="R169">
        <v>-4.8602698999999996</v>
      </c>
      <c r="S169">
        <f t="shared" si="32"/>
        <v>2.9178073074683142</v>
      </c>
      <c r="T169">
        <f t="shared" si="33"/>
        <v>-27.334153667477796</v>
      </c>
      <c r="U169" s="8"/>
      <c r="V169" s="8"/>
    </row>
    <row r="170" spans="1:22" x14ac:dyDescent="0.35">
      <c r="A170">
        <v>1.625</v>
      </c>
      <c r="B170" s="9">
        <v>15.1875</v>
      </c>
      <c r="C170">
        <v>-1.5985293000000001E-2</v>
      </c>
      <c r="D170">
        <v>-1.4572036999999999E-2</v>
      </c>
      <c r="E170">
        <v>0.98387809000000004</v>
      </c>
      <c r="F170">
        <v>-1.6624185E-2</v>
      </c>
      <c r="G170">
        <f t="shared" si="24"/>
        <v>15.520978424248799</v>
      </c>
      <c r="H170">
        <f t="shared" si="25"/>
        <v>-15.565867759729899</v>
      </c>
      <c r="I170">
        <f t="shared" si="26"/>
        <v>15.520911164125</v>
      </c>
      <c r="J170">
        <f t="shared" si="27"/>
        <v>-15.5668939728428</v>
      </c>
      <c r="K170" s="7">
        <f t="shared" si="28"/>
        <v>6.7260123799428597E-5</v>
      </c>
      <c r="L170" s="7">
        <f t="shared" si="29"/>
        <v>1.02621311290108E-3</v>
      </c>
      <c r="M170" s="7">
        <f t="shared" si="30"/>
        <v>3.2119304792637603E-2</v>
      </c>
      <c r="N170" s="7">
        <f t="shared" si="31"/>
        <v>3.2214462598310997E-2</v>
      </c>
      <c r="O170">
        <v>1.4682906</v>
      </c>
      <c r="P170">
        <v>-1.2224748000000001</v>
      </c>
      <c r="Q170">
        <v>2.1725409999999998</v>
      </c>
      <c r="R170">
        <v>-5.1489504999999998</v>
      </c>
      <c r="S170">
        <f t="shared" si="32"/>
        <v>2.9250393428699462</v>
      </c>
      <c r="T170">
        <f t="shared" si="33"/>
        <v>-27.34302786240821</v>
      </c>
      <c r="U170" s="8"/>
      <c r="V170" s="8"/>
    </row>
    <row r="171" spans="1:22" x14ac:dyDescent="0.35">
      <c r="A171">
        <v>1.625</v>
      </c>
      <c r="B171" s="9">
        <v>15.25</v>
      </c>
      <c r="C171">
        <v>-1.7407351000000001E-2</v>
      </c>
      <c r="D171">
        <v>-1.4787455999999999E-2</v>
      </c>
      <c r="E171">
        <v>0.98245548000000005</v>
      </c>
      <c r="F171">
        <v>-1.6843341000000001E-2</v>
      </c>
      <c r="G171">
        <f t="shared" si="24"/>
        <v>15.228953402178201</v>
      </c>
      <c r="H171">
        <f t="shared" si="25"/>
        <v>-14.233867403948301</v>
      </c>
      <c r="I171">
        <f t="shared" si="26"/>
        <v>15.2288858698561</v>
      </c>
      <c r="J171">
        <f t="shared" si="27"/>
        <v>-14.2348954863781</v>
      </c>
      <c r="K171" s="7">
        <f t="shared" si="28"/>
        <v>6.7532322100660695E-5</v>
      </c>
      <c r="L171" s="7">
        <f t="shared" si="29"/>
        <v>1.02808242979968E-3</v>
      </c>
      <c r="M171" s="7">
        <f t="shared" si="30"/>
        <v>3.5045088742424103E-2</v>
      </c>
      <c r="N171" s="7">
        <f t="shared" si="31"/>
        <v>3.2757693492647302E-2</v>
      </c>
      <c r="O171">
        <v>1.479776</v>
      </c>
      <c r="P171">
        <v>-1.3275017</v>
      </c>
      <c r="Q171">
        <v>2.0652078</v>
      </c>
      <c r="R171">
        <v>-5.4503557000000002</v>
      </c>
      <c r="S171">
        <f t="shared" si="32"/>
        <v>2.9318973684202589</v>
      </c>
      <c r="T171">
        <f t="shared" si="33"/>
        <v>-27.352511235511106</v>
      </c>
      <c r="U171" s="8"/>
      <c r="V171" s="8"/>
    </row>
    <row r="172" spans="1:22" x14ac:dyDescent="0.35">
      <c r="A172">
        <v>1.625</v>
      </c>
      <c r="B172" s="9">
        <v>15.3125</v>
      </c>
      <c r="C172">
        <v>-1.8939059000000001E-2</v>
      </c>
      <c r="D172">
        <v>-1.4901370000000001E-2</v>
      </c>
      <c r="E172">
        <v>0.98091925000000002</v>
      </c>
      <c r="F172">
        <v>-1.6962699000000001E-2</v>
      </c>
      <c r="G172">
        <f t="shared" si="24"/>
        <v>14.950061839924199</v>
      </c>
      <c r="H172">
        <f t="shared" si="25"/>
        <v>-12.9480168894865</v>
      </c>
      <c r="I172">
        <f t="shared" si="26"/>
        <v>14.9499920518987</v>
      </c>
      <c r="J172">
        <f t="shared" si="27"/>
        <v>-12.949047698942801</v>
      </c>
      <c r="K172" s="7">
        <f t="shared" si="28"/>
        <v>6.9788025498951397E-5</v>
      </c>
      <c r="L172" s="7">
        <f t="shared" si="29"/>
        <v>1.0308094563011799E-3</v>
      </c>
      <c r="M172" s="7">
        <f t="shared" si="30"/>
        <v>3.8217670334098203E-2</v>
      </c>
      <c r="N172" s="7">
        <f t="shared" si="31"/>
        <v>3.3102521685679197E-2</v>
      </c>
      <c r="O172">
        <v>1.4834540000000001</v>
      </c>
      <c r="P172">
        <v>-1.4402547000000001</v>
      </c>
      <c r="Q172">
        <v>1.9264307000000001</v>
      </c>
      <c r="R172">
        <v>-5.7626457999999996</v>
      </c>
      <c r="S172">
        <f t="shared" si="32"/>
        <v>2.9387305360695528</v>
      </c>
      <c r="T172">
        <f t="shared" si="33"/>
        <v>-27.36192620957905</v>
      </c>
      <c r="U172" s="8"/>
      <c r="V172" s="8"/>
    </row>
    <row r="173" spans="1:22" x14ac:dyDescent="0.35">
      <c r="A173">
        <v>1.625</v>
      </c>
      <c r="B173" s="9">
        <v>15.375</v>
      </c>
      <c r="C173">
        <v>-2.0578189E-2</v>
      </c>
      <c r="D173">
        <v>-1.488972E-2</v>
      </c>
      <c r="E173">
        <v>0.97927191000000002</v>
      </c>
      <c r="F173">
        <v>-1.6956705999999998E-2</v>
      </c>
      <c r="G173">
        <f t="shared" si="24"/>
        <v>14.6839162789899</v>
      </c>
      <c r="H173">
        <f t="shared" si="25"/>
        <v>-11.705991275226401</v>
      </c>
      <c r="I173">
        <f t="shared" si="26"/>
        <v>14.6838423912187</v>
      </c>
      <c r="J173">
        <f t="shared" si="27"/>
        <v>-11.707024922061199</v>
      </c>
      <c r="K173" s="7">
        <f t="shared" si="28"/>
        <v>7.3887771199210306E-5</v>
      </c>
      <c r="L173" s="7">
        <f t="shared" si="29"/>
        <v>1.0336468347986699E-3</v>
      </c>
      <c r="M173" s="7">
        <f t="shared" si="30"/>
        <v>4.1636250749646199E-2</v>
      </c>
      <c r="N173" s="7">
        <f t="shared" si="31"/>
        <v>3.3195441097814797E-2</v>
      </c>
      <c r="O173">
        <v>1.4777506</v>
      </c>
      <c r="P173">
        <v>-1.5607099</v>
      </c>
      <c r="Q173">
        <v>1.7516966</v>
      </c>
      <c r="R173">
        <v>-6.0828309999999997</v>
      </c>
      <c r="S173">
        <f t="shared" si="32"/>
        <v>2.9451358060687509</v>
      </c>
      <c r="T173">
        <f t="shared" si="33"/>
        <v>-27.371017924763194</v>
      </c>
      <c r="U173" s="8"/>
      <c r="V173" s="8"/>
    </row>
    <row r="174" spans="1:22" x14ac:dyDescent="0.35">
      <c r="A174">
        <v>1.625</v>
      </c>
      <c r="B174" s="9">
        <v>15.4375</v>
      </c>
      <c r="C174">
        <v>-2.2317515E-2</v>
      </c>
      <c r="D174">
        <v>-1.4725917999999999E-2</v>
      </c>
      <c r="E174">
        <v>0.97752116</v>
      </c>
      <c r="F174">
        <v>-1.6797388E-2</v>
      </c>
      <c r="G174">
        <f t="shared" si="24"/>
        <v>14.4300070094374</v>
      </c>
      <c r="H174">
        <f t="shared" si="25"/>
        <v>-10.505736966359301</v>
      </c>
      <c r="I174">
        <f t="shared" si="26"/>
        <v>14.4299274134359</v>
      </c>
      <c r="J174">
        <f t="shared" si="27"/>
        <v>-10.5067728673581</v>
      </c>
      <c r="K174" s="7">
        <f t="shared" si="28"/>
        <v>7.9596001500092898E-5</v>
      </c>
      <c r="L174" s="7">
        <f t="shared" si="29"/>
        <v>1.03590099879902E-3</v>
      </c>
      <c r="M174" s="7">
        <f t="shared" si="30"/>
        <v>4.5289530417481502E-2</v>
      </c>
      <c r="N174" s="7">
        <f t="shared" si="31"/>
        <v>3.2976382744844199E-2</v>
      </c>
      <c r="O174">
        <v>1.4604790000000001</v>
      </c>
      <c r="P174">
        <v>-1.6880078999999999</v>
      </c>
      <c r="Q174">
        <v>1.5365271</v>
      </c>
      <c r="R174">
        <v>-6.4067533000000001</v>
      </c>
      <c r="S174">
        <f t="shared" si="32"/>
        <v>2.9516437160710436</v>
      </c>
      <c r="T174">
        <f t="shared" si="33"/>
        <v>-27.38015754899692</v>
      </c>
      <c r="U174" s="8"/>
      <c r="V174" s="8"/>
    </row>
    <row r="175" spans="1:22" x14ac:dyDescent="0.35">
      <c r="A175">
        <v>1.625</v>
      </c>
      <c r="B175" s="9">
        <v>15.5</v>
      </c>
      <c r="C175">
        <v>-2.4143591999999998E-2</v>
      </c>
      <c r="D175">
        <v>-1.4381685E-2</v>
      </c>
      <c r="E175">
        <v>0.97568100999999996</v>
      </c>
      <c r="F175">
        <v>-1.6455291E-2</v>
      </c>
      <c r="G175">
        <f t="shared" si="24"/>
        <v>14.1877174007588</v>
      </c>
      <c r="H175">
        <f t="shared" si="25"/>
        <v>-9.3453197727005808</v>
      </c>
      <c r="I175">
        <f t="shared" si="26"/>
        <v>14.1876307693092</v>
      </c>
      <c r="J175">
        <f t="shared" si="27"/>
        <v>-9.3463567564627805</v>
      </c>
      <c r="K175" s="7">
        <f t="shared" si="28"/>
        <v>8.6631449599749999E-5</v>
      </c>
      <c r="L175" s="7">
        <f t="shared" si="29"/>
        <v>1.03698376219974E-3</v>
      </c>
      <c r="M175" s="7">
        <f t="shared" si="30"/>
        <v>4.9152823415355401E-2</v>
      </c>
      <c r="N175" s="7">
        <f t="shared" si="31"/>
        <v>3.2380305823937E-2</v>
      </c>
      <c r="O175">
        <v>1.4299356000000001</v>
      </c>
      <c r="P175">
        <v>-1.8215011999999999</v>
      </c>
      <c r="Q175">
        <v>1.2768107</v>
      </c>
      <c r="R175">
        <v>-6.7287121000000001</v>
      </c>
      <c r="S175">
        <f t="shared" si="32"/>
        <v>2.9575107967709497</v>
      </c>
      <c r="T175">
        <f t="shared" si="33"/>
        <v>-27.388575621252741</v>
      </c>
      <c r="U175" s="8"/>
      <c r="V175" s="8"/>
    </row>
    <row r="176" spans="1:22" x14ac:dyDescent="0.35">
      <c r="A176">
        <v>1.625</v>
      </c>
      <c r="B176" s="9">
        <v>15.5625</v>
      </c>
      <c r="C176">
        <v>-2.6035506E-2</v>
      </c>
      <c r="D176">
        <v>-1.3828417000000001E-2</v>
      </c>
      <c r="E176">
        <v>0.97377296999999996</v>
      </c>
      <c r="F176">
        <v>-1.5900883000000001E-2</v>
      </c>
      <c r="G176">
        <f t="shared" si="24"/>
        <v>13.956364822442699</v>
      </c>
      <c r="H176">
        <f t="shared" si="25"/>
        <v>-8.2228905967522792</v>
      </c>
      <c r="I176">
        <f t="shared" si="26"/>
        <v>13.956270125357699</v>
      </c>
      <c r="J176">
        <f t="shared" si="27"/>
        <v>-8.2239270271311806</v>
      </c>
      <c r="K176" s="7">
        <f t="shared" si="28"/>
        <v>9.4697085000206002E-5</v>
      </c>
      <c r="L176" s="7">
        <f t="shared" si="29"/>
        <v>1.03643037890144E-3</v>
      </c>
      <c r="M176" s="7">
        <f t="shared" si="30"/>
        <v>5.3184886662913898E-2</v>
      </c>
      <c r="N176" s="7">
        <f t="shared" si="31"/>
        <v>3.1339937027109903E-2</v>
      </c>
      <c r="O176">
        <v>1.3835511</v>
      </c>
      <c r="P176">
        <v>-1.9588922</v>
      </c>
      <c r="Q176">
        <v>0.96906444000000003</v>
      </c>
      <c r="R176">
        <v>-7.0416800000000004</v>
      </c>
      <c r="S176">
        <f t="shared" si="32"/>
        <v>2.9638814028001956</v>
      </c>
      <c r="T176">
        <f t="shared" si="33"/>
        <v>-27.397547004173038</v>
      </c>
      <c r="U176" s="8"/>
      <c r="V176" s="8"/>
    </row>
    <row r="177" spans="1:22" x14ac:dyDescent="0.35">
      <c r="A177">
        <v>1.625</v>
      </c>
      <c r="B177" s="9">
        <v>15.625</v>
      </c>
      <c r="C177">
        <v>-2.7963861E-2</v>
      </c>
      <c r="D177">
        <v>-1.3039195999999999E-2</v>
      </c>
      <c r="E177">
        <v>0.97182710999999999</v>
      </c>
      <c r="F177">
        <v>-1.5106577E-2</v>
      </c>
      <c r="G177">
        <f t="shared" si="24"/>
        <v>13.735242685676299</v>
      </c>
      <c r="H177">
        <f t="shared" si="25"/>
        <v>-7.1367050303733501</v>
      </c>
      <c r="I177">
        <f t="shared" si="26"/>
        <v>13.7351392291019</v>
      </c>
      <c r="J177">
        <f t="shared" si="27"/>
        <v>-7.1377389358735597</v>
      </c>
      <c r="K177" s="7">
        <f t="shared" si="28"/>
        <v>1.0345657439891901E-4</v>
      </c>
      <c r="L177" s="7">
        <f t="shared" si="29"/>
        <v>1.0339055002095399E-3</v>
      </c>
      <c r="M177" s="7">
        <f t="shared" si="30"/>
        <v>5.7324961935165501E-2</v>
      </c>
      <c r="N177" s="7">
        <f t="shared" si="31"/>
        <v>2.9790059349027499E-2</v>
      </c>
      <c r="O177">
        <v>1.3196958000000001</v>
      </c>
      <c r="P177">
        <v>-2.0982568000000001</v>
      </c>
      <c r="Q177">
        <v>0.61111247999999996</v>
      </c>
      <c r="R177">
        <v>-7.3369919000000001</v>
      </c>
      <c r="S177">
        <f t="shared" si="32"/>
        <v>2.9701874470090481</v>
      </c>
      <c r="T177">
        <f t="shared" si="33"/>
        <v>-27.406497207181097</v>
      </c>
      <c r="U177" s="8"/>
      <c r="V177" s="8"/>
    </row>
    <row r="178" spans="1:22" x14ac:dyDescent="0.35">
      <c r="A178">
        <v>1.625</v>
      </c>
      <c r="B178" s="9">
        <v>15.6875</v>
      </c>
      <c r="C178">
        <v>-2.9890296E-2</v>
      </c>
      <c r="D178">
        <v>-1.1991427000000001E-2</v>
      </c>
      <c r="E178">
        <v>0.96988247000000005</v>
      </c>
      <c r="F178">
        <v>-1.404937E-2</v>
      </c>
      <c r="G178">
        <f t="shared" si="24"/>
        <v>13.5236488246336</v>
      </c>
      <c r="H178">
        <f t="shared" si="25"/>
        <v>-6.08511707073046</v>
      </c>
      <c r="I178">
        <f t="shared" si="26"/>
        <v>13.523536253865499</v>
      </c>
      <c r="J178">
        <f t="shared" si="27"/>
        <v>-6.08614627499768</v>
      </c>
      <c r="K178" s="7">
        <f t="shared" si="28"/>
        <v>1.12570768100895E-4</v>
      </c>
      <c r="L178" s="7">
        <f t="shared" si="29"/>
        <v>1.02920426721997E-3</v>
      </c>
      <c r="M178" s="7">
        <f t="shared" si="30"/>
        <v>6.1490964658291701E-2</v>
      </c>
      <c r="N178" s="7">
        <f t="shared" si="31"/>
        <v>2.7673457480036301E-2</v>
      </c>
      <c r="O178">
        <v>1.2366389</v>
      </c>
      <c r="P178">
        <v>-2.2363362000000002</v>
      </c>
      <c r="Q178">
        <v>0.20257586999999999</v>
      </c>
      <c r="R178">
        <v>-7.6047254999999998</v>
      </c>
      <c r="S178">
        <f t="shared" si="32"/>
        <v>2.9769063721499309</v>
      </c>
      <c r="T178">
        <f t="shared" si="33"/>
        <v>-27.415621195283752</v>
      </c>
      <c r="U178" s="8"/>
      <c r="V178" s="8"/>
    </row>
    <row r="179" spans="1:22" x14ac:dyDescent="0.35">
      <c r="A179" s="10">
        <v>1.625</v>
      </c>
      <c r="B179" s="11">
        <v>15.75</v>
      </c>
      <c r="C179" s="10">
        <v>-3.1769263999999998E-2</v>
      </c>
      <c r="D179" s="10">
        <v>-1.0666713E-2</v>
      </c>
      <c r="E179" s="10">
        <v>0.96825024999999998</v>
      </c>
      <c r="F179" s="10">
        <v>-1.2546462E-2</v>
      </c>
      <c r="G179">
        <f t="shared" si="24"/>
        <v>13.388435259741099</v>
      </c>
      <c r="H179">
        <f t="shared" si="25"/>
        <v>-5.0750937713788504</v>
      </c>
      <c r="I179">
        <f t="shared" si="26"/>
        <v>13.388445899983401</v>
      </c>
      <c r="J179">
        <f t="shared" si="27"/>
        <v>-5.0760336267081803</v>
      </c>
      <c r="K179" s="7">
        <f t="shared" si="28"/>
        <v>-1.06402423014629E-5</v>
      </c>
      <c r="L179" s="7">
        <f t="shared" si="29"/>
        <v>9.3985532932983095E-4</v>
      </c>
      <c r="M179" s="7">
        <f t="shared" si="30"/>
        <v>6.5304203829952404E-2</v>
      </c>
      <c r="N179" s="7">
        <f t="shared" si="31"/>
        <v>2.4759134636131001E-2</v>
      </c>
      <c r="O179" s="10">
        <v>1.1334071999999999</v>
      </c>
      <c r="P179" s="10">
        <v>-2.3705498</v>
      </c>
      <c r="Q179" s="10">
        <v>-0.25584985999999998</v>
      </c>
      <c r="R179" s="10">
        <v>-7.8348222999999999</v>
      </c>
      <c r="S179">
        <f t="shared" si="32"/>
        <v>2.9833656072825527</v>
      </c>
      <c r="T179">
        <f t="shared" si="33"/>
        <v>-27.423751052743373</v>
      </c>
      <c r="U179" s="10"/>
      <c r="V179" s="10"/>
    </row>
    <row r="180" spans="1:22" x14ac:dyDescent="0.35">
      <c r="A180" s="12">
        <v>1.625</v>
      </c>
      <c r="B180" s="13">
        <v>15.8125</v>
      </c>
      <c r="C180" s="12">
        <v>-3.3543659000000003E-2</v>
      </c>
      <c r="D180" s="12">
        <v>-9.0670214999999995E-3</v>
      </c>
      <c r="E180" s="12">
        <v>0.96647779</v>
      </c>
      <c r="F180" s="12">
        <v>-1.0933955E-2</v>
      </c>
      <c r="G180">
        <f t="shared" si="24"/>
        <v>13.1928588786439</v>
      </c>
      <c r="H180">
        <f t="shared" si="25"/>
        <v>-4.0831404634697597</v>
      </c>
      <c r="I180">
        <f t="shared" si="26"/>
        <v>13.1928704743603</v>
      </c>
      <c r="J180">
        <f t="shared" si="27"/>
        <v>-4.0840739093848102</v>
      </c>
      <c r="K180" s="7">
        <f t="shared" si="28"/>
        <v>-1.15957163995262E-5</v>
      </c>
      <c r="L180" s="7">
        <f t="shared" si="29"/>
        <v>9.3344591505051299E-4</v>
      </c>
      <c r="M180" s="7">
        <f t="shared" si="30"/>
        <v>6.9169859689623706E-2</v>
      </c>
      <c r="N180" s="7">
        <f t="shared" si="31"/>
        <v>2.1412687998659301E-2</v>
      </c>
      <c r="O180" s="12">
        <v>1.0106466000000001</v>
      </c>
      <c r="P180" s="12">
        <v>-2.4968379999999999</v>
      </c>
      <c r="Q180" s="12">
        <v>-0.75690285000000002</v>
      </c>
      <c r="R180" s="12">
        <v>-8.0143073999999999</v>
      </c>
      <c r="S180">
        <f t="shared" si="32"/>
        <v>2.9885286713350916</v>
      </c>
      <c r="T180">
        <f t="shared" si="33"/>
        <v>-27.431891212633637</v>
      </c>
      <c r="U180" s="12"/>
      <c r="V180" s="12"/>
    </row>
    <row r="181" spans="1:22" x14ac:dyDescent="0.35">
      <c r="A181" s="10">
        <v>1.625</v>
      </c>
      <c r="B181" s="11">
        <v>15.875</v>
      </c>
      <c r="C181" s="10">
        <v>-3.5157658000000001E-2</v>
      </c>
      <c r="D181" s="10">
        <v>-7.1986741999999996E-3</v>
      </c>
      <c r="E181" s="10">
        <v>0.96486654999999999</v>
      </c>
      <c r="F181" s="10">
        <v>-9.0544188000000001E-3</v>
      </c>
      <c r="G181">
        <f t="shared" si="24"/>
        <v>13.004521642836201</v>
      </c>
      <c r="H181">
        <f t="shared" si="25"/>
        <v>-3.12212665322892</v>
      </c>
      <c r="I181">
        <f t="shared" si="26"/>
        <v>13.0045346076047</v>
      </c>
      <c r="J181">
        <f t="shared" si="27"/>
        <v>-3.1230545022685798</v>
      </c>
      <c r="K181" s="7">
        <f t="shared" si="28"/>
        <v>-1.2964768499657E-5</v>
      </c>
      <c r="L181" s="7">
        <f t="shared" si="29"/>
        <v>9.2784903965981201E-4</v>
      </c>
      <c r="M181" s="7">
        <f t="shared" si="30"/>
        <v>7.2703268103804494E-2</v>
      </c>
      <c r="N181" s="7">
        <f t="shared" si="31"/>
        <v>1.7459776580428299E-2</v>
      </c>
      <c r="O181" s="10">
        <v>0.86830465999999995</v>
      </c>
      <c r="P181" s="10">
        <v>-2.6097659000000002</v>
      </c>
      <c r="Q181" s="10">
        <v>-1.2938033</v>
      </c>
      <c r="R181" s="10">
        <v>-8.1339559000000001</v>
      </c>
      <c r="S181">
        <f t="shared" si="32"/>
        <v>2.9945242094402462</v>
      </c>
      <c r="T181">
        <f t="shared" si="33"/>
        <v>-27.440853982998519</v>
      </c>
      <c r="U181" s="10"/>
      <c r="V181" s="10"/>
    </row>
    <row r="182" spans="1:22" x14ac:dyDescent="0.35">
      <c r="A182" s="12">
        <v>1.625</v>
      </c>
      <c r="B182" s="13">
        <v>15.9375</v>
      </c>
      <c r="C182" s="12">
        <v>-3.6554061999999998E-2</v>
      </c>
      <c r="D182" s="12">
        <v>-5.0865184000000001E-3</v>
      </c>
      <c r="E182" s="12">
        <v>0.96347355000000001</v>
      </c>
      <c r="F182" s="12">
        <v>-6.9338120000000001E-3</v>
      </c>
      <c r="G182">
        <f t="shared" si="24"/>
        <v>12.8230896368228</v>
      </c>
      <c r="H182">
        <f t="shared" si="25"/>
        <v>-2.1909298905291199</v>
      </c>
      <c r="I182">
        <f t="shared" si="26"/>
        <v>12.823104295719499</v>
      </c>
      <c r="J182">
        <f t="shared" si="27"/>
        <v>-2.1918535110379702</v>
      </c>
      <c r="K182" s="7">
        <f t="shared" si="28"/>
        <v>-1.4658896699160101E-5</v>
      </c>
      <c r="L182" s="7">
        <f t="shared" si="29"/>
        <v>9.23620508850309E-4</v>
      </c>
      <c r="M182" s="7">
        <f t="shared" si="30"/>
        <v>7.5770446018910198E-2</v>
      </c>
      <c r="N182" s="7">
        <f t="shared" si="31"/>
        <v>1.2951444073873801E-2</v>
      </c>
      <c r="O182" s="12">
        <v>0.70855831999999996</v>
      </c>
      <c r="P182" s="12">
        <v>-2.7052955999999999</v>
      </c>
      <c r="Q182" s="12">
        <v>-1.8556630999999999</v>
      </c>
      <c r="R182" s="12">
        <v>-8.1851652000000001</v>
      </c>
      <c r="S182">
        <f t="shared" si="32"/>
        <v>3.0011570145289768</v>
      </c>
      <c r="T182">
        <f t="shared" si="33"/>
        <v>-27.450591034977148</v>
      </c>
      <c r="U182" s="12"/>
      <c r="V182" s="12"/>
    </row>
    <row r="183" spans="1:22" x14ac:dyDescent="0.35">
      <c r="A183" s="10">
        <v>1.625</v>
      </c>
      <c r="B183" s="11">
        <v>16</v>
      </c>
      <c r="C183" s="10">
        <v>-3.7681345999999998E-2</v>
      </c>
      <c r="D183" s="10">
        <v>-2.7711081E-3</v>
      </c>
      <c r="E183" s="10">
        <v>0.96235006000000001</v>
      </c>
      <c r="F183" s="10">
        <v>-4.6145125999999996E-3</v>
      </c>
      <c r="G183">
        <f t="shared" si="24"/>
        <v>12.648304434314101</v>
      </c>
      <c r="H183">
        <f t="shared" si="25"/>
        <v>-1.28862442539684</v>
      </c>
      <c r="I183">
        <f t="shared" si="26"/>
        <v>12.648320986561799</v>
      </c>
      <c r="J183">
        <f t="shared" si="27"/>
        <v>-1.2895460979175699</v>
      </c>
      <c r="K183" s="7">
        <f t="shared" si="28"/>
        <v>-1.6552247698697901E-5</v>
      </c>
      <c r="L183" s="7">
        <f t="shared" si="29"/>
        <v>9.2167252072994398E-4</v>
      </c>
      <c r="M183" s="7">
        <f t="shared" si="30"/>
        <v>7.8248514755835899E-2</v>
      </c>
      <c r="N183" s="7">
        <f t="shared" si="31"/>
        <v>7.9777440008392993E-3</v>
      </c>
      <c r="O183" s="10">
        <v>0.53483197999999998</v>
      </c>
      <c r="P183" s="10">
        <v>-2.7810220999999999</v>
      </c>
      <c r="Q183" s="10">
        <v>-2.4290930999999998</v>
      </c>
      <c r="R183" s="10">
        <v>-8.1620296000000003</v>
      </c>
      <c r="S183">
        <f t="shared" si="32"/>
        <v>3.0070169916328173</v>
      </c>
      <c r="T183">
        <f t="shared" si="33"/>
        <v>-27.459401700866312</v>
      </c>
      <c r="U183" s="10"/>
      <c r="V183" s="10"/>
    </row>
    <row r="184" spans="1:22" x14ac:dyDescent="0.35">
      <c r="A184" s="12">
        <v>1.625</v>
      </c>
      <c r="B184" s="13">
        <v>16.0625</v>
      </c>
      <c r="C184" s="12">
        <v>-3.8498915000000002E-2</v>
      </c>
      <c r="D184" s="12">
        <v>-3.0677800000000001E-4</v>
      </c>
      <c r="E184" s="12">
        <v>0.96153630000000001</v>
      </c>
      <c r="F184" s="12">
        <v>-2.1541676E-3</v>
      </c>
      <c r="G184">
        <f t="shared" si="24"/>
        <v>12.480040744642</v>
      </c>
      <c r="H184">
        <f t="shared" si="25"/>
        <v>-0.41458639589736701</v>
      </c>
      <c r="I184">
        <f t="shared" si="26"/>
        <v>12.4800592049982</v>
      </c>
      <c r="J184">
        <f t="shared" si="27"/>
        <v>-0.41551005738226099</v>
      </c>
      <c r="K184" s="7">
        <f t="shared" si="28"/>
        <v>-1.8460356200122901E-5</v>
      </c>
      <c r="L184" s="7">
        <f t="shared" si="29"/>
        <v>9.2366148489397804E-4</v>
      </c>
      <c r="M184" s="7">
        <f t="shared" si="30"/>
        <v>8.0039102864036302E-2</v>
      </c>
      <c r="N184" s="7">
        <f t="shared" si="31"/>
        <v>2.66481526069533E-3</v>
      </c>
      <c r="O184" s="12">
        <v>0.35106752000000002</v>
      </c>
      <c r="P184" s="12">
        <v>-2.8334861</v>
      </c>
      <c r="Q184" s="12">
        <v>-2.9991967000000002</v>
      </c>
      <c r="R184" s="12">
        <v>-8.0622342000000007</v>
      </c>
      <c r="S184">
        <f t="shared" si="32"/>
        <v>3.0128075996579184</v>
      </c>
      <c r="T184">
        <f t="shared" si="33"/>
        <v>-27.468409769357624</v>
      </c>
      <c r="U184" s="12"/>
      <c r="V184" s="12"/>
    </row>
    <row r="185" spans="1:22" x14ac:dyDescent="0.35">
      <c r="A185" s="10">
        <v>1.625</v>
      </c>
      <c r="B185" s="11">
        <v>16.125</v>
      </c>
      <c r="C185" s="10">
        <v>-3.8981450000000001E-2</v>
      </c>
      <c r="D185" s="10">
        <v>2.2423157000000002E-3</v>
      </c>
      <c r="E185" s="10">
        <v>0.96105739000000001</v>
      </c>
      <c r="F185" s="10">
        <v>3.7680933999999997E-4</v>
      </c>
      <c r="G185">
        <f t="shared" si="24"/>
        <v>12.318515464754499</v>
      </c>
      <c r="H185">
        <f t="shared" si="25"/>
        <v>0.43131302339933802</v>
      </c>
      <c r="I185">
        <f t="shared" si="26"/>
        <v>12.3185357543544</v>
      </c>
      <c r="J185">
        <f t="shared" si="27"/>
        <v>0.43038030725787402</v>
      </c>
      <c r="K185" s="7">
        <f t="shared" si="28"/>
        <v>-2.0289599900635801E-5</v>
      </c>
      <c r="L185" s="7">
        <f t="shared" si="29"/>
        <v>9.3271614146400695E-4</v>
      </c>
      <c r="M185" s="7">
        <f t="shared" si="30"/>
        <v>8.1079510653136094E-2</v>
      </c>
      <c r="N185" s="7">
        <f t="shared" si="31"/>
        <v>-2.8327250416008199E-3</v>
      </c>
      <c r="O185" s="10">
        <v>0.16204223000000001</v>
      </c>
      <c r="P185" s="10">
        <v>-2.8613974</v>
      </c>
      <c r="Q185" s="10">
        <v>-3.5507423999999999</v>
      </c>
      <c r="R185" s="10">
        <v>-7.8874738000000004</v>
      </c>
      <c r="S185">
        <f t="shared" si="32"/>
        <v>3.0181125916481717</v>
      </c>
      <c r="T185">
        <f t="shared" si="33"/>
        <v>-27.477300292905532</v>
      </c>
      <c r="U185" s="10"/>
      <c r="V185" s="10"/>
    </row>
    <row r="186" spans="1:22" x14ac:dyDescent="0.35">
      <c r="A186" s="12">
        <v>1.625</v>
      </c>
      <c r="B186" s="13">
        <v>16.1875</v>
      </c>
      <c r="C186" s="12">
        <v>-3.9121472999999997E-2</v>
      </c>
      <c r="D186" s="12">
        <v>4.8076437000000001E-3</v>
      </c>
      <c r="E186" s="12">
        <v>0.96092235000000004</v>
      </c>
      <c r="F186" s="12">
        <v>2.899039E-3</v>
      </c>
      <c r="G186">
        <f t="shared" si="24"/>
        <v>12.164848292865299</v>
      </c>
      <c r="H186">
        <f t="shared" si="25"/>
        <v>1.2486248255074199</v>
      </c>
      <c r="I186">
        <f t="shared" si="26"/>
        <v>12.164871114517499</v>
      </c>
      <c r="J186">
        <f t="shared" si="27"/>
        <v>1.2476705658454399</v>
      </c>
      <c r="K186" s="7">
        <f t="shared" si="28"/>
        <v>-2.28216522000224E-5</v>
      </c>
      <c r="L186" s="7">
        <f t="shared" si="29"/>
        <v>9.5425966198003898E-4</v>
      </c>
      <c r="M186" s="7">
        <f t="shared" si="30"/>
        <v>8.1348190377607502E-2</v>
      </c>
      <c r="N186" s="7">
        <f t="shared" si="31"/>
        <v>-8.3433471479864192E-3</v>
      </c>
      <c r="O186" s="12">
        <v>-2.7283485999999999E-2</v>
      </c>
      <c r="P186" s="12">
        <v>-2.8636050000000002</v>
      </c>
      <c r="Q186" s="12">
        <v>-4.0697197000000003</v>
      </c>
      <c r="R186" s="12">
        <v>-7.6433898999999998</v>
      </c>
      <c r="S186">
        <f t="shared" si="32"/>
        <v>3.0237895298344792</v>
      </c>
      <c r="T186">
        <f t="shared" si="33"/>
        <v>-27.487171437301516</v>
      </c>
      <c r="U186" s="12"/>
      <c r="V186" s="12"/>
    </row>
    <row r="187" spans="1:22" x14ac:dyDescent="0.35">
      <c r="A187" s="10">
        <v>1.625</v>
      </c>
      <c r="B187" s="11">
        <v>16.25</v>
      </c>
      <c r="C187" s="10">
        <v>-3.8929621999999997E-2</v>
      </c>
      <c r="D187" s="10">
        <v>7.3222994999999997E-3</v>
      </c>
      <c r="E187" s="10">
        <v>0.96113079999999995</v>
      </c>
      <c r="F187" s="10">
        <v>5.3352240000000004E-3</v>
      </c>
      <c r="G187">
        <f t="shared" si="24"/>
        <v>12.022188622196399</v>
      </c>
      <c r="H187">
        <f t="shared" si="25"/>
        <v>2.0378038610408802</v>
      </c>
      <c r="I187">
        <f t="shared" si="26"/>
        <v>12.0222198193106</v>
      </c>
      <c r="J187">
        <f t="shared" si="27"/>
        <v>2.03681038430032</v>
      </c>
      <c r="K187" s="7">
        <f t="shared" si="28"/>
        <v>-3.1197114200409701E-5</v>
      </c>
      <c r="L187" s="7">
        <f t="shared" si="29"/>
        <v>9.934767405601621E-4</v>
      </c>
      <c r="M187" s="7">
        <f t="shared" si="30"/>
        <v>8.0858410777113796E-2</v>
      </c>
      <c r="N187" s="7">
        <f t="shared" si="31"/>
        <v>-1.3699071652666799E-2</v>
      </c>
      <c r="O187" s="10">
        <v>-0.21209738</v>
      </c>
      <c r="P187" s="10">
        <v>-2.8414299000000001</v>
      </c>
      <c r="Q187" s="10">
        <v>-4.5445982999999996</v>
      </c>
      <c r="R187" s="10">
        <v>-7.3392489999999997</v>
      </c>
      <c r="S187">
        <f t="shared" si="32"/>
        <v>3.0296116068938885</v>
      </c>
      <c r="T187">
        <f t="shared" si="33"/>
        <v>-27.497651794836507</v>
      </c>
      <c r="U187" s="10"/>
      <c r="V187" s="10"/>
    </row>
    <row r="188" spans="1:22" x14ac:dyDescent="0.35">
      <c r="A188" s="12">
        <v>1.625</v>
      </c>
      <c r="B188" s="13">
        <v>16.3125</v>
      </c>
      <c r="C188" s="12">
        <v>-3.8432555E-2</v>
      </c>
      <c r="D188" s="12">
        <v>9.7266083999999996E-3</v>
      </c>
      <c r="E188" s="12">
        <v>0.96168405000000001</v>
      </c>
      <c r="F188" s="12">
        <v>7.6492686999999997E-3</v>
      </c>
      <c r="G188">
        <f t="shared" si="24"/>
        <v>11.8942460391689</v>
      </c>
      <c r="H188">
        <f t="shared" si="25"/>
        <v>2.8065858127505399</v>
      </c>
      <c r="I188">
        <f t="shared" si="26"/>
        <v>11.894305416915101</v>
      </c>
      <c r="J188">
        <f t="shared" si="27"/>
        <v>2.8055472651243298</v>
      </c>
      <c r="K188" s="7">
        <f t="shared" si="28"/>
        <v>-5.9377746200794898E-5</v>
      </c>
      <c r="L188" s="7">
        <f t="shared" si="29"/>
        <v>1.0385476262100299E-3</v>
      </c>
      <c r="M188" s="7">
        <f t="shared" si="30"/>
        <v>7.9642826244353301E-2</v>
      </c>
      <c r="N188" s="7">
        <f t="shared" si="31"/>
        <v>-1.8785604163052499E-2</v>
      </c>
      <c r="O188" s="12">
        <v>-0.38818501999999999</v>
      </c>
      <c r="P188" s="12">
        <v>-2.7976405</v>
      </c>
      <c r="Q188" s="12">
        <v>-4.9671624999999997</v>
      </c>
      <c r="R188" s="12">
        <v>-6.9876870000000002</v>
      </c>
      <c r="S188">
        <f t="shared" si="32"/>
        <v>3.03537396859232</v>
      </c>
      <c r="T188">
        <f t="shared" si="33"/>
        <v>-27.507323801917078</v>
      </c>
      <c r="U188" s="12"/>
      <c r="V188" s="12"/>
    </row>
    <row r="189" spans="1:22" x14ac:dyDescent="0.35">
      <c r="A189">
        <v>1.625</v>
      </c>
      <c r="B189">
        <v>16.375</v>
      </c>
      <c r="C189">
        <v>-3.7669609999999999E-2</v>
      </c>
      <c r="D189">
        <v>1.1975560999999999E-2</v>
      </c>
      <c r="E189">
        <v>0.96232941000000005</v>
      </c>
      <c r="F189">
        <v>9.8922460000000004E-3</v>
      </c>
      <c r="G189">
        <f t="shared" si="24"/>
        <v>11.7417864329895</v>
      </c>
      <c r="H189">
        <f t="shared" si="25"/>
        <v>3.5537504399526698</v>
      </c>
      <c r="I189">
        <f t="shared" si="26"/>
        <v>11.741787028039999</v>
      </c>
      <c r="J189">
        <f t="shared" si="27"/>
        <v>3.5527087825620902</v>
      </c>
      <c r="K189" s="7">
        <f t="shared" si="28"/>
        <v>-5.9505049954111697E-7</v>
      </c>
      <c r="L189" s="7">
        <f t="shared" si="29"/>
        <v>1.0416573905796E-3</v>
      </c>
      <c r="M189" s="7">
        <f t="shared" si="30"/>
        <v>7.8023027564747105E-2</v>
      </c>
      <c r="N189" s="7">
        <f t="shared" si="31"/>
        <v>-2.3607402741116799E-2</v>
      </c>
      <c r="O189">
        <v>-0.5512087</v>
      </c>
      <c r="P189">
        <v>-2.7354851999999998</v>
      </c>
      <c r="Q189">
        <v>-5.3295439</v>
      </c>
      <c r="R189">
        <v>-6.6035928999999998</v>
      </c>
      <c r="S189">
        <f t="shared" si="32"/>
        <v>3.0410520359799675</v>
      </c>
      <c r="T189">
        <f t="shared" si="33"/>
        <v>-27.513148432632299</v>
      </c>
    </row>
    <row r="190" spans="1:22" x14ac:dyDescent="0.35">
      <c r="A190">
        <v>1.625</v>
      </c>
      <c r="B190">
        <v>16.4375</v>
      </c>
      <c r="C190">
        <v>-3.6684913E-2</v>
      </c>
      <c r="D190">
        <v>1.4027754999999999E-2</v>
      </c>
      <c r="E190">
        <v>0.96337583000000004</v>
      </c>
      <c r="F190">
        <v>1.1956557E-2</v>
      </c>
      <c r="G190">
        <f t="shared" si="24"/>
        <v>11.6183776448804</v>
      </c>
      <c r="H190">
        <f t="shared" si="25"/>
        <v>4.2958670105064698</v>
      </c>
      <c r="I190">
        <f t="shared" si="26"/>
        <v>11.6184090878244</v>
      </c>
      <c r="J190">
        <f t="shared" si="27"/>
        <v>4.2948314755194898</v>
      </c>
      <c r="K190" s="7">
        <f t="shared" si="28"/>
        <v>-3.1442943999593401E-5</v>
      </c>
      <c r="L190" s="7">
        <f t="shared" si="29"/>
        <v>1.0355349869799501E-3</v>
      </c>
      <c r="M190" s="7">
        <f t="shared" si="30"/>
        <v>7.5723009701492594E-2</v>
      </c>
      <c r="N190" s="7">
        <f t="shared" si="31"/>
        <v>-2.79915746664363E-2</v>
      </c>
      <c r="O190">
        <v>-0.69951567000000003</v>
      </c>
      <c r="P190">
        <v>-2.6579302</v>
      </c>
      <c r="Q190">
        <v>-5.6309005000000001</v>
      </c>
      <c r="R190">
        <v>-6.1962864</v>
      </c>
      <c r="S190">
        <f t="shared" si="32"/>
        <v>3.0463238713071941</v>
      </c>
      <c r="T190">
        <f t="shared" si="33"/>
        <v>-27.518341044976978</v>
      </c>
    </row>
    <row r="191" spans="1:22" x14ac:dyDescent="0.35">
      <c r="A191">
        <v>1.625</v>
      </c>
      <c r="B191">
        <v>16.5</v>
      </c>
      <c r="C191">
        <v>-3.5528038999999997E-2</v>
      </c>
      <c r="D191">
        <v>1.5865689999999998E-2</v>
      </c>
      <c r="E191">
        <v>0.96455891999999999</v>
      </c>
      <c r="F191">
        <v>1.3845097000000001E-2</v>
      </c>
      <c r="G191">
        <f t="shared" si="24"/>
        <v>11.489327658500001</v>
      </c>
      <c r="H191">
        <f t="shared" si="25"/>
        <v>5.0197730106414804</v>
      </c>
      <c r="I191">
        <f t="shared" si="26"/>
        <v>11.489372156674399</v>
      </c>
      <c r="J191">
        <f t="shared" si="27"/>
        <v>5.01876280302114</v>
      </c>
      <c r="K191" s="7">
        <f t="shared" si="28"/>
        <v>-4.44981743985551E-5</v>
      </c>
      <c r="L191" s="7">
        <f t="shared" si="29"/>
        <v>1.01020762034043E-3</v>
      </c>
      <c r="M191" s="7">
        <f t="shared" si="30"/>
        <v>7.3090560366942295E-2</v>
      </c>
      <c r="N191" s="7">
        <f t="shared" si="31"/>
        <v>-3.1927261178365203E-2</v>
      </c>
      <c r="O191">
        <v>-0.83115092000000002</v>
      </c>
      <c r="P191">
        <v>-2.5676108000000002</v>
      </c>
      <c r="Q191">
        <v>-5.8710110000000002</v>
      </c>
      <c r="R191">
        <v>-5.7772544000000003</v>
      </c>
      <c r="S191">
        <f t="shared" si="32"/>
        <v>3.0520534911394934</v>
      </c>
      <c r="T191">
        <f t="shared" si="33"/>
        <v>-27.524086048172013</v>
      </c>
    </row>
    <row r="192" spans="1:22" x14ac:dyDescent="0.35">
      <c r="A192">
        <v>1.625</v>
      </c>
      <c r="B192">
        <v>16.5625</v>
      </c>
      <c r="C192">
        <v>-3.4247287000000001E-2</v>
      </c>
      <c r="D192">
        <v>1.7480401999999999E-2</v>
      </c>
      <c r="E192">
        <v>0.96584678000000002</v>
      </c>
      <c r="F192">
        <v>1.5507137000000001E-2</v>
      </c>
      <c r="G192">
        <f t="shared" si="24"/>
        <v>11.3610467716172</v>
      </c>
      <c r="H192">
        <f t="shared" si="25"/>
        <v>5.7207364648792298</v>
      </c>
      <c r="I192">
        <f t="shared" si="26"/>
        <v>11.361094776210599</v>
      </c>
      <c r="J192">
        <f t="shared" si="27"/>
        <v>5.7197499261424998</v>
      </c>
      <c r="K192" s="7">
        <f t="shared" si="28"/>
        <v>-4.8004593399042499E-5</v>
      </c>
      <c r="L192" s="7">
        <f t="shared" si="29"/>
        <v>9.8653873673004711E-4</v>
      </c>
      <c r="M192" s="7">
        <f t="shared" si="30"/>
        <v>7.0221236244251001E-2</v>
      </c>
      <c r="N192" s="7">
        <f t="shared" si="31"/>
        <v>-3.5352923176269403E-2</v>
      </c>
      <c r="O192">
        <v>-0.94606087000000005</v>
      </c>
      <c r="P192">
        <v>-2.4688561</v>
      </c>
      <c r="Q192">
        <v>-6.0538122000000003</v>
      </c>
      <c r="R192">
        <v>-5.3564965999999998</v>
      </c>
      <c r="S192">
        <f t="shared" si="32"/>
        <v>3.0573457039524725</v>
      </c>
      <c r="T192">
        <f t="shared" si="33"/>
        <v>-27.530418988295835</v>
      </c>
    </row>
    <row r="193" spans="1:20" x14ac:dyDescent="0.35">
      <c r="A193">
        <v>1.625</v>
      </c>
      <c r="B193">
        <v>16.625</v>
      </c>
      <c r="C193">
        <v>-3.2886786000000001E-2</v>
      </c>
      <c r="D193">
        <v>1.8873504999999999E-2</v>
      </c>
      <c r="E193">
        <v>0.96720899999999999</v>
      </c>
      <c r="F193">
        <v>1.6936623000000001E-2</v>
      </c>
      <c r="G193">
        <f t="shared" si="24"/>
        <v>11.236667379007001</v>
      </c>
      <c r="H193">
        <f t="shared" si="25"/>
        <v>6.3997929964739804</v>
      </c>
      <c r="I193">
        <f t="shared" si="26"/>
        <v>11.2367162074557</v>
      </c>
      <c r="J193">
        <f t="shared" si="27"/>
        <v>6.3988246491385103</v>
      </c>
      <c r="K193" s="7">
        <f t="shared" si="28"/>
        <v>-4.8828448699467197E-5</v>
      </c>
      <c r="L193" s="7">
        <f t="shared" si="29"/>
        <v>9.6834733547002095E-4</v>
      </c>
      <c r="M193" s="7">
        <f t="shared" si="30"/>
        <v>6.7201724435444796E-2</v>
      </c>
      <c r="N193" s="7">
        <f t="shared" si="31"/>
        <v>-3.8268480118490399E-2</v>
      </c>
      <c r="O193">
        <v>-1.0446896999999999</v>
      </c>
      <c r="P193">
        <v>-2.3651434</v>
      </c>
      <c r="Q193">
        <v>-6.1846338000000003</v>
      </c>
      <c r="R193">
        <v>-4.9428682000000004</v>
      </c>
      <c r="S193">
        <f t="shared" si="32"/>
        <v>3.0620366408142488</v>
      </c>
      <c r="T193">
        <f t="shared" si="33"/>
        <v>-27.536369997872857</v>
      </c>
    </row>
    <row r="194" spans="1:20" x14ac:dyDescent="0.35">
      <c r="A194">
        <v>1.625</v>
      </c>
      <c r="B194">
        <v>16.6875</v>
      </c>
      <c r="C194">
        <v>-3.1484792999999997E-2</v>
      </c>
      <c r="D194">
        <v>2.0054604E-2</v>
      </c>
      <c r="E194">
        <v>0.96861200000000003</v>
      </c>
      <c r="F194">
        <v>1.8145622E-2</v>
      </c>
      <c r="G194">
        <f t="shared" si="24"/>
        <v>11.116742280116</v>
      </c>
      <c r="H194">
        <f t="shared" si="25"/>
        <v>7.0585877271715001</v>
      </c>
      <c r="I194">
        <f t="shared" si="26"/>
        <v>11.1167915851939</v>
      </c>
      <c r="J194">
        <f t="shared" si="27"/>
        <v>7.0576333294222602</v>
      </c>
      <c r="K194" s="7">
        <f t="shared" si="28"/>
        <v>-4.9305077899575201E-5</v>
      </c>
      <c r="L194" s="7">
        <f t="shared" si="29"/>
        <v>9.5439774923988796E-4</v>
      </c>
      <c r="M194" s="7">
        <f t="shared" si="30"/>
        <v>6.4113176325075197E-2</v>
      </c>
      <c r="N194" s="7">
        <f t="shared" si="31"/>
        <v>-4.070304697352E-2</v>
      </c>
      <c r="O194">
        <v>-1.1272947</v>
      </c>
      <c r="P194">
        <v>-2.2582344999999999</v>
      </c>
      <c r="Q194">
        <v>-6.2695487999999999</v>
      </c>
      <c r="R194">
        <v>-4.5431040999999999</v>
      </c>
      <c r="S194">
        <f t="shared" si="32"/>
        <v>3.0676086295361089</v>
      </c>
      <c r="T194">
        <f t="shared" si="33"/>
        <v>-27.543734497802934</v>
      </c>
    </row>
    <row r="195" spans="1:20" x14ac:dyDescent="0.35">
      <c r="A195">
        <v>1.625</v>
      </c>
      <c r="B195">
        <v>16.75</v>
      </c>
      <c r="C195">
        <v>-3.0072977000000001E-2</v>
      </c>
      <c r="D195">
        <v>2.1038715999999999E-2</v>
      </c>
      <c r="E195">
        <v>0.97002518999999998</v>
      </c>
      <c r="F195">
        <v>1.9152389999999998E-2</v>
      </c>
      <c r="G195">
        <f t="shared" ref="G195:G258" si="34">IMREAL(IMDIV(IMSUM(IMPRODUCT(COMPLEX(1 + C195,D195),COMPLEX(1 - C195, - D195)),IMPRODUCT(COMPLEX(E195,F195),COMPLEX(E195,F195))),IMSUB(IMPRODUCT(COMPLEX(1 - C195, - D195),COMPLEX(1 - C195, - D195)),IMPRODUCT(COMPLEX(E195,F195),COMPLEX(E195,F195)))))</f>
        <v>11.001043219187499</v>
      </c>
      <c r="H195">
        <f t="shared" ref="H195:H258" si="35">IMAGINARY(IMDIV(IMSUM(IMPRODUCT(COMPLEX(1 + C195,D195),COMPLEX(1 - C195, - D195)),IMPRODUCT(COMPLEX(E195,F195),COMPLEX(E195,F195))),IMSUB(IMPRODUCT(COMPLEX(1 - C195, - D195),COMPLEX(1 - C195, - D195)),IMPRODUCT(COMPLEX(E195,F195),COMPLEX(E195,F195)))))</f>
        <v>7.6983514136624596</v>
      </c>
      <c r="I195">
        <f t="shared" ref="I195:I258" si="36">IMREAL(IMDIV(IMPRODUCT(COMPLEX(2,0),COMPLEX(E195,F195)),IMSUB(IMPRODUCT(COMPLEX(1 - C195, - D195),COMPLEX(1 - C195, - D195)),IMPRODUCT(COMPLEX(E195,F195),COMPLEX(E195,F195)))))</f>
        <v>11.0010931897031</v>
      </c>
      <c r="J195">
        <f t="shared" ref="J195:J258" si="37">IMAGINARY(IMDIV(IMPRODUCT(COMPLEX(2,0),COMPLEX(E195,F195)),IMSUB(IMPRODUCT(COMPLEX(1 - C195, - D195),COMPLEX(1 - C195, - D195)),IMPRODUCT(COMPLEX(E195,F195),COMPLEX(E195,F195)))))</f>
        <v>7.6974083440819498</v>
      </c>
      <c r="K195" s="7">
        <f t="shared" ref="K195:K258" si="38">IMREAL(IMSUB(COMPLEX(G195,H195),COMPLEX(I195,J195)))</f>
        <v>-4.9970515600961101E-5</v>
      </c>
      <c r="L195" s="7">
        <f t="shared" ref="L195:L258" si="39">IMAGINARY(IMSUB(COMPLEX(G195,H195),COMPLEX(I195,J195)))</f>
        <v>9.4306958050971402E-4</v>
      </c>
      <c r="M195" s="7">
        <f t="shared" ref="M195:M258" si="40">IMREAL(IMDIV(IMSUB(IMPRODUCT(COMPLEX(1 - C195, - D195),COMPLEX(1 - C195, - D195)),IMPRODUCT(COMPLEX(E195,F195),COMPLEX(E195,F195))),IMPRODUCT(COMPLEX(2,0),COMPLEX(E195,F195))))</f>
        <v>6.1024242234160503E-2</v>
      </c>
      <c r="N195" s="7">
        <f t="shared" ref="N195:N258" si="41">IMAGINARY(IMDIV(IMSUB(IMPRODUCT(COMPLEX(1 - C195, - D195),COMPLEX(1 - C195, - D195)),IMPRODUCT(COMPLEX(E195,F195),COMPLEX(E195,F195))),IMPRODUCT(COMPLEX(2,0),COMPLEX(E195,F195))))</f>
        <v>-4.2698348542685498E-2</v>
      </c>
      <c r="O195">
        <v>-1.1956918999999999</v>
      </c>
      <c r="P195">
        <v>-2.1516358000000002</v>
      </c>
      <c r="Q195">
        <v>-6.3147913999999998</v>
      </c>
      <c r="R195">
        <v>-4.1619846999999996</v>
      </c>
      <c r="S195">
        <f t="shared" ref="S195:S258" si="42">IMABS(COMPLEX(Q195,R195))/IMABS(COMPLEX(O195,P195))</f>
        <v>3.0724505245213081</v>
      </c>
      <c r="T195">
        <f t="shared" ref="T195:T258" si="43">IMARGUMENT(IMDIV(COMPLEX(Q195,R195),COMPLEX(O195/B195,P195/B195)))/PI()*180</f>
        <v>-27.55022463005016</v>
      </c>
    </row>
    <row r="196" spans="1:20" x14ac:dyDescent="0.35">
      <c r="A196">
        <v>1.625</v>
      </c>
      <c r="B196">
        <v>16.8125</v>
      </c>
      <c r="C196">
        <v>-2.8676422E-2</v>
      </c>
      <c r="D196">
        <v>2.1844026999999999E-2</v>
      </c>
      <c r="E196">
        <v>0.97142351999999998</v>
      </c>
      <c r="F196">
        <v>1.9977462000000001E-2</v>
      </c>
      <c r="G196">
        <f t="shared" si="34"/>
        <v>10.889208625975</v>
      </c>
      <c r="H196">
        <f t="shared" si="35"/>
        <v>8.3199527638255404</v>
      </c>
      <c r="I196">
        <f t="shared" si="36"/>
        <v>10.889259465362899</v>
      </c>
      <c r="J196">
        <f t="shared" si="37"/>
        <v>8.3190195754054201</v>
      </c>
      <c r="K196" s="7">
        <f t="shared" si="38"/>
        <v>-5.0839387899514998E-5</v>
      </c>
      <c r="L196" s="7">
        <f t="shared" si="39"/>
        <v>9.3318842012024604E-4</v>
      </c>
      <c r="M196" s="7">
        <f t="shared" si="40"/>
        <v>5.7988817239232E-2</v>
      </c>
      <c r="N196" s="7">
        <f t="shared" si="41"/>
        <v>-4.4301461206085802E-2</v>
      </c>
      <c r="O196">
        <v>-1.2508971</v>
      </c>
      <c r="P196">
        <v>-2.0464574</v>
      </c>
      <c r="Q196">
        <v>-6.3266195999999999</v>
      </c>
      <c r="R196">
        <v>-3.8026067000000001</v>
      </c>
      <c r="S196">
        <f t="shared" si="42"/>
        <v>3.0775502087683417</v>
      </c>
      <c r="T196">
        <f t="shared" si="43"/>
        <v>-27.556722037599933</v>
      </c>
    </row>
    <row r="197" spans="1:20" x14ac:dyDescent="0.35">
      <c r="A197">
        <v>1.625</v>
      </c>
      <c r="B197">
        <v>16.875</v>
      </c>
      <c r="C197">
        <v>-2.7309770000000001E-2</v>
      </c>
      <c r="D197">
        <v>2.2491850000000001E-2</v>
      </c>
      <c r="E197">
        <v>0.97269930999999998</v>
      </c>
      <c r="F197">
        <v>2.0806247999999999E-2</v>
      </c>
      <c r="G197">
        <f t="shared" si="34"/>
        <v>10.7435941051151</v>
      </c>
      <c r="H197">
        <f t="shared" si="35"/>
        <v>8.9149471685273394</v>
      </c>
      <c r="I197">
        <f t="shared" si="36"/>
        <v>10.7435993553978</v>
      </c>
      <c r="J197">
        <f t="shared" si="37"/>
        <v>8.9141043757785496</v>
      </c>
      <c r="K197" s="7">
        <f t="shared" si="38"/>
        <v>-5.2502826992650904E-6</v>
      </c>
      <c r="L197" s="7">
        <f t="shared" si="39"/>
        <v>8.4279274878973397E-4</v>
      </c>
      <c r="M197" s="7">
        <f t="shared" si="40"/>
        <v>5.5127557729642403E-2</v>
      </c>
      <c r="N197" s="7">
        <f t="shared" si="41"/>
        <v>-4.5740052968085997E-2</v>
      </c>
      <c r="O197">
        <v>-1.2941537000000001</v>
      </c>
      <c r="P197">
        <v>-1.9441796</v>
      </c>
      <c r="Q197">
        <v>-6.3096125000000001</v>
      </c>
      <c r="R197">
        <v>-3.4656815999999999</v>
      </c>
      <c r="S197">
        <f t="shared" si="42"/>
        <v>3.0822906215273256</v>
      </c>
      <c r="T197">
        <f t="shared" si="43"/>
        <v>-27.571386387605319</v>
      </c>
    </row>
    <row r="198" spans="1:20" x14ac:dyDescent="0.35">
      <c r="A198">
        <v>1.625</v>
      </c>
      <c r="B198">
        <v>16.9375</v>
      </c>
      <c r="C198">
        <v>-2.5995379999999998E-2</v>
      </c>
      <c r="D198">
        <v>2.2998293E-2</v>
      </c>
      <c r="E198">
        <v>0.97401601999999998</v>
      </c>
      <c r="F198">
        <v>2.1328915E-2</v>
      </c>
      <c r="G198">
        <f t="shared" si="34"/>
        <v>10.638219695644599</v>
      </c>
      <c r="H198">
        <f t="shared" si="35"/>
        <v>9.4989244963614095</v>
      </c>
      <c r="I198">
        <f t="shared" si="36"/>
        <v>10.6382260923054</v>
      </c>
      <c r="J198">
        <f t="shared" si="37"/>
        <v>9.4980898174583093</v>
      </c>
      <c r="K198" s="7">
        <f t="shared" si="38"/>
        <v>-6.3966608010446197E-6</v>
      </c>
      <c r="L198" s="7">
        <f t="shared" si="39"/>
        <v>8.3467890310018301E-4</v>
      </c>
      <c r="M198" s="7">
        <f t="shared" si="40"/>
        <v>5.2305708690376901E-2</v>
      </c>
      <c r="N198" s="7">
        <f t="shared" si="41"/>
        <v>-4.6699921095524101E-2</v>
      </c>
      <c r="O198">
        <v>-1.3278371</v>
      </c>
      <c r="P198">
        <v>-1.8461346999999999</v>
      </c>
      <c r="Q198">
        <v>-6.2716269000000002</v>
      </c>
      <c r="R198">
        <v>-3.1537747999999999</v>
      </c>
      <c r="S198">
        <f t="shared" si="42"/>
        <v>3.0869599966094436</v>
      </c>
      <c r="T198">
        <f t="shared" si="43"/>
        <v>-27.57815454073128</v>
      </c>
    </row>
    <row r="199" spans="1:20" x14ac:dyDescent="0.35">
      <c r="A199">
        <v>1.625</v>
      </c>
      <c r="B199">
        <v>17</v>
      </c>
      <c r="C199">
        <v>-2.4738197999999999E-2</v>
      </c>
      <c r="D199">
        <v>2.3384050999999999E-2</v>
      </c>
      <c r="E199">
        <v>0.97527578999999998</v>
      </c>
      <c r="F199">
        <v>2.1731039000000001E-2</v>
      </c>
      <c r="G199">
        <f t="shared" si="34"/>
        <v>10.5360289375303</v>
      </c>
      <c r="H199">
        <f t="shared" si="35"/>
        <v>10.0664741620191</v>
      </c>
      <c r="I199">
        <f t="shared" si="36"/>
        <v>10.5360366145788</v>
      </c>
      <c r="J199">
        <f t="shared" si="37"/>
        <v>10.065647668144701</v>
      </c>
      <c r="K199" s="7">
        <f t="shared" si="38"/>
        <v>-7.6770484991328692E-6</v>
      </c>
      <c r="L199" s="7">
        <f t="shared" si="39"/>
        <v>8.2649387439914801E-4</v>
      </c>
      <c r="M199" s="7">
        <f t="shared" si="40"/>
        <v>4.9622136881302903E-2</v>
      </c>
      <c r="N199" s="7">
        <f t="shared" si="41"/>
        <v>-4.7406720824841597E-2</v>
      </c>
      <c r="O199">
        <v>-1.3527985</v>
      </c>
      <c r="P199">
        <v>-1.7525831999999999</v>
      </c>
      <c r="Q199">
        <v>-6.2159785000000003</v>
      </c>
      <c r="R199">
        <v>-2.8657716999999998</v>
      </c>
      <c r="S199">
        <f t="shared" si="42"/>
        <v>3.0916487736537399</v>
      </c>
      <c r="T199">
        <f t="shared" si="43"/>
        <v>-27.584604337239959</v>
      </c>
    </row>
    <row r="200" spans="1:20" x14ac:dyDescent="0.35">
      <c r="A200">
        <v>1.75</v>
      </c>
      <c r="B200">
        <v>15</v>
      </c>
      <c r="C200">
        <v>-1.4129902999999999E-2</v>
      </c>
      <c r="D200">
        <v>-1.6204996999999999E-2</v>
      </c>
      <c r="E200">
        <v>0.98573337000000005</v>
      </c>
      <c r="F200">
        <v>-1.8372896E-2</v>
      </c>
      <c r="G200">
        <f t="shared" si="34"/>
        <v>13.6841601482515</v>
      </c>
      <c r="H200">
        <f t="shared" si="35"/>
        <v>-17.271186518258101</v>
      </c>
      <c r="I200">
        <f t="shared" si="36"/>
        <v>13.6840929552638</v>
      </c>
      <c r="J200">
        <f t="shared" si="37"/>
        <v>-17.2722706147045</v>
      </c>
      <c r="K200" s="7">
        <f t="shared" si="38"/>
        <v>6.7192987700082099E-5</v>
      </c>
      <c r="L200" s="7">
        <f t="shared" si="39"/>
        <v>1.0840964463980599E-3</v>
      </c>
      <c r="M200" s="7">
        <f t="shared" si="40"/>
        <v>2.8180591084055202E-2</v>
      </c>
      <c r="N200" s="7">
        <f t="shared" si="41"/>
        <v>3.5569971416987402E-2</v>
      </c>
      <c r="O200">
        <v>1.4995261</v>
      </c>
      <c r="P200">
        <v>-1.0151048</v>
      </c>
      <c r="Q200">
        <v>2.5126740000000001</v>
      </c>
      <c r="R200">
        <v>-4.6099785000000004</v>
      </c>
      <c r="S200">
        <f t="shared" si="42"/>
        <v>2.8994165814108386</v>
      </c>
      <c r="T200">
        <f t="shared" si="43"/>
        <v>-27.311305560010716</v>
      </c>
    </row>
    <row r="201" spans="1:20" x14ac:dyDescent="0.35">
      <c r="A201">
        <v>1.75</v>
      </c>
      <c r="B201">
        <v>15.0625</v>
      </c>
      <c r="C201">
        <v>-1.5401163000000001E-2</v>
      </c>
      <c r="D201">
        <v>-1.6672958000000002E-2</v>
      </c>
      <c r="E201">
        <v>0.98446718</v>
      </c>
      <c r="F201">
        <v>-1.8840742000000001E-2</v>
      </c>
      <c r="G201">
        <f t="shared" si="34"/>
        <v>13.4459798339982</v>
      </c>
      <c r="H201">
        <f t="shared" si="35"/>
        <v>-16.0100763350172</v>
      </c>
      <c r="I201">
        <f t="shared" si="36"/>
        <v>13.445915176216999</v>
      </c>
      <c r="J201">
        <f t="shared" si="37"/>
        <v>-16.0111603684595</v>
      </c>
      <c r="K201" s="7">
        <f t="shared" si="38"/>
        <v>6.4657781200239101E-5</v>
      </c>
      <c r="L201" s="7">
        <f t="shared" si="39"/>
        <v>1.08403344230013E-3</v>
      </c>
      <c r="M201" s="7">
        <f t="shared" si="40"/>
        <v>3.0758134554574001E-2</v>
      </c>
      <c r="N201" s="7">
        <f t="shared" si="41"/>
        <v>3.6626248086037497E-2</v>
      </c>
      <c r="O201">
        <v>1.5257096999999999</v>
      </c>
      <c r="P201">
        <v>-1.102222</v>
      </c>
      <c r="Q201">
        <v>2.4735915999999998</v>
      </c>
      <c r="R201">
        <v>-4.8875020999999998</v>
      </c>
      <c r="S201">
        <f t="shared" si="42"/>
        <v>2.9103169159764497</v>
      </c>
      <c r="T201">
        <f t="shared" si="43"/>
        <v>-27.310214796635485</v>
      </c>
    </row>
    <row r="202" spans="1:20" x14ac:dyDescent="0.35">
      <c r="A202">
        <v>1.75</v>
      </c>
      <c r="B202">
        <v>15.125</v>
      </c>
      <c r="C202">
        <v>-1.6777605000000001E-2</v>
      </c>
      <c r="D202">
        <v>-1.7083543E-2</v>
      </c>
      <c r="E202">
        <v>0.98309278</v>
      </c>
      <c r="F202">
        <v>-1.9254283000000001E-2</v>
      </c>
      <c r="G202">
        <f t="shared" si="34"/>
        <v>13.2203511260002</v>
      </c>
      <c r="H202">
        <f t="shared" si="35"/>
        <v>-14.8003824608756</v>
      </c>
      <c r="I202">
        <f t="shared" si="36"/>
        <v>13.2202874925557</v>
      </c>
      <c r="J202">
        <f t="shared" si="37"/>
        <v>-14.8014679702906</v>
      </c>
      <c r="K202" s="7">
        <f t="shared" si="38"/>
        <v>6.3633444499444595E-5</v>
      </c>
      <c r="L202" s="7">
        <f t="shared" si="39"/>
        <v>1.0855094150006299E-3</v>
      </c>
      <c r="M202" s="7">
        <f t="shared" si="40"/>
        <v>3.3566002565736601E-2</v>
      </c>
      <c r="N202" s="7">
        <f t="shared" si="41"/>
        <v>3.7580583035520497E-2</v>
      </c>
      <c r="O202">
        <v>1.5494835</v>
      </c>
      <c r="P202">
        <v>-1.1971693000000001</v>
      </c>
      <c r="Q202">
        <v>2.4140533</v>
      </c>
      <c r="R202">
        <v>-5.1787555000000003</v>
      </c>
      <c r="S202">
        <f t="shared" si="42"/>
        <v>2.9180332523794101</v>
      </c>
      <c r="T202">
        <f t="shared" si="43"/>
        <v>-27.317072228901534</v>
      </c>
    </row>
    <row r="203" spans="1:20" x14ac:dyDescent="0.35">
      <c r="A203">
        <v>1.75</v>
      </c>
      <c r="B203">
        <v>15.1875</v>
      </c>
      <c r="C203">
        <v>-1.8269897E-2</v>
      </c>
      <c r="D203">
        <v>-1.7423866E-2</v>
      </c>
      <c r="E203">
        <v>0.98159834000000001</v>
      </c>
      <c r="F203">
        <v>-1.9599889999999998E-2</v>
      </c>
      <c r="G203">
        <f t="shared" si="34"/>
        <v>13.004258137749201</v>
      </c>
      <c r="H203">
        <f t="shared" si="35"/>
        <v>-13.6333782704741</v>
      </c>
      <c r="I203">
        <f t="shared" si="36"/>
        <v>13.004193435911301</v>
      </c>
      <c r="J203">
        <f t="shared" si="37"/>
        <v>-13.634466424559699</v>
      </c>
      <c r="K203" s="7">
        <f t="shared" si="38"/>
        <v>6.4701837899860894E-5</v>
      </c>
      <c r="L203" s="7">
        <f t="shared" si="39"/>
        <v>1.0881540855987E-3</v>
      </c>
      <c r="M203" s="7">
        <f t="shared" si="40"/>
        <v>3.66307340506958E-2</v>
      </c>
      <c r="N203" s="7">
        <f t="shared" si="41"/>
        <v>3.8406112303895401E-2</v>
      </c>
      <c r="O203">
        <v>1.5685450000000001</v>
      </c>
      <c r="P203">
        <v>-1.2999961</v>
      </c>
      <c r="Q203">
        <v>2.3304711</v>
      </c>
      <c r="R203">
        <v>-5.4843301000000002</v>
      </c>
      <c r="S203">
        <f t="shared" si="42"/>
        <v>2.9250149347092695</v>
      </c>
      <c r="T203">
        <f t="shared" si="43"/>
        <v>-27.326138825118697</v>
      </c>
    </row>
    <row r="204" spans="1:20" x14ac:dyDescent="0.35">
      <c r="A204">
        <v>1.75</v>
      </c>
      <c r="B204">
        <v>15.25</v>
      </c>
      <c r="C204">
        <v>-1.9884011E-2</v>
      </c>
      <c r="D204">
        <v>-1.7674369999999998E-2</v>
      </c>
      <c r="E204">
        <v>0.97997814999999999</v>
      </c>
      <c r="F204">
        <v>-1.9856914999999999E-2</v>
      </c>
      <c r="G204">
        <f t="shared" si="34"/>
        <v>12.797222282304499</v>
      </c>
      <c r="H204">
        <f t="shared" si="35"/>
        <v>-12.5054009251871</v>
      </c>
      <c r="I204">
        <f t="shared" si="36"/>
        <v>12.797154549174801</v>
      </c>
      <c r="J204">
        <f t="shared" si="37"/>
        <v>-12.506492346822601</v>
      </c>
      <c r="K204" s="7">
        <f t="shared" si="38"/>
        <v>6.7733129698766006E-5</v>
      </c>
      <c r="L204" s="7">
        <f t="shared" si="39"/>
        <v>1.0914216355004699E-3</v>
      </c>
      <c r="M204" s="7">
        <f t="shared" si="40"/>
        <v>3.9968686110735903E-2</v>
      </c>
      <c r="N204" s="7">
        <f t="shared" si="41"/>
        <v>3.9060875996743301E-2</v>
      </c>
      <c r="O204">
        <v>1.5812421999999999</v>
      </c>
      <c r="P204">
        <v>-1.4109448</v>
      </c>
      <c r="Q204">
        <v>2.2186302000000002</v>
      </c>
      <c r="R204">
        <v>-5.8033564000000002</v>
      </c>
      <c r="S204">
        <f t="shared" si="42"/>
        <v>2.9317355238606364</v>
      </c>
      <c r="T204">
        <f t="shared" si="43"/>
        <v>-27.335503205240997</v>
      </c>
    </row>
    <row r="205" spans="1:20" x14ac:dyDescent="0.35">
      <c r="A205">
        <v>1.75</v>
      </c>
      <c r="B205">
        <v>15.3125</v>
      </c>
      <c r="C205">
        <v>-2.1622131999999999E-2</v>
      </c>
      <c r="D205">
        <v>-1.7811646E-2</v>
      </c>
      <c r="E205">
        <v>0.97823048000000001</v>
      </c>
      <c r="F205">
        <v>-2.0000661999999999E-2</v>
      </c>
      <c r="G205">
        <f t="shared" si="34"/>
        <v>12.5989833320497</v>
      </c>
      <c r="H205">
        <f t="shared" si="35"/>
        <v>-11.414123430748999</v>
      </c>
      <c r="I205">
        <f t="shared" si="36"/>
        <v>12.598910830829601</v>
      </c>
      <c r="J205">
        <f t="shared" si="37"/>
        <v>-11.4152180987726</v>
      </c>
      <c r="K205" s="7">
        <f t="shared" si="38"/>
        <v>7.2501220099496804E-5</v>
      </c>
      <c r="L205" s="7">
        <f t="shared" si="39"/>
        <v>1.09466802360103E-3</v>
      </c>
      <c r="M205" s="7">
        <f t="shared" si="40"/>
        <v>4.35888505514435E-2</v>
      </c>
      <c r="N205" s="7">
        <f t="shared" si="41"/>
        <v>3.9493591342987897E-2</v>
      </c>
      <c r="O205">
        <v>1.5856914</v>
      </c>
      <c r="P205">
        <v>-1.5298814000000001</v>
      </c>
      <c r="Q205">
        <v>2.0740281</v>
      </c>
      <c r="R205">
        <v>-6.1340110000000001</v>
      </c>
      <c r="S205">
        <f t="shared" si="42"/>
        <v>2.9387176439958513</v>
      </c>
      <c r="T205">
        <f t="shared" si="43"/>
        <v>-27.344850657933627</v>
      </c>
    </row>
    <row r="206" spans="1:20" x14ac:dyDescent="0.35">
      <c r="A206">
        <v>1.75</v>
      </c>
      <c r="B206">
        <v>15.375</v>
      </c>
      <c r="C206">
        <v>-2.3482057000000001E-2</v>
      </c>
      <c r="D206">
        <v>-1.7808942000000001E-2</v>
      </c>
      <c r="E206">
        <v>0.97635815999999997</v>
      </c>
      <c r="F206">
        <v>-2.0003198999999999E-2</v>
      </c>
      <c r="G206">
        <f t="shared" si="34"/>
        <v>12.4092117680459</v>
      </c>
      <c r="H206">
        <f t="shared" si="35"/>
        <v>-10.3577510407225</v>
      </c>
      <c r="I206">
        <f t="shared" si="36"/>
        <v>12.409133074140801</v>
      </c>
      <c r="J206">
        <f t="shared" si="37"/>
        <v>-10.358848343225</v>
      </c>
      <c r="K206" s="7">
        <f t="shared" si="38"/>
        <v>7.8693905098958794E-5</v>
      </c>
      <c r="L206" s="7">
        <f t="shared" si="39"/>
        <v>1.09730250250095E-3</v>
      </c>
      <c r="M206" s="7">
        <f t="shared" si="40"/>
        <v>4.7491380337180603E-2</v>
      </c>
      <c r="N206" s="7">
        <f t="shared" si="41"/>
        <v>3.9644671677222298E-2</v>
      </c>
      <c r="O206">
        <v>1.5804047999999999</v>
      </c>
      <c r="P206">
        <v>-1.6569087</v>
      </c>
      <c r="Q206">
        <v>1.8919324</v>
      </c>
      <c r="R206">
        <v>-6.4732383999999996</v>
      </c>
      <c r="S206">
        <f t="shared" si="42"/>
        <v>2.9453021076798329</v>
      </c>
      <c r="T206">
        <f t="shared" si="43"/>
        <v>-27.354193513607925</v>
      </c>
    </row>
    <row r="207" spans="1:20" x14ac:dyDescent="0.35">
      <c r="A207">
        <v>1.75</v>
      </c>
      <c r="B207">
        <v>15.4375</v>
      </c>
      <c r="C207">
        <v>-2.5456118E-2</v>
      </c>
      <c r="D207">
        <v>-1.7636658E-2</v>
      </c>
      <c r="E207">
        <v>0.97436946999999996</v>
      </c>
      <c r="F207">
        <v>-1.9833970999999999E-2</v>
      </c>
      <c r="G207">
        <f t="shared" si="34"/>
        <v>12.227497331112</v>
      </c>
      <c r="H207">
        <f t="shared" si="35"/>
        <v>-9.3346827342882204</v>
      </c>
      <c r="I207">
        <f t="shared" si="36"/>
        <v>12.227411324867001</v>
      </c>
      <c r="J207">
        <f t="shared" si="37"/>
        <v>-9.3357815811055804</v>
      </c>
      <c r="K207" s="7">
        <f t="shared" si="38"/>
        <v>8.6006244998770894E-5</v>
      </c>
      <c r="L207" s="7">
        <f t="shared" si="39"/>
        <v>1.09884681736006E-3</v>
      </c>
      <c r="M207" s="7">
        <f t="shared" si="40"/>
        <v>5.1665175301321399E-2</v>
      </c>
      <c r="N207" s="7">
        <f t="shared" si="41"/>
        <v>3.9447007968214903E-2</v>
      </c>
      <c r="O207">
        <v>1.5632096</v>
      </c>
      <c r="P207">
        <v>-1.7912688999999999</v>
      </c>
      <c r="Q207">
        <v>1.6676951</v>
      </c>
      <c r="R207">
        <v>-6.8167568000000003</v>
      </c>
      <c r="S207">
        <f t="shared" si="42"/>
        <v>2.951814024096663</v>
      </c>
      <c r="T207">
        <f t="shared" si="43"/>
        <v>-27.363457447547734</v>
      </c>
    </row>
    <row r="208" spans="1:20" x14ac:dyDescent="0.35">
      <c r="A208">
        <v>1.75</v>
      </c>
      <c r="B208">
        <v>15.5</v>
      </c>
      <c r="C208">
        <v>-2.7529845000000001E-2</v>
      </c>
      <c r="D208">
        <v>-1.7263229000000001E-2</v>
      </c>
      <c r="E208">
        <v>0.97227949999999996</v>
      </c>
      <c r="F208">
        <v>-1.9460701E-2</v>
      </c>
      <c r="G208">
        <f t="shared" si="34"/>
        <v>12.053384050403199</v>
      </c>
      <c r="H208">
        <f t="shared" si="35"/>
        <v>-8.3434322484984698</v>
      </c>
      <c r="I208">
        <f t="shared" si="36"/>
        <v>12.053289921379699</v>
      </c>
      <c r="J208">
        <f t="shared" si="37"/>
        <v>-8.3445311926810195</v>
      </c>
      <c r="K208" s="7">
        <f t="shared" si="38"/>
        <v>9.4129023500144599E-5</v>
      </c>
      <c r="L208" s="7">
        <f t="shared" si="39"/>
        <v>1.09894418254974E-3</v>
      </c>
      <c r="M208" s="7">
        <f t="shared" si="40"/>
        <v>5.6084508574330998E-2</v>
      </c>
      <c r="N208" s="7">
        <f t="shared" si="41"/>
        <v>3.8827484801022799E-2</v>
      </c>
      <c r="O208">
        <v>1.5321982000000001</v>
      </c>
      <c r="P208">
        <v>-1.9321588000000001</v>
      </c>
      <c r="Q208">
        <v>1.3969438000000001</v>
      </c>
      <c r="R208">
        <v>-7.1588241000000004</v>
      </c>
      <c r="S208">
        <f t="shared" si="42"/>
        <v>2.9578344951591853</v>
      </c>
      <c r="T208">
        <f t="shared" si="43"/>
        <v>-27.372637053182629</v>
      </c>
    </row>
    <row r="209" spans="1:20" x14ac:dyDescent="0.35">
      <c r="A209">
        <v>1.75</v>
      </c>
      <c r="B209">
        <v>15.5625</v>
      </c>
      <c r="C209">
        <v>-2.9680589E-2</v>
      </c>
      <c r="D209">
        <v>-1.6656586000000001E-2</v>
      </c>
      <c r="E209">
        <v>0.97011152</v>
      </c>
      <c r="F209">
        <v>-1.8850827000000001E-2</v>
      </c>
      <c r="G209">
        <f t="shared" si="34"/>
        <v>11.886403623852299</v>
      </c>
      <c r="H209">
        <f t="shared" si="35"/>
        <v>-7.3826005379569297</v>
      </c>
      <c r="I209">
        <f t="shared" si="36"/>
        <v>11.886300871594001</v>
      </c>
      <c r="J209">
        <f t="shared" si="37"/>
        <v>-7.3836978852528699</v>
      </c>
      <c r="K209" s="7">
        <f t="shared" si="38"/>
        <v>1.0275225829836599E-4</v>
      </c>
      <c r="L209" s="7">
        <f t="shared" si="39"/>
        <v>1.0973472959401301E-3</v>
      </c>
      <c r="M209" s="7">
        <f t="shared" si="40"/>
        <v>6.07053630361825E-2</v>
      </c>
      <c r="N209" s="7">
        <f t="shared" si="41"/>
        <v>3.7709802697738798E-2</v>
      </c>
      <c r="O209">
        <v>1.4848096</v>
      </c>
      <c r="P209">
        <v>-2.0774067000000001</v>
      </c>
      <c r="Q209">
        <v>1.0760707</v>
      </c>
      <c r="R209">
        <v>-7.4921540999999996</v>
      </c>
      <c r="S209">
        <f t="shared" si="42"/>
        <v>2.9641999223070603</v>
      </c>
      <c r="T209">
        <f t="shared" si="43"/>
        <v>-27.381692896806314</v>
      </c>
    </row>
    <row r="210" spans="1:20" x14ac:dyDescent="0.35">
      <c r="A210">
        <v>1.75</v>
      </c>
      <c r="B210">
        <v>15.625</v>
      </c>
      <c r="C210">
        <v>-3.1879051999999998E-2</v>
      </c>
      <c r="D210">
        <v>-1.5783327E-2</v>
      </c>
      <c r="E210">
        <v>0.968136</v>
      </c>
      <c r="F210">
        <v>-1.7805362000000002E-2</v>
      </c>
      <c r="G210">
        <f t="shared" si="34"/>
        <v>11.7786369414773</v>
      </c>
      <c r="H210">
        <f t="shared" si="35"/>
        <v>-6.4695872889475901</v>
      </c>
      <c r="I210">
        <f t="shared" si="36"/>
        <v>11.7786454895529</v>
      </c>
      <c r="J210">
        <f t="shared" si="37"/>
        <v>-6.4705982901965404</v>
      </c>
      <c r="K210" s="7">
        <f t="shared" si="38"/>
        <v>-8.5480756002454006E-6</v>
      </c>
      <c r="L210" s="7">
        <f t="shared" si="39"/>
        <v>1.01100124895037E-3</v>
      </c>
      <c r="M210" s="7">
        <f t="shared" si="40"/>
        <v>6.5217667804081197E-2</v>
      </c>
      <c r="N210" s="7">
        <f t="shared" si="41"/>
        <v>3.58273224334653E-2</v>
      </c>
      <c r="O210">
        <v>1.4187909000000001</v>
      </c>
      <c r="P210">
        <v>-2.2250450000000002</v>
      </c>
      <c r="Q210">
        <v>0.70142890999999996</v>
      </c>
      <c r="R210">
        <v>-7.8091529</v>
      </c>
      <c r="S210">
        <f t="shared" si="42"/>
        <v>2.9711589926789586</v>
      </c>
      <c r="T210">
        <f t="shared" si="43"/>
        <v>-27.390842898755505</v>
      </c>
    </row>
    <row r="211" spans="1:20" x14ac:dyDescent="0.35">
      <c r="A211">
        <v>1.75</v>
      </c>
      <c r="B211">
        <v>15.6875</v>
      </c>
      <c r="C211">
        <v>-3.4077547999999999E-2</v>
      </c>
      <c r="D211">
        <v>-1.4623064999999999E-2</v>
      </c>
      <c r="E211">
        <v>0.96594053999999996</v>
      </c>
      <c r="F211">
        <v>-1.6633680000000001E-2</v>
      </c>
      <c r="G211">
        <f t="shared" si="34"/>
        <v>11.6248031271851</v>
      </c>
      <c r="H211">
        <f t="shared" si="35"/>
        <v>-5.5615560341177304</v>
      </c>
      <c r="I211">
        <f t="shared" si="36"/>
        <v>11.624813181718</v>
      </c>
      <c r="J211">
        <f t="shared" si="37"/>
        <v>-5.5625613224180102</v>
      </c>
      <c r="K211" s="7">
        <f t="shared" si="38"/>
        <v>-1.0054532900483101E-5</v>
      </c>
      <c r="L211" s="7">
        <f t="shared" si="39"/>
        <v>1.00528830027979E-3</v>
      </c>
      <c r="M211" s="7">
        <f t="shared" si="40"/>
        <v>6.9995949402878302E-2</v>
      </c>
      <c r="N211" s="7">
        <f t="shared" si="41"/>
        <v>3.3493592953967401E-2</v>
      </c>
      <c r="O211">
        <v>1.3333832000000001</v>
      </c>
      <c r="P211">
        <v>-2.3719225000000002</v>
      </c>
      <c r="Q211">
        <v>0.27459210000000001</v>
      </c>
      <c r="R211">
        <v>-8.0968128000000004</v>
      </c>
      <c r="S211">
        <f t="shared" si="42"/>
        <v>2.9773688194001768</v>
      </c>
      <c r="T211">
        <f t="shared" si="43"/>
        <v>-27.400283675730023</v>
      </c>
    </row>
    <row r="212" spans="1:20" x14ac:dyDescent="0.35">
      <c r="A212">
        <v>1.75</v>
      </c>
      <c r="B212">
        <v>15.75</v>
      </c>
      <c r="C212">
        <v>-3.6227573999999998E-2</v>
      </c>
      <c r="D212">
        <v>-1.3155214E-2</v>
      </c>
      <c r="E212">
        <v>0.96379504000000005</v>
      </c>
      <c r="F212">
        <v>-1.5155508999999999E-2</v>
      </c>
      <c r="G212">
        <f t="shared" si="34"/>
        <v>11.4763339664163</v>
      </c>
      <c r="H212">
        <f t="shared" si="35"/>
        <v>-4.6805297041939902</v>
      </c>
      <c r="I212">
        <f t="shared" si="36"/>
        <v>11.476346273548501</v>
      </c>
      <c r="J212">
        <f t="shared" si="37"/>
        <v>-4.6815298280766502</v>
      </c>
      <c r="K212" s="7">
        <f t="shared" si="38"/>
        <v>-1.2307132200462001E-5</v>
      </c>
      <c r="L212" s="7">
        <f t="shared" si="39"/>
        <v>1.0001238826600201E-3</v>
      </c>
      <c r="M212" s="7">
        <f t="shared" si="40"/>
        <v>7.4704490518517297E-2</v>
      </c>
      <c r="N212" s="7">
        <f t="shared" si="41"/>
        <v>3.0474097967904099E-2</v>
      </c>
      <c r="O212">
        <v>1.2270918</v>
      </c>
      <c r="P212">
        <v>-2.5146144000000001</v>
      </c>
      <c r="Q212">
        <v>-0.20365560999999999</v>
      </c>
      <c r="R212">
        <v>-8.3455004000000006</v>
      </c>
      <c r="S212">
        <f t="shared" si="42"/>
        <v>2.9835093592804145</v>
      </c>
      <c r="T212">
        <f t="shared" si="43"/>
        <v>-27.409553260296882</v>
      </c>
    </row>
    <row r="213" spans="1:20" x14ac:dyDescent="0.35">
      <c r="A213">
        <v>1.75</v>
      </c>
      <c r="B213">
        <v>15.8125</v>
      </c>
      <c r="C213">
        <v>-3.8269699999999997E-2</v>
      </c>
      <c r="D213">
        <v>-1.1373269E-2</v>
      </c>
      <c r="E213">
        <v>0.96175896000000005</v>
      </c>
      <c r="F213">
        <v>-1.3364988E-2</v>
      </c>
      <c r="G213">
        <f t="shared" si="34"/>
        <v>11.3329992582084</v>
      </c>
      <c r="H213">
        <f t="shared" si="35"/>
        <v>-3.8254743111855301</v>
      </c>
      <c r="I213">
        <f t="shared" si="36"/>
        <v>11.333014579695501</v>
      </c>
      <c r="J213">
        <f t="shared" si="37"/>
        <v>-3.8264701411572402</v>
      </c>
      <c r="K213" s="7">
        <f t="shared" si="38"/>
        <v>-1.53214871012608E-5</v>
      </c>
      <c r="L213" s="7">
        <f t="shared" si="39"/>
        <v>9.958299717101049E-4</v>
      </c>
      <c r="M213" s="7">
        <f t="shared" si="40"/>
        <v>7.9208040293328799E-2</v>
      </c>
      <c r="N213" s="7">
        <f t="shared" si="41"/>
        <v>2.6743740510580399E-2</v>
      </c>
      <c r="O213">
        <v>1.0999334999999999</v>
      </c>
      <c r="P213">
        <v>-2.6498683000000001</v>
      </c>
      <c r="Q213">
        <v>-0.72870577999999997</v>
      </c>
      <c r="R213">
        <v>-8.5437794999999994</v>
      </c>
      <c r="S213">
        <f t="shared" si="42"/>
        <v>2.9886864646529596</v>
      </c>
      <c r="T213">
        <f t="shared" si="43"/>
        <v>-27.417847318840913</v>
      </c>
    </row>
    <row r="214" spans="1:20" x14ac:dyDescent="0.35">
      <c r="A214">
        <v>1.75</v>
      </c>
      <c r="B214">
        <v>15.875</v>
      </c>
      <c r="C214">
        <v>-4.0139710000000002E-2</v>
      </c>
      <c r="D214">
        <v>-9.2855345999999991E-3</v>
      </c>
      <c r="E214">
        <v>0.95989656999999995</v>
      </c>
      <c r="F214">
        <v>-1.1271234E-2</v>
      </c>
      <c r="G214">
        <f t="shared" si="34"/>
        <v>11.194612003293001</v>
      </c>
      <c r="H214">
        <f t="shared" si="35"/>
        <v>-2.9954435505892598</v>
      </c>
      <c r="I214">
        <f t="shared" si="36"/>
        <v>11.1946311286599</v>
      </c>
      <c r="J214">
        <f t="shared" si="37"/>
        <v>-2.99643636329102</v>
      </c>
      <c r="K214" s="7">
        <f t="shared" si="38"/>
        <v>-1.9125366899075399E-5</v>
      </c>
      <c r="L214" s="7">
        <f t="shared" si="39"/>
        <v>9.9281270176021508E-4</v>
      </c>
      <c r="M214" s="7">
        <f t="shared" si="40"/>
        <v>8.3356401713609196E-2</v>
      </c>
      <c r="N214" s="7">
        <f t="shared" si="41"/>
        <v>2.2311780561335301E-2</v>
      </c>
      <c r="O214">
        <v>0.95201727999999997</v>
      </c>
      <c r="P214">
        <v>-2.7717063999999998</v>
      </c>
      <c r="Q214">
        <v>-1.2927428000000001</v>
      </c>
      <c r="R214">
        <v>-8.6806412000000002</v>
      </c>
      <c r="S214">
        <f t="shared" si="42"/>
        <v>2.9946874683001665</v>
      </c>
      <c r="T214">
        <f t="shared" si="43"/>
        <v>-27.426794107635345</v>
      </c>
    </row>
    <row r="215" spans="1:20" x14ac:dyDescent="0.35">
      <c r="A215">
        <v>1.75</v>
      </c>
      <c r="B215">
        <v>15.9375</v>
      </c>
      <c r="C215">
        <v>-4.1773209999999998E-2</v>
      </c>
      <c r="D215">
        <v>-6.9173589999999997E-3</v>
      </c>
      <c r="E215">
        <v>0.95827227999999998</v>
      </c>
      <c r="F215">
        <v>-8.9006881999999996E-3</v>
      </c>
      <c r="G215">
        <f t="shared" si="34"/>
        <v>11.0610251386692</v>
      </c>
      <c r="H215">
        <f t="shared" si="35"/>
        <v>-2.18957595386737</v>
      </c>
      <c r="I215">
        <f t="shared" si="36"/>
        <v>11.0610488664825</v>
      </c>
      <c r="J215">
        <f t="shared" si="37"/>
        <v>-2.1905675723829701</v>
      </c>
      <c r="K215" s="7">
        <f t="shared" si="38"/>
        <v>-2.37278132999563E-5</v>
      </c>
      <c r="L215" s="7">
        <f t="shared" si="39"/>
        <v>9.9161851560003499E-4</v>
      </c>
      <c r="M215" s="7">
        <f t="shared" si="40"/>
        <v>8.6995281645619801E-2</v>
      </c>
      <c r="N215" s="7">
        <f t="shared" si="41"/>
        <v>1.7228840160058E-2</v>
      </c>
      <c r="O215">
        <v>0.78543151</v>
      </c>
      <c r="P215">
        <v>-2.8758547999999999</v>
      </c>
      <c r="Q215">
        <v>-1.8848665</v>
      </c>
      <c r="R215">
        <v>-8.7468351999999996</v>
      </c>
      <c r="S215">
        <f t="shared" si="42"/>
        <v>3.0013659677617452</v>
      </c>
      <c r="T215">
        <f t="shared" si="43"/>
        <v>-27.436434138593793</v>
      </c>
    </row>
    <row r="216" spans="1:20" x14ac:dyDescent="0.35">
      <c r="A216">
        <v>1.75</v>
      </c>
      <c r="B216">
        <v>16</v>
      </c>
      <c r="C216">
        <v>-4.3111256000000001E-2</v>
      </c>
      <c r="D216">
        <v>-4.3116094999999998E-3</v>
      </c>
      <c r="E216">
        <v>0.95694508</v>
      </c>
      <c r="F216">
        <v>-6.2977442999999998E-3</v>
      </c>
      <c r="G216">
        <f t="shared" si="34"/>
        <v>10.932153694199201</v>
      </c>
      <c r="H216">
        <f t="shared" si="35"/>
        <v>-1.40710823616918</v>
      </c>
      <c r="I216">
        <f t="shared" si="36"/>
        <v>10.932182847504301</v>
      </c>
      <c r="J216">
        <f t="shared" si="37"/>
        <v>-1.4081012466468701</v>
      </c>
      <c r="K216" s="7">
        <f t="shared" si="38"/>
        <v>-2.91533050997828E-5</v>
      </c>
      <c r="L216" s="7">
        <f t="shared" si="39"/>
        <v>9.9301047769007099E-4</v>
      </c>
      <c r="M216" s="7">
        <f t="shared" si="40"/>
        <v>8.9980241746133102E-2</v>
      </c>
      <c r="N216" s="7">
        <f t="shared" si="41"/>
        <v>1.1589752233721599E-2</v>
      </c>
      <c r="O216">
        <v>0.60362296999999998</v>
      </c>
      <c r="P216">
        <v>-2.9598268000000001</v>
      </c>
      <c r="Q216">
        <v>-2.4915497000000002</v>
      </c>
      <c r="R216">
        <v>-8.7357984999999996</v>
      </c>
      <c r="S216">
        <f t="shared" si="42"/>
        <v>3.0072529634281078</v>
      </c>
      <c r="T216">
        <f t="shared" si="43"/>
        <v>-27.445509634682264</v>
      </c>
    </row>
    <row r="217" spans="1:20" x14ac:dyDescent="0.35">
      <c r="A217">
        <v>1.75</v>
      </c>
      <c r="B217">
        <v>16.0625</v>
      </c>
      <c r="C217">
        <v>-4.4106193000000002E-2</v>
      </c>
      <c r="D217">
        <v>-1.5268996E-3</v>
      </c>
      <c r="E217">
        <v>0.95596274000000003</v>
      </c>
      <c r="F217">
        <v>-3.5231553000000001E-3</v>
      </c>
      <c r="G217">
        <f t="shared" si="34"/>
        <v>10.808005162422401</v>
      </c>
      <c r="H217">
        <f t="shared" si="35"/>
        <v>-0.64737820379296496</v>
      </c>
      <c r="I217">
        <f t="shared" si="36"/>
        <v>10.808040623889701</v>
      </c>
      <c r="J217">
        <f t="shared" si="37"/>
        <v>-0.64837626184832098</v>
      </c>
      <c r="K217" s="7">
        <f t="shared" si="38"/>
        <v>-3.5461467300379502E-5</v>
      </c>
      <c r="L217" s="7">
        <f t="shared" si="39"/>
        <v>9.98058055356021E-4</v>
      </c>
      <c r="M217" s="7">
        <f t="shared" si="40"/>
        <v>9.2191926224207105E-2</v>
      </c>
      <c r="N217" s="7">
        <f t="shared" si="41"/>
        <v>5.5306099021984597E-3</v>
      </c>
      <c r="O217">
        <v>0.41057769999999999</v>
      </c>
      <c r="P217">
        <v>-3.0203478000000001</v>
      </c>
      <c r="Q217">
        <v>-3.0974105000000001</v>
      </c>
      <c r="R217">
        <v>-8.6444761999999997</v>
      </c>
      <c r="S217">
        <f t="shared" si="42"/>
        <v>3.0125529536701752</v>
      </c>
      <c r="T217">
        <f t="shared" si="43"/>
        <v>-27.454337211715266</v>
      </c>
    </row>
    <row r="218" spans="1:20" x14ac:dyDescent="0.35">
      <c r="A218">
        <v>1.75</v>
      </c>
      <c r="B218">
        <v>16.125</v>
      </c>
      <c r="C218">
        <v>-4.4726646000000002E-2</v>
      </c>
      <c r="D218">
        <v>1.3664527E-3</v>
      </c>
      <c r="E218">
        <v>0.95535692999999999</v>
      </c>
      <c r="F218">
        <v>-6.4995194999999996E-4</v>
      </c>
      <c r="G218">
        <f t="shared" si="34"/>
        <v>10.688732153467701</v>
      </c>
      <c r="H218">
        <f t="shared" si="35"/>
        <v>9.0207267532542504E-2</v>
      </c>
      <c r="I218">
        <f t="shared" si="36"/>
        <v>10.688774956065</v>
      </c>
      <c r="J218">
        <f t="shared" si="37"/>
        <v>8.9199150488415702E-2</v>
      </c>
      <c r="K218" s="7">
        <f t="shared" si="38"/>
        <v>-4.2802597299385097E-5</v>
      </c>
      <c r="L218" s="7">
        <f t="shared" si="39"/>
        <v>1.0081170441268001E-3</v>
      </c>
      <c r="M218" s="7">
        <f t="shared" si="40"/>
        <v>9.3549575874511404E-2</v>
      </c>
      <c r="N218" s="7">
        <f t="shared" si="41"/>
        <v>-7.8068279394573304E-4</v>
      </c>
      <c r="O218">
        <v>0.21103509000000001</v>
      </c>
      <c r="P218">
        <v>-3.0544476999999999</v>
      </c>
      <c r="Q218">
        <v>-3.6865953999999999</v>
      </c>
      <c r="R218">
        <v>-8.4740649999999995</v>
      </c>
      <c r="S218">
        <f t="shared" si="42"/>
        <v>3.0183116492325657</v>
      </c>
      <c r="T218">
        <f t="shared" si="43"/>
        <v>-27.463530644888881</v>
      </c>
    </row>
    <row r="219" spans="1:20" x14ac:dyDescent="0.35">
      <c r="A219">
        <v>1.75</v>
      </c>
      <c r="B219">
        <v>16.1875</v>
      </c>
      <c r="C219">
        <v>-4.4960687999999999E-2</v>
      </c>
      <c r="D219">
        <v>4.2922222999999997E-3</v>
      </c>
      <c r="E219">
        <v>0.95514029</v>
      </c>
      <c r="F219">
        <v>2.2433612000000002E-3</v>
      </c>
      <c r="G219">
        <f t="shared" si="34"/>
        <v>10.574668629452299</v>
      </c>
      <c r="H219">
        <f t="shared" si="35"/>
        <v>0.80633791732830495</v>
      </c>
      <c r="I219">
        <f t="shared" si="36"/>
        <v>10.5747201652012</v>
      </c>
      <c r="J219">
        <f t="shared" si="37"/>
        <v>0.805313591290298</v>
      </c>
      <c r="K219" s="7">
        <f t="shared" si="38"/>
        <v>-5.1535748900377598E-5</v>
      </c>
      <c r="L219" s="7">
        <f t="shared" si="39"/>
        <v>1.0243260380069499E-3</v>
      </c>
      <c r="M219" s="7">
        <f t="shared" si="40"/>
        <v>9.4019879656018601E-2</v>
      </c>
      <c r="N219" s="7">
        <f t="shared" si="41"/>
        <v>-7.1600463894667104E-3</v>
      </c>
      <c r="O219">
        <v>1.0310802000000001E-2</v>
      </c>
      <c r="P219">
        <v>-3.0617833000000001</v>
      </c>
      <c r="Q219">
        <v>-4.2441028000000003</v>
      </c>
      <c r="R219">
        <v>-8.2298565999999997</v>
      </c>
      <c r="S219">
        <f t="shared" si="42"/>
        <v>3.0242820633960412</v>
      </c>
      <c r="T219">
        <f t="shared" si="43"/>
        <v>-27.472917008352571</v>
      </c>
    </row>
    <row r="220" spans="1:20" ht="15" thickBot="1" x14ac:dyDescent="0.4">
      <c r="A220">
        <v>1.75</v>
      </c>
      <c r="B220">
        <v>16.25</v>
      </c>
      <c r="C220">
        <v>-4.4816543E-2</v>
      </c>
      <c r="D220">
        <v>7.1748745999999997E-3</v>
      </c>
      <c r="E220">
        <v>0.95530598</v>
      </c>
      <c r="F220">
        <v>5.0827924000000002E-3</v>
      </c>
      <c r="G220">
        <f t="shared" si="34"/>
        <v>10.4661869129558</v>
      </c>
      <c r="H220">
        <f t="shared" si="35"/>
        <v>1.50224794876362</v>
      </c>
      <c r="I220">
        <f t="shared" si="36"/>
        <v>10.4662492647028</v>
      </c>
      <c r="J220">
        <f t="shared" si="37"/>
        <v>1.5012020369602399</v>
      </c>
      <c r="K220" s="7">
        <f t="shared" si="38"/>
        <v>-6.2351746999311799E-5</v>
      </c>
      <c r="L220" s="7">
        <f t="shared" si="39"/>
        <v>1.0459118033800999E-3</v>
      </c>
      <c r="M220" s="7">
        <f t="shared" si="40"/>
        <v>9.3619190509921499E-2</v>
      </c>
      <c r="N220" s="7">
        <f t="shared" si="41"/>
        <v>-1.3428050100625401E-2</v>
      </c>
      <c r="O220">
        <v>-0.18646663999999999</v>
      </c>
      <c r="P220">
        <v>-3.0437042000000001</v>
      </c>
      <c r="Q220">
        <v>-4.7570633000000004</v>
      </c>
      <c r="R220">
        <v>-7.9208831999999996</v>
      </c>
      <c r="S220">
        <f t="shared" si="42"/>
        <v>3.0299596173482533</v>
      </c>
      <c r="T220">
        <f t="shared" si="43"/>
        <v>-27.482128961124282</v>
      </c>
    </row>
    <row r="221" spans="1:20" ht="15" thickBot="1" x14ac:dyDescent="0.4">
      <c r="A221">
        <v>1.75</v>
      </c>
      <c r="B221">
        <v>16.3125</v>
      </c>
      <c r="C221">
        <v>-4.4320730000000003E-2</v>
      </c>
      <c r="D221">
        <v>9.9458283000000008E-3</v>
      </c>
      <c r="E221">
        <v>0.95582860999999997</v>
      </c>
      <c r="F221">
        <v>7.8103785000000004E-3</v>
      </c>
      <c r="G221">
        <f t="shared" si="34"/>
        <v>10.36303832159</v>
      </c>
      <c r="H221">
        <f t="shared" si="35"/>
        <v>2.18024230206901</v>
      </c>
      <c r="I221">
        <f t="shared" si="36"/>
        <v>10.363114125794599</v>
      </c>
      <c r="J221">
        <f t="shared" si="37"/>
        <v>2.1791747378220698</v>
      </c>
      <c r="K221" s="7">
        <f t="shared" si="38"/>
        <v>-7.5804204598739502E-5</v>
      </c>
      <c r="L221" s="7">
        <f t="shared" si="39"/>
        <v>1.06756424694021E-3</v>
      </c>
      <c r="M221" s="7">
        <f t="shared" si="40"/>
        <v>9.2409869138558198E-2</v>
      </c>
      <c r="N221" s="7">
        <f t="shared" si="41"/>
        <v>-1.9432117595901601E-2</v>
      </c>
      <c r="O221">
        <v>-0.37470037</v>
      </c>
      <c r="P221">
        <v>-3.0021186000000002</v>
      </c>
      <c r="Q221" s="14">
        <v>-5.2156010000000004</v>
      </c>
      <c r="R221">
        <v>-7.5589807999999996</v>
      </c>
      <c r="S221">
        <f t="shared" si="42"/>
        <v>3.0355267668868917</v>
      </c>
      <c r="T221">
        <f t="shared" si="43"/>
        <v>-27.490774710125873</v>
      </c>
    </row>
    <row r="222" spans="1:20" x14ac:dyDescent="0.35">
      <c r="A222">
        <v>1.75</v>
      </c>
      <c r="B222">
        <v>16.375</v>
      </c>
      <c r="C222">
        <v>-4.3514114E-2</v>
      </c>
      <c r="D222">
        <v>1.2548314E-2</v>
      </c>
      <c r="E222">
        <v>0.95666421999999995</v>
      </c>
      <c r="F222">
        <v>1.0387566000000001E-2</v>
      </c>
      <c r="G222">
        <f t="shared" si="34"/>
        <v>10.263412360244001</v>
      </c>
      <c r="H222">
        <f t="shared" si="35"/>
        <v>2.8430233536161</v>
      </c>
      <c r="I222">
        <f t="shared" si="36"/>
        <v>10.263502686188399</v>
      </c>
      <c r="J222">
        <f t="shared" si="37"/>
        <v>2.8419431735183198</v>
      </c>
      <c r="K222" s="7">
        <f t="shared" si="38"/>
        <v>-9.0325944398728097E-5</v>
      </c>
      <c r="L222" s="7">
        <f t="shared" si="39"/>
        <v>1.08018009778021E-3</v>
      </c>
      <c r="M222" s="7">
        <f t="shared" si="40"/>
        <v>9.0494207762179105E-2</v>
      </c>
      <c r="N222" s="7">
        <f t="shared" si="41"/>
        <v>-2.50576634367486E-2</v>
      </c>
      <c r="O222">
        <v>-0.55052953000000004</v>
      </c>
      <c r="P222">
        <v>-2.9398667999999999</v>
      </c>
      <c r="Q222">
        <v>-5.6131850999999999</v>
      </c>
      <c r="R222">
        <v>-7.1574695000000004</v>
      </c>
      <c r="S222">
        <f t="shared" si="42"/>
        <v>3.0411542202029436</v>
      </c>
      <c r="T222">
        <f t="shared" si="43"/>
        <v>-27.498456663107032</v>
      </c>
    </row>
    <row r="223" spans="1:20" x14ac:dyDescent="0.35">
      <c r="A223">
        <v>1.75</v>
      </c>
      <c r="B223">
        <v>16.4375</v>
      </c>
      <c r="C223">
        <v>-4.2446860000000003E-2</v>
      </c>
      <c r="D223">
        <v>1.4940139E-2</v>
      </c>
      <c r="E223">
        <v>0.95775401000000004</v>
      </c>
      <c r="F223">
        <v>1.2782534E-2</v>
      </c>
      <c r="G223">
        <f t="shared" si="34"/>
        <v>10.1646404059513</v>
      </c>
      <c r="H223">
        <f t="shared" si="35"/>
        <v>3.4914331137565</v>
      </c>
      <c r="I223">
        <f t="shared" si="36"/>
        <v>10.164741994328001</v>
      </c>
      <c r="J223">
        <f t="shared" si="37"/>
        <v>3.4903545291779299</v>
      </c>
      <c r="K223" s="7">
        <f t="shared" si="38"/>
        <v>-1.0158837670104499E-4</v>
      </c>
      <c r="L223" s="7">
        <f t="shared" si="39"/>
        <v>1.07858457857013E-3</v>
      </c>
      <c r="M223" s="7">
        <f t="shared" si="40"/>
        <v>8.80029539430357E-2</v>
      </c>
      <c r="N223" s="7">
        <f t="shared" si="41"/>
        <v>-3.0218328123577599E-2</v>
      </c>
      <c r="O223">
        <v>-0.71118433000000003</v>
      </c>
      <c r="P223">
        <v>-2.8607477000000001</v>
      </c>
      <c r="Q223">
        <v>-5.9466511999999998</v>
      </c>
      <c r="R223">
        <v>-6.7295474999999998</v>
      </c>
      <c r="S223">
        <f t="shared" si="42"/>
        <v>3.046487167062208</v>
      </c>
      <c r="T223">
        <f t="shared" si="43"/>
        <v>-27.505067951255931</v>
      </c>
    </row>
    <row r="224" spans="1:20" x14ac:dyDescent="0.35">
      <c r="A224">
        <v>1.75</v>
      </c>
      <c r="B224">
        <v>16.5</v>
      </c>
      <c r="C224">
        <v>-4.1173372E-2</v>
      </c>
      <c r="D224">
        <v>1.7094281999999999E-2</v>
      </c>
      <c r="E224">
        <v>0.95903793999999998</v>
      </c>
      <c r="F224">
        <v>1.4961096E-2</v>
      </c>
      <c r="G224">
        <f t="shared" si="34"/>
        <v>10.065652034572301</v>
      </c>
      <c r="H224">
        <f t="shared" si="35"/>
        <v>4.1240603018803998</v>
      </c>
      <c r="I224">
        <f t="shared" si="36"/>
        <v>10.065758816669099</v>
      </c>
      <c r="J224">
        <f t="shared" si="37"/>
        <v>4.1229939354414498</v>
      </c>
      <c r="K224" s="7">
        <f t="shared" si="38"/>
        <v>-1.0678209679859701E-4</v>
      </c>
      <c r="L224" s="7">
        <f t="shared" si="39"/>
        <v>1.0663664389500801E-3</v>
      </c>
      <c r="M224" s="7">
        <f t="shared" si="40"/>
        <v>8.5073357499760999E-2</v>
      </c>
      <c r="N224" s="7">
        <f t="shared" si="41"/>
        <v>-3.4846546934772397E-2</v>
      </c>
      <c r="O224">
        <v>-0.85478637999999996</v>
      </c>
      <c r="P224">
        <v>-2.7678045</v>
      </c>
      <c r="Q224">
        <v>-6.2161806999999998</v>
      </c>
      <c r="R224">
        <v>-6.2873412000000002</v>
      </c>
      <c r="S224">
        <f t="shared" si="42"/>
        <v>3.0521589281692276</v>
      </c>
      <c r="T224">
        <f t="shared" si="43"/>
        <v>-27.511561961047356</v>
      </c>
    </row>
    <row r="225" spans="1:20" x14ac:dyDescent="0.35">
      <c r="A225">
        <v>1.75</v>
      </c>
      <c r="B225">
        <v>16.5625</v>
      </c>
      <c r="C225">
        <v>-3.974784E-2</v>
      </c>
      <c r="D225">
        <v>1.8997938999999998E-2</v>
      </c>
      <c r="E225">
        <v>0.96046419000000005</v>
      </c>
      <c r="F225">
        <v>1.6896706000000001E-2</v>
      </c>
      <c r="G225">
        <f t="shared" si="34"/>
        <v>9.96737081840344</v>
      </c>
      <c r="H225">
        <f t="shared" si="35"/>
        <v>4.7395159200879498</v>
      </c>
      <c r="I225">
        <f t="shared" si="36"/>
        <v>9.9674779256082697</v>
      </c>
      <c r="J225">
        <f t="shared" si="37"/>
        <v>4.7384655274739096</v>
      </c>
      <c r="K225" s="7">
        <f t="shared" si="38"/>
        <v>-1.0710720482975901E-4</v>
      </c>
      <c r="L225" s="7">
        <f t="shared" si="39"/>
        <v>1.0503926140401599E-3</v>
      </c>
      <c r="M225" s="7">
        <f t="shared" si="40"/>
        <v>8.1832327237703797E-2</v>
      </c>
      <c r="N225" s="7">
        <f t="shared" si="41"/>
        <v>-3.8902485116380198E-2</v>
      </c>
      <c r="O225">
        <v>-0.98084090999999995</v>
      </c>
      <c r="P225">
        <v>-2.6653068000000002</v>
      </c>
      <c r="Q225">
        <v>-6.4247639999999997</v>
      </c>
      <c r="R225">
        <v>-5.8416607000000003</v>
      </c>
      <c r="S225">
        <f t="shared" si="42"/>
        <v>3.0575000513669619</v>
      </c>
      <c r="T225">
        <f t="shared" si="43"/>
        <v>-27.517827145051282</v>
      </c>
    </row>
    <row r="226" spans="1:20" x14ac:dyDescent="0.35">
      <c r="A226">
        <v>1.75</v>
      </c>
      <c r="B226">
        <v>16.625</v>
      </c>
      <c r="C226">
        <v>-3.8220717000000001E-2</v>
      </c>
      <c r="D226">
        <v>2.0650460999999998E-2</v>
      </c>
      <c r="E226">
        <v>0.96198744000000003</v>
      </c>
      <c r="F226">
        <v>1.8579912000000001E-2</v>
      </c>
      <c r="G226">
        <f t="shared" si="34"/>
        <v>9.8710673879714008</v>
      </c>
      <c r="H226">
        <f t="shared" si="35"/>
        <v>5.33759498874198</v>
      </c>
      <c r="I226">
        <f t="shared" si="36"/>
        <v>9.8711725270977801</v>
      </c>
      <c r="J226">
        <f t="shared" si="37"/>
        <v>5.3365599308171303</v>
      </c>
      <c r="K226" s="7">
        <f t="shared" si="38"/>
        <v>-1.0513912637932799E-4</v>
      </c>
      <c r="L226" s="7">
        <f t="shared" si="39"/>
        <v>1.0350579248496999E-3</v>
      </c>
      <c r="M226" s="7">
        <f t="shared" si="40"/>
        <v>7.8393085082240396E-2</v>
      </c>
      <c r="N226" s="7">
        <f t="shared" si="41"/>
        <v>-4.23809223832926E-2</v>
      </c>
      <c r="O226">
        <v>-1.0896482999999999</v>
      </c>
      <c r="P226">
        <v>-2.5569066</v>
      </c>
      <c r="Q226">
        <v>-6.5773830999999996</v>
      </c>
      <c r="R226">
        <v>-5.4016956</v>
      </c>
      <c r="S226">
        <f t="shared" si="42"/>
        <v>3.0622305312836819</v>
      </c>
      <c r="T226">
        <f t="shared" si="43"/>
        <v>-27.523640325018892</v>
      </c>
    </row>
    <row r="227" spans="1:20" x14ac:dyDescent="0.35">
      <c r="A227">
        <v>1.75</v>
      </c>
      <c r="B227">
        <v>16.6875</v>
      </c>
      <c r="C227">
        <v>-3.6636439E-2</v>
      </c>
      <c r="D227">
        <v>2.2060669000000001E-2</v>
      </c>
      <c r="E227">
        <v>0.96356679000000001</v>
      </c>
      <c r="F227">
        <v>2.0016552E-2</v>
      </c>
      <c r="G227">
        <f t="shared" si="34"/>
        <v>9.7774564578081407</v>
      </c>
      <c r="H227">
        <f t="shared" si="35"/>
        <v>5.9188227300149396</v>
      </c>
      <c r="I227">
        <f t="shared" si="36"/>
        <v>9.7775591062678107</v>
      </c>
      <c r="J227">
        <f t="shared" si="37"/>
        <v>5.9178008802624298</v>
      </c>
      <c r="K227" s="7">
        <f t="shared" si="38"/>
        <v>-1.02648459670007E-4</v>
      </c>
      <c r="L227" s="7">
        <f t="shared" si="39"/>
        <v>1.02184975250985E-3</v>
      </c>
      <c r="M227" s="7">
        <f t="shared" si="40"/>
        <v>7.4854402511190798E-2</v>
      </c>
      <c r="N227" s="7">
        <f t="shared" si="41"/>
        <v>-4.5305115955604901E-2</v>
      </c>
      <c r="O227">
        <v>-1.1813648999999999</v>
      </c>
      <c r="P227">
        <v>-2.4444116</v>
      </c>
      <c r="Q227">
        <v>-6.6801064999999999</v>
      </c>
      <c r="R227">
        <v>-4.9747094000000001</v>
      </c>
      <c r="S227">
        <f t="shared" si="42"/>
        <v>3.067850960312136</v>
      </c>
      <c r="T227">
        <f t="shared" si="43"/>
        <v>-27.530643521793461</v>
      </c>
    </row>
    <row r="228" spans="1:20" x14ac:dyDescent="0.35">
      <c r="A228">
        <v>1.75</v>
      </c>
      <c r="B228">
        <v>16.75</v>
      </c>
      <c r="C228">
        <v>-3.5033310999999998E-2</v>
      </c>
      <c r="D228">
        <v>2.3244124000000001E-2</v>
      </c>
      <c r="E228">
        <v>0.96508885</v>
      </c>
      <c r="F228">
        <v>2.1148232999999999E-2</v>
      </c>
      <c r="G228">
        <f t="shared" si="34"/>
        <v>9.69163270373293</v>
      </c>
      <c r="H228">
        <f t="shared" si="35"/>
        <v>6.4689700291441703</v>
      </c>
      <c r="I228">
        <f t="shared" si="36"/>
        <v>9.6916948784896597</v>
      </c>
      <c r="J228">
        <f t="shared" si="37"/>
        <v>6.4679222128010601</v>
      </c>
      <c r="K228" s="7">
        <f t="shared" si="38"/>
        <v>-6.2174756729760402E-5</v>
      </c>
      <c r="L228" s="7">
        <f t="shared" si="39"/>
        <v>1.0478163431102399E-3</v>
      </c>
      <c r="M228" s="7">
        <f t="shared" si="40"/>
        <v>7.1386881609454694E-2</v>
      </c>
      <c r="N228" s="7">
        <f t="shared" si="41"/>
        <v>-4.7641284940694098E-2</v>
      </c>
      <c r="O228">
        <v>-1.2576858</v>
      </c>
      <c r="P228">
        <v>-2.3316595000000002</v>
      </c>
      <c r="Q228">
        <v>-6.7388358999999998</v>
      </c>
      <c r="R228">
        <v>-4.5660201000000002</v>
      </c>
      <c r="S228">
        <f t="shared" si="42"/>
        <v>3.0726127733383573</v>
      </c>
      <c r="T228">
        <f t="shared" si="43"/>
        <v>-27.537478851429913</v>
      </c>
    </row>
    <row r="229" spans="1:20" x14ac:dyDescent="0.35">
      <c r="A229">
        <v>1.75</v>
      </c>
      <c r="B229">
        <v>16.8125</v>
      </c>
      <c r="C229">
        <v>-3.3434924999999997E-2</v>
      </c>
      <c r="D229">
        <v>2.4222720999999999E-2</v>
      </c>
      <c r="E229">
        <v>0.96655016999999999</v>
      </c>
      <c r="F229">
        <v>2.2325449000000001E-2</v>
      </c>
      <c r="G229">
        <f t="shared" si="34"/>
        <v>9.5725495460769796</v>
      </c>
      <c r="H229">
        <f t="shared" si="35"/>
        <v>7.0104214508280398</v>
      </c>
      <c r="I229">
        <f t="shared" si="36"/>
        <v>9.5725429934510302</v>
      </c>
      <c r="J229">
        <f t="shared" si="37"/>
        <v>7.0094728015422003</v>
      </c>
      <c r="K229" s="7">
        <f t="shared" si="38"/>
        <v>6.5526259493964298E-6</v>
      </c>
      <c r="L229" s="7">
        <f t="shared" si="39"/>
        <v>9.4864928583948704E-4</v>
      </c>
      <c r="M229" s="7">
        <f t="shared" si="40"/>
        <v>6.8003092984110905E-2</v>
      </c>
      <c r="N229" s="7">
        <f t="shared" si="41"/>
        <v>-4.9795109932541097E-2</v>
      </c>
      <c r="O229">
        <v>-1.3193615999999999</v>
      </c>
      <c r="P229">
        <v>-2.2198764999999998</v>
      </c>
      <c r="Q229">
        <v>-6.7599274999999999</v>
      </c>
      <c r="R229">
        <v>-4.1789189999999996</v>
      </c>
      <c r="S229">
        <f t="shared" si="42"/>
        <v>3.0775474318132132</v>
      </c>
      <c r="T229">
        <f t="shared" si="43"/>
        <v>-27.551348156091073</v>
      </c>
    </row>
    <row r="230" spans="1:20" x14ac:dyDescent="0.35">
      <c r="A230">
        <v>1.75</v>
      </c>
      <c r="B230">
        <v>16.875</v>
      </c>
      <c r="C230">
        <v>-3.1873923999999998E-2</v>
      </c>
      <c r="D230">
        <v>2.5012914000000001E-2</v>
      </c>
      <c r="E230">
        <v>0.96811270000000005</v>
      </c>
      <c r="F230">
        <v>2.3130777000000002E-2</v>
      </c>
      <c r="G230">
        <f t="shared" si="34"/>
        <v>9.48874499491885</v>
      </c>
      <c r="H230">
        <f t="shared" si="35"/>
        <v>7.5425922666211997</v>
      </c>
      <c r="I230">
        <f t="shared" si="36"/>
        <v>9.4887391925010292</v>
      </c>
      <c r="J230">
        <f t="shared" si="37"/>
        <v>7.5416511863667797</v>
      </c>
      <c r="K230" s="7">
        <f t="shared" si="38"/>
        <v>5.8024178208881898E-6</v>
      </c>
      <c r="L230" s="7">
        <f t="shared" si="39"/>
        <v>9.4108025442007903E-4</v>
      </c>
      <c r="M230" s="7">
        <f t="shared" si="40"/>
        <v>6.45876147304041E-2</v>
      </c>
      <c r="N230" s="7">
        <f t="shared" si="41"/>
        <v>-5.1334244874293403E-2</v>
      </c>
      <c r="O230">
        <v>-1.3691091</v>
      </c>
      <c r="P230">
        <v>-2.1110226999999999</v>
      </c>
      <c r="Q230">
        <v>-6.7519279000000001</v>
      </c>
      <c r="R230">
        <v>-3.8163756000000002</v>
      </c>
      <c r="S230">
        <f t="shared" si="42"/>
        <v>3.0824613254877633</v>
      </c>
      <c r="T230">
        <f t="shared" si="43"/>
        <v>-27.558143076061302</v>
      </c>
    </row>
    <row r="231" spans="1:20" x14ac:dyDescent="0.35">
      <c r="A231">
        <v>1.75</v>
      </c>
      <c r="B231">
        <v>16.9375</v>
      </c>
      <c r="C231">
        <v>-3.036293E-2</v>
      </c>
      <c r="D231">
        <v>2.5639520999999998E-2</v>
      </c>
      <c r="E231">
        <v>0.96962565999999994</v>
      </c>
      <c r="F231">
        <v>2.3772224000000002E-2</v>
      </c>
      <c r="G231">
        <f t="shared" si="34"/>
        <v>9.4073359577025908</v>
      </c>
      <c r="H231">
        <f t="shared" si="35"/>
        <v>8.0604049620483096</v>
      </c>
      <c r="I231">
        <f t="shared" si="36"/>
        <v>9.4073311243837399</v>
      </c>
      <c r="J231">
        <f t="shared" si="37"/>
        <v>8.0594713037091807</v>
      </c>
      <c r="K231" s="7">
        <f t="shared" si="38"/>
        <v>4.8333188509275302E-6</v>
      </c>
      <c r="L231" s="7">
        <f t="shared" si="39"/>
        <v>9.3365833912884E-4</v>
      </c>
      <c r="M231" s="7">
        <f t="shared" si="40"/>
        <v>6.1304332833326099E-2</v>
      </c>
      <c r="N231" s="7">
        <f t="shared" si="41"/>
        <v>-5.2520795189463898E-2</v>
      </c>
      <c r="O231">
        <v>-1.4078588000000001</v>
      </c>
      <c r="P231">
        <v>-2.0060772999999998</v>
      </c>
      <c r="Q231">
        <v>-6.7189513999999999</v>
      </c>
      <c r="R231">
        <v>-3.4789078999999998</v>
      </c>
      <c r="S231">
        <f t="shared" si="42"/>
        <v>3.0872315062242728</v>
      </c>
      <c r="T231">
        <f t="shared" si="43"/>
        <v>-27.564930974334516</v>
      </c>
    </row>
    <row r="232" spans="1:20" x14ac:dyDescent="0.35">
      <c r="A232">
        <v>1.75</v>
      </c>
      <c r="B232">
        <v>17</v>
      </c>
      <c r="C232">
        <v>-2.8913655999999999E-2</v>
      </c>
      <c r="D232">
        <v>2.6123923E-2</v>
      </c>
      <c r="E232">
        <v>0.97107710999999997</v>
      </c>
      <c r="F232">
        <v>2.4271326999999999E-2</v>
      </c>
      <c r="G232">
        <f t="shared" si="34"/>
        <v>9.3282142545767304</v>
      </c>
      <c r="H232">
        <f t="shared" si="35"/>
        <v>8.5641699083885499</v>
      </c>
      <c r="I232">
        <f t="shared" si="36"/>
        <v>9.3282104955945204</v>
      </c>
      <c r="J232">
        <f t="shared" si="37"/>
        <v>8.5632436026298304</v>
      </c>
      <c r="K232" s="7">
        <f t="shared" si="38"/>
        <v>3.7589822099448598E-6</v>
      </c>
      <c r="L232" s="7">
        <f t="shared" si="39"/>
        <v>9.2630575871943698E-4</v>
      </c>
      <c r="M232" s="7">
        <f t="shared" si="40"/>
        <v>5.8176000112534001E-2</v>
      </c>
      <c r="N232" s="7">
        <f t="shared" si="41"/>
        <v>-5.3405233621767502E-2</v>
      </c>
      <c r="O232">
        <v>-1.4369483000000001</v>
      </c>
      <c r="P232">
        <v>-1.9055708</v>
      </c>
      <c r="Q232">
        <v>-6.6660529999999998</v>
      </c>
      <c r="R232">
        <v>-3.1665822000000001</v>
      </c>
      <c r="S232">
        <f t="shared" si="42"/>
        <v>3.0921960687979611</v>
      </c>
      <c r="T232">
        <f t="shared" si="43"/>
        <v>-27.571701254303044</v>
      </c>
    </row>
    <row r="233" spans="1:20" x14ac:dyDescent="0.35">
      <c r="A233">
        <v>1.875</v>
      </c>
      <c r="B233">
        <v>15</v>
      </c>
      <c r="C233">
        <v>-1.6003420000000001E-2</v>
      </c>
      <c r="D233">
        <v>-1.9043517999999999E-2</v>
      </c>
      <c r="E233">
        <v>0.98387276000000001</v>
      </c>
      <c r="F233">
        <v>-2.1331419000000001E-2</v>
      </c>
      <c r="G233">
        <f t="shared" si="34"/>
        <v>11.5678165169123</v>
      </c>
      <c r="H233">
        <f t="shared" si="35"/>
        <v>-15.163638964870101</v>
      </c>
      <c r="I233">
        <f t="shared" si="36"/>
        <v>11.567755911943401</v>
      </c>
      <c r="J233">
        <f t="shared" si="37"/>
        <v>-15.164783055529901</v>
      </c>
      <c r="K233" s="7">
        <f t="shared" si="38"/>
        <v>6.0604968899369303E-5</v>
      </c>
      <c r="L233" s="7">
        <f t="shared" si="39"/>
        <v>1.1440906597997001E-3</v>
      </c>
      <c r="M233" s="7">
        <f t="shared" si="40"/>
        <v>3.1798451644501E-2</v>
      </c>
      <c r="N233" s="7">
        <f t="shared" si="41"/>
        <v>4.16862721137417E-2</v>
      </c>
      <c r="O233">
        <v>1.5920281000000001</v>
      </c>
      <c r="P233">
        <v>-1.0748656000000001</v>
      </c>
      <c r="Q233">
        <v>2.6741484</v>
      </c>
      <c r="R233">
        <v>-4.8881968999999996</v>
      </c>
      <c r="S233">
        <f t="shared" si="42"/>
        <v>2.9006338931340978</v>
      </c>
      <c r="T233">
        <f t="shared" si="43"/>
        <v>-27.293144469114917</v>
      </c>
    </row>
    <row r="234" spans="1:20" x14ac:dyDescent="0.35">
      <c r="A234">
        <v>1.875</v>
      </c>
      <c r="B234">
        <v>15.0625</v>
      </c>
      <c r="C234">
        <v>-1.7432215000000001E-2</v>
      </c>
      <c r="D234">
        <v>-1.9572103E-2</v>
      </c>
      <c r="E234">
        <v>0.98244436999999996</v>
      </c>
      <c r="F234">
        <v>-2.1864578999999999E-2</v>
      </c>
      <c r="G234">
        <f t="shared" si="34"/>
        <v>11.396013003950401</v>
      </c>
      <c r="H234">
        <f t="shared" si="35"/>
        <v>-14.0880354859049</v>
      </c>
      <c r="I234">
        <f t="shared" si="36"/>
        <v>11.3959526067454</v>
      </c>
      <c r="J234">
        <f t="shared" si="37"/>
        <v>-14.089181863874501</v>
      </c>
      <c r="K234" s="7">
        <f t="shared" si="38"/>
        <v>6.0397205000839402E-5</v>
      </c>
      <c r="L234" s="7">
        <f t="shared" si="39"/>
        <v>1.1463779696008201E-3</v>
      </c>
      <c r="M234" s="7">
        <f t="shared" si="40"/>
        <v>3.4704315497355601E-2</v>
      </c>
      <c r="N234" s="7">
        <f t="shared" si="41"/>
        <v>4.2906058789161997E-2</v>
      </c>
      <c r="O234">
        <v>1.6208326</v>
      </c>
      <c r="P234">
        <v>-1.1671457999999999</v>
      </c>
      <c r="Q234">
        <v>2.6338743</v>
      </c>
      <c r="R234">
        <v>-5.1802520999999997</v>
      </c>
      <c r="S234">
        <f t="shared" si="42"/>
        <v>2.9095813398845478</v>
      </c>
      <c r="T234">
        <f t="shared" si="43"/>
        <v>-27.291864837698757</v>
      </c>
    </row>
    <row r="235" spans="1:20" x14ac:dyDescent="0.35">
      <c r="A235">
        <v>1.875</v>
      </c>
      <c r="B235">
        <v>15.125</v>
      </c>
      <c r="C235">
        <v>-1.8978378000000001E-2</v>
      </c>
      <c r="D235">
        <v>-2.0037309E-2</v>
      </c>
      <c r="E235">
        <v>0.98089506000000004</v>
      </c>
      <c r="F235">
        <v>-2.2336476000000001E-2</v>
      </c>
      <c r="G235">
        <f t="shared" si="34"/>
        <v>11.2328602773136</v>
      </c>
      <c r="H235">
        <f t="shared" si="35"/>
        <v>-13.0540751018391</v>
      </c>
      <c r="I235">
        <f t="shared" si="36"/>
        <v>11.2327983141003</v>
      </c>
      <c r="J235">
        <f t="shared" si="37"/>
        <v>-13.0552248293269</v>
      </c>
      <c r="K235" s="7">
        <f t="shared" si="38"/>
        <v>6.1963213299876001E-5</v>
      </c>
      <c r="L235" s="7">
        <f t="shared" si="39"/>
        <v>1.1497274877996201E-3</v>
      </c>
      <c r="M235" s="7">
        <f t="shared" si="40"/>
        <v>3.78700046972342E-2</v>
      </c>
      <c r="N235" s="7">
        <f t="shared" si="41"/>
        <v>4.4014092640606198E-2</v>
      </c>
      <c r="O235">
        <v>1.6457417999999999</v>
      </c>
      <c r="P235">
        <v>-1.2665595000000001</v>
      </c>
      <c r="Q235">
        <v>2.5723628999999999</v>
      </c>
      <c r="R235">
        <v>-5.4867233000000004</v>
      </c>
      <c r="S235">
        <f t="shared" si="42"/>
        <v>2.9180100255351533</v>
      </c>
      <c r="T235">
        <f t="shared" si="43"/>
        <v>-27.299408922743879</v>
      </c>
    </row>
    <row r="236" spans="1:20" x14ac:dyDescent="0.35">
      <c r="A236">
        <v>1.875</v>
      </c>
      <c r="B236">
        <v>15.1875</v>
      </c>
      <c r="C236">
        <v>-2.0653734E-2</v>
      </c>
      <c r="D236">
        <v>-2.0424886E-2</v>
      </c>
      <c r="E236">
        <v>0.97921254999999996</v>
      </c>
      <c r="F236">
        <v>-2.2731529E-2</v>
      </c>
      <c r="G236">
        <f t="shared" si="34"/>
        <v>11.076274357406501</v>
      </c>
      <c r="H236">
        <f t="shared" si="35"/>
        <v>-12.0548000170451</v>
      </c>
      <c r="I236">
        <f t="shared" si="36"/>
        <v>11.076208825351699</v>
      </c>
      <c r="J236">
        <f t="shared" si="37"/>
        <v>-12.055953491243599</v>
      </c>
      <c r="K236" s="7">
        <f t="shared" si="38"/>
        <v>6.55320548013094E-5</v>
      </c>
      <c r="L236" s="7">
        <f t="shared" si="39"/>
        <v>1.15347419849954E-3</v>
      </c>
      <c r="M236" s="7">
        <f t="shared" si="40"/>
        <v>4.1324755669272101E-2</v>
      </c>
      <c r="N236" s="7">
        <f t="shared" si="41"/>
        <v>4.4980131761819503E-2</v>
      </c>
      <c r="O236">
        <v>1.6660094999999999</v>
      </c>
      <c r="P236">
        <v>-1.3743413</v>
      </c>
      <c r="Q236">
        <v>2.4859325999999999</v>
      </c>
      <c r="R236">
        <v>-5.8081749</v>
      </c>
      <c r="S236">
        <f t="shared" si="42"/>
        <v>2.9252889568583118</v>
      </c>
      <c r="T236">
        <f t="shared" si="43"/>
        <v>-27.308547458224073</v>
      </c>
    </row>
    <row r="237" spans="1:20" x14ac:dyDescent="0.35">
      <c r="A237">
        <v>1.875</v>
      </c>
      <c r="B237">
        <v>15.25</v>
      </c>
      <c r="C237">
        <v>-2.2465037E-2</v>
      </c>
      <c r="D237">
        <v>-2.0713387E-2</v>
      </c>
      <c r="E237">
        <v>0.97739078999999995</v>
      </c>
      <c r="F237">
        <v>-2.3027269999999999E-2</v>
      </c>
      <c r="G237">
        <f t="shared" si="34"/>
        <v>10.925894595416199</v>
      </c>
      <c r="H237">
        <f t="shared" si="35"/>
        <v>-11.0872292812575</v>
      </c>
      <c r="I237">
        <f t="shared" si="36"/>
        <v>10.9258238425207</v>
      </c>
      <c r="J237">
        <f t="shared" si="37"/>
        <v>-11.088386388026301</v>
      </c>
      <c r="K237" s="7">
        <f t="shared" si="38"/>
        <v>7.0752895499737206E-5</v>
      </c>
      <c r="L237" s="7">
        <f t="shared" si="39"/>
        <v>1.1571067688009901E-3</v>
      </c>
      <c r="M237" s="7">
        <f t="shared" si="40"/>
        <v>4.50873062653597E-2</v>
      </c>
      <c r="N237" s="7">
        <f t="shared" si="41"/>
        <v>4.5758148792397299E-2</v>
      </c>
      <c r="O237">
        <v>1.6798781</v>
      </c>
      <c r="P237">
        <v>-1.4907300999999999</v>
      </c>
      <c r="Q237">
        <v>2.3702006</v>
      </c>
      <c r="R237">
        <v>-6.1437708999999998</v>
      </c>
      <c r="S237">
        <f t="shared" si="42"/>
        <v>2.9320036480478548</v>
      </c>
      <c r="T237">
        <f t="shared" si="43"/>
        <v>-27.317953543219396</v>
      </c>
    </row>
    <row r="238" spans="1:20" x14ac:dyDescent="0.35">
      <c r="A238">
        <v>1.875</v>
      </c>
      <c r="B238">
        <v>15.3125</v>
      </c>
      <c r="C238">
        <v>-2.4414921999999999E-2</v>
      </c>
      <c r="D238">
        <v>-2.0877135000000002E-2</v>
      </c>
      <c r="E238">
        <v>0.97542786000000004</v>
      </c>
      <c r="F238">
        <v>-2.3197069000000001E-2</v>
      </c>
      <c r="G238">
        <f t="shared" si="34"/>
        <v>10.781485419184101</v>
      </c>
      <c r="H238">
        <f t="shared" si="35"/>
        <v>-10.149462951646299</v>
      </c>
      <c r="I238">
        <f t="shared" si="36"/>
        <v>10.7814081498432</v>
      </c>
      <c r="J238">
        <f t="shared" si="37"/>
        <v>-10.150623099474201</v>
      </c>
      <c r="K238" s="7">
        <f t="shared" si="38"/>
        <v>7.7269340900798497E-5</v>
      </c>
      <c r="L238" s="7">
        <f t="shared" si="39"/>
        <v>1.1601478279015299E-3</v>
      </c>
      <c r="M238" s="7">
        <f t="shared" si="40"/>
        <v>4.9168677206609598E-2</v>
      </c>
      <c r="N238" s="7">
        <f t="shared" si="41"/>
        <v>4.6291978161615399E-2</v>
      </c>
      <c r="O238">
        <v>1.6854397999999999</v>
      </c>
      <c r="P238">
        <v>-1.6156458</v>
      </c>
      <c r="Q238">
        <v>2.2205374</v>
      </c>
      <c r="R238">
        <v>-6.4916926000000004</v>
      </c>
      <c r="S238">
        <f t="shared" si="42"/>
        <v>2.938640462007728</v>
      </c>
      <c r="T238">
        <f t="shared" si="43"/>
        <v>-27.327530425807424</v>
      </c>
    </row>
    <row r="239" spans="1:20" x14ac:dyDescent="0.35">
      <c r="A239">
        <v>1.875</v>
      </c>
      <c r="B239">
        <v>15.375</v>
      </c>
      <c r="C239">
        <v>-2.6501277E-2</v>
      </c>
      <c r="D239">
        <v>-2.0886760000000001E-2</v>
      </c>
      <c r="E239">
        <v>0.97332655999999995</v>
      </c>
      <c r="F239">
        <v>-2.3210801E-2</v>
      </c>
      <c r="G239">
        <f t="shared" si="34"/>
        <v>10.6427700911392</v>
      </c>
      <c r="H239">
        <f t="shared" si="35"/>
        <v>-9.2400344151127207</v>
      </c>
      <c r="I239">
        <f t="shared" si="36"/>
        <v>10.642685352867099</v>
      </c>
      <c r="J239">
        <f t="shared" si="37"/>
        <v>-9.2411966341258793</v>
      </c>
      <c r="K239" s="7">
        <f t="shared" si="38"/>
        <v>8.4738272100537402E-5</v>
      </c>
      <c r="L239" s="7">
        <f t="shared" si="39"/>
        <v>1.16221901315861E-3</v>
      </c>
      <c r="M239" s="7">
        <f t="shared" si="40"/>
        <v>5.3570617764203E-2</v>
      </c>
      <c r="N239" s="7">
        <f t="shared" si="41"/>
        <v>4.6516137248878799E-2</v>
      </c>
      <c r="O239">
        <v>1.6806604000000001</v>
      </c>
      <c r="P239">
        <v>-1.7487258000000001</v>
      </c>
      <c r="Q239">
        <v>2.0320732000000001</v>
      </c>
      <c r="R239">
        <v>-6.8488414999999998</v>
      </c>
      <c r="S239">
        <f t="shared" si="42"/>
        <v>2.9454468154929803</v>
      </c>
      <c r="T239">
        <f t="shared" si="43"/>
        <v>-27.337168942663673</v>
      </c>
    </row>
    <row r="240" spans="1:20" x14ac:dyDescent="0.35">
      <c r="A240">
        <v>1.875</v>
      </c>
      <c r="B240">
        <v>15.4375</v>
      </c>
      <c r="C240">
        <v>-2.8716094000000001E-2</v>
      </c>
      <c r="D240">
        <v>-2.0709724999999998E-2</v>
      </c>
      <c r="E240">
        <v>0.97109553999999998</v>
      </c>
      <c r="F240">
        <v>-2.3035382E-2</v>
      </c>
      <c r="G240">
        <f t="shared" si="34"/>
        <v>10.5094402490499</v>
      </c>
      <c r="H240">
        <f t="shared" si="35"/>
        <v>-8.3576704832531998</v>
      </c>
      <c r="I240">
        <f t="shared" si="36"/>
        <v>10.509347409728999</v>
      </c>
      <c r="J240">
        <f t="shared" si="37"/>
        <v>-8.3588335292485496</v>
      </c>
      <c r="K240" s="7">
        <f t="shared" si="38"/>
        <v>9.2839320901205697E-5</v>
      </c>
      <c r="L240" s="7">
        <f t="shared" si="39"/>
        <v>1.1630459953497799E-3</v>
      </c>
      <c r="M240" s="7">
        <f t="shared" si="40"/>
        <v>5.82827889856379E-2</v>
      </c>
      <c r="N240" s="7">
        <f t="shared" si="41"/>
        <v>4.6356458851124001E-2</v>
      </c>
      <c r="O240">
        <v>1.663753</v>
      </c>
      <c r="P240">
        <v>-1.8896413000000001</v>
      </c>
      <c r="Q240">
        <v>1.8000174</v>
      </c>
      <c r="R240">
        <v>-7.2108698999999996</v>
      </c>
      <c r="S240">
        <f t="shared" si="42"/>
        <v>2.9519550502321503</v>
      </c>
      <c r="T240">
        <f t="shared" si="43"/>
        <v>-27.34656787450233</v>
      </c>
    </row>
    <row r="241" spans="1:20" x14ac:dyDescent="0.35">
      <c r="A241">
        <v>1.875</v>
      </c>
      <c r="B241">
        <v>15.5</v>
      </c>
      <c r="C241">
        <v>-3.1047732000000001E-2</v>
      </c>
      <c r="D241">
        <v>-2.0308985000000002E-2</v>
      </c>
      <c r="E241">
        <v>0.96896051000000005</v>
      </c>
      <c r="F241">
        <v>-2.2473659999999999E-2</v>
      </c>
      <c r="G241">
        <f t="shared" si="34"/>
        <v>10.420890886135799</v>
      </c>
      <c r="H241">
        <f t="shared" si="35"/>
        <v>-7.5247546383885799</v>
      </c>
      <c r="I241">
        <f t="shared" si="36"/>
        <v>10.420896178557401</v>
      </c>
      <c r="J241">
        <f t="shared" si="37"/>
        <v>-7.5258369657001296</v>
      </c>
      <c r="K241" s="7">
        <f t="shared" si="38"/>
        <v>-5.2924216014105199E-6</v>
      </c>
      <c r="L241" s="7">
        <f t="shared" si="39"/>
        <v>1.0823273115496701E-3</v>
      </c>
      <c r="M241" s="7">
        <f t="shared" si="40"/>
        <v>6.3067772834542193E-2</v>
      </c>
      <c r="N241" s="7">
        <f t="shared" si="41"/>
        <v>4.5546733026590902E-2</v>
      </c>
      <c r="O241">
        <v>1.6323538</v>
      </c>
      <c r="P241">
        <v>-2.0377972</v>
      </c>
      <c r="Q241">
        <v>1.5188607999999999</v>
      </c>
      <c r="R241">
        <v>-7.5735362000000004</v>
      </c>
      <c r="S241">
        <f t="shared" si="42"/>
        <v>2.9584098208780887</v>
      </c>
      <c r="T241">
        <f t="shared" si="43"/>
        <v>-27.355924262254803</v>
      </c>
    </row>
    <row r="242" spans="1:20" x14ac:dyDescent="0.35">
      <c r="A242">
        <v>1.875</v>
      </c>
      <c r="B242">
        <v>15.5625</v>
      </c>
      <c r="C242">
        <v>-3.3464424999999999E-2</v>
      </c>
      <c r="D242">
        <v>-1.9653095999999998E-2</v>
      </c>
      <c r="E242">
        <v>0.96654636999999999</v>
      </c>
      <c r="F242">
        <v>-2.1807885999999999E-2</v>
      </c>
      <c r="G242">
        <f t="shared" si="34"/>
        <v>10.2983883036386</v>
      </c>
      <c r="H242">
        <f t="shared" si="35"/>
        <v>-6.6899115774292897</v>
      </c>
      <c r="I242">
        <f t="shared" si="36"/>
        <v>10.2983948618693</v>
      </c>
      <c r="J242">
        <f t="shared" si="37"/>
        <v>-6.6909889595483198</v>
      </c>
      <c r="K242" s="7">
        <f t="shared" si="38"/>
        <v>-6.5582306998379602E-6</v>
      </c>
      <c r="L242" s="7">
        <f t="shared" si="39"/>
        <v>1.07738211903019E-3</v>
      </c>
      <c r="M242" s="7">
        <f t="shared" si="40"/>
        <v>6.8279848481992603E-2</v>
      </c>
      <c r="N242" s="7">
        <f t="shared" si="41"/>
        <v>4.4362225228341802E-2</v>
      </c>
      <c r="O242">
        <v>1.5842868000000001</v>
      </c>
      <c r="P242">
        <v>-2.1903204999999999</v>
      </c>
      <c r="Q242">
        <v>1.1864078</v>
      </c>
      <c r="R242">
        <v>-7.9261248000000002</v>
      </c>
      <c r="S242">
        <f t="shared" si="42"/>
        <v>2.9647557791843369</v>
      </c>
      <c r="T242">
        <f t="shared" si="43"/>
        <v>-27.365682862270845</v>
      </c>
    </row>
    <row r="243" spans="1:20" x14ac:dyDescent="0.35">
      <c r="A243">
        <v>1.875</v>
      </c>
      <c r="B243">
        <v>15.625</v>
      </c>
      <c r="C243">
        <v>-3.5935645000000002E-2</v>
      </c>
      <c r="D243">
        <v>-1.8706304E-2</v>
      </c>
      <c r="E243">
        <v>0.96407936000000005</v>
      </c>
      <c r="F243">
        <v>-2.0851927999999999E-2</v>
      </c>
      <c r="G243">
        <f t="shared" si="34"/>
        <v>10.179895924132699</v>
      </c>
      <c r="H243">
        <f t="shared" si="35"/>
        <v>-5.8789489094577796</v>
      </c>
      <c r="I243">
        <f t="shared" si="36"/>
        <v>10.1799045774747</v>
      </c>
      <c r="J243">
        <f t="shared" si="37"/>
        <v>-5.8800217041257197</v>
      </c>
      <c r="K243" s="7">
        <f t="shared" si="38"/>
        <v>-8.6533420002865603E-6</v>
      </c>
      <c r="L243" s="7">
        <f t="shared" si="39"/>
        <v>1.0727946679400799E-3</v>
      </c>
      <c r="M243" s="7">
        <f t="shared" si="40"/>
        <v>7.3657945044133005E-2</v>
      </c>
      <c r="N243" s="7">
        <f t="shared" si="41"/>
        <v>4.2545616439190699E-2</v>
      </c>
      <c r="O243">
        <v>1.5173762</v>
      </c>
      <c r="P243">
        <v>-2.3453406000000001</v>
      </c>
      <c r="Q243">
        <v>0.79930641999999996</v>
      </c>
      <c r="R243">
        <v>-8.2614338000000007</v>
      </c>
      <c r="S243">
        <f t="shared" si="42"/>
        <v>2.9712991387694245</v>
      </c>
      <c r="T243">
        <f t="shared" si="43"/>
        <v>-27.375594160897077</v>
      </c>
    </row>
    <row r="244" spans="1:20" x14ac:dyDescent="0.35">
      <c r="A244">
        <v>1.875</v>
      </c>
      <c r="B244">
        <v>15.6875</v>
      </c>
      <c r="C244">
        <v>-3.8416242000000003E-2</v>
      </c>
      <c r="D244">
        <v>-1.7439240000000002E-2</v>
      </c>
      <c r="E244">
        <v>0.96160467000000005</v>
      </c>
      <c r="F244">
        <v>-1.9576878999999998E-2</v>
      </c>
      <c r="G244">
        <f t="shared" si="34"/>
        <v>10.065241289787499</v>
      </c>
      <c r="H244">
        <f t="shared" si="35"/>
        <v>-5.09094379111888</v>
      </c>
      <c r="I244">
        <f t="shared" si="36"/>
        <v>10.065252888016101</v>
      </c>
      <c r="J244">
        <f t="shared" si="37"/>
        <v>-5.09201258704715</v>
      </c>
      <c r="K244" s="7">
        <f t="shared" si="38"/>
        <v>-1.15982286015281E-5</v>
      </c>
      <c r="L244" s="7">
        <f t="shared" si="39"/>
        <v>1.0687959282700301E-3</v>
      </c>
      <c r="M244" s="7">
        <f t="shared" si="40"/>
        <v>7.9105771662053903E-2</v>
      </c>
      <c r="N244" s="7">
        <f t="shared" si="41"/>
        <v>4.0019618929877598E-2</v>
      </c>
      <c r="O244">
        <v>1.4301187</v>
      </c>
      <c r="P244">
        <v>-2.5002990999999999</v>
      </c>
      <c r="Q244">
        <v>0.35670003</v>
      </c>
      <c r="R244">
        <v>-8.5690500000000007</v>
      </c>
      <c r="S244">
        <f t="shared" si="42"/>
        <v>2.9775221841642381</v>
      </c>
      <c r="T244">
        <f t="shared" si="43"/>
        <v>-27.385002200204251</v>
      </c>
    </row>
    <row r="245" spans="1:20" x14ac:dyDescent="0.35">
      <c r="A245">
        <v>1.875</v>
      </c>
      <c r="B245">
        <v>15.75</v>
      </c>
      <c r="C245">
        <v>-4.0850472999999998E-2</v>
      </c>
      <c r="D245">
        <v>-1.5830746999999999E-2</v>
      </c>
      <c r="E245">
        <v>0.95917806000000005</v>
      </c>
      <c r="F245">
        <v>-1.7962095000000001E-2</v>
      </c>
      <c r="G245">
        <f t="shared" si="34"/>
        <v>9.9542763163198291</v>
      </c>
      <c r="H245">
        <f t="shared" si="35"/>
        <v>-4.3250399767962504</v>
      </c>
      <c r="I245">
        <f t="shared" si="36"/>
        <v>9.9542917182274806</v>
      </c>
      <c r="J245">
        <f t="shared" si="37"/>
        <v>-4.3261056191798497</v>
      </c>
      <c r="K245" s="7">
        <f t="shared" si="38"/>
        <v>-1.5401907651480001E-5</v>
      </c>
      <c r="L245" s="7">
        <f t="shared" si="39"/>
        <v>1.0656423835993E-3</v>
      </c>
      <c r="M245" s="7">
        <f t="shared" si="40"/>
        <v>8.4499394180343898E-2</v>
      </c>
      <c r="N245" s="7">
        <f t="shared" si="41"/>
        <v>3.6723185770365499E-2</v>
      </c>
      <c r="O245">
        <v>1.3211828000000001</v>
      </c>
      <c r="P245">
        <v>-2.6513906</v>
      </c>
      <c r="Q245">
        <v>-0.13995653</v>
      </c>
      <c r="R245">
        <v>-8.8374811999999991</v>
      </c>
      <c r="S245">
        <f t="shared" si="42"/>
        <v>2.9836617891426416</v>
      </c>
      <c r="T245">
        <f t="shared" si="43"/>
        <v>-27.394287202120804</v>
      </c>
    </row>
    <row r="246" spans="1:20" x14ac:dyDescent="0.35">
      <c r="A246">
        <v>1.875</v>
      </c>
      <c r="B246">
        <v>15.8125</v>
      </c>
      <c r="C246">
        <v>-4.3173602999999998E-2</v>
      </c>
      <c r="D246">
        <v>-1.3871816E-2</v>
      </c>
      <c r="E246">
        <v>0.95686426999999996</v>
      </c>
      <c r="F246">
        <v>-1.5999151999999999E-2</v>
      </c>
      <c r="G246">
        <f t="shared" si="34"/>
        <v>9.8468759965770101</v>
      </c>
      <c r="H246">
        <f t="shared" si="35"/>
        <v>-3.5804424657477698</v>
      </c>
      <c r="I246">
        <f t="shared" si="36"/>
        <v>9.8468960640424896</v>
      </c>
      <c r="J246">
        <f t="shared" si="37"/>
        <v>-3.5815060922612898</v>
      </c>
      <c r="K246" s="7">
        <f t="shared" si="38"/>
        <v>-2.00674654795563E-5</v>
      </c>
      <c r="L246" s="7">
        <f t="shared" si="39"/>
        <v>1.06362651351999E-3</v>
      </c>
      <c r="M246" s="7">
        <f t="shared" si="40"/>
        <v>8.9689646550306895E-2</v>
      </c>
      <c r="N246" s="7">
        <f t="shared" si="41"/>
        <v>3.26218549930355E-2</v>
      </c>
      <c r="O246">
        <v>1.1904399999999999</v>
      </c>
      <c r="P246">
        <v>-2.7952058000000002</v>
      </c>
      <c r="Q246">
        <v>-0.68628308000000005</v>
      </c>
      <c r="R246">
        <v>-9.0549406999999995</v>
      </c>
      <c r="S246">
        <f t="shared" si="42"/>
        <v>2.9889658248457831</v>
      </c>
      <c r="T246">
        <f t="shared" si="43"/>
        <v>-27.402711512128281</v>
      </c>
    </row>
    <row r="247" spans="1:20" x14ac:dyDescent="0.35">
      <c r="A247">
        <v>1.875</v>
      </c>
      <c r="B247">
        <v>15.875</v>
      </c>
      <c r="C247">
        <v>-4.5315115000000003E-2</v>
      </c>
      <c r="D247">
        <v>-1.156923E-2</v>
      </c>
      <c r="E247">
        <v>0.95473381000000002</v>
      </c>
      <c r="F247">
        <v>-1.3695532E-2</v>
      </c>
      <c r="G247">
        <f t="shared" si="34"/>
        <v>9.7429394353974903</v>
      </c>
      <c r="H247">
        <f t="shared" si="35"/>
        <v>-2.8564128316830701</v>
      </c>
      <c r="I247">
        <f t="shared" si="36"/>
        <v>9.7429650275049298</v>
      </c>
      <c r="J247">
        <f t="shared" si="37"/>
        <v>-2.8574759294687699</v>
      </c>
      <c r="K247" s="7">
        <f t="shared" si="38"/>
        <v>-2.5592107439464899E-5</v>
      </c>
      <c r="L247" s="7">
        <f t="shared" si="39"/>
        <v>1.0630977856998E-3</v>
      </c>
      <c r="M247" s="7">
        <f t="shared" si="40"/>
        <v>9.4508820937898794E-2</v>
      </c>
      <c r="N247" s="7">
        <f t="shared" si="41"/>
        <v>2.7718120735334199E-2</v>
      </c>
      <c r="O247">
        <v>1.0379114</v>
      </c>
      <c r="P247">
        <v>-2.9258025999999999</v>
      </c>
      <c r="Q247">
        <v>-1.2747465</v>
      </c>
      <c r="R247">
        <v>-9.2099705000000007</v>
      </c>
      <c r="S247">
        <f t="shared" si="42"/>
        <v>2.9949860275141336</v>
      </c>
      <c r="T247">
        <f t="shared" si="43"/>
        <v>-27.412051794576303</v>
      </c>
    </row>
    <row r="248" spans="1:20" x14ac:dyDescent="0.35">
      <c r="A248">
        <v>1.875</v>
      </c>
      <c r="B248">
        <v>15.9375</v>
      </c>
      <c r="C248">
        <v>-4.7203519999999999E-2</v>
      </c>
      <c r="D248">
        <v>-8.9481942000000005E-3</v>
      </c>
      <c r="E248">
        <v>0.95285810999999998</v>
      </c>
      <c r="F248">
        <v>-1.1077272000000001E-2</v>
      </c>
      <c r="G248">
        <f t="shared" si="34"/>
        <v>9.6423880659948509</v>
      </c>
      <c r="H248">
        <f t="shared" si="35"/>
        <v>-2.1522632129499102</v>
      </c>
      <c r="I248">
        <f t="shared" si="36"/>
        <v>9.6424200131823508</v>
      </c>
      <c r="J248">
        <f t="shared" si="37"/>
        <v>-2.15332768503918</v>
      </c>
      <c r="K248" s="7">
        <f t="shared" si="38"/>
        <v>-3.1947187499881097E-5</v>
      </c>
      <c r="L248" s="7">
        <f t="shared" si="39"/>
        <v>1.0644720892698501E-3</v>
      </c>
      <c r="M248" s="7">
        <f t="shared" si="40"/>
        <v>9.8782044730780699E-2</v>
      </c>
      <c r="N248" s="7">
        <f t="shared" si="41"/>
        <v>2.2059826414195599E-2</v>
      </c>
      <c r="O248">
        <v>0.86554867000000002</v>
      </c>
      <c r="P248">
        <v>-3.0387205000000002</v>
      </c>
      <c r="Q248">
        <v>-1.8944449000000001</v>
      </c>
      <c r="R248">
        <v>-9.2926491000000002</v>
      </c>
      <c r="S248">
        <f t="shared" si="42"/>
        <v>3.0015902461594046</v>
      </c>
      <c r="T248">
        <f t="shared" si="43"/>
        <v>-27.421762930184197</v>
      </c>
    </row>
    <row r="249" spans="1:20" x14ac:dyDescent="0.35">
      <c r="A249">
        <v>1.875</v>
      </c>
      <c r="B249">
        <v>16</v>
      </c>
      <c r="C249">
        <v>-4.8772349999999999E-2</v>
      </c>
      <c r="D249">
        <v>-6.0531535999999997E-3</v>
      </c>
      <c r="E249">
        <v>0.95130351000000002</v>
      </c>
      <c r="F249">
        <v>-8.1897837999999994E-3</v>
      </c>
      <c r="G249">
        <f t="shared" si="34"/>
        <v>9.5451704068287597</v>
      </c>
      <c r="H249">
        <f t="shared" si="35"/>
        <v>-1.4673505071220401</v>
      </c>
      <c r="I249">
        <f t="shared" si="36"/>
        <v>9.5452094765561295</v>
      </c>
      <c r="J249">
        <f t="shared" si="37"/>
        <v>-1.46841873996519</v>
      </c>
      <c r="K249" s="7">
        <f t="shared" si="38"/>
        <v>-3.90697273697782E-5</v>
      </c>
      <c r="L249" s="7">
        <f t="shared" si="39"/>
        <v>1.06823284314994E-3</v>
      </c>
      <c r="M249" s="7">
        <f t="shared" si="40"/>
        <v>0.102342533497064</v>
      </c>
      <c r="N249" s="7">
        <f t="shared" si="41"/>
        <v>1.5744200737732299E-2</v>
      </c>
      <c r="O249">
        <v>0.67671417</v>
      </c>
      <c r="P249">
        <v>-3.1311477000000001</v>
      </c>
      <c r="Q249">
        <v>-2.5317432000000002</v>
      </c>
      <c r="R249">
        <v>-9.2956801000000002</v>
      </c>
      <c r="S249">
        <f t="shared" si="42"/>
        <v>3.0074801018668915</v>
      </c>
      <c r="T249">
        <f t="shared" si="43"/>
        <v>-27.430754658029592</v>
      </c>
    </row>
    <row r="250" spans="1:20" x14ac:dyDescent="0.35">
      <c r="A250">
        <v>1.875</v>
      </c>
      <c r="B250">
        <v>16.0625</v>
      </c>
      <c r="C250">
        <v>-4.996652E-2</v>
      </c>
      <c r="D250">
        <v>-2.9462538000000001E-3</v>
      </c>
      <c r="E250">
        <v>0.95012490000000005</v>
      </c>
      <c r="F250">
        <v>-5.0962250000000002E-3</v>
      </c>
      <c r="G250">
        <f t="shared" si="34"/>
        <v>9.45126890294957</v>
      </c>
      <c r="H250">
        <f t="shared" si="35"/>
        <v>-0.80106270761183196</v>
      </c>
      <c r="I250">
        <f t="shared" si="36"/>
        <v>9.4513157662945293</v>
      </c>
      <c r="J250">
        <f t="shared" si="37"/>
        <v>-0.80213759370136894</v>
      </c>
      <c r="K250" s="7">
        <f t="shared" si="38"/>
        <v>-4.68633449592915E-5</v>
      </c>
      <c r="L250" s="7">
        <f t="shared" si="39"/>
        <v>1.07488608953699E-3</v>
      </c>
      <c r="M250" s="7">
        <f t="shared" si="40"/>
        <v>0.10504870859272999</v>
      </c>
      <c r="N250" s="7">
        <f t="shared" si="41"/>
        <v>8.9155330766231798E-3</v>
      </c>
      <c r="O250">
        <v>0.47539990999999998</v>
      </c>
      <c r="P250">
        <v>-3.1997377999999999</v>
      </c>
      <c r="Q250">
        <v>-3.1710208999999998</v>
      </c>
      <c r="R250">
        <v>-9.2153392000000007</v>
      </c>
      <c r="S250">
        <f t="shared" si="42"/>
        <v>3.0126974154107073</v>
      </c>
      <c r="T250">
        <f t="shared" si="43"/>
        <v>-27.439345538749894</v>
      </c>
    </row>
    <row r="251" spans="1:20" x14ac:dyDescent="0.35">
      <c r="A251">
        <v>1.875</v>
      </c>
      <c r="B251">
        <v>16.125</v>
      </c>
      <c r="C251">
        <v>-5.0747960000000002E-2</v>
      </c>
      <c r="D251">
        <v>2.9666577000000001E-4</v>
      </c>
      <c r="E251">
        <v>0.94936005000000001</v>
      </c>
      <c r="F251">
        <v>-1.8731835E-3</v>
      </c>
      <c r="G251">
        <f t="shared" si="34"/>
        <v>9.3606971819375406</v>
      </c>
      <c r="H251">
        <f t="shared" si="35"/>
        <v>-0.152785616321085</v>
      </c>
      <c r="I251">
        <f t="shared" si="36"/>
        <v>9.36075236089059</v>
      </c>
      <c r="J251">
        <f t="shared" si="37"/>
        <v>-0.15387042250612201</v>
      </c>
      <c r="K251" s="7">
        <f t="shared" si="38"/>
        <v>-5.5178953049406198E-5</v>
      </c>
      <c r="L251" s="7">
        <f t="shared" si="39"/>
        <v>1.08480618503701E-3</v>
      </c>
      <c r="M251" s="7">
        <f t="shared" si="40"/>
        <v>0.10680016224217399</v>
      </c>
      <c r="N251" s="7">
        <f t="shared" si="41"/>
        <v>1.75556252898909E-3</v>
      </c>
      <c r="O251">
        <v>0.26634794000000001</v>
      </c>
      <c r="P251">
        <v>-3.2409789999999998</v>
      </c>
      <c r="Q251">
        <v>-3.7958821999999999</v>
      </c>
      <c r="R251">
        <v>-9.0521016999999997</v>
      </c>
      <c r="S251">
        <f t="shared" si="42"/>
        <v>3.0184664838144166</v>
      </c>
      <c r="T251">
        <f t="shared" si="43"/>
        <v>-27.44819796869341</v>
      </c>
    </row>
    <row r="252" spans="1:20" x14ac:dyDescent="0.35">
      <c r="A252">
        <v>1.875</v>
      </c>
      <c r="B252">
        <v>16.1875</v>
      </c>
      <c r="C252">
        <v>-5.1099443000000001E-2</v>
      </c>
      <c r="D252">
        <v>3.5921073999999999E-3</v>
      </c>
      <c r="E252">
        <v>0.94902575</v>
      </c>
      <c r="F252">
        <v>1.3960445000000001E-3</v>
      </c>
      <c r="G252">
        <f t="shared" si="34"/>
        <v>9.2734715828487104</v>
      </c>
      <c r="H252">
        <f t="shared" si="35"/>
        <v>0.47816191917891399</v>
      </c>
      <c r="I252">
        <f t="shared" si="36"/>
        <v>9.2735353808758596</v>
      </c>
      <c r="J252">
        <f t="shared" si="37"/>
        <v>0.47706402650539298</v>
      </c>
      <c r="K252" s="7">
        <f t="shared" si="38"/>
        <v>-6.3798027149175596E-5</v>
      </c>
      <c r="L252" s="7">
        <f t="shared" si="39"/>
        <v>1.0978926735210101E-3</v>
      </c>
      <c r="M252" s="7">
        <f t="shared" si="40"/>
        <v>0.10754911696963999</v>
      </c>
      <c r="N252" s="7">
        <f t="shared" si="41"/>
        <v>-5.53271354250122E-3</v>
      </c>
      <c r="O252">
        <v>5.5053619999999998E-2</v>
      </c>
      <c r="P252">
        <v>-3.2542293</v>
      </c>
      <c r="Q252">
        <v>-4.3905276000000004</v>
      </c>
      <c r="R252">
        <v>-8.8106355999999995</v>
      </c>
      <c r="S252">
        <f t="shared" si="42"/>
        <v>3.0245490637846362</v>
      </c>
      <c r="T252">
        <f t="shared" si="43"/>
        <v>-27.457267036252841</v>
      </c>
    </row>
    <row r="253" spans="1:20" x14ac:dyDescent="0.35">
      <c r="A253">
        <v>1.875</v>
      </c>
      <c r="B253">
        <v>16.25</v>
      </c>
      <c r="C253">
        <v>-5.1025832E-2</v>
      </c>
      <c r="D253">
        <v>6.8559976000000002E-3</v>
      </c>
      <c r="E253">
        <v>0.94911657000000005</v>
      </c>
      <c r="F253">
        <v>4.6295891000000004E-3</v>
      </c>
      <c r="G253">
        <f t="shared" si="34"/>
        <v>9.1895356590211996</v>
      </c>
      <c r="H253">
        <f t="shared" si="35"/>
        <v>1.0926105287461101</v>
      </c>
      <c r="I253">
        <f t="shared" si="36"/>
        <v>9.1896080939094809</v>
      </c>
      <c r="J253">
        <f t="shared" si="37"/>
        <v>1.0914974843808001</v>
      </c>
      <c r="K253" s="7">
        <f t="shared" si="38"/>
        <v>-7.2434888281236494E-5</v>
      </c>
      <c r="L253" s="7">
        <f t="shared" si="39"/>
        <v>1.11304436531001E-3</v>
      </c>
      <c r="M253" s="7">
        <f t="shared" si="40"/>
        <v>0.107304761793537</v>
      </c>
      <c r="N253" s="7">
        <f t="shared" si="41"/>
        <v>-1.2745143901985501E-2</v>
      </c>
      <c r="O253">
        <v>-0.15311097000000001</v>
      </c>
      <c r="P253">
        <v>-3.2408575000000002</v>
      </c>
      <c r="Q253">
        <v>-4.9411221999999997</v>
      </c>
      <c r="R253">
        <v>-8.4995987999999993</v>
      </c>
      <c r="S253">
        <f t="shared" si="42"/>
        <v>3.0302226498310247</v>
      </c>
      <c r="T253">
        <f t="shared" si="43"/>
        <v>-27.46610691848586</v>
      </c>
    </row>
    <row r="254" spans="1:20" x14ac:dyDescent="0.35">
      <c r="A254">
        <v>1.875</v>
      </c>
      <c r="B254">
        <v>16.3125</v>
      </c>
      <c r="C254">
        <v>-5.0552571999999997E-2</v>
      </c>
      <c r="D254">
        <v>1.0010602E-2</v>
      </c>
      <c r="E254">
        <v>0.94960628999999996</v>
      </c>
      <c r="F254">
        <v>7.7545833999999999E-3</v>
      </c>
      <c r="G254">
        <f t="shared" si="34"/>
        <v>9.1086260308569997</v>
      </c>
      <c r="H254">
        <f t="shared" si="35"/>
        <v>1.6915597221362</v>
      </c>
      <c r="I254">
        <f t="shared" si="36"/>
        <v>9.1087067276484408</v>
      </c>
      <c r="J254">
        <f t="shared" si="37"/>
        <v>1.69043189344749</v>
      </c>
      <c r="K254" s="7">
        <f t="shared" si="38"/>
        <v>-8.06967914410706E-5</v>
      </c>
      <c r="L254" s="7">
        <f t="shared" si="39"/>
        <v>1.1278286887099801E-3</v>
      </c>
      <c r="M254" s="7">
        <f t="shared" si="40"/>
        <v>0.10612980101376999</v>
      </c>
      <c r="N254" s="7">
        <f t="shared" si="41"/>
        <v>-1.96960123805884E-2</v>
      </c>
      <c r="O254">
        <v>-0.35329212999999998</v>
      </c>
      <c r="P254">
        <v>-3.2024879999999998</v>
      </c>
      <c r="Q254">
        <v>-5.4366792000000004</v>
      </c>
      <c r="R254">
        <v>-8.1304940000000006</v>
      </c>
      <c r="S254">
        <f t="shared" si="42"/>
        <v>3.0356829475334339</v>
      </c>
      <c r="T254">
        <f t="shared" si="43"/>
        <v>-27.474458603949593</v>
      </c>
    </row>
    <row r="255" spans="1:20" x14ac:dyDescent="0.35">
      <c r="A255">
        <v>1.875</v>
      </c>
      <c r="B255">
        <v>16.375</v>
      </c>
      <c r="C255">
        <v>-4.9721849999999998E-2</v>
      </c>
      <c r="D255">
        <v>1.2990119E-2</v>
      </c>
      <c r="E255">
        <v>0.95045161</v>
      </c>
      <c r="F255">
        <v>1.0711544999999999E-2</v>
      </c>
      <c r="G255">
        <f t="shared" si="34"/>
        <v>9.0301892741644796</v>
      </c>
      <c r="H255">
        <f t="shared" si="35"/>
        <v>2.27599858638568</v>
      </c>
      <c r="I255">
        <f t="shared" si="36"/>
        <v>9.0302772942785499</v>
      </c>
      <c r="J255">
        <f t="shared" si="37"/>
        <v>2.2748594984589401</v>
      </c>
      <c r="K255" s="7">
        <f t="shared" si="38"/>
        <v>-8.8020114070275199E-5</v>
      </c>
      <c r="L255" s="7">
        <f t="shared" si="39"/>
        <v>1.1390879267398899E-3</v>
      </c>
      <c r="M255" s="7">
        <f t="shared" si="40"/>
        <v>0.104130353180917</v>
      </c>
      <c r="N255" s="7">
        <f t="shared" si="41"/>
        <v>-2.62319655634029E-2</v>
      </c>
      <c r="O255">
        <v>-0.54133176999999999</v>
      </c>
      <c r="P255">
        <v>-3.1416436000000001</v>
      </c>
      <c r="Q255">
        <v>-5.8697198999999998</v>
      </c>
      <c r="R255">
        <v>-7.7165698999999996</v>
      </c>
      <c r="S255">
        <f t="shared" si="42"/>
        <v>3.0412460320709518</v>
      </c>
      <c r="T255">
        <f t="shared" si="43"/>
        <v>-27.482409618073138</v>
      </c>
    </row>
    <row r="256" spans="1:20" x14ac:dyDescent="0.35">
      <c r="A256">
        <v>1.875</v>
      </c>
      <c r="B256">
        <v>16.4375</v>
      </c>
      <c r="C256">
        <v>-4.8587333000000003E-2</v>
      </c>
      <c r="D256">
        <v>1.5744192000000001E-2</v>
      </c>
      <c r="E256">
        <v>0.95159757</v>
      </c>
      <c r="F256">
        <v>1.3454598E-2</v>
      </c>
      <c r="G256">
        <f t="shared" si="34"/>
        <v>8.9535301948407593</v>
      </c>
      <c r="H256">
        <f t="shared" si="35"/>
        <v>2.8465737988800899</v>
      </c>
      <c r="I256">
        <f t="shared" si="36"/>
        <v>8.9536239479893194</v>
      </c>
      <c r="J256">
        <f t="shared" si="37"/>
        <v>2.8454292150269098</v>
      </c>
      <c r="K256" s="7">
        <f t="shared" si="38"/>
        <v>-9.3753148560082904E-5</v>
      </c>
      <c r="L256" s="7">
        <f t="shared" si="39"/>
        <v>1.14458385318006E-3</v>
      </c>
      <c r="M256" s="7">
        <f t="shared" si="40"/>
        <v>0.101441575765622</v>
      </c>
      <c r="N256" s="7">
        <f t="shared" si="41"/>
        <v>-3.2237764840088598E-2</v>
      </c>
      <c r="O256">
        <v>-0.71417430999999998</v>
      </c>
      <c r="P256">
        <v>-3.0621676</v>
      </c>
      <c r="Q256">
        <v>-6.2365465000000002</v>
      </c>
      <c r="R256">
        <v>-7.2716396000000003</v>
      </c>
      <c r="S256">
        <f t="shared" si="42"/>
        <v>3.0466525360762926</v>
      </c>
      <c r="T256">
        <f t="shared" si="43"/>
        <v>-27.490013184260754</v>
      </c>
    </row>
    <row r="257" spans="1:20" x14ac:dyDescent="0.35">
      <c r="A257">
        <v>1.875</v>
      </c>
      <c r="B257">
        <v>16.5</v>
      </c>
      <c r="C257">
        <v>-4.7208538000000001E-2</v>
      </c>
      <c r="D257">
        <v>1.8239159000000001E-2</v>
      </c>
      <c r="E257">
        <v>0.95298380999999999</v>
      </c>
      <c r="F257">
        <v>1.5950222999999999E-2</v>
      </c>
      <c r="G257">
        <f t="shared" si="34"/>
        <v>8.8781465940248196</v>
      </c>
      <c r="H257">
        <f t="shared" si="35"/>
        <v>3.40344427206891</v>
      </c>
      <c r="I257">
        <f t="shared" si="36"/>
        <v>8.8782440682037098</v>
      </c>
      <c r="J257">
        <f t="shared" si="37"/>
        <v>3.4023000256717402</v>
      </c>
      <c r="K257" s="7">
        <f t="shared" si="38"/>
        <v>-9.74741788901667E-5</v>
      </c>
      <c r="L257" s="7">
        <f t="shared" si="39"/>
        <v>1.1442463971698101E-3</v>
      </c>
      <c r="M257" s="7">
        <f t="shared" si="40"/>
        <v>9.8211899508426501E-2</v>
      </c>
      <c r="N257" s="7">
        <f t="shared" si="41"/>
        <v>-3.7636535518942499E-2</v>
      </c>
      <c r="O257">
        <v>-0.86973067000000004</v>
      </c>
      <c r="P257">
        <v>-2.9675590999999999</v>
      </c>
      <c r="Q257">
        <v>-6.5366866999999997</v>
      </c>
      <c r="R257">
        <v>-6.8087948999999997</v>
      </c>
      <c r="S257">
        <f t="shared" si="42"/>
        <v>3.052221871190512</v>
      </c>
      <c r="T257">
        <f t="shared" si="43"/>
        <v>-27.497149290854026</v>
      </c>
    </row>
    <row r="258" spans="1:20" x14ac:dyDescent="0.35">
      <c r="A258">
        <v>1.875</v>
      </c>
      <c r="B258">
        <v>16.5625</v>
      </c>
      <c r="C258">
        <v>-4.5645718000000002E-2</v>
      </c>
      <c r="D258">
        <v>2.0457360000000001E-2</v>
      </c>
      <c r="E258">
        <v>0.95455036000000004</v>
      </c>
      <c r="F258">
        <v>1.8177418000000001E-2</v>
      </c>
      <c r="G258">
        <f t="shared" si="34"/>
        <v>8.8039297025505192</v>
      </c>
      <c r="H258">
        <f t="shared" si="35"/>
        <v>3.9465138293866899</v>
      </c>
      <c r="I258">
        <f t="shared" si="36"/>
        <v>8.8040290310898506</v>
      </c>
      <c r="J258">
        <f t="shared" si="37"/>
        <v>3.9453740833578999</v>
      </c>
      <c r="K258" s="7">
        <f t="shared" si="38"/>
        <v>-9.9328539331366996E-5</v>
      </c>
      <c r="L258" s="7">
        <f t="shared" si="39"/>
        <v>1.13974602879008E-3</v>
      </c>
      <c r="M258" s="7">
        <f t="shared" si="40"/>
        <v>9.4588761207852506E-2</v>
      </c>
      <c r="N258" s="7">
        <f t="shared" si="41"/>
        <v>-4.23883253597351E-2</v>
      </c>
      <c r="O258">
        <v>-1.0071367</v>
      </c>
      <c r="P258">
        <v>-2.8620625</v>
      </c>
      <c r="Q258">
        <v>-6.7726448000000001</v>
      </c>
      <c r="R258">
        <v>-6.3398475000000003</v>
      </c>
      <c r="S258">
        <f t="shared" si="42"/>
        <v>3.0575788222803504</v>
      </c>
      <c r="T258">
        <f t="shared" si="43"/>
        <v>-27.503887018026212</v>
      </c>
    </row>
    <row r="259" spans="1:20" x14ac:dyDescent="0.35">
      <c r="A259">
        <v>1.875</v>
      </c>
      <c r="B259">
        <v>16.625</v>
      </c>
      <c r="C259">
        <v>-4.3955815000000002E-2</v>
      </c>
      <c r="D259">
        <v>2.2395043E-2</v>
      </c>
      <c r="E259">
        <v>0.95624136999999998</v>
      </c>
      <c r="F259">
        <v>2.0128347000000001E-2</v>
      </c>
      <c r="G259">
        <f t="shared" ref="G259:G322" si="44">IMREAL(IMDIV(IMSUM(IMPRODUCT(COMPLEX(1 + C259,D259),COMPLEX(1 - C259, - D259)),IMPRODUCT(COMPLEX(E259,F259),COMPLEX(E259,F259))),IMSUB(IMPRODUCT(COMPLEX(1 - C259, - D259),COMPLEX(1 - C259, - D259)),IMPRODUCT(COMPLEX(E259,F259),COMPLEX(E259,F259)))))</f>
        <v>8.7310453637850198</v>
      </c>
      <c r="H259">
        <f t="shared" ref="H259:H322" si="45">IMAGINARY(IMDIV(IMSUM(IMPRODUCT(COMPLEX(1 + C259,D259),COMPLEX(1 - C259, - D259)),IMPRODUCT(COMPLEX(E259,F259),COMPLEX(E259,F259))),IMSUB(IMPRODUCT(COMPLEX(1 - C259, - D259),COMPLEX(1 - C259, - D259)),IMPRODUCT(COMPLEX(E259,F259),COMPLEX(E259,F259)))))</f>
        <v>4.4757412656815596</v>
      </c>
      <c r="I259">
        <f t="shared" ref="I259:I322" si="46">IMREAL(IMDIV(IMPRODUCT(COMPLEX(2,0),COMPLEX(E259,F259)),IMSUB(IMPRODUCT(COMPLEX(1 - C259, - D259),COMPLEX(1 - C259, - D259)),IMPRODUCT(COMPLEX(E259,F259),COMPLEX(E259,F259)))))</f>
        <v>8.7311452306616992</v>
      </c>
      <c r="J259">
        <f t="shared" ref="J259:J322" si="47">IMAGINARY(IMDIV(IMPRODUCT(COMPLEX(2,0),COMPLEX(E259,F259)),IMSUB(IMPRODUCT(COMPLEX(1 - C259, - D259),COMPLEX(1 - C259, - D259)),IMPRODUCT(COMPLEX(E259,F259),COMPLEX(E259,F259)))))</f>
        <v>4.4746081425829303</v>
      </c>
      <c r="K259" s="7">
        <f t="shared" ref="K259:K322" si="48">IMREAL(IMSUB(COMPLEX(G259,H259),COMPLEX(I259,J259)))</f>
        <v>-9.9866876679399806E-5</v>
      </c>
      <c r="L259" s="7">
        <f t="shared" ref="L259:L322" si="49">IMAGINARY(IMSUB(COMPLEX(G259,H259),COMPLEX(I259,J259)))</f>
        <v>1.1331230986293399E-3</v>
      </c>
      <c r="M259" s="7">
        <f t="shared" ref="M259:M322" si="50">IMREAL(IMDIV(IMSUB(IMPRODUCT(COMPLEX(1 - C259, - D259),COMPLEX(1 - C259, - D259)),IMPRODUCT(COMPLEX(E259,F259),COMPLEX(E259,F259))),IMPRODUCT(COMPLEX(2,0),COMPLEX(E259,F259))))</f>
        <v>9.0708470872310099E-2</v>
      </c>
      <c r="N259" s="7">
        <f t="shared" ref="N259:N322" si="51">IMAGINARY(IMDIV(IMSUB(IMPRODUCT(COMPLEX(1 - C259, - D259),COMPLEX(1 - C259, - D259)),IMPRODUCT(COMPLEX(E259,F259),COMPLEX(E259,F259))),IMPRODUCT(COMPLEX(2,0),COMPLEX(E259,F259))))</f>
        <v>-4.6487013059995197E-2</v>
      </c>
      <c r="O259">
        <v>-1.1264521000000001</v>
      </c>
      <c r="P259">
        <v>-2.7495326000000002</v>
      </c>
      <c r="Q259">
        <v>-6.9489765999999999</v>
      </c>
      <c r="R259">
        <v>-5.8747615</v>
      </c>
      <c r="S259">
        <f t="shared" ref="S259:S322" si="52">IMABS(COMPLEX(Q259,R259))/IMABS(COMPLEX(O259,P259))</f>
        <v>3.0624331914361091</v>
      </c>
      <c r="T259">
        <f t="shared" ref="T259:T322" si="53">IMARGUMENT(IMDIV(COMPLEX(Q259,R259),COMPLEX(O259/B259,P259/B259)))/PI()*180</f>
        <v>-27.510004684196634</v>
      </c>
    </row>
    <row r="260" spans="1:20" x14ac:dyDescent="0.35">
      <c r="A260">
        <v>1.875</v>
      </c>
      <c r="B260">
        <v>16.6875</v>
      </c>
      <c r="C260">
        <v>-4.2189693E-2</v>
      </c>
      <c r="D260">
        <v>2.4059537999999998E-2</v>
      </c>
      <c r="E260">
        <v>0.95800719000000001</v>
      </c>
      <c r="F260">
        <v>2.1807329E-2</v>
      </c>
      <c r="G260">
        <f t="shared" si="44"/>
        <v>8.6597172103247697</v>
      </c>
      <c r="H260">
        <f t="shared" si="45"/>
        <v>4.9912653138076699</v>
      </c>
      <c r="I260">
        <f t="shared" si="46"/>
        <v>8.6598169098703099</v>
      </c>
      <c r="J260">
        <f t="shared" si="47"/>
        <v>4.9901394324132298</v>
      </c>
      <c r="K260" s="7">
        <f t="shared" si="48"/>
        <v>-9.9699545540232694E-5</v>
      </c>
      <c r="L260" s="7">
        <f t="shared" si="49"/>
        <v>1.1258813944401401E-3</v>
      </c>
      <c r="M260" s="7">
        <f t="shared" si="50"/>
        <v>8.6690129582973993E-2</v>
      </c>
      <c r="N260" s="7">
        <f t="shared" si="51"/>
        <v>-4.9954385702998601E-2</v>
      </c>
      <c r="O260">
        <v>-1.2277932</v>
      </c>
      <c r="P260">
        <v>-2.6321240000000001</v>
      </c>
      <c r="Q260">
        <v>-7.0716359999999998</v>
      </c>
      <c r="R260">
        <v>-5.4215013000000001</v>
      </c>
      <c r="S260">
        <f t="shared" si="52"/>
        <v>3.0680004722757386</v>
      </c>
      <c r="T260">
        <f t="shared" si="53"/>
        <v>-27.516865705254254</v>
      </c>
    </row>
    <row r="261" spans="1:20" x14ac:dyDescent="0.35">
      <c r="A261">
        <v>1.875</v>
      </c>
      <c r="B261">
        <v>16.75</v>
      </c>
      <c r="C261">
        <v>-4.0387195000000001E-2</v>
      </c>
      <c r="D261">
        <v>2.5469516000000001E-2</v>
      </c>
      <c r="E261">
        <v>0.95957835999999996</v>
      </c>
      <c r="F261">
        <v>2.3349281999999999E-2</v>
      </c>
      <c r="G261">
        <f t="shared" si="44"/>
        <v>8.5660606337303307</v>
      </c>
      <c r="H261">
        <f t="shared" si="45"/>
        <v>5.47757710659645</v>
      </c>
      <c r="I261">
        <f t="shared" si="46"/>
        <v>8.5660445348385696</v>
      </c>
      <c r="J261">
        <f t="shared" si="47"/>
        <v>5.4765169542712702</v>
      </c>
      <c r="K261" s="7">
        <f t="shared" si="48"/>
        <v>1.6098891761018301E-5</v>
      </c>
      <c r="L261" s="7">
        <f t="shared" si="49"/>
        <v>1.06015232517986E-3</v>
      </c>
      <c r="M261" s="7">
        <f t="shared" si="50"/>
        <v>8.28683160058548E-2</v>
      </c>
      <c r="N261" s="7">
        <f t="shared" si="51"/>
        <v>-5.2980081498785497E-2</v>
      </c>
      <c r="O261">
        <v>-1.3122221999999999</v>
      </c>
      <c r="P261">
        <v>-2.5140413000000001</v>
      </c>
      <c r="Q261">
        <v>-7.1454012999999996</v>
      </c>
      <c r="R261">
        <v>-4.9860179999999996</v>
      </c>
      <c r="S261">
        <f t="shared" si="52"/>
        <v>3.0724083762401913</v>
      </c>
      <c r="T261">
        <f t="shared" si="53"/>
        <v>-27.530260997773677</v>
      </c>
    </row>
    <row r="262" spans="1:20" x14ac:dyDescent="0.35">
      <c r="A262">
        <v>1.875</v>
      </c>
      <c r="B262">
        <v>16.8125</v>
      </c>
      <c r="C262">
        <v>-3.8590395999999999E-2</v>
      </c>
      <c r="D262">
        <v>2.6638641000000001E-2</v>
      </c>
      <c r="E262">
        <v>0.96137543000000003</v>
      </c>
      <c r="F262">
        <v>2.4531937E-2</v>
      </c>
      <c r="G262">
        <f t="shared" si="44"/>
        <v>8.4988139849085993</v>
      </c>
      <c r="H262">
        <f t="shared" si="45"/>
        <v>5.9640610700088104</v>
      </c>
      <c r="I262">
        <f t="shared" si="46"/>
        <v>8.4987980072227192</v>
      </c>
      <c r="J262">
        <f t="shared" si="47"/>
        <v>5.9630076831794696</v>
      </c>
      <c r="K262" s="7">
        <f t="shared" si="48"/>
        <v>1.59776858801308E-5</v>
      </c>
      <c r="L262" s="7">
        <f t="shared" si="49"/>
        <v>1.0533868293407501E-3</v>
      </c>
      <c r="M262" s="7">
        <f t="shared" si="50"/>
        <v>7.8848059449894994E-2</v>
      </c>
      <c r="N262" s="7">
        <f t="shared" si="51"/>
        <v>-5.5322127188331703E-2</v>
      </c>
      <c r="O262">
        <v>-1.3819455</v>
      </c>
      <c r="P262">
        <v>-2.3960279</v>
      </c>
      <c r="Q262">
        <v>-7.1807277999999997</v>
      </c>
      <c r="R262">
        <v>-4.5724770000000001</v>
      </c>
      <c r="S262">
        <f t="shared" si="52"/>
        <v>3.0777198194320268</v>
      </c>
      <c r="T262">
        <f t="shared" si="53"/>
        <v>-27.537358708136512</v>
      </c>
    </row>
    <row r="263" spans="1:20" x14ac:dyDescent="0.35">
      <c r="A263">
        <v>1.875</v>
      </c>
      <c r="B263">
        <v>16.875</v>
      </c>
      <c r="C263">
        <v>-3.6823509999999997E-2</v>
      </c>
      <c r="D263">
        <v>2.7593881000000001E-2</v>
      </c>
      <c r="E263">
        <v>0.96314290000000002</v>
      </c>
      <c r="F263">
        <v>2.5499948000000001E-2</v>
      </c>
      <c r="G263">
        <f t="shared" si="44"/>
        <v>8.4333872259977003</v>
      </c>
      <c r="H263">
        <f t="shared" si="45"/>
        <v>6.4378659300464696</v>
      </c>
      <c r="I263">
        <f t="shared" si="46"/>
        <v>8.4333715269085001</v>
      </c>
      <c r="J263">
        <f t="shared" si="47"/>
        <v>6.4368189295256704</v>
      </c>
      <c r="K263" s="7">
        <f t="shared" si="48"/>
        <v>1.5699089200182901E-5</v>
      </c>
      <c r="L263" s="7">
        <f t="shared" si="49"/>
        <v>1.0470005207992E-3</v>
      </c>
      <c r="M263" s="7">
        <f t="shared" si="50"/>
        <v>7.4927075558466602E-2</v>
      </c>
      <c r="N263" s="7">
        <f t="shared" si="51"/>
        <v>-5.7188517872108602E-2</v>
      </c>
      <c r="O263">
        <v>-1.4382805999999999</v>
      </c>
      <c r="P263">
        <v>-2.2807773999999998</v>
      </c>
      <c r="Q263">
        <v>-7.1822866999999997</v>
      </c>
      <c r="R263">
        <v>-4.1835335999999996</v>
      </c>
      <c r="S263">
        <f t="shared" si="52"/>
        <v>3.0825757432262693</v>
      </c>
      <c r="T263">
        <f t="shared" si="53"/>
        <v>-27.544151030945756</v>
      </c>
    </row>
    <row r="264" spans="1:20" x14ac:dyDescent="0.35">
      <c r="A264">
        <v>1.875</v>
      </c>
      <c r="B264">
        <v>16.9375</v>
      </c>
      <c r="C264">
        <v>-3.5107096999999997E-2</v>
      </c>
      <c r="D264">
        <v>2.8359527999999998E-2</v>
      </c>
      <c r="E264">
        <v>0.96486008999999995</v>
      </c>
      <c r="F264">
        <v>2.6277857000000002E-2</v>
      </c>
      <c r="G264">
        <f t="shared" si="44"/>
        <v>8.3697071105520102</v>
      </c>
      <c r="H264">
        <f t="shared" si="45"/>
        <v>6.8992796030604104</v>
      </c>
      <c r="I264">
        <f t="shared" si="46"/>
        <v>8.3696917871735295</v>
      </c>
      <c r="J264">
        <f t="shared" si="47"/>
        <v>6.8982387345342797</v>
      </c>
      <c r="K264" s="7">
        <f t="shared" si="48"/>
        <v>1.5323378480758299E-5</v>
      </c>
      <c r="L264" s="7">
        <f t="shared" si="49"/>
        <v>1.0408685261307201E-3</v>
      </c>
      <c r="M264" s="7">
        <f t="shared" si="50"/>
        <v>7.1148198325449705E-2</v>
      </c>
      <c r="N264" s="7">
        <f t="shared" si="51"/>
        <v>-5.8639824507407401E-2</v>
      </c>
      <c r="O264">
        <v>-1.4825995999999999</v>
      </c>
      <c r="P264">
        <v>-2.1691723000000001</v>
      </c>
      <c r="Q264">
        <v>-7.1560465999999998</v>
      </c>
      <c r="R264">
        <v>-3.8204912000000002</v>
      </c>
      <c r="S264">
        <f t="shared" si="52"/>
        <v>3.0874371559694742</v>
      </c>
      <c r="T264">
        <f t="shared" si="53"/>
        <v>-27.550929654070394</v>
      </c>
    </row>
    <row r="265" spans="1:20" x14ac:dyDescent="0.35">
      <c r="A265">
        <v>1.875</v>
      </c>
      <c r="B265">
        <v>17</v>
      </c>
      <c r="C265">
        <v>-3.3455745000000002E-2</v>
      </c>
      <c r="D265">
        <v>2.8959474999999998E-2</v>
      </c>
      <c r="E265">
        <v>0.96651226999999995</v>
      </c>
      <c r="F265">
        <v>2.6889731E-2</v>
      </c>
      <c r="G265">
        <f t="shared" si="44"/>
        <v>8.3077073681922808</v>
      </c>
      <c r="H265">
        <f t="shared" si="45"/>
        <v>7.3485531867721496</v>
      </c>
      <c r="I265">
        <f t="shared" si="46"/>
        <v>8.3076924464468096</v>
      </c>
      <c r="J265">
        <f t="shared" si="47"/>
        <v>7.3475182827793599</v>
      </c>
      <c r="K265" s="7">
        <f t="shared" si="48"/>
        <v>1.4921745471241399E-5</v>
      </c>
      <c r="L265" s="7">
        <f t="shared" si="49"/>
        <v>1.03490399278972E-3</v>
      </c>
      <c r="M265" s="7">
        <f t="shared" si="50"/>
        <v>6.7540140101494797E-2</v>
      </c>
      <c r="N265" s="7">
        <f t="shared" si="51"/>
        <v>-5.9734085898841702E-2</v>
      </c>
      <c r="O265">
        <v>-1.5164644</v>
      </c>
      <c r="P265">
        <v>-2.0620759999999998</v>
      </c>
      <c r="Q265">
        <v>-7.1074827999999997</v>
      </c>
      <c r="R265">
        <v>-3.4836654</v>
      </c>
      <c r="S265">
        <f t="shared" si="52"/>
        <v>3.0923401100384038</v>
      </c>
      <c r="T265">
        <f t="shared" si="53"/>
        <v>-27.557642765074803</v>
      </c>
    </row>
    <row r="266" spans="1:20" x14ac:dyDescent="0.35">
      <c r="A266">
        <v>2</v>
      </c>
      <c r="B266">
        <v>15</v>
      </c>
      <c r="C266">
        <v>-1.7957687999999999E-2</v>
      </c>
      <c r="D266">
        <v>-2.2014585E-2</v>
      </c>
      <c r="E266">
        <v>0.98192360000000001</v>
      </c>
      <c r="F266">
        <v>-2.4430692E-2</v>
      </c>
      <c r="G266">
        <f t="shared" si="44"/>
        <v>9.9277078565390404</v>
      </c>
      <c r="H266">
        <f t="shared" si="45"/>
        <v>-13.4399035485204</v>
      </c>
      <c r="I266">
        <f t="shared" si="46"/>
        <v>9.9276499566667198</v>
      </c>
      <c r="J266">
        <f t="shared" si="47"/>
        <v>-13.4411117436801</v>
      </c>
      <c r="K266" s="7">
        <f t="shared" si="48"/>
        <v>5.7899872320632499E-5</v>
      </c>
      <c r="L266" s="7">
        <f t="shared" si="49"/>
        <v>1.2081951597000501E-3</v>
      </c>
      <c r="M266" s="7">
        <f t="shared" si="50"/>
        <v>3.55547197674091E-2</v>
      </c>
      <c r="N266" s="7">
        <f t="shared" si="51"/>
        <v>4.8137773138149001E-2</v>
      </c>
      <c r="O266">
        <v>1.6825151</v>
      </c>
      <c r="P266">
        <v>-1.1331206</v>
      </c>
      <c r="Q266">
        <v>2.8318873999999998</v>
      </c>
      <c r="R266">
        <v>-5.1581830000000002</v>
      </c>
      <c r="S266">
        <f t="shared" si="52"/>
        <v>2.9008717103715891</v>
      </c>
      <c r="T266">
        <f t="shared" si="53"/>
        <v>-27.273813086724637</v>
      </c>
    </row>
    <row r="267" spans="1:20" x14ac:dyDescent="0.35">
      <c r="A267">
        <v>2</v>
      </c>
      <c r="B267">
        <v>15.0625</v>
      </c>
      <c r="C267">
        <v>-1.9546533000000001E-2</v>
      </c>
      <c r="D267">
        <v>-2.2605481E-2</v>
      </c>
      <c r="E267">
        <v>0.98033124000000005</v>
      </c>
      <c r="F267">
        <v>-2.5028867999999999E-2</v>
      </c>
      <c r="G267">
        <f t="shared" si="44"/>
        <v>9.8012191949943492</v>
      </c>
      <c r="H267">
        <f t="shared" si="45"/>
        <v>-12.5121260286809</v>
      </c>
      <c r="I267">
        <f t="shared" si="46"/>
        <v>9.8011595462274403</v>
      </c>
      <c r="J267">
        <f t="shared" si="47"/>
        <v>-12.513337868516601</v>
      </c>
      <c r="K267" s="7">
        <f t="shared" si="48"/>
        <v>5.9648766908893001E-5</v>
      </c>
      <c r="L267" s="7">
        <f t="shared" si="49"/>
        <v>1.2118398357010599E-3</v>
      </c>
      <c r="M267" s="7">
        <f t="shared" si="50"/>
        <v>3.8793987830935399E-2</v>
      </c>
      <c r="N267" s="7">
        <f t="shared" si="51"/>
        <v>4.9529065893276797E-2</v>
      </c>
      <c r="O267">
        <v>1.7129272</v>
      </c>
      <c r="P267">
        <v>-1.2295189</v>
      </c>
      <c r="Q267">
        <v>2.790619</v>
      </c>
      <c r="R267">
        <v>-5.4636464</v>
      </c>
      <c r="S267">
        <f t="shared" si="52"/>
        <v>2.9096598751637739</v>
      </c>
      <c r="T267">
        <f t="shared" si="53"/>
        <v>-27.273476258181866</v>
      </c>
    </row>
    <row r="268" spans="1:20" x14ac:dyDescent="0.35">
      <c r="A268">
        <v>2</v>
      </c>
      <c r="B268">
        <v>15.125</v>
      </c>
      <c r="C268">
        <v>-2.1265453E-2</v>
      </c>
      <c r="D268">
        <v>-2.3127321999999999E-2</v>
      </c>
      <c r="E268">
        <v>0.97860491000000005</v>
      </c>
      <c r="F268">
        <v>-2.5559377000000001E-2</v>
      </c>
      <c r="G268">
        <f t="shared" si="44"/>
        <v>9.6807762762880607</v>
      </c>
      <c r="H268">
        <f t="shared" si="45"/>
        <v>-11.618251240522</v>
      </c>
      <c r="I268">
        <f t="shared" si="46"/>
        <v>9.6807129325946093</v>
      </c>
      <c r="J268">
        <f t="shared" si="47"/>
        <v>-11.619467423880799</v>
      </c>
      <c r="K268" s="7">
        <f t="shared" si="48"/>
        <v>6.3343693451400895E-5</v>
      </c>
      <c r="L268" s="7">
        <f t="shared" si="49"/>
        <v>1.2161833587995799E-3</v>
      </c>
      <c r="M268" s="7">
        <f t="shared" si="50"/>
        <v>4.2324085215655498E-2</v>
      </c>
      <c r="N268" s="7">
        <f t="shared" si="51"/>
        <v>5.0800321508661699E-2</v>
      </c>
      <c r="O268">
        <v>1.7392525000000001</v>
      </c>
      <c r="P268">
        <v>-1.3332900000000001</v>
      </c>
      <c r="Q268">
        <v>2.727455</v>
      </c>
      <c r="R268">
        <v>-5.7842453999999996</v>
      </c>
      <c r="S268">
        <f t="shared" si="52"/>
        <v>2.9181130488631792</v>
      </c>
      <c r="T268">
        <f t="shared" si="53"/>
        <v>-27.281298313355894</v>
      </c>
    </row>
    <row r="269" spans="1:20" x14ac:dyDescent="0.35">
      <c r="A269">
        <v>2</v>
      </c>
      <c r="B269">
        <v>15.1875</v>
      </c>
      <c r="C269">
        <v>-2.3127195E-2</v>
      </c>
      <c r="D269">
        <v>-2.3564455000000002E-2</v>
      </c>
      <c r="E269">
        <v>0.97673224000000003</v>
      </c>
      <c r="F269">
        <v>-2.6004816E-2</v>
      </c>
      <c r="G269">
        <f t="shared" si="44"/>
        <v>9.5648794920931</v>
      </c>
      <c r="H269">
        <f t="shared" si="45"/>
        <v>-10.752865800575901</v>
      </c>
      <c r="I269">
        <f t="shared" si="46"/>
        <v>9.5648106938053292</v>
      </c>
      <c r="J269">
        <f t="shared" si="47"/>
        <v>-10.754086150791499</v>
      </c>
      <c r="K269" s="7">
        <f t="shared" si="48"/>
        <v>6.87982877707327E-5</v>
      </c>
      <c r="L269" s="7">
        <f t="shared" si="49"/>
        <v>1.2203502155987401E-3</v>
      </c>
      <c r="M269" s="7">
        <f t="shared" si="50"/>
        <v>4.6176482897658098E-2</v>
      </c>
      <c r="N269" s="7">
        <f t="shared" si="51"/>
        <v>5.1918003515070199E-2</v>
      </c>
      <c r="O269">
        <v>1.7610219</v>
      </c>
      <c r="P269">
        <v>-1.4459150000000001</v>
      </c>
      <c r="Q269">
        <v>2.6385998000000002</v>
      </c>
      <c r="R269">
        <v>-6.1204378999999998</v>
      </c>
      <c r="S269">
        <f t="shared" si="52"/>
        <v>2.9250754161504546</v>
      </c>
      <c r="T269">
        <f t="shared" si="53"/>
        <v>-27.290251911215059</v>
      </c>
    </row>
    <row r="270" spans="1:20" x14ac:dyDescent="0.35">
      <c r="A270">
        <v>2</v>
      </c>
      <c r="B270">
        <v>15.25</v>
      </c>
      <c r="C270">
        <v>-2.5139207E-2</v>
      </c>
      <c r="D270">
        <v>-2.3893569999999999E-2</v>
      </c>
      <c r="E270">
        <v>0.97470681000000003</v>
      </c>
      <c r="F270">
        <v>-2.6341079E-2</v>
      </c>
      <c r="G270">
        <f t="shared" si="44"/>
        <v>9.4532503468817293</v>
      </c>
      <c r="H270">
        <f t="shared" si="45"/>
        <v>-9.9135735724933394</v>
      </c>
      <c r="I270">
        <f t="shared" si="46"/>
        <v>9.4531748473723596</v>
      </c>
      <c r="J270">
        <f t="shared" si="47"/>
        <v>-9.9147975136192592</v>
      </c>
      <c r="K270" s="7">
        <f t="shared" si="48"/>
        <v>7.5499509369692005E-5</v>
      </c>
      <c r="L270" s="7">
        <f t="shared" si="49"/>
        <v>1.22394112591984E-3</v>
      </c>
      <c r="M270" s="7">
        <f t="shared" si="50"/>
        <v>5.0372410177889598E-2</v>
      </c>
      <c r="N270" s="7">
        <f t="shared" si="51"/>
        <v>5.28322235915877E-2</v>
      </c>
      <c r="O270">
        <v>1.7757896</v>
      </c>
      <c r="P270">
        <v>-1.5670571</v>
      </c>
      <c r="Q270">
        <v>2.5195938</v>
      </c>
      <c r="R270">
        <v>-6.4715084999999997</v>
      </c>
      <c r="S270">
        <f t="shared" si="52"/>
        <v>2.9322882111512349</v>
      </c>
      <c r="T270">
        <f t="shared" si="53"/>
        <v>-27.300223808186388</v>
      </c>
    </row>
    <row r="271" spans="1:20" x14ac:dyDescent="0.35">
      <c r="A271">
        <v>2</v>
      </c>
      <c r="B271">
        <v>15.3125</v>
      </c>
      <c r="C271">
        <v>-2.7304552999999999E-2</v>
      </c>
      <c r="D271">
        <v>-2.4086772999999999E-2</v>
      </c>
      <c r="E271">
        <v>0.97252640000000001</v>
      </c>
      <c r="F271">
        <v>-2.6539707999999999E-2</v>
      </c>
      <c r="G271">
        <f t="shared" si="44"/>
        <v>9.3456990233563495</v>
      </c>
      <c r="H271">
        <f t="shared" si="45"/>
        <v>-9.0988353593905291</v>
      </c>
      <c r="I271">
        <f t="shared" si="46"/>
        <v>9.3456159973132706</v>
      </c>
      <c r="J271">
        <f t="shared" si="47"/>
        <v>-9.1000620324019703</v>
      </c>
      <c r="K271" s="7">
        <f t="shared" si="48"/>
        <v>8.3026043078859898E-5</v>
      </c>
      <c r="L271" s="7">
        <f t="shared" si="49"/>
        <v>1.22667301144119E-3</v>
      </c>
      <c r="M271" s="7">
        <f t="shared" si="50"/>
        <v>5.49252096212864E-2</v>
      </c>
      <c r="N271" s="7">
        <f t="shared" si="51"/>
        <v>5.3482062053489002E-2</v>
      </c>
      <c r="O271">
        <v>1.7823513</v>
      </c>
      <c r="P271">
        <v>-1.6973244999999999</v>
      </c>
      <c r="Q271">
        <v>2.3656519999999999</v>
      </c>
      <c r="R271">
        <v>-6.8355050999999998</v>
      </c>
      <c r="S271">
        <f t="shared" si="52"/>
        <v>2.9388829555645839</v>
      </c>
      <c r="T271">
        <f t="shared" si="53"/>
        <v>-27.30989276610963</v>
      </c>
    </row>
    <row r="272" spans="1:20" x14ac:dyDescent="0.35">
      <c r="A272">
        <v>2</v>
      </c>
      <c r="B272">
        <v>15.375</v>
      </c>
      <c r="C272">
        <v>-2.9625557E-2</v>
      </c>
      <c r="D272">
        <v>-2.4110825999999998E-2</v>
      </c>
      <c r="E272">
        <v>0.97037656000000005</v>
      </c>
      <c r="F272">
        <v>-2.6417808000000001E-2</v>
      </c>
      <c r="G272">
        <f t="shared" si="44"/>
        <v>9.2712780650012192</v>
      </c>
      <c r="H272">
        <f t="shared" si="45"/>
        <v>-8.3325498647917495</v>
      </c>
      <c r="I272">
        <f t="shared" si="46"/>
        <v>9.2712804540355904</v>
      </c>
      <c r="J272">
        <f t="shared" si="47"/>
        <v>-8.3337033518150605</v>
      </c>
      <c r="K272" s="7">
        <f t="shared" si="48"/>
        <v>-2.3890343712196202E-6</v>
      </c>
      <c r="L272" s="7">
        <f t="shared" si="49"/>
        <v>1.15348702331097E-3</v>
      </c>
      <c r="M272" s="7">
        <f t="shared" si="50"/>
        <v>5.9657965031822698E-2</v>
      </c>
      <c r="N272" s="7">
        <f t="shared" si="51"/>
        <v>5.3624931918843897E-2</v>
      </c>
      <c r="O272">
        <v>1.7783675000000001</v>
      </c>
      <c r="P272">
        <v>-1.8366529</v>
      </c>
      <c r="Q272">
        <v>2.1711912999999998</v>
      </c>
      <c r="R272">
        <v>-7.2112027999999997</v>
      </c>
      <c r="S272">
        <f t="shared" si="52"/>
        <v>2.9457694493041648</v>
      </c>
      <c r="T272">
        <f t="shared" si="53"/>
        <v>-27.319987353551188</v>
      </c>
    </row>
    <row r="273" spans="1:20" x14ac:dyDescent="0.35">
      <c r="A273">
        <v>2</v>
      </c>
      <c r="B273">
        <v>15.4375</v>
      </c>
      <c r="C273">
        <v>-3.2085390999999998E-2</v>
      </c>
      <c r="D273">
        <v>-2.3932574000000002E-2</v>
      </c>
      <c r="E273">
        <v>0.96791802000000005</v>
      </c>
      <c r="F273">
        <v>-2.6231529999999999E-2</v>
      </c>
      <c r="G273">
        <f t="shared" si="44"/>
        <v>9.1726614800614907</v>
      </c>
      <c r="H273">
        <f t="shared" si="45"/>
        <v>-7.5612197520844999</v>
      </c>
      <c r="I273">
        <f t="shared" si="46"/>
        <v>9.1726645068497596</v>
      </c>
      <c r="J273">
        <f t="shared" si="47"/>
        <v>-7.5623692246448497</v>
      </c>
      <c r="K273" s="7">
        <f t="shared" si="48"/>
        <v>-3.0267882689116698E-6</v>
      </c>
      <c r="L273" s="7">
        <f t="shared" si="49"/>
        <v>1.1494725603498101E-3</v>
      </c>
      <c r="M273" s="7">
        <f t="shared" si="50"/>
        <v>6.4903743569214703E-2</v>
      </c>
      <c r="N273" s="7">
        <f t="shared" si="51"/>
        <v>5.3509650610849398E-2</v>
      </c>
      <c r="O273">
        <v>1.7617982999999999</v>
      </c>
      <c r="P273">
        <v>-1.9835171</v>
      </c>
      <c r="Q273">
        <v>1.9323044</v>
      </c>
      <c r="R273">
        <v>-7.5904869000000001</v>
      </c>
      <c r="S273">
        <f t="shared" si="52"/>
        <v>2.952376310478217</v>
      </c>
      <c r="T273">
        <f t="shared" si="53"/>
        <v>-27.329728007704986</v>
      </c>
    </row>
    <row r="274" spans="1:20" x14ac:dyDescent="0.35">
      <c r="A274">
        <v>2</v>
      </c>
      <c r="B274">
        <v>15.5</v>
      </c>
      <c r="C274">
        <v>-3.4672159000000001E-2</v>
      </c>
      <c r="D274">
        <v>-2.3513177999999999E-2</v>
      </c>
      <c r="E274">
        <v>0.96533427000000005</v>
      </c>
      <c r="F274">
        <v>-2.5804562E-2</v>
      </c>
      <c r="G274">
        <f t="shared" si="44"/>
        <v>9.0770776024833193</v>
      </c>
      <c r="H274">
        <f t="shared" si="45"/>
        <v>-6.8112863252448399</v>
      </c>
      <c r="I274">
        <f t="shared" si="46"/>
        <v>9.0770821295687707</v>
      </c>
      <c r="J274">
        <f t="shared" si="47"/>
        <v>-6.8124320083754002</v>
      </c>
      <c r="K274" s="7">
        <f t="shared" si="48"/>
        <v>-4.52708545140013E-6</v>
      </c>
      <c r="L274" s="7">
        <f t="shared" si="49"/>
        <v>1.14568313056029E-3</v>
      </c>
      <c r="M274" s="7">
        <f t="shared" si="50"/>
        <v>7.0472790270540195E-2</v>
      </c>
      <c r="N274" s="7">
        <f t="shared" si="51"/>
        <v>5.2890464722650098E-2</v>
      </c>
      <c r="O274">
        <v>1.7306223999999999</v>
      </c>
      <c r="P274">
        <v>-2.1375467000000001</v>
      </c>
      <c r="Q274">
        <v>1.6438292000000001</v>
      </c>
      <c r="R274">
        <v>-7.9694428000000004</v>
      </c>
      <c r="S274">
        <f t="shared" si="52"/>
        <v>2.958660937994531</v>
      </c>
      <c r="T274">
        <f t="shared" si="53"/>
        <v>-27.339928686275702</v>
      </c>
    </row>
    <row r="275" spans="1:20" x14ac:dyDescent="0.35">
      <c r="A275">
        <v>2</v>
      </c>
      <c r="B275">
        <v>15.5625</v>
      </c>
      <c r="C275">
        <v>-3.7360355999999997E-2</v>
      </c>
      <c r="D275">
        <v>-2.2813792999999999E-2</v>
      </c>
      <c r="E275">
        <v>0.96265086</v>
      </c>
      <c r="F275">
        <v>-2.5098446E-2</v>
      </c>
      <c r="G275">
        <f t="shared" si="44"/>
        <v>8.9843978080055997</v>
      </c>
      <c r="H275">
        <f t="shared" si="45"/>
        <v>-6.0819073035796096</v>
      </c>
      <c r="I275">
        <f t="shared" si="46"/>
        <v>8.9844047208603008</v>
      </c>
      <c r="J275">
        <f t="shared" si="47"/>
        <v>-6.0830496157767797</v>
      </c>
      <c r="K275" s="7">
        <f t="shared" si="48"/>
        <v>-6.9128547011132502E-6</v>
      </c>
      <c r="L275" s="7">
        <f t="shared" si="49"/>
        <v>1.1423121971700901E-3</v>
      </c>
      <c r="M275" s="7">
        <f t="shared" si="50"/>
        <v>7.6318163249362594E-2</v>
      </c>
      <c r="N275" s="7">
        <f t="shared" si="51"/>
        <v>5.16725579551107E-2</v>
      </c>
      <c r="O275">
        <v>1.6823319000000001</v>
      </c>
      <c r="P275">
        <v>-2.2968663</v>
      </c>
      <c r="Q275">
        <v>1.301796</v>
      </c>
      <c r="R275">
        <v>-8.3406208999999993</v>
      </c>
      <c r="S275">
        <f t="shared" si="52"/>
        <v>2.9650084634184242</v>
      </c>
      <c r="T275">
        <f t="shared" si="53"/>
        <v>-27.349688566823975</v>
      </c>
    </row>
    <row r="276" spans="1:20" x14ac:dyDescent="0.35">
      <c r="A276">
        <v>2</v>
      </c>
      <c r="B276">
        <v>15.625</v>
      </c>
      <c r="C276">
        <v>-4.0113636000000001E-2</v>
      </c>
      <c r="D276">
        <v>-2.1796982999999999E-2</v>
      </c>
      <c r="E276">
        <v>0.95990412999999997</v>
      </c>
      <c r="F276">
        <v>-2.4076134999999999E-2</v>
      </c>
      <c r="G276">
        <f t="shared" si="44"/>
        <v>8.8945102642399494</v>
      </c>
      <c r="H276">
        <f t="shared" si="45"/>
        <v>-5.3723059943788103</v>
      </c>
      <c r="I276">
        <f t="shared" si="46"/>
        <v>8.8945204457582108</v>
      </c>
      <c r="J276">
        <f t="shared" si="47"/>
        <v>-5.37344554865353</v>
      </c>
      <c r="K276" s="7">
        <f t="shared" si="48"/>
        <v>-1.01815182613763E-5</v>
      </c>
      <c r="L276" s="7">
        <f t="shared" si="49"/>
        <v>1.13955427471968E-3</v>
      </c>
      <c r="M276" s="7">
        <f t="shared" si="50"/>
        <v>8.2367034531336897E-2</v>
      </c>
      <c r="N276" s="7">
        <f t="shared" si="51"/>
        <v>4.97603864938303E-2</v>
      </c>
      <c r="O276">
        <v>1.6147800999999999</v>
      </c>
      <c r="P276">
        <v>-2.4591639999999999</v>
      </c>
      <c r="Q276">
        <v>0.90331574000000003</v>
      </c>
      <c r="R276">
        <v>-8.6949591000000002</v>
      </c>
      <c r="S276">
        <f t="shared" si="52"/>
        <v>2.9714270414541746</v>
      </c>
      <c r="T276">
        <f t="shared" si="53"/>
        <v>-27.359259262877735</v>
      </c>
    </row>
    <row r="277" spans="1:20" x14ac:dyDescent="0.35">
      <c r="A277">
        <v>2</v>
      </c>
      <c r="B277">
        <v>15.6875</v>
      </c>
      <c r="C277">
        <v>-4.2883959999999999E-2</v>
      </c>
      <c r="D277">
        <v>-2.0429876E-2</v>
      </c>
      <c r="E277">
        <v>0.95714208000000001</v>
      </c>
      <c r="F277">
        <v>-2.2705159999999999E-2</v>
      </c>
      <c r="G277">
        <f t="shared" si="44"/>
        <v>8.8073175876806804</v>
      </c>
      <c r="H277">
        <f t="shared" si="45"/>
        <v>-4.6817613222013996</v>
      </c>
      <c r="I277">
        <f t="shared" si="46"/>
        <v>8.8073319016882703</v>
      </c>
      <c r="J277">
        <f t="shared" si="47"/>
        <v>-4.6828989331055002</v>
      </c>
      <c r="K277" s="7">
        <f t="shared" si="48"/>
        <v>-1.4314007589888399E-5</v>
      </c>
      <c r="L277" s="7">
        <f t="shared" si="49"/>
        <v>1.13761090410058E-3</v>
      </c>
      <c r="M277" s="7">
        <f t="shared" si="50"/>
        <v>8.8517110487328798E-2</v>
      </c>
      <c r="N277" s="7">
        <f t="shared" si="51"/>
        <v>4.7064955299712899E-2</v>
      </c>
      <c r="O277">
        <v>1.5262682999999999</v>
      </c>
      <c r="P277">
        <v>-2.6217207</v>
      </c>
      <c r="Q277">
        <v>0.44718740000000001</v>
      </c>
      <c r="R277">
        <v>-9.0220026999999998</v>
      </c>
      <c r="S277">
        <f t="shared" si="52"/>
        <v>2.9776462389184122</v>
      </c>
      <c r="T277">
        <f t="shared" si="53"/>
        <v>-27.368754761106146</v>
      </c>
    </row>
    <row r="278" spans="1:20" x14ac:dyDescent="0.35">
      <c r="A278">
        <v>2</v>
      </c>
      <c r="B278">
        <v>15.75</v>
      </c>
      <c r="C278">
        <v>-4.5611722E-2</v>
      </c>
      <c r="D278">
        <v>-1.8688014999999999E-2</v>
      </c>
      <c r="E278">
        <v>0.95442426000000002</v>
      </c>
      <c r="F278">
        <v>-2.0961495E-2</v>
      </c>
      <c r="G278">
        <f t="shared" si="44"/>
        <v>8.7227351159104405</v>
      </c>
      <c r="H278">
        <f t="shared" si="45"/>
        <v>-4.0096025942261599</v>
      </c>
      <c r="I278">
        <f t="shared" si="46"/>
        <v>8.7227543986931799</v>
      </c>
      <c r="J278">
        <f t="shared" si="47"/>
        <v>-4.0107392918563098</v>
      </c>
      <c r="K278" s="7">
        <f t="shared" si="48"/>
        <v>-1.9282782739438199E-5</v>
      </c>
      <c r="L278" s="7">
        <f t="shared" si="49"/>
        <v>1.1366976301499E-3</v>
      </c>
      <c r="M278" s="7">
        <f t="shared" si="50"/>
        <v>9.4635133714658398E-2</v>
      </c>
      <c r="N278" s="7">
        <f t="shared" si="51"/>
        <v>4.3513416958790102E-2</v>
      </c>
      <c r="O278">
        <v>1.415402</v>
      </c>
      <c r="P278">
        <v>-2.7807894000000002</v>
      </c>
      <c r="Q278">
        <v>-6.5416536999999997E-2</v>
      </c>
      <c r="R278">
        <v>-9.3101009999999995</v>
      </c>
      <c r="S278">
        <f t="shared" si="52"/>
        <v>2.9838118110851517</v>
      </c>
      <c r="T278">
        <f t="shared" si="53"/>
        <v>-27.378346573227663</v>
      </c>
    </row>
    <row r="279" spans="1:20" x14ac:dyDescent="0.35">
      <c r="A279">
        <v>2</v>
      </c>
      <c r="B279">
        <v>15.8125</v>
      </c>
      <c r="C279">
        <v>-4.8227273000000001E-2</v>
      </c>
      <c r="D279">
        <v>-1.6559568E-2</v>
      </c>
      <c r="E279">
        <v>0.95182025000000003</v>
      </c>
      <c r="F279">
        <v>-1.8833777999999999E-2</v>
      </c>
      <c r="G279">
        <f t="shared" si="44"/>
        <v>8.6406905498950195</v>
      </c>
      <c r="H279">
        <f t="shared" si="45"/>
        <v>-3.3552042873767101</v>
      </c>
      <c r="I279">
        <f t="shared" si="46"/>
        <v>8.6407156037443595</v>
      </c>
      <c r="J279">
        <f t="shared" si="47"/>
        <v>-3.3563413368698498</v>
      </c>
      <c r="K279" s="7">
        <f t="shared" si="48"/>
        <v>-2.5053849340039799E-5</v>
      </c>
      <c r="L279" s="7">
        <f t="shared" si="49"/>
        <v>1.13704949313975E-3</v>
      </c>
      <c r="M279" s="7">
        <f t="shared" si="50"/>
        <v>0.100558803124083</v>
      </c>
      <c r="N279" s="7">
        <f t="shared" si="51"/>
        <v>3.9060383791043797E-2</v>
      </c>
      <c r="O279">
        <v>1.2818966000000001</v>
      </c>
      <c r="P279">
        <v>-2.9328224000000001</v>
      </c>
      <c r="Q279">
        <v>-0.63037156999999999</v>
      </c>
      <c r="R279">
        <v>-9.5470079999999999</v>
      </c>
      <c r="S279">
        <f t="shared" si="52"/>
        <v>2.9892495853268803</v>
      </c>
      <c r="T279">
        <f t="shared" si="53"/>
        <v>-27.387133909740964</v>
      </c>
    </row>
    <row r="280" spans="1:20" x14ac:dyDescent="0.35">
      <c r="A280">
        <v>2</v>
      </c>
      <c r="B280">
        <v>15.875</v>
      </c>
      <c r="C280">
        <v>-5.0654141999999999E-2</v>
      </c>
      <c r="D280">
        <v>-1.4049311E-2</v>
      </c>
      <c r="E280">
        <v>0.94940639000000004</v>
      </c>
      <c r="F280">
        <v>-1.6327312E-2</v>
      </c>
      <c r="G280">
        <f t="shared" si="44"/>
        <v>8.5611210359728407</v>
      </c>
      <c r="H280">
        <f t="shared" si="45"/>
        <v>-2.71797718521033</v>
      </c>
      <c r="I280">
        <f t="shared" si="46"/>
        <v>8.5611525982594792</v>
      </c>
      <c r="J280">
        <f t="shared" si="47"/>
        <v>-2.7191161152900101</v>
      </c>
      <c r="K280" s="7">
        <f t="shared" si="48"/>
        <v>-3.1562286638475698E-5</v>
      </c>
      <c r="L280" s="7">
        <f t="shared" si="49"/>
        <v>1.13893007968002E-3</v>
      </c>
      <c r="M280" s="7">
        <f t="shared" si="50"/>
        <v>0.10610334282367501</v>
      </c>
      <c r="N280" s="7">
        <f t="shared" si="51"/>
        <v>3.3699587298169499E-2</v>
      </c>
      <c r="O280">
        <v>1.1256881999999999</v>
      </c>
      <c r="P280">
        <v>-3.0719736000000002</v>
      </c>
      <c r="Q280">
        <v>-1.2403508000000001</v>
      </c>
      <c r="R280">
        <v>-9.7208846999999992</v>
      </c>
      <c r="S280">
        <f t="shared" si="52"/>
        <v>2.9952677160464689</v>
      </c>
      <c r="T280">
        <f t="shared" si="53"/>
        <v>-27.396207793670264</v>
      </c>
    </row>
    <row r="281" spans="1:20" x14ac:dyDescent="0.35">
      <c r="A281">
        <v>2</v>
      </c>
      <c r="B281">
        <v>15.9375</v>
      </c>
      <c r="C281">
        <v>-5.2813965999999997E-2</v>
      </c>
      <c r="D281">
        <v>-1.118165E-2</v>
      </c>
      <c r="E281">
        <v>0.94726085000000004</v>
      </c>
      <c r="F281">
        <v>-1.346705E-2</v>
      </c>
      <c r="G281">
        <f t="shared" si="44"/>
        <v>8.48397484922498</v>
      </c>
      <c r="H281">
        <f t="shared" si="45"/>
        <v>-2.0973656029882299</v>
      </c>
      <c r="I281">
        <f t="shared" si="46"/>
        <v>8.4840135614407508</v>
      </c>
      <c r="J281">
        <f t="shared" si="47"/>
        <v>-2.0985082160089199</v>
      </c>
      <c r="K281" s="7">
        <f t="shared" si="48"/>
        <v>-3.8712215770786402E-5</v>
      </c>
      <c r="L281" s="7">
        <f t="shared" si="49"/>
        <v>1.14261302068996E-3</v>
      </c>
      <c r="M281" s="7">
        <f t="shared" si="50"/>
        <v>0.111073143011803</v>
      </c>
      <c r="N281" s="7">
        <f t="shared" si="51"/>
        <v>2.7473777770414001E-2</v>
      </c>
      <c r="O281">
        <v>0.94856341</v>
      </c>
      <c r="P281">
        <v>-3.1936249000000001</v>
      </c>
      <c r="Q281">
        <v>-1.8847782</v>
      </c>
      <c r="R281">
        <v>-9.8212621999999996</v>
      </c>
      <c r="S281">
        <f t="shared" si="52"/>
        <v>3.0017784173448634</v>
      </c>
      <c r="T281">
        <f t="shared" si="53"/>
        <v>-27.40579433180439</v>
      </c>
    </row>
    <row r="282" spans="1:20" x14ac:dyDescent="0.35">
      <c r="A282">
        <v>2</v>
      </c>
      <c r="B282">
        <v>16</v>
      </c>
      <c r="C282">
        <v>-5.4632769999999997E-2</v>
      </c>
      <c r="D282">
        <v>-8.0018198000000006E-3</v>
      </c>
      <c r="E282">
        <v>0.94545729000000001</v>
      </c>
      <c r="F282">
        <v>-1.0298747E-2</v>
      </c>
      <c r="G282">
        <f t="shared" si="44"/>
        <v>8.4092090936985002</v>
      </c>
      <c r="H282">
        <f t="shared" si="45"/>
        <v>-1.49283807990895</v>
      </c>
      <c r="I282">
        <f t="shared" si="46"/>
        <v>8.4092554404596402</v>
      </c>
      <c r="J282">
        <f t="shared" si="47"/>
        <v>-1.4939864385707899</v>
      </c>
      <c r="K282" s="7">
        <f t="shared" si="48"/>
        <v>-4.6346761140014798E-5</v>
      </c>
      <c r="L282" s="7">
        <f t="shared" si="49"/>
        <v>1.14835866183993E-3</v>
      </c>
      <c r="M282" s="7">
        <f t="shared" si="50"/>
        <v>0.115278070914172</v>
      </c>
      <c r="N282" s="7">
        <f t="shared" si="51"/>
        <v>2.0480276265809599E-2</v>
      </c>
      <c r="O282">
        <v>0.75375316000000003</v>
      </c>
      <c r="P282">
        <v>-3.2946374</v>
      </c>
      <c r="Q282">
        <v>-2.550052</v>
      </c>
      <c r="R282">
        <v>-9.8401758000000008</v>
      </c>
      <c r="S282">
        <f t="shared" si="52"/>
        <v>3.0076767217651517</v>
      </c>
      <c r="T282">
        <f t="shared" si="53"/>
        <v>-27.414885204484495</v>
      </c>
    </row>
    <row r="283" spans="1:20" x14ac:dyDescent="0.35">
      <c r="A283">
        <v>2</v>
      </c>
      <c r="B283">
        <v>16.0625</v>
      </c>
      <c r="C283">
        <v>-5.6047786000000002E-2</v>
      </c>
      <c r="D283">
        <v>-4.5746663000000003E-3</v>
      </c>
      <c r="E283">
        <v>0.94405802999999999</v>
      </c>
      <c r="F283">
        <v>-6.8875942000000004E-3</v>
      </c>
      <c r="G283">
        <f t="shared" si="44"/>
        <v>8.3367890011805095</v>
      </c>
      <c r="H283">
        <f t="shared" si="45"/>
        <v>-0.90387855890834601</v>
      </c>
      <c r="I283">
        <f t="shared" si="46"/>
        <v>8.3368432435762294</v>
      </c>
      <c r="J283">
        <f t="shared" si="47"/>
        <v>-0.90503489894933198</v>
      </c>
      <c r="K283" s="7">
        <f t="shared" si="48"/>
        <v>-5.42423957199389E-5</v>
      </c>
      <c r="L283" s="7">
        <f t="shared" si="49"/>
        <v>1.1563400409859701E-3</v>
      </c>
      <c r="M283" s="7">
        <f t="shared" si="50"/>
        <v>0.118552346265798</v>
      </c>
      <c r="N283" s="7">
        <f t="shared" si="51"/>
        <v>1.28698606400625E-2</v>
      </c>
      <c r="O283">
        <v>0.54521987999999999</v>
      </c>
      <c r="P283">
        <v>-3.3716257999999999</v>
      </c>
      <c r="Q283">
        <v>-3.2203898</v>
      </c>
      <c r="R283">
        <v>-9.7731169999999992</v>
      </c>
      <c r="S283">
        <f t="shared" si="52"/>
        <v>3.0128114704329843</v>
      </c>
      <c r="T283">
        <f t="shared" si="53"/>
        <v>-27.423519644951448</v>
      </c>
    </row>
    <row r="284" spans="1:20" x14ac:dyDescent="0.35">
      <c r="A284">
        <v>2</v>
      </c>
      <c r="B284">
        <v>16.125</v>
      </c>
      <c r="C284">
        <v>-5.7013710000000002E-2</v>
      </c>
      <c r="D284">
        <v>-9.8076477000000003E-4</v>
      </c>
      <c r="E284">
        <v>0.94310777000000001</v>
      </c>
      <c r="F284">
        <v>-3.3141212999999998E-3</v>
      </c>
      <c r="G284">
        <f t="shared" si="44"/>
        <v>8.2666786586821193</v>
      </c>
      <c r="H284">
        <f t="shared" si="45"/>
        <v>-0.32997034018446397</v>
      </c>
      <c r="I284">
        <f t="shared" si="46"/>
        <v>8.2667407558813295</v>
      </c>
      <c r="J284">
        <f t="shared" si="47"/>
        <v>-0.331136875146678</v>
      </c>
      <c r="K284" s="7">
        <f t="shared" si="48"/>
        <v>-6.2097199210242606E-5</v>
      </c>
      <c r="L284" s="7">
        <f t="shared" si="49"/>
        <v>1.1665349622140299E-3</v>
      </c>
      <c r="M284" s="7">
        <f t="shared" si="50"/>
        <v>0.120772874701133</v>
      </c>
      <c r="N284" s="7">
        <f t="shared" si="51"/>
        <v>4.83774119837519E-3</v>
      </c>
      <c r="O284">
        <v>0.32764165000000001</v>
      </c>
      <c r="P284">
        <v>-3.4205117</v>
      </c>
      <c r="Q284">
        <v>-3.8790008</v>
      </c>
      <c r="R284">
        <v>-9.6197467000000003</v>
      </c>
      <c r="S284">
        <f t="shared" si="52"/>
        <v>3.0185881577009166</v>
      </c>
      <c r="T284">
        <f t="shared" si="53"/>
        <v>-27.432441946178553</v>
      </c>
    </row>
    <row r="285" spans="1:20" x14ac:dyDescent="0.35">
      <c r="A285">
        <v>2</v>
      </c>
      <c r="B285">
        <v>16.1875</v>
      </c>
      <c r="C285">
        <v>-5.7507201000000001E-2</v>
      </c>
      <c r="D285">
        <v>2.6897152000000001E-3</v>
      </c>
      <c r="E285">
        <v>0.94262919000000001</v>
      </c>
      <c r="F285">
        <v>3.3224588000000001E-4</v>
      </c>
      <c r="G285">
        <f t="shared" si="44"/>
        <v>8.1988317145453493</v>
      </c>
      <c r="H285">
        <f t="shared" si="45"/>
        <v>0.22942016323678999</v>
      </c>
      <c r="I285">
        <f t="shared" si="46"/>
        <v>8.1989012945242994</v>
      </c>
      <c r="J285">
        <f t="shared" si="47"/>
        <v>0.228241590966449</v>
      </c>
      <c r="K285" s="7">
        <f t="shared" si="48"/>
        <v>-6.9579978950074005E-5</v>
      </c>
      <c r="L285" s="7">
        <f t="shared" si="49"/>
        <v>1.17857227034099E-3</v>
      </c>
      <c r="M285" s="7">
        <f t="shared" si="50"/>
        <v>0.12187311519435701</v>
      </c>
      <c r="N285" s="7">
        <f t="shared" si="51"/>
        <v>-3.3927123536143401E-3</v>
      </c>
      <c r="O285">
        <v>0.10663491999999999</v>
      </c>
      <c r="P285">
        <v>-3.4403321</v>
      </c>
      <c r="Q285">
        <v>-4.5094181000000004</v>
      </c>
      <c r="R285">
        <v>-9.3840795999999997</v>
      </c>
      <c r="S285">
        <f t="shared" si="52"/>
        <v>3.0248047388039452</v>
      </c>
      <c r="T285">
        <f t="shared" si="53"/>
        <v>-27.441454050597041</v>
      </c>
    </row>
    <row r="286" spans="1:20" x14ac:dyDescent="0.35">
      <c r="A286">
        <v>2</v>
      </c>
      <c r="B286">
        <v>16.25</v>
      </c>
      <c r="C286">
        <v>-5.752877E-2</v>
      </c>
      <c r="D286">
        <v>6.3444783999999999E-3</v>
      </c>
      <c r="E286">
        <v>0.94262108</v>
      </c>
      <c r="F286">
        <v>3.9609173999999997E-3</v>
      </c>
      <c r="G286">
        <f t="shared" si="44"/>
        <v>8.1331606616183603</v>
      </c>
      <c r="H286">
        <f t="shared" si="45"/>
        <v>0.77485669577320104</v>
      </c>
      <c r="I286">
        <f t="shared" si="46"/>
        <v>8.13323700102457</v>
      </c>
      <c r="J286">
        <f t="shared" si="47"/>
        <v>0.77366509553366503</v>
      </c>
      <c r="K286" s="7">
        <f t="shared" si="48"/>
        <v>-7.6339406209768895E-5</v>
      </c>
      <c r="L286" s="7">
        <f t="shared" si="49"/>
        <v>1.19160023953602E-3</v>
      </c>
      <c r="M286" s="7">
        <f t="shared" si="50"/>
        <v>0.121849712311192</v>
      </c>
      <c r="N286" s="7">
        <f t="shared" si="51"/>
        <v>-1.15908179368328E-2</v>
      </c>
      <c r="O286">
        <v>-0.11223089</v>
      </c>
      <c r="P286">
        <v>-3.4324905000000001</v>
      </c>
      <c r="Q286">
        <v>-5.0968907999999997</v>
      </c>
      <c r="R286">
        <v>-9.0741186999999996</v>
      </c>
      <c r="S286">
        <f t="shared" si="52"/>
        <v>3.0304617195306771</v>
      </c>
      <c r="T286">
        <f t="shared" si="53"/>
        <v>-27.450010057994781</v>
      </c>
    </row>
    <row r="287" spans="1:20" x14ac:dyDescent="0.35">
      <c r="A287">
        <v>2</v>
      </c>
      <c r="B287">
        <v>16.3125</v>
      </c>
      <c r="C287">
        <v>-5.7101727999999997E-2</v>
      </c>
      <c r="D287">
        <v>9.8966359000000007E-3</v>
      </c>
      <c r="E287">
        <v>0.94305956000000002</v>
      </c>
      <c r="F287">
        <v>7.4876214999999996E-3</v>
      </c>
      <c r="G287">
        <f t="shared" si="44"/>
        <v>8.0695139444287793</v>
      </c>
      <c r="H287">
        <f t="shared" si="45"/>
        <v>1.3069202687593799</v>
      </c>
      <c r="I287">
        <f t="shared" si="46"/>
        <v>8.0695960324103808</v>
      </c>
      <c r="J287">
        <f t="shared" si="47"/>
        <v>1.30571595755542</v>
      </c>
      <c r="K287" s="7">
        <f t="shared" si="48"/>
        <v>-8.2087981601475194E-5</v>
      </c>
      <c r="L287" s="7">
        <f t="shared" si="49"/>
        <v>1.2043112039599199E-3</v>
      </c>
      <c r="M287" s="7">
        <f t="shared" si="50"/>
        <v>0.120760260827962</v>
      </c>
      <c r="N287" s="7">
        <f t="shared" si="51"/>
        <v>-1.9539838049926001E-2</v>
      </c>
      <c r="O287">
        <v>-0.32388102000000002</v>
      </c>
      <c r="P287">
        <v>-3.3983235000000001</v>
      </c>
      <c r="Q287">
        <v>-5.6294820999999997</v>
      </c>
      <c r="R287">
        <v>-8.7010991999999998</v>
      </c>
      <c r="S287">
        <f t="shared" si="52"/>
        <v>3.0358081202049143</v>
      </c>
      <c r="T287">
        <f t="shared" si="53"/>
        <v>-27.458073620540272</v>
      </c>
    </row>
    <row r="288" spans="1:20" x14ac:dyDescent="0.35">
      <c r="A288">
        <v>2</v>
      </c>
      <c r="B288">
        <v>16.375</v>
      </c>
      <c r="C288">
        <v>-5.6268546000000003E-2</v>
      </c>
      <c r="D288">
        <v>1.3271053E-2</v>
      </c>
      <c r="E288">
        <v>0.94390183999999999</v>
      </c>
      <c r="F288">
        <v>1.0840153E-2</v>
      </c>
      <c r="G288">
        <f t="shared" si="44"/>
        <v>8.0076702108747906</v>
      </c>
      <c r="H288">
        <f t="shared" si="45"/>
        <v>1.82615934409487</v>
      </c>
      <c r="I288">
        <f t="shared" si="46"/>
        <v>8.0077568735565592</v>
      </c>
      <c r="J288">
        <f t="shared" si="47"/>
        <v>1.8249441029590601</v>
      </c>
      <c r="K288" s="7">
        <f t="shared" si="48"/>
        <v>-8.6662681768601106E-5</v>
      </c>
      <c r="L288" s="7">
        <f t="shared" si="49"/>
        <v>1.21524113580995E-3</v>
      </c>
      <c r="M288" s="7">
        <f t="shared" si="50"/>
        <v>0.118713296456385</v>
      </c>
      <c r="N288" s="7">
        <f t="shared" si="51"/>
        <v>-2.7054409085061199E-2</v>
      </c>
      <c r="O288">
        <v>-0.52384432999999997</v>
      </c>
      <c r="P288">
        <v>-3.3400031000000001</v>
      </c>
      <c r="Q288">
        <v>-6.0988287000000003</v>
      </c>
      <c r="R288">
        <v>-8.2783534000000003</v>
      </c>
      <c r="S288">
        <f t="shared" si="52"/>
        <v>3.0413673972330546</v>
      </c>
      <c r="T288">
        <f t="shared" si="53"/>
        <v>-27.466192438348894</v>
      </c>
    </row>
    <row r="289" spans="1:20" x14ac:dyDescent="0.35">
      <c r="A289">
        <v>2</v>
      </c>
      <c r="B289">
        <v>16.4375</v>
      </c>
      <c r="C289">
        <v>-5.5085465E-2</v>
      </c>
      <c r="D289">
        <v>1.6408637E-2</v>
      </c>
      <c r="E289">
        <v>0.94509160999999997</v>
      </c>
      <c r="F289">
        <v>1.3961654E-2</v>
      </c>
      <c r="G289">
        <f t="shared" si="44"/>
        <v>7.9473731637395302</v>
      </c>
      <c r="H289">
        <f t="shared" si="45"/>
        <v>2.3330196444914901</v>
      </c>
      <c r="I289">
        <f t="shared" si="46"/>
        <v>7.9474631899329999</v>
      </c>
      <c r="J289">
        <f t="shared" si="47"/>
        <v>2.3317963714433101</v>
      </c>
      <c r="K289" s="7">
        <f t="shared" si="48"/>
        <v>-9.0026193469760999E-5</v>
      </c>
      <c r="L289" s="7">
        <f t="shared" si="49"/>
        <v>1.22327304818004E-3</v>
      </c>
      <c r="M289" s="7">
        <f t="shared" si="50"/>
        <v>0.11585316958627601</v>
      </c>
      <c r="N289" s="7">
        <f t="shared" si="51"/>
        <v>-3.3991475519342597E-2</v>
      </c>
      <c r="O289">
        <v>-0.70872778000000003</v>
      </c>
      <c r="P289">
        <v>-3.2613287999999998</v>
      </c>
      <c r="Q289">
        <v>-6.5001249000000003</v>
      </c>
      <c r="R289">
        <v>-7.8198721000000004</v>
      </c>
      <c r="S289">
        <f t="shared" si="52"/>
        <v>3.0468423424062117</v>
      </c>
      <c r="T289">
        <f t="shared" si="53"/>
        <v>-27.473963530669312</v>
      </c>
    </row>
    <row r="290" spans="1:20" x14ac:dyDescent="0.35">
      <c r="A290">
        <v>2</v>
      </c>
      <c r="B290">
        <v>16.5</v>
      </c>
      <c r="C290">
        <v>-5.3616472999999998E-2</v>
      </c>
      <c r="D290">
        <v>1.9268238E-2</v>
      </c>
      <c r="E290">
        <v>0.94656512999999998</v>
      </c>
      <c r="F290">
        <v>1.6811741000000002E-2</v>
      </c>
      <c r="G290">
        <f t="shared" si="44"/>
        <v>7.8884038428802503</v>
      </c>
      <c r="H290">
        <f t="shared" si="45"/>
        <v>2.82780973986213</v>
      </c>
      <c r="I290">
        <f t="shared" si="46"/>
        <v>7.8884961443173198</v>
      </c>
      <c r="J290">
        <f t="shared" si="47"/>
        <v>2.8265817162376199</v>
      </c>
      <c r="K290" s="7">
        <f t="shared" si="48"/>
        <v>-9.2301437069508606E-5</v>
      </c>
      <c r="L290" s="7">
        <f t="shared" si="49"/>
        <v>1.22802362451013E-3</v>
      </c>
      <c r="M290" s="7">
        <f t="shared" si="50"/>
        <v>0.112343037073761</v>
      </c>
      <c r="N290" s="7">
        <f t="shared" si="51"/>
        <v>-4.0254412086903502E-2</v>
      </c>
      <c r="O290">
        <v>-0.87621764999999996</v>
      </c>
      <c r="P290">
        <v>-3.1661717999999999</v>
      </c>
      <c r="Q290">
        <v>-6.8323412000000001</v>
      </c>
      <c r="R290">
        <v>-7.3394902999999996</v>
      </c>
      <c r="S290">
        <f t="shared" si="52"/>
        <v>3.0523184742179463</v>
      </c>
      <c r="T290">
        <f t="shared" si="53"/>
        <v>-27.481419578343072</v>
      </c>
    </row>
    <row r="291" spans="1:20" x14ac:dyDescent="0.35">
      <c r="A291">
        <v>2</v>
      </c>
      <c r="B291">
        <v>16.5625</v>
      </c>
      <c r="C291">
        <v>-5.1927604000000002E-2</v>
      </c>
      <c r="D291">
        <v>2.1826365E-2</v>
      </c>
      <c r="E291">
        <v>0.94825678000000002</v>
      </c>
      <c r="F291">
        <v>1.9366218000000001E-2</v>
      </c>
      <c r="G291">
        <f t="shared" si="44"/>
        <v>7.8306281669501301</v>
      </c>
      <c r="H291">
        <f t="shared" si="45"/>
        <v>3.3107267626034802</v>
      </c>
      <c r="I291">
        <f t="shared" si="46"/>
        <v>7.83072186311166</v>
      </c>
      <c r="J291">
        <f t="shared" si="47"/>
        <v>3.3094969177385001</v>
      </c>
      <c r="K291" s="7">
        <f t="shared" si="48"/>
        <v>-9.3696161529877004E-5</v>
      </c>
      <c r="L291" s="7">
        <f t="shared" si="49"/>
        <v>1.22984486498012E-3</v>
      </c>
      <c r="M291" s="7">
        <f t="shared" si="50"/>
        <v>0.108349239679691</v>
      </c>
      <c r="N291" s="7">
        <f t="shared" si="51"/>
        <v>-4.5791624453988801E-2</v>
      </c>
      <c r="O291">
        <v>-1.0250954999999999</v>
      </c>
      <c r="P291">
        <v>-3.0586437000000002</v>
      </c>
      <c r="Q291">
        <v>-7.0972591999999999</v>
      </c>
      <c r="R291">
        <v>-6.8497177999999996</v>
      </c>
      <c r="S291">
        <f t="shared" si="52"/>
        <v>3.0576588137662073</v>
      </c>
      <c r="T291">
        <f t="shared" si="53"/>
        <v>-27.488395848288217</v>
      </c>
    </row>
    <row r="292" spans="1:20" x14ac:dyDescent="0.35">
      <c r="A292">
        <v>2</v>
      </c>
      <c r="B292">
        <v>16.625</v>
      </c>
      <c r="C292">
        <v>-5.0082277000000001E-2</v>
      </c>
      <c r="D292">
        <v>2.4075249999999999E-2</v>
      </c>
      <c r="E292">
        <v>0.95010368000000001</v>
      </c>
      <c r="F292">
        <v>2.1615806000000001E-2</v>
      </c>
      <c r="G292">
        <f t="shared" si="44"/>
        <v>7.7740030608655397</v>
      </c>
      <c r="H292">
        <f t="shared" si="45"/>
        <v>3.7819250163991902</v>
      </c>
      <c r="I292">
        <f t="shared" si="46"/>
        <v>7.7740975425135304</v>
      </c>
      <c r="J292">
        <f t="shared" si="47"/>
        <v>3.7806955249016299</v>
      </c>
      <c r="K292" s="7">
        <f t="shared" si="48"/>
        <v>-9.4481647990640697E-5</v>
      </c>
      <c r="L292" s="7">
        <f t="shared" si="49"/>
        <v>1.22949149756035E-3</v>
      </c>
      <c r="M292" s="7">
        <f t="shared" si="50"/>
        <v>0.10402878904078</v>
      </c>
      <c r="N292" s="7">
        <f t="shared" si="51"/>
        <v>-5.0591232620455499E-2</v>
      </c>
      <c r="O292">
        <v>-1.1551735999999999</v>
      </c>
      <c r="P292">
        <v>-2.9427962999999999</v>
      </c>
      <c r="Q292">
        <v>-7.2992017000000002</v>
      </c>
      <c r="R292">
        <v>-6.3613945999999997</v>
      </c>
      <c r="S292">
        <f t="shared" si="52"/>
        <v>3.0626377426402076</v>
      </c>
      <c r="T292">
        <f t="shared" si="53"/>
        <v>-27.495089643698464</v>
      </c>
    </row>
    <row r="293" spans="1:20" x14ac:dyDescent="0.35">
      <c r="A293">
        <v>2</v>
      </c>
      <c r="B293">
        <v>16.6875</v>
      </c>
      <c r="C293">
        <v>-4.8137988E-2</v>
      </c>
      <c r="D293">
        <v>2.6019932999999999E-2</v>
      </c>
      <c r="E293">
        <v>0.95204886</v>
      </c>
      <c r="F293">
        <v>2.3563962000000001E-2</v>
      </c>
      <c r="G293">
        <f t="shared" si="44"/>
        <v>7.7185406288675704</v>
      </c>
      <c r="H293">
        <f t="shared" si="45"/>
        <v>4.2415682639235603</v>
      </c>
      <c r="I293">
        <f t="shared" si="46"/>
        <v>7.7186355516639003</v>
      </c>
      <c r="J293">
        <f t="shared" si="47"/>
        <v>4.2403405096890801</v>
      </c>
      <c r="K293" s="7">
        <f t="shared" si="48"/>
        <v>-9.4922796329832706E-5</v>
      </c>
      <c r="L293" s="7">
        <f t="shared" si="49"/>
        <v>1.22775423448029E-3</v>
      </c>
      <c r="M293" s="7">
        <f t="shared" si="50"/>
        <v>9.9521045215940407E-2</v>
      </c>
      <c r="N293" s="7">
        <f t="shared" si="51"/>
        <v>-5.46732795934095E-2</v>
      </c>
      <c r="O293">
        <v>-1.2665120999999999</v>
      </c>
      <c r="P293">
        <v>-2.8211821000000001</v>
      </c>
      <c r="Q293">
        <v>-7.4437594000000002</v>
      </c>
      <c r="R293">
        <v>-5.8832367999999997</v>
      </c>
      <c r="S293">
        <f t="shared" si="52"/>
        <v>3.0681357143785282</v>
      </c>
      <c r="T293">
        <f t="shared" si="53"/>
        <v>-27.501904983699411</v>
      </c>
    </row>
    <row r="294" spans="1:20" x14ac:dyDescent="0.35">
      <c r="A294">
        <v>2</v>
      </c>
      <c r="B294">
        <v>16.75</v>
      </c>
      <c r="C294">
        <v>-4.6138679000000002E-2</v>
      </c>
      <c r="D294">
        <v>2.7677724000000001E-2</v>
      </c>
      <c r="E294">
        <v>0.95388446000000005</v>
      </c>
      <c r="F294">
        <v>2.5313254E-2</v>
      </c>
      <c r="G294">
        <f t="shared" si="44"/>
        <v>7.65046254836182</v>
      </c>
      <c r="H294">
        <f t="shared" si="45"/>
        <v>4.6822341740514002</v>
      </c>
      <c r="I294">
        <f t="shared" si="46"/>
        <v>7.6504755153571002</v>
      </c>
      <c r="J294">
        <f t="shared" si="47"/>
        <v>4.6810519680589699</v>
      </c>
      <c r="K294" s="7">
        <f t="shared" si="48"/>
        <v>-1.29669952801947E-5</v>
      </c>
      <c r="L294" s="7">
        <f t="shared" si="49"/>
        <v>1.18220599243024E-3</v>
      </c>
      <c r="M294" s="7">
        <f t="shared" si="50"/>
        <v>9.51054587744702E-2</v>
      </c>
      <c r="N294" s="7">
        <f t="shared" si="51"/>
        <v>-5.8191624046862199E-2</v>
      </c>
      <c r="O294">
        <v>-1.3598702</v>
      </c>
      <c r="P294">
        <v>-2.6982887</v>
      </c>
      <c r="Q294">
        <v>-7.5351216000000001</v>
      </c>
      <c r="R294">
        <v>-5.4223938</v>
      </c>
      <c r="S294">
        <f t="shared" si="52"/>
        <v>3.0723358137636962</v>
      </c>
      <c r="T294">
        <f t="shared" si="53"/>
        <v>-27.513642202510329</v>
      </c>
    </row>
    <row r="295" spans="1:20" x14ac:dyDescent="0.35">
      <c r="A295">
        <v>2</v>
      </c>
      <c r="B295">
        <v>16.8125</v>
      </c>
      <c r="C295">
        <v>-4.4136410000000001E-2</v>
      </c>
      <c r="D295">
        <v>2.9063760000000001E-2</v>
      </c>
      <c r="E295">
        <v>0.95588644</v>
      </c>
      <c r="F295">
        <v>2.6697526999999999E-2</v>
      </c>
      <c r="G295">
        <f t="shared" si="44"/>
        <v>7.5982689071568998</v>
      </c>
      <c r="H295">
        <f t="shared" si="45"/>
        <v>5.1175366747965398</v>
      </c>
      <c r="I295">
        <f t="shared" si="46"/>
        <v>7.5982817317410802</v>
      </c>
      <c r="J295">
        <f t="shared" si="47"/>
        <v>5.1163535869862899</v>
      </c>
      <c r="K295" s="7">
        <f t="shared" si="48"/>
        <v>-1.28245841803931E-5</v>
      </c>
      <c r="L295" s="7">
        <f t="shared" si="49"/>
        <v>1.18308781024989E-3</v>
      </c>
      <c r="M295" s="7">
        <f t="shared" si="50"/>
        <v>9.0551720477851705E-2</v>
      </c>
      <c r="N295" s="7">
        <f t="shared" si="51"/>
        <v>-6.0973603800352501E-2</v>
      </c>
      <c r="O295">
        <v>-1.4375705000000001</v>
      </c>
      <c r="P295">
        <v>-2.574478</v>
      </c>
      <c r="Q295">
        <v>-7.5850043999999999</v>
      </c>
      <c r="R295">
        <v>-4.9824561999999997</v>
      </c>
      <c r="S295">
        <f t="shared" si="52"/>
        <v>3.0777067172644439</v>
      </c>
      <c r="T295">
        <f t="shared" si="53"/>
        <v>-27.52110584489461</v>
      </c>
    </row>
    <row r="296" spans="1:20" x14ac:dyDescent="0.35">
      <c r="A296">
        <v>2</v>
      </c>
      <c r="B296">
        <v>16.875</v>
      </c>
      <c r="C296">
        <v>-4.2158398E-2</v>
      </c>
      <c r="D296">
        <v>3.0206014E-2</v>
      </c>
      <c r="E296">
        <v>0.95786422000000004</v>
      </c>
      <c r="F296">
        <v>2.7837818E-2</v>
      </c>
      <c r="G296">
        <f t="shared" si="44"/>
        <v>7.5474817796254996</v>
      </c>
      <c r="H296">
        <f t="shared" si="45"/>
        <v>5.5419836280944397</v>
      </c>
      <c r="I296">
        <f t="shared" si="46"/>
        <v>7.5474944905361401</v>
      </c>
      <c r="J296">
        <f t="shared" si="47"/>
        <v>5.5407995585360403</v>
      </c>
      <c r="K296" s="7">
        <f t="shared" si="48"/>
        <v>-1.2710910640478801E-5</v>
      </c>
      <c r="L296" s="7">
        <f t="shared" si="49"/>
        <v>1.1840695583993401E-3</v>
      </c>
      <c r="M296" s="7">
        <f t="shared" si="50"/>
        <v>8.6094599376846603E-2</v>
      </c>
      <c r="N296" s="7">
        <f t="shared" si="51"/>
        <v>-6.3204142622127701E-2</v>
      </c>
      <c r="O296">
        <v>-1.500993</v>
      </c>
      <c r="P296">
        <v>-2.4531855</v>
      </c>
      <c r="Q296">
        <v>-7.5978827999999998</v>
      </c>
      <c r="R296">
        <v>-4.5673281000000001</v>
      </c>
      <c r="S296">
        <f t="shared" si="52"/>
        <v>3.082459366350673</v>
      </c>
      <c r="T296">
        <f t="shared" si="53"/>
        <v>-27.528016242218804</v>
      </c>
    </row>
    <row r="297" spans="1:20" x14ac:dyDescent="0.35">
      <c r="A297">
        <v>2</v>
      </c>
      <c r="B297">
        <v>16.9375</v>
      </c>
      <c r="C297">
        <v>-4.0229347999999998E-2</v>
      </c>
      <c r="D297">
        <v>3.1130819000000001E-2</v>
      </c>
      <c r="E297">
        <v>0.95979333</v>
      </c>
      <c r="F297">
        <v>2.8760510999999999E-2</v>
      </c>
      <c r="G297">
        <f t="shared" si="44"/>
        <v>7.4980668755267299</v>
      </c>
      <c r="H297">
        <f t="shared" si="45"/>
        <v>5.9558257545837803</v>
      </c>
      <c r="I297">
        <f t="shared" si="46"/>
        <v>7.4980796189384202</v>
      </c>
      <c r="J297">
        <f t="shared" si="47"/>
        <v>5.9546406291248299</v>
      </c>
      <c r="K297" s="7">
        <f t="shared" si="48"/>
        <v>-1.2743411690330199E-5</v>
      </c>
      <c r="L297" s="7">
        <f t="shared" si="49"/>
        <v>1.18512545895033E-3</v>
      </c>
      <c r="M297" s="7">
        <f t="shared" si="50"/>
        <v>8.1786279096085296E-2</v>
      </c>
      <c r="N297" s="7">
        <f t="shared" si="51"/>
        <v>-6.4951017481919296E-2</v>
      </c>
      <c r="O297">
        <v>-1.5513710000000001</v>
      </c>
      <c r="P297">
        <v>-2.3351722000000001</v>
      </c>
      <c r="Q297">
        <v>-7.5800783999999997</v>
      </c>
      <c r="R297">
        <v>-4.1787004999999997</v>
      </c>
      <c r="S297">
        <f t="shared" si="52"/>
        <v>3.0873873802975194</v>
      </c>
      <c r="T297">
        <f t="shared" si="53"/>
        <v>-27.535127683353313</v>
      </c>
    </row>
    <row r="298" spans="1:20" x14ac:dyDescent="0.35">
      <c r="A298">
        <v>2</v>
      </c>
      <c r="B298">
        <v>17</v>
      </c>
      <c r="C298">
        <v>-3.8369938999999999E-2</v>
      </c>
      <c r="D298">
        <v>3.1866440000000003E-2</v>
      </c>
      <c r="E298">
        <v>0.96158381000000004</v>
      </c>
      <c r="F298">
        <v>2.9569204000000002E-2</v>
      </c>
      <c r="G298">
        <f t="shared" si="44"/>
        <v>7.4402975698278704</v>
      </c>
      <c r="H298">
        <f t="shared" si="45"/>
        <v>6.3535007194926401</v>
      </c>
      <c r="I298">
        <f t="shared" si="46"/>
        <v>7.4402757632061798</v>
      </c>
      <c r="J298">
        <f t="shared" si="47"/>
        <v>6.3523520498816097</v>
      </c>
      <c r="K298" s="7">
        <f t="shared" si="48"/>
        <v>2.1806621690601001E-5</v>
      </c>
      <c r="L298" s="7">
        <f t="shared" si="49"/>
        <v>1.14866961103033E-3</v>
      </c>
      <c r="M298" s="7">
        <f t="shared" si="50"/>
        <v>7.7737640208293698E-2</v>
      </c>
      <c r="N298" s="7">
        <f t="shared" si="51"/>
        <v>-6.6370773590429005E-2</v>
      </c>
      <c r="O298">
        <v>-1.5907757</v>
      </c>
      <c r="P298">
        <v>-2.2218616999999998</v>
      </c>
      <c r="Q298">
        <v>-7.5390432000000001</v>
      </c>
      <c r="R298">
        <v>-3.8174256999999998</v>
      </c>
      <c r="S298">
        <f t="shared" si="52"/>
        <v>3.0924257915817814</v>
      </c>
      <c r="T298">
        <f t="shared" si="53"/>
        <v>-27.543091486719931</v>
      </c>
    </row>
    <row r="299" spans="1:20" x14ac:dyDescent="0.35">
      <c r="A299">
        <v>2.125</v>
      </c>
      <c r="B299">
        <v>15</v>
      </c>
      <c r="C299">
        <v>-1.997881E-2</v>
      </c>
      <c r="D299">
        <v>-2.5104112000000001E-2</v>
      </c>
      <c r="E299">
        <v>0.97990111000000002</v>
      </c>
      <c r="F299">
        <v>-2.7655233000000001E-2</v>
      </c>
      <c r="G299">
        <f t="shared" si="44"/>
        <v>8.6298230773215607</v>
      </c>
      <c r="H299">
        <f t="shared" si="45"/>
        <v>-12.0180644280987</v>
      </c>
      <c r="I299">
        <f t="shared" si="46"/>
        <v>8.6297646610615892</v>
      </c>
      <c r="J299">
        <f t="shared" si="47"/>
        <v>-12.0193401397059</v>
      </c>
      <c r="K299" s="7">
        <f t="shared" si="48"/>
        <v>5.8416259971494403E-5</v>
      </c>
      <c r="L299" s="7">
        <f t="shared" si="49"/>
        <v>1.2757116071995299E-3</v>
      </c>
      <c r="M299" s="7">
        <f t="shared" si="50"/>
        <v>3.9416589521924901E-2</v>
      </c>
      <c r="N299" s="7">
        <f t="shared" si="51"/>
        <v>5.4898530286560901E-2</v>
      </c>
      <c r="O299">
        <v>1.7702571</v>
      </c>
      <c r="P299">
        <v>-1.1890833999999999</v>
      </c>
      <c r="Q299">
        <v>2.9857707000000002</v>
      </c>
      <c r="R299">
        <v>-5.4184634999999997</v>
      </c>
      <c r="S299">
        <f t="shared" si="52"/>
        <v>2.9010677106280363</v>
      </c>
      <c r="T299">
        <f t="shared" si="53"/>
        <v>-27.25433949114737</v>
      </c>
    </row>
    <row r="300" spans="1:20" x14ac:dyDescent="0.35">
      <c r="A300">
        <v>2.125</v>
      </c>
      <c r="B300">
        <v>15.0625</v>
      </c>
      <c r="C300">
        <v>-2.1731401000000001E-2</v>
      </c>
      <c r="D300">
        <v>-2.5759862000000001E-2</v>
      </c>
      <c r="E300">
        <v>0.97814181</v>
      </c>
      <c r="F300">
        <v>-2.8319798E-2</v>
      </c>
      <c r="G300">
        <f t="shared" si="44"/>
        <v>8.5347757748687094</v>
      </c>
      <c r="H300">
        <f t="shared" si="45"/>
        <v>-11.208364675221601</v>
      </c>
      <c r="I300">
        <f t="shared" si="46"/>
        <v>8.5347140149765703</v>
      </c>
      <c r="J300">
        <f t="shared" si="47"/>
        <v>-11.2096448034253</v>
      </c>
      <c r="K300" s="7">
        <f t="shared" si="48"/>
        <v>6.1759892139079398E-5</v>
      </c>
      <c r="L300" s="7">
        <f t="shared" si="49"/>
        <v>1.2801282036996001E-3</v>
      </c>
      <c r="M300" s="7">
        <f t="shared" si="50"/>
        <v>4.29965862423606E-2</v>
      </c>
      <c r="N300" s="7">
        <f t="shared" si="51"/>
        <v>5.6472479182189603E-2</v>
      </c>
      <c r="O300">
        <v>1.8017194999999999</v>
      </c>
      <c r="P300">
        <v>-1.2889693</v>
      </c>
      <c r="Q300">
        <v>2.9437701000000001</v>
      </c>
      <c r="R300">
        <v>-5.7366700000000002</v>
      </c>
      <c r="S300">
        <f t="shared" si="52"/>
        <v>2.9105888620684821</v>
      </c>
      <c r="T300">
        <f t="shared" si="53"/>
        <v>-27.255055936532397</v>
      </c>
    </row>
    <row r="301" spans="1:20" x14ac:dyDescent="0.35">
      <c r="A301">
        <v>2.125</v>
      </c>
      <c r="B301">
        <v>15.125</v>
      </c>
      <c r="C301">
        <v>-2.3626326999999999E-2</v>
      </c>
      <c r="D301">
        <v>-2.6340842E-2</v>
      </c>
      <c r="E301">
        <v>0.97623641999999999</v>
      </c>
      <c r="F301">
        <v>-2.8910147000000001E-2</v>
      </c>
      <c r="G301">
        <f t="shared" si="44"/>
        <v>8.4440987855577205</v>
      </c>
      <c r="H301">
        <f t="shared" si="45"/>
        <v>-10.4270727801983</v>
      </c>
      <c r="I301">
        <f t="shared" si="46"/>
        <v>8.4440318050169001</v>
      </c>
      <c r="J301">
        <f t="shared" si="47"/>
        <v>-10.428357606918199</v>
      </c>
      <c r="K301" s="7">
        <f t="shared" si="48"/>
        <v>6.6980540820438304E-5</v>
      </c>
      <c r="L301" s="7">
        <f t="shared" si="49"/>
        <v>1.2848267198997099E-3</v>
      </c>
      <c r="M301" s="7">
        <f t="shared" si="50"/>
        <v>4.68976573918461E-2</v>
      </c>
      <c r="N301" s="7">
        <f t="shared" si="51"/>
        <v>5.7918486512370498E-2</v>
      </c>
      <c r="O301">
        <v>1.8298725</v>
      </c>
      <c r="P301">
        <v>-1.39713</v>
      </c>
      <c r="Q301">
        <v>2.8792513999999998</v>
      </c>
      <c r="R301">
        <v>-6.0704978000000001</v>
      </c>
      <c r="S301">
        <f t="shared" si="52"/>
        <v>2.9183084346652599</v>
      </c>
      <c r="T301">
        <f t="shared" si="53"/>
        <v>-27.262728443272039</v>
      </c>
    </row>
    <row r="302" spans="1:20" x14ac:dyDescent="0.35">
      <c r="A302">
        <v>2.125</v>
      </c>
      <c r="B302">
        <v>15.1875</v>
      </c>
      <c r="C302">
        <v>-2.5677434999999998E-2</v>
      </c>
      <c r="D302">
        <v>-2.6830130000000001E-2</v>
      </c>
      <c r="E302">
        <v>0.97417202000000003</v>
      </c>
      <c r="F302">
        <v>-2.9407756E-2</v>
      </c>
      <c r="G302">
        <f t="shared" si="44"/>
        <v>8.3566007710478498</v>
      </c>
      <c r="H302">
        <f t="shared" si="45"/>
        <v>-9.6696869468597093</v>
      </c>
      <c r="I302">
        <f t="shared" si="46"/>
        <v>8.3565271542928308</v>
      </c>
      <c r="J302">
        <f t="shared" si="47"/>
        <v>-9.6709759517645804</v>
      </c>
      <c r="K302" s="7">
        <f t="shared" si="48"/>
        <v>7.3616755019045895E-5</v>
      </c>
      <c r="L302" s="7">
        <f t="shared" si="49"/>
        <v>1.2890049048710499E-3</v>
      </c>
      <c r="M302" s="7">
        <f t="shared" si="50"/>
        <v>5.1154271792092303E-2</v>
      </c>
      <c r="N302" s="7">
        <f t="shared" si="51"/>
        <v>5.9200637202167901E-2</v>
      </c>
      <c r="O302">
        <v>1.8529578</v>
      </c>
      <c r="P302">
        <v>-1.5140917</v>
      </c>
      <c r="Q302">
        <v>2.7883984000000002</v>
      </c>
      <c r="R302">
        <v>-6.4205597000000001</v>
      </c>
      <c r="S302">
        <f t="shared" si="52"/>
        <v>2.9252947735587957</v>
      </c>
      <c r="T302">
        <f t="shared" si="53"/>
        <v>-27.272076407646086</v>
      </c>
    </row>
    <row r="303" spans="1:20" x14ac:dyDescent="0.35">
      <c r="A303">
        <v>2.125</v>
      </c>
      <c r="B303">
        <v>15.25</v>
      </c>
      <c r="C303">
        <v>-2.7892950999999999E-2</v>
      </c>
      <c r="D303">
        <v>-2.7202675999999999E-2</v>
      </c>
      <c r="E303">
        <v>0.97194153999999999</v>
      </c>
      <c r="F303">
        <v>-2.9787121999999999E-2</v>
      </c>
      <c r="G303">
        <f t="shared" si="44"/>
        <v>8.2720575407545098</v>
      </c>
      <c r="H303">
        <f t="shared" si="45"/>
        <v>-8.9341682524435395</v>
      </c>
      <c r="I303">
        <f t="shared" si="46"/>
        <v>8.2719764496577692</v>
      </c>
      <c r="J303">
        <f t="shared" si="47"/>
        <v>-8.9354606871861204</v>
      </c>
      <c r="K303" s="7">
        <f t="shared" si="48"/>
        <v>8.1091096740593102E-5</v>
      </c>
      <c r="L303" s="7">
        <f t="shared" si="49"/>
        <v>1.2924347425808901E-3</v>
      </c>
      <c r="M303" s="7">
        <f t="shared" si="50"/>
        <v>5.57906867584727E-2</v>
      </c>
      <c r="N303" s="7">
        <f t="shared" si="51"/>
        <v>6.0265583597263903E-2</v>
      </c>
      <c r="O303">
        <v>1.8692008</v>
      </c>
      <c r="P303">
        <v>-1.6401184</v>
      </c>
      <c r="Q303">
        <v>2.6666718</v>
      </c>
      <c r="R303">
        <v>-6.7860711</v>
      </c>
      <c r="S303">
        <f t="shared" si="52"/>
        <v>2.932034094013892</v>
      </c>
      <c r="T303">
        <f t="shared" si="53"/>
        <v>-27.281904134551912</v>
      </c>
    </row>
    <row r="304" spans="1:20" x14ac:dyDescent="0.35">
      <c r="A304">
        <v>2.125</v>
      </c>
      <c r="B304">
        <v>15.3125</v>
      </c>
      <c r="C304">
        <v>-3.028117E-2</v>
      </c>
      <c r="D304">
        <v>-2.7427732E-2</v>
      </c>
      <c r="E304">
        <v>0.96971655000000001</v>
      </c>
      <c r="F304">
        <v>-2.9870266999999999E-2</v>
      </c>
      <c r="G304">
        <f t="shared" si="44"/>
        <v>8.2129121347745908</v>
      </c>
      <c r="H304">
        <f t="shared" si="45"/>
        <v>-8.2423609365533803</v>
      </c>
      <c r="I304">
        <f t="shared" si="46"/>
        <v>8.2129124862704597</v>
      </c>
      <c r="J304">
        <f t="shared" si="47"/>
        <v>-8.2435822050163399</v>
      </c>
      <c r="K304" s="7">
        <f t="shared" si="48"/>
        <v>-3.5149586885552301E-7</v>
      </c>
      <c r="L304" s="7">
        <f t="shared" si="49"/>
        <v>1.22126846295956E-3</v>
      </c>
      <c r="M304" s="7">
        <f t="shared" si="50"/>
        <v>6.0652822311499099E-2</v>
      </c>
      <c r="N304" s="7">
        <f t="shared" si="51"/>
        <v>6.0879319915673802E-2</v>
      </c>
      <c r="O304">
        <v>1.8764622</v>
      </c>
      <c r="P304">
        <v>-1.7754251000000001</v>
      </c>
      <c r="Q304">
        <v>2.5086884</v>
      </c>
      <c r="R304">
        <v>-7.1668665999999996</v>
      </c>
      <c r="S304">
        <f t="shared" si="52"/>
        <v>2.9394045243494871</v>
      </c>
      <c r="T304">
        <f t="shared" si="53"/>
        <v>-27.292726655290522</v>
      </c>
    </row>
    <row r="305" spans="1:20" x14ac:dyDescent="0.35">
      <c r="A305">
        <v>2.125</v>
      </c>
      <c r="B305">
        <v>15.375</v>
      </c>
      <c r="C305">
        <v>-3.2831025999999999E-2</v>
      </c>
      <c r="D305">
        <v>-2.7472138E-2</v>
      </c>
      <c r="E305">
        <v>0.96716807999999999</v>
      </c>
      <c r="F305">
        <v>-2.9908971999999999E-2</v>
      </c>
      <c r="G305">
        <f t="shared" si="44"/>
        <v>8.1350725782808802</v>
      </c>
      <c r="H305">
        <f t="shared" si="45"/>
        <v>-7.5453525469097702</v>
      </c>
      <c r="I305">
        <f t="shared" si="46"/>
        <v>8.1350736158204402</v>
      </c>
      <c r="J305">
        <f t="shared" si="47"/>
        <v>-7.5465709631902396</v>
      </c>
      <c r="K305" s="7">
        <f t="shared" si="48"/>
        <v>-1.0375395600448201E-6</v>
      </c>
      <c r="L305" s="7">
        <f t="shared" si="49"/>
        <v>1.2184162804693699E-3</v>
      </c>
      <c r="M305" s="7">
        <f t="shared" si="50"/>
        <v>6.6068897154301795E-2</v>
      </c>
      <c r="N305" s="7">
        <f t="shared" si="51"/>
        <v>6.1289380327798203E-2</v>
      </c>
      <c r="O305">
        <v>1.8733698000000001</v>
      </c>
      <c r="P305">
        <v>-1.9195089000000001</v>
      </c>
      <c r="Q305">
        <v>2.3102092000000001</v>
      </c>
      <c r="R305">
        <v>-7.5563354</v>
      </c>
      <c r="S305">
        <f t="shared" si="52"/>
        <v>2.9459740334169044</v>
      </c>
      <c r="T305">
        <f t="shared" si="53"/>
        <v>-27.303011362277989</v>
      </c>
    </row>
    <row r="306" spans="1:20" x14ac:dyDescent="0.35">
      <c r="A306">
        <v>2.125</v>
      </c>
      <c r="B306">
        <v>15.4375</v>
      </c>
      <c r="C306">
        <v>-3.5538634E-2</v>
      </c>
      <c r="D306">
        <v>-2.7297416000000001E-2</v>
      </c>
      <c r="E306">
        <v>0.96446361999999997</v>
      </c>
      <c r="F306">
        <v>-2.9729156999999999E-2</v>
      </c>
      <c r="G306">
        <f t="shared" si="44"/>
        <v>8.0594504799394802</v>
      </c>
      <c r="H306">
        <f t="shared" si="45"/>
        <v>-6.8670122678500096</v>
      </c>
      <c r="I306">
        <f t="shared" si="46"/>
        <v>8.0594530852721196</v>
      </c>
      <c r="J306">
        <f t="shared" si="47"/>
        <v>-6.8682281338119902</v>
      </c>
      <c r="K306" s="7">
        <f t="shared" si="48"/>
        <v>-2.6053326394048798E-6</v>
      </c>
      <c r="L306" s="7">
        <f t="shared" si="49"/>
        <v>1.21586596198053E-3</v>
      </c>
      <c r="M306" s="7">
        <f t="shared" si="50"/>
        <v>7.1877679081615201E-2</v>
      </c>
      <c r="N306" s="7">
        <f t="shared" si="51"/>
        <v>6.1253821126348897E-2</v>
      </c>
      <c r="O306">
        <v>1.8575523</v>
      </c>
      <c r="P306">
        <v>-2.0719940000000001</v>
      </c>
      <c r="Q306">
        <v>2.0658924999999999</v>
      </c>
      <c r="R306">
        <v>-7.9519200999999997</v>
      </c>
      <c r="S306">
        <f t="shared" si="52"/>
        <v>2.9524448742520986</v>
      </c>
      <c r="T306">
        <f t="shared" si="53"/>
        <v>-27.313003120338603</v>
      </c>
    </row>
    <row r="307" spans="1:20" x14ac:dyDescent="0.35">
      <c r="A307">
        <v>2.125</v>
      </c>
      <c r="B307">
        <v>15.5</v>
      </c>
      <c r="C307">
        <v>-3.8387365999999999E-2</v>
      </c>
      <c r="D307">
        <v>-2.6862681999999999E-2</v>
      </c>
      <c r="E307">
        <v>0.96161984</v>
      </c>
      <c r="F307">
        <v>-2.9290287000000002E-2</v>
      </c>
      <c r="G307">
        <f t="shared" si="44"/>
        <v>7.9859642367860504</v>
      </c>
      <c r="H307">
        <f t="shared" si="45"/>
        <v>-6.2066040703786403</v>
      </c>
      <c r="I307">
        <f t="shared" si="46"/>
        <v>7.9859693130714797</v>
      </c>
      <c r="J307">
        <f t="shared" si="47"/>
        <v>-6.2078178623437399</v>
      </c>
      <c r="K307" s="7">
        <f t="shared" si="48"/>
        <v>-5.0762854293395801E-6</v>
      </c>
      <c r="L307" s="7">
        <f t="shared" si="49"/>
        <v>1.2137919650996301E-3</v>
      </c>
      <c r="M307" s="7">
        <f t="shared" si="50"/>
        <v>7.8054519635035693E-2</v>
      </c>
      <c r="N307" s="7">
        <f t="shared" si="51"/>
        <v>6.0674944046419502E-2</v>
      </c>
      <c r="O307">
        <v>1.8267176000000001</v>
      </c>
      <c r="P307">
        <v>-2.2318294000000001</v>
      </c>
      <c r="Q307">
        <v>1.7708573999999999</v>
      </c>
      <c r="R307">
        <v>-8.3478401000000009</v>
      </c>
      <c r="S307">
        <f t="shared" si="52"/>
        <v>2.9588571626850446</v>
      </c>
      <c r="T307">
        <f t="shared" si="53"/>
        <v>-27.322979129523933</v>
      </c>
    </row>
    <row r="308" spans="1:20" x14ac:dyDescent="0.35">
      <c r="A308">
        <v>2.125</v>
      </c>
      <c r="B308">
        <v>15.5625</v>
      </c>
      <c r="C308">
        <v>-4.1350647999999997E-2</v>
      </c>
      <c r="D308">
        <v>-2.6125855E-2</v>
      </c>
      <c r="E308">
        <v>0.95866328999999995</v>
      </c>
      <c r="F308">
        <v>-2.8550609000000001E-2</v>
      </c>
      <c r="G308">
        <f t="shared" si="44"/>
        <v>7.9145431586203303</v>
      </c>
      <c r="H308">
        <f t="shared" si="45"/>
        <v>-5.5634571543180504</v>
      </c>
      <c r="I308">
        <f t="shared" si="46"/>
        <v>7.9145515973968799</v>
      </c>
      <c r="J308">
        <f t="shared" si="47"/>
        <v>-5.56466951263815</v>
      </c>
      <c r="K308" s="7">
        <f t="shared" si="48"/>
        <v>-8.4387765495463896E-6</v>
      </c>
      <c r="L308" s="7">
        <f t="shared" si="49"/>
        <v>1.2123583200995801E-3</v>
      </c>
      <c r="M308" s="7">
        <f t="shared" si="50"/>
        <v>8.4552049874797197E-2</v>
      </c>
      <c r="N308" s="7">
        <f t="shared" si="51"/>
        <v>5.9447993784523999E-2</v>
      </c>
      <c r="O308">
        <v>1.7785511000000001</v>
      </c>
      <c r="P308">
        <v>-2.3974155000000001</v>
      </c>
      <c r="Q308">
        <v>1.4208974000000001</v>
      </c>
      <c r="R308">
        <v>-8.7366375999999999</v>
      </c>
      <c r="S308">
        <f t="shared" si="52"/>
        <v>2.9651994925993774</v>
      </c>
      <c r="T308">
        <f t="shared" si="53"/>
        <v>-27.33279619533263</v>
      </c>
    </row>
    <row r="309" spans="1:20" x14ac:dyDescent="0.35">
      <c r="A309">
        <v>2.125</v>
      </c>
      <c r="B309">
        <v>15.625</v>
      </c>
      <c r="C309">
        <v>-4.4390411999999997E-2</v>
      </c>
      <c r="D309">
        <v>-2.5046078999999999E-2</v>
      </c>
      <c r="E309">
        <v>0.95563193999999996</v>
      </c>
      <c r="F309">
        <v>-2.7469583999999998E-2</v>
      </c>
      <c r="G309">
        <f t="shared" si="44"/>
        <v>7.8451230207145803</v>
      </c>
      <c r="H309">
        <f t="shared" si="45"/>
        <v>-4.93695097509777</v>
      </c>
      <c r="I309">
        <f t="shared" si="46"/>
        <v>7.84513566488243</v>
      </c>
      <c r="J309">
        <f t="shared" si="47"/>
        <v>-4.9381626987339597</v>
      </c>
      <c r="K309" s="7">
        <f t="shared" si="48"/>
        <v>-1.26441678496292E-5</v>
      </c>
      <c r="L309" s="7">
        <f t="shared" si="49"/>
        <v>1.2117236361897099E-3</v>
      </c>
      <c r="M309" s="7">
        <f t="shared" si="50"/>
        <v>9.1295114481409298E-2</v>
      </c>
      <c r="N309" s="7">
        <f t="shared" si="51"/>
        <v>5.7466199205045601E-2</v>
      </c>
      <c r="O309">
        <v>1.7108178000000001</v>
      </c>
      <c r="P309">
        <v>-2.5664752000000002</v>
      </c>
      <c r="Q309">
        <v>1.0128839999999999</v>
      </c>
      <c r="R309">
        <v>-9.1093382999999992</v>
      </c>
      <c r="S309">
        <f t="shared" si="52"/>
        <v>2.9715328917985375</v>
      </c>
      <c r="T309">
        <f t="shared" si="53"/>
        <v>-27.342746795370768</v>
      </c>
    </row>
    <row r="310" spans="1:20" x14ac:dyDescent="0.35">
      <c r="A310">
        <v>2.125</v>
      </c>
      <c r="B310">
        <v>15.6875</v>
      </c>
      <c r="C310">
        <v>-4.7456116999999999E-2</v>
      </c>
      <c r="D310">
        <v>-2.3586981999999999E-2</v>
      </c>
      <c r="E310">
        <v>0.95257621999999997</v>
      </c>
      <c r="F310">
        <v>-2.6011156000000001E-2</v>
      </c>
      <c r="G310">
        <f t="shared" si="44"/>
        <v>7.7776467890112597</v>
      </c>
      <c r="H310">
        <f t="shared" si="45"/>
        <v>-4.3265098163496498</v>
      </c>
      <c r="I310">
        <f t="shared" si="46"/>
        <v>7.7776644263313299</v>
      </c>
      <c r="J310">
        <f t="shared" si="47"/>
        <v>-4.3277218623747302</v>
      </c>
      <c r="K310" s="7">
        <f t="shared" si="48"/>
        <v>-1.7637320070207399E-5</v>
      </c>
      <c r="L310" s="7">
        <f t="shared" si="49"/>
        <v>1.2120460250804E-3</v>
      </c>
      <c r="M310" s="7">
        <f t="shared" si="50"/>
        <v>9.8176503958739794E-2</v>
      </c>
      <c r="N310" s="7">
        <f t="shared" si="51"/>
        <v>5.4628302182249101E-2</v>
      </c>
      <c r="O310">
        <v>1.6216153</v>
      </c>
      <c r="P310">
        <v>-2.7361289000000002</v>
      </c>
      <c r="Q310">
        <v>0.54544187</v>
      </c>
      <c r="R310">
        <v>-9.4552773999999999</v>
      </c>
      <c r="S310">
        <f t="shared" si="52"/>
        <v>2.9777653144486145</v>
      </c>
      <c r="T310">
        <f t="shared" si="53"/>
        <v>-27.352319882547878</v>
      </c>
    </row>
    <row r="311" spans="1:20" x14ac:dyDescent="0.35">
      <c r="A311">
        <v>2.125</v>
      </c>
      <c r="B311">
        <v>15.75</v>
      </c>
      <c r="C311">
        <v>-5.0484741E-2</v>
      </c>
      <c r="D311">
        <v>-2.1720692999999999E-2</v>
      </c>
      <c r="E311">
        <v>0.94955902000000003</v>
      </c>
      <c r="F311">
        <v>-2.4147782E-2</v>
      </c>
      <c r="G311">
        <f t="shared" si="44"/>
        <v>7.7120626191353399</v>
      </c>
      <c r="H311">
        <f t="shared" si="45"/>
        <v>-3.7315967092447702</v>
      </c>
      <c r="I311">
        <f t="shared" si="46"/>
        <v>7.7120859717480297</v>
      </c>
      <c r="J311">
        <f t="shared" si="47"/>
        <v>-3.7328101988535898</v>
      </c>
      <c r="K311" s="7">
        <f t="shared" si="48"/>
        <v>-2.33526126898198E-5</v>
      </c>
      <c r="L311" s="7">
        <f t="shared" si="49"/>
        <v>1.21348960881962E-3</v>
      </c>
      <c r="M311" s="7">
        <f t="shared" si="50"/>
        <v>0.105054775265737</v>
      </c>
      <c r="N311" s="7">
        <f t="shared" si="51"/>
        <v>5.08486987809511E-2</v>
      </c>
      <c r="O311">
        <v>1.5095018</v>
      </c>
      <c r="P311">
        <v>-2.9027259000000001</v>
      </c>
      <c r="Q311">
        <v>1.9427957999999999E-2</v>
      </c>
      <c r="R311">
        <v>-9.7626168999999994</v>
      </c>
      <c r="S311">
        <f t="shared" si="52"/>
        <v>2.9839096710688353</v>
      </c>
      <c r="T311">
        <f t="shared" si="53"/>
        <v>-27.36172139699854</v>
      </c>
    </row>
    <row r="312" spans="1:20" x14ac:dyDescent="0.35">
      <c r="A312">
        <v>2.125</v>
      </c>
      <c r="B312">
        <v>15.8125</v>
      </c>
      <c r="C312">
        <v>-5.3402198999999997E-2</v>
      </c>
      <c r="D312">
        <v>-1.9432279E-2</v>
      </c>
      <c r="E312">
        <v>0.94665427999999996</v>
      </c>
      <c r="F312">
        <v>-2.1864878000000001E-2</v>
      </c>
      <c r="G312">
        <f t="shared" si="44"/>
        <v>7.6483245950021796</v>
      </c>
      <c r="H312">
        <f t="shared" si="45"/>
        <v>-3.1517086413886299</v>
      </c>
      <c r="I312">
        <f t="shared" si="46"/>
        <v>7.6483543129617004</v>
      </c>
      <c r="J312">
        <f t="shared" si="47"/>
        <v>-3.1529248703969901</v>
      </c>
      <c r="K312" s="7">
        <f t="shared" si="48"/>
        <v>-2.97179595207808E-5</v>
      </c>
      <c r="L312" s="7">
        <f t="shared" si="49"/>
        <v>1.2162290083601601E-3</v>
      </c>
      <c r="M312" s="7">
        <f t="shared" si="50"/>
        <v>0.111755536040585</v>
      </c>
      <c r="N312" s="7">
        <f t="shared" si="51"/>
        <v>4.6069624205270998E-2</v>
      </c>
      <c r="O312">
        <v>1.3740246</v>
      </c>
      <c r="P312">
        <v>-3.0625919000000001</v>
      </c>
      <c r="Q312">
        <v>-0.56143951000000003</v>
      </c>
      <c r="R312">
        <v>-10.019033</v>
      </c>
      <c r="S312">
        <f t="shared" si="52"/>
        <v>2.9894721917017755</v>
      </c>
      <c r="T312">
        <f t="shared" si="53"/>
        <v>-27.370622192508939</v>
      </c>
    </row>
    <row r="313" spans="1:20" x14ac:dyDescent="0.35">
      <c r="A313">
        <v>2.125</v>
      </c>
      <c r="B313">
        <v>15.875</v>
      </c>
      <c r="C313">
        <v>-5.6126508999999998E-2</v>
      </c>
      <c r="D313">
        <v>-1.6724058E-2</v>
      </c>
      <c r="E313">
        <v>0.94394378000000001</v>
      </c>
      <c r="F313">
        <v>-1.9165116999999999E-2</v>
      </c>
      <c r="G313">
        <f t="shared" si="44"/>
        <v>7.5863904391402599</v>
      </c>
      <c r="H313">
        <f t="shared" si="45"/>
        <v>-2.5863703377887699</v>
      </c>
      <c r="I313">
        <f t="shared" si="46"/>
        <v>7.5864270719381803</v>
      </c>
      <c r="J313">
        <f t="shared" si="47"/>
        <v>-2.5875907796855402</v>
      </c>
      <c r="K313" s="7">
        <f t="shared" si="48"/>
        <v>-3.6632797920432802E-5</v>
      </c>
      <c r="L313" s="7">
        <f t="shared" si="49"/>
        <v>1.22044189677029E-3</v>
      </c>
      <c r="M313" s="7">
        <f t="shared" si="50"/>
        <v>0.118077601600159</v>
      </c>
      <c r="N313" s="7">
        <f t="shared" si="51"/>
        <v>4.0274098767537E-2</v>
      </c>
      <c r="O313">
        <v>1.2150441999999999</v>
      </c>
      <c r="P313">
        <v>-3.2100415999999998</v>
      </c>
      <c r="Q313">
        <v>-1.1902267</v>
      </c>
      <c r="R313">
        <v>-10.212379</v>
      </c>
      <c r="S313">
        <f t="shared" si="52"/>
        <v>2.9955123186379304</v>
      </c>
      <c r="T313">
        <f t="shared" si="53"/>
        <v>-27.380018618726982</v>
      </c>
    </row>
    <row r="314" spans="1:20" x14ac:dyDescent="0.35">
      <c r="A314">
        <v>2.125</v>
      </c>
      <c r="B314">
        <v>15.9375</v>
      </c>
      <c r="C314">
        <v>-5.8572771000000003E-2</v>
      </c>
      <c r="D314">
        <v>-1.3618984000000001E-2</v>
      </c>
      <c r="E314">
        <v>0.94151211999999995</v>
      </c>
      <c r="F314">
        <v>-1.6071782E-2</v>
      </c>
      <c r="G314">
        <f t="shared" si="44"/>
        <v>7.5262212281797396</v>
      </c>
      <c r="H314">
        <f t="shared" si="45"/>
        <v>-2.0351290668711699</v>
      </c>
      <c r="I314">
        <f t="shared" si="46"/>
        <v>7.52626517573895</v>
      </c>
      <c r="J314">
        <f t="shared" si="47"/>
        <v>-2.0363553599233102</v>
      </c>
      <c r="K314" s="7">
        <f t="shared" si="48"/>
        <v>-4.3947559210444401E-5</v>
      </c>
      <c r="L314" s="7">
        <f t="shared" si="49"/>
        <v>1.22629305214028E-3</v>
      </c>
      <c r="M314" s="7">
        <f t="shared" si="50"/>
        <v>0.123804746354528</v>
      </c>
      <c r="N314" s="7">
        <f t="shared" si="51"/>
        <v>3.34974190964826E-2</v>
      </c>
      <c r="O314">
        <v>1.0341578</v>
      </c>
      <c r="P314">
        <v>-3.3403282999999999</v>
      </c>
      <c r="Q314">
        <v>-1.8565442000000001</v>
      </c>
      <c r="R314">
        <v>-10.331574</v>
      </c>
      <c r="S314">
        <f t="shared" si="52"/>
        <v>3.0019444491173446</v>
      </c>
      <c r="T314">
        <f t="shared" si="53"/>
        <v>-27.389512682297067</v>
      </c>
    </row>
    <row r="315" spans="1:20" x14ac:dyDescent="0.35">
      <c r="A315">
        <v>2.125</v>
      </c>
      <c r="B315">
        <v>16</v>
      </c>
      <c r="C315">
        <v>-6.0659651000000002E-2</v>
      </c>
      <c r="D315">
        <v>-1.0162274000000001E-2</v>
      </c>
      <c r="E315">
        <v>0.93944022000000005</v>
      </c>
      <c r="F315">
        <v>-1.2630314E-2</v>
      </c>
      <c r="G315">
        <f t="shared" si="44"/>
        <v>7.4677802177586603</v>
      </c>
      <c r="H315">
        <f t="shared" si="45"/>
        <v>-1.49754977948018</v>
      </c>
      <c r="I315">
        <f t="shared" si="46"/>
        <v>7.46783167334016</v>
      </c>
      <c r="J315">
        <f t="shared" si="47"/>
        <v>-1.49878367436781</v>
      </c>
      <c r="K315" s="7">
        <f t="shared" si="48"/>
        <v>-5.14555814996598E-5</v>
      </c>
      <c r="L315" s="7">
        <f t="shared" si="49"/>
        <v>1.2338948876300399E-3</v>
      </c>
      <c r="M315" s="7">
        <f t="shared" si="50"/>
        <v>0.12872273351869401</v>
      </c>
      <c r="N315" s="7">
        <f t="shared" si="51"/>
        <v>2.5834477791801199E-2</v>
      </c>
      <c r="O315">
        <v>0.83441980000000004</v>
      </c>
      <c r="P315">
        <v>-3.4499871</v>
      </c>
      <c r="Q315">
        <v>-2.5469841</v>
      </c>
      <c r="R315">
        <v>-10.367957000000001</v>
      </c>
      <c r="S315">
        <f t="shared" si="52"/>
        <v>3.0078431419289209</v>
      </c>
      <c r="T315">
        <f t="shared" si="53"/>
        <v>-27.398475879227792</v>
      </c>
    </row>
    <row r="316" spans="1:20" x14ac:dyDescent="0.35">
      <c r="A316">
        <v>2.125</v>
      </c>
      <c r="B316">
        <v>16.0625</v>
      </c>
      <c r="C316">
        <v>-6.2316588999999999E-2</v>
      </c>
      <c r="D316">
        <v>-6.4205584E-3</v>
      </c>
      <c r="E316">
        <v>0.93779811000000002</v>
      </c>
      <c r="F316">
        <v>-8.9073517999999994E-3</v>
      </c>
      <c r="G316">
        <f t="shared" si="44"/>
        <v>7.4110308683166402</v>
      </c>
      <c r="H316">
        <f t="shared" si="45"/>
        <v>-0.97320991328202699</v>
      </c>
      <c r="I316">
        <f t="shared" si="46"/>
        <v>7.4110897602948498</v>
      </c>
      <c r="J316">
        <f t="shared" si="47"/>
        <v>-0.97445316545604299</v>
      </c>
      <c r="K316" s="7">
        <f t="shared" si="48"/>
        <v>-5.8891978209629803E-5</v>
      </c>
      <c r="L316" s="7">
        <f t="shared" si="49"/>
        <v>1.243252174016E-3</v>
      </c>
      <c r="M316" s="7">
        <f t="shared" si="50"/>
        <v>0.13263977713950501</v>
      </c>
      <c r="N316" s="7">
        <f t="shared" si="51"/>
        <v>1.74402489889466E-2</v>
      </c>
      <c r="O316">
        <v>0.61973239000000002</v>
      </c>
      <c r="P316">
        <v>-3.5356355000000002</v>
      </c>
      <c r="Q316">
        <v>-3.2457859999999998</v>
      </c>
      <c r="R316">
        <v>-10.316254000000001</v>
      </c>
      <c r="S316">
        <f t="shared" si="52"/>
        <v>3.0128705965247469</v>
      </c>
      <c r="T316">
        <f t="shared" si="53"/>
        <v>-27.406961925391023</v>
      </c>
    </row>
    <row r="317" spans="1:20" x14ac:dyDescent="0.35">
      <c r="A317">
        <v>2.125</v>
      </c>
      <c r="B317">
        <v>16.125</v>
      </c>
      <c r="C317">
        <v>-6.3490615E-2</v>
      </c>
      <c r="D317">
        <v>-2.4782469999999998E-3</v>
      </c>
      <c r="E317">
        <v>0.93663812000000002</v>
      </c>
      <c r="F317">
        <v>-4.9869742999999996E-3</v>
      </c>
      <c r="G317">
        <f t="shared" si="44"/>
        <v>7.3559313544408402</v>
      </c>
      <c r="H317">
        <f t="shared" si="45"/>
        <v>-0.46169342574345701</v>
      </c>
      <c r="I317">
        <f t="shared" si="46"/>
        <v>7.3559972909198299</v>
      </c>
      <c r="J317">
        <f t="shared" si="47"/>
        <v>-0.46294762595540301</v>
      </c>
      <c r="K317" s="7">
        <f t="shared" si="48"/>
        <v>-6.5936478989669895E-5</v>
      </c>
      <c r="L317" s="7">
        <f t="shared" si="49"/>
        <v>1.254200211946E-3</v>
      </c>
      <c r="M317" s="7">
        <f t="shared" si="50"/>
        <v>0.13540717968904301</v>
      </c>
      <c r="N317" s="7">
        <f t="shared" si="51"/>
        <v>8.5218128684928403E-3</v>
      </c>
      <c r="O317">
        <v>0.39464642999999999</v>
      </c>
      <c r="P317">
        <v>-3.5926138000000001</v>
      </c>
      <c r="Q317">
        <v>-3.9359299999999999</v>
      </c>
      <c r="R317">
        <v>-10.175342000000001</v>
      </c>
      <c r="S317">
        <f t="shared" si="52"/>
        <v>3.0186411450830333</v>
      </c>
      <c r="T317">
        <f t="shared" si="53"/>
        <v>-27.415770040584498</v>
      </c>
    </row>
    <row r="318" spans="1:20" x14ac:dyDescent="0.35">
      <c r="A318">
        <v>2.125</v>
      </c>
      <c r="B318">
        <v>16.1875</v>
      </c>
      <c r="C318">
        <v>-6.4151544000000005E-2</v>
      </c>
      <c r="D318">
        <v>1.5685947E-3</v>
      </c>
      <c r="E318">
        <v>0.93598983999999996</v>
      </c>
      <c r="F318">
        <v>-9.6446089999999997E-4</v>
      </c>
      <c r="G318">
        <f t="shared" si="44"/>
        <v>7.30243330527742</v>
      </c>
      <c r="H318">
        <f t="shared" si="45"/>
        <v>3.7412767978080297E-2</v>
      </c>
      <c r="I318">
        <f t="shared" si="46"/>
        <v>7.3025055960303504</v>
      </c>
      <c r="J318">
        <f t="shared" si="47"/>
        <v>3.61464212569109E-2</v>
      </c>
      <c r="K318" s="7">
        <f t="shared" si="48"/>
        <v>-7.2290752930470603E-5</v>
      </c>
      <c r="L318" s="7">
        <f t="shared" si="49"/>
        <v>1.2663467211694E-3</v>
      </c>
      <c r="M318" s="7">
        <f t="shared" si="50"/>
        <v>0.136935944283891</v>
      </c>
      <c r="N318" s="7">
        <f t="shared" si="51"/>
        <v>-6.7781452026398998E-4</v>
      </c>
      <c r="O318">
        <v>0.16484693</v>
      </c>
      <c r="P318">
        <v>-3.6196247000000001</v>
      </c>
      <c r="Q318">
        <v>-4.6004727000000001</v>
      </c>
      <c r="R318">
        <v>-9.9484432999999992</v>
      </c>
      <c r="S318">
        <f t="shared" si="52"/>
        <v>3.024982647302366</v>
      </c>
      <c r="T318">
        <f t="shared" si="53"/>
        <v>-27.424897949017247</v>
      </c>
    </row>
    <row r="319" spans="1:20" x14ac:dyDescent="0.35">
      <c r="A319">
        <v>2.125</v>
      </c>
      <c r="B319">
        <v>16.25</v>
      </c>
      <c r="C319">
        <v>-6.4294554000000004E-2</v>
      </c>
      <c r="D319">
        <v>5.6199715999999999E-3</v>
      </c>
      <c r="E319">
        <v>0.93585755000000004</v>
      </c>
      <c r="F319">
        <v>3.0614684000000001E-3</v>
      </c>
      <c r="G319">
        <f t="shared" si="44"/>
        <v>7.2504686993923197</v>
      </c>
      <c r="H319">
        <f t="shared" si="45"/>
        <v>0.52451943814996804</v>
      </c>
      <c r="I319">
        <f t="shared" si="46"/>
        <v>7.2505463817175304</v>
      </c>
      <c r="J319">
        <f t="shared" si="47"/>
        <v>0.52324038319989596</v>
      </c>
      <c r="K319" s="7">
        <f t="shared" si="48"/>
        <v>-7.7682325210659501E-5</v>
      </c>
      <c r="L319" s="7">
        <f t="shared" si="49"/>
        <v>1.27905495007208E-3</v>
      </c>
      <c r="M319" s="7">
        <f t="shared" si="50"/>
        <v>0.13720608741432799</v>
      </c>
      <c r="N319" s="7">
        <f t="shared" si="51"/>
        <v>-9.9015663063760605E-3</v>
      </c>
      <c r="O319">
        <v>-6.3935141000000001E-2</v>
      </c>
      <c r="P319">
        <v>-3.6181177999999998</v>
      </c>
      <c r="Q319">
        <v>-5.2238635000000002</v>
      </c>
      <c r="R319">
        <v>-9.6429036000000004</v>
      </c>
      <c r="S319">
        <f t="shared" si="52"/>
        <v>3.0306514555784139</v>
      </c>
      <c r="T319">
        <f t="shared" si="53"/>
        <v>-27.43343680712109</v>
      </c>
    </row>
    <row r="320" spans="1:20" x14ac:dyDescent="0.35">
      <c r="A320">
        <v>2.125</v>
      </c>
      <c r="B320">
        <v>16.3125</v>
      </c>
      <c r="C320">
        <v>-6.3939701000000002E-2</v>
      </c>
      <c r="D320">
        <v>9.5800367000000008E-3</v>
      </c>
      <c r="E320">
        <v>0.93622090000000002</v>
      </c>
      <c r="F320">
        <v>6.9965868999999998E-3</v>
      </c>
      <c r="G320">
        <f t="shared" si="44"/>
        <v>7.1999500565626997</v>
      </c>
      <c r="H320">
        <f t="shared" si="45"/>
        <v>1.0000276196506199</v>
      </c>
      <c r="I320">
        <f t="shared" si="46"/>
        <v>7.2000320187636104</v>
      </c>
      <c r="J320">
        <f t="shared" si="47"/>
        <v>0.99873610433256499</v>
      </c>
      <c r="K320" s="7">
        <f t="shared" si="48"/>
        <v>-8.1962200910723495E-5</v>
      </c>
      <c r="L320" s="7">
        <f t="shared" si="49"/>
        <v>1.29151531805494E-3</v>
      </c>
      <c r="M320" s="7">
        <f t="shared" si="50"/>
        <v>0.13626634037611399</v>
      </c>
      <c r="N320" s="7">
        <f t="shared" si="51"/>
        <v>-1.8901876211692901E-2</v>
      </c>
      <c r="O320">
        <v>-0.28644129000000002</v>
      </c>
      <c r="P320">
        <v>-3.5891147999999999</v>
      </c>
      <c r="Q320">
        <v>-5.7932135000000002</v>
      </c>
      <c r="R320">
        <v>-9.2694705000000006</v>
      </c>
      <c r="S320">
        <f t="shared" si="52"/>
        <v>3.0359146612738002</v>
      </c>
      <c r="T320">
        <f t="shared" si="53"/>
        <v>-27.441459952713942</v>
      </c>
    </row>
    <row r="321" spans="1:20" x14ac:dyDescent="0.35">
      <c r="A321">
        <v>2.125</v>
      </c>
      <c r="B321">
        <v>16.375</v>
      </c>
      <c r="C321">
        <v>-6.3128601000000006E-2</v>
      </c>
      <c r="D321">
        <v>1.3364165000000001E-2</v>
      </c>
      <c r="E321">
        <v>0.93703824000000002</v>
      </c>
      <c r="F321">
        <v>1.0757928999999999E-2</v>
      </c>
      <c r="G321">
        <f t="shared" si="44"/>
        <v>7.1507677062669002</v>
      </c>
      <c r="H321">
        <f t="shared" si="45"/>
        <v>1.4643126113199501</v>
      </c>
      <c r="I321">
        <f t="shared" si="46"/>
        <v>7.1508528174972303</v>
      </c>
      <c r="J321">
        <f t="shared" si="47"/>
        <v>1.4630097129183599</v>
      </c>
      <c r="K321" s="7">
        <f t="shared" si="48"/>
        <v>-8.5111230330170402E-5</v>
      </c>
      <c r="L321" s="7">
        <f t="shared" si="49"/>
        <v>1.3028984015901501E-3</v>
      </c>
      <c r="M321" s="7">
        <f t="shared" si="50"/>
        <v>0.134225063835367</v>
      </c>
      <c r="N321" s="7">
        <f t="shared" si="51"/>
        <v>-2.7461419934099399E-2</v>
      </c>
      <c r="O321">
        <v>-0.49790803</v>
      </c>
      <c r="P321">
        <v>-3.5343689999999999</v>
      </c>
      <c r="Q321">
        <v>-6.2990763999999997</v>
      </c>
      <c r="R321">
        <v>-8.8412956999999999</v>
      </c>
      <c r="S321">
        <f t="shared" si="52"/>
        <v>3.0414440355217129</v>
      </c>
      <c r="T321">
        <f t="shared" si="53"/>
        <v>-27.4495466156128</v>
      </c>
    </row>
    <row r="322" spans="1:20" x14ac:dyDescent="0.35">
      <c r="A322">
        <v>2.125</v>
      </c>
      <c r="B322">
        <v>16.4375</v>
      </c>
      <c r="C322">
        <v>-6.1919047999999997E-2</v>
      </c>
      <c r="D322">
        <v>1.6904038999999999E-2</v>
      </c>
      <c r="E322">
        <v>0.93825201999999996</v>
      </c>
      <c r="F322">
        <v>1.4278478000000001E-2</v>
      </c>
      <c r="G322">
        <f t="shared" si="44"/>
        <v>7.1028037967069704</v>
      </c>
      <c r="H322">
        <f t="shared" si="45"/>
        <v>1.91770662409034</v>
      </c>
      <c r="I322">
        <f t="shared" si="46"/>
        <v>7.1028910463390504</v>
      </c>
      <c r="J322">
        <f t="shared" si="47"/>
        <v>1.9163940703979301</v>
      </c>
      <c r="K322" s="7">
        <f t="shared" si="48"/>
        <v>-8.7249632080066406E-5</v>
      </c>
      <c r="L322" s="7">
        <f t="shared" si="49"/>
        <v>1.3125536924099E-3</v>
      </c>
      <c r="M322" s="7">
        <f t="shared" si="50"/>
        <v>0.131234571315516</v>
      </c>
      <c r="N322" s="7">
        <f t="shared" si="51"/>
        <v>-3.5407716753573799E-2</v>
      </c>
      <c r="O322">
        <v>-0.69459806999999996</v>
      </c>
      <c r="P322">
        <v>-3.4575757</v>
      </c>
      <c r="Q322">
        <v>-6.7358143000000004</v>
      </c>
      <c r="R322">
        <v>-8.3726970000000005</v>
      </c>
      <c r="S322">
        <f t="shared" si="52"/>
        <v>3.0470368372922652</v>
      </c>
      <c r="T322">
        <f t="shared" si="53"/>
        <v>-27.457546011553422</v>
      </c>
    </row>
    <row r="323" spans="1:20" x14ac:dyDescent="0.35">
      <c r="A323">
        <v>2.125</v>
      </c>
      <c r="B323">
        <v>16.5</v>
      </c>
      <c r="C323">
        <v>-6.0378695000000003E-2</v>
      </c>
      <c r="D323">
        <v>2.0150271000000001E-2</v>
      </c>
      <c r="E323">
        <v>0.93979500000000005</v>
      </c>
      <c r="F323">
        <v>1.7509494E-2</v>
      </c>
      <c r="G323">
        <f t="shared" ref="G323:G386" si="54">IMREAL(IMDIV(IMSUM(IMPRODUCT(COMPLEX(1 + C323,D323),COMPLEX(1 - C323, - D323)),IMPRODUCT(COMPLEX(E323,F323),COMPLEX(E323,F323))),IMSUB(IMPRODUCT(COMPLEX(1 - C323, - D323),COMPLEX(1 - C323, - D323)),IMPRODUCT(COMPLEX(E323,F323),COMPLEX(E323,F323)))))</f>
        <v>7.0559474446857697</v>
      </c>
      <c r="H323">
        <f t="shared" ref="H323:H386" si="55">IMAGINARY(IMDIV(IMSUM(IMPRODUCT(COMPLEX(1 + C323,D323),COMPLEX(1 - C323, - D323)),IMPRODUCT(COMPLEX(E323,F323),COMPLEX(E323,F323))),IMSUB(IMPRODUCT(COMPLEX(1 - C323, - D323),COMPLEX(1 - C323, - D323)),IMPRODUCT(COMPLEX(E323,F323),COMPLEX(E323,F323)))))</f>
        <v>2.3604888523513301</v>
      </c>
      <c r="I323">
        <f t="shared" ref="I323:I386" si="56">IMREAL(IMDIV(IMPRODUCT(COMPLEX(2,0),COMPLEX(E323,F323)),IMSUB(IMPRODUCT(COMPLEX(1 - C323, - D323),COMPLEX(1 - C323, - D323)),IMPRODUCT(COMPLEX(E323,F323),COMPLEX(E323,F323)))))</f>
        <v>7.0560360276125502</v>
      </c>
      <c r="J323">
        <f t="shared" ref="J323:J386" si="57">IMAGINARY(IMDIV(IMPRODUCT(COMPLEX(2,0),COMPLEX(E323,F323)),IMSUB(IMPRODUCT(COMPLEX(1 - C323, - D323),COMPLEX(1 - C323, - D323)),IMPRODUCT(COMPLEX(E323,F323),COMPLEX(E323,F323)))))</f>
        <v>2.3591686954675399</v>
      </c>
      <c r="K323" s="7">
        <f t="shared" ref="K323:K386" si="58">IMREAL(IMSUB(COMPLEX(G323,H323),COMPLEX(I323,J323)))</f>
        <v>-8.8582926780489402E-5</v>
      </c>
      <c r="L323" s="7">
        <f t="shared" ref="L323:L386" si="59">IMAGINARY(IMSUB(COMPLEX(G323,H323),COMPLEX(I323,J323)))</f>
        <v>1.32015688379017E-3</v>
      </c>
      <c r="M323" s="7">
        <f t="shared" ref="M323:M386" si="60">IMREAL(IMDIV(IMSUB(IMPRODUCT(COMPLEX(1 - C323, - D323),COMPLEX(1 - C323, - D323)),IMPRODUCT(COMPLEX(E323,F323),COMPLEX(E323,F323))),IMPRODUCT(COMPLEX(2,0),COMPLEX(E323,F323))))</f>
        <v>0.12747267652017999</v>
      </c>
      <c r="N323" s="7">
        <f t="shared" ref="N323:N386" si="61">IMAGINARY(IMDIV(IMSUB(IMPRODUCT(COMPLEX(1 - C323, - D323),COMPLEX(1 - C323, - D323)),IMPRODUCT(COMPLEX(E323,F323),COMPLEX(E323,F323))),IMPRODUCT(COMPLEX(2,0),COMPLEX(E323,F323))))</f>
        <v>-4.2620183173245597E-2</v>
      </c>
      <c r="O323">
        <v>-0.87394934000000002</v>
      </c>
      <c r="P323">
        <v>-3.3629262999999998</v>
      </c>
      <c r="Q323">
        <v>-7.1013510999999996</v>
      </c>
      <c r="R323">
        <v>-7.8778107999999998</v>
      </c>
      <c r="S323">
        <f t="shared" ref="S323:S386" si="62">IMABS(COMPLEX(Q323,R323))/IMABS(COMPLEX(O323,P323))</f>
        <v>3.0524355975890076</v>
      </c>
      <c r="T323">
        <f t="shared" ref="T323:T386" si="63">IMARGUMENT(IMDIV(COMPLEX(Q323,R323),COMPLEX(O323/B323,P323/B323)))/PI()*180</f>
        <v>-27.465023258240155</v>
      </c>
    </row>
    <row r="324" spans="1:20" x14ac:dyDescent="0.35">
      <c r="A324">
        <v>2.125</v>
      </c>
      <c r="B324">
        <v>16.5625</v>
      </c>
      <c r="C324">
        <v>-5.8578852000000001E-2</v>
      </c>
      <c r="D324">
        <v>2.3072626999999998E-2</v>
      </c>
      <c r="E324">
        <v>0.94159634999999997</v>
      </c>
      <c r="F324">
        <v>2.0420704000000001E-2</v>
      </c>
      <c r="G324">
        <f t="shared" si="54"/>
        <v>7.0101106298898497</v>
      </c>
      <c r="H324">
        <f t="shared" si="55"/>
        <v>2.7928896065474502</v>
      </c>
      <c r="I324">
        <f t="shared" si="56"/>
        <v>7.0101999809254298</v>
      </c>
      <c r="J324">
        <f t="shared" si="57"/>
        <v>2.7915638796584799</v>
      </c>
      <c r="K324" s="7">
        <f t="shared" si="58"/>
        <v>-8.9351035580165203E-5</v>
      </c>
      <c r="L324" s="7">
        <f t="shared" si="59"/>
        <v>1.3257268889703699E-3</v>
      </c>
      <c r="M324" s="7">
        <f t="shared" si="60"/>
        <v>0.12312478741518899</v>
      </c>
      <c r="N324" s="7">
        <f t="shared" si="61"/>
        <v>-4.9030086185001799E-2</v>
      </c>
      <c r="O324">
        <v>-1.0344016</v>
      </c>
      <c r="P324">
        <v>-3.2544238000000001</v>
      </c>
      <c r="Q324">
        <v>-7.3969655999999997</v>
      </c>
      <c r="R324">
        <v>-7.3699127999999998</v>
      </c>
      <c r="S324">
        <f t="shared" si="62"/>
        <v>3.0577478735937813</v>
      </c>
      <c r="T324">
        <f t="shared" si="63"/>
        <v>-27.472378605261142</v>
      </c>
    </row>
    <row r="325" spans="1:20" x14ac:dyDescent="0.35">
      <c r="A325">
        <v>2.125</v>
      </c>
      <c r="B325">
        <v>16.625</v>
      </c>
      <c r="C325">
        <v>-5.6589214999999998E-2</v>
      </c>
      <c r="D325">
        <v>2.5658362000000001E-2</v>
      </c>
      <c r="E325">
        <v>0.94358684999999998</v>
      </c>
      <c r="F325">
        <v>2.2998831000000001E-2</v>
      </c>
      <c r="G325">
        <f t="shared" si="54"/>
        <v>6.9652348837140403</v>
      </c>
      <c r="H325">
        <f t="shared" si="55"/>
        <v>3.2151068609749101</v>
      </c>
      <c r="I325">
        <f t="shared" si="56"/>
        <v>6.9653246762712504</v>
      </c>
      <c r="J325">
        <f t="shared" si="57"/>
        <v>3.2137773319197298</v>
      </c>
      <c r="K325" s="7">
        <f t="shared" si="58"/>
        <v>-8.9792557210088803E-5</v>
      </c>
      <c r="L325" s="7">
        <f t="shared" si="59"/>
        <v>1.32952905518025E-3</v>
      </c>
      <c r="M325" s="7">
        <f t="shared" si="60"/>
        <v>0.118369100497621</v>
      </c>
      <c r="N325" s="7">
        <f t="shared" si="61"/>
        <v>-5.4615104056086598E-2</v>
      </c>
      <c r="O325">
        <v>-1.1754689</v>
      </c>
      <c r="P325">
        <v>-3.1361591</v>
      </c>
      <c r="Q325">
        <v>-7.6263106000000001</v>
      </c>
      <c r="R325">
        <v>-6.8605324000000003</v>
      </c>
      <c r="S325">
        <f t="shared" si="62"/>
        <v>3.0628238828467915</v>
      </c>
      <c r="T325">
        <f t="shared" si="63"/>
        <v>-27.479270886202585</v>
      </c>
    </row>
    <row r="326" spans="1:20" x14ac:dyDescent="0.35">
      <c r="A326">
        <v>2.125</v>
      </c>
      <c r="B326">
        <v>16.6875</v>
      </c>
      <c r="C326">
        <v>-5.4467896000000002E-2</v>
      </c>
      <c r="D326">
        <v>2.7913191E-2</v>
      </c>
      <c r="E326">
        <v>0.94555754000000003</v>
      </c>
      <c r="F326">
        <v>2.5332805E-2</v>
      </c>
      <c r="G326">
        <f t="shared" si="54"/>
        <v>6.91057370163856</v>
      </c>
      <c r="H326">
        <f t="shared" si="55"/>
        <v>3.6236592263315401</v>
      </c>
      <c r="I326">
        <f t="shared" si="56"/>
        <v>6.9105880840085101</v>
      </c>
      <c r="J326">
        <f t="shared" si="57"/>
        <v>3.6223690682958001</v>
      </c>
      <c r="K326" s="7">
        <f t="shared" si="58"/>
        <v>-1.43823699501056E-5</v>
      </c>
      <c r="L326" s="7">
        <f t="shared" si="59"/>
        <v>1.29015803574006E-3</v>
      </c>
      <c r="M326" s="7">
        <f t="shared" si="60"/>
        <v>0.113515760241909</v>
      </c>
      <c r="N326" s="7">
        <f t="shared" si="61"/>
        <v>-5.9502313502942397E-2</v>
      </c>
      <c r="O326">
        <v>-1.2965084</v>
      </c>
      <c r="P326">
        <v>-3.0116033</v>
      </c>
      <c r="Q326">
        <v>-7.7931222</v>
      </c>
      <c r="R326">
        <v>-6.3598667000000004</v>
      </c>
      <c r="S326">
        <f t="shared" si="62"/>
        <v>3.0678252052229436</v>
      </c>
      <c r="T326">
        <f t="shared" si="63"/>
        <v>-27.490468927888593</v>
      </c>
    </row>
    <row r="327" spans="1:20" x14ac:dyDescent="0.35">
      <c r="A327">
        <v>2.125</v>
      </c>
      <c r="B327">
        <v>16.75</v>
      </c>
      <c r="C327">
        <v>-5.2282793000000001E-2</v>
      </c>
      <c r="D327">
        <v>2.9842008E-2</v>
      </c>
      <c r="E327">
        <v>0.94774175999999999</v>
      </c>
      <c r="F327">
        <v>2.7256293000000001E-2</v>
      </c>
      <c r="G327">
        <f t="shared" si="54"/>
        <v>6.8677223994320897</v>
      </c>
      <c r="H327">
        <f t="shared" si="55"/>
        <v>4.02475845059982</v>
      </c>
      <c r="I327">
        <f t="shared" si="56"/>
        <v>6.8677363471975301</v>
      </c>
      <c r="J327">
        <f t="shared" si="57"/>
        <v>4.0234656270036302</v>
      </c>
      <c r="K327" s="7">
        <f t="shared" si="58"/>
        <v>-1.3947765440391901E-5</v>
      </c>
      <c r="L327" s="7">
        <f t="shared" si="59"/>
        <v>1.2928235961897599E-3</v>
      </c>
      <c r="M327" s="7">
        <f t="shared" si="60"/>
        <v>0.108402435072962</v>
      </c>
      <c r="N327" s="7">
        <f t="shared" si="61"/>
        <v>-6.3507602701949203E-2</v>
      </c>
      <c r="O327">
        <v>-1.4001638999999999</v>
      </c>
      <c r="P327">
        <v>-2.8840466999999999</v>
      </c>
      <c r="Q327">
        <v>-7.9071841999999997</v>
      </c>
      <c r="R327">
        <v>-5.8737367000000003</v>
      </c>
      <c r="S327">
        <f t="shared" si="62"/>
        <v>3.0724311429951525</v>
      </c>
      <c r="T327">
        <f t="shared" si="63"/>
        <v>-27.497808667119209</v>
      </c>
    </row>
    <row r="328" spans="1:20" x14ac:dyDescent="0.35">
      <c r="A328">
        <v>2.125</v>
      </c>
      <c r="B328">
        <v>16.8125</v>
      </c>
      <c r="C328">
        <v>-5.0075520999999998E-2</v>
      </c>
      <c r="D328">
        <v>3.1470077999999999E-2</v>
      </c>
      <c r="E328">
        <v>0.94994822999999995</v>
      </c>
      <c r="F328">
        <v>2.8878693E-2</v>
      </c>
      <c r="G328">
        <f t="shared" si="54"/>
        <v>6.82596123588963</v>
      </c>
      <c r="H328">
        <f t="shared" si="55"/>
        <v>4.4161589411935998</v>
      </c>
      <c r="I328">
        <f t="shared" si="56"/>
        <v>6.8259747900050298</v>
      </c>
      <c r="J328">
        <f t="shared" si="57"/>
        <v>4.4148632816421696</v>
      </c>
      <c r="K328" s="7">
        <f t="shared" si="58"/>
        <v>-1.35541153998275E-5</v>
      </c>
      <c r="L328" s="7">
        <f t="shared" si="59"/>
        <v>1.29565955143018E-3</v>
      </c>
      <c r="M328" s="7">
        <f t="shared" si="60"/>
        <v>0.10329091310937</v>
      </c>
      <c r="N328" s="7">
        <f t="shared" si="61"/>
        <v>-6.6805881012272805E-2</v>
      </c>
      <c r="O328">
        <v>-1.4865577999999999</v>
      </c>
      <c r="P328">
        <v>-2.7554677999999999</v>
      </c>
      <c r="Q328">
        <v>-7.9738826999999999</v>
      </c>
      <c r="R328">
        <v>-5.4085375000000004</v>
      </c>
      <c r="S328">
        <f t="shared" si="62"/>
        <v>3.0774329184175371</v>
      </c>
      <c r="T328">
        <f t="shared" si="63"/>
        <v>-27.505092953226402</v>
      </c>
    </row>
    <row r="329" spans="1:20" x14ac:dyDescent="0.35">
      <c r="A329">
        <v>2.125</v>
      </c>
      <c r="B329">
        <v>16.875</v>
      </c>
      <c r="C329">
        <v>-4.7884039000000003E-2</v>
      </c>
      <c r="D329">
        <v>3.2823133999999997E-2</v>
      </c>
      <c r="E329">
        <v>0.95213912999999994</v>
      </c>
      <c r="F329">
        <v>3.0225783999999999E-2</v>
      </c>
      <c r="G329">
        <f t="shared" si="54"/>
        <v>6.7852666117734097</v>
      </c>
      <c r="H329">
        <f t="shared" si="55"/>
        <v>4.7980698878218897</v>
      </c>
      <c r="I329">
        <f t="shared" si="56"/>
        <v>6.7852798826345104</v>
      </c>
      <c r="J329">
        <f t="shared" si="57"/>
        <v>4.79677124510056</v>
      </c>
      <c r="K329" s="7">
        <f t="shared" si="58"/>
        <v>-1.32708611007004E-5</v>
      </c>
      <c r="L329" s="7">
        <f t="shared" si="59"/>
        <v>1.2986427213297299E-3</v>
      </c>
      <c r="M329" s="7">
        <f t="shared" si="60"/>
        <v>9.8267552045464501E-2</v>
      </c>
      <c r="N329" s="7">
        <f t="shared" si="61"/>
        <v>-6.9469053028228103E-2</v>
      </c>
      <c r="O329">
        <v>-1.5572284999999999</v>
      </c>
      <c r="P329">
        <v>-2.6280763</v>
      </c>
      <c r="Q329">
        <v>-8.0003278000000009</v>
      </c>
      <c r="R329">
        <v>-4.9679834999999999</v>
      </c>
      <c r="S329">
        <f t="shared" si="62"/>
        <v>3.0828070567504224</v>
      </c>
      <c r="T329">
        <f t="shared" si="63"/>
        <v>-27.512609568545656</v>
      </c>
    </row>
    <row r="330" spans="1:20" x14ac:dyDescent="0.35">
      <c r="A330">
        <v>2.125</v>
      </c>
      <c r="B330">
        <v>16.9375</v>
      </c>
      <c r="C330">
        <v>-4.5737695000000002E-2</v>
      </c>
      <c r="D330">
        <v>3.3929254999999998E-2</v>
      </c>
      <c r="E330">
        <v>0.95428531999999999</v>
      </c>
      <c r="F330">
        <v>3.1325696E-2</v>
      </c>
      <c r="G330">
        <f t="shared" si="54"/>
        <v>6.7456136527632404</v>
      </c>
      <c r="H330">
        <f t="shared" si="55"/>
        <v>5.1706925989020602</v>
      </c>
      <c r="I330">
        <f t="shared" si="56"/>
        <v>6.7456268546993199</v>
      </c>
      <c r="J330">
        <f t="shared" si="57"/>
        <v>5.1693908515679299</v>
      </c>
      <c r="K330" s="7">
        <f t="shared" si="58"/>
        <v>-1.3201936079454399E-5</v>
      </c>
      <c r="L330" s="7">
        <f t="shared" si="59"/>
        <v>1.3017473341303499E-3</v>
      </c>
      <c r="M330" s="7">
        <f t="shared" si="60"/>
        <v>9.3395993988594897E-2</v>
      </c>
      <c r="N330" s="7">
        <f t="shared" si="61"/>
        <v>-7.1572354548694705E-2</v>
      </c>
      <c r="O330">
        <v>-1.6144171</v>
      </c>
      <c r="P330">
        <v>-2.5043869000000001</v>
      </c>
      <c r="Q330">
        <v>-7.9930247000000003</v>
      </c>
      <c r="R330">
        <v>-4.5542027000000003</v>
      </c>
      <c r="S330">
        <f t="shared" si="62"/>
        <v>3.0874171731644555</v>
      </c>
      <c r="T330">
        <f t="shared" si="63"/>
        <v>-27.519443632116005</v>
      </c>
    </row>
    <row r="331" spans="1:20" x14ac:dyDescent="0.35">
      <c r="A331">
        <v>2.125</v>
      </c>
      <c r="B331">
        <v>17</v>
      </c>
      <c r="C331">
        <v>-4.3658181999999997E-2</v>
      </c>
      <c r="D331">
        <v>3.4816996000000003E-2</v>
      </c>
      <c r="E331">
        <v>0.95636520000000003</v>
      </c>
      <c r="F331">
        <v>3.2207037000000001E-2</v>
      </c>
      <c r="G331">
        <f t="shared" si="54"/>
        <v>6.7069717478585504</v>
      </c>
      <c r="H331">
        <f t="shared" si="55"/>
        <v>5.5342102697110596</v>
      </c>
      <c r="I331">
        <f t="shared" si="56"/>
        <v>6.7069851416307404</v>
      </c>
      <c r="J331">
        <f t="shared" si="57"/>
        <v>5.5329053229457896</v>
      </c>
      <c r="K331" s="7">
        <f t="shared" si="58"/>
        <v>-1.3393772190006801E-5</v>
      </c>
      <c r="L331" s="7">
        <f t="shared" si="59"/>
        <v>1.3049467652699301E-3</v>
      </c>
      <c r="M331" s="7">
        <f t="shared" si="60"/>
        <v>8.8720617961808398E-2</v>
      </c>
      <c r="N331" s="7">
        <f t="shared" si="61"/>
        <v>-7.3189781848327695E-2</v>
      </c>
      <c r="O331">
        <v>-1.65923</v>
      </c>
      <c r="P331">
        <v>-2.3847043000000001</v>
      </c>
      <c r="Q331">
        <v>-7.9580076999999996</v>
      </c>
      <c r="R331">
        <v>-4.1681641000000003</v>
      </c>
      <c r="S331">
        <f t="shared" si="62"/>
        <v>3.0922780445568874</v>
      </c>
      <c r="T331">
        <f t="shared" si="63"/>
        <v>-27.526379165329146</v>
      </c>
    </row>
    <row r="332" spans="1:20" x14ac:dyDescent="0.35">
      <c r="A332">
        <v>2.25</v>
      </c>
      <c r="B332">
        <v>15</v>
      </c>
      <c r="C332">
        <v>-2.2062505999999999E-2</v>
      </c>
      <c r="D332">
        <v>-2.8303155E-2</v>
      </c>
      <c r="E332">
        <v>0.97781125000000002</v>
      </c>
      <c r="F332">
        <v>-3.0992840000000001E-2</v>
      </c>
      <c r="G332">
        <f t="shared" si="54"/>
        <v>7.5836497264362697</v>
      </c>
      <c r="H332">
        <f t="shared" si="55"/>
        <v>-10.8312513580423</v>
      </c>
      <c r="I332">
        <f t="shared" si="56"/>
        <v>7.5835884093922399</v>
      </c>
      <c r="J332">
        <f t="shared" si="57"/>
        <v>-10.8325963679038</v>
      </c>
      <c r="K332" s="7">
        <f t="shared" si="58"/>
        <v>6.1317044029784995E-5</v>
      </c>
      <c r="L332" s="7">
        <f t="shared" si="59"/>
        <v>1.34500986150066E-3</v>
      </c>
      <c r="M332" s="7">
        <f t="shared" si="60"/>
        <v>4.3370489226668599E-2</v>
      </c>
      <c r="N332" s="7">
        <f t="shared" si="61"/>
        <v>6.1951543083371502E-2</v>
      </c>
      <c r="O332">
        <v>1.8552921</v>
      </c>
      <c r="P332">
        <v>-1.2429444000000001</v>
      </c>
      <c r="Q332">
        <v>3.1356484999999998</v>
      </c>
      <c r="R332">
        <v>-5.6695647999999998</v>
      </c>
      <c r="S332">
        <f t="shared" si="62"/>
        <v>2.9012243709813732</v>
      </c>
      <c r="T332">
        <f t="shared" si="63"/>
        <v>-27.234545999704331</v>
      </c>
    </row>
    <row r="333" spans="1:20" x14ac:dyDescent="0.35">
      <c r="A333">
        <v>2.25</v>
      </c>
      <c r="B333">
        <v>15.0625</v>
      </c>
      <c r="C333">
        <v>-2.3980699000000001E-2</v>
      </c>
      <c r="D333">
        <v>-2.9025459999999999E-2</v>
      </c>
      <c r="E333">
        <v>0.97588427</v>
      </c>
      <c r="F333">
        <v>-3.1724898000000001E-2</v>
      </c>
      <c r="G333">
        <f t="shared" si="54"/>
        <v>7.5109340069833896</v>
      </c>
      <c r="H333">
        <f t="shared" si="55"/>
        <v>-10.1178540842473</v>
      </c>
      <c r="I333">
        <f t="shared" si="56"/>
        <v>7.51086830903186</v>
      </c>
      <c r="J333">
        <f t="shared" si="57"/>
        <v>-10.119203983060199</v>
      </c>
      <c r="K333" s="7">
        <f t="shared" si="58"/>
        <v>6.5697951529664094E-5</v>
      </c>
      <c r="L333" s="7">
        <f t="shared" si="59"/>
        <v>1.3498988128990399E-3</v>
      </c>
      <c r="M333" s="7">
        <f t="shared" si="60"/>
        <v>4.7294254665049398E-2</v>
      </c>
      <c r="N333" s="7">
        <f t="shared" si="61"/>
        <v>6.3718359914117395E-2</v>
      </c>
      <c r="O333">
        <v>1.8881627999999999</v>
      </c>
      <c r="P333">
        <v>-1.3463514000000001</v>
      </c>
      <c r="Q333">
        <v>3.0930664999999999</v>
      </c>
      <c r="R333">
        <v>-5.9995890000000003</v>
      </c>
      <c r="S333">
        <f t="shared" si="62"/>
        <v>2.9107093243186255</v>
      </c>
      <c r="T333">
        <f t="shared" si="63"/>
        <v>-27.236087952480485</v>
      </c>
    </row>
    <row r="334" spans="1:20" x14ac:dyDescent="0.35">
      <c r="A334">
        <v>2.25</v>
      </c>
      <c r="B334">
        <v>15.125</v>
      </c>
      <c r="C334">
        <v>-2.6053360000000001E-2</v>
      </c>
      <c r="D334">
        <v>-2.9667460999999999E-2</v>
      </c>
      <c r="E334">
        <v>0.97379926999999999</v>
      </c>
      <c r="F334">
        <v>-3.2376659000000002E-2</v>
      </c>
      <c r="G334">
        <f t="shared" si="54"/>
        <v>7.4414319504141604</v>
      </c>
      <c r="H334">
        <f t="shared" si="55"/>
        <v>-9.4285735526184702</v>
      </c>
      <c r="I334">
        <f t="shared" si="56"/>
        <v>7.4413600953250398</v>
      </c>
      <c r="J334">
        <f t="shared" si="57"/>
        <v>-9.4299283487814503</v>
      </c>
      <c r="K334" s="7">
        <f t="shared" si="58"/>
        <v>7.1855089120553801E-5</v>
      </c>
      <c r="L334" s="7">
        <f t="shared" si="59"/>
        <v>1.3547961629800701E-3</v>
      </c>
      <c r="M334" s="7">
        <f t="shared" si="60"/>
        <v>5.1569610238575897E-2</v>
      </c>
      <c r="N334" s="7">
        <f t="shared" si="61"/>
        <v>6.5350651399045806E-2</v>
      </c>
      <c r="O334">
        <v>1.9177109999999999</v>
      </c>
      <c r="P334">
        <v>-1.4582925</v>
      </c>
      <c r="Q334">
        <v>3.0275184999999998</v>
      </c>
      <c r="R334">
        <v>-6.3458249000000002</v>
      </c>
      <c r="S334">
        <f t="shared" si="62"/>
        <v>2.9184110357924271</v>
      </c>
      <c r="T334">
        <f t="shared" si="63"/>
        <v>-27.244148882241163</v>
      </c>
    </row>
    <row r="335" spans="1:20" x14ac:dyDescent="0.35">
      <c r="A335">
        <v>2.25</v>
      </c>
      <c r="B335">
        <v>15.1875</v>
      </c>
      <c r="C335">
        <v>-2.8300155E-2</v>
      </c>
      <c r="D335">
        <v>-3.0211206000000001E-2</v>
      </c>
      <c r="E335">
        <v>0.97169435999999998</v>
      </c>
      <c r="F335">
        <v>-3.2795441000000002E-2</v>
      </c>
      <c r="G335">
        <f t="shared" si="54"/>
        <v>7.3903507074193602</v>
      </c>
      <c r="H335">
        <f t="shared" si="55"/>
        <v>-8.7819266052008906</v>
      </c>
      <c r="I335">
        <f t="shared" si="56"/>
        <v>7.39034963449041</v>
      </c>
      <c r="J335">
        <f t="shared" si="57"/>
        <v>-8.7832187276308602</v>
      </c>
      <c r="K335" s="7">
        <f t="shared" si="58"/>
        <v>1.0729289501298901E-6</v>
      </c>
      <c r="L335" s="7">
        <f t="shared" si="59"/>
        <v>1.2921224299695701E-3</v>
      </c>
      <c r="M335" s="7">
        <f t="shared" si="60"/>
        <v>5.6088542040806003E-2</v>
      </c>
      <c r="N335" s="7">
        <f t="shared" si="61"/>
        <v>6.6659624675834098E-2</v>
      </c>
      <c r="O335">
        <v>1.9419275</v>
      </c>
      <c r="P335">
        <v>-1.579458</v>
      </c>
      <c r="Q335">
        <v>2.9348797000000002</v>
      </c>
      <c r="R335">
        <v>-6.7104337000000003</v>
      </c>
      <c r="S335">
        <f t="shared" si="62"/>
        <v>2.9259781797340234</v>
      </c>
      <c r="T335">
        <f t="shared" si="63"/>
        <v>-27.254296617203934</v>
      </c>
    </row>
    <row r="336" spans="1:20" x14ac:dyDescent="0.35">
      <c r="A336">
        <v>2.25</v>
      </c>
      <c r="B336">
        <v>15.25</v>
      </c>
      <c r="C336">
        <v>-3.0720864000000001E-2</v>
      </c>
      <c r="D336">
        <v>-3.0629317E-2</v>
      </c>
      <c r="E336">
        <v>0.96927348999999996</v>
      </c>
      <c r="F336">
        <v>-3.3210090999999997E-2</v>
      </c>
      <c r="G336">
        <f t="shared" si="54"/>
        <v>7.3264454992412702</v>
      </c>
      <c r="H336">
        <f t="shared" si="55"/>
        <v>-8.1304689253595104</v>
      </c>
      <c r="I336">
        <f t="shared" si="56"/>
        <v>7.3264443413432501</v>
      </c>
      <c r="J336">
        <f t="shared" si="57"/>
        <v>-8.1317593174964298</v>
      </c>
      <c r="K336" s="7">
        <f t="shared" si="58"/>
        <v>1.15789802013211E-6</v>
      </c>
      <c r="L336" s="7">
        <f t="shared" si="59"/>
        <v>1.2903921369193899E-3</v>
      </c>
      <c r="M336" s="7">
        <f t="shared" si="60"/>
        <v>6.1154456705449001E-2</v>
      </c>
      <c r="N336" s="7">
        <f t="shared" si="61"/>
        <v>6.7876489597379797E-2</v>
      </c>
      <c r="O336">
        <v>1.9592546</v>
      </c>
      <c r="P336">
        <v>-1.7096361</v>
      </c>
      <c r="Q336">
        <v>2.8107525</v>
      </c>
      <c r="R336">
        <v>-7.0892144000000004</v>
      </c>
      <c r="S336">
        <f t="shared" si="62"/>
        <v>2.932779812635693</v>
      </c>
      <c r="T336">
        <f t="shared" si="63"/>
        <v>-27.264725575989136</v>
      </c>
    </row>
    <row r="337" spans="1:20" x14ac:dyDescent="0.35">
      <c r="A337">
        <v>2.25</v>
      </c>
      <c r="B337">
        <v>15.3125</v>
      </c>
      <c r="C337">
        <v>-3.3323999E-2</v>
      </c>
      <c r="D337">
        <v>-3.0890345999999999E-2</v>
      </c>
      <c r="E337">
        <v>0.96667166999999998</v>
      </c>
      <c r="F337">
        <v>-3.3467950000000003E-2</v>
      </c>
      <c r="G337">
        <f t="shared" si="54"/>
        <v>7.2642437928447903</v>
      </c>
      <c r="H337">
        <f t="shared" si="55"/>
        <v>-7.4963702027577099</v>
      </c>
      <c r="I337">
        <f t="shared" si="56"/>
        <v>7.26424328835874</v>
      </c>
      <c r="J337">
        <f t="shared" si="57"/>
        <v>-7.4976590081988199</v>
      </c>
      <c r="K337" s="7">
        <f t="shared" si="58"/>
        <v>5.0448605026787195E-7</v>
      </c>
      <c r="L337" s="7">
        <f t="shared" si="59"/>
        <v>1.28880544110999E-3</v>
      </c>
      <c r="M337" s="7">
        <f t="shared" si="60"/>
        <v>6.6654143845243E-2</v>
      </c>
      <c r="N337" s="7">
        <f t="shared" si="61"/>
        <v>6.8795884470986293E-2</v>
      </c>
      <c r="O337">
        <v>1.9680511000000001</v>
      </c>
      <c r="P337">
        <v>-1.8494295000000001</v>
      </c>
      <c r="Q337">
        <v>2.6502723000000001</v>
      </c>
      <c r="R337">
        <v>-7.4821476000000002</v>
      </c>
      <c r="S337">
        <f t="shared" si="62"/>
        <v>2.9391461973609396</v>
      </c>
      <c r="T337">
        <f t="shared" si="63"/>
        <v>-27.274998379674113</v>
      </c>
    </row>
    <row r="338" spans="1:20" x14ac:dyDescent="0.35">
      <c r="A338">
        <v>2.25</v>
      </c>
      <c r="B338">
        <v>15.375</v>
      </c>
      <c r="C338">
        <v>-3.6108052000000002E-2</v>
      </c>
      <c r="D338">
        <v>-3.0957755999999999E-2</v>
      </c>
      <c r="E338">
        <v>0.96389064000000002</v>
      </c>
      <c r="F338">
        <v>-3.3532909999999999E-2</v>
      </c>
      <c r="G338">
        <f t="shared" si="54"/>
        <v>7.2036826564743901</v>
      </c>
      <c r="H338">
        <f t="shared" si="55"/>
        <v>-6.8788004313312499</v>
      </c>
      <c r="I338">
        <f t="shared" si="56"/>
        <v>7.20368366032901</v>
      </c>
      <c r="J338">
        <f t="shared" si="57"/>
        <v>-6.8800880078807998</v>
      </c>
      <c r="K338" s="7">
        <f t="shared" si="58"/>
        <v>-1.0038546198742901E-6</v>
      </c>
      <c r="L338" s="7">
        <f t="shared" si="59"/>
        <v>1.28757654954992E-3</v>
      </c>
      <c r="M338" s="7">
        <f t="shared" si="60"/>
        <v>7.2596798012250205E-2</v>
      </c>
      <c r="N338" s="7">
        <f t="shared" si="61"/>
        <v>6.9335687540701199E-2</v>
      </c>
      <c r="O338">
        <v>1.9657449</v>
      </c>
      <c r="P338">
        <v>-1.9980737</v>
      </c>
      <c r="Q338">
        <v>2.4482948000000002</v>
      </c>
      <c r="R338">
        <v>-7.8862420999999996</v>
      </c>
      <c r="S338">
        <f t="shared" si="62"/>
        <v>2.9460319518426568</v>
      </c>
      <c r="T338">
        <f t="shared" si="63"/>
        <v>-27.285679221304502</v>
      </c>
    </row>
    <row r="339" spans="1:20" x14ac:dyDescent="0.35">
      <c r="A339">
        <v>2.25</v>
      </c>
      <c r="B339">
        <v>15.4375</v>
      </c>
      <c r="C339">
        <v>-3.9064610999999999E-2</v>
      </c>
      <c r="D339">
        <v>-3.0790942000000002E-2</v>
      </c>
      <c r="E339">
        <v>0.96093888000000005</v>
      </c>
      <c r="F339">
        <v>-3.3364695999999999E-2</v>
      </c>
      <c r="G339">
        <f t="shared" si="54"/>
        <v>7.1447120381204501</v>
      </c>
      <c r="H339">
        <f t="shared" si="55"/>
        <v>-6.2770768621851296</v>
      </c>
      <c r="I339">
        <f t="shared" si="56"/>
        <v>7.1447154396584001</v>
      </c>
      <c r="J339">
        <f t="shared" si="57"/>
        <v>-6.2783637325615302</v>
      </c>
      <c r="K339" s="7">
        <f t="shared" si="58"/>
        <v>-3.4015379499763299E-6</v>
      </c>
      <c r="L339" s="7">
        <f t="shared" si="59"/>
        <v>1.2868703764006299E-3</v>
      </c>
      <c r="M339" s="7">
        <f t="shared" si="60"/>
        <v>7.8977841768137699E-2</v>
      </c>
      <c r="N339" s="7">
        <f t="shared" si="61"/>
        <v>6.9401170924277694E-2</v>
      </c>
      <c r="O339">
        <v>1.9507424</v>
      </c>
      <c r="P339">
        <v>-2.1556000000000002</v>
      </c>
      <c r="Q339">
        <v>2.1996343999999999</v>
      </c>
      <c r="R339">
        <v>-8.2970962000000004</v>
      </c>
      <c r="S339">
        <f t="shared" si="62"/>
        <v>2.9525377410937605</v>
      </c>
      <c r="T339">
        <f t="shared" si="63"/>
        <v>-27.295931229226198</v>
      </c>
    </row>
    <row r="340" spans="1:20" x14ac:dyDescent="0.35">
      <c r="A340">
        <v>2.25</v>
      </c>
      <c r="B340">
        <v>15.5</v>
      </c>
      <c r="C340">
        <v>-4.2176669999999999E-2</v>
      </c>
      <c r="D340">
        <v>-3.0346202999999999E-2</v>
      </c>
      <c r="E340">
        <v>0.95783337000000002</v>
      </c>
      <c r="F340">
        <v>-3.2919895999999997E-2</v>
      </c>
      <c r="G340">
        <f t="shared" si="54"/>
        <v>7.0872878900393399</v>
      </c>
      <c r="H340">
        <f t="shared" si="55"/>
        <v>-5.6906007965895302</v>
      </c>
      <c r="I340">
        <f t="shared" si="56"/>
        <v>7.0872945659603896</v>
      </c>
      <c r="J340">
        <f t="shared" si="57"/>
        <v>-5.69188762803876</v>
      </c>
      <c r="K340" s="7">
        <f t="shared" si="58"/>
        <v>-6.6759210497480101E-6</v>
      </c>
      <c r="L340" s="7">
        <f t="shared" si="59"/>
        <v>1.28683144922981E-3</v>
      </c>
      <c r="M340" s="7">
        <f t="shared" si="60"/>
        <v>8.5774218394083696E-2</v>
      </c>
      <c r="N340" s="7">
        <f t="shared" si="61"/>
        <v>6.8886259480005402E-2</v>
      </c>
      <c r="O340">
        <v>1.9204926</v>
      </c>
      <c r="P340">
        <v>-2.3207369</v>
      </c>
      <c r="Q340">
        <v>1.8993260000000001</v>
      </c>
      <c r="R340">
        <v>-8.7088999999999999</v>
      </c>
      <c r="S340">
        <f t="shared" si="62"/>
        <v>2.9590437992241516</v>
      </c>
      <c r="T340">
        <f t="shared" si="63"/>
        <v>-27.305963640016213</v>
      </c>
    </row>
    <row r="341" spans="1:20" x14ac:dyDescent="0.35">
      <c r="A341">
        <v>2.25</v>
      </c>
      <c r="B341">
        <v>15.5625</v>
      </c>
      <c r="C341">
        <v>-4.5416817999999998E-2</v>
      </c>
      <c r="D341">
        <v>-2.9578378999999998E-2</v>
      </c>
      <c r="E341">
        <v>0.95460142000000003</v>
      </c>
      <c r="F341">
        <v>-3.2153607000000001E-2</v>
      </c>
      <c r="G341">
        <f t="shared" si="54"/>
        <v>7.0313704461719899</v>
      </c>
      <c r="H341">
        <f t="shared" si="55"/>
        <v>-5.1188271085418</v>
      </c>
      <c r="I341">
        <f t="shared" si="56"/>
        <v>7.0313812229905404</v>
      </c>
      <c r="J341">
        <f t="shared" si="57"/>
        <v>-5.1201146969239</v>
      </c>
      <c r="K341" s="7">
        <f t="shared" si="58"/>
        <v>-1.0776818550439799E-5</v>
      </c>
      <c r="L341" s="7">
        <f t="shared" si="59"/>
        <v>1.28758838209997E-3</v>
      </c>
      <c r="M341" s="7">
        <f t="shared" si="60"/>
        <v>9.2938971797207698E-2</v>
      </c>
      <c r="N341" s="7">
        <f t="shared" si="61"/>
        <v>6.7676346982860694E-2</v>
      </c>
      <c r="O341">
        <v>1.8727644999999999</v>
      </c>
      <c r="P341">
        <v>-2.4920585000000002</v>
      </c>
      <c r="Q341">
        <v>1.5430024</v>
      </c>
      <c r="R341">
        <v>-9.1143792999999995</v>
      </c>
      <c r="S341">
        <f t="shared" si="62"/>
        <v>2.9654014785463474</v>
      </c>
      <c r="T341">
        <f t="shared" si="63"/>
        <v>-27.315924098851049</v>
      </c>
    </row>
    <row r="342" spans="1:20" x14ac:dyDescent="0.35">
      <c r="A342">
        <v>2.25</v>
      </c>
      <c r="B342">
        <v>15.625</v>
      </c>
      <c r="C342">
        <v>-4.8745587999999999E-2</v>
      </c>
      <c r="D342">
        <v>-2.8443307000000001E-2</v>
      </c>
      <c r="E342">
        <v>0.95128232999999995</v>
      </c>
      <c r="F342">
        <v>-3.1021904999999999E-2</v>
      </c>
      <c r="G342">
        <f t="shared" si="54"/>
        <v>6.9769217509656496</v>
      </c>
      <c r="H342">
        <f t="shared" si="55"/>
        <v>-4.5612509044207403</v>
      </c>
      <c r="I342">
        <f t="shared" si="56"/>
        <v>6.9769373719903403</v>
      </c>
      <c r="J342">
        <f t="shared" si="57"/>
        <v>-4.5625401652837798</v>
      </c>
      <c r="K342" s="7">
        <f t="shared" si="58"/>
        <v>-1.56210246906596E-5</v>
      </c>
      <c r="L342" s="7">
        <f t="shared" si="59"/>
        <v>1.2892608630394901E-3</v>
      </c>
      <c r="M342" s="7">
        <f t="shared" si="60"/>
        <v>0.10039563728473901</v>
      </c>
      <c r="N342" s="7">
        <f t="shared" si="61"/>
        <v>6.5653323673193403E-2</v>
      </c>
      <c r="O342">
        <v>1.8052694</v>
      </c>
      <c r="P342">
        <v>-2.6673564999999999</v>
      </c>
      <c r="Q342">
        <v>1.1273766000000001</v>
      </c>
      <c r="R342">
        <v>-9.504365</v>
      </c>
      <c r="S342">
        <f t="shared" si="62"/>
        <v>2.9715864363244391</v>
      </c>
      <c r="T342">
        <f t="shared" si="63"/>
        <v>-27.325549300785713</v>
      </c>
    </row>
    <row r="343" spans="1:20" x14ac:dyDescent="0.35">
      <c r="A343">
        <v>2.25</v>
      </c>
      <c r="B343">
        <v>15.6875</v>
      </c>
      <c r="C343">
        <v>-5.2110337E-2</v>
      </c>
      <c r="D343">
        <v>-2.6901159000000001E-2</v>
      </c>
      <c r="E343">
        <v>0.94792856999999997</v>
      </c>
      <c r="F343">
        <v>-2.9485190000000001E-2</v>
      </c>
      <c r="G343">
        <f t="shared" si="54"/>
        <v>6.9239066259145998</v>
      </c>
      <c r="H343">
        <f t="shared" si="55"/>
        <v>-4.01740436941851</v>
      </c>
      <c r="I343">
        <f t="shared" si="56"/>
        <v>6.9239277482400103</v>
      </c>
      <c r="J343">
        <f t="shared" si="57"/>
        <v>-4.0186963324949296</v>
      </c>
      <c r="K343" s="7">
        <f t="shared" si="58"/>
        <v>-2.1122325410516399E-5</v>
      </c>
      <c r="L343" s="7">
        <f t="shared" si="59"/>
        <v>1.29196307641966E-3</v>
      </c>
      <c r="M343" s="7">
        <f t="shared" si="60"/>
        <v>0.108033274958973</v>
      </c>
      <c r="N343" s="7">
        <f t="shared" si="61"/>
        <v>6.2703272138476193E-2</v>
      </c>
      <c r="O343">
        <v>1.7158967000000001</v>
      </c>
      <c r="P343">
        <v>-2.8435923000000001</v>
      </c>
      <c r="Q343">
        <v>0.65072741000000001</v>
      </c>
      <c r="R343">
        <v>-9.8684709999999995</v>
      </c>
      <c r="S343">
        <f t="shared" si="62"/>
        <v>2.9778167511007267</v>
      </c>
      <c r="T343">
        <f t="shared" si="63"/>
        <v>-27.335236356877534</v>
      </c>
    </row>
    <row r="344" spans="1:20" x14ac:dyDescent="0.35">
      <c r="A344">
        <v>2.25</v>
      </c>
      <c r="B344">
        <v>15.75</v>
      </c>
      <c r="C344">
        <v>-5.5445106000000001E-2</v>
      </c>
      <c r="D344">
        <v>-2.4920583999999999E-2</v>
      </c>
      <c r="E344">
        <v>0.94460593999999998</v>
      </c>
      <c r="F344">
        <v>-2.7512339E-2</v>
      </c>
      <c r="G344">
        <f t="shared" si="54"/>
        <v>6.8722920362152298</v>
      </c>
      <c r="H344">
        <f t="shared" si="55"/>
        <v>-3.4868515754767202</v>
      </c>
      <c r="I344">
        <f t="shared" si="56"/>
        <v>6.8723192377309301</v>
      </c>
      <c r="J344">
        <f t="shared" si="57"/>
        <v>-3.4881473846539599</v>
      </c>
      <c r="K344" s="7">
        <f t="shared" si="58"/>
        <v>-2.7201515700348001E-5</v>
      </c>
      <c r="L344" s="7">
        <f t="shared" si="59"/>
        <v>1.2958091772396999E-3</v>
      </c>
      <c r="M344" s="7">
        <f t="shared" si="60"/>
        <v>0.115703510854931</v>
      </c>
      <c r="N344" s="7">
        <f t="shared" si="61"/>
        <v>5.8727030107693999E-2</v>
      </c>
      <c r="O344">
        <v>1.6031713999999999</v>
      </c>
      <c r="P344">
        <v>-3.0172419000000001</v>
      </c>
      <c r="Q344">
        <v>0.11361859000000001</v>
      </c>
      <c r="R344">
        <v>-10.194784</v>
      </c>
      <c r="S344">
        <f t="shared" si="62"/>
        <v>2.9839866739180381</v>
      </c>
      <c r="T344">
        <f t="shared" si="63"/>
        <v>-27.344826854924744</v>
      </c>
    </row>
    <row r="345" spans="1:20" x14ac:dyDescent="0.35">
      <c r="A345">
        <v>2.25</v>
      </c>
      <c r="B345">
        <v>15.8125</v>
      </c>
      <c r="C345">
        <v>-5.8671895000000002E-2</v>
      </c>
      <c r="D345">
        <v>-2.2483337999999999E-2</v>
      </c>
      <c r="E345">
        <v>0.94139223000000005</v>
      </c>
      <c r="F345">
        <v>-2.5085341000000001E-2</v>
      </c>
      <c r="G345">
        <f t="shared" si="54"/>
        <v>6.8220456427929204</v>
      </c>
      <c r="H345">
        <f t="shared" si="55"/>
        <v>-2.9691810266580601</v>
      </c>
      <c r="I345">
        <f t="shared" si="56"/>
        <v>6.8220793967041899</v>
      </c>
      <c r="J345">
        <f t="shared" si="57"/>
        <v>-2.9704819425335498</v>
      </c>
      <c r="K345" s="7">
        <f t="shared" si="58"/>
        <v>-3.3753911269584999E-5</v>
      </c>
      <c r="L345" s="7">
        <f t="shared" si="59"/>
        <v>1.3009158754897501E-3</v>
      </c>
      <c r="M345" s="7">
        <f t="shared" si="60"/>
        <v>0.123221119441372</v>
      </c>
      <c r="N345" s="7">
        <f t="shared" si="61"/>
        <v>5.3653158949776403E-2</v>
      </c>
      <c r="O345">
        <v>1.4664661999999999</v>
      </c>
      <c r="P345">
        <v>-3.1845200999999999</v>
      </c>
      <c r="Q345">
        <v>-0.48059570000000001</v>
      </c>
      <c r="R345">
        <v>-10.470737</v>
      </c>
      <c r="S345">
        <f t="shared" si="62"/>
        <v>2.9897055186538584</v>
      </c>
      <c r="T345">
        <f t="shared" si="63"/>
        <v>-27.353962612954586</v>
      </c>
    </row>
    <row r="346" spans="1:20" x14ac:dyDescent="0.35">
      <c r="A346">
        <v>2.25</v>
      </c>
      <c r="B346">
        <v>15.875</v>
      </c>
      <c r="C346">
        <v>-6.1703723000000002E-2</v>
      </c>
      <c r="D346">
        <v>-1.9588866999999999E-2</v>
      </c>
      <c r="E346">
        <v>0.93837417999999995</v>
      </c>
      <c r="F346">
        <v>-2.2203868000000002E-2</v>
      </c>
      <c r="G346">
        <f t="shared" si="54"/>
        <v>6.7731372500655702</v>
      </c>
      <c r="H346">
        <f t="shared" si="55"/>
        <v>-2.4640043224843602</v>
      </c>
      <c r="I346">
        <f t="shared" si="56"/>
        <v>6.7731779094033104</v>
      </c>
      <c r="J346">
        <f t="shared" si="57"/>
        <v>-2.46531171889721</v>
      </c>
      <c r="K346" s="7">
        <f t="shared" si="58"/>
        <v>-4.0659337740223102E-5</v>
      </c>
      <c r="L346" s="7">
        <f t="shared" si="59"/>
        <v>1.30739641284983E-3</v>
      </c>
      <c r="M346" s="7">
        <f t="shared" si="60"/>
        <v>0.13036949816462001</v>
      </c>
      <c r="N346" s="7">
        <f t="shared" si="61"/>
        <v>4.7452090571219199E-2</v>
      </c>
      <c r="O346">
        <v>1.3055783000000001</v>
      </c>
      <c r="P346">
        <v>-3.3399595999999998</v>
      </c>
      <c r="Q346">
        <v>-1.1253104</v>
      </c>
      <c r="R346">
        <v>-10.683712999999999</v>
      </c>
      <c r="S346">
        <f t="shared" si="62"/>
        <v>2.9957105161083644</v>
      </c>
      <c r="T346">
        <f t="shared" si="63"/>
        <v>-27.363117956070287</v>
      </c>
    </row>
    <row r="347" spans="1:20" x14ac:dyDescent="0.35">
      <c r="A347">
        <v>2.25</v>
      </c>
      <c r="B347">
        <v>15.9375</v>
      </c>
      <c r="C347">
        <v>-6.4449593999999999E-2</v>
      </c>
      <c r="D347">
        <v>-1.6258069E-2</v>
      </c>
      <c r="E347">
        <v>0.93564245000000001</v>
      </c>
      <c r="F347">
        <v>-1.8888988999999998E-2</v>
      </c>
      <c r="G347">
        <f t="shared" si="54"/>
        <v>6.7255363930275998</v>
      </c>
      <c r="H347">
        <f t="shared" si="55"/>
        <v>-1.9709502560307599</v>
      </c>
      <c r="I347">
        <f t="shared" si="56"/>
        <v>6.7255841431028101</v>
      </c>
      <c r="J347">
        <f t="shared" si="57"/>
        <v>-1.9722655926830199</v>
      </c>
      <c r="K347" s="7">
        <f t="shared" si="58"/>
        <v>-4.7750075210295499E-5</v>
      </c>
      <c r="L347" s="7">
        <f t="shared" si="59"/>
        <v>1.3153366522600199E-3</v>
      </c>
      <c r="M347" s="7">
        <f t="shared" si="60"/>
        <v>0.13691226518649799</v>
      </c>
      <c r="N347" s="7">
        <f t="shared" si="61"/>
        <v>4.0149278352355502E-2</v>
      </c>
      <c r="O347">
        <v>1.1218948</v>
      </c>
      <c r="P347">
        <v>-3.4787142000000002</v>
      </c>
      <c r="Q347">
        <v>-1.8106629999999999</v>
      </c>
      <c r="R347">
        <v>-10.822507999999999</v>
      </c>
      <c r="S347">
        <f t="shared" si="62"/>
        <v>3.0020486371764088</v>
      </c>
      <c r="T347">
        <f t="shared" si="63"/>
        <v>-27.372573490171359</v>
      </c>
    </row>
    <row r="348" spans="1:20" x14ac:dyDescent="0.35">
      <c r="A348">
        <v>2.25</v>
      </c>
      <c r="B348">
        <v>16</v>
      </c>
      <c r="C348">
        <v>-6.6821089E-2</v>
      </c>
      <c r="D348">
        <v>-1.2535338E-2</v>
      </c>
      <c r="E348">
        <v>0.93328502999999996</v>
      </c>
      <c r="F348">
        <v>-1.5185153E-2</v>
      </c>
      <c r="G348">
        <f t="shared" si="54"/>
        <v>6.6792130063821702</v>
      </c>
      <c r="H348">
        <f t="shared" si="55"/>
        <v>-1.48966218416076</v>
      </c>
      <c r="I348">
        <f t="shared" si="56"/>
        <v>6.6792678181644396</v>
      </c>
      <c r="J348">
        <f t="shared" si="57"/>
        <v>-1.4909869487488701</v>
      </c>
      <c r="K348" s="7">
        <f t="shared" si="58"/>
        <v>-5.4811782269403898E-5</v>
      </c>
      <c r="L348" s="7">
        <f t="shared" si="59"/>
        <v>1.32476458811004E-3</v>
      </c>
      <c r="M348" s="7">
        <f t="shared" si="60"/>
        <v>0.14261073128648699</v>
      </c>
      <c r="N348" s="7">
        <f t="shared" si="61"/>
        <v>3.18344382780145E-2</v>
      </c>
      <c r="O348">
        <v>0.91825615999999999</v>
      </c>
      <c r="P348">
        <v>-3.597003</v>
      </c>
      <c r="Q348">
        <v>-2.5235048</v>
      </c>
      <c r="R348">
        <v>-10.877748</v>
      </c>
      <c r="S348">
        <f t="shared" si="62"/>
        <v>3.0079572231867591</v>
      </c>
      <c r="T348">
        <f t="shared" si="63"/>
        <v>-27.381699705908929</v>
      </c>
    </row>
    <row r="349" spans="1:20" x14ac:dyDescent="0.35">
      <c r="A349">
        <v>2.25</v>
      </c>
      <c r="B349">
        <v>16.0625</v>
      </c>
      <c r="C349">
        <v>-6.8739880000000003E-2</v>
      </c>
      <c r="D349">
        <v>-8.4881446000000006E-3</v>
      </c>
      <c r="E349">
        <v>0.93137970999999997</v>
      </c>
      <c r="F349">
        <v>-1.1159687999999999E-2</v>
      </c>
      <c r="G349">
        <f t="shared" si="54"/>
        <v>6.6341342813736404</v>
      </c>
      <c r="H349">
        <f t="shared" si="55"/>
        <v>-1.0197945389691501</v>
      </c>
      <c r="I349">
        <f t="shared" si="56"/>
        <v>6.6341958567612398</v>
      </c>
      <c r="J349">
        <f t="shared" si="57"/>
        <v>-1.02113014855572</v>
      </c>
      <c r="K349" s="7">
        <f t="shared" si="58"/>
        <v>-6.1575387599432902E-5</v>
      </c>
      <c r="L349" s="7">
        <f t="shared" si="59"/>
        <v>1.3356095865699701E-3</v>
      </c>
      <c r="M349" s="7">
        <f t="shared" si="60"/>
        <v>0.14724575207912899</v>
      </c>
      <c r="N349" s="7">
        <f t="shared" si="61"/>
        <v>2.2663949021270401E-2</v>
      </c>
      <c r="O349">
        <v>0.69846604000000001</v>
      </c>
      <c r="P349">
        <v>-3.6914060000000002</v>
      </c>
      <c r="Q349">
        <v>-3.2481882999999998</v>
      </c>
      <c r="R349">
        <v>-10.843406999999999</v>
      </c>
      <c r="S349">
        <f t="shared" si="62"/>
        <v>3.0129753294575363</v>
      </c>
      <c r="T349">
        <f t="shared" si="63"/>
        <v>-27.390309456922189</v>
      </c>
    </row>
    <row r="350" spans="1:20" x14ac:dyDescent="0.35">
      <c r="A350">
        <v>2.25</v>
      </c>
      <c r="B350">
        <v>16.125</v>
      </c>
      <c r="C350">
        <v>-7.014505E-2</v>
      </c>
      <c r="D350">
        <v>-4.2037417000000002E-3</v>
      </c>
      <c r="E350">
        <v>0.92998687000000002</v>
      </c>
      <c r="F350">
        <v>-6.8994332E-3</v>
      </c>
      <c r="G350">
        <f t="shared" si="54"/>
        <v>6.5902658455216097</v>
      </c>
      <c r="H350">
        <f t="shared" si="55"/>
        <v>-0.56101181422074198</v>
      </c>
      <c r="I350">
        <f t="shared" si="56"/>
        <v>6.5903336174966203</v>
      </c>
      <c r="J350">
        <f t="shared" si="57"/>
        <v>-0.56235947973255695</v>
      </c>
      <c r="K350" s="7">
        <f t="shared" si="58"/>
        <v>-6.7771975010622002E-5</v>
      </c>
      <c r="L350" s="7">
        <f t="shared" si="59"/>
        <v>1.34766551181498E-3</v>
      </c>
      <c r="M350" s="7">
        <f t="shared" si="60"/>
        <v>0.15064051691320901</v>
      </c>
      <c r="N350" s="7">
        <f t="shared" si="61"/>
        <v>1.28542995900919E-2</v>
      </c>
      <c r="O350">
        <v>0.46691951999999998</v>
      </c>
      <c r="P350">
        <v>-3.7568378999999998</v>
      </c>
      <c r="Q350">
        <v>-3.9675506999999999</v>
      </c>
      <c r="R350">
        <v>-10.717404</v>
      </c>
      <c r="S350">
        <f t="shared" si="62"/>
        <v>3.0187526854340128</v>
      </c>
      <c r="T350">
        <f t="shared" si="63"/>
        <v>-27.399091091542338</v>
      </c>
    </row>
    <row r="351" spans="1:20" x14ac:dyDescent="0.35">
      <c r="A351">
        <v>2.25</v>
      </c>
      <c r="B351">
        <v>16.1875</v>
      </c>
      <c r="C351">
        <v>-7.0998949000000006E-2</v>
      </c>
      <c r="D351">
        <v>2.1681422E-4</v>
      </c>
      <c r="E351">
        <v>0.92914364000000005</v>
      </c>
      <c r="F351">
        <v>-2.5047266999999999E-3</v>
      </c>
      <c r="G351">
        <f t="shared" si="54"/>
        <v>6.5475666979491196</v>
      </c>
      <c r="H351">
        <f t="shared" si="55"/>
        <v>-0.112986939064497</v>
      </c>
      <c r="I351">
        <f t="shared" si="56"/>
        <v>6.54763983866341</v>
      </c>
      <c r="J351">
        <f t="shared" si="57"/>
        <v>-0.11434751299533601</v>
      </c>
      <c r="K351" s="7">
        <f t="shared" si="58"/>
        <v>-7.3140714290431701E-5</v>
      </c>
      <c r="L351" s="7">
        <f t="shared" si="59"/>
        <v>1.3605739308390099E-3</v>
      </c>
      <c r="M351" s="7">
        <f t="shared" si="60"/>
        <v>0.152680222008135</v>
      </c>
      <c r="N351" s="7">
        <f t="shared" si="61"/>
        <v>2.66639645740957E-3</v>
      </c>
      <c r="O351">
        <v>0.2293048</v>
      </c>
      <c r="P351">
        <v>-3.7916642999999999</v>
      </c>
      <c r="Q351">
        <v>-4.6642188999999998</v>
      </c>
      <c r="R351">
        <v>-10.502034999999999</v>
      </c>
      <c r="S351">
        <f t="shared" si="62"/>
        <v>3.0251211268261011</v>
      </c>
      <c r="T351">
        <f t="shared" si="63"/>
        <v>-27.408021440662129</v>
      </c>
    </row>
    <row r="352" spans="1:20" x14ac:dyDescent="0.35">
      <c r="A352">
        <v>2.25</v>
      </c>
      <c r="B352">
        <v>16.25</v>
      </c>
      <c r="C352">
        <v>-7.1290508000000002E-2</v>
      </c>
      <c r="D352">
        <v>4.6665368E-3</v>
      </c>
      <c r="E352">
        <v>0.92886073000000002</v>
      </c>
      <c r="F352">
        <v>1.9184286E-3</v>
      </c>
      <c r="G352">
        <f t="shared" si="54"/>
        <v>6.5059896006457301</v>
      </c>
      <c r="H352">
        <f t="shared" si="55"/>
        <v>0.324597096622527</v>
      </c>
      <c r="I352">
        <f t="shared" si="56"/>
        <v>6.50606710152078</v>
      </c>
      <c r="J352">
        <f t="shared" si="57"/>
        <v>0.32322325290161003</v>
      </c>
      <c r="K352" s="7">
        <f t="shared" si="58"/>
        <v>-7.7500875049985E-5</v>
      </c>
      <c r="L352" s="7">
        <f t="shared" si="59"/>
        <v>1.37384372091698E-3</v>
      </c>
      <c r="M352" s="7">
        <f t="shared" si="60"/>
        <v>0.15332426343209299</v>
      </c>
      <c r="N352" s="7">
        <f t="shared" si="61"/>
        <v>-7.6171927528507002E-3</v>
      </c>
      <c r="O352">
        <v>-8.5302282E-3</v>
      </c>
      <c r="P352">
        <v>-3.7972301000000002</v>
      </c>
      <c r="Q352">
        <v>-5.3221417999999998</v>
      </c>
      <c r="R352">
        <v>-10.204050000000001</v>
      </c>
      <c r="S352">
        <f t="shared" si="62"/>
        <v>3.0307799993826898</v>
      </c>
      <c r="T352">
        <f t="shared" si="63"/>
        <v>-27.416551199910479</v>
      </c>
    </row>
    <row r="353" spans="1:20" x14ac:dyDescent="0.35">
      <c r="A353">
        <v>2.25</v>
      </c>
      <c r="B353">
        <v>16.3125</v>
      </c>
      <c r="C353">
        <v>-7.1035412000000006E-2</v>
      </c>
      <c r="D353">
        <v>9.0410121000000006E-3</v>
      </c>
      <c r="E353">
        <v>0.92912231000000001</v>
      </c>
      <c r="F353">
        <v>6.2667486999999997E-3</v>
      </c>
      <c r="G353">
        <f t="shared" si="54"/>
        <v>6.4654792790264404</v>
      </c>
      <c r="H353">
        <f t="shared" si="55"/>
        <v>0.75204415797428104</v>
      </c>
      <c r="I353">
        <f t="shared" si="56"/>
        <v>6.4655600574833798</v>
      </c>
      <c r="J353">
        <f t="shared" si="57"/>
        <v>0.75065724769777098</v>
      </c>
      <c r="K353" s="7">
        <f t="shared" si="58"/>
        <v>-8.0778456939434307E-5</v>
      </c>
      <c r="L353" s="7">
        <f t="shared" si="59"/>
        <v>1.38691027651006E-3</v>
      </c>
      <c r="M353" s="7">
        <f t="shared" si="60"/>
        <v>0.152608568121432</v>
      </c>
      <c r="N353" s="7">
        <f t="shared" si="61"/>
        <v>-1.7717989888368799E-2</v>
      </c>
      <c r="O353">
        <v>-0.24117736000000001</v>
      </c>
      <c r="P353">
        <v>-3.7742988999999998</v>
      </c>
      <c r="Q353">
        <v>-5.9274915000000004</v>
      </c>
      <c r="R353">
        <v>-9.8335761999999995</v>
      </c>
      <c r="S353">
        <f t="shared" si="62"/>
        <v>3.0359400686081752</v>
      </c>
      <c r="T353">
        <f t="shared" si="63"/>
        <v>-27.424544080596501</v>
      </c>
    </row>
    <row r="354" spans="1:20" x14ac:dyDescent="0.35">
      <c r="A354">
        <v>2.25</v>
      </c>
      <c r="B354">
        <v>16.375</v>
      </c>
      <c r="C354">
        <v>-7.0273224999999995E-2</v>
      </c>
      <c r="D354">
        <v>1.3246154E-2</v>
      </c>
      <c r="E354">
        <v>0.92988890000000002</v>
      </c>
      <c r="F354">
        <v>1.0447243E-2</v>
      </c>
      <c r="G354">
        <f t="shared" si="54"/>
        <v>6.4259728339068598</v>
      </c>
      <c r="H354">
        <f t="shared" si="55"/>
        <v>1.16963928912808</v>
      </c>
      <c r="I354">
        <f t="shared" si="56"/>
        <v>6.4260558478319201</v>
      </c>
      <c r="J354">
        <f t="shared" si="57"/>
        <v>1.1682400632271199</v>
      </c>
      <c r="K354" s="7">
        <f t="shared" si="58"/>
        <v>-8.3013925060271303E-5</v>
      </c>
      <c r="L354" s="7">
        <f t="shared" si="59"/>
        <v>1.39922590096009E-3</v>
      </c>
      <c r="M354" s="7">
        <f t="shared" si="60"/>
        <v>0.15063782720553201</v>
      </c>
      <c r="N354" s="7">
        <f t="shared" si="61"/>
        <v>-2.7385561057388201E-2</v>
      </c>
      <c r="O354">
        <v>-0.46361740000000001</v>
      </c>
      <c r="P354">
        <v>-3.7241265000000001</v>
      </c>
      <c r="Q354">
        <v>-6.4698574999999998</v>
      </c>
      <c r="R354">
        <v>-9.4035399999999996</v>
      </c>
      <c r="S354">
        <f t="shared" si="62"/>
        <v>3.0414754886034068</v>
      </c>
      <c r="T354">
        <f t="shared" si="63"/>
        <v>-27.432632878911285</v>
      </c>
    </row>
    <row r="355" spans="1:20" x14ac:dyDescent="0.35">
      <c r="A355">
        <v>2.25</v>
      </c>
      <c r="B355">
        <v>16.4375</v>
      </c>
      <c r="C355">
        <v>-6.9062160999999997E-2</v>
      </c>
      <c r="D355">
        <v>1.7204089999999998E-2</v>
      </c>
      <c r="E355">
        <v>0.93110258999999995</v>
      </c>
      <c r="F355">
        <v>1.4382908E-2</v>
      </c>
      <c r="G355">
        <f t="shared" si="54"/>
        <v>6.3874048882524397</v>
      </c>
      <c r="H355">
        <f t="shared" si="55"/>
        <v>1.5776438068265</v>
      </c>
      <c r="I355">
        <f t="shared" si="56"/>
        <v>6.3874892462386503</v>
      </c>
      <c r="J355">
        <f t="shared" si="57"/>
        <v>1.5762334509998901</v>
      </c>
      <c r="K355" s="7">
        <f t="shared" si="58"/>
        <v>-8.4357986210648105E-5</v>
      </c>
      <c r="L355" s="7">
        <f t="shared" si="59"/>
        <v>1.41035582660987E-3</v>
      </c>
      <c r="M355" s="7">
        <f t="shared" si="60"/>
        <v>0.14756979303374099</v>
      </c>
      <c r="N355" s="7">
        <f t="shared" si="61"/>
        <v>-3.6415629861746499E-2</v>
      </c>
      <c r="O355">
        <v>-0.67177555</v>
      </c>
      <c r="P355">
        <v>-3.6502493</v>
      </c>
      <c r="Q355">
        <v>-6.9425154999999998</v>
      </c>
      <c r="R355">
        <v>-8.9281559999999995</v>
      </c>
      <c r="S355">
        <f t="shared" si="62"/>
        <v>3.0471777202429164</v>
      </c>
      <c r="T355">
        <f t="shared" si="63"/>
        <v>-27.440784739407579</v>
      </c>
    </row>
    <row r="356" spans="1:20" x14ac:dyDescent="0.35">
      <c r="A356">
        <v>2.25</v>
      </c>
      <c r="B356">
        <v>16.5</v>
      </c>
      <c r="C356">
        <v>-6.7472590999999998E-2</v>
      </c>
      <c r="D356">
        <v>2.0856547999999999E-2</v>
      </c>
      <c r="E356">
        <v>0.93269342</v>
      </c>
      <c r="F356">
        <v>1.8015982E-2</v>
      </c>
      <c r="G356">
        <f t="shared" si="54"/>
        <v>6.34971131593782</v>
      </c>
      <c r="H356">
        <f t="shared" si="55"/>
        <v>1.9762917016497299</v>
      </c>
      <c r="I356">
        <f t="shared" si="56"/>
        <v>6.34979633124596</v>
      </c>
      <c r="J356">
        <f t="shared" si="57"/>
        <v>1.97487165726702</v>
      </c>
      <c r="K356" s="7">
        <f t="shared" si="58"/>
        <v>-8.5015308139979595E-5</v>
      </c>
      <c r="L356" s="7">
        <f t="shared" si="59"/>
        <v>1.42004438270993E-3</v>
      </c>
      <c r="M356" s="7">
        <f t="shared" si="60"/>
        <v>0.14359547278181201</v>
      </c>
      <c r="N356" s="7">
        <f t="shared" si="61"/>
        <v>-4.4660114201334103E-2</v>
      </c>
      <c r="O356">
        <v>-0.86281412999999996</v>
      </c>
      <c r="P356">
        <v>-3.5571234999999999</v>
      </c>
      <c r="Q356">
        <v>-7.3424923</v>
      </c>
      <c r="R356">
        <v>-8.4219919000000001</v>
      </c>
      <c r="S356">
        <f t="shared" si="62"/>
        <v>3.0525830744417712</v>
      </c>
      <c r="T356">
        <f t="shared" si="63"/>
        <v>-27.448375564396443</v>
      </c>
    </row>
    <row r="357" spans="1:20" x14ac:dyDescent="0.35">
      <c r="A357">
        <v>2.25</v>
      </c>
      <c r="B357">
        <v>16.5625</v>
      </c>
      <c r="C357">
        <v>-6.558042E-2</v>
      </c>
      <c r="D357">
        <v>2.4165701000000001E-2</v>
      </c>
      <c r="E357">
        <v>0.93458596999999999</v>
      </c>
      <c r="F357">
        <v>2.1308773999999999E-2</v>
      </c>
      <c r="G357">
        <f t="shared" si="54"/>
        <v>6.31283625464072</v>
      </c>
      <c r="H357">
        <f t="shared" si="55"/>
        <v>2.3657920960052001</v>
      </c>
      <c r="I357">
        <f t="shared" si="56"/>
        <v>6.3129214827145104</v>
      </c>
      <c r="J357">
        <f t="shared" si="57"/>
        <v>2.3643638730714001</v>
      </c>
      <c r="K357" s="7">
        <f t="shared" si="58"/>
        <v>-8.5228073790411001E-5</v>
      </c>
      <c r="L357" s="7">
        <f t="shared" si="59"/>
        <v>1.4282229338000701E-3</v>
      </c>
      <c r="M357" s="7">
        <f t="shared" si="60"/>
        <v>0.13891896460735301</v>
      </c>
      <c r="N357" s="7">
        <f t="shared" si="61"/>
        <v>-5.2028998317412499E-2</v>
      </c>
      <c r="O357">
        <v>-1.0348744999999999</v>
      </c>
      <c r="P357">
        <v>-3.4487401000000002</v>
      </c>
      <c r="Q357">
        <v>-7.6702101000000003</v>
      </c>
      <c r="R357">
        <v>-7.8987812999999996</v>
      </c>
      <c r="S357">
        <f t="shared" si="62"/>
        <v>3.0578051804418536</v>
      </c>
      <c r="T357">
        <f t="shared" si="63"/>
        <v>-27.455798397674304</v>
      </c>
    </row>
    <row r="358" spans="1:20" x14ac:dyDescent="0.35">
      <c r="A358">
        <v>2.25</v>
      </c>
      <c r="B358">
        <v>16.625</v>
      </c>
      <c r="C358">
        <v>-6.3461238000000003E-2</v>
      </c>
      <c r="D358">
        <v>2.7112885999999999E-2</v>
      </c>
      <c r="E358">
        <v>0.93670505000000004</v>
      </c>
      <c r="F358">
        <v>2.4242455E-2</v>
      </c>
      <c r="G358">
        <f t="shared" si="54"/>
        <v>6.2767315888946396</v>
      </c>
      <c r="H358">
        <f t="shared" si="55"/>
        <v>2.7463313678246601</v>
      </c>
      <c r="I358">
        <f t="shared" si="56"/>
        <v>6.2768167853078802</v>
      </c>
      <c r="J358">
        <f t="shared" si="57"/>
        <v>2.7448963939093498</v>
      </c>
      <c r="K358" s="7">
        <f t="shared" si="58"/>
        <v>-8.5196413240673494E-5</v>
      </c>
      <c r="L358" s="7">
        <f t="shared" si="59"/>
        <v>1.4349739153103299E-3</v>
      </c>
      <c r="M358" s="7">
        <f t="shared" si="60"/>
        <v>0.133740271083334</v>
      </c>
      <c r="N358" s="7">
        <f t="shared" si="61"/>
        <v>-5.84855668682858E-2</v>
      </c>
      <c r="O358">
        <v>-1.1870940999999999</v>
      </c>
      <c r="P358">
        <v>-3.3289998000000001</v>
      </c>
      <c r="Q358">
        <v>-7.9287435000000004</v>
      </c>
      <c r="R358">
        <v>-7.3707631999999998</v>
      </c>
      <c r="S358">
        <f t="shared" si="62"/>
        <v>3.0629855622118827</v>
      </c>
      <c r="T358">
        <f t="shared" si="63"/>
        <v>-27.462860049431356</v>
      </c>
    </row>
    <row r="359" spans="1:20" x14ac:dyDescent="0.35">
      <c r="A359">
        <v>2.25</v>
      </c>
      <c r="B359">
        <v>16.6875</v>
      </c>
      <c r="C359">
        <v>-6.1178713000000003E-2</v>
      </c>
      <c r="D359">
        <v>2.9700500000000001E-2</v>
      </c>
      <c r="E359">
        <v>0.93884981000000001</v>
      </c>
      <c r="F359">
        <v>2.6891590999999999E-2</v>
      </c>
      <c r="G359">
        <f t="shared" si="54"/>
        <v>6.2335600464657404</v>
      </c>
      <c r="H359">
        <f t="shared" si="55"/>
        <v>3.1158016868887399</v>
      </c>
      <c r="I359">
        <f t="shared" si="56"/>
        <v>6.2335762801665098</v>
      </c>
      <c r="J359">
        <f t="shared" si="57"/>
        <v>3.1143972752172502</v>
      </c>
      <c r="K359" s="7">
        <f t="shared" si="58"/>
        <v>-1.6233700769419102E-5</v>
      </c>
      <c r="L359" s="7">
        <f t="shared" si="59"/>
        <v>1.40441167148975E-3</v>
      </c>
      <c r="M359" s="7">
        <f t="shared" si="60"/>
        <v>0.12837661957997001</v>
      </c>
      <c r="N359" s="7">
        <f t="shared" si="61"/>
        <v>-6.4139071417728802E-2</v>
      </c>
      <c r="O359">
        <v>-1.3189477999999999</v>
      </c>
      <c r="P359">
        <v>-3.2019329999999999</v>
      </c>
      <c r="Q359">
        <v>-8.1220023999999995</v>
      </c>
      <c r="R359">
        <v>-6.8485765000000001</v>
      </c>
      <c r="S359">
        <f t="shared" si="62"/>
        <v>3.0679150967835755</v>
      </c>
      <c r="T359">
        <f t="shared" si="63"/>
        <v>-27.474126059583952</v>
      </c>
    </row>
    <row r="360" spans="1:20" x14ac:dyDescent="0.35">
      <c r="A360">
        <v>2.25</v>
      </c>
      <c r="B360">
        <v>16.75</v>
      </c>
      <c r="C360">
        <v>-5.8809442000000003E-2</v>
      </c>
      <c r="D360">
        <v>3.1929477999999997E-2</v>
      </c>
      <c r="E360">
        <v>0.94121770999999999</v>
      </c>
      <c r="F360">
        <v>2.9110792E-2</v>
      </c>
      <c r="G360">
        <f t="shared" si="54"/>
        <v>6.1989520425865097</v>
      </c>
      <c r="H360">
        <f t="shared" si="55"/>
        <v>3.47804365597701</v>
      </c>
      <c r="I360">
        <f t="shared" si="56"/>
        <v>6.1989676045650501</v>
      </c>
      <c r="J360">
        <f t="shared" si="57"/>
        <v>3.4766343540418498</v>
      </c>
      <c r="K360" s="7">
        <f t="shared" si="58"/>
        <v>-1.5561978540468099E-5</v>
      </c>
      <c r="L360" s="7">
        <f t="shared" si="59"/>
        <v>1.4093019351602001E-3</v>
      </c>
      <c r="M360" s="7">
        <f t="shared" si="60"/>
        <v>0.122717361610584</v>
      </c>
      <c r="N360" s="7">
        <f t="shared" si="61"/>
        <v>-6.8824911247889697E-2</v>
      </c>
      <c r="O360">
        <v>-1.4323801</v>
      </c>
      <c r="P360">
        <v>-3.0707011</v>
      </c>
      <c r="Q360">
        <v>-8.2584361000000008</v>
      </c>
      <c r="R360">
        <v>-6.3394370999999996</v>
      </c>
      <c r="S360">
        <f t="shared" si="62"/>
        <v>3.0726051954474034</v>
      </c>
      <c r="T360">
        <f t="shared" si="63"/>
        <v>-27.481525099729595</v>
      </c>
    </row>
    <row r="361" spans="1:20" x14ac:dyDescent="0.35">
      <c r="A361">
        <v>2.25</v>
      </c>
      <c r="B361">
        <v>16.8125</v>
      </c>
      <c r="C361">
        <v>-5.6400542999999997E-2</v>
      </c>
      <c r="D361">
        <v>3.3825064000000002E-2</v>
      </c>
      <c r="E361">
        <v>0.94362531999999999</v>
      </c>
      <c r="F361">
        <v>3.0996375E-2</v>
      </c>
      <c r="G361">
        <f t="shared" si="54"/>
        <v>6.1651673131123399</v>
      </c>
      <c r="H361">
        <f t="shared" si="55"/>
        <v>3.8317456454277998</v>
      </c>
      <c r="I361">
        <f t="shared" si="56"/>
        <v>6.16518224473388</v>
      </c>
      <c r="J361">
        <f t="shared" si="57"/>
        <v>3.8303313403353401</v>
      </c>
      <c r="K361" s="7">
        <f t="shared" si="58"/>
        <v>-1.4931621540093E-5</v>
      </c>
      <c r="L361" s="7">
        <f t="shared" si="59"/>
        <v>1.4143050924597699E-3</v>
      </c>
      <c r="M361" s="7">
        <f t="shared" si="60"/>
        <v>0.117028772112778</v>
      </c>
      <c r="N361" s="7">
        <f t="shared" si="61"/>
        <v>-7.2708146450565503E-2</v>
      </c>
      <c r="O361">
        <v>-1.527555</v>
      </c>
      <c r="P361">
        <v>-2.9373768999999998</v>
      </c>
      <c r="Q361">
        <v>-8.3441541000000008</v>
      </c>
      <c r="R361">
        <v>-5.8501466999999998</v>
      </c>
      <c r="S361">
        <f t="shared" si="62"/>
        <v>3.0779694044069048</v>
      </c>
      <c r="T361">
        <f t="shared" si="63"/>
        <v>-27.489166430173384</v>
      </c>
    </row>
    <row r="362" spans="1:20" x14ac:dyDescent="0.35">
      <c r="A362">
        <v>2.25</v>
      </c>
      <c r="B362">
        <v>16.875</v>
      </c>
      <c r="C362">
        <v>-5.3995854000000003E-2</v>
      </c>
      <c r="D362">
        <v>3.5413404000000002E-2</v>
      </c>
      <c r="E362">
        <v>0.94602898999999996</v>
      </c>
      <c r="F362">
        <v>3.2574472E-2</v>
      </c>
      <c r="G362">
        <f t="shared" si="54"/>
        <v>6.1321919762255099</v>
      </c>
      <c r="H362">
        <f t="shared" si="55"/>
        <v>4.1770756816147996</v>
      </c>
      <c r="I362">
        <f t="shared" si="56"/>
        <v>6.1322064128757798</v>
      </c>
      <c r="J362">
        <f t="shared" si="57"/>
        <v>4.1756562537392599</v>
      </c>
      <c r="K362" s="7">
        <f t="shared" si="58"/>
        <v>-1.44366502699E-5</v>
      </c>
      <c r="L362" s="7">
        <f t="shared" si="59"/>
        <v>1.4194278755397199E-3</v>
      </c>
      <c r="M362" s="7">
        <f t="shared" si="60"/>
        <v>0.111413511206676</v>
      </c>
      <c r="N362" s="7">
        <f t="shared" si="61"/>
        <v>-7.5865764049359699E-2</v>
      </c>
      <c r="O362">
        <v>-1.606676</v>
      </c>
      <c r="P362">
        <v>-2.8055919</v>
      </c>
      <c r="Q362">
        <v>-8.3861498000000001</v>
      </c>
      <c r="R362">
        <v>-5.3849326</v>
      </c>
      <c r="S362">
        <f t="shared" si="62"/>
        <v>3.0825770823642631</v>
      </c>
      <c r="T362">
        <f t="shared" si="63"/>
        <v>-27.496143971374917</v>
      </c>
    </row>
    <row r="363" spans="1:20" x14ac:dyDescent="0.35">
      <c r="A363">
        <v>2.25</v>
      </c>
      <c r="B363">
        <v>16.9375</v>
      </c>
      <c r="C363">
        <v>-5.1629820999999999E-2</v>
      </c>
      <c r="D363">
        <v>3.6723927000000003E-2</v>
      </c>
      <c r="E363">
        <v>0.94839428000000003</v>
      </c>
      <c r="F363">
        <v>3.3874546999999998E-2</v>
      </c>
      <c r="G363">
        <f t="shared" si="54"/>
        <v>6.1000044284109398</v>
      </c>
      <c r="H363">
        <f t="shared" si="55"/>
        <v>4.51418446533674</v>
      </c>
      <c r="I363">
        <f t="shared" si="56"/>
        <v>6.1000185084298399</v>
      </c>
      <c r="J363">
        <f t="shared" si="57"/>
        <v>4.5127598125641901</v>
      </c>
      <c r="K363" s="7">
        <f t="shared" si="58"/>
        <v>-1.40800189001311E-5</v>
      </c>
      <c r="L363" s="7">
        <f t="shared" si="59"/>
        <v>1.42465277254988E-3</v>
      </c>
      <c r="M363" s="7">
        <f t="shared" si="60"/>
        <v>0.10594866635859899</v>
      </c>
      <c r="N363" s="7">
        <f t="shared" si="61"/>
        <v>-7.8380234925045797E-2</v>
      </c>
      <c r="O363">
        <v>-1.6707137000000001</v>
      </c>
      <c r="P363">
        <v>-2.6759664999999999</v>
      </c>
      <c r="Q363">
        <v>-8.3913223000000006</v>
      </c>
      <c r="R363">
        <v>-4.9464908999999997</v>
      </c>
      <c r="S363">
        <f t="shared" si="62"/>
        <v>3.087700065526418</v>
      </c>
      <c r="T363">
        <f t="shared" si="63"/>
        <v>-27.503437224864129</v>
      </c>
    </row>
    <row r="364" spans="1:20" x14ac:dyDescent="0.35">
      <c r="A364">
        <v>2.25</v>
      </c>
      <c r="B364">
        <v>17</v>
      </c>
      <c r="C364">
        <v>-4.9325515E-2</v>
      </c>
      <c r="D364">
        <v>3.7787112999999997E-2</v>
      </c>
      <c r="E364">
        <v>0.95069928999999997</v>
      </c>
      <c r="F364">
        <v>3.4930840999999997E-2</v>
      </c>
      <c r="G364">
        <f t="shared" si="54"/>
        <v>6.0684914562191796</v>
      </c>
      <c r="H364">
        <f t="shared" si="55"/>
        <v>4.8437239546980404</v>
      </c>
      <c r="I364">
        <f t="shared" si="56"/>
        <v>6.0685058980577402</v>
      </c>
      <c r="J364">
        <f t="shared" si="57"/>
        <v>4.8422958570349204</v>
      </c>
      <c r="K364" s="7">
        <f t="shared" si="58"/>
        <v>-1.4441838560586E-5</v>
      </c>
      <c r="L364" s="7">
        <f t="shared" si="59"/>
        <v>1.42809766312002E-3</v>
      </c>
      <c r="M364" s="7">
        <f t="shared" si="60"/>
        <v>0.100680993364395</v>
      </c>
      <c r="N364" s="7">
        <f t="shared" si="61"/>
        <v>-8.0337263445126497E-2</v>
      </c>
      <c r="O364">
        <v>-1.7218682000000001</v>
      </c>
      <c r="P364">
        <v>-2.5505817999999998</v>
      </c>
      <c r="Q364">
        <v>-8.3659248999999996</v>
      </c>
      <c r="R364">
        <v>-4.5360374999999999</v>
      </c>
      <c r="S364">
        <f t="shared" si="62"/>
        <v>3.0924080065090247</v>
      </c>
      <c r="T364">
        <f t="shared" si="63"/>
        <v>-27.510446408718472</v>
      </c>
    </row>
    <row r="365" spans="1:20" x14ac:dyDescent="0.35">
      <c r="A365">
        <v>2.375</v>
      </c>
      <c r="B365">
        <v>15</v>
      </c>
      <c r="C365">
        <v>-2.4206457000000001E-2</v>
      </c>
      <c r="D365">
        <v>-3.1603649999999997E-2</v>
      </c>
      <c r="E365">
        <v>0.97565718999999995</v>
      </c>
      <c r="F365">
        <v>-3.4433522000000001E-2</v>
      </c>
      <c r="G365">
        <f t="shared" si="54"/>
        <v>6.7268423864555702</v>
      </c>
      <c r="H365">
        <f t="shared" si="55"/>
        <v>-9.8292667713469601</v>
      </c>
      <c r="I365">
        <f t="shared" si="56"/>
        <v>6.7267762077566298</v>
      </c>
      <c r="J365">
        <f t="shared" si="57"/>
        <v>-9.8306818974639398</v>
      </c>
      <c r="K365" s="7">
        <f t="shared" si="58"/>
        <v>6.6178698940433405E-5</v>
      </c>
      <c r="L365" s="7">
        <f t="shared" si="59"/>
        <v>1.4151261169796901E-3</v>
      </c>
      <c r="M365" s="7">
        <f t="shared" si="60"/>
        <v>4.7407778574334897E-2</v>
      </c>
      <c r="N365" s="7">
        <f t="shared" si="61"/>
        <v>6.9282933791121395E-2</v>
      </c>
      <c r="O365">
        <v>1.9376973</v>
      </c>
      <c r="P365">
        <v>-1.2949757</v>
      </c>
      <c r="Q365">
        <v>3.2813655000000002</v>
      </c>
      <c r="R365">
        <v>-5.9123602999999996</v>
      </c>
      <c r="S365">
        <f t="shared" si="62"/>
        <v>2.9013751178701011</v>
      </c>
      <c r="T365">
        <f t="shared" si="63"/>
        <v>-27.214619892916012</v>
      </c>
    </row>
    <row r="366" spans="1:20" x14ac:dyDescent="0.35">
      <c r="A366">
        <v>2.375</v>
      </c>
      <c r="B366">
        <v>15.0625</v>
      </c>
      <c r="C366">
        <v>-2.6291443000000001E-2</v>
      </c>
      <c r="D366">
        <v>-3.2393581999999997E-2</v>
      </c>
      <c r="E366">
        <v>0.97356246000000002</v>
      </c>
      <c r="F366">
        <v>-3.5234256999999998E-2</v>
      </c>
      <c r="G366">
        <f t="shared" si="54"/>
        <v>6.6702712121844403</v>
      </c>
      <c r="H366">
        <f t="shared" si="55"/>
        <v>-9.1955138456818801</v>
      </c>
      <c r="I366">
        <f t="shared" si="56"/>
        <v>6.6702001761446601</v>
      </c>
      <c r="J366">
        <f t="shared" si="57"/>
        <v>-9.1969343878454897</v>
      </c>
      <c r="K366" s="7">
        <f t="shared" si="58"/>
        <v>7.1036039780203493E-5</v>
      </c>
      <c r="L366" s="7">
        <f t="shared" si="59"/>
        <v>1.4205421636095401E-3</v>
      </c>
      <c r="M366" s="7">
        <f t="shared" si="60"/>
        <v>5.1676864308628903E-2</v>
      </c>
      <c r="N366" s="7">
        <f t="shared" si="61"/>
        <v>7.1252543831564097E-2</v>
      </c>
      <c r="O366">
        <v>1.9718895999999999</v>
      </c>
      <c r="P366">
        <v>-1.4016230999999999</v>
      </c>
      <c r="Q366">
        <v>3.2383872</v>
      </c>
      <c r="R366">
        <v>-6.2534352000000002</v>
      </c>
      <c r="S366">
        <f t="shared" si="62"/>
        <v>2.9108716325375803</v>
      </c>
      <c r="T366">
        <f t="shared" si="63"/>
        <v>-27.216997709355148</v>
      </c>
    </row>
    <row r="367" spans="1:20" x14ac:dyDescent="0.35">
      <c r="A367">
        <v>2.375</v>
      </c>
      <c r="B367">
        <v>15.125</v>
      </c>
      <c r="C367">
        <v>-2.8547863999999999E-2</v>
      </c>
      <c r="D367">
        <v>-3.3098693999999998E-2</v>
      </c>
      <c r="E367">
        <v>0.97144483999999998</v>
      </c>
      <c r="F367">
        <v>-3.5819728000000002E-2</v>
      </c>
      <c r="G367">
        <f t="shared" si="54"/>
        <v>6.6285189396364403</v>
      </c>
      <c r="H367">
        <f t="shared" si="55"/>
        <v>-8.6028258252141807</v>
      </c>
      <c r="I367">
        <f t="shared" si="56"/>
        <v>6.6285171426464897</v>
      </c>
      <c r="J367">
        <f t="shared" si="57"/>
        <v>-8.6041863496222302</v>
      </c>
      <c r="K367" s="7">
        <f t="shared" si="58"/>
        <v>1.79698995061983E-6</v>
      </c>
      <c r="L367" s="7">
        <f t="shared" si="59"/>
        <v>1.36052440804946E-3</v>
      </c>
      <c r="M367" s="7">
        <f t="shared" si="60"/>
        <v>5.6188510602312502E-2</v>
      </c>
      <c r="N367" s="7">
        <f t="shared" si="61"/>
        <v>7.2935832483492294E-2</v>
      </c>
      <c r="O367">
        <v>2.0027797999999999</v>
      </c>
      <c r="P367">
        <v>-1.5173566999999999</v>
      </c>
      <c r="Q367">
        <v>3.1718970999999998</v>
      </c>
      <c r="R367">
        <v>-6.6127237000000001</v>
      </c>
      <c r="S367">
        <f t="shared" si="62"/>
        <v>2.9188507406056607</v>
      </c>
      <c r="T367">
        <f t="shared" si="63"/>
        <v>-27.226069840474679</v>
      </c>
    </row>
    <row r="368" spans="1:20" x14ac:dyDescent="0.35">
      <c r="A368">
        <v>2.375</v>
      </c>
      <c r="B368">
        <v>15.1875</v>
      </c>
      <c r="C368">
        <v>-3.0982124E-2</v>
      </c>
      <c r="D368">
        <v>-3.3697790999999998E-2</v>
      </c>
      <c r="E368">
        <v>0.96901071000000005</v>
      </c>
      <c r="F368">
        <v>-3.6418417000000002E-2</v>
      </c>
      <c r="G368">
        <f t="shared" si="54"/>
        <v>6.5769978596651502</v>
      </c>
      <c r="H368">
        <f t="shared" si="55"/>
        <v>-8.0064341071837308</v>
      </c>
      <c r="I368">
        <f t="shared" si="56"/>
        <v>6.5769961271202204</v>
      </c>
      <c r="J368">
        <f t="shared" si="57"/>
        <v>-8.0077944274145398</v>
      </c>
      <c r="K368" s="7">
        <f t="shared" si="58"/>
        <v>1.7325449297445099E-6</v>
      </c>
      <c r="L368" s="7">
        <f t="shared" si="59"/>
        <v>1.3603202308090101E-3</v>
      </c>
      <c r="M368" s="7">
        <f t="shared" si="60"/>
        <v>6.1248790167470799E-2</v>
      </c>
      <c r="N368" s="7">
        <f t="shared" si="61"/>
        <v>7.4573211099594999E-2</v>
      </c>
      <c r="O368">
        <v>2.0281856999999999</v>
      </c>
      <c r="P368">
        <v>-1.6418109000000001</v>
      </c>
      <c r="Q368">
        <v>3.0779953</v>
      </c>
      <c r="R368">
        <v>-6.9875410999999996</v>
      </c>
      <c r="S368">
        <f t="shared" si="62"/>
        <v>2.9261005942041258</v>
      </c>
      <c r="T368">
        <f t="shared" si="63"/>
        <v>-27.236545021876406</v>
      </c>
    </row>
    <row r="369" spans="1:20" x14ac:dyDescent="0.35">
      <c r="A369">
        <v>2.375</v>
      </c>
      <c r="B369">
        <v>15.25</v>
      </c>
      <c r="C369">
        <v>-3.3608565E-2</v>
      </c>
      <c r="D369">
        <v>-3.4163718000000003E-2</v>
      </c>
      <c r="E369">
        <v>0.96638561999999995</v>
      </c>
      <c r="F369">
        <v>-3.6884067999999999E-2</v>
      </c>
      <c r="G369">
        <f t="shared" si="54"/>
        <v>6.5267557382346402</v>
      </c>
      <c r="H369">
        <f t="shared" si="55"/>
        <v>-7.4258823789230499</v>
      </c>
      <c r="I369">
        <f t="shared" si="56"/>
        <v>6.5267546808149302</v>
      </c>
      <c r="J369">
        <f t="shared" si="57"/>
        <v>-7.42724255931605</v>
      </c>
      <c r="K369" s="7">
        <f t="shared" si="58"/>
        <v>1.0574197100154901E-6</v>
      </c>
      <c r="L369" s="7">
        <f t="shared" si="59"/>
        <v>1.36018039300012E-3</v>
      </c>
      <c r="M369" s="7">
        <f t="shared" si="60"/>
        <v>6.6761359807310794E-2</v>
      </c>
      <c r="N369" s="7">
        <f t="shared" si="61"/>
        <v>7.5972338034430098E-2</v>
      </c>
      <c r="O369">
        <v>2.0468012</v>
      </c>
      <c r="P369">
        <v>-1.7759475</v>
      </c>
      <c r="Q369">
        <v>2.952162</v>
      </c>
      <c r="R369">
        <v>-7.3787630999999996</v>
      </c>
      <c r="S369">
        <f t="shared" si="62"/>
        <v>2.9327682965929611</v>
      </c>
      <c r="T369">
        <f t="shared" si="63"/>
        <v>-27.24700662507151</v>
      </c>
    </row>
    <row r="370" spans="1:20" x14ac:dyDescent="0.35">
      <c r="A370">
        <v>2.375</v>
      </c>
      <c r="B370">
        <v>15.3125</v>
      </c>
      <c r="C370">
        <v>-3.6431755000000003E-2</v>
      </c>
      <c r="D370">
        <v>-3.4462701999999998E-2</v>
      </c>
      <c r="E370">
        <v>0.96356527000000003</v>
      </c>
      <c r="F370">
        <v>-3.7183508999999997E-2</v>
      </c>
      <c r="G370">
        <f t="shared" si="54"/>
        <v>6.4777408034721198</v>
      </c>
      <c r="H370">
        <f t="shared" si="55"/>
        <v>-6.8602065675803701</v>
      </c>
      <c r="I370">
        <f t="shared" si="56"/>
        <v>6.4777411666724296</v>
      </c>
      <c r="J370">
        <f t="shared" si="57"/>
        <v>-6.8615669726098698</v>
      </c>
      <c r="K370" s="7">
        <f t="shared" si="58"/>
        <v>-3.6320030982750501E-7</v>
      </c>
      <c r="L370" s="7">
        <f t="shared" si="59"/>
        <v>1.36040502949974E-3</v>
      </c>
      <c r="M370" s="7">
        <f t="shared" si="60"/>
        <v>7.2749087993334599E-2</v>
      </c>
      <c r="N370" s="7">
        <f t="shared" si="61"/>
        <v>7.7059692046784201E-2</v>
      </c>
      <c r="O370">
        <v>2.0565470000000001</v>
      </c>
      <c r="P370">
        <v>-1.9196815</v>
      </c>
      <c r="Q370">
        <v>2.7894543000000001</v>
      </c>
      <c r="R370">
        <v>-7.7847245000000003</v>
      </c>
      <c r="S370">
        <f t="shared" si="62"/>
        <v>2.9394128321649169</v>
      </c>
      <c r="T370">
        <f t="shared" si="63"/>
        <v>-27.257570909690838</v>
      </c>
    </row>
    <row r="371" spans="1:20" x14ac:dyDescent="0.35">
      <c r="A371">
        <v>2.375</v>
      </c>
      <c r="B371">
        <v>15.375</v>
      </c>
      <c r="C371">
        <v>-3.9450468000000002E-2</v>
      </c>
      <c r="D371">
        <v>-3.4556097000000001E-2</v>
      </c>
      <c r="E371">
        <v>0.96055106000000001</v>
      </c>
      <c r="F371">
        <v>-3.7278468000000002E-2</v>
      </c>
      <c r="G371">
        <f t="shared" si="54"/>
        <v>6.4299223925917701</v>
      </c>
      <c r="H371">
        <f t="shared" si="55"/>
        <v>-6.3087210535348701</v>
      </c>
      <c r="I371">
        <f t="shared" si="56"/>
        <v>6.4299250094094704</v>
      </c>
      <c r="J371">
        <f t="shared" si="57"/>
        <v>-6.3100822344329499</v>
      </c>
      <c r="K371" s="7">
        <f t="shared" si="58"/>
        <v>-2.61681770030719E-6</v>
      </c>
      <c r="L371" s="7">
        <f t="shared" si="59"/>
        <v>1.36118089807979E-3</v>
      </c>
      <c r="M371" s="7">
        <f t="shared" si="60"/>
        <v>7.9224247998664205E-2</v>
      </c>
      <c r="N371" s="7">
        <f t="shared" si="61"/>
        <v>7.7747643884044801E-2</v>
      </c>
      <c r="O371">
        <v>2.0553420999999998</v>
      </c>
      <c r="P371">
        <v>-2.0727437000000002</v>
      </c>
      <c r="Q371">
        <v>2.5846349000000002</v>
      </c>
      <c r="R371">
        <v>-8.2021757999999991</v>
      </c>
      <c r="S371">
        <f t="shared" si="62"/>
        <v>2.94611167716999</v>
      </c>
      <c r="T371">
        <f t="shared" si="63"/>
        <v>-27.268014647765607</v>
      </c>
    </row>
    <row r="372" spans="1:20" x14ac:dyDescent="0.35">
      <c r="A372">
        <v>2.375</v>
      </c>
      <c r="B372">
        <v>15.4375</v>
      </c>
      <c r="C372">
        <v>-4.2656330999999999E-2</v>
      </c>
      <c r="D372">
        <v>-3.4400926999999998E-2</v>
      </c>
      <c r="E372">
        <v>0.95735137999999997</v>
      </c>
      <c r="F372">
        <v>-3.7126243000000003E-2</v>
      </c>
      <c r="G372">
        <f t="shared" si="54"/>
        <v>6.3832751443801303</v>
      </c>
      <c r="H372">
        <f t="shared" si="55"/>
        <v>-5.7708640559467899</v>
      </c>
      <c r="I372">
        <f t="shared" si="56"/>
        <v>6.3832808566771604</v>
      </c>
      <c r="J372">
        <f t="shared" si="57"/>
        <v>-5.7722267009091999</v>
      </c>
      <c r="K372" s="7">
        <f t="shared" si="58"/>
        <v>-5.7122970300582699E-6</v>
      </c>
      <c r="L372" s="7">
        <f t="shared" si="59"/>
        <v>1.3626449624100101E-3</v>
      </c>
      <c r="M372" s="7">
        <f t="shared" si="60"/>
        <v>8.6184993987031402E-2</v>
      </c>
      <c r="N372" s="7">
        <f t="shared" si="61"/>
        <v>7.7934738370356804E-2</v>
      </c>
      <c r="O372">
        <v>2.0411169999999998</v>
      </c>
      <c r="P372">
        <v>-2.2347104</v>
      </c>
      <c r="Q372">
        <v>2.3325274999999999</v>
      </c>
      <c r="R372">
        <v>-8.6271929000000007</v>
      </c>
      <c r="S372">
        <f t="shared" si="62"/>
        <v>2.952838252218378</v>
      </c>
      <c r="T372">
        <f t="shared" si="63"/>
        <v>-27.278341631865246</v>
      </c>
    </row>
    <row r="373" spans="1:20" x14ac:dyDescent="0.35">
      <c r="A373">
        <v>2.375</v>
      </c>
      <c r="B373">
        <v>15.5</v>
      </c>
      <c r="C373">
        <v>-4.6032078999999997E-2</v>
      </c>
      <c r="D373">
        <v>-3.3950848999999998E-2</v>
      </c>
      <c r="E373">
        <v>0.95398340000000004</v>
      </c>
      <c r="F373">
        <v>-3.6680720999999999E-2</v>
      </c>
      <c r="G373">
        <f t="shared" si="54"/>
        <v>6.3377754008888996</v>
      </c>
      <c r="H373">
        <f t="shared" si="55"/>
        <v>-5.2461408142702304</v>
      </c>
      <c r="I373">
        <f t="shared" si="56"/>
        <v>6.3377850033325496</v>
      </c>
      <c r="J373">
        <f t="shared" si="57"/>
        <v>-5.24750572659977</v>
      </c>
      <c r="K373" s="7">
        <f t="shared" si="58"/>
        <v>-9.6024436500030708E-6</v>
      </c>
      <c r="L373" s="7">
        <f t="shared" si="59"/>
        <v>1.36491232953961E-3</v>
      </c>
      <c r="M373" s="7">
        <f t="shared" si="60"/>
        <v>9.3610428331714596E-2</v>
      </c>
      <c r="N373" s="7">
        <f t="shared" si="61"/>
        <v>7.7506772236961993E-2</v>
      </c>
      <c r="O373">
        <v>2.0117411999999999</v>
      </c>
      <c r="P373">
        <v>-2.4048126999999999</v>
      </c>
      <c r="Q373">
        <v>2.0280353999999998</v>
      </c>
      <c r="R373">
        <v>-9.0538515999999998</v>
      </c>
      <c r="S373">
        <f t="shared" si="62"/>
        <v>2.9592548490510913</v>
      </c>
      <c r="T373">
        <f t="shared" si="63"/>
        <v>-27.28842702334607</v>
      </c>
    </row>
    <row r="374" spans="1:20" x14ac:dyDescent="0.35">
      <c r="A374">
        <v>2.375</v>
      </c>
      <c r="B374">
        <v>15.5625</v>
      </c>
      <c r="C374">
        <v>-4.9549655999999997E-2</v>
      </c>
      <c r="D374">
        <v>-3.3157801000000001E-2</v>
      </c>
      <c r="E374">
        <v>0.95047501000000001</v>
      </c>
      <c r="F374">
        <v>-3.5894033999999998E-2</v>
      </c>
      <c r="G374">
        <f t="shared" si="54"/>
        <v>6.2933996527291196</v>
      </c>
      <c r="H374">
        <f t="shared" si="55"/>
        <v>-4.7341015107222102</v>
      </c>
      <c r="I374">
        <f t="shared" si="56"/>
        <v>6.2934138572470397</v>
      </c>
      <c r="J374">
        <f t="shared" si="57"/>
        <v>-4.7354695909162503</v>
      </c>
      <c r="K374" s="7">
        <f t="shared" si="58"/>
        <v>-1.4204517920113301E-5</v>
      </c>
      <c r="L374" s="7">
        <f t="shared" si="59"/>
        <v>1.36808019404011E-3</v>
      </c>
      <c r="M374" s="7">
        <f t="shared" si="60"/>
        <v>0.101454752824263</v>
      </c>
      <c r="N374" s="7">
        <f t="shared" si="61"/>
        <v>7.6339472939633293E-2</v>
      </c>
      <c r="O374">
        <v>1.9646821000000001</v>
      </c>
      <c r="P374">
        <v>-2.5813654000000001</v>
      </c>
      <c r="Q374">
        <v>1.6666718</v>
      </c>
      <c r="R374">
        <v>-9.4748429999999999</v>
      </c>
      <c r="S374">
        <f t="shared" si="62"/>
        <v>2.9655874800272111</v>
      </c>
      <c r="T374">
        <f t="shared" si="63"/>
        <v>-27.298284793352408</v>
      </c>
    </row>
    <row r="375" spans="1:20" x14ac:dyDescent="0.35">
      <c r="A375">
        <v>2.375</v>
      </c>
      <c r="B375">
        <v>15.625</v>
      </c>
      <c r="C375">
        <v>-5.3168472000000001E-2</v>
      </c>
      <c r="D375">
        <v>-3.1974475000000002E-2</v>
      </c>
      <c r="E375">
        <v>0.94686658999999995</v>
      </c>
      <c r="F375">
        <v>-3.4719035000000002E-2</v>
      </c>
      <c r="G375">
        <f t="shared" si="54"/>
        <v>6.25012426778303</v>
      </c>
      <c r="H375">
        <f t="shared" si="55"/>
        <v>-4.2343294774522997</v>
      </c>
      <c r="I375">
        <f t="shared" si="56"/>
        <v>6.2501436815254996</v>
      </c>
      <c r="J375">
        <f t="shared" si="57"/>
        <v>-4.2357017067546501</v>
      </c>
      <c r="K375" s="7">
        <f t="shared" si="58"/>
        <v>-1.9413742469609501E-5</v>
      </c>
      <c r="L375" s="7">
        <f t="shared" si="59"/>
        <v>1.37222930235037E-3</v>
      </c>
      <c r="M375" s="7">
        <f t="shared" si="60"/>
        <v>0.109641131474086</v>
      </c>
      <c r="N375" s="7">
        <f t="shared" si="61"/>
        <v>7.4303432269567593E-2</v>
      </c>
      <c r="O375">
        <v>1.8976275</v>
      </c>
      <c r="P375">
        <v>-2.7622114</v>
      </c>
      <c r="Q375">
        <v>1.2449303</v>
      </c>
      <c r="R375">
        <v>-9.8814519000000001</v>
      </c>
      <c r="S375">
        <f t="shared" si="62"/>
        <v>2.9719055552753737</v>
      </c>
      <c r="T375">
        <f t="shared" si="63"/>
        <v>-27.308233287871108</v>
      </c>
    </row>
    <row r="376" spans="1:20" x14ac:dyDescent="0.35">
      <c r="A376">
        <v>2.375</v>
      </c>
      <c r="B376">
        <v>15.6875</v>
      </c>
      <c r="C376">
        <v>-5.6834152999999998E-2</v>
      </c>
      <c r="D376">
        <v>-3.0357696999999999E-2</v>
      </c>
      <c r="E376">
        <v>0.9432123</v>
      </c>
      <c r="F376">
        <v>-3.3112694999999998E-2</v>
      </c>
      <c r="G376">
        <f t="shared" si="54"/>
        <v>6.2079258938748403</v>
      </c>
      <c r="H376">
        <f t="shared" si="55"/>
        <v>-3.7464380208103099</v>
      </c>
      <c r="I376">
        <f t="shared" si="56"/>
        <v>6.2079510172030803</v>
      </c>
      <c r="J376">
        <f t="shared" si="57"/>
        <v>-3.7478154532100199</v>
      </c>
      <c r="K376" s="7">
        <f t="shared" si="58"/>
        <v>-2.5123328240006501E-5</v>
      </c>
      <c r="L376" s="7">
        <f t="shared" si="59"/>
        <v>1.37743239971E-3</v>
      </c>
      <c r="M376" s="7">
        <f t="shared" si="60"/>
        <v>0.11805605024891599</v>
      </c>
      <c r="N376" s="7">
        <f t="shared" si="61"/>
        <v>7.1271871869112602E-2</v>
      </c>
      <c r="O376">
        <v>1.8086192999999999</v>
      </c>
      <c r="P376">
        <v>-2.9446924000000001</v>
      </c>
      <c r="Q376">
        <v>0.76089428000000003</v>
      </c>
      <c r="R376">
        <v>-10.262888999999999</v>
      </c>
      <c r="S376">
        <f t="shared" si="62"/>
        <v>2.9779381757228438</v>
      </c>
      <c r="T376">
        <f t="shared" si="63"/>
        <v>-27.317921990208454</v>
      </c>
    </row>
    <row r="377" spans="1:20" x14ac:dyDescent="0.35">
      <c r="A377">
        <v>2.375</v>
      </c>
      <c r="B377">
        <v>15.75</v>
      </c>
      <c r="C377">
        <v>-6.0478257000000001E-2</v>
      </c>
      <c r="D377">
        <v>-2.8272652999999998E-2</v>
      </c>
      <c r="E377">
        <v>0.93958037000000005</v>
      </c>
      <c r="F377">
        <v>-3.104034E-2</v>
      </c>
      <c r="G377">
        <f t="shared" si="54"/>
        <v>6.1667807628184299</v>
      </c>
      <c r="H377">
        <f t="shared" si="55"/>
        <v>-3.27006542308097</v>
      </c>
      <c r="I377">
        <f t="shared" si="56"/>
        <v>6.1668119903099496</v>
      </c>
      <c r="J377">
        <f t="shared" si="57"/>
        <v>-3.2714491828041701</v>
      </c>
      <c r="K377" s="7">
        <f t="shared" si="58"/>
        <v>-3.1227491519736402E-5</v>
      </c>
      <c r="L377" s="7">
        <f t="shared" si="59"/>
        <v>1.38375972320004E-3</v>
      </c>
      <c r="M377" s="7">
        <f t="shared" si="60"/>
        <v>0.126545562111892</v>
      </c>
      <c r="N377" s="7">
        <f t="shared" si="61"/>
        <v>6.7131505940014199E-2</v>
      </c>
      <c r="O377">
        <v>1.6958015</v>
      </c>
      <c r="P377">
        <v>-3.1248952000000001</v>
      </c>
      <c r="Q377">
        <v>0.21481897</v>
      </c>
      <c r="R377">
        <v>-10.607343</v>
      </c>
      <c r="S377">
        <f t="shared" si="62"/>
        <v>2.9840759598188922</v>
      </c>
      <c r="T377">
        <f t="shared" si="63"/>
        <v>-27.327372744365793</v>
      </c>
    </row>
    <row r="378" spans="1:20" x14ac:dyDescent="0.35">
      <c r="A378">
        <v>2.375</v>
      </c>
      <c r="B378">
        <v>15.8125</v>
      </c>
      <c r="C378">
        <v>-6.4019388999999996E-2</v>
      </c>
      <c r="D378">
        <v>-2.5697672000000001E-2</v>
      </c>
      <c r="E378">
        <v>0.93605198000000001</v>
      </c>
      <c r="F378">
        <v>-2.8480436000000001E-2</v>
      </c>
      <c r="G378">
        <f t="shared" si="54"/>
        <v>6.1266657221286804</v>
      </c>
      <c r="H378">
        <f t="shared" si="55"/>
        <v>-2.8048720669678202</v>
      </c>
      <c r="I378">
        <f t="shared" si="56"/>
        <v>6.1267033410882199</v>
      </c>
      <c r="J378">
        <f t="shared" si="57"/>
        <v>-2.8062633469783398</v>
      </c>
      <c r="K378" s="7">
        <f t="shared" si="58"/>
        <v>-3.7618959539464897E-5</v>
      </c>
      <c r="L378" s="7">
        <f t="shared" si="59"/>
        <v>1.3912800105195799E-3</v>
      </c>
      <c r="M378" s="7">
        <f t="shared" si="60"/>
        <v>0.13491491796021601</v>
      </c>
      <c r="N378" s="7">
        <f t="shared" si="61"/>
        <v>6.1796168045749597E-2</v>
      </c>
      <c r="O378">
        <v>1.5584914999999999</v>
      </c>
      <c r="P378">
        <v>-3.2991144000000001</v>
      </c>
      <c r="Q378">
        <v>-0.3904107</v>
      </c>
      <c r="R378">
        <v>-10.902450999999999</v>
      </c>
      <c r="S378">
        <f t="shared" si="62"/>
        <v>2.9899478201684748</v>
      </c>
      <c r="T378">
        <f t="shared" si="63"/>
        <v>-27.336759976693344</v>
      </c>
    </row>
    <row r="379" spans="1:20" x14ac:dyDescent="0.35">
      <c r="A379">
        <v>2.375</v>
      </c>
      <c r="B379">
        <v>15.875</v>
      </c>
      <c r="C379">
        <v>-6.7366125999999998E-2</v>
      </c>
      <c r="D379">
        <v>-2.2629044000000001E-2</v>
      </c>
      <c r="E379">
        <v>0.93271828000000001</v>
      </c>
      <c r="F379">
        <v>-2.5429396E-2</v>
      </c>
      <c r="G379">
        <f t="shared" si="54"/>
        <v>6.0875567622039997</v>
      </c>
      <c r="H379">
        <f t="shared" si="55"/>
        <v>-2.35053522778251</v>
      </c>
      <c r="I379">
        <f t="shared" si="56"/>
        <v>6.0876009236637696</v>
      </c>
      <c r="J379">
        <f t="shared" si="57"/>
        <v>-2.3519352828621698</v>
      </c>
      <c r="K379" s="7">
        <f t="shared" si="58"/>
        <v>-4.4161459769931402E-5</v>
      </c>
      <c r="L379" s="7">
        <f t="shared" si="59"/>
        <v>1.4000550796597899E-3</v>
      </c>
      <c r="M379" s="7">
        <f t="shared" si="60"/>
        <v>0.14293335667849699</v>
      </c>
      <c r="N379" s="7">
        <f t="shared" si="61"/>
        <v>5.5222083195913298E-2</v>
      </c>
      <c r="O379">
        <v>1.3964430000000001</v>
      </c>
      <c r="P379">
        <v>-3.4621559</v>
      </c>
      <c r="Q379">
        <v>-1.0486044000000001</v>
      </c>
      <c r="R379">
        <v>-11.135249999999999</v>
      </c>
      <c r="S379">
        <f t="shared" si="62"/>
        <v>2.9959811975225175</v>
      </c>
      <c r="T379">
        <f t="shared" si="63"/>
        <v>-27.346102115002864</v>
      </c>
    </row>
    <row r="380" spans="1:20" x14ac:dyDescent="0.35">
      <c r="A380">
        <v>2.375</v>
      </c>
      <c r="B380">
        <v>15.9375</v>
      </c>
      <c r="C380">
        <v>-7.0421892999999999E-2</v>
      </c>
      <c r="D380">
        <v>-1.9085108E-2</v>
      </c>
      <c r="E380">
        <v>0.92967549999999999</v>
      </c>
      <c r="F380">
        <v>-2.1905623999999999E-2</v>
      </c>
      <c r="G380">
        <f t="shared" si="54"/>
        <v>6.0494295856479496</v>
      </c>
      <c r="H380">
        <f t="shared" si="55"/>
        <v>-1.9067466770311201</v>
      </c>
      <c r="I380">
        <f t="shared" si="56"/>
        <v>6.0494802683098703</v>
      </c>
      <c r="J380">
        <f t="shared" si="57"/>
        <v>-1.9081567948876801</v>
      </c>
      <c r="K380" s="7">
        <f t="shared" si="58"/>
        <v>-5.0682661920653502E-5</v>
      </c>
      <c r="L380" s="7">
        <f t="shared" si="59"/>
        <v>1.4101178565599801E-3</v>
      </c>
      <c r="M380" s="7">
        <f t="shared" si="60"/>
        <v>0.15034518212572201</v>
      </c>
      <c r="N380" s="7">
        <f t="shared" si="61"/>
        <v>4.7422616179881097E-2</v>
      </c>
      <c r="O380">
        <v>1.2108232999999999</v>
      </c>
      <c r="P380">
        <v>-3.6091063000000001</v>
      </c>
      <c r="Q380">
        <v>-1.7502645999999999</v>
      </c>
      <c r="R380">
        <v>-11.293971000000001</v>
      </c>
      <c r="S380">
        <f t="shared" si="62"/>
        <v>3.0022019980214831</v>
      </c>
      <c r="T380">
        <f t="shared" si="63"/>
        <v>-27.355390470948283</v>
      </c>
    </row>
    <row r="381" spans="1:20" x14ac:dyDescent="0.35">
      <c r="A381">
        <v>2.375</v>
      </c>
      <c r="B381">
        <v>16</v>
      </c>
      <c r="C381">
        <v>-7.3091592999999996E-2</v>
      </c>
      <c r="D381">
        <v>-1.5108734E-2</v>
      </c>
      <c r="E381">
        <v>0.92701834000000005</v>
      </c>
      <c r="F381">
        <v>-1.7951941999999999E-2</v>
      </c>
      <c r="G381">
        <f t="shared" si="54"/>
        <v>6.0122597395129302</v>
      </c>
      <c r="H381">
        <f t="shared" si="55"/>
        <v>-1.4732117570150201</v>
      </c>
      <c r="I381">
        <f t="shared" si="56"/>
        <v>6.0123167236124102</v>
      </c>
      <c r="J381">
        <f t="shared" si="57"/>
        <v>-1.47463320187434</v>
      </c>
      <c r="K381" s="7">
        <f t="shared" si="58"/>
        <v>-5.6984099479962003E-5</v>
      </c>
      <c r="L381" s="7">
        <f t="shared" si="59"/>
        <v>1.4214448593199401E-3</v>
      </c>
      <c r="M381" s="7">
        <f t="shared" si="60"/>
        <v>0.15688740126769199</v>
      </c>
      <c r="N381" s="7">
        <f t="shared" si="61"/>
        <v>3.8479571436502401E-2</v>
      </c>
      <c r="O381">
        <v>1.0042259</v>
      </c>
      <c r="P381">
        <v>-3.7358730000000002</v>
      </c>
      <c r="Q381">
        <v>-2.4826836000000001</v>
      </c>
      <c r="R381">
        <v>-11.368873000000001</v>
      </c>
      <c r="S381">
        <f t="shared" si="62"/>
        <v>3.0080972140834059</v>
      </c>
      <c r="T381">
        <f t="shared" si="63"/>
        <v>-27.364414500033199</v>
      </c>
    </row>
    <row r="382" spans="1:20" x14ac:dyDescent="0.35">
      <c r="A382">
        <v>2.375</v>
      </c>
      <c r="B382">
        <v>16.0625</v>
      </c>
      <c r="C382">
        <v>-7.5289329000000002E-2</v>
      </c>
      <c r="D382">
        <v>-1.0767344999999999E-2</v>
      </c>
      <c r="E382">
        <v>0.92483221000000004</v>
      </c>
      <c r="F382">
        <v>-1.3635562E-2</v>
      </c>
      <c r="G382">
        <f t="shared" si="54"/>
        <v>5.9760204502585497</v>
      </c>
      <c r="H382">
        <f t="shared" si="55"/>
        <v>-1.04964537247981</v>
      </c>
      <c r="I382">
        <f t="shared" si="56"/>
        <v>5.9760832723539004</v>
      </c>
      <c r="J382">
        <f t="shared" si="57"/>
        <v>-1.05107930374682</v>
      </c>
      <c r="K382" s="7">
        <f t="shared" si="58"/>
        <v>-6.2822095350689695E-5</v>
      </c>
      <c r="L382" s="7">
        <f t="shared" si="59"/>
        <v>1.43393126700997E-3</v>
      </c>
      <c r="M382" s="7">
        <f t="shared" si="60"/>
        <v>0.16231267997881299</v>
      </c>
      <c r="N382" s="7">
        <f t="shared" si="61"/>
        <v>2.8547711082046699E-2</v>
      </c>
      <c r="O382">
        <v>0.78013679000000002</v>
      </c>
      <c r="P382">
        <v>-3.8379373999999999</v>
      </c>
      <c r="Q382">
        <v>-3.2305334999999999</v>
      </c>
      <c r="R382">
        <v>-11.353289</v>
      </c>
      <c r="S382">
        <f t="shared" si="62"/>
        <v>3.0139642626539955</v>
      </c>
      <c r="T382">
        <f t="shared" si="63"/>
        <v>-27.373452491976771</v>
      </c>
    </row>
    <row r="383" spans="1:20" x14ac:dyDescent="0.35">
      <c r="A383">
        <v>2.375</v>
      </c>
      <c r="B383">
        <v>16.125</v>
      </c>
      <c r="C383">
        <v>-7.6946149000000005E-2</v>
      </c>
      <c r="D383">
        <v>-6.1500493E-3</v>
      </c>
      <c r="E383">
        <v>0.92318560000000005</v>
      </c>
      <c r="F383">
        <v>-9.0451656000000002E-3</v>
      </c>
      <c r="G383">
        <f t="shared" si="54"/>
        <v>5.94068375354823</v>
      </c>
      <c r="H383">
        <f t="shared" si="55"/>
        <v>-0.63577307035169905</v>
      </c>
      <c r="I383">
        <f t="shared" si="56"/>
        <v>5.9407517187152301</v>
      </c>
      <c r="J383">
        <f t="shared" si="57"/>
        <v>-0.63722043477376</v>
      </c>
      <c r="K383" s="7">
        <f t="shared" si="58"/>
        <v>-6.7965167000139104E-5</v>
      </c>
      <c r="L383" s="7">
        <f t="shared" si="59"/>
        <v>1.44736442206095E-3</v>
      </c>
      <c r="M383" s="7">
        <f t="shared" si="60"/>
        <v>0.16641422640943401</v>
      </c>
      <c r="N383" s="7">
        <f t="shared" si="61"/>
        <v>1.7850021466322401E-2</v>
      </c>
      <c r="O383">
        <v>0.54332972999999996</v>
      </c>
      <c r="P383">
        <v>-3.9129173000000002</v>
      </c>
      <c r="Q383">
        <v>-3.9765963000000002</v>
      </c>
      <c r="R383">
        <v>-11.244111</v>
      </c>
      <c r="S383">
        <f t="shared" si="62"/>
        <v>3.0190366852662285</v>
      </c>
      <c r="T383">
        <f t="shared" si="63"/>
        <v>-27.381948869917107</v>
      </c>
    </row>
    <row r="384" spans="1:20" x14ac:dyDescent="0.35">
      <c r="A384">
        <v>2.375</v>
      </c>
      <c r="B384">
        <v>16.1875</v>
      </c>
      <c r="C384">
        <v>-7.8016523000000004E-2</v>
      </c>
      <c r="D384">
        <v>-1.3619011E-3</v>
      </c>
      <c r="E384">
        <v>0.92212364000000002</v>
      </c>
      <c r="F384">
        <v>-4.2851787000000004E-3</v>
      </c>
      <c r="G384">
        <f t="shared" si="54"/>
        <v>5.9062187191118598</v>
      </c>
      <c r="H384">
        <f t="shared" si="55"/>
        <v>-0.23133011713663801</v>
      </c>
      <c r="I384">
        <f t="shared" si="56"/>
        <v>5.9062909316350902</v>
      </c>
      <c r="J384">
        <f t="shared" si="57"/>
        <v>-0.23279154796874699</v>
      </c>
      <c r="K384" s="7">
        <f t="shared" si="58"/>
        <v>-7.2212523230419406E-5</v>
      </c>
      <c r="L384" s="7">
        <f t="shared" si="59"/>
        <v>1.4614308321089799E-3</v>
      </c>
      <c r="M384" s="7">
        <f t="shared" si="60"/>
        <v>0.169048383223704</v>
      </c>
      <c r="N384" s="7">
        <f t="shared" si="61"/>
        <v>6.6629015176815102E-3</v>
      </c>
      <c r="O384">
        <v>0.29895126999999999</v>
      </c>
      <c r="P384">
        <v>-3.9568981999999999</v>
      </c>
      <c r="Q384">
        <v>-4.7033374999999999</v>
      </c>
      <c r="R384">
        <v>-11.042814</v>
      </c>
      <c r="S384">
        <f t="shared" si="62"/>
        <v>3.0247436940605885</v>
      </c>
      <c r="T384">
        <f t="shared" si="63"/>
        <v>-27.390644543867069</v>
      </c>
    </row>
    <row r="385" spans="1:20" x14ac:dyDescent="0.35">
      <c r="A385">
        <v>2.375</v>
      </c>
      <c r="B385">
        <v>16.25</v>
      </c>
      <c r="C385">
        <v>-7.8482391999999998E-2</v>
      </c>
      <c r="D385">
        <v>3.4839673999999998E-3</v>
      </c>
      <c r="E385">
        <v>0.92166413000000003</v>
      </c>
      <c r="F385">
        <v>5.3206179E-4</v>
      </c>
      <c r="G385">
        <f t="shared" si="54"/>
        <v>5.8725911674722404</v>
      </c>
      <c r="H385">
        <f t="shared" si="55"/>
        <v>0.16393737730744201</v>
      </c>
      <c r="I385">
        <f t="shared" si="56"/>
        <v>5.8726666010586897</v>
      </c>
      <c r="J385">
        <f t="shared" si="57"/>
        <v>0.16246164395255699</v>
      </c>
      <c r="K385" s="7">
        <f t="shared" si="58"/>
        <v>-7.5433586449236105E-5</v>
      </c>
      <c r="L385" s="7">
        <f t="shared" si="59"/>
        <v>1.4757333548850199E-3</v>
      </c>
      <c r="M385" s="7">
        <f t="shared" si="60"/>
        <v>0.17015018123454101</v>
      </c>
      <c r="N385" s="7">
        <f t="shared" si="61"/>
        <v>-4.7070402663767401E-3</v>
      </c>
      <c r="O385">
        <v>5.2952556999999997E-2</v>
      </c>
      <c r="P385">
        <v>-3.9693565</v>
      </c>
      <c r="Q385">
        <v>-5.3940174000000001</v>
      </c>
      <c r="R385">
        <v>-10.755151</v>
      </c>
      <c r="S385">
        <f t="shared" si="62"/>
        <v>3.0309486964867265</v>
      </c>
      <c r="T385">
        <f t="shared" si="63"/>
        <v>-27.399380621679651</v>
      </c>
    </row>
    <row r="386" spans="1:20" x14ac:dyDescent="0.35">
      <c r="A386">
        <v>2.375</v>
      </c>
      <c r="B386">
        <v>16.3125</v>
      </c>
      <c r="C386">
        <v>-7.8354063000000002E-2</v>
      </c>
      <c r="D386">
        <v>8.2751723999999992E-3</v>
      </c>
      <c r="E386">
        <v>0.92179672999999995</v>
      </c>
      <c r="F386">
        <v>5.2950254000000002E-3</v>
      </c>
      <c r="G386">
        <f t="shared" si="54"/>
        <v>5.8397652675464897</v>
      </c>
      <c r="H386">
        <f t="shared" si="55"/>
        <v>0.55027137184927399</v>
      </c>
      <c r="I386">
        <f t="shared" si="56"/>
        <v>5.8398428781742497</v>
      </c>
      <c r="J386">
        <f t="shared" si="57"/>
        <v>0.54878152632395105</v>
      </c>
      <c r="K386" s="7">
        <f t="shared" si="58"/>
        <v>-7.7610627760016398E-5</v>
      </c>
      <c r="L386" s="7">
        <f t="shared" si="59"/>
        <v>1.4898455253229399E-3</v>
      </c>
      <c r="M386" s="7">
        <f t="shared" si="60"/>
        <v>0.16973856817067901</v>
      </c>
      <c r="N386" s="7">
        <f t="shared" si="61"/>
        <v>-1.5950667245669001E-2</v>
      </c>
      <c r="O386">
        <v>-0.18896726999999999</v>
      </c>
      <c r="P386">
        <v>-3.9525682</v>
      </c>
      <c r="Q386">
        <v>-6.0342241000000003</v>
      </c>
      <c r="R386">
        <v>-10.390819</v>
      </c>
      <c r="S386">
        <f t="shared" si="62"/>
        <v>3.0365459595799789</v>
      </c>
      <c r="T386">
        <f t="shared" si="63"/>
        <v>-27.407716980237453</v>
      </c>
    </row>
    <row r="387" spans="1:20" x14ac:dyDescent="0.35">
      <c r="A387">
        <v>2.375</v>
      </c>
      <c r="B387">
        <v>16.375</v>
      </c>
      <c r="C387">
        <v>-7.7667894000000001E-2</v>
      </c>
      <c r="D387">
        <v>1.290842E-2</v>
      </c>
      <c r="E387">
        <v>0.92248521000000006</v>
      </c>
      <c r="F387">
        <v>9.9012188999999997E-3</v>
      </c>
      <c r="G387">
        <f t="shared" ref="G387:G450" si="64">IMREAL(IMDIV(IMSUM(IMPRODUCT(COMPLEX(1 + C387,D387),COMPLEX(1 - C387, - D387)),IMPRODUCT(COMPLEX(E387,F387),COMPLEX(E387,F387))),IMSUB(IMPRODUCT(COMPLEX(1 - C387, - D387),COMPLEX(1 - C387, - D387)),IMPRODUCT(COMPLEX(E387,F387),COMPLEX(E387,F387)))))</f>
        <v>5.8077010517152701</v>
      </c>
      <c r="H387">
        <f t="shared" ref="H387:H450" si="65">IMAGINARY(IMDIV(IMSUM(IMPRODUCT(COMPLEX(1 + C387,D387),COMPLEX(1 - C387, - D387)),IMPRODUCT(COMPLEX(E387,F387),COMPLEX(E387,F387))),IMSUB(IMPRODUCT(COMPLEX(1 - C387, - D387),COMPLEX(1 - C387, - D387)),IMPRODUCT(COMPLEX(E387,F387),COMPLEX(E387,F387)))))</f>
        <v>0.92789947048908505</v>
      </c>
      <c r="I387">
        <f t="shared" ref="I387:I450" si="66">IMREAL(IMDIV(IMPRODUCT(COMPLEX(2,0),COMPLEX(E387,F387)),IMSUB(IMPRODUCT(COMPLEX(1 - C387, - D387),COMPLEX(1 - C387, - D387)),IMPRODUCT(COMPLEX(E387,F387),COMPLEX(E387,F387)))))</f>
        <v>5.8077798581458904</v>
      </c>
      <c r="J387">
        <f t="shared" ref="J387:J450" si="67">IMAGINARY(IMDIV(IMPRODUCT(COMPLEX(2,0),COMPLEX(E387,F387)),IMSUB(IMPRODUCT(COMPLEX(1 - C387, - D387),COMPLEX(1 - C387, - D387)),IMPRODUCT(COMPLEX(E387,F387),COMPLEX(E387,F387)))))</f>
        <v>0.92639610351822599</v>
      </c>
      <c r="K387" s="7">
        <f t="shared" ref="K387:K450" si="68">IMREAL(IMSUB(COMPLEX(G387,H387),COMPLEX(I387,J387)))</f>
        <v>-7.8806430620304E-5</v>
      </c>
      <c r="L387" s="7">
        <f t="shared" ref="L387:L450" si="69">IMAGINARY(IMSUB(COMPLEX(G387,H387),COMPLEX(I387,J387)))</f>
        <v>1.5033669708590699E-3</v>
      </c>
      <c r="M387" s="7">
        <f t="shared" ref="M387:M450" si="70">IMREAL(IMDIV(IMSUB(IMPRODUCT(COMPLEX(1 - C387, - D387),COMPLEX(1 - C387, - D387)),IMPRODUCT(COMPLEX(E387,F387),COMPLEX(E387,F387))),IMPRODUCT(COMPLEX(2,0),COMPLEX(E387,F387))))</f>
        <v>0.16791063698203201</v>
      </c>
      <c r="N387" s="7">
        <f t="shared" ref="N387:N450" si="71">IMAGINARY(IMDIV(IMSUB(IMPRODUCT(COMPLEX(1 - C387, - D387),COMPLEX(1 - C387, - D387)),IMPRODUCT(COMPLEX(E387,F387),COMPLEX(E387,F387))),IMPRODUCT(COMPLEX(2,0),COMPLEX(E387,F387))))</f>
        <v>-2.67833429707643E-2</v>
      </c>
      <c r="O387">
        <v>-0.42178191999999998</v>
      </c>
      <c r="P387">
        <v>-3.9085120999999998</v>
      </c>
      <c r="Q387">
        <v>-6.6124925000000001</v>
      </c>
      <c r="R387">
        <v>-9.9621341000000001</v>
      </c>
      <c r="S387">
        <f t="shared" ref="S387:S450" si="72">IMABS(COMPLEX(Q387,R387))/IMABS(COMPLEX(O387,P387))</f>
        <v>3.0415544395799863</v>
      </c>
      <c r="T387">
        <f t="shared" ref="T387:T450" si="73">IMARGUMENT(IMDIV(COMPLEX(Q387,R387),COMPLEX(O387/B387,P387/B387)))/PI()*180</f>
        <v>-27.415557750102018</v>
      </c>
    </row>
    <row r="388" spans="1:20" x14ac:dyDescent="0.35">
      <c r="A388">
        <v>2.375</v>
      </c>
      <c r="B388">
        <v>16.4375</v>
      </c>
      <c r="C388">
        <v>-7.6481346000000006E-2</v>
      </c>
      <c r="D388">
        <v>1.7296167000000001E-2</v>
      </c>
      <c r="E388">
        <v>0.92367244000000004</v>
      </c>
      <c r="F388">
        <v>1.4263728E-2</v>
      </c>
      <c r="G388">
        <f t="shared" si="64"/>
        <v>5.7763594430356298</v>
      </c>
      <c r="H388">
        <f t="shared" si="65"/>
        <v>1.2970338416593801</v>
      </c>
      <c r="I388">
        <f t="shared" si="66"/>
        <v>5.7764386285095997</v>
      </c>
      <c r="J388">
        <f t="shared" si="67"/>
        <v>1.2955178587903999</v>
      </c>
      <c r="K388" s="7">
        <f t="shared" si="68"/>
        <v>-7.9185473969900499E-5</v>
      </c>
      <c r="L388" s="7">
        <f t="shared" si="69"/>
        <v>1.5159828689801399E-3</v>
      </c>
      <c r="M388" s="7">
        <f t="shared" si="70"/>
        <v>0.16482631261057401</v>
      </c>
      <c r="N388" s="7">
        <f t="shared" si="71"/>
        <v>-3.6966623436742702E-2</v>
      </c>
      <c r="O388">
        <v>-0.64092842000000005</v>
      </c>
      <c r="P388">
        <v>-3.8384919000000002</v>
      </c>
      <c r="Q388">
        <v>-7.1210575</v>
      </c>
      <c r="R388">
        <v>-9.4832713000000002</v>
      </c>
      <c r="S388">
        <f t="shared" si="72"/>
        <v>3.0473718343778291</v>
      </c>
      <c r="T388">
        <f t="shared" si="73"/>
        <v>-27.4236972384547</v>
      </c>
    </row>
    <row r="389" spans="1:20" x14ac:dyDescent="0.35">
      <c r="A389">
        <v>2.375</v>
      </c>
      <c r="B389">
        <v>16.5</v>
      </c>
      <c r="C389">
        <v>-7.4866456999999997E-2</v>
      </c>
      <c r="D389">
        <v>2.1370809000000001E-2</v>
      </c>
      <c r="E389">
        <v>0.92528681999999995</v>
      </c>
      <c r="F389">
        <v>1.8315336000000002E-2</v>
      </c>
      <c r="G389">
        <f t="shared" si="64"/>
        <v>5.74570252327314</v>
      </c>
      <c r="H389">
        <f t="shared" si="65"/>
        <v>1.65787047773409</v>
      </c>
      <c r="I389">
        <f t="shared" si="66"/>
        <v>5.7457814893369603</v>
      </c>
      <c r="J389">
        <f t="shared" si="67"/>
        <v>1.6563429789386399</v>
      </c>
      <c r="K389" s="7">
        <f t="shared" si="68"/>
        <v>-7.8966063820296001E-5</v>
      </c>
      <c r="L389" s="7">
        <f t="shared" si="69"/>
        <v>1.52749879545011E-3</v>
      </c>
      <c r="M389" s="7">
        <f t="shared" si="70"/>
        <v>0.160687553302823</v>
      </c>
      <c r="N389" s="7">
        <f t="shared" si="71"/>
        <v>-4.6321584141319899E-2</v>
      </c>
      <c r="O389">
        <v>-0.84335106000000004</v>
      </c>
      <c r="P389">
        <v>-3.7478834999999999</v>
      </c>
      <c r="Q389">
        <v>-7.5560290999999999</v>
      </c>
      <c r="R389">
        <v>-8.9689449000000003</v>
      </c>
      <c r="S389">
        <f t="shared" si="72"/>
        <v>3.0527807599400334</v>
      </c>
      <c r="T389">
        <f t="shared" si="73"/>
        <v>-27.431482959308884</v>
      </c>
    </row>
    <row r="390" spans="1:20" x14ac:dyDescent="0.35">
      <c r="A390">
        <v>2.375</v>
      </c>
      <c r="B390">
        <v>16.5625</v>
      </c>
      <c r="C390">
        <v>-7.2902888999999998E-2</v>
      </c>
      <c r="D390">
        <v>2.5086216000000001E-2</v>
      </c>
      <c r="E390">
        <v>0.92724912000000004</v>
      </c>
      <c r="F390">
        <v>2.2010058999999998E-2</v>
      </c>
      <c r="G390">
        <f t="shared" si="64"/>
        <v>5.7156939543841299</v>
      </c>
      <c r="H390">
        <f t="shared" si="65"/>
        <v>2.0105890516970599</v>
      </c>
      <c r="I390">
        <f t="shared" si="66"/>
        <v>5.7157723182484403</v>
      </c>
      <c r="J390">
        <f t="shared" si="67"/>
        <v>2.0090512106096798</v>
      </c>
      <c r="K390" s="7">
        <f t="shared" si="68"/>
        <v>-7.8363864310482297E-5</v>
      </c>
      <c r="L390" s="7">
        <f t="shared" si="69"/>
        <v>1.53784108738009E-3</v>
      </c>
      <c r="M390" s="7">
        <f t="shared" si="70"/>
        <v>0.15571621481018799</v>
      </c>
      <c r="N390" s="7">
        <f t="shared" si="71"/>
        <v>-5.4733084604712302E-2</v>
      </c>
      <c r="O390">
        <v>-1.0268900999999999</v>
      </c>
      <c r="P390">
        <v>-3.6406189000000002</v>
      </c>
      <c r="Q390">
        <v>-7.9168229999999999</v>
      </c>
      <c r="R390">
        <v>-8.4332715999999994</v>
      </c>
      <c r="S390">
        <f t="shared" si="72"/>
        <v>3.057898786873066</v>
      </c>
      <c r="T390">
        <f t="shared" si="73"/>
        <v>-27.438920067373175</v>
      </c>
    </row>
    <row r="391" spans="1:20" x14ac:dyDescent="0.35">
      <c r="A391">
        <v>2.375</v>
      </c>
      <c r="B391">
        <v>16.625</v>
      </c>
      <c r="C391">
        <v>-7.0671571000000002E-2</v>
      </c>
      <c r="D391">
        <v>2.8416940000000002E-2</v>
      </c>
      <c r="E391">
        <v>0.92947884999999997</v>
      </c>
      <c r="F391">
        <v>2.532239E-2</v>
      </c>
      <c r="G391">
        <f t="shared" si="64"/>
        <v>5.6863023818453504</v>
      </c>
      <c r="H391">
        <f t="shared" si="65"/>
        <v>2.35535545428715</v>
      </c>
      <c r="I391">
        <f t="shared" si="66"/>
        <v>5.68637998020324</v>
      </c>
      <c r="J391">
        <f t="shared" si="67"/>
        <v>2.3538084157066899</v>
      </c>
      <c r="K391" s="7">
        <f t="shared" si="68"/>
        <v>-7.7598357889563401E-5</v>
      </c>
      <c r="L391" s="7">
        <f t="shared" si="69"/>
        <v>1.54703858046012E-3</v>
      </c>
      <c r="M391" s="7">
        <f t="shared" si="70"/>
        <v>0.150134131622291</v>
      </c>
      <c r="N391" s="7">
        <f t="shared" si="71"/>
        <v>-6.2146213184426403E-2</v>
      </c>
      <c r="O391">
        <v>-1.1902911</v>
      </c>
      <c r="P391">
        <v>-3.5203411999999998</v>
      </c>
      <c r="Q391">
        <v>-8.2059370999999999</v>
      </c>
      <c r="R391">
        <v>-7.8891372999999998</v>
      </c>
      <c r="S391">
        <f t="shared" si="72"/>
        <v>3.0631737376891741</v>
      </c>
      <c r="T391">
        <f t="shared" si="73"/>
        <v>-27.446282616858159</v>
      </c>
    </row>
    <row r="392" spans="1:20" x14ac:dyDescent="0.35">
      <c r="A392">
        <v>2.375</v>
      </c>
      <c r="B392">
        <v>16.6875</v>
      </c>
      <c r="C392">
        <v>-6.8243765999999997E-2</v>
      </c>
      <c r="D392">
        <v>3.1361147999999998E-2</v>
      </c>
      <c r="E392">
        <v>0.93172858999999997</v>
      </c>
      <c r="F392">
        <v>2.8373513999999999E-2</v>
      </c>
      <c r="G392">
        <f t="shared" si="64"/>
        <v>5.6480577233432303</v>
      </c>
      <c r="H392">
        <f t="shared" si="65"/>
        <v>2.6909372392139002</v>
      </c>
      <c r="I392">
        <f t="shared" si="66"/>
        <v>5.6480461327289504</v>
      </c>
      <c r="J392">
        <f t="shared" si="67"/>
        <v>2.6894433842515801</v>
      </c>
      <c r="K392" s="7">
        <f t="shared" si="68"/>
        <v>1.15906142799105E-5</v>
      </c>
      <c r="L392" s="7">
        <f t="shared" si="69"/>
        <v>1.4938549623200201E-3</v>
      </c>
      <c r="M392" s="7">
        <f t="shared" si="70"/>
        <v>0.14432753733904</v>
      </c>
      <c r="N392" s="7">
        <f t="shared" si="71"/>
        <v>-6.8724782223805403E-2</v>
      </c>
      <c r="O392">
        <v>-1.3331447999999999</v>
      </c>
      <c r="P392">
        <v>-3.3915948</v>
      </c>
      <c r="Q392">
        <v>-8.4274444000000006</v>
      </c>
      <c r="R392">
        <v>-7.3470950999999998</v>
      </c>
      <c r="S392">
        <f t="shared" si="72"/>
        <v>3.0680022967532277</v>
      </c>
      <c r="T392">
        <f t="shared" si="73"/>
        <v>-27.459436014258635</v>
      </c>
    </row>
    <row r="393" spans="1:20" x14ac:dyDescent="0.35">
      <c r="A393">
        <v>2.375</v>
      </c>
      <c r="B393">
        <v>16.75</v>
      </c>
      <c r="C393">
        <v>-6.5700374000000006E-2</v>
      </c>
      <c r="D393">
        <v>3.3915130000000002E-2</v>
      </c>
      <c r="E393">
        <v>0.93427163999999996</v>
      </c>
      <c r="F393">
        <v>3.0919486999999999E-2</v>
      </c>
      <c r="G393">
        <f t="shared" si="64"/>
        <v>5.6195053935456398</v>
      </c>
      <c r="H393">
        <f t="shared" si="65"/>
        <v>3.0195363401578801</v>
      </c>
      <c r="I393">
        <f t="shared" si="66"/>
        <v>5.6194936439082399</v>
      </c>
      <c r="J393">
        <f t="shared" si="67"/>
        <v>3.0180384800994702</v>
      </c>
      <c r="K393" s="7">
        <f t="shared" si="68"/>
        <v>1.1749637399915999E-5</v>
      </c>
      <c r="L393" s="7">
        <f t="shared" si="69"/>
        <v>1.4978600584099101E-3</v>
      </c>
      <c r="M393" s="7">
        <f t="shared" si="70"/>
        <v>0.13811431249265499</v>
      </c>
      <c r="N393" s="7">
        <f t="shared" si="71"/>
        <v>-7.4176489229982503E-2</v>
      </c>
      <c r="O393">
        <v>-1.4564892</v>
      </c>
      <c r="P393">
        <v>-3.2571099000000001</v>
      </c>
      <c r="Q393">
        <v>-8.5882333000000006</v>
      </c>
      <c r="R393">
        <v>-6.8167659</v>
      </c>
      <c r="S393">
        <f t="shared" si="72"/>
        <v>3.0731442136184373</v>
      </c>
      <c r="T393">
        <f t="shared" si="73"/>
        <v>-27.466932795532941</v>
      </c>
    </row>
    <row r="394" spans="1:20" x14ac:dyDescent="0.35">
      <c r="A394">
        <v>2.375</v>
      </c>
      <c r="B394">
        <v>16.8125</v>
      </c>
      <c r="C394">
        <v>-6.3096294999999997E-2</v>
      </c>
      <c r="D394">
        <v>3.6103178E-2</v>
      </c>
      <c r="E394">
        <v>0.93687452000000004</v>
      </c>
      <c r="F394">
        <v>3.3099629999999998E-2</v>
      </c>
      <c r="G394">
        <f t="shared" si="64"/>
        <v>5.5915069396621702</v>
      </c>
      <c r="H394">
        <f t="shared" si="65"/>
        <v>3.3404992057096901</v>
      </c>
      <c r="I394">
        <f t="shared" si="66"/>
        <v>5.5914946023680097</v>
      </c>
      <c r="J394">
        <f t="shared" si="67"/>
        <v>3.3389973912666302</v>
      </c>
      <c r="K394" s="7">
        <f t="shared" si="68"/>
        <v>1.2337294160502699E-5</v>
      </c>
      <c r="L394" s="7">
        <f t="shared" si="69"/>
        <v>1.50181444305986E-3</v>
      </c>
      <c r="M394" s="7">
        <f t="shared" si="70"/>
        <v>0.131832227871964</v>
      </c>
      <c r="N394" s="7">
        <f t="shared" si="71"/>
        <v>-7.8724472838252305E-2</v>
      </c>
      <c r="O394">
        <v>-1.5613235999999999</v>
      </c>
      <c r="P394">
        <v>-3.1206898999999999</v>
      </c>
      <c r="Q394">
        <v>-8.6949225000000006</v>
      </c>
      <c r="R394">
        <v>-6.3047719999999998</v>
      </c>
      <c r="S394">
        <f t="shared" si="72"/>
        <v>3.07788315723344</v>
      </c>
      <c r="T394">
        <f t="shared" si="73"/>
        <v>-27.474347517370482</v>
      </c>
    </row>
    <row r="395" spans="1:20" x14ac:dyDescent="0.35">
      <c r="A395">
        <v>2.375</v>
      </c>
      <c r="B395">
        <v>16.875</v>
      </c>
      <c r="C395">
        <v>-6.0481528E-2</v>
      </c>
      <c r="D395">
        <v>3.7951235999999999E-2</v>
      </c>
      <c r="E395">
        <v>0.93948719000000003</v>
      </c>
      <c r="F395">
        <v>3.4939810000000002E-2</v>
      </c>
      <c r="G395">
        <f t="shared" si="64"/>
        <v>5.5640546256404599</v>
      </c>
      <c r="H395">
        <f t="shared" si="65"/>
        <v>3.6539386765317201</v>
      </c>
      <c r="I395">
        <f t="shared" si="66"/>
        <v>5.5640412516687103</v>
      </c>
      <c r="J395">
        <f t="shared" si="67"/>
        <v>3.65243291984283</v>
      </c>
      <c r="K395" s="7">
        <f t="shared" si="68"/>
        <v>1.33739717496084E-5</v>
      </c>
      <c r="L395" s="7">
        <f t="shared" si="69"/>
        <v>1.50575668889008E-3</v>
      </c>
      <c r="M395" s="7">
        <f t="shared" si="70"/>
        <v>0.125602467297485</v>
      </c>
      <c r="N395" s="7">
        <f t="shared" si="71"/>
        <v>-8.2449889499512805E-2</v>
      </c>
      <c r="O395">
        <v>-1.6486073000000001</v>
      </c>
      <c r="P395">
        <v>-2.9839012</v>
      </c>
      <c r="Q395">
        <v>-8.7545864000000009</v>
      </c>
      <c r="R395">
        <v>-5.8159869999999998</v>
      </c>
      <c r="S395">
        <f t="shared" si="72"/>
        <v>3.0830939459951257</v>
      </c>
      <c r="T395">
        <f t="shared" si="73"/>
        <v>-27.481802383552864</v>
      </c>
    </row>
    <row r="396" spans="1:20" x14ac:dyDescent="0.35">
      <c r="A396">
        <v>2.375</v>
      </c>
      <c r="B396">
        <v>16.9375</v>
      </c>
      <c r="C396">
        <v>-5.7896017000000001E-2</v>
      </c>
      <c r="D396">
        <v>3.9489604999999997E-2</v>
      </c>
      <c r="E396">
        <v>0.94206970999999995</v>
      </c>
      <c r="F396">
        <v>3.6470310999999998E-2</v>
      </c>
      <c r="G396">
        <f t="shared" si="64"/>
        <v>5.5371421569435801</v>
      </c>
      <c r="H396">
        <f t="shared" si="65"/>
        <v>3.9599611687899499</v>
      </c>
      <c r="I396">
        <f t="shared" si="66"/>
        <v>5.5371272992959497</v>
      </c>
      <c r="J396">
        <f t="shared" si="67"/>
        <v>3.9584514734892502</v>
      </c>
      <c r="K396" s="7">
        <f t="shared" si="68"/>
        <v>1.48576476304285E-5</v>
      </c>
      <c r="L396" s="7">
        <f t="shared" si="69"/>
        <v>1.50969530069966E-3</v>
      </c>
      <c r="M396" s="7">
        <f t="shared" si="70"/>
        <v>0.119517221180978</v>
      </c>
      <c r="N396" s="7">
        <f t="shared" si="71"/>
        <v>-8.54419800591074E-2</v>
      </c>
      <c r="O396">
        <v>-1.7206284999999999</v>
      </c>
      <c r="P396">
        <v>-2.8498796</v>
      </c>
      <c r="Q396">
        <v>-8.7742743000000001</v>
      </c>
      <c r="R396">
        <v>-5.3536485999999996</v>
      </c>
      <c r="S396">
        <f t="shared" si="72"/>
        <v>3.0875724834482141</v>
      </c>
      <c r="T396">
        <f t="shared" si="73"/>
        <v>-27.488744485117547</v>
      </c>
    </row>
    <row r="397" spans="1:20" x14ac:dyDescent="0.35">
      <c r="A397">
        <v>2.375</v>
      </c>
      <c r="B397">
        <v>17</v>
      </c>
      <c r="C397">
        <v>-5.5369611999999999E-2</v>
      </c>
      <c r="D397">
        <v>4.0750173000000001E-2</v>
      </c>
      <c r="E397">
        <v>0.94464649000000001</v>
      </c>
      <c r="F397">
        <v>3.7724605000000001E-2</v>
      </c>
      <c r="G397">
        <f t="shared" si="64"/>
        <v>5.51170728549058</v>
      </c>
      <c r="H397">
        <f t="shared" si="65"/>
        <v>4.2615448367147897</v>
      </c>
      <c r="I397">
        <f t="shared" si="66"/>
        <v>5.5117176248807001</v>
      </c>
      <c r="J397">
        <f t="shared" si="67"/>
        <v>4.2600320805352601</v>
      </c>
      <c r="K397" s="7">
        <f t="shared" si="68"/>
        <v>-1.0339390120073201E-5</v>
      </c>
      <c r="L397" s="7">
        <f t="shared" si="69"/>
        <v>1.51275617952962E-3</v>
      </c>
      <c r="M397" s="7">
        <f t="shared" si="70"/>
        <v>0.11358065554069401</v>
      </c>
      <c r="N397" s="7">
        <f t="shared" si="71"/>
        <v>-8.7787014731556604E-2</v>
      </c>
      <c r="O397">
        <v>-1.77834</v>
      </c>
      <c r="P397">
        <v>-2.7187540000000001</v>
      </c>
      <c r="Q397">
        <v>-8.7604179000000002</v>
      </c>
      <c r="R397">
        <v>-4.9193730000000002</v>
      </c>
      <c r="S397">
        <f t="shared" si="72"/>
        <v>3.0926572635045591</v>
      </c>
      <c r="T397">
        <f t="shared" si="73"/>
        <v>-27.495065238548673</v>
      </c>
    </row>
    <row r="398" spans="1:20" x14ac:dyDescent="0.35">
      <c r="A398">
        <v>2.5</v>
      </c>
      <c r="B398">
        <v>15</v>
      </c>
      <c r="C398">
        <v>-2.6403157E-2</v>
      </c>
      <c r="D398">
        <v>-3.4994017000000002E-2</v>
      </c>
      <c r="E398">
        <v>0.97358721000000004</v>
      </c>
      <c r="F398">
        <v>-3.7847058000000003E-2</v>
      </c>
      <c r="G398">
        <f t="shared" si="64"/>
        <v>6.0242369167649699</v>
      </c>
      <c r="H398">
        <f t="shared" si="65"/>
        <v>-8.9971814282716096</v>
      </c>
      <c r="I398">
        <f t="shared" si="66"/>
        <v>6.0242341352277702</v>
      </c>
      <c r="J398">
        <f t="shared" si="67"/>
        <v>-8.9986079596104194</v>
      </c>
      <c r="K398" s="7">
        <f t="shared" si="68"/>
        <v>2.7815371996808801E-6</v>
      </c>
      <c r="L398" s="7">
        <f t="shared" si="69"/>
        <v>1.4265313388097699E-3</v>
      </c>
      <c r="M398" s="7">
        <f t="shared" si="70"/>
        <v>5.1372235425518699E-2</v>
      </c>
      <c r="N398" s="7">
        <f t="shared" si="71"/>
        <v>7.6736494005071501E-2</v>
      </c>
      <c r="O398">
        <v>2.0179360000000002</v>
      </c>
      <c r="P398">
        <v>-1.3455075000000001</v>
      </c>
      <c r="Q398">
        <v>3.4229881999999998</v>
      </c>
      <c r="R398">
        <v>-6.1472414999999998</v>
      </c>
      <c r="S398">
        <f t="shared" si="72"/>
        <v>2.9009954899782642</v>
      </c>
      <c r="T398">
        <f t="shared" si="73"/>
        <v>-27.195157721485014</v>
      </c>
    </row>
    <row r="399" spans="1:20" x14ac:dyDescent="0.35">
      <c r="A399">
        <v>2.5</v>
      </c>
      <c r="B399">
        <v>15.0625</v>
      </c>
      <c r="C399">
        <v>-2.8655053999999999E-2</v>
      </c>
      <c r="D399">
        <v>-3.5852204999999998E-2</v>
      </c>
      <c r="E399">
        <v>0.97133561999999996</v>
      </c>
      <c r="F399">
        <v>-3.8710741999999999E-2</v>
      </c>
      <c r="G399">
        <f t="shared" si="64"/>
        <v>5.9803244527508399</v>
      </c>
      <c r="H399">
        <f t="shared" si="65"/>
        <v>-8.4290962869539197</v>
      </c>
      <c r="I399">
        <f t="shared" si="66"/>
        <v>5.98032183256195</v>
      </c>
      <c r="J399">
        <f t="shared" si="67"/>
        <v>-8.4305255658636096</v>
      </c>
      <c r="K399" s="7">
        <f t="shared" si="68"/>
        <v>2.6201888898569298E-6</v>
      </c>
      <c r="L399" s="7">
        <f t="shared" si="69"/>
        <v>1.42927890968991E-3</v>
      </c>
      <c r="M399" s="7">
        <f t="shared" si="70"/>
        <v>5.5975600841536001E-2</v>
      </c>
      <c r="N399" s="7">
        <f t="shared" si="71"/>
        <v>7.8909421126752893E-2</v>
      </c>
      <c r="O399">
        <v>2.0533366000000002</v>
      </c>
      <c r="P399">
        <v>-1.4551296</v>
      </c>
      <c r="Q399">
        <v>3.3795529000000002</v>
      </c>
      <c r="R399">
        <v>-6.4983392000000002</v>
      </c>
      <c r="S399">
        <f t="shared" si="72"/>
        <v>2.9104418460754573</v>
      </c>
      <c r="T399">
        <f t="shared" si="73"/>
        <v>-27.198778369366572</v>
      </c>
    </row>
    <row r="400" spans="1:20" x14ac:dyDescent="0.35">
      <c r="A400">
        <v>2.5</v>
      </c>
      <c r="B400">
        <v>15.125</v>
      </c>
      <c r="C400">
        <v>-3.1085310000000001E-2</v>
      </c>
      <c r="D400">
        <v>-3.6619780999999997E-2</v>
      </c>
      <c r="E400">
        <v>0.96890586000000001</v>
      </c>
      <c r="F400">
        <v>-3.9481809999999999E-2</v>
      </c>
      <c r="G400">
        <f t="shared" si="64"/>
        <v>5.9383060825760001</v>
      </c>
      <c r="H400">
        <f t="shared" si="65"/>
        <v>-7.8791426428887199</v>
      </c>
      <c r="I400">
        <f t="shared" si="66"/>
        <v>5.9383037153819496</v>
      </c>
      <c r="J400">
        <f t="shared" si="67"/>
        <v>-7.8805736670942004</v>
      </c>
      <c r="K400" s="7">
        <f t="shared" si="68"/>
        <v>2.3671940505565199E-6</v>
      </c>
      <c r="L400" s="7">
        <f t="shared" si="69"/>
        <v>1.43102420548047E-3</v>
      </c>
      <c r="M400" s="7">
        <f t="shared" si="70"/>
        <v>6.0988941648974698E-2</v>
      </c>
      <c r="N400" s="7">
        <f t="shared" si="71"/>
        <v>8.0936892179813397E-2</v>
      </c>
      <c r="O400">
        <v>2.0848884000000001</v>
      </c>
      <c r="P400">
        <v>-1.5732746</v>
      </c>
      <c r="Q400">
        <v>3.3124544999999999</v>
      </c>
      <c r="R400">
        <v>-6.8664864000000003</v>
      </c>
      <c r="S400">
        <f t="shared" si="72"/>
        <v>2.9188525309875599</v>
      </c>
      <c r="T400">
        <f t="shared" si="73"/>
        <v>-27.208406296566935</v>
      </c>
    </row>
    <row r="401" spans="1:20" x14ac:dyDescent="0.35">
      <c r="A401">
        <v>2.5</v>
      </c>
      <c r="B401">
        <v>15.1875</v>
      </c>
      <c r="C401">
        <v>-3.3710786999999999E-2</v>
      </c>
      <c r="D401">
        <v>-3.7276360000000001E-2</v>
      </c>
      <c r="E401">
        <v>0.96628168999999997</v>
      </c>
      <c r="F401">
        <v>-4.0141288999999997E-2</v>
      </c>
      <c r="G401">
        <f t="shared" si="64"/>
        <v>5.89734186744061</v>
      </c>
      <c r="H401">
        <f t="shared" si="65"/>
        <v>-7.3442894525805</v>
      </c>
      <c r="I401">
        <f t="shared" si="66"/>
        <v>5.8973401578999596</v>
      </c>
      <c r="J401">
        <f t="shared" si="67"/>
        <v>-7.34572192491762</v>
      </c>
      <c r="K401" s="7">
        <f t="shared" si="68"/>
        <v>1.70954065037421E-6</v>
      </c>
      <c r="L401" s="7">
        <f t="shared" si="69"/>
        <v>1.4324723371199599E-3</v>
      </c>
      <c r="M401" s="7">
        <f t="shared" si="70"/>
        <v>6.6457700662431105E-2</v>
      </c>
      <c r="N401" s="7">
        <f t="shared" si="71"/>
        <v>8.2779655872771099E-2</v>
      </c>
      <c r="O401">
        <v>2.1117145000000002</v>
      </c>
      <c r="P401">
        <v>-1.7011987</v>
      </c>
      <c r="Q401">
        <v>3.2177023999999999</v>
      </c>
      <c r="R401">
        <v>-7.2521801000000004</v>
      </c>
      <c r="S401">
        <f t="shared" si="72"/>
        <v>2.9258056656037223</v>
      </c>
      <c r="T401">
        <f t="shared" si="73"/>
        <v>-27.218788954108028</v>
      </c>
    </row>
    <row r="402" spans="1:20" x14ac:dyDescent="0.35">
      <c r="A402">
        <v>2.5</v>
      </c>
      <c r="B402">
        <v>15.25</v>
      </c>
      <c r="C402">
        <v>-3.6541878999999999E-2</v>
      </c>
      <c r="D402">
        <v>-3.7792244000000003E-2</v>
      </c>
      <c r="E402">
        <v>0.96345312000000005</v>
      </c>
      <c r="F402">
        <v>-4.0660572999999998E-2</v>
      </c>
      <c r="G402">
        <f t="shared" si="64"/>
        <v>5.8573072879991201</v>
      </c>
      <c r="H402">
        <f t="shared" si="65"/>
        <v>-6.8231591819558899</v>
      </c>
      <c r="I402">
        <f t="shared" si="66"/>
        <v>5.8573068443318901</v>
      </c>
      <c r="J402">
        <f t="shared" si="67"/>
        <v>-6.8245933506783203</v>
      </c>
      <c r="K402" s="7">
        <f t="shared" si="68"/>
        <v>4.4366723006561399E-7</v>
      </c>
      <c r="L402" s="7">
        <f t="shared" si="69"/>
        <v>1.43416872243041E-3</v>
      </c>
      <c r="M402" s="7">
        <f t="shared" si="70"/>
        <v>7.2416927024123903E-2</v>
      </c>
      <c r="N402" s="7">
        <f t="shared" si="71"/>
        <v>8.4375992547436093E-2</v>
      </c>
      <c r="O402">
        <v>2.1311838999999999</v>
      </c>
      <c r="P402">
        <v>-1.8385377000000001</v>
      </c>
      <c r="Q402">
        <v>3.090652</v>
      </c>
      <c r="R402">
        <v>-7.6547581999999998</v>
      </c>
      <c r="S402">
        <f t="shared" si="72"/>
        <v>2.9329378037357077</v>
      </c>
      <c r="T402">
        <f t="shared" si="73"/>
        <v>-27.229521734669412</v>
      </c>
    </row>
    <row r="403" spans="1:20" x14ac:dyDescent="0.35">
      <c r="A403">
        <v>2.5</v>
      </c>
      <c r="B403">
        <v>15.3125</v>
      </c>
      <c r="C403">
        <v>-3.9583686999999999E-2</v>
      </c>
      <c r="D403">
        <v>-3.8131977999999997E-2</v>
      </c>
      <c r="E403">
        <v>0.96041527999999998</v>
      </c>
      <c r="F403">
        <v>-4.1004771000000002E-2</v>
      </c>
      <c r="G403">
        <f t="shared" si="64"/>
        <v>5.8181758806635298</v>
      </c>
      <c r="H403">
        <f t="shared" si="65"/>
        <v>-6.3149319330737397</v>
      </c>
      <c r="I403">
        <f t="shared" si="66"/>
        <v>5.8181774273971296</v>
      </c>
      <c r="J403">
        <f t="shared" si="67"/>
        <v>-6.3163683280939296</v>
      </c>
      <c r="K403" s="7">
        <f t="shared" si="68"/>
        <v>-1.54673359986646E-6</v>
      </c>
      <c r="L403" s="7">
        <f t="shared" si="69"/>
        <v>1.43639502018988E-3</v>
      </c>
      <c r="M403" s="7">
        <f t="shared" si="70"/>
        <v>7.8893004526643495E-2</v>
      </c>
      <c r="N403" s="7">
        <f t="shared" si="71"/>
        <v>8.5648346293762598E-2</v>
      </c>
      <c r="O403">
        <v>2.1421123999999998</v>
      </c>
      <c r="P403">
        <v>-1.9859709000000001</v>
      </c>
      <c r="Q403">
        <v>2.9263664</v>
      </c>
      <c r="R403">
        <v>-8.0724715000000007</v>
      </c>
      <c r="S403">
        <f t="shared" si="72"/>
        <v>2.9395006077295438</v>
      </c>
      <c r="T403">
        <f t="shared" si="73"/>
        <v>-27.239955484641687</v>
      </c>
    </row>
    <row r="404" spans="1:20" x14ac:dyDescent="0.35">
      <c r="A404">
        <v>2.5</v>
      </c>
      <c r="B404">
        <v>15.375</v>
      </c>
      <c r="C404">
        <v>-4.2835340999999999E-2</v>
      </c>
      <c r="D404">
        <v>-3.8254992000000002E-2</v>
      </c>
      <c r="E404">
        <v>0.95716913999999997</v>
      </c>
      <c r="F404">
        <v>-4.1133630999999997E-2</v>
      </c>
      <c r="G404">
        <f t="shared" si="64"/>
        <v>5.7799349361337402</v>
      </c>
      <c r="H404">
        <f t="shared" si="65"/>
        <v>-5.8190266679731097</v>
      </c>
      <c r="I404">
        <f t="shared" si="66"/>
        <v>5.7799392482511296</v>
      </c>
      <c r="J404">
        <f t="shared" si="67"/>
        <v>-5.8204659780418204</v>
      </c>
      <c r="K404" s="7">
        <f t="shared" si="68"/>
        <v>-4.3121173893823101E-6</v>
      </c>
      <c r="L404" s="7">
        <f t="shared" si="69"/>
        <v>1.43931006871068E-3</v>
      </c>
      <c r="M404" s="7">
        <f t="shared" si="70"/>
        <v>8.5901678158213396E-2</v>
      </c>
      <c r="N404" s="7">
        <f t="shared" si="71"/>
        <v>8.6503987966285903E-2</v>
      </c>
      <c r="O404">
        <v>2.1421356999999999</v>
      </c>
      <c r="P404">
        <v>-2.1430471</v>
      </c>
      <c r="Q404">
        <v>2.7195608</v>
      </c>
      <c r="R404">
        <v>-8.5023081000000005</v>
      </c>
      <c r="S404">
        <f t="shared" si="72"/>
        <v>2.9460127055156375</v>
      </c>
      <c r="T404">
        <f t="shared" si="73"/>
        <v>-27.250342345984443</v>
      </c>
    </row>
    <row r="405" spans="1:20" x14ac:dyDescent="0.35">
      <c r="A405">
        <v>2.5</v>
      </c>
      <c r="B405">
        <v>15.4375</v>
      </c>
      <c r="C405">
        <v>-4.6288621000000002E-2</v>
      </c>
      <c r="D405">
        <v>-3.8116134000000003E-2</v>
      </c>
      <c r="E405">
        <v>0.95372290999999998</v>
      </c>
      <c r="F405">
        <v>-4.1002222999999997E-2</v>
      </c>
      <c r="G405">
        <f t="shared" si="64"/>
        <v>5.7425728908515099</v>
      </c>
      <c r="H405">
        <f t="shared" si="65"/>
        <v>-5.3349737001285602</v>
      </c>
      <c r="I405">
        <f t="shared" si="66"/>
        <v>5.7425807386553398</v>
      </c>
      <c r="J405">
        <f t="shared" si="67"/>
        <v>-5.3364167249840699</v>
      </c>
      <c r="K405" s="7">
        <f t="shared" si="68"/>
        <v>-7.8478038298967994E-6</v>
      </c>
      <c r="L405" s="7">
        <f t="shared" si="69"/>
        <v>1.4430248555097299E-3</v>
      </c>
      <c r="M405" s="7">
        <f t="shared" si="70"/>
        <v>9.3444313161675702E-2</v>
      </c>
      <c r="N405" s="7">
        <f t="shared" si="71"/>
        <v>8.6835138817286994E-2</v>
      </c>
      <c r="O405">
        <v>2.1290703999999998</v>
      </c>
      <c r="P405">
        <v>-2.3092446999999998</v>
      </c>
      <c r="Q405">
        <v>2.4650254999999999</v>
      </c>
      <c r="R405">
        <v>-8.9403433000000003</v>
      </c>
      <c r="S405">
        <f t="shared" si="72"/>
        <v>2.9525951900760519</v>
      </c>
      <c r="T405">
        <f t="shared" si="73"/>
        <v>-27.260781390875877</v>
      </c>
    </row>
    <row r="406" spans="1:20" x14ac:dyDescent="0.35">
      <c r="A406">
        <v>2.5</v>
      </c>
      <c r="B406">
        <v>15.5</v>
      </c>
      <c r="C406">
        <v>-4.9926170999999998E-2</v>
      </c>
      <c r="D406">
        <v>-3.7666630999999999E-2</v>
      </c>
      <c r="E406">
        <v>0.95009381999999998</v>
      </c>
      <c r="F406">
        <v>-4.0561953999999997E-2</v>
      </c>
      <c r="G406">
        <f t="shared" si="64"/>
        <v>5.7060768126413004</v>
      </c>
      <c r="H406">
        <f t="shared" si="65"/>
        <v>-4.8623599003279603</v>
      </c>
      <c r="I406">
        <f t="shared" si="66"/>
        <v>5.7060889036979896</v>
      </c>
      <c r="J406">
        <f t="shared" si="67"/>
        <v>-4.8638075298544301</v>
      </c>
      <c r="K406" s="7">
        <f t="shared" si="68"/>
        <v>-1.20910566892007E-5</v>
      </c>
      <c r="L406" s="7">
        <f t="shared" si="69"/>
        <v>1.44762952646982E-3</v>
      </c>
      <c r="M406" s="7">
        <f t="shared" si="70"/>
        <v>0.101502799303688</v>
      </c>
      <c r="N406" s="7">
        <f t="shared" si="71"/>
        <v>8.6519871647045804E-2</v>
      </c>
      <c r="O406">
        <v>2.1004714999999998</v>
      </c>
      <c r="P406">
        <v>-2.4834679999999998</v>
      </c>
      <c r="Q406">
        <v>2.1575839000000001</v>
      </c>
      <c r="R406">
        <v>-9.3807089999999995</v>
      </c>
      <c r="S406">
        <f t="shared" si="72"/>
        <v>2.9593405160503519</v>
      </c>
      <c r="T406">
        <f t="shared" si="73"/>
        <v>-27.271041007600235</v>
      </c>
    </row>
    <row r="407" spans="1:20" x14ac:dyDescent="0.35">
      <c r="A407">
        <v>2.5</v>
      </c>
      <c r="B407">
        <v>15.5625</v>
      </c>
      <c r="C407">
        <v>-5.3719537999999997E-2</v>
      </c>
      <c r="D407">
        <v>-3.6855722E-2</v>
      </c>
      <c r="E407">
        <v>0.94631010999999998</v>
      </c>
      <c r="F407">
        <v>-3.9762199999999998E-2</v>
      </c>
      <c r="G407">
        <f t="shared" si="64"/>
        <v>5.6704324632894396</v>
      </c>
      <c r="H407">
        <f t="shared" si="65"/>
        <v>-4.4008084528395699</v>
      </c>
      <c r="I407">
        <f t="shared" si="66"/>
        <v>5.6704493988749096</v>
      </c>
      <c r="J407">
        <f t="shared" si="67"/>
        <v>-4.4022616456859804</v>
      </c>
      <c r="K407" s="7">
        <f t="shared" si="68"/>
        <v>-1.6935585470001499E-5</v>
      </c>
      <c r="L407" s="7">
        <f t="shared" si="69"/>
        <v>1.45319284641054E-3</v>
      </c>
      <c r="M407" s="7">
        <f t="shared" si="70"/>
        <v>0.110033375325588</v>
      </c>
      <c r="N407" s="7">
        <f t="shared" si="71"/>
        <v>8.5424571117294304E-2</v>
      </c>
      <c r="O407">
        <v>2.05436</v>
      </c>
      <c r="P407">
        <v>-2.6647221000000001</v>
      </c>
      <c r="Q407">
        <v>1.7926500000000001</v>
      </c>
      <c r="R407">
        <v>-9.8162710000000004</v>
      </c>
      <c r="S407">
        <f t="shared" si="72"/>
        <v>2.9656864724489904</v>
      </c>
      <c r="T407">
        <f t="shared" si="73"/>
        <v>-27.280999768941825</v>
      </c>
    </row>
    <row r="408" spans="1:20" x14ac:dyDescent="0.35">
      <c r="A408">
        <v>2.5</v>
      </c>
      <c r="B408">
        <v>15.625</v>
      </c>
      <c r="C408">
        <v>-5.7627335000000002E-2</v>
      </c>
      <c r="D408">
        <v>-3.5633122000000003E-2</v>
      </c>
      <c r="E408">
        <v>0.94241295000000003</v>
      </c>
      <c r="F408">
        <v>-3.8552785999999999E-2</v>
      </c>
      <c r="G408">
        <f t="shared" si="64"/>
        <v>5.6356251055828004</v>
      </c>
      <c r="H408">
        <f t="shared" si="65"/>
        <v>-3.9499725014643401</v>
      </c>
      <c r="I408">
        <f t="shared" si="66"/>
        <v>5.6356473786532204</v>
      </c>
      <c r="J408">
        <f t="shared" si="67"/>
        <v>-3.9514322715459702</v>
      </c>
      <c r="K408" s="7">
        <f t="shared" si="68"/>
        <v>-2.2273070420020199E-5</v>
      </c>
      <c r="L408" s="7">
        <f t="shared" si="69"/>
        <v>1.45977008163012E-3</v>
      </c>
      <c r="M408" s="7">
        <f t="shared" si="70"/>
        <v>0.118959917376893</v>
      </c>
      <c r="N408" s="7">
        <f t="shared" si="71"/>
        <v>8.3408706216078099E-2</v>
      </c>
      <c r="O408">
        <v>1.9881622999999999</v>
      </c>
      <c r="P408">
        <v>-2.8506497999999998</v>
      </c>
      <c r="Q408">
        <v>1.3665677000000001</v>
      </c>
      <c r="R408">
        <v>-10.23818</v>
      </c>
      <c r="S408">
        <f t="shared" si="72"/>
        <v>2.9719539739248453</v>
      </c>
      <c r="T408">
        <f t="shared" si="73"/>
        <v>-27.290764964502198</v>
      </c>
    </row>
    <row r="409" spans="1:20" x14ac:dyDescent="0.35">
      <c r="A409">
        <v>2.5</v>
      </c>
      <c r="B409">
        <v>15.6875</v>
      </c>
      <c r="C409">
        <v>-6.1593879999999997E-2</v>
      </c>
      <c r="D409">
        <v>-3.3952428999999999E-2</v>
      </c>
      <c r="E409">
        <v>0.93845776000000003</v>
      </c>
      <c r="F409">
        <v>-3.6887389999999999E-2</v>
      </c>
      <c r="G409">
        <f t="shared" si="64"/>
        <v>5.6016379599908301</v>
      </c>
      <c r="H409">
        <f t="shared" si="65"/>
        <v>-3.5095272971973799</v>
      </c>
      <c r="I409">
        <f t="shared" si="66"/>
        <v>5.6016659326517599</v>
      </c>
      <c r="J409">
        <f t="shared" si="67"/>
        <v>-3.51099469875974</v>
      </c>
      <c r="K409" s="7">
        <f t="shared" si="68"/>
        <v>-2.79726609297981E-5</v>
      </c>
      <c r="L409" s="7">
        <f t="shared" si="69"/>
        <v>1.4674015623601399E-3</v>
      </c>
      <c r="M409" s="7">
        <f t="shared" si="70"/>
        <v>0.128167725620429</v>
      </c>
      <c r="N409" s="7">
        <f t="shared" si="71"/>
        <v>8.0332567242616004E-2</v>
      </c>
      <c r="O409">
        <v>1.8999457</v>
      </c>
      <c r="P409">
        <v>-3.0387871</v>
      </c>
      <c r="Q409">
        <v>0.87714369999999997</v>
      </c>
      <c r="R409">
        <v>-10.636272999999999</v>
      </c>
      <c r="S409">
        <f t="shared" si="72"/>
        <v>2.9779044718301653</v>
      </c>
      <c r="T409">
        <f t="shared" si="73"/>
        <v>-27.300569308593108</v>
      </c>
    </row>
    <row r="410" spans="1:20" x14ac:dyDescent="0.35">
      <c r="A410">
        <v>2.5</v>
      </c>
      <c r="B410">
        <v>15.75</v>
      </c>
      <c r="C410">
        <v>-6.5548760999999997E-2</v>
      </c>
      <c r="D410">
        <v>-3.1775382999999997E-2</v>
      </c>
      <c r="E410">
        <v>0.93451472999999996</v>
      </c>
      <c r="F410">
        <v>-3.4727821999999998E-2</v>
      </c>
      <c r="G410">
        <f t="shared" si="64"/>
        <v>5.5684541861868402</v>
      </c>
      <c r="H410">
        <f t="shared" si="65"/>
        <v>-3.0791700947003302</v>
      </c>
      <c r="I410">
        <f t="shared" si="66"/>
        <v>5.5684881096908301</v>
      </c>
      <c r="J410">
        <f t="shared" si="67"/>
        <v>-3.0806462172615401</v>
      </c>
      <c r="K410" s="7">
        <f t="shared" si="68"/>
        <v>-3.3923503989896597E-5</v>
      </c>
      <c r="L410" s="7">
        <f t="shared" si="69"/>
        <v>1.4761225612098801E-3</v>
      </c>
      <c r="M410" s="7">
        <f t="shared" si="70"/>
        <v>0.13749882661983401</v>
      </c>
      <c r="N410" s="7">
        <f t="shared" si="71"/>
        <v>7.6068266962288494E-2</v>
      </c>
      <c r="O410">
        <v>1.7876114000000001</v>
      </c>
      <c r="P410">
        <v>-3.2250439000000002</v>
      </c>
      <c r="Q410">
        <v>0.32431295999999998</v>
      </c>
      <c r="R410">
        <v>-10.998461000000001</v>
      </c>
      <c r="S410">
        <f t="shared" si="72"/>
        <v>2.9840608656998282</v>
      </c>
      <c r="T410">
        <f t="shared" si="73"/>
        <v>-27.31019145258324</v>
      </c>
    </row>
    <row r="411" spans="1:20" x14ac:dyDescent="0.35">
      <c r="A411">
        <v>2.5</v>
      </c>
      <c r="B411">
        <v>15.8125</v>
      </c>
      <c r="C411">
        <v>-6.9407774000000005E-2</v>
      </c>
      <c r="D411">
        <v>-2.9076761E-2</v>
      </c>
      <c r="E411">
        <v>0.93066782000000003</v>
      </c>
      <c r="F411">
        <v>-3.2048923999999999E-2</v>
      </c>
      <c r="G411">
        <f t="shared" si="64"/>
        <v>5.5360558868951601</v>
      </c>
      <c r="H411">
        <f t="shared" si="65"/>
        <v>-2.65861549870383</v>
      </c>
      <c r="I411">
        <f t="shared" si="66"/>
        <v>5.5360958906495599</v>
      </c>
      <c r="J411">
        <f t="shared" si="67"/>
        <v>-2.6601014645899399</v>
      </c>
      <c r="K411" s="7">
        <f t="shared" si="68"/>
        <v>-4.0003754399719997E-5</v>
      </c>
      <c r="L411" s="7">
        <f t="shared" si="69"/>
        <v>1.4859658861099401E-3</v>
      </c>
      <c r="M411" s="7">
        <f t="shared" si="70"/>
        <v>0.146750686045128</v>
      </c>
      <c r="N411" s="7">
        <f t="shared" si="71"/>
        <v>7.0513900515625103E-2</v>
      </c>
      <c r="O411">
        <v>1.6503748</v>
      </c>
      <c r="P411">
        <v>-3.4057409999999999</v>
      </c>
      <c r="Q411">
        <v>-0.28936714000000002</v>
      </c>
      <c r="R411">
        <v>-11.312241</v>
      </c>
      <c r="S411">
        <f t="shared" si="72"/>
        <v>2.9900372135050404</v>
      </c>
      <c r="T411">
        <f t="shared" si="73"/>
        <v>-27.319490668359737</v>
      </c>
    </row>
    <row r="412" spans="1:20" x14ac:dyDescent="0.35">
      <c r="A412">
        <v>2.5</v>
      </c>
      <c r="B412">
        <v>15.875</v>
      </c>
      <c r="C412">
        <v>-7.3075669999999995E-2</v>
      </c>
      <c r="D412">
        <v>-2.5849387000000001E-2</v>
      </c>
      <c r="E412">
        <v>0.92701202999999999</v>
      </c>
      <c r="F412">
        <v>-2.8843568E-2</v>
      </c>
      <c r="G412">
        <f t="shared" si="64"/>
        <v>5.5044249895453303</v>
      </c>
      <c r="H412">
        <f t="shared" si="65"/>
        <v>-2.2475934511601299</v>
      </c>
      <c r="I412">
        <f t="shared" si="66"/>
        <v>5.5044710786027098</v>
      </c>
      <c r="J412">
        <f t="shared" si="67"/>
        <v>-2.2490904070191302</v>
      </c>
      <c r="K412" s="7">
        <f t="shared" si="68"/>
        <v>-4.6089057379461499E-5</v>
      </c>
      <c r="L412" s="7">
        <f t="shared" si="69"/>
        <v>1.4969558590003399E-3</v>
      </c>
      <c r="M412" s="7">
        <f t="shared" si="70"/>
        <v>0.155679955580839</v>
      </c>
      <c r="N412" s="7">
        <f t="shared" si="71"/>
        <v>6.3609798228044995E-2</v>
      </c>
      <c r="O412">
        <v>1.4879658</v>
      </c>
      <c r="P412">
        <v>-3.5760122000000001</v>
      </c>
      <c r="Q412">
        <v>-0.95828343999999999</v>
      </c>
      <c r="R412">
        <v>-11.564814999999999</v>
      </c>
      <c r="S412">
        <f t="shared" si="72"/>
        <v>2.9960657402364714</v>
      </c>
      <c r="T412">
        <f t="shared" si="73"/>
        <v>-27.328839012585608</v>
      </c>
    </row>
    <row r="413" spans="1:20" x14ac:dyDescent="0.35">
      <c r="A413">
        <v>2.5</v>
      </c>
      <c r="B413">
        <v>15.9375</v>
      </c>
      <c r="C413">
        <v>-7.6450882999999997E-2</v>
      </c>
      <c r="D413">
        <v>-2.2108526999999999E-2</v>
      </c>
      <c r="E413">
        <v>0.92364860000000004</v>
      </c>
      <c r="F413">
        <v>-2.5127014E-2</v>
      </c>
      <c r="G413">
        <f t="shared" si="64"/>
        <v>5.4735420851170096</v>
      </c>
      <c r="H413">
        <f t="shared" si="65"/>
        <v>-1.84584561735359</v>
      </c>
      <c r="I413">
        <f t="shared" si="66"/>
        <v>5.4735941016138101</v>
      </c>
      <c r="J413">
        <f t="shared" si="67"/>
        <v>-1.84735470728363</v>
      </c>
      <c r="K413" s="7">
        <f t="shared" si="68"/>
        <v>-5.2016496800533198E-5</v>
      </c>
      <c r="L413" s="7">
        <f t="shared" si="69"/>
        <v>1.5090899300400601E-3</v>
      </c>
      <c r="M413" s="7">
        <f t="shared" si="70"/>
        <v>0.164012884859638</v>
      </c>
      <c r="N413" s="7">
        <f t="shared" si="71"/>
        <v>5.5354848985109999E-2</v>
      </c>
      <c r="O413">
        <v>1.3013889999999999</v>
      </c>
      <c r="P413">
        <v>-3.731112</v>
      </c>
      <c r="Q413">
        <v>-1.6734644999999999</v>
      </c>
      <c r="R413">
        <v>-11.744180999999999</v>
      </c>
      <c r="S413">
        <f t="shared" si="72"/>
        <v>3.0020590902182329</v>
      </c>
      <c r="T413">
        <f t="shared" si="73"/>
        <v>-27.338117782806023</v>
      </c>
    </row>
    <row r="414" spans="1:20" x14ac:dyDescent="0.35">
      <c r="A414">
        <v>2.5</v>
      </c>
      <c r="B414">
        <v>16</v>
      </c>
      <c r="C414">
        <v>-7.9432112999999999E-2</v>
      </c>
      <c r="D414">
        <v>-1.7894769000000001E-2</v>
      </c>
      <c r="E414">
        <v>0.92067845000000004</v>
      </c>
      <c r="F414">
        <v>-2.093975E-2</v>
      </c>
      <c r="G414">
        <f t="shared" si="64"/>
        <v>5.4433870965519002</v>
      </c>
      <c r="H414">
        <f t="shared" si="65"/>
        <v>-1.45312464790916</v>
      </c>
      <c r="I414">
        <f t="shared" si="66"/>
        <v>5.44344469258359</v>
      </c>
      <c r="J414">
        <f t="shared" si="67"/>
        <v>-1.4546469665636901</v>
      </c>
      <c r="K414" s="7">
        <f t="shared" si="68"/>
        <v>-5.7596031689755003E-5</v>
      </c>
      <c r="L414" s="7">
        <f t="shared" si="69"/>
        <v>1.5223186545301199E-3</v>
      </c>
      <c r="M414" s="7">
        <f t="shared" si="70"/>
        <v>0.17146280334591099</v>
      </c>
      <c r="N414" s="7">
        <f t="shared" si="71"/>
        <v>4.5819855046098798E-2</v>
      </c>
      <c r="O414">
        <v>1.0927522999999999</v>
      </c>
      <c r="P414">
        <v>-3.8660212</v>
      </c>
      <c r="Q414">
        <v>-2.4226030999999999</v>
      </c>
      <c r="R414">
        <v>-11.839751</v>
      </c>
      <c r="S414">
        <f t="shared" si="72"/>
        <v>3.0081122337358686</v>
      </c>
      <c r="T414">
        <f t="shared" si="73"/>
        <v>-27.347251825252002</v>
      </c>
    </row>
    <row r="415" spans="1:20" x14ac:dyDescent="0.35">
      <c r="A415">
        <v>2.5</v>
      </c>
      <c r="B415">
        <v>16.0625</v>
      </c>
      <c r="C415">
        <v>-8.1926170000000006E-2</v>
      </c>
      <c r="D415">
        <v>-1.3274546E-2</v>
      </c>
      <c r="E415">
        <v>0.91819439000000003</v>
      </c>
      <c r="F415">
        <v>-1.6347975000000001E-2</v>
      </c>
      <c r="G415">
        <f t="shared" si="64"/>
        <v>5.4139399120101404</v>
      </c>
      <c r="H415">
        <f t="shared" si="65"/>
        <v>-1.06919345735996</v>
      </c>
      <c r="I415">
        <f t="shared" si="66"/>
        <v>5.4140025494355601</v>
      </c>
      <c r="J415">
        <f t="shared" si="67"/>
        <v>-1.07072998298235</v>
      </c>
      <c r="K415" s="7">
        <f t="shared" si="68"/>
        <v>-6.2637425419786994E-5</v>
      </c>
      <c r="L415" s="7">
        <f t="shared" si="69"/>
        <v>1.5365256223900401E-3</v>
      </c>
      <c r="M415" s="7">
        <f t="shared" si="70"/>
        <v>0.17775371855413699</v>
      </c>
      <c r="N415" s="7">
        <f t="shared" si="71"/>
        <v>3.5154441525404097E-2</v>
      </c>
      <c r="O415">
        <v>0.86558033999999995</v>
      </c>
      <c r="P415">
        <v>-3.9768107000000001</v>
      </c>
      <c r="Q415">
        <v>-3.1907144999999999</v>
      </c>
      <c r="R415">
        <v>-11.844291</v>
      </c>
      <c r="S415">
        <f t="shared" si="72"/>
        <v>3.0139496284558218</v>
      </c>
      <c r="T415">
        <f t="shared" si="73"/>
        <v>-27.356212964905584</v>
      </c>
    </row>
    <row r="416" spans="1:20" x14ac:dyDescent="0.35">
      <c r="A416">
        <v>2.5</v>
      </c>
      <c r="B416">
        <v>16.125</v>
      </c>
      <c r="C416">
        <v>-8.3856049000000002E-2</v>
      </c>
      <c r="D416">
        <v>-8.3377351000000002E-3</v>
      </c>
      <c r="E416">
        <v>0.91627301000000005</v>
      </c>
      <c r="F416">
        <v>-1.1441171999999999E-2</v>
      </c>
      <c r="G416">
        <f t="shared" si="64"/>
        <v>5.3851777854912397</v>
      </c>
      <c r="H416">
        <f t="shared" si="65"/>
        <v>-0.69382345345193397</v>
      </c>
      <c r="I416">
        <f t="shared" si="66"/>
        <v>5.3852447181857501</v>
      </c>
      <c r="J416">
        <f t="shared" si="67"/>
        <v>-0.69537496792278597</v>
      </c>
      <c r="K416" s="7">
        <f t="shared" si="68"/>
        <v>-6.6932694510413198E-5</v>
      </c>
      <c r="L416" s="7">
        <f t="shared" si="69"/>
        <v>1.5515144708519999E-3</v>
      </c>
      <c r="M416" s="7">
        <f t="shared" si="70"/>
        <v>0.18264721126640901</v>
      </c>
      <c r="N416" s="7">
        <f t="shared" si="71"/>
        <v>2.3584499000883601E-2</v>
      </c>
      <c r="O416">
        <v>0.62440430999999996</v>
      </c>
      <c r="P416">
        <v>-4.0605229999999999</v>
      </c>
      <c r="Q416">
        <v>-3.9608812000000002</v>
      </c>
      <c r="R416">
        <v>-11.754041000000001</v>
      </c>
      <c r="S416">
        <f t="shared" si="72"/>
        <v>3.0191604929082061</v>
      </c>
      <c r="T416">
        <f t="shared" si="73"/>
        <v>-27.364950571819712</v>
      </c>
    </row>
    <row r="417" spans="1:20" x14ac:dyDescent="0.35">
      <c r="A417">
        <v>2.5</v>
      </c>
      <c r="B417">
        <v>16.1875</v>
      </c>
      <c r="C417">
        <v>-8.5167977000000006E-2</v>
      </c>
      <c r="D417">
        <v>-3.1922885999999999E-3</v>
      </c>
      <c r="E417">
        <v>0.9149678</v>
      </c>
      <c r="F417">
        <v>-6.3267473999999999E-3</v>
      </c>
      <c r="G417">
        <f t="shared" si="64"/>
        <v>5.3570783615691502</v>
      </c>
      <c r="H417">
        <f t="shared" si="65"/>
        <v>-0.32679590947155601</v>
      </c>
      <c r="I417">
        <f t="shared" si="66"/>
        <v>5.3571487011623997</v>
      </c>
      <c r="J417">
        <f t="shared" si="67"/>
        <v>-0.32836292225113101</v>
      </c>
      <c r="K417" s="7">
        <f t="shared" si="68"/>
        <v>-7.0339593249535399E-5</v>
      </c>
      <c r="L417" s="7">
        <f t="shared" si="69"/>
        <v>1.5670127795749901E-3</v>
      </c>
      <c r="M417" s="7">
        <f t="shared" si="70"/>
        <v>0.18596778267748201</v>
      </c>
      <c r="N417" s="7">
        <f t="shared" si="71"/>
        <v>1.1398773483978801E-2</v>
      </c>
      <c r="O417">
        <v>0.37427772999999998</v>
      </c>
      <c r="P417">
        <v>-4.1132302000000003</v>
      </c>
      <c r="Q417">
        <v>-4.7153843999999996</v>
      </c>
      <c r="R417">
        <v>-11.569433</v>
      </c>
      <c r="S417">
        <f t="shared" si="72"/>
        <v>3.0248879671171198</v>
      </c>
      <c r="T417">
        <f t="shared" si="73"/>
        <v>-27.373697684951228</v>
      </c>
    </row>
    <row r="418" spans="1:20" x14ac:dyDescent="0.35">
      <c r="A418">
        <v>2.5</v>
      </c>
      <c r="B418">
        <v>16.25</v>
      </c>
      <c r="C418">
        <v>-8.5836183999999996E-2</v>
      </c>
      <c r="D418">
        <v>2.0435136E-3</v>
      </c>
      <c r="E418">
        <v>0.91430433</v>
      </c>
      <c r="F418">
        <v>-1.1223286999999999E-3</v>
      </c>
      <c r="G418">
        <f t="shared" si="64"/>
        <v>5.3296164638971399</v>
      </c>
      <c r="H418">
        <f t="shared" si="65"/>
        <v>3.2098583020004103E-2</v>
      </c>
      <c r="I418">
        <f t="shared" si="66"/>
        <v>5.3296892210664897</v>
      </c>
      <c r="J418">
        <f t="shared" si="67"/>
        <v>3.0515888234253798E-2</v>
      </c>
      <c r="K418" s="7">
        <f t="shared" si="68"/>
        <v>-7.2757169349735307E-5</v>
      </c>
      <c r="L418" s="7">
        <f t="shared" si="69"/>
        <v>1.5826947857503001E-3</v>
      </c>
      <c r="M418" s="7">
        <f t="shared" si="70"/>
        <v>0.18762205011033301</v>
      </c>
      <c r="N418" s="7">
        <f t="shared" si="71"/>
        <v>-1.0742565417919099E-3</v>
      </c>
      <c r="O418">
        <v>0.12111356</v>
      </c>
      <c r="P418">
        <v>-4.1340539999999999</v>
      </c>
      <c r="Q418">
        <v>-5.4370887999999997</v>
      </c>
      <c r="R418">
        <v>-11.295229000000001</v>
      </c>
      <c r="S418">
        <f t="shared" si="72"/>
        <v>3.0310049462722857</v>
      </c>
      <c r="T418">
        <f t="shared" si="73"/>
        <v>-27.382463823086798</v>
      </c>
    </row>
    <row r="419" spans="1:20" x14ac:dyDescent="0.35">
      <c r="A419">
        <v>2.5</v>
      </c>
      <c r="B419">
        <v>16.3125</v>
      </c>
      <c r="C419">
        <v>-8.5864575999999998E-2</v>
      </c>
      <c r="D419">
        <v>7.2500634000000003E-3</v>
      </c>
      <c r="E419">
        <v>0.9142787</v>
      </c>
      <c r="F419">
        <v>4.0531606999999999E-3</v>
      </c>
      <c r="G419">
        <f t="shared" si="64"/>
        <v>5.3027670425140796</v>
      </c>
      <c r="H419">
        <f t="shared" si="65"/>
        <v>0.38305898441734998</v>
      </c>
      <c r="I419">
        <f t="shared" si="66"/>
        <v>5.3028412298736098</v>
      </c>
      <c r="J419">
        <f t="shared" si="67"/>
        <v>0.38146076614539598</v>
      </c>
      <c r="K419" s="7">
        <f t="shared" si="68"/>
        <v>-7.4187359530242207E-5</v>
      </c>
      <c r="L419" s="7">
        <f t="shared" si="69"/>
        <v>1.5982182719539999E-3</v>
      </c>
      <c r="M419" s="7">
        <f t="shared" si="70"/>
        <v>0.18760734633625101</v>
      </c>
      <c r="N419" s="7">
        <f t="shared" si="71"/>
        <v>-1.34955656723738E-2</v>
      </c>
      <c r="O419">
        <v>-0.1292857</v>
      </c>
      <c r="P419">
        <v>-4.1247192999999998</v>
      </c>
      <c r="Q419">
        <v>-6.1108320999999997</v>
      </c>
      <c r="R419">
        <v>-10.940275</v>
      </c>
      <c r="S419">
        <f t="shared" si="72"/>
        <v>3.0365909417421748</v>
      </c>
      <c r="T419">
        <f t="shared" si="73"/>
        <v>-27.390808828764357</v>
      </c>
    </row>
    <row r="420" spans="1:20" x14ac:dyDescent="0.35">
      <c r="A420">
        <v>2.5</v>
      </c>
      <c r="B420">
        <v>16.375</v>
      </c>
      <c r="C420">
        <v>-8.5285083999999997E-2</v>
      </c>
      <c r="D420">
        <v>1.231527E-2</v>
      </c>
      <c r="E420">
        <v>0.91485912999999996</v>
      </c>
      <c r="F420">
        <v>9.0882602E-3</v>
      </c>
      <c r="G420">
        <f t="shared" si="64"/>
        <v>5.2765032947997899</v>
      </c>
      <c r="H420">
        <f t="shared" si="65"/>
        <v>0.72627337948814297</v>
      </c>
      <c r="I420">
        <f t="shared" si="66"/>
        <v>5.2765779994289401</v>
      </c>
      <c r="J420">
        <f t="shared" si="67"/>
        <v>0.72466011145234599</v>
      </c>
      <c r="K420" s="7">
        <f t="shared" si="68"/>
        <v>-7.4704629150268404E-5</v>
      </c>
      <c r="L420" s="7">
        <f t="shared" si="69"/>
        <v>1.6132680357969799E-3</v>
      </c>
      <c r="M420" s="7">
        <f t="shared" si="70"/>
        <v>0.18600846656313799</v>
      </c>
      <c r="N420" s="7">
        <f t="shared" si="71"/>
        <v>-2.5545517592142498E-2</v>
      </c>
      <c r="O420">
        <v>-0.37172069000000002</v>
      </c>
      <c r="P420">
        <v>-4.0871798999999998</v>
      </c>
      <c r="Q420">
        <v>-6.7242785999999999</v>
      </c>
      <c r="R420">
        <v>-10.516393000000001</v>
      </c>
      <c r="S420">
        <f t="shared" si="72"/>
        <v>3.0414856837522577</v>
      </c>
      <c r="T420">
        <f t="shared" si="73"/>
        <v>-27.398585214709424</v>
      </c>
    </row>
    <row r="421" spans="1:20" x14ac:dyDescent="0.35">
      <c r="A421">
        <v>2.5</v>
      </c>
      <c r="B421">
        <v>16.4375</v>
      </c>
      <c r="C421">
        <v>-8.4153138000000002E-2</v>
      </c>
      <c r="D421">
        <v>1.7141934000000001E-2</v>
      </c>
      <c r="E421">
        <v>0.91599050999999998</v>
      </c>
      <c r="F421">
        <v>1.3886275999999999E-2</v>
      </c>
      <c r="G421">
        <f t="shared" si="64"/>
        <v>5.2507994964724398</v>
      </c>
      <c r="H421">
        <f t="shared" si="65"/>
        <v>1.06191858353896</v>
      </c>
      <c r="I421">
        <f t="shared" si="66"/>
        <v>5.2508739645634899</v>
      </c>
      <c r="J421">
        <f t="shared" si="67"/>
        <v>1.0602909926603701</v>
      </c>
      <c r="K421" s="7">
        <f t="shared" si="68"/>
        <v>-7.4468091050050602E-5</v>
      </c>
      <c r="L421" s="7">
        <f t="shared" si="69"/>
        <v>1.62759087858988E-3</v>
      </c>
      <c r="M421" s="7">
        <f t="shared" si="70"/>
        <v>0.18298345731534699</v>
      </c>
      <c r="N421" s="7">
        <f t="shared" si="71"/>
        <v>-3.6949222721144502E-2</v>
      </c>
      <c r="O421">
        <v>-0.60145919000000003</v>
      </c>
      <c r="P421">
        <v>-4.0226417999999997</v>
      </c>
      <c r="Q421">
        <v>-7.2687793000000003</v>
      </c>
      <c r="R421">
        <v>-10.037585999999999</v>
      </c>
      <c r="S421">
        <f t="shared" si="72"/>
        <v>3.0469593325080879</v>
      </c>
      <c r="T421">
        <f t="shared" si="73"/>
        <v>-27.40662623349559</v>
      </c>
    </row>
    <row r="422" spans="1:20" x14ac:dyDescent="0.35">
      <c r="A422">
        <v>2.5</v>
      </c>
      <c r="B422">
        <v>16.5</v>
      </c>
      <c r="C422">
        <v>-8.2541245999999999E-2</v>
      </c>
      <c r="D422">
        <v>2.1652755999999999E-2</v>
      </c>
      <c r="E422">
        <v>0.91760070999999999</v>
      </c>
      <c r="F422">
        <v>1.8370246999999999E-2</v>
      </c>
      <c r="G422">
        <f t="shared" si="64"/>
        <v>5.22562948305095</v>
      </c>
      <c r="H422">
        <f t="shared" si="65"/>
        <v>1.39015975592482</v>
      </c>
      <c r="I422">
        <f t="shared" si="66"/>
        <v>5.2257031491489903</v>
      </c>
      <c r="J422">
        <f t="shared" si="67"/>
        <v>1.3885187388057401</v>
      </c>
      <c r="K422" s="7">
        <f t="shared" si="68"/>
        <v>-7.3666098040270396E-5</v>
      </c>
      <c r="L422" s="7">
        <f t="shared" si="69"/>
        <v>1.64101711907993E-3</v>
      </c>
      <c r="M422" s="7">
        <f t="shared" si="70"/>
        <v>0.17874232834693299</v>
      </c>
      <c r="N422" s="7">
        <f t="shared" si="71"/>
        <v>-4.7493526754940701E-2</v>
      </c>
      <c r="O422">
        <v>-0.81482546</v>
      </c>
      <c r="P422">
        <v>-3.9349736000000002</v>
      </c>
      <c r="Q422">
        <v>-7.7391987999999996</v>
      </c>
      <c r="R422">
        <v>-9.5184300000000004</v>
      </c>
      <c r="S422">
        <f t="shared" si="72"/>
        <v>3.0528344538063372</v>
      </c>
      <c r="T422">
        <f t="shared" si="73"/>
        <v>-27.414657638688798</v>
      </c>
    </row>
    <row r="423" spans="1:20" x14ac:dyDescent="0.35">
      <c r="A423">
        <v>2.5</v>
      </c>
      <c r="B423">
        <v>16.5625</v>
      </c>
      <c r="C423">
        <v>-8.0528170999999996E-2</v>
      </c>
      <c r="D423">
        <v>2.5795009000000001E-2</v>
      </c>
      <c r="E423">
        <v>0.91973015000000002</v>
      </c>
      <c r="F423">
        <v>2.2597484000000001E-2</v>
      </c>
      <c r="G423">
        <f t="shared" si="64"/>
        <v>5.2024290392150201</v>
      </c>
      <c r="H423">
        <f t="shared" si="65"/>
        <v>1.7169766621578599</v>
      </c>
      <c r="I423">
        <f t="shared" si="66"/>
        <v>5.20256073807957</v>
      </c>
      <c r="J423">
        <f t="shared" si="67"/>
        <v>1.71537831665617</v>
      </c>
      <c r="K423" s="7">
        <f t="shared" si="68"/>
        <v>-1.3169886454989001E-4</v>
      </c>
      <c r="L423" s="7">
        <f t="shared" si="69"/>
        <v>1.59834550168991E-3</v>
      </c>
      <c r="M423" s="7">
        <f t="shared" si="70"/>
        <v>0.17336575113240299</v>
      </c>
      <c r="N423" s="7">
        <f t="shared" si="71"/>
        <v>-5.7161821901786702E-2</v>
      </c>
      <c r="O423">
        <v>-1.0099792000000001</v>
      </c>
      <c r="P423">
        <v>-3.8294522999999998</v>
      </c>
      <c r="Q423">
        <v>-8.1338612000000001</v>
      </c>
      <c r="R423">
        <v>-8.9723738999999991</v>
      </c>
      <c r="S423">
        <f t="shared" si="72"/>
        <v>3.0578880834876823</v>
      </c>
      <c r="T423">
        <f t="shared" si="73"/>
        <v>-27.418981359444675</v>
      </c>
    </row>
    <row r="424" spans="1:20" x14ac:dyDescent="0.35">
      <c r="A424">
        <v>2.5</v>
      </c>
      <c r="B424">
        <v>16.625</v>
      </c>
      <c r="C424">
        <v>-7.8204237999999995E-2</v>
      </c>
      <c r="D424">
        <v>2.9535129E-2</v>
      </c>
      <c r="E424">
        <v>0.92177200999999997</v>
      </c>
      <c r="F424">
        <v>2.6328298E-2</v>
      </c>
      <c r="G424">
        <f t="shared" si="64"/>
        <v>5.1695307308393899</v>
      </c>
      <c r="H424">
        <f t="shared" si="65"/>
        <v>2.0254430678099098</v>
      </c>
      <c r="I424">
        <f t="shared" si="66"/>
        <v>5.1695214257246</v>
      </c>
      <c r="J424">
        <f t="shared" si="67"/>
        <v>2.0238396183473801</v>
      </c>
      <c r="K424" s="7">
        <f t="shared" si="68"/>
        <v>9.3051147898037795E-6</v>
      </c>
      <c r="L424" s="7">
        <f t="shared" si="69"/>
        <v>1.60344946252966E-3</v>
      </c>
      <c r="M424" s="7">
        <f t="shared" si="70"/>
        <v>0.16773334825698</v>
      </c>
      <c r="N424" s="7">
        <f t="shared" si="71"/>
        <v>-6.5666696694840002E-2</v>
      </c>
      <c r="O424">
        <v>-1.1841568</v>
      </c>
      <c r="P424">
        <v>-3.7104151999999999</v>
      </c>
      <c r="Q424">
        <v>-8.4550725</v>
      </c>
      <c r="R424">
        <v>-8.4153797000000008</v>
      </c>
      <c r="S424">
        <f t="shared" si="72"/>
        <v>3.0628703074500621</v>
      </c>
      <c r="T424">
        <f t="shared" si="73"/>
        <v>-27.434633430268637</v>
      </c>
    </row>
    <row r="425" spans="1:20" x14ac:dyDescent="0.35">
      <c r="A425">
        <v>2.5</v>
      </c>
      <c r="B425">
        <v>16.6875</v>
      </c>
      <c r="C425">
        <v>-7.5653275000000006E-2</v>
      </c>
      <c r="D425">
        <v>3.2853304E-2</v>
      </c>
      <c r="E425">
        <v>0.92432384000000001</v>
      </c>
      <c r="F425">
        <v>2.9632459999999999E-2</v>
      </c>
      <c r="G425">
        <f t="shared" si="64"/>
        <v>5.1455574077418698</v>
      </c>
      <c r="H425">
        <f t="shared" si="65"/>
        <v>2.33192270859819</v>
      </c>
      <c r="I425">
        <f t="shared" si="66"/>
        <v>5.1455485586522496</v>
      </c>
      <c r="J425">
        <f t="shared" si="67"/>
        <v>2.3303122539197898</v>
      </c>
      <c r="K425" s="7">
        <f t="shared" si="68"/>
        <v>8.8490896201776098E-6</v>
      </c>
      <c r="L425" s="7">
        <f t="shared" si="69"/>
        <v>1.61045467840015E-3</v>
      </c>
      <c r="M425" s="7">
        <f t="shared" si="70"/>
        <v>0.161266947676942</v>
      </c>
      <c r="N425" s="7">
        <f t="shared" si="71"/>
        <v>-7.3034456878636897E-2</v>
      </c>
      <c r="O425">
        <v>-1.3382092999999999</v>
      </c>
      <c r="P425">
        <v>-3.5805433</v>
      </c>
      <c r="Q425">
        <v>-8.7062352999999995</v>
      </c>
      <c r="R425">
        <v>-7.8569446000000003</v>
      </c>
      <c r="S425">
        <f t="shared" si="72"/>
        <v>3.0680153169523634</v>
      </c>
      <c r="T425">
        <f t="shared" si="73"/>
        <v>-27.442351439624293</v>
      </c>
    </row>
    <row r="426" spans="1:20" x14ac:dyDescent="0.35">
      <c r="A426">
        <v>2.5</v>
      </c>
      <c r="B426">
        <v>16.75</v>
      </c>
      <c r="C426">
        <v>-7.2949639999999996E-2</v>
      </c>
      <c r="D426">
        <v>3.5757519000000001E-2</v>
      </c>
      <c r="E426">
        <v>0.92702739999999995</v>
      </c>
      <c r="F426">
        <v>3.2522928999999999E-2</v>
      </c>
      <c r="G426">
        <f t="shared" si="64"/>
        <v>5.1220163069241202</v>
      </c>
      <c r="H426">
        <f t="shared" si="65"/>
        <v>2.6314802426452299</v>
      </c>
      <c r="I426">
        <f t="shared" si="66"/>
        <v>5.1220074425186803</v>
      </c>
      <c r="J426">
        <f t="shared" si="67"/>
        <v>2.6298629147419401</v>
      </c>
      <c r="K426" s="7">
        <f t="shared" si="68"/>
        <v>8.8644054399011907E-6</v>
      </c>
      <c r="L426" s="7">
        <f t="shared" si="69"/>
        <v>1.6173279032898301E-3</v>
      </c>
      <c r="M426" s="7">
        <f t="shared" si="70"/>
        <v>0.15450471891548101</v>
      </c>
      <c r="N426" s="7">
        <f t="shared" si="71"/>
        <v>-7.9329488484430097E-2</v>
      </c>
      <c r="O426">
        <v>-1.4719854999999999</v>
      </c>
      <c r="P426">
        <v>-3.4441657000000001</v>
      </c>
      <c r="Q426">
        <v>-8.8933172999999996</v>
      </c>
      <c r="R426">
        <v>-7.3073693000000004</v>
      </c>
      <c r="S426">
        <f t="shared" si="72"/>
        <v>3.0730939386020748</v>
      </c>
      <c r="T426">
        <f t="shared" si="73"/>
        <v>-27.449943975831289</v>
      </c>
    </row>
    <row r="427" spans="1:20" x14ac:dyDescent="0.35">
      <c r="A427">
        <v>2.5</v>
      </c>
      <c r="B427">
        <v>16.8125</v>
      </c>
      <c r="C427">
        <v>-7.0160280000000005E-2</v>
      </c>
      <c r="D427">
        <v>3.8263822000000003E-2</v>
      </c>
      <c r="E427">
        <v>0.92981570999999996</v>
      </c>
      <c r="F427">
        <v>3.5015682999999999E-2</v>
      </c>
      <c r="G427">
        <f t="shared" si="64"/>
        <v>5.0988979702221497</v>
      </c>
      <c r="H427">
        <f t="shared" si="65"/>
        <v>2.92421784245535</v>
      </c>
      <c r="I427">
        <f t="shared" si="66"/>
        <v>5.0988886027677998</v>
      </c>
      <c r="J427">
        <f t="shared" si="67"/>
        <v>2.9225937382445801</v>
      </c>
      <c r="K427" s="7">
        <f t="shared" si="68"/>
        <v>9.3674543499844293E-6</v>
      </c>
      <c r="L427" s="7">
        <f t="shared" si="69"/>
        <v>1.62410421076986E-3</v>
      </c>
      <c r="M427" s="7">
        <f t="shared" si="70"/>
        <v>0.14762177917189401</v>
      </c>
      <c r="N427" s="7">
        <f t="shared" si="71"/>
        <v>-8.4614221068117904E-2</v>
      </c>
      <c r="O427">
        <v>-1.5864666999999999</v>
      </c>
      <c r="P427">
        <v>-3.3046435999999999</v>
      </c>
      <c r="Q427">
        <v>-9.0229703000000008</v>
      </c>
      <c r="R427">
        <v>-6.7741711999999996</v>
      </c>
      <c r="S427">
        <f t="shared" si="72"/>
        <v>3.0779389481295905</v>
      </c>
      <c r="T427">
        <f t="shared" si="73"/>
        <v>-27.457538282029429</v>
      </c>
    </row>
    <row r="428" spans="1:20" x14ac:dyDescent="0.35">
      <c r="A428">
        <v>2.5</v>
      </c>
      <c r="B428">
        <v>16.875</v>
      </c>
      <c r="C428">
        <v>-6.7341640999999994E-2</v>
      </c>
      <c r="D428">
        <v>4.0397209000000003E-2</v>
      </c>
      <c r="E428">
        <v>0.93263227999999998</v>
      </c>
      <c r="F428">
        <v>3.7135678999999998E-2</v>
      </c>
      <c r="G428">
        <f t="shared" si="64"/>
        <v>5.0761944587586996</v>
      </c>
      <c r="H428">
        <f t="shared" si="65"/>
        <v>3.2102290223360201</v>
      </c>
      <c r="I428">
        <f t="shared" si="66"/>
        <v>5.0761840785801304</v>
      </c>
      <c r="J428">
        <f t="shared" si="67"/>
        <v>3.20859821914354</v>
      </c>
      <c r="K428" s="7">
        <f t="shared" si="68"/>
        <v>1.0380178569136E-5</v>
      </c>
      <c r="L428" s="7">
        <f t="shared" si="69"/>
        <v>1.6308031924800999E-3</v>
      </c>
      <c r="M428" s="7">
        <f t="shared" si="70"/>
        <v>0.140759771625696</v>
      </c>
      <c r="N428" s="7">
        <f t="shared" si="71"/>
        <v>-8.8972650631611402E-2</v>
      </c>
      <c r="O428">
        <v>-1.6828015999999999</v>
      </c>
      <c r="P428">
        <v>-3.1642636999999998</v>
      </c>
      <c r="Q428">
        <v>-9.1022753000000005</v>
      </c>
      <c r="R428">
        <v>-6.2629311000000003</v>
      </c>
      <c r="S428">
        <f t="shared" si="72"/>
        <v>3.0828896235666186</v>
      </c>
      <c r="T428">
        <f t="shared" si="73"/>
        <v>-27.464914631166206</v>
      </c>
    </row>
    <row r="429" spans="1:20" x14ac:dyDescent="0.35">
      <c r="A429">
        <v>2.5</v>
      </c>
      <c r="B429">
        <v>16.9375</v>
      </c>
      <c r="C429">
        <v>-6.4539553E-2</v>
      </c>
      <c r="D429">
        <v>4.2188264000000003E-2</v>
      </c>
      <c r="E429">
        <v>0.93543124</v>
      </c>
      <c r="F429">
        <v>3.8913496999999998E-2</v>
      </c>
      <c r="G429">
        <f t="shared" si="64"/>
        <v>5.0538991883859303</v>
      </c>
      <c r="H429">
        <f t="shared" si="65"/>
        <v>3.4895988753107798</v>
      </c>
      <c r="I429">
        <f t="shared" si="66"/>
        <v>5.0538872658076697</v>
      </c>
      <c r="J429">
        <f t="shared" si="67"/>
        <v>3.4879614483767898</v>
      </c>
      <c r="K429" s="7">
        <f t="shared" si="68"/>
        <v>1.19225782606591E-5</v>
      </c>
      <c r="L429" s="7">
        <f t="shared" si="69"/>
        <v>1.63742693399005E-3</v>
      </c>
      <c r="M429" s="7">
        <f t="shared" si="70"/>
        <v>0.13402816289556799</v>
      </c>
      <c r="N429" s="7">
        <f t="shared" si="71"/>
        <v>-9.2500097566342407E-2</v>
      </c>
      <c r="O429">
        <v>-1.7625424999999999</v>
      </c>
      <c r="P429">
        <v>-3.0252121000000001</v>
      </c>
      <c r="Q429">
        <v>-9.1383569999999992</v>
      </c>
      <c r="R429">
        <v>-5.7774504999999996</v>
      </c>
      <c r="S429">
        <f t="shared" si="72"/>
        <v>3.0879329710013015</v>
      </c>
      <c r="T429">
        <f t="shared" si="73"/>
        <v>-27.472273738612675</v>
      </c>
    </row>
    <row r="430" spans="1:20" x14ac:dyDescent="0.35">
      <c r="A430">
        <v>2.5</v>
      </c>
      <c r="B430">
        <v>17</v>
      </c>
      <c r="C430">
        <v>-6.1789120000000003E-2</v>
      </c>
      <c r="D430">
        <v>4.3669988E-2</v>
      </c>
      <c r="E430">
        <v>0.93822967999999995</v>
      </c>
      <c r="F430">
        <v>4.0370365999999998E-2</v>
      </c>
      <c r="G430">
        <f t="shared" si="64"/>
        <v>5.0334023472510303</v>
      </c>
      <c r="H430">
        <f t="shared" si="65"/>
        <v>3.7644353528278498</v>
      </c>
      <c r="I430">
        <f t="shared" si="66"/>
        <v>5.0334144689548603</v>
      </c>
      <c r="J430">
        <f t="shared" si="67"/>
        <v>3.7627855773342702</v>
      </c>
      <c r="K430" s="7">
        <f t="shared" si="68"/>
        <v>-1.2121703830025901E-5</v>
      </c>
      <c r="L430" s="7">
        <f t="shared" si="69"/>
        <v>1.64977549357959E-3</v>
      </c>
      <c r="M430" s="7">
        <f t="shared" si="70"/>
        <v>0.127448165632529</v>
      </c>
      <c r="N430" s="7">
        <f t="shared" si="71"/>
        <v>-9.52753091281522E-2</v>
      </c>
      <c r="O430">
        <v>-1.8278901000000001</v>
      </c>
      <c r="P430">
        <v>-2.8897762</v>
      </c>
      <c r="Q430">
        <v>-9.1378909000000004</v>
      </c>
      <c r="R430">
        <v>-5.3199475999999999</v>
      </c>
      <c r="S430">
        <f t="shared" si="72"/>
        <v>3.0923050262053722</v>
      </c>
      <c r="T430">
        <f t="shared" si="73"/>
        <v>-27.477792767171834</v>
      </c>
    </row>
    <row r="431" spans="1:20" x14ac:dyDescent="0.35">
      <c r="A431">
        <v>2.625</v>
      </c>
      <c r="B431">
        <v>15</v>
      </c>
      <c r="C431">
        <v>-2.8637254000000001E-2</v>
      </c>
      <c r="D431">
        <v>-3.8461295E-2</v>
      </c>
      <c r="E431">
        <v>0.97135146999999999</v>
      </c>
      <c r="F431">
        <v>-4.1455305999999997E-2</v>
      </c>
      <c r="G431">
        <f t="shared" si="64"/>
        <v>5.4251013361227303</v>
      </c>
      <c r="H431">
        <f t="shared" si="65"/>
        <v>-8.2650687764340809</v>
      </c>
      <c r="I431">
        <f t="shared" si="66"/>
        <v>5.4250979391492704</v>
      </c>
      <c r="J431">
        <f t="shared" si="67"/>
        <v>-8.26656579545954</v>
      </c>
      <c r="K431" s="7">
        <f t="shared" si="68"/>
        <v>3.3969734598571201E-6</v>
      </c>
      <c r="L431" s="7">
        <f t="shared" si="69"/>
        <v>1.49701902545907E-3</v>
      </c>
      <c r="M431" s="7">
        <f t="shared" si="70"/>
        <v>5.5489619964590599E-2</v>
      </c>
      <c r="N431" s="7">
        <f t="shared" si="71"/>
        <v>8.4553053151749297E-2</v>
      </c>
      <c r="O431">
        <v>2.0946634</v>
      </c>
      <c r="P431">
        <v>-1.3931851</v>
      </c>
      <c r="Q431">
        <v>3.5599202999999999</v>
      </c>
      <c r="R431">
        <v>-6.3710874999999998</v>
      </c>
      <c r="S431">
        <f t="shared" si="72"/>
        <v>2.9011013898632716</v>
      </c>
      <c r="T431">
        <f t="shared" si="73"/>
        <v>-27.176866531563896</v>
      </c>
    </row>
    <row r="432" spans="1:20" x14ac:dyDescent="0.35">
      <c r="A432">
        <v>2.625</v>
      </c>
      <c r="B432">
        <v>15.0625</v>
      </c>
      <c r="C432">
        <v>-3.1055876E-2</v>
      </c>
      <c r="D432">
        <v>-3.9389037000000002E-2</v>
      </c>
      <c r="E432">
        <v>0.96893415999999999</v>
      </c>
      <c r="F432">
        <v>-4.2391950999999997E-2</v>
      </c>
      <c r="G432">
        <f t="shared" si="64"/>
        <v>5.3898578715884602</v>
      </c>
      <c r="H432">
        <f t="shared" si="65"/>
        <v>-7.7530319265810803</v>
      </c>
      <c r="I432">
        <f t="shared" si="66"/>
        <v>5.3898551439653701</v>
      </c>
      <c r="J432">
        <f t="shared" si="67"/>
        <v>-7.7545333951568001</v>
      </c>
      <c r="K432" s="7">
        <f t="shared" si="68"/>
        <v>2.72762309005969E-6</v>
      </c>
      <c r="L432" s="7">
        <f t="shared" si="69"/>
        <v>1.50146857571976E-3</v>
      </c>
      <c r="M432" s="7">
        <f t="shared" si="70"/>
        <v>6.0435681718244698E-2</v>
      </c>
      <c r="N432" s="7">
        <f t="shared" si="71"/>
        <v>8.6950483756119107E-2</v>
      </c>
      <c r="O432">
        <v>2.1312612</v>
      </c>
      <c r="P432">
        <v>-1.5055097</v>
      </c>
      <c r="Q432">
        <v>3.5164561999999999</v>
      </c>
      <c r="R432">
        <v>-6.7315708000000001</v>
      </c>
      <c r="S432">
        <f t="shared" si="72"/>
        <v>2.9105456439182338</v>
      </c>
      <c r="T432">
        <f t="shared" si="73"/>
        <v>-27.18106488440495</v>
      </c>
    </row>
    <row r="433" spans="1:20" x14ac:dyDescent="0.35">
      <c r="A433">
        <v>2.625</v>
      </c>
      <c r="B433">
        <v>15.125</v>
      </c>
      <c r="C433">
        <v>-3.3664201999999997E-2</v>
      </c>
      <c r="D433">
        <v>-4.0221299000000002E-2</v>
      </c>
      <c r="E433">
        <v>0.96632726000000002</v>
      </c>
      <c r="F433">
        <v>-4.3231195E-2</v>
      </c>
      <c r="G433">
        <f t="shared" si="64"/>
        <v>5.3561090854239604</v>
      </c>
      <c r="H433">
        <f t="shared" si="65"/>
        <v>-7.2568807041175996</v>
      </c>
      <c r="I433">
        <f t="shared" si="66"/>
        <v>5.3561070812981004</v>
      </c>
      <c r="J433">
        <f t="shared" si="67"/>
        <v>-7.2583856615583704</v>
      </c>
      <c r="K433" s="7">
        <f t="shared" si="68"/>
        <v>2.0041258599334802E-6</v>
      </c>
      <c r="L433" s="7">
        <f t="shared" si="69"/>
        <v>1.5049574407708401E-3</v>
      </c>
      <c r="M433" s="7">
        <f t="shared" si="70"/>
        <v>6.5822446146200003E-2</v>
      </c>
      <c r="N433" s="7">
        <f t="shared" si="71"/>
        <v>8.9199990228814793E-2</v>
      </c>
      <c r="O433">
        <v>2.1640252000000002</v>
      </c>
      <c r="P433">
        <v>-1.6265217000000001</v>
      </c>
      <c r="Q433">
        <v>3.4490299000000002</v>
      </c>
      <c r="R433">
        <v>-7.1093089000000003</v>
      </c>
      <c r="S433">
        <f t="shared" si="72"/>
        <v>2.9188710989484004</v>
      </c>
      <c r="T433">
        <f t="shared" si="73"/>
        <v>-27.190785887520025</v>
      </c>
    </row>
    <row r="434" spans="1:20" x14ac:dyDescent="0.35">
      <c r="A434">
        <v>2.625</v>
      </c>
      <c r="B434">
        <v>15.1875</v>
      </c>
      <c r="C434">
        <v>-3.6480015999999997E-2</v>
      </c>
      <c r="D434">
        <v>-4.0936732000000003E-2</v>
      </c>
      <c r="E434">
        <v>0.96351368000000004</v>
      </c>
      <c r="F434">
        <v>-4.3953306999999997E-2</v>
      </c>
      <c r="G434">
        <f t="shared" si="64"/>
        <v>5.3231431478120204</v>
      </c>
      <c r="H434">
        <f t="shared" si="65"/>
        <v>-6.77397018215978</v>
      </c>
      <c r="I434">
        <f t="shared" si="66"/>
        <v>5.3231422707495897</v>
      </c>
      <c r="J434">
        <f t="shared" si="67"/>
        <v>-6.7754784757367696</v>
      </c>
      <c r="K434" s="7">
        <f t="shared" si="68"/>
        <v>8.7706243068197399E-7</v>
      </c>
      <c r="L434" s="7">
        <f t="shared" si="69"/>
        <v>1.50829357698967E-3</v>
      </c>
      <c r="M434" s="7">
        <f t="shared" si="70"/>
        <v>7.1698957440514896E-2</v>
      </c>
      <c r="N434" s="7">
        <f t="shared" si="71"/>
        <v>9.1260897823526893E-2</v>
      </c>
      <c r="O434">
        <v>2.1919219000000001</v>
      </c>
      <c r="P434">
        <v>-1.7573433000000001</v>
      </c>
      <c r="Q434">
        <v>3.3537439</v>
      </c>
      <c r="R434">
        <v>-7.5050458999999998</v>
      </c>
      <c r="S434">
        <f t="shared" si="72"/>
        <v>2.925988968682645</v>
      </c>
      <c r="T434">
        <f t="shared" si="73"/>
        <v>-27.201377669269618</v>
      </c>
    </row>
    <row r="435" spans="1:20" x14ac:dyDescent="0.35">
      <c r="A435">
        <v>2.625</v>
      </c>
      <c r="B435">
        <v>15.25</v>
      </c>
      <c r="C435">
        <v>-3.9514419000000002E-2</v>
      </c>
      <c r="D435">
        <v>-4.1504355E-2</v>
      </c>
      <c r="E435">
        <v>0.96048266999999998</v>
      </c>
      <c r="F435">
        <v>-4.4528405E-2</v>
      </c>
      <c r="G435">
        <f t="shared" si="64"/>
        <v>5.2908669352853197</v>
      </c>
      <c r="H435">
        <f t="shared" si="65"/>
        <v>-6.3030941140190997</v>
      </c>
      <c r="I435">
        <f t="shared" si="66"/>
        <v>5.2908677660075396</v>
      </c>
      <c r="J435">
        <f t="shared" si="67"/>
        <v>-6.3046061399637603</v>
      </c>
      <c r="K435" s="7">
        <f t="shared" si="68"/>
        <v>-8.3072221990221404E-7</v>
      </c>
      <c r="L435" s="7">
        <f t="shared" si="69"/>
        <v>1.5120259446605999E-3</v>
      </c>
      <c r="M435" s="7">
        <f t="shared" si="70"/>
        <v>7.8103972297799196E-2</v>
      </c>
      <c r="N435" s="7">
        <f t="shared" si="71"/>
        <v>9.3068813109997303E-2</v>
      </c>
      <c r="O435">
        <v>2.2129511000000002</v>
      </c>
      <c r="P435">
        <v>-1.8981676999999999</v>
      </c>
      <c r="Q435">
        <v>3.2258960000000001</v>
      </c>
      <c r="R435">
        <v>-7.9179437000000004</v>
      </c>
      <c r="S435">
        <f t="shared" si="72"/>
        <v>2.9325470971002527</v>
      </c>
      <c r="T435">
        <f t="shared" si="73"/>
        <v>-27.211763022114063</v>
      </c>
    </row>
    <row r="436" spans="1:20" x14ac:dyDescent="0.35">
      <c r="A436">
        <v>2.625</v>
      </c>
      <c r="B436">
        <v>15.3125</v>
      </c>
      <c r="C436">
        <v>-4.2773060000000002E-2</v>
      </c>
      <c r="D436">
        <v>-4.1887199E-2</v>
      </c>
      <c r="E436">
        <v>0.95722879000000005</v>
      </c>
      <c r="F436">
        <v>-4.4920034999999997E-2</v>
      </c>
      <c r="G436">
        <f t="shared" si="64"/>
        <v>5.2592684696020902</v>
      </c>
      <c r="H436">
        <f t="shared" si="65"/>
        <v>-5.8435409583684903</v>
      </c>
      <c r="I436">
        <f t="shared" si="66"/>
        <v>5.2592716941131004</v>
      </c>
      <c r="J436">
        <f t="shared" si="67"/>
        <v>-5.8450573700760904</v>
      </c>
      <c r="K436" s="7">
        <f t="shared" si="68"/>
        <v>-3.2245110102024901E-6</v>
      </c>
      <c r="L436" s="7">
        <f t="shared" si="69"/>
        <v>1.5164117076000799E-3</v>
      </c>
      <c r="M436" s="7">
        <f t="shared" si="70"/>
        <v>8.50675745054464E-2</v>
      </c>
      <c r="N436" s="7">
        <f t="shared" si="71"/>
        <v>9.4542530265952704E-2</v>
      </c>
      <c r="O436">
        <v>2.2249946</v>
      </c>
      <c r="P436">
        <v>-2.0488794000000001</v>
      </c>
      <c r="Q436">
        <v>3.0605459000000002</v>
      </c>
      <c r="R436">
        <v>-8.3464749999999999</v>
      </c>
      <c r="S436">
        <f t="shared" si="72"/>
        <v>2.9391548726390617</v>
      </c>
      <c r="T436">
        <f t="shared" si="73"/>
        <v>-27.222332017363573</v>
      </c>
    </row>
    <row r="437" spans="1:20" x14ac:dyDescent="0.35">
      <c r="A437">
        <v>2.625</v>
      </c>
      <c r="B437">
        <v>15.375</v>
      </c>
      <c r="C437">
        <v>-4.6255464000000003E-2</v>
      </c>
      <c r="D437">
        <v>-4.2042955E-2</v>
      </c>
      <c r="E437">
        <v>0.95375255000000003</v>
      </c>
      <c r="F437">
        <v>-4.5086157000000002E-2</v>
      </c>
      <c r="G437">
        <f t="shared" si="64"/>
        <v>5.2283446311241697</v>
      </c>
      <c r="H437">
        <f t="shared" si="65"/>
        <v>-5.3948082200767704</v>
      </c>
      <c r="I437">
        <f t="shared" si="66"/>
        <v>5.2283509533445303</v>
      </c>
      <c r="J437">
        <f t="shared" si="67"/>
        <v>-5.3963298053598896</v>
      </c>
      <c r="K437" s="7">
        <f t="shared" si="68"/>
        <v>-6.3222203605661801E-6</v>
      </c>
      <c r="L437" s="7">
        <f t="shared" si="69"/>
        <v>1.52158528311919E-3</v>
      </c>
      <c r="M437" s="7">
        <f t="shared" si="70"/>
        <v>9.2609257867379696E-2</v>
      </c>
      <c r="N437" s="7">
        <f t="shared" si="71"/>
        <v>9.5584650483785005E-2</v>
      </c>
      <c r="O437">
        <v>2.2258743999999999</v>
      </c>
      <c r="P437">
        <v>-2.2091466</v>
      </c>
      <c r="Q437">
        <v>2.8524696</v>
      </c>
      <c r="R437">
        <v>-8.7878114000000007</v>
      </c>
      <c r="S437">
        <f t="shared" si="72"/>
        <v>2.9461106796470884</v>
      </c>
      <c r="T437">
        <f t="shared" si="73"/>
        <v>-27.232992515093542</v>
      </c>
    </row>
    <row r="438" spans="1:20" x14ac:dyDescent="0.35">
      <c r="A438">
        <v>2.625</v>
      </c>
      <c r="B438">
        <v>15.4375</v>
      </c>
      <c r="C438">
        <v>-4.9953650000000002E-2</v>
      </c>
      <c r="D438">
        <v>-4.1924502000000002E-2</v>
      </c>
      <c r="E438">
        <v>0.95006188999999996</v>
      </c>
      <c r="F438">
        <v>-4.4979826000000001E-2</v>
      </c>
      <c r="G438">
        <f t="shared" si="64"/>
        <v>5.1980909845963401</v>
      </c>
      <c r="H438">
        <f t="shared" si="65"/>
        <v>-4.956493987739</v>
      </c>
      <c r="I438">
        <f t="shared" si="66"/>
        <v>5.1981010882273004</v>
      </c>
      <c r="J438">
        <f t="shared" si="67"/>
        <v>-4.9580216224343401</v>
      </c>
      <c r="K438" s="7">
        <f t="shared" si="68"/>
        <v>-1.0103630960323101E-5</v>
      </c>
      <c r="L438" s="7">
        <f t="shared" si="69"/>
        <v>1.5276346953401201E-3</v>
      </c>
      <c r="M438" s="7">
        <f t="shared" si="70"/>
        <v>0.10073403324984</v>
      </c>
      <c r="N438" s="7">
        <f t="shared" si="71"/>
        <v>9.6081531792228295E-2</v>
      </c>
      <c r="O438">
        <v>2.2140325999999999</v>
      </c>
      <c r="P438">
        <v>-2.3790943000000002</v>
      </c>
      <c r="Q438">
        <v>2.5963447999999998</v>
      </c>
      <c r="R438">
        <v>-9.2376328000000001</v>
      </c>
      <c r="S438">
        <f t="shared" si="72"/>
        <v>2.9525471974372448</v>
      </c>
      <c r="T438">
        <f t="shared" si="73"/>
        <v>-27.243226466024606</v>
      </c>
    </row>
    <row r="439" spans="1:20" x14ac:dyDescent="0.35">
      <c r="A439">
        <v>2.625</v>
      </c>
      <c r="B439">
        <v>15.5</v>
      </c>
      <c r="C439">
        <v>-5.3850308E-2</v>
      </c>
      <c r="D439">
        <v>-4.1480857000000003E-2</v>
      </c>
      <c r="E439">
        <v>0.94617397000000003</v>
      </c>
      <c r="F439">
        <v>-4.4550192000000002E-2</v>
      </c>
      <c r="G439">
        <f t="shared" si="64"/>
        <v>5.1685004896670499</v>
      </c>
      <c r="H439">
        <f t="shared" si="65"/>
        <v>-4.5282469149430904</v>
      </c>
      <c r="I439">
        <f t="shared" si="66"/>
        <v>5.16851498363273</v>
      </c>
      <c r="J439">
        <f t="shared" si="67"/>
        <v>-4.5297815415708396</v>
      </c>
      <c r="K439" s="7">
        <f t="shared" si="68"/>
        <v>-1.4493965680095801E-5</v>
      </c>
      <c r="L439" s="7">
        <f t="shared" si="69"/>
        <v>1.53462662774917E-3</v>
      </c>
      <c r="M439" s="7">
        <f t="shared" si="70"/>
        <v>0.10942716330345501</v>
      </c>
      <c r="N439" s="7">
        <f t="shared" si="71"/>
        <v>9.5903977457380496E-2</v>
      </c>
      <c r="O439">
        <v>2.1868527000000002</v>
      </c>
      <c r="P439">
        <v>-2.5575518000000002</v>
      </c>
      <c r="Q439">
        <v>2.2870020000000002</v>
      </c>
      <c r="R439">
        <v>-9.6906999999999996</v>
      </c>
      <c r="S439">
        <f t="shared" si="72"/>
        <v>2.958940337424707</v>
      </c>
      <c r="T439">
        <f t="shared" si="73"/>
        <v>-27.25351243959728</v>
      </c>
    </row>
    <row r="440" spans="1:20" x14ac:dyDescent="0.35">
      <c r="A440">
        <v>2.625</v>
      </c>
      <c r="B440">
        <v>15.5625</v>
      </c>
      <c r="C440">
        <v>-5.7916794000000001E-2</v>
      </c>
      <c r="D440">
        <v>-4.0658778999999999E-2</v>
      </c>
      <c r="E440">
        <v>0.94211721000000004</v>
      </c>
      <c r="F440">
        <v>-4.3744111000000002E-2</v>
      </c>
      <c r="G440">
        <f t="shared" si="64"/>
        <v>5.1395644648210901</v>
      </c>
      <c r="H440">
        <f t="shared" si="65"/>
        <v>-4.1097474089765997</v>
      </c>
      <c r="I440">
        <f t="shared" si="66"/>
        <v>5.1395838462233598</v>
      </c>
      <c r="J440">
        <f t="shared" si="67"/>
        <v>-4.1112900188501103</v>
      </c>
      <c r="K440" s="7">
        <f t="shared" si="68"/>
        <v>-1.9381402269758001E-5</v>
      </c>
      <c r="L440" s="7">
        <f t="shared" si="69"/>
        <v>1.5426098735105099E-3</v>
      </c>
      <c r="M440" s="7">
        <f t="shared" si="70"/>
        <v>0.118647688165431</v>
      </c>
      <c r="N440" s="7">
        <f t="shared" si="71"/>
        <v>9.4909446116462501E-2</v>
      </c>
      <c r="O440">
        <v>2.1415820000000001</v>
      </c>
      <c r="P440">
        <v>-2.7426284000000001</v>
      </c>
      <c r="Q440">
        <v>1.9197381</v>
      </c>
      <c r="R440">
        <v>-10.139725</v>
      </c>
      <c r="S440">
        <f t="shared" si="72"/>
        <v>2.9657225766609625</v>
      </c>
      <c r="T440">
        <f t="shared" si="73"/>
        <v>-27.26368134990571</v>
      </c>
    </row>
    <row r="441" spans="1:20" x14ac:dyDescent="0.35">
      <c r="A441">
        <v>2.625</v>
      </c>
      <c r="B441">
        <v>15.625</v>
      </c>
      <c r="C441">
        <v>-6.2111220000000002E-2</v>
      </c>
      <c r="D441">
        <v>-3.9405225000000002E-2</v>
      </c>
      <c r="E441">
        <v>0.93793324</v>
      </c>
      <c r="F441">
        <v>-4.2508591999999998E-2</v>
      </c>
      <c r="G441">
        <f t="shared" si="64"/>
        <v>5.11127246956665</v>
      </c>
      <c r="H441">
        <f t="shared" si="65"/>
        <v>-3.7006997321179602</v>
      </c>
      <c r="I441">
        <f t="shared" si="66"/>
        <v>5.1112971066278101</v>
      </c>
      <c r="J441">
        <f t="shared" si="67"/>
        <v>-3.7022513428967199</v>
      </c>
      <c r="K441" s="7">
        <f t="shared" si="68"/>
        <v>-2.4637061160071001E-5</v>
      </c>
      <c r="L441" s="7">
        <f t="shared" si="69"/>
        <v>1.55161077875965E-3</v>
      </c>
      <c r="M441" s="7">
        <f t="shared" si="70"/>
        <v>0.12832130297424099</v>
      </c>
      <c r="N441" s="7">
        <f t="shared" si="71"/>
        <v>9.2946605596964299E-2</v>
      </c>
      <c r="O441">
        <v>2.0765278</v>
      </c>
      <c r="P441">
        <v>-2.9331235000000002</v>
      </c>
      <c r="Q441">
        <v>1.4907754</v>
      </c>
      <c r="R441">
        <v>-10.576283999999999</v>
      </c>
      <c r="S441">
        <f t="shared" si="72"/>
        <v>2.9720415397973032</v>
      </c>
      <c r="T441">
        <f t="shared" si="73"/>
        <v>-27.273641046850678</v>
      </c>
    </row>
    <row r="442" spans="1:20" x14ac:dyDescent="0.35">
      <c r="A442">
        <v>2.625</v>
      </c>
      <c r="B442">
        <v>15.6875</v>
      </c>
      <c r="C442">
        <v>-6.6376983000000001E-2</v>
      </c>
      <c r="D442">
        <v>-3.7670724000000003E-2</v>
      </c>
      <c r="E442">
        <v>0.93367842000000001</v>
      </c>
      <c r="F442">
        <v>-4.0794193999999999E-2</v>
      </c>
      <c r="G442">
        <f t="shared" si="64"/>
        <v>5.0836130636886603</v>
      </c>
      <c r="H442">
        <f t="shared" si="65"/>
        <v>-3.30082933627933</v>
      </c>
      <c r="I442">
        <f t="shared" si="66"/>
        <v>5.0836432032288803</v>
      </c>
      <c r="J442">
        <f t="shared" si="67"/>
        <v>-3.3023909809494501</v>
      </c>
      <c r="K442" s="7">
        <f t="shared" si="68"/>
        <v>-3.0139540220020001E-5</v>
      </c>
      <c r="L442" s="7">
        <f t="shared" si="69"/>
        <v>1.5616446701201001E-3</v>
      </c>
      <c r="M442" s="7">
        <f t="shared" si="70"/>
        <v>0.138333384400531</v>
      </c>
      <c r="N442" s="7">
        <f t="shared" si="71"/>
        <v>8.9862900039556298E-2</v>
      </c>
      <c r="O442">
        <v>1.9894858</v>
      </c>
      <c r="P442">
        <v>-3.1264055000000002</v>
      </c>
      <c r="Q442">
        <v>0.99770492</v>
      </c>
      <c r="R442">
        <v>-10.989773</v>
      </c>
      <c r="S442">
        <f t="shared" si="72"/>
        <v>2.9778090022713699</v>
      </c>
      <c r="T442">
        <f t="shared" si="73"/>
        <v>-27.283236823734942</v>
      </c>
    </row>
    <row r="443" spans="1:20" x14ac:dyDescent="0.35">
      <c r="A443">
        <v>2.625</v>
      </c>
      <c r="B443">
        <v>15.75</v>
      </c>
      <c r="C443">
        <v>-7.0642181999999998E-2</v>
      </c>
      <c r="D443">
        <v>-3.541366E-2</v>
      </c>
      <c r="E443">
        <v>0.92942440999999998</v>
      </c>
      <c r="F443">
        <v>-3.8559319000000002E-2</v>
      </c>
      <c r="G443">
        <f t="shared" si="64"/>
        <v>5.0565734353809804</v>
      </c>
      <c r="H443">
        <f t="shared" si="65"/>
        <v>-2.9098785450811602</v>
      </c>
      <c r="I443">
        <f t="shared" si="66"/>
        <v>5.0566092038118198</v>
      </c>
      <c r="J443">
        <f t="shared" si="67"/>
        <v>-2.9114512659581999</v>
      </c>
      <c r="K443" s="7">
        <f t="shared" si="68"/>
        <v>-3.5768430839411301E-5</v>
      </c>
      <c r="L443" s="7">
        <f t="shared" si="69"/>
        <v>1.57272087703975E-3</v>
      </c>
      <c r="M443" s="7">
        <f t="shared" si="70"/>
        <v>0.14852353310254801</v>
      </c>
      <c r="N443" s="7">
        <f t="shared" si="71"/>
        <v>8.55156115584388E-2</v>
      </c>
      <c r="O443">
        <v>1.8781079000000001</v>
      </c>
      <c r="P443">
        <v>-3.3182057</v>
      </c>
      <c r="Q443">
        <v>0.44012760000000001</v>
      </c>
      <c r="R443">
        <v>-11.368907999999999</v>
      </c>
      <c r="S443">
        <f t="shared" si="72"/>
        <v>2.9839732749182843</v>
      </c>
      <c r="T443">
        <f t="shared" si="73"/>
        <v>-27.292906648699091</v>
      </c>
    </row>
    <row r="444" spans="1:20" x14ac:dyDescent="0.35">
      <c r="A444">
        <v>2.625</v>
      </c>
      <c r="B444">
        <v>15.8125</v>
      </c>
      <c r="C444">
        <v>-7.4820375999999994E-2</v>
      </c>
      <c r="D444">
        <v>-3.2605228E-2</v>
      </c>
      <c r="E444">
        <v>0.92525743999999999</v>
      </c>
      <c r="F444">
        <v>-3.5775176999999998E-2</v>
      </c>
      <c r="G444">
        <f t="shared" si="64"/>
        <v>5.0301402665575798</v>
      </c>
      <c r="H444">
        <f t="shared" si="65"/>
        <v>-2.5276057032988901</v>
      </c>
      <c r="I444">
        <f t="shared" si="66"/>
        <v>5.0301816848884604</v>
      </c>
      <c r="J444">
        <f t="shared" si="67"/>
        <v>-2.5291905504886598</v>
      </c>
      <c r="K444" s="7">
        <f t="shared" si="68"/>
        <v>-4.1418330880560502E-5</v>
      </c>
      <c r="L444" s="7">
        <f t="shared" si="69"/>
        <v>1.5848471897697001E-3</v>
      </c>
      <c r="M444" s="7">
        <f t="shared" si="70"/>
        <v>0.15868314983081699</v>
      </c>
      <c r="N444" s="7">
        <f t="shared" si="71"/>
        <v>7.9786367216033993E-2</v>
      </c>
      <c r="O444">
        <v>1.7415309000000001</v>
      </c>
      <c r="P444">
        <v>-3.5049163999999999</v>
      </c>
      <c r="Q444">
        <v>-0.17983236999999999</v>
      </c>
      <c r="R444">
        <v>-11.701058</v>
      </c>
      <c r="S444">
        <f t="shared" si="72"/>
        <v>2.9900904895468488</v>
      </c>
      <c r="T444">
        <f t="shared" si="73"/>
        <v>-27.302471591393314</v>
      </c>
    </row>
    <row r="445" spans="1:20" x14ac:dyDescent="0.35">
      <c r="A445">
        <v>2.625</v>
      </c>
      <c r="B445">
        <v>15.875</v>
      </c>
      <c r="C445">
        <v>-7.8813117000000002E-2</v>
      </c>
      <c r="D445">
        <v>-2.9234593999999999E-2</v>
      </c>
      <c r="E445">
        <v>0.92127570000000003</v>
      </c>
      <c r="F445">
        <v>-3.2430935000000001E-2</v>
      </c>
      <c r="G445">
        <f t="shared" si="64"/>
        <v>5.0042986847975399</v>
      </c>
      <c r="H445">
        <f t="shared" si="65"/>
        <v>-2.1537807983999699</v>
      </c>
      <c r="I445">
        <f t="shared" si="66"/>
        <v>5.0043456451277102</v>
      </c>
      <c r="J445">
        <f t="shared" si="67"/>
        <v>-2.15537882288349</v>
      </c>
      <c r="K445" s="7">
        <f t="shared" si="68"/>
        <v>-4.6960330170264797E-5</v>
      </c>
      <c r="L445" s="7">
        <f t="shared" si="69"/>
        <v>1.59802448352009E-3</v>
      </c>
      <c r="M445" s="7">
        <f t="shared" si="70"/>
        <v>0.168558159323731</v>
      </c>
      <c r="N445" s="7">
        <f t="shared" si="71"/>
        <v>7.2598240168384495E-2</v>
      </c>
      <c r="O445">
        <v>1.5794362</v>
      </c>
      <c r="P445">
        <v>-3.6819592999999999</v>
      </c>
      <c r="Q445">
        <v>-0.85699592999999996</v>
      </c>
      <c r="R445">
        <v>-11.973098999999999</v>
      </c>
      <c r="S445">
        <f t="shared" si="72"/>
        <v>2.9961199029508538</v>
      </c>
      <c r="T445">
        <f t="shared" si="73"/>
        <v>-27.31176374989008</v>
      </c>
    </row>
    <row r="446" spans="1:20" x14ac:dyDescent="0.35">
      <c r="A446">
        <v>2.625</v>
      </c>
      <c r="B446">
        <v>15.9375</v>
      </c>
      <c r="C446">
        <v>-8.2514485999999998E-2</v>
      </c>
      <c r="D446">
        <v>-2.5313545999999999E-2</v>
      </c>
      <c r="E446">
        <v>0.91758483000000002</v>
      </c>
      <c r="F446">
        <v>-2.8538344E-2</v>
      </c>
      <c r="G446">
        <f t="shared" si="64"/>
        <v>4.9790336031440603</v>
      </c>
      <c r="H446">
        <f t="shared" si="65"/>
        <v>-1.7881851961262301</v>
      </c>
      <c r="I446">
        <f t="shared" si="66"/>
        <v>4.9790858581147601</v>
      </c>
      <c r="J446">
        <f t="shared" si="67"/>
        <v>-1.78979743081001</v>
      </c>
      <c r="K446" s="7">
        <f t="shared" si="68"/>
        <v>-5.2254970699827699E-5</v>
      </c>
      <c r="L446" s="7">
        <f t="shared" si="69"/>
        <v>1.61223468377991E-3</v>
      </c>
      <c r="M446" s="7">
        <f t="shared" si="70"/>
        <v>0.177858346293673</v>
      </c>
      <c r="N446" s="7">
        <f t="shared" si="71"/>
        <v>6.3933505128402096E-2</v>
      </c>
      <c r="O446">
        <v>1.3926041</v>
      </c>
      <c r="P446">
        <v>-3.844538</v>
      </c>
      <c r="Q446">
        <v>-1.5829856</v>
      </c>
      <c r="R446">
        <v>-12.173025000000001</v>
      </c>
      <c r="S446">
        <f t="shared" si="72"/>
        <v>3.0020927292490311</v>
      </c>
      <c r="T446">
        <f t="shared" si="73"/>
        <v>-27.321059134665472</v>
      </c>
    </row>
    <row r="447" spans="1:20" x14ac:dyDescent="0.35">
      <c r="A447">
        <v>2.625</v>
      </c>
      <c r="B447">
        <v>16</v>
      </c>
      <c r="C447">
        <v>-8.5817556000000003E-2</v>
      </c>
      <c r="D447">
        <v>-2.0879761E-2</v>
      </c>
      <c r="E447">
        <v>0.91429141999999997</v>
      </c>
      <c r="F447">
        <v>-2.4134967E-2</v>
      </c>
      <c r="G447">
        <f t="shared" si="64"/>
        <v>4.9543290768636696</v>
      </c>
      <c r="H447">
        <f t="shared" si="65"/>
        <v>-1.43060911195223</v>
      </c>
      <c r="I447">
        <f t="shared" si="66"/>
        <v>4.95438621054641</v>
      </c>
      <c r="J447">
        <f t="shared" si="67"/>
        <v>-1.43223653328635</v>
      </c>
      <c r="K447" s="7">
        <f t="shared" si="68"/>
        <v>-5.7133682740406802E-5</v>
      </c>
      <c r="L447" s="7">
        <f t="shared" si="69"/>
        <v>1.6274213341200799E-3</v>
      </c>
      <c r="M447" s="7">
        <f t="shared" si="70"/>
        <v>0.18627441893339</v>
      </c>
      <c r="N447" s="7">
        <f t="shared" si="71"/>
        <v>5.3849057516988201E-2</v>
      </c>
      <c r="O447">
        <v>1.1829341</v>
      </c>
      <c r="P447">
        <v>-3.9876874</v>
      </c>
      <c r="Q447">
        <v>-2.3460877</v>
      </c>
      <c r="R447">
        <v>-12.290011</v>
      </c>
      <c r="S447">
        <f t="shared" si="72"/>
        <v>3.0080777104672229</v>
      </c>
      <c r="T447">
        <f t="shared" si="73"/>
        <v>-27.330202449853434</v>
      </c>
    </row>
    <row r="448" spans="1:20" x14ac:dyDescent="0.35">
      <c r="A448">
        <v>2.625</v>
      </c>
      <c r="B448">
        <v>16.0625</v>
      </c>
      <c r="C448">
        <v>-8.8622261999999993E-2</v>
      </c>
      <c r="D448">
        <v>-1.5997825E-2</v>
      </c>
      <c r="E448">
        <v>0.91149519000000001</v>
      </c>
      <c r="F448">
        <v>-1.9285162000000002E-2</v>
      </c>
      <c r="G448">
        <f t="shared" si="64"/>
        <v>4.9301687363330098</v>
      </c>
      <c r="H448">
        <f t="shared" si="65"/>
        <v>-1.0808517454214299</v>
      </c>
      <c r="I448">
        <f t="shared" si="66"/>
        <v>4.9302301600474099</v>
      </c>
      <c r="J448">
        <f t="shared" si="67"/>
        <v>-1.0824952164467201</v>
      </c>
      <c r="K448" s="7">
        <f t="shared" si="68"/>
        <v>-6.14237144000995E-5</v>
      </c>
      <c r="L448" s="7">
        <f t="shared" si="69"/>
        <v>1.64347102529017E-3</v>
      </c>
      <c r="M448" s="7">
        <f t="shared" si="70"/>
        <v>0.193501976914011</v>
      </c>
      <c r="N448" s="7">
        <f t="shared" si="71"/>
        <v>4.2485838912718697E-2</v>
      </c>
      <c r="O448">
        <v>0.95365911000000003</v>
      </c>
      <c r="P448">
        <v>-4.1071086000000001</v>
      </c>
      <c r="Q448">
        <v>-3.1316676000000001</v>
      </c>
      <c r="R448">
        <v>-12.315784000000001</v>
      </c>
      <c r="S448">
        <f t="shared" si="72"/>
        <v>3.0138954536252185</v>
      </c>
      <c r="T448">
        <f t="shared" si="73"/>
        <v>-27.339126970301603</v>
      </c>
    </row>
    <row r="449" spans="1:20" x14ac:dyDescent="0.35">
      <c r="A449">
        <v>2.625</v>
      </c>
      <c r="B449">
        <v>16.125</v>
      </c>
      <c r="C449">
        <v>-9.0843720000000003E-2</v>
      </c>
      <c r="D449">
        <v>-1.0757354E-2</v>
      </c>
      <c r="E449">
        <v>0.90928069</v>
      </c>
      <c r="F449">
        <v>-1.4078184000000001E-2</v>
      </c>
      <c r="G449">
        <f t="shared" si="64"/>
        <v>4.9065355109509801</v>
      </c>
      <c r="H449">
        <f t="shared" si="65"/>
        <v>-0.738720371301956</v>
      </c>
      <c r="I449">
        <f t="shared" si="66"/>
        <v>4.90660046853771</v>
      </c>
      <c r="J449">
        <f t="shared" si="67"/>
        <v>-0.74038057517242395</v>
      </c>
      <c r="K449" s="7">
        <f t="shared" si="68"/>
        <v>-6.4957586729974496E-5</v>
      </c>
      <c r="L449" s="7">
        <f t="shared" si="69"/>
        <v>1.66020387046795E-3</v>
      </c>
      <c r="M449" s="7">
        <f t="shared" si="70"/>
        <v>0.19926987282495601</v>
      </c>
      <c r="N449" s="7">
        <f t="shared" si="71"/>
        <v>3.00687908059173E-2</v>
      </c>
      <c r="O449">
        <v>0.70913587</v>
      </c>
      <c r="P449">
        <v>-4.1996133999999996</v>
      </c>
      <c r="Q449">
        <v>-3.9231459000000002</v>
      </c>
      <c r="R449">
        <v>-12.24596</v>
      </c>
      <c r="S449">
        <f t="shared" si="72"/>
        <v>3.0192146127168948</v>
      </c>
      <c r="T449">
        <f t="shared" si="73"/>
        <v>-27.34791507761803</v>
      </c>
    </row>
    <row r="450" spans="1:20" x14ac:dyDescent="0.35">
      <c r="A450">
        <v>2.625</v>
      </c>
      <c r="B450">
        <v>16.1875</v>
      </c>
      <c r="C450">
        <v>-9.2419755000000006E-2</v>
      </c>
      <c r="D450">
        <v>-5.2680738999999997E-3</v>
      </c>
      <c r="E450">
        <v>0.90770983999999999</v>
      </c>
      <c r="F450">
        <v>-8.6232779000000002E-3</v>
      </c>
      <c r="G450">
        <f t="shared" si="64"/>
        <v>4.8834120211575103</v>
      </c>
      <c r="H450">
        <f t="shared" si="65"/>
        <v>-0.404030425213322</v>
      </c>
      <c r="I450">
        <f t="shared" si="66"/>
        <v>4.8834796282525996</v>
      </c>
      <c r="J450">
        <f t="shared" si="67"/>
        <v>-0.40570780510549997</v>
      </c>
      <c r="K450" s="7">
        <f t="shared" si="68"/>
        <v>-6.7607095089350393E-5</v>
      </c>
      <c r="L450" s="7">
        <f t="shared" si="69"/>
        <v>1.67737989217798E-3</v>
      </c>
      <c r="M450" s="7">
        <f t="shared" si="70"/>
        <v>0.203368396355536</v>
      </c>
      <c r="N450" s="7">
        <f t="shared" si="71"/>
        <v>1.6895359865103599E-2</v>
      </c>
      <c r="O450">
        <v>0.45429971000000002</v>
      </c>
      <c r="P450">
        <v>-4.2613066999999996</v>
      </c>
      <c r="Q450">
        <v>-4.7029129999999997</v>
      </c>
      <c r="R450">
        <v>-12.080147999999999</v>
      </c>
      <c r="S450">
        <f t="shared" si="72"/>
        <v>3.0249551119521381</v>
      </c>
      <c r="T450">
        <f t="shared" si="73"/>
        <v>-27.356763875128689</v>
      </c>
    </row>
    <row r="451" spans="1:20" x14ac:dyDescent="0.35">
      <c r="A451">
        <v>2.625</v>
      </c>
      <c r="B451">
        <v>16.25</v>
      </c>
      <c r="C451">
        <v>-9.3316374999999993E-2</v>
      </c>
      <c r="D451">
        <v>3.4767601000000001E-4</v>
      </c>
      <c r="E451">
        <v>0.90681646999999999</v>
      </c>
      <c r="F451">
        <v>-3.0422238E-3</v>
      </c>
      <c r="G451">
        <f t="shared" ref="G451:G484" si="74">IMREAL(IMDIV(IMSUM(IMPRODUCT(COMPLEX(1 + C451,D451),COMPLEX(1 - C451, - D451)),IMPRODUCT(COMPLEX(E451,F451),COMPLEX(E451,F451))),IMSUB(IMPRODUCT(COMPLEX(1 - C451, - D451),COMPLEX(1 - C451, - D451)),IMPRODUCT(COMPLEX(E451,F451),COMPLEX(E451,F451)))))</f>
        <v>4.8607793418321696</v>
      </c>
      <c r="H451">
        <f t="shared" ref="H451:H484" si="75">IMAGINARY(IMDIV(IMSUM(IMPRODUCT(COMPLEX(1 + C451,D451),COMPLEX(1 - C451, - D451)),IMPRODUCT(COMPLEX(E451,F451),COMPLEX(E451,F451))),IMSUB(IMPRODUCT(COMPLEX(1 - C451, - D451),COMPLEX(1 - C451, - D451)),IMPRODUCT(COMPLEX(E451,F451),COMPLEX(E451,F451)))))</f>
        <v>-7.6605598977187106E-2</v>
      </c>
      <c r="I451">
        <f t="shared" ref="I451:I484" si="76">IMREAL(IMDIV(IMPRODUCT(COMPLEX(2,0),COMPLEX(E451,F451)),IMSUB(IMPRODUCT(COMPLEX(1 - C451, - D451),COMPLEX(1 - C451, - D451)),IMPRODUCT(COMPLEX(E451,F451),COMPLEX(E451,F451)))))</f>
        <v>4.8608486321950499</v>
      </c>
      <c r="J451">
        <f t="shared" ref="J451:J484" si="77">IMAGINARY(IMDIV(IMPRODUCT(COMPLEX(2,0),COMPLEX(E451,F451)),IMSUB(IMPRODUCT(COMPLEX(1 - C451, - D451),COMPLEX(1 - C451, - D451)),IMPRODUCT(COMPLEX(E451,F451),COMPLEX(E451,F451)))))</f>
        <v>-7.8300318870961005E-2</v>
      </c>
      <c r="K451" s="7">
        <f t="shared" ref="K451:K484" si="78">IMREAL(IMSUB(COMPLEX(G451,H451),COMPLEX(I451,J451)))</f>
        <v>-6.9290362880280995E-5</v>
      </c>
      <c r="L451" s="7">
        <f t="shared" ref="L451:L484" si="79">IMAGINARY(IMSUB(COMPLEX(G451,H451),COMPLEX(I451,J451)))</f>
        <v>1.6947198937739001E-3</v>
      </c>
      <c r="M451" s="7">
        <f t="shared" ref="M451:M484" si="80">IMREAL(IMDIV(IMSUB(IMPRODUCT(COMPLEX(1 - C451, - D451),COMPLEX(1 - C451, - D451)),IMPRODUCT(COMPLEX(E451,F451),COMPLEX(E451,F451))),IMPRODUCT(COMPLEX(2,0),COMPLEX(E451,F451))))</f>
        <v>0.20567202634151899</v>
      </c>
      <c r="N451" s="7">
        <f t="shared" ref="N451:N484" si="81">IMAGINARY(IMDIV(IMSUB(IMPRODUCT(COMPLEX(1 - C451, - D451),COMPLEX(1 - C451, - D451)),IMPRODUCT(COMPLEX(E451,F451),COMPLEX(E451,F451))),IMPRODUCT(COMPLEX(2,0),COMPLEX(E451,F451))))</f>
        <v>3.3130398545460002E-3</v>
      </c>
      <c r="O451">
        <v>0.19497595000000001</v>
      </c>
      <c r="P451">
        <v>-4.2909607999999997</v>
      </c>
      <c r="Q451">
        <v>-5.4534466000000004</v>
      </c>
      <c r="R451">
        <v>-11.821948000000001</v>
      </c>
      <c r="S451">
        <f t="shared" ref="S451:S484" si="82">IMABS(COMPLEX(Q451,R451))/IMABS(COMPLEX(O451,P451))</f>
        <v>3.0309624004612687</v>
      </c>
      <c r="T451">
        <f t="shared" ref="T451:T484" si="83">IMARGUMENT(IMDIV(COMPLEX(Q451,R451),COMPLEX(O451/B451,P451/B451)))/PI()*180</f>
        <v>-27.365463841466084</v>
      </c>
    </row>
    <row r="452" spans="1:20" x14ac:dyDescent="0.35">
      <c r="A452">
        <v>2.625</v>
      </c>
      <c r="B452">
        <v>16.3125</v>
      </c>
      <c r="C452">
        <v>-9.3530228000000007E-2</v>
      </c>
      <c r="D452">
        <v>5.9639795000000001E-3</v>
      </c>
      <c r="E452">
        <v>0.90660397000000004</v>
      </c>
      <c r="F452">
        <v>2.5396495999999999E-3</v>
      </c>
      <c r="G452">
        <f t="shared" si="74"/>
        <v>4.8386197728520504</v>
      </c>
      <c r="H452">
        <f t="shared" si="75"/>
        <v>0.24372147085475801</v>
      </c>
      <c r="I452">
        <f t="shared" si="76"/>
        <v>4.8386897982602903</v>
      </c>
      <c r="J452">
        <f t="shared" si="77"/>
        <v>0.24200954066861199</v>
      </c>
      <c r="K452" s="7">
        <f t="shared" si="78"/>
        <v>-7.0025408239970903E-5</v>
      </c>
      <c r="L452" s="7">
        <f t="shared" si="79"/>
        <v>1.71193018614602E-3</v>
      </c>
      <c r="M452" s="7">
        <f t="shared" si="80"/>
        <v>0.20615181638769001</v>
      </c>
      <c r="N452" s="7">
        <f t="shared" si="81"/>
        <v>-1.03107883481026E-2</v>
      </c>
      <c r="O452">
        <v>-6.3028561999999996E-2</v>
      </c>
      <c r="P452">
        <v>-4.2907114999999996</v>
      </c>
      <c r="Q452">
        <v>-6.1590945000000001</v>
      </c>
      <c r="R452">
        <v>-11.479397000000001</v>
      </c>
      <c r="S452">
        <f t="shared" si="82"/>
        <v>3.0358396660024307</v>
      </c>
      <c r="T452">
        <f t="shared" si="83"/>
        <v>-27.373512678303801</v>
      </c>
    </row>
    <row r="453" spans="1:20" x14ac:dyDescent="0.35">
      <c r="A453">
        <v>2.625</v>
      </c>
      <c r="B453">
        <v>16.375</v>
      </c>
      <c r="C453">
        <v>-9.3087695999999998E-2</v>
      </c>
      <c r="D453">
        <v>1.1460566E-2</v>
      </c>
      <c r="E453">
        <v>0.90704609999999997</v>
      </c>
      <c r="F453">
        <v>8.0026112000000007E-3</v>
      </c>
      <c r="G453">
        <f t="shared" si="74"/>
        <v>4.8169141961945998</v>
      </c>
      <c r="H453">
        <f t="shared" si="75"/>
        <v>0.55710945461774197</v>
      </c>
      <c r="I453">
        <f t="shared" si="76"/>
        <v>4.8169840784736202</v>
      </c>
      <c r="J453">
        <f t="shared" si="77"/>
        <v>0.55538071369193398</v>
      </c>
      <c r="K453" s="7">
        <f t="shared" si="78"/>
        <v>-6.9882279020383505E-5</v>
      </c>
      <c r="L453" s="7">
        <f t="shared" si="79"/>
        <v>1.72874092580799E-3</v>
      </c>
      <c r="M453" s="7">
        <f t="shared" si="80"/>
        <v>0.20487531749030999</v>
      </c>
      <c r="N453" s="7">
        <f t="shared" si="81"/>
        <v>-2.36213776487477E-2</v>
      </c>
      <c r="O453">
        <v>-0.31415912000000001</v>
      </c>
      <c r="P453">
        <v>-4.2586366</v>
      </c>
      <c r="Q453">
        <v>-6.8066582999999996</v>
      </c>
      <c r="R453">
        <v>-11.063611</v>
      </c>
      <c r="S453">
        <f t="shared" si="82"/>
        <v>3.0419517304475496</v>
      </c>
      <c r="T453">
        <f t="shared" si="83"/>
        <v>-27.381989051952655</v>
      </c>
    </row>
    <row r="454" spans="1:20" x14ac:dyDescent="0.35">
      <c r="A454">
        <v>2.625</v>
      </c>
      <c r="B454">
        <v>16.4375</v>
      </c>
      <c r="C454">
        <v>-9.2040925999999995E-2</v>
      </c>
      <c r="D454">
        <v>1.6730832000000001E-2</v>
      </c>
      <c r="E454">
        <v>0.90809101000000003</v>
      </c>
      <c r="F454">
        <v>1.3240498E-2</v>
      </c>
      <c r="G454">
        <f t="shared" si="74"/>
        <v>4.7956442901276599</v>
      </c>
      <c r="H454">
        <f t="shared" si="75"/>
        <v>0.86370806888592999</v>
      </c>
      <c r="I454">
        <f t="shared" si="76"/>
        <v>4.7957132987720898</v>
      </c>
      <c r="J454">
        <f t="shared" si="77"/>
        <v>0.86196313742717601</v>
      </c>
      <c r="K454" s="7">
        <f t="shared" si="78"/>
        <v>-6.90086444299354E-5</v>
      </c>
      <c r="L454" s="7">
        <f t="shared" si="79"/>
        <v>1.74493145875398E-3</v>
      </c>
      <c r="M454" s="7">
        <f t="shared" si="80"/>
        <v>0.20199411616627599</v>
      </c>
      <c r="N454" s="7">
        <f t="shared" si="81"/>
        <v>-3.63056486627533E-2</v>
      </c>
      <c r="O454">
        <v>-0.55379374999999997</v>
      </c>
      <c r="P454">
        <v>-4.2005865</v>
      </c>
      <c r="Q454">
        <v>-7.3865110999999999</v>
      </c>
      <c r="R454">
        <v>-10.588169000000001</v>
      </c>
      <c r="S454">
        <f t="shared" si="82"/>
        <v>3.0470304252764286</v>
      </c>
      <c r="T454">
        <f t="shared" si="83"/>
        <v>-27.389966982220482</v>
      </c>
    </row>
    <row r="455" spans="1:20" x14ac:dyDescent="0.35">
      <c r="A455">
        <v>2.625</v>
      </c>
      <c r="B455">
        <v>16.5</v>
      </c>
      <c r="C455">
        <v>-9.0457806000000002E-2</v>
      </c>
      <c r="D455">
        <v>2.1691022000000001E-2</v>
      </c>
      <c r="E455">
        <v>0.90978166000000005</v>
      </c>
      <c r="F455">
        <v>1.8290504999999999E-2</v>
      </c>
      <c r="G455">
        <f t="shared" si="74"/>
        <v>4.7763266525798498</v>
      </c>
      <c r="H455">
        <f t="shared" si="75"/>
        <v>1.1684531305875401</v>
      </c>
      <c r="I455">
        <f t="shared" si="76"/>
        <v>4.7764492610780396</v>
      </c>
      <c r="J455">
        <f t="shared" si="77"/>
        <v>1.1667532840814001</v>
      </c>
      <c r="K455" s="7">
        <f t="shared" si="78"/>
        <v>-1.22608498189791E-4</v>
      </c>
      <c r="L455" s="7">
        <f t="shared" si="79"/>
        <v>1.6998465061399701E-3</v>
      </c>
      <c r="M455" s="7">
        <f t="shared" si="80"/>
        <v>0.19757166507278201</v>
      </c>
      <c r="N455" s="7">
        <f t="shared" si="81"/>
        <v>-4.8261245219021101E-2</v>
      </c>
      <c r="O455">
        <v>-0.77826556999999996</v>
      </c>
      <c r="P455">
        <v>-4.1175715000000004</v>
      </c>
      <c r="Q455">
        <v>-7.8920624000000004</v>
      </c>
      <c r="R455">
        <v>-10.066243</v>
      </c>
      <c r="S455">
        <f t="shared" si="82"/>
        <v>3.0524369120711046</v>
      </c>
      <c r="T455">
        <f t="shared" si="83"/>
        <v>-27.393640788378903</v>
      </c>
    </row>
    <row r="456" spans="1:20" x14ac:dyDescent="0.35">
      <c r="A456">
        <v>2.625</v>
      </c>
      <c r="B456">
        <v>16.5625</v>
      </c>
      <c r="C456">
        <v>-8.8429674999999999E-2</v>
      </c>
      <c r="D456">
        <v>2.6269569999999999E-2</v>
      </c>
      <c r="E456">
        <v>0.91181955000000003</v>
      </c>
      <c r="F456">
        <v>2.2831325E-2</v>
      </c>
      <c r="G456">
        <f t="shared" si="74"/>
        <v>4.7558717505434096</v>
      </c>
      <c r="H456">
        <f t="shared" si="75"/>
        <v>1.46210704137876</v>
      </c>
      <c r="I456">
        <f t="shared" si="76"/>
        <v>4.7559993017859403</v>
      </c>
      <c r="J456">
        <f t="shared" si="77"/>
        <v>1.46038835232511</v>
      </c>
      <c r="K456" s="7">
        <f t="shared" si="78"/>
        <v>-1.2755124253072101E-4</v>
      </c>
      <c r="L456" s="7">
        <f t="shared" si="79"/>
        <v>1.71868905365002E-3</v>
      </c>
      <c r="M456" s="7">
        <f t="shared" si="80"/>
        <v>0.19214401552135699</v>
      </c>
      <c r="N456" s="7">
        <f t="shared" si="81"/>
        <v>-5.9000194161297197E-2</v>
      </c>
      <c r="O456">
        <v>-0.98399281000000005</v>
      </c>
      <c r="P456">
        <v>-4.0148514000000004</v>
      </c>
      <c r="Q456">
        <v>-8.3217143999999994</v>
      </c>
      <c r="R456">
        <v>-9.5150459999999999</v>
      </c>
      <c r="S456">
        <f t="shared" si="82"/>
        <v>3.0579781408711812</v>
      </c>
      <c r="T456">
        <f t="shared" si="83"/>
        <v>-27.401378808213035</v>
      </c>
    </row>
    <row r="457" spans="1:20" x14ac:dyDescent="0.35">
      <c r="A457">
        <v>2.625</v>
      </c>
      <c r="B457">
        <v>16.625</v>
      </c>
      <c r="C457">
        <v>-8.6039952000000003E-2</v>
      </c>
      <c r="D457">
        <v>3.0433476000000001E-2</v>
      </c>
      <c r="E457">
        <v>0.91393853999999997</v>
      </c>
      <c r="F457">
        <v>2.6987193999999999E-2</v>
      </c>
      <c r="G457">
        <f t="shared" si="74"/>
        <v>4.7285024497669799</v>
      </c>
      <c r="H457">
        <f t="shared" si="75"/>
        <v>1.7453207792749299</v>
      </c>
      <c r="I457">
        <f t="shared" si="76"/>
        <v>4.7284946649531996</v>
      </c>
      <c r="J457">
        <f t="shared" si="77"/>
        <v>1.7435976063295999</v>
      </c>
      <c r="K457" s="7">
        <f t="shared" si="78"/>
        <v>7.7848137802760692E-6</v>
      </c>
      <c r="L457" s="7">
        <f t="shared" si="79"/>
        <v>1.7231729453299799E-3</v>
      </c>
      <c r="M457" s="7">
        <f t="shared" si="80"/>
        <v>0.186170043694036</v>
      </c>
      <c r="N457" s="7">
        <f t="shared" si="81"/>
        <v>-6.8648833414388502E-2</v>
      </c>
      <c r="O457">
        <v>-1.1694434</v>
      </c>
      <c r="P457">
        <v>-3.8977599999999999</v>
      </c>
      <c r="Q457">
        <v>-8.6763534</v>
      </c>
      <c r="R457">
        <v>-8.9476189999999995</v>
      </c>
      <c r="S457">
        <f t="shared" si="82"/>
        <v>3.0627275264516629</v>
      </c>
      <c r="T457">
        <f t="shared" si="83"/>
        <v>-27.417380894127071</v>
      </c>
    </row>
    <row r="458" spans="1:20" x14ac:dyDescent="0.35">
      <c r="A458">
        <v>2.625</v>
      </c>
      <c r="B458">
        <v>16.6875</v>
      </c>
      <c r="C458">
        <v>-8.3381531999999994E-2</v>
      </c>
      <c r="D458">
        <v>3.4152808E-2</v>
      </c>
      <c r="E458">
        <v>0.91659807999999998</v>
      </c>
      <c r="F458">
        <v>3.0687191999999999E-2</v>
      </c>
      <c r="G458">
        <f t="shared" si="74"/>
        <v>4.7085772214509003</v>
      </c>
      <c r="H458">
        <f t="shared" si="75"/>
        <v>2.0257910134631598</v>
      </c>
      <c r="I458">
        <f t="shared" si="76"/>
        <v>4.7085700300533597</v>
      </c>
      <c r="J458">
        <f t="shared" si="77"/>
        <v>2.0240581753372902</v>
      </c>
      <c r="K458" s="7">
        <f t="shared" si="78"/>
        <v>7.1913975405735203E-6</v>
      </c>
      <c r="L458" s="7">
        <f t="shared" si="79"/>
        <v>1.73283812586966E-3</v>
      </c>
      <c r="M458" s="7">
        <f t="shared" si="80"/>
        <v>0.17925498076493701</v>
      </c>
      <c r="N458" s="7">
        <f t="shared" si="81"/>
        <v>-7.7055774252356005E-2</v>
      </c>
      <c r="O458">
        <v>-1.3345061</v>
      </c>
      <c r="P458">
        <v>-3.7681572000000001</v>
      </c>
      <c r="Q458">
        <v>-8.9582954000000008</v>
      </c>
      <c r="R458">
        <v>-8.3751075000000004</v>
      </c>
      <c r="S458">
        <f t="shared" si="82"/>
        <v>3.067801617129537</v>
      </c>
      <c r="T458">
        <f t="shared" si="83"/>
        <v>-27.425229251095743</v>
      </c>
    </row>
    <row r="459" spans="1:20" x14ac:dyDescent="0.35">
      <c r="A459">
        <v>2.625</v>
      </c>
      <c r="B459">
        <v>16.75</v>
      </c>
      <c r="C459">
        <v>-8.0534822000000006E-2</v>
      </c>
      <c r="D459">
        <v>3.7430747E-2</v>
      </c>
      <c r="E459">
        <v>0.91944492</v>
      </c>
      <c r="F459">
        <v>3.3945978000000002E-2</v>
      </c>
      <c r="G459">
        <f t="shared" si="74"/>
        <v>4.6889876615788904</v>
      </c>
      <c r="H459">
        <f t="shared" si="75"/>
        <v>2.3000388621403598</v>
      </c>
      <c r="I459">
        <f t="shared" si="76"/>
        <v>4.6889805684630597</v>
      </c>
      <c r="J459">
        <f t="shared" si="77"/>
        <v>2.2982964476325098</v>
      </c>
      <c r="K459" s="7">
        <f t="shared" si="78"/>
        <v>7.0931158306919403E-6</v>
      </c>
      <c r="L459" s="7">
        <f t="shared" si="79"/>
        <v>1.7424145078499501E-3</v>
      </c>
      <c r="M459" s="7">
        <f t="shared" si="80"/>
        <v>0.171954645857468</v>
      </c>
      <c r="N459" s="7">
        <f t="shared" si="81"/>
        <v>-8.4283299100482698E-2</v>
      </c>
      <c r="O459">
        <v>-1.4787973000000001</v>
      </c>
      <c r="P459">
        <v>-3.6305502999999999</v>
      </c>
      <c r="Q459">
        <v>-9.1732987999999995</v>
      </c>
      <c r="R459">
        <v>-7.8084392999999999</v>
      </c>
      <c r="S459">
        <f t="shared" si="82"/>
        <v>3.0729845347618463</v>
      </c>
      <c r="T459">
        <f t="shared" si="83"/>
        <v>-27.433038465404763</v>
      </c>
    </row>
    <row r="460" spans="1:20" x14ac:dyDescent="0.35">
      <c r="A460">
        <v>2.625</v>
      </c>
      <c r="B460">
        <v>16.8125</v>
      </c>
      <c r="C460">
        <v>-7.7573431999999998E-2</v>
      </c>
      <c r="D460">
        <v>4.0279985999999997E-2</v>
      </c>
      <c r="E460">
        <v>0.92240537</v>
      </c>
      <c r="F460">
        <v>3.6776238000000003E-2</v>
      </c>
      <c r="G460">
        <f t="shared" si="74"/>
        <v>4.6697239775543098</v>
      </c>
      <c r="H460">
        <f t="shared" si="75"/>
        <v>2.5681511613400199</v>
      </c>
      <c r="I460">
        <f t="shared" si="76"/>
        <v>4.6697164475926396</v>
      </c>
      <c r="J460">
        <f t="shared" si="77"/>
        <v>2.5663992555800199</v>
      </c>
      <c r="K460" s="7">
        <f t="shared" si="78"/>
        <v>7.52996167019404E-6</v>
      </c>
      <c r="L460" s="7">
        <f t="shared" si="79"/>
        <v>1.7519057599999499E-3</v>
      </c>
      <c r="M460" s="7">
        <f t="shared" si="80"/>
        <v>0.164469160949412</v>
      </c>
      <c r="N460" s="7">
        <f t="shared" si="81"/>
        <v>-9.0389542269540199E-2</v>
      </c>
      <c r="O460">
        <v>-1.6033250999999999</v>
      </c>
      <c r="P460">
        <v>-3.4889321999999998</v>
      </c>
      <c r="Q460">
        <v>-9.3277242999999999</v>
      </c>
      <c r="R460">
        <v>-7.2558341000000004</v>
      </c>
      <c r="S460">
        <f t="shared" si="82"/>
        <v>3.0777169690078505</v>
      </c>
      <c r="T460">
        <f t="shared" si="83"/>
        <v>-27.44046802943647</v>
      </c>
    </row>
    <row r="461" spans="1:20" x14ac:dyDescent="0.35">
      <c r="A461">
        <v>2.625</v>
      </c>
      <c r="B461">
        <v>16.875</v>
      </c>
      <c r="C461">
        <v>-7.4560402999999997E-2</v>
      </c>
      <c r="D461">
        <v>4.2723774999999999E-2</v>
      </c>
      <c r="E461">
        <v>0.92541635</v>
      </c>
      <c r="F461">
        <v>3.9201228999999997E-2</v>
      </c>
      <c r="G461">
        <f t="shared" si="74"/>
        <v>4.6507789159006103</v>
      </c>
      <c r="H461">
        <f t="shared" si="75"/>
        <v>2.83020723978135</v>
      </c>
      <c r="I461">
        <f t="shared" si="76"/>
        <v>4.6507703944466297</v>
      </c>
      <c r="J461">
        <f t="shared" si="77"/>
        <v>2.8284459313001702</v>
      </c>
      <c r="K461" s="7">
        <f t="shared" si="78"/>
        <v>8.5214539806699497E-6</v>
      </c>
      <c r="L461" s="7">
        <f t="shared" si="79"/>
        <v>1.76130848117984E-3</v>
      </c>
      <c r="M461" s="7">
        <f t="shared" si="80"/>
        <v>0.15696274847049099</v>
      </c>
      <c r="N461" s="7">
        <f t="shared" si="81"/>
        <v>-9.5459592631615603E-2</v>
      </c>
      <c r="O461">
        <v>-1.7087802000000001</v>
      </c>
      <c r="P461">
        <v>-3.3451126000000002</v>
      </c>
      <c r="Q461">
        <v>-9.4286297999999995</v>
      </c>
      <c r="R461">
        <v>-6.7235766000000003</v>
      </c>
      <c r="S461">
        <f t="shared" si="82"/>
        <v>3.0829348627839686</v>
      </c>
      <c r="T461">
        <f t="shared" si="83"/>
        <v>-27.447990495367229</v>
      </c>
    </row>
    <row r="462" spans="1:20" x14ac:dyDescent="0.35">
      <c r="A462">
        <v>2.625</v>
      </c>
      <c r="B462">
        <v>16.9375</v>
      </c>
      <c r="C462">
        <v>-7.1547743999999996E-2</v>
      </c>
      <c r="D462">
        <v>4.4792321000000003E-2</v>
      </c>
      <c r="E462">
        <v>0.92842579999999997</v>
      </c>
      <c r="F462">
        <v>4.1251182999999997E-2</v>
      </c>
      <c r="G462">
        <f t="shared" si="74"/>
        <v>4.63214608773729</v>
      </c>
      <c r="H462">
        <f t="shared" si="75"/>
        <v>3.0862779840213901</v>
      </c>
      <c r="I462">
        <f t="shared" si="76"/>
        <v>4.6321359945914704</v>
      </c>
      <c r="J462">
        <f t="shared" si="77"/>
        <v>3.08450737372914</v>
      </c>
      <c r="K462" s="7">
        <f t="shared" si="78"/>
        <v>1.0093145819567401E-5</v>
      </c>
      <c r="L462" s="7">
        <f t="shared" si="79"/>
        <v>1.7706102922501201E-3</v>
      </c>
      <c r="M462" s="7">
        <f t="shared" si="80"/>
        <v>0.14956428582003201</v>
      </c>
      <c r="N462" s="7">
        <f t="shared" si="81"/>
        <v>-9.95938251806682E-2</v>
      </c>
      <c r="O462">
        <v>-1.7973148000000001</v>
      </c>
      <c r="P462">
        <v>-3.2027157000000002</v>
      </c>
      <c r="Q462">
        <v>-9.4831438000000006</v>
      </c>
      <c r="R462">
        <v>-6.2160795999999996</v>
      </c>
      <c r="S462">
        <f t="shared" si="82"/>
        <v>3.0874493794594353</v>
      </c>
      <c r="T462">
        <f t="shared" si="83"/>
        <v>-27.455200319457322</v>
      </c>
    </row>
    <row r="463" spans="1:20" x14ac:dyDescent="0.35">
      <c r="A463">
        <v>2.625</v>
      </c>
      <c r="B463">
        <v>17</v>
      </c>
      <c r="C463">
        <v>-6.8576213999999996E-2</v>
      </c>
      <c r="D463">
        <v>4.6519234E-2</v>
      </c>
      <c r="E463">
        <v>0.93143977</v>
      </c>
      <c r="F463">
        <v>4.2935396000000001E-2</v>
      </c>
      <c r="G463">
        <f t="shared" si="74"/>
        <v>4.6153967688147599</v>
      </c>
      <c r="H463">
        <f t="shared" si="75"/>
        <v>3.3376925879094599</v>
      </c>
      <c r="I463">
        <f t="shared" si="76"/>
        <v>4.61540797163729</v>
      </c>
      <c r="J463">
        <f t="shared" si="77"/>
        <v>3.3359007033047501</v>
      </c>
      <c r="K463" s="7">
        <f t="shared" si="78"/>
        <v>-1.12028225300875E-5</v>
      </c>
      <c r="L463" s="7">
        <f t="shared" si="79"/>
        <v>1.7918846047097999E-3</v>
      </c>
      <c r="M463" s="7">
        <f t="shared" si="80"/>
        <v>0.14231810228909</v>
      </c>
      <c r="N463" s="7">
        <f t="shared" si="81"/>
        <v>-0.10286394191730699</v>
      </c>
      <c r="O463">
        <v>-1.8698915</v>
      </c>
      <c r="P463">
        <v>-3.0621624999999999</v>
      </c>
      <c r="Q463">
        <v>-9.4980498999999998</v>
      </c>
      <c r="R463">
        <v>-5.7361234000000003</v>
      </c>
      <c r="S463">
        <f t="shared" si="82"/>
        <v>3.0925152657311146</v>
      </c>
      <c r="T463">
        <f t="shared" si="83"/>
        <v>-27.461032282753667</v>
      </c>
    </row>
    <row r="464" spans="1:20" x14ac:dyDescent="0.35">
      <c r="A464">
        <v>2.75</v>
      </c>
      <c r="B464">
        <v>15</v>
      </c>
      <c r="C464">
        <v>-3.0909294E-2</v>
      </c>
      <c r="D464">
        <v>-4.1998031999999998E-2</v>
      </c>
      <c r="E464">
        <v>0.96907944999999995</v>
      </c>
      <c r="F464">
        <v>-4.5139098000000002E-2</v>
      </c>
      <c r="G464">
        <f t="shared" si="74"/>
        <v>4.9161612078973498</v>
      </c>
      <c r="H464">
        <f t="shared" si="75"/>
        <v>-7.6322374710004901</v>
      </c>
      <c r="I464">
        <f t="shared" si="76"/>
        <v>4.9161580464751502</v>
      </c>
      <c r="J464">
        <f t="shared" si="77"/>
        <v>-7.6338080178046601</v>
      </c>
      <c r="K464" s="7">
        <f t="shared" si="78"/>
        <v>3.1614221995823801E-6</v>
      </c>
      <c r="L464" s="7">
        <f t="shared" si="79"/>
        <v>1.57054680417001E-3</v>
      </c>
      <c r="M464" s="7">
        <f t="shared" si="80"/>
        <v>5.9630534958344902E-2</v>
      </c>
      <c r="N464" s="7">
        <f t="shared" si="81"/>
        <v>9.2594268037695604E-2</v>
      </c>
      <c r="O464">
        <v>2.1686695</v>
      </c>
      <c r="P464">
        <v>-1.4389194999999999</v>
      </c>
      <c r="Q464">
        <v>3.6924184000000002</v>
      </c>
      <c r="R464">
        <v>-6.5860909000000003</v>
      </c>
      <c r="S464">
        <f t="shared" si="82"/>
        <v>2.9011306964075469</v>
      </c>
      <c r="T464">
        <f t="shared" si="83"/>
        <v>-27.158908914897268</v>
      </c>
    </row>
    <row r="465" spans="1:20" x14ac:dyDescent="0.35">
      <c r="A465">
        <v>2.75</v>
      </c>
      <c r="B465">
        <v>15.0625</v>
      </c>
      <c r="C465">
        <v>-3.3493694999999997E-2</v>
      </c>
      <c r="D465">
        <v>-4.2995663000000003E-2</v>
      </c>
      <c r="E465">
        <v>0.96649719000000001</v>
      </c>
      <c r="F465">
        <v>-4.6149453999999999E-2</v>
      </c>
      <c r="G465">
        <f t="shared" si="74"/>
        <v>4.8875714821625804</v>
      </c>
      <c r="H465">
        <f t="shared" si="75"/>
        <v>-7.1678779993743698</v>
      </c>
      <c r="I465">
        <f t="shared" si="76"/>
        <v>4.8875694112690198</v>
      </c>
      <c r="J465">
        <f t="shared" si="77"/>
        <v>-7.1694549053266901</v>
      </c>
      <c r="K465" s="7">
        <f t="shared" si="78"/>
        <v>2.0708935606350599E-6</v>
      </c>
      <c r="L465" s="7">
        <f t="shared" si="79"/>
        <v>1.5769059523203001E-3</v>
      </c>
      <c r="M465" s="7">
        <f t="shared" si="80"/>
        <v>6.4917082849342306E-2</v>
      </c>
      <c r="N465" s="7">
        <f t="shared" si="81"/>
        <v>9.5225266162076397E-2</v>
      </c>
      <c r="O465">
        <v>2.2060008999999998</v>
      </c>
      <c r="P465">
        <v>-1.5534209999999999</v>
      </c>
      <c r="Q465">
        <v>3.6490105000000002</v>
      </c>
      <c r="R465">
        <v>-6.9550694000000002</v>
      </c>
      <c r="S465">
        <f t="shared" si="82"/>
        <v>2.9110443342460046</v>
      </c>
      <c r="T465">
        <f t="shared" si="83"/>
        <v>-27.163606466955983</v>
      </c>
    </row>
    <row r="466" spans="1:20" x14ac:dyDescent="0.35">
      <c r="A466">
        <v>2.75</v>
      </c>
      <c r="B466">
        <v>15.125</v>
      </c>
      <c r="C466">
        <v>-3.6278795000000003E-2</v>
      </c>
      <c r="D466">
        <v>-4.3893213E-2</v>
      </c>
      <c r="E466">
        <v>0.96371419999999997</v>
      </c>
      <c r="F466">
        <v>-4.7057834999999999E-2</v>
      </c>
      <c r="G466">
        <f t="shared" si="74"/>
        <v>4.8601814909746803</v>
      </c>
      <c r="H466">
        <f t="shared" si="75"/>
        <v>-6.7175551454156999</v>
      </c>
      <c r="I466">
        <f t="shared" si="76"/>
        <v>4.86018049219056</v>
      </c>
      <c r="J466">
        <f t="shared" si="77"/>
        <v>-6.7191374635381704</v>
      </c>
      <c r="K466" s="7">
        <f t="shared" si="78"/>
        <v>9.9878412029852391E-7</v>
      </c>
      <c r="L466" s="7">
        <f t="shared" si="79"/>
        <v>1.58231812247056E-3</v>
      </c>
      <c r="M466" s="7">
        <f t="shared" si="80"/>
        <v>7.0674863242623495E-2</v>
      </c>
      <c r="N466" s="7">
        <f t="shared" si="81"/>
        <v>9.7707095879872294E-2</v>
      </c>
      <c r="O466">
        <v>2.2404476</v>
      </c>
      <c r="P466">
        <v>-1.6774248</v>
      </c>
      <c r="Q466">
        <v>3.5814924000000001</v>
      </c>
      <c r="R466">
        <v>-7.3416997999999998</v>
      </c>
      <c r="S466">
        <f t="shared" si="82"/>
        <v>2.9186288310141926</v>
      </c>
      <c r="T466">
        <f t="shared" si="83"/>
        <v>-27.173322911488061</v>
      </c>
    </row>
    <row r="467" spans="1:20" x14ac:dyDescent="0.35">
      <c r="A467">
        <v>2.75</v>
      </c>
      <c r="B467">
        <v>15.1875</v>
      </c>
      <c r="C467">
        <v>-3.9283236999999999E-2</v>
      </c>
      <c r="D467">
        <v>-4.4668439999999997E-2</v>
      </c>
      <c r="E467">
        <v>0.96071264000000001</v>
      </c>
      <c r="F467">
        <v>-4.7843815999999997E-2</v>
      </c>
      <c r="G467">
        <f t="shared" si="74"/>
        <v>4.8333804258618098</v>
      </c>
      <c r="H467">
        <f t="shared" si="75"/>
        <v>-6.2789481369130398</v>
      </c>
      <c r="I467">
        <f t="shared" si="76"/>
        <v>4.8333808851199702</v>
      </c>
      <c r="J467">
        <f t="shared" si="77"/>
        <v>-6.2805358274568901</v>
      </c>
      <c r="K467" s="7">
        <f t="shared" si="78"/>
        <v>-4.5925816039016402E-7</v>
      </c>
      <c r="L467" s="7">
        <f t="shared" si="79"/>
        <v>1.5876905438503299E-3</v>
      </c>
      <c r="M467" s="7">
        <f t="shared" si="80"/>
        <v>7.6956452153973703E-2</v>
      </c>
      <c r="N467" s="7">
        <f t="shared" si="81"/>
        <v>9.9997862033794002E-2</v>
      </c>
      <c r="O467">
        <v>2.2696141999999999</v>
      </c>
      <c r="P467">
        <v>-1.811072</v>
      </c>
      <c r="Q467">
        <v>3.4859089000000001</v>
      </c>
      <c r="R467">
        <v>-7.7465437000000001</v>
      </c>
      <c r="S467">
        <f t="shared" si="82"/>
        <v>2.9255455477106462</v>
      </c>
      <c r="T467">
        <f t="shared" si="83"/>
        <v>-27.183843418357288</v>
      </c>
    </row>
    <row r="468" spans="1:20" x14ac:dyDescent="0.35">
      <c r="A468">
        <v>2.75</v>
      </c>
      <c r="B468">
        <v>15.25</v>
      </c>
      <c r="C468">
        <v>-4.2518781999999998E-2</v>
      </c>
      <c r="D468">
        <v>-4.5289198000000003E-2</v>
      </c>
      <c r="E468">
        <v>0.95748107999999998</v>
      </c>
      <c r="F468">
        <v>-4.8476348000000002E-2</v>
      </c>
      <c r="G468">
        <f t="shared" si="74"/>
        <v>4.8070973629667604</v>
      </c>
      <c r="H468">
        <f t="shared" si="75"/>
        <v>-5.8509958432461797</v>
      </c>
      <c r="I468">
        <f t="shared" si="76"/>
        <v>4.80709983344211</v>
      </c>
      <c r="J468">
        <f t="shared" si="77"/>
        <v>-5.8525894144192501</v>
      </c>
      <c r="K468" s="7">
        <f t="shared" si="78"/>
        <v>-2.4704753496251901E-6</v>
      </c>
      <c r="L468" s="7">
        <f t="shared" si="79"/>
        <v>1.5935711730703499E-3</v>
      </c>
      <c r="M468" s="7">
        <f t="shared" si="80"/>
        <v>8.3804307039250597E-2</v>
      </c>
      <c r="N468" s="7">
        <f t="shared" si="81"/>
        <v>0.10203079138247401</v>
      </c>
      <c r="O468">
        <v>2.2913505000000001</v>
      </c>
      <c r="P468">
        <v>-1.9543398000000001</v>
      </c>
      <c r="Q468">
        <v>3.3576353999999999</v>
      </c>
      <c r="R468">
        <v>-8.1690010999999991</v>
      </c>
      <c r="S468">
        <f t="shared" si="82"/>
        <v>2.932699848574901</v>
      </c>
      <c r="T468">
        <f t="shared" si="83"/>
        <v>-27.194740425226623</v>
      </c>
    </row>
    <row r="469" spans="1:20" x14ac:dyDescent="0.35">
      <c r="A469">
        <v>2.75</v>
      </c>
      <c r="B469">
        <v>15.3125</v>
      </c>
      <c r="C469">
        <v>-4.5991615E-2</v>
      </c>
      <c r="D469">
        <v>-4.5717148999999999E-2</v>
      </c>
      <c r="E469">
        <v>0.95401347000000003</v>
      </c>
      <c r="F469">
        <v>-4.8917572999999999E-2</v>
      </c>
      <c r="G469">
        <f t="shared" si="74"/>
        <v>4.7813294318854496</v>
      </c>
      <c r="H469">
        <f t="shared" si="75"/>
        <v>-5.4330710011739303</v>
      </c>
      <c r="I469">
        <f t="shared" si="76"/>
        <v>4.7813345350313403</v>
      </c>
      <c r="J469">
        <f t="shared" si="77"/>
        <v>-5.4346712009393103</v>
      </c>
      <c r="K469" s="7">
        <f t="shared" si="78"/>
        <v>-5.1031458907502303E-6</v>
      </c>
      <c r="L469" s="7">
        <f t="shared" si="79"/>
        <v>1.60019976538006E-3</v>
      </c>
      <c r="M469" s="7">
        <f t="shared" si="80"/>
        <v>9.1252395784074902E-2</v>
      </c>
      <c r="N469" s="7">
        <f t="shared" si="81"/>
        <v>0.103721411616553</v>
      </c>
      <c r="O469">
        <v>2.3044967999999999</v>
      </c>
      <c r="P469">
        <v>-2.1079370000000002</v>
      </c>
      <c r="Q469">
        <v>3.1917059999999999</v>
      </c>
      <c r="R469">
        <v>-8.6073614000000003</v>
      </c>
      <c r="S469">
        <f t="shared" si="82"/>
        <v>2.9393562969908009</v>
      </c>
      <c r="T469">
        <f t="shared" si="83"/>
        <v>-27.20531275844661</v>
      </c>
    </row>
    <row r="470" spans="1:20" x14ac:dyDescent="0.35">
      <c r="A470">
        <v>2.75</v>
      </c>
      <c r="B470">
        <v>15.375</v>
      </c>
      <c r="C470">
        <v>-4.9701678999999999E-2</v>
      </c>
      <c r="D470">
        <v>-4.5908418999999999E-2</v>
      </c>
      <c r="E470">
        <v>0.95030988999999999</v>
      </c>
      <c r="F470">
        <v>-4.9123844E-2</v>
      </c>
      <c r="G470">
        <f t="shared" si="74"/>
        <v>4.7560789205979299</v>
      </c>
      <c r="H470">
        <f t="shared" si="75"/>
        <v>-5.0247367659404896</v>
      </c>
      <c r="I470">
        <f t="shared" si="76"/>
        <v>4.7560872897524096</v>
      </c>
      <c r="J470">
        <f t="shared" si="77"/>
        <v>-5.0263444556856101</v>
      </c>
      <c r="K470" s="7">
        <f t="shared" si="78"/>
        <v>-8.3691544796593592E-6</v>
      </c>
      <c r="L470" s="7">
        <f t="shared" si="79"/>
        <v>1.6076897451204901E-3</v>
      </c>
      <c r="M470" s="7">
        <f t="shared" si="80"/>
        <v>9.9324140453928095E-2</v>
      </c>
      <c r="N470" s="7">
        <f t="shared" si="81"/>
        <v>0.10496807822724601</v>
      </c>
      <c r="O470">
        <v>2.3069766</v>
      </c>
      <c r="P470">
        <v>-2.2717073999999999</v>
      </c>
      <c r="Q470">
        <v>2.9829221000000001</v>
      </c>
      <c r="R470">
        <v>-9.0589335000000002</v>
      </c>
      <c r="S470">
        <f t="shared" si="82"/>
        <v>2.9457214850368234</v>
      </c>
      <c r="T470">
        <f t="shared" si="83"/>
        <v>-27.215675443493488</v>
      </c>
    </row>
    <row r="471" spans="1:20" x14ac:dyDescent="0.35">
      <c r="A471">
        <v>2.75</v>
      </c>
      <c r="B471">
        <v>15.4375</v>
      </c>
      <c r="C471">
        <v>-5.3641290000000001E-2</v>
      </c>
      <c r="D471">
        <v>-4.5814127000000003E-2</v>
      </c>
      <c r="E471">
        <v>0.94637795999999996</v>
      </c>
      <c r="F471">
        <v>-4.9046408999999999E-2</v>
      </c>
      <c r="G471">
        <f t="shared" si="74"/>
        <v>4.7313451723082496</v>
      </c>
      <c r="H471">
        <f t="shared" si="75"/>
        <v>-4.6256452508052597</v>
      </c>
      <c r="I471">
        <f t="shared" si="76"/>
        <v>4.7313574090451098</v>
      </c>
      <c r="J471">
        <f t="shared" si="77"/>
        <v>-4.6272613564739604</v>
      </c>
      <c r="K471" s="7">
        <f t="shared" si="78"/>
        <v>-1.22367368602383E-5</v>
      </c>
      <c r="L471" s="7">
        <f t="shared" si="79"/>
        <v>1.61610566870074E-3</v>
      </c>
      <c r="M471" s="7">
        <f t="shared" si="80"/>
        <v>0.10802854114850299</v>
      </c>
      <c r="N471" s="7">
        <f t="shared" si="81"/>
        <v>0.10565177192006101</v>
      </c>
      <c r="O471">
        <v>2.2961079</v>
      </c>
      <c r="P471">
        <v>-2.4446683</v>
      </c>
      <c r="Q471">
        <v>2.7259492000000001</v>
      </c>
      <c r="R471">
        <v>-9.5195684000000007</v>
      </c>
      <c r="S471">
        <f t="shared" si="82"/>
        <v>2.9524517853543428</v>
      </c>
      <c r="T471">
        <f t="shared" si="83"/>
        <v>-27.22594461111126</v>
      </c>
    </row>
    <row r="472" spans="1:20" x14ac:dyDescent="0.35">
      <c r="A472">
        <v>2.75</v>
      </c>
      <c r="B472">
        <v>15.5</v>
      </c>
      <c r="C472">
        <v>-5.7793301999999998E-2</v>
      </c>
      <c r="D472">
        <v>-4.5381298E-2</v>
      </c>
      <c r="E472">
        <v>0.94223464999999995</v>
      </c>
      <c r="F472">
        <v>-4.8632393000000003E-2</v>
      </c>
      <c r="G472">
        <f t="shared" si="74"/>
        <v>4.7071245924490697</v>
      </c>
      <c r="H472">
        <f t="shared" si="75"/>
        <v>-4.2354930155431898</v>
      </c>
      <c r="I472">
        <f t="shared" si="76"/>
        <v>4.7071412105406401</v>
      </c>
      <c r="J472">
        <f t="shared" si="77"/>
        <v>-4.2371185133117297</v>
      </c>
      <c r="K472" s="7">
        <f t="shared" si="78"/>
        <v>-1.6618091570386201E-5</v>
      </c>
      <c r="L472" s="7">
        <f t="shared" si="79"/>
        <v>1.6254977685399301E-3</v>
      </c>
      <c r="M472" s="7">
        <f t="shared" si="80"/>
        <v>0.117354772878938</v>
      </c>
      <c r="N472" s="7">
        <f t="shared" si="81"/>
        <v>0.105636533630511</v>
      </c>
      <c r="O472">
        <v>2.2701175999999998</v>
      </c>
      <c r="P472">
        <v>-2.6264891000000001</v>
      </c>
      <c r="Q472">
        <v>2.4156268999999999</v>
      </c>
      <c r="R472">
        <v>-9.9841671999999999</v>
      </c>
      <c r="S472">
        <f t="shared" si="82"/>
        <v>2.9589500971601068</v>
      </c>
      <c r="T472">
        <f t="shared" si="83"/>
        <v>-27.236295093193633</v>
      </c>
    </row>
    <row r="473" spans="1:20" x14ac:dyDescent="0.35">
      <c r="A473">
        <v>2.75</v>
      </c>
      <c r="B473">
        <v>15.5625</v>
      </c>
      <c r="C473">
        <v>-6.2129061999999999E-2</v>
      </c>
      <c r="D473">
        <v>-4.4554448000000003E-2</v>
      </c>
      <c r="E473">
        <v>0.93790837999999999</v>
      </c>
      <c r="F473">
        <v>-4.7826367000000002E-2</v>
      </c>
      <c r="G473">
        <f t="shared" si="74"/>
        <v>4.6834117607647201</v>
      </c>
      <c r="H473">
        <f t="shared" si="75"/>
        <v>-3.8540054492969902</v>
      </c>
      <c r="I473">
        <f t="shared" si="76"/>
        <v>4.6834331576202697</v>
      </c>
      <c r="J473">
        <f t="shared" si="77"/>
        <v>-3.8556413431670302</v>
      </c>
      <c r="K473" s="7">
        <f t="shared" si="78"/>
        <v>-2.13968555495825E-5</v>
      </c>
      <c r="L473" s="7">
        <f t="shared" si="79"/>
        <v>1.63589387004004E-3</v>
      </c>
      <c r="M473" s="7">
        <f t="shared" si="80"/>
        <v>0.12726541981886</v>
      </c>
      <c r="N473" s="7">
        <f t="shared" si="81"/>
        <v>0.104771392629085</v>
      </c>
      <c r="O473">
        <v>2.2266189999999999</v>
      </c>
      <c r="P473">
        <v>-2.8158723000000001</v>
      </c>
      <c r="Q473">
        <v>2.0471634000000001</v>
      </c>
      <c r="R473">
        <v>-10.445665999999999</v>
      </c>
      <c r="S473">
        <f t="shared" si="82"/>
        <v>2.9651383418022039</v>
      </c>
      <c r="T473">
        <f t="shared" si="83"/>
        <v>-27.246376849004903</v>
      </c>
    </row>
    <row r="474" spans="1:20" x14ac:dyDescent="0.35">
      <c r="A474">
        <v>2.75</v>
      </c>
      <c r="B474">
        <v>15.625</v>
      </c>
      <c r="C474">
        <v>-6.6606442000000002E-2</v>
      </c>
      <c r="D474">
        <v>-4.3277993000000001E-2</v>
      </c>
      <c r="E474">
        <v>0.93344101999999995</v>
      </c>
      <c r="F474">
        <v>-4.6572764000000003E-2</v>
      </c>
      <c r="G474">
        <f t="shared" si="74"/>
        <v>4.6601995620399999</v>
      </c>
      <c r="H474">
        <f t="shared" si="75"/>
        <v>-3.4809287282027901</v>
      </c>
      <c r="I474">
        <f t="shared" si="76"/>
        <v>4.6602260061552796</v>
      </c>
      <c r="J474">
        <f t="shared" si="77"/>
        <v>-3.4825760310469902</v>
      </c>
      <c r="K474" s="7">
        <f t="shared" si="78"/>
        <v>-2.6444115279744599E-5</v>
      </c>
      <c r="L474" s="7">
        <f t="shared" si="79"/>
        <v>1.64730284420012E-3</v>
      </c>
      <c r="M474" s="7">
        <f t="shared" si="80"/>
        <v>0.13768894965755099</v>
      </c>
      <c r="N474" s="7">
        <f t="shared" si="81"/>
        <v>0.10289463111533199</v>
      </c>
      <c r="O474">
        <v>2.1629322000000002</v>
      </c>
      <c r="P474">
        <v>-3.0104687999999999</v>
      </c>
      <c r="Q474">
        <v>1.6166361</v>
      </c>
      <c r="R474">
        <v>-10.895493999999999</v>
      </c>
      <c r="S474">
        <f t="shared" si="82"/>
        <v>2.9714155367013992</v>
      </c>
      <c r="T474">
        <f t="shared" si="83"/>
        <v>-27.256344913307334</v>
      </c>
    </row>
    <row r="475" spans="1:20" x14ac:dyDescent="0.35">
      <c r="A475">
        <v>2.75</v>
      </c>
      <c r="B475">
        <v>15.6875</v>
      </c>
      <c r="C475">
        <v>-7.1168274000000004E-2</v>
      </c>
      <c r="D475">
        <v>-4.1499592000000002E-2</v>
      </c>
      <c r="E475">
        <v>0.92888948000000005</v>
      </c>
      <c r="F475">
        <v>-4.4819229000000002E-2</v>
      </c>
      <c r="G475">
        <f t="shared" si="74"/>
        <v>4.6374795593571196</v>
      </c>
      <c r="H475">
        <f t="shared" si="75"/>
        <v>-3.1160263581114802</v>
      </c>
      <c r="I475">
        <f t="shared" si="76"/>
        <v>4.6375111902744797</v>
      </c>
      <c r="J475">
        <f t="shared" si="77"/>
        <v>-3.11768607618222</v>
      </c>
      <c r="K475" s="7">
        <f t="shared" si="78"/>
        <v>-3.1630917360026003E-5</v>
      </c>
      <c r="L475" s="7">
        <f t="shared" si="79"/>
        <v>1.6597180707398399E-3</v>
      </c>
      <c r="M475" s="7">
        <f t="shared" si="80"/>
        <v>0.14851215086202399</v>
      </c>
      <c r="N475" s="7">
        <f t="shared" si="81"/>
        <v>9.98411100025835E-2</v>
      </c>
      <c r="O475">
        <v>2.077</v>
      </c>
      <c r="P475">
        <v>-3.2078304000000002</v>
      </c>
      <c r="Q475">
        <v>1.1214793000000001</v>
      </c>
      <c r="R475">
        <v>-11.323764000000001</v>
      </c>
      <c r="S475">
        <f t="shared" si="82"/>
        <v>2.9776444632170889</v>
      </c>
      <c r="T475">
        <f t="shared" si="83"/>
        <v>-27.26617674914996</v>
      </c>
    </row>
    <row r="476" spans="1:20" x14ac:dyDescent="0.35">
      <c r="A476">
        <v>2.75</v>
      </c>
      <c r="B476">
        <v>15.75</v>
      </c>
      <c r="C476">
        <v>-7.5741626000000006E-2</v>
      </c>
      <c r="D476">
        <v>-3.9174407000000001E-2</v>
      </c>
      <c r="E476">
        <v>0.92432647999999995</v>
      </c>
      <c r="F476">
        <v>-4.2520902999999999E-2</v>
      </c>
      <c r="G476">
        <f t="shared" si="74"/>
        <v>4.6152423240482197</v>
      </c>
      <c r="H476">
        <f t="shared" si="75"/>
        <v>-2.7590776428285899</v>
      </c>
      <c r="I476">
        <f t="shared" si="76"/>
        <v>4.6152791753536899</v>
      </c>
      <c r="J476">
        <f t="shared" si="77"/>
        <v>-2.76075077219215</v>
      </c>
      <c r="K476" s="7">
        <f t="shared" si="78"/>
        <v>-3.6851305470264599E-5</v>
      </c>
      <c r="L476" s="7">
        <f t="shared" si="79"/>
        <v>1.6731293635601199E-3</v>
      </c>
      <c r="M476" s="7">
        <f t="shared" si="80"/>
        <v>0.159573747927684</v>
      </c>
      <c r="N476" s="7">
        <f t="shared" si="81"/>
        <v>9.5453239354515704E-2</v>
      </c>
      <c r="O476">
        <v>1.9668793</v>
      </c>
      <c r="P476">
        <v>-3.4044699</v>
      </c>
      <c r="Q476">
        <v>0.56098718000000003</v>
      </c>
      <c r="R476">
        <v>-11.718939000000001</v>
      </c>
      <c r="S476">
        <f t="shared" si="82"/>
        <v>2.9839683704944759</v>
      </c>
      <c r="T476">
        <f t="shared" si="83"/>
        <v>-27.275838650695132</v>
      </c>
    </row>
    <row r="477" spans="1:20" x14ac:dyDescent="0.35">
      <c r="A477">
        <v>2.75</v>
      </c>
      <c r="B477">
        <v>15.8125</v>
      </c>
      <c r="C477">
        <v>-8.0238370000000003E-2</v>
      </c>
      <c r="D477">
        <v>-3.6270083000000002E-2</v>
      </c>
      <c r="E477">
        <v>0.91983994000000002</v>
      </c>
      <c r="F477">
        <v>-3.9645409999999999E-2</v>
      </c>
      <c r="G477">
        <f t="shared" si="74"/>
        <v>4.5934772959127397</v>
      </c>
      <c r="H477">
        <f t="shared" si="75"/>
        <v>-2.4098745603406901</v>
      </c>
      <c r="I477">
        <f t="shared" si="76"/>
        <v>4.59351929724511</v>
      </c>
      <c r="J477">
        <f t="shared" si="77"/>
        <v>-2.41156208688147</v>
      </c>
      <c r="K477" s="7">
        <f t="shared" si="78"/>
        <v>-4.20013323703117E-5</v>
      </c>
      <c r="L477" s="7">
        <f t="shared" si="79"/>
        <v>1.6875265407798601E-3</v>
      </c>
      <c r="M477" s="7">
        <f t="shared" si="80"/>
        <v>0.17066096573650499</v>
      </c>
      <c r="N477" s="7">
        <f t="shared" si="81"/>
        <v>8.95956864549496E-2</v>
      </c>
      <c r="O477">
        <v>1.8315364999999999</v>
      </c>
      <c r="P477">
        <v>-3.5968252000000001</v>
      </c>
      <c r="Q477">
        <v>-6.3134540000000003E-2</v>
      </c>
      <c r="R477">
        <v>-12.068567</v>
      </c>
      <c r="S477">
        <f t="shared" si="82"/>
        <v>2.9900520364207956</v>
      </c>
      <c r="T477">
        <f t="shared" si="83"/>
        <v>-27.285343077124502</v>
      </c>
    </row>
    <row r="478" spans="1:20" x14ac:dyDescent="0.35">
      <c r="A478">
        <v>2.75</v>
      </c>
      <c r="B478">
        <v>15.875</v>
      </c>
      <c r="C478">
        <v>-8.4557485000000002E-2</v>
      </c>
      <c r="D478">
        <v>-3.2772010999999997E-2</v>
      </c>
      <c r="E478">
        <v>0.91553066000000005</v>
      </c>
      <c r="F478">
        <v>-3.6178114999999997E-2</v>
      </c>
      <c r="G478">
        <f t="shared" si="74"/>
        <v>4.57217295699252</v>
      </c>
      <c r="H478">
        <f t="shared" si="75"/>
        <v>-2.0682200364249801</v>
      </c>
      <c r="I478">
        <f t="shared" si="76"/>
        <v>4.5722199275444897</v>
      </c>
      <c r="J478">
        <f t="shared" si="77"/>
        <v>-2.0699229333807598</v>
      </c>
      <c r="K478" s="7">
        <f t="shared" si="78"/>
        <v>-4.6970551969671703E-5</v>
      </c>
      <c r="L478" s="7">
        <f t="shared" si="79"/>
        <v>1.70289695577974E-3</v>
      </c>
      <c r="M478" s="7">
        <f t="shared" si="80"/>
        <v>0.18151094017849401</v>
      </c>
      <c r="N478" s="7">
        <f t="shared" si="81"/>
        <v>8.2173137707473601E-2</v>
      </c>
      <c r="O478">
        <v>1.6704186999999999</v>
      </c>
      <c r="P478">
        <v>-3.7802861999999999</v>
      </c>
      <c r="Q478">
        <v>-0.74628463</v>
      </c>
      <c r="R478">
        <v>-12.359934000000001</v>
      </c>
      <c r="S478">
        <f t="shared" si="82"/>
        <v>2.9960665869483636</v>
      </c>
      <c r="T478">
        <f t="shared" si="83"/>
        <v>-27.294783340588861</v>
      </c>
    </row>
    <row r="479" spans="1:20" x14ac:dyDescent="0.35">
      <c r="A479">
        <v>2.75</v>
      </c>
      <c r="B479">
        <v>15.9375</v>
      </c>
      <c r="C479">
        <v>-8.8589362000000005E-2</v>
      </c>
      <c r="D479">
        <v>-2.8688193000000001E-2</v>
      </c>
      <c r="E479">
        <v>0.91150799000000005</v>
      </c>
      <c r="F479">
        <v>-3.2126969999999998E-2</v>
      </c>
      <c r="G479">
        <f t="shared" si="74"/>
        <v>4.5513170362215103</v>
      </c>
      <c r="H479">
        <f t="shared" si="75"/>
        <v>-1.73392613132896</v>
      </c>
      <c r="I479">
        <f t="shared" si="76"/>
        <v>4.55136866570869</v>
      </c>
      <c r="J479">
        <f t="shared" si="77"/>
        <v>-1.73564534737325</v>
      </c>
      <c r="K479" s="7">
        <f t="shared" si="78"/>
        <v>-5.1629487179738503E-5</v>
      </c>
      <c r="L479" s="7">
        <f t="shared" si="79"/>
        <v>1.7192160442900399E-3</v>
      </c>
      <c r="M479" s="7">
        <f t="shared" si="80"/>
        <v>0.19181893258494201</v>
      </c>
      <c r="N479" s="7">
        <f t="shared" si="81"/>
        <v>7.3149345248066794E-2</v>
      </c>
      <c r="O479">
        <v>1.4840542999999999</v>
      </c>
      <c r="P479">
        <v>-3.9499485999999999</v>
      </c>
      <c r="Q479">
        <v>-1.4805324</v>
      </c>
      <c r="R479">
        <v>-12.580306</v>
      </c>
      <c r="S479">
        <f t="shared" si="82"/>
        <v>3.0020163698890525</v>
      </c>
      <c r="T479">
        <f t="shared" si="83"/>
        <v>-27.304011220272834</v>
      </c>
    </row>
    <row r="480" spans="1:20" x14ac:dyDescent="0.35">
      <c r="A480">
        <v>2.75</v>
      </c>
      <c r="B480">
        <v>16</v>
      </c>
      <c r="C480">
        <v>-9.2222079999999998E-2</v>
      </c>
      <c r="D480">
        <v>-2.4052871E-2</v>
      </c>
      <c r="E480">
        <v>0.90788356999999997</v>
      </c>
      <c r="F480">
        <v>-2.7526102E-2</v>
      </c>
      <c r="G480">
        <f t="shared" si="74"/>
        <v>4.5308971106565297</v>
      </c>
      <c r="H480">
        <f t="shared" si="75"/>
        <v>-1.40681348185609</v>
      </c>
      <c r="I480">
        <f t="shared" si="76"/>
        <v>4.5309529482126001</v>
      </c>
      <c r="J480">
        <f t="shared" si="77"/>
        <v>-1.4085499086609801</v>
      </c>
      <c r="K480" s="7">
        <f t="shared" si="78"/>
        <v>-5.5837556070415003E-5</v>
      </c>
      <c r="L480" s="7">
        <f t="shared" si="79"/>
        <v>1.7364268048900601E-3</v>
      </c>
      <c r="M480" s="7">
        <f t="shared" si="80"/>
        <v>0.20125450933206199</v>
      </c>
      <c r="N480" s="7">
        <f t="shared" si="81"/>
        <v>6.2564547453337296E-2</v>
      </c>
      <c r="O480">
        <v>1.2741795</v>
      </c>
      <c r="P480">
        <v>-4.1009976000000004</v>
      </c>
      <c r="Q480">
        <v>-2.2548465000000002</v>
      </c>
      <c r="R480">
        <v>-12.718831</v>
      </c>
      <c r="S480">
        <f t="shared" si="82"/>
        <v>3.0079204980848284</v>
      </c>
      <c r="T480">
        <f t="shared" si="83"/>
        <v>-27.313190387888792</v>
      </c>
    </row>
    <row r="481" spans="1:22" x14ac:dyDescent="0.35">
      <c r="A481">
        <v>2.75</v>
      </c>
      <c r="B481">
        <v>16.0625</v>
      </c>
      <c r="C481">
        <v>-9.5349219999999998E-2</v>
      </c>
      <c r="D481">
        <v>-1.8928018000000001E-2</v>
      </c>
      <c r="E481">
        <v>0.90476349</v>
      </c>
      <c r="F481">
        <v>-2.2437273000000001E-2</v>
      </c>
      <c r="G481">
        <f t="shared" si="74"/>
        <v>4.5108997433533498</v>
      </c>
      <c r="H481">
        <f t="shared" si="75"/>
        <v>-1.0867097505284899</v>
      </c>
      <c r="I481">
        <f t="shared" si="76"/>
        <v>4.5109591733653902</v>
      </c>
      <c r="J481">
        <f t="shared" si="77"/>
        <v>-1.0884641748803801</v>
      </c>
      <c r="K481" s="7">
        <f t="shared" si="78"/>
        <v>-5.9430012040451202E-5</v>
      </c>
      <c r="L481" s="7">
        <f t="shared" si="79"/>
        <v>1.7544243518901E-3</v>
      </c>
      <c r="M481" s="7">
        <f t="shared" si="80"/>
        <v>0.20948557935012699</v>
      </c>
      <c r="N481" s="7">
        <f t="shared" si="81"/>
        <v>5.0547464411335501E-2</v>
      </c>
      <c r="O481">
        <v>1.0437243</v>
      </c>
      <c r="P481">
        <v>-4.2288698</v>
      </c>
      <c r="Q481">
        <v>-3.0552104999999998</v>
      </c>
      <c r="R481">
        <v>-12.766812</v>
      </c>
      <c r="S481">
        <f t="shared" si="82"/>
        <v>3.01377328864656</v>
      </c>
      <c r="T481">
        <f t="shared" si="83"/>
        <v>-27.322335227619838</v>
      </c>
    </row>
    <row r="482" spans="1:22" x14ac:dyDescent="0.35">
      <c r="A482">
        <v>2.75</v>
      </c>
      <c r="B482">
        <v>16.125</v>
      </c>
      <c r="C482">
        <v>-9.7878334999999997E-2</v>
      </c>
      <c r="D482">
        <v>-1.3402010000000001E-2</v>
      </c>
      <c r="E482">
        <v>0.90223991000000003</v>
      </c>
      <c r="F482">
        <v>-1.6948535000000001E-2</v>
      </c>
      <c r="G482">
        <f t="shared" si="74"/>
        <v>4.4913117735304198</v>
      </c>
      <c r="H482">
        <f t="shared" si="75"/>
        <v>-0.77344999767224498</v>
      </c>
      <c r="I482">
        <f t="shared" si="76"/>
        <v>4.4913740364274997</v>
      </c>
      <c r="J482">
        <f t="shared" si="77"/>
        <v>-0.77522304493679794</v>
      </c>
      <c r="K482" s="7">
        <f t="shared" si="78"/>
        <v>-6.2262897079889994E-5</v>
      </c>
      <c r="L482" s="7">
        <f t="shared" si="79"/>
        <v>1.7730472645529601E-3</v>
      </c>
      <c r="M482" s="7">
        <f t="shared" si="80"/>
        <v>0.21620782101463701</v>
      </c>
      <c r="N482" s="7">
        <f t="shared" si="81"/>
        <v>3.73180420928459E-2</v>
      </c>
      <c r="O482">
        <v>0.79683541000000002</v>
      </c>
      <c r="P482">
        <v>-4.3301204000000002</v>
      </c>
      <c r="Q482">
        <v>-3.8652893000000001</v>
      </c>
      <c r="R482">
        <v>-12.718783999999999</v>
      </c>
      <c r="S482">
        <f t="shared" si="82"/>
        <v>3.0192310827540374</v>
      </c>
      <c r="T482">
        <f t="shared" si="83"/>
        <v>-27.331238540614059</v>
      </c>
    </row>
    <row r="483" spans="1:22" x14ac:dyDescent="0.35">
      <c r="A483">
        <v>2.75</v>
      </c>
      <c r="B483">
        <v>16.1875</v>
      </c>
      <c r="C483">
        <v>-9.9738873000000006E-2</v>
      </c>
      <c r="D483">
        <v>-7.5852337000000001E-3</v>
      </c>
      <c r="E483">
        <v>0.90038313999999997</v>
      </c>
      <c r="F483">
        <v>-1.1169847E-2</v>
      </c>
      <c r="G483">
        <f t="shared" si="74"/>
        <v>4.4721193165643998</v>
      </c>
      <c r="H483">
        <f t="shared" si="75"/>
        <v>-0.46687631638598398</v>
      </c>
      <c r="I483">
        <f t="shared" si="76"/>
        <v>4.4721835311077998</v>
      </c>
      <c r="J483">
        <f t="shared" si="77"/>
        <v>-0.46866839861516602</v>
      </c>
      <c r="K483" s="7">
        <f t="shared" si="78"/>
        <v>-6.4214543399998506E-5</v>
      </c>
      <c r="L483" s="7">
        <f t="shared" si="79"/>
        <v>1.7920822291820301E-3</v>
      </c>
      <c r="M483" s="7">
        <f t="shared" si="80"/>
        <v>0.22117541095016799</v>
      </c>
      <c r="N483" s="7">
        <f t="shared" si="81"/>
        <v>2.31783702395124E-2</v>
      </c>
      <c r="O483">
        <v>0.53827875999999997</v>
      </c>
      <c r="P483">
        <v>-4.4005646</v>
      </c>
      <c r="Q483">
        <v>-4.6675865999999999</v>
      </c>
      <c r="R483">
        <v>-12.573383</v>
      </c>
      <c r="S483">
        <f t="shared" si="82"/>
        <v>3.0251969325751347</v>
      </c>
      <c r="T483">
        <f t="shared" si="83"/>
        <v>-27.340113198025147</v>
      </c>
    </row>
    <row r="484" spans="1:22" x14ac:dyDescent="0.35">
      <c r="A484" s="12">
        <v>2.75</v>
      </c>
      <c r="B484" s="12">
        <v>16.25</v>
      </c>
      <c r="C484" s="12">
        <v>-0.10088828</v>
      </c>
      <c r="D484" s="12">
        <v>-1.6029497E-3</v>
      </c>
      <c r="E484" s="12">
        <v>0.89923562000000001</v>
      </c>
      <c r="F484" s="12">
        <v>-5.2259697999999999E-3</v>
      </c>
      <c r="G484" s="12">
        <f t="shared" si="74"/>
        <v>4.4533088972118904</v>
      </c>
      <c r="H484" s="12">
        <f t="shared" si="75"/>
        <v>-0.166838095515983</v>
      </c>
      <c r="I484" s="12">
        <f t="shared" si="76"/>
        <v>4.4533741243224103</v>
      </c>
      <c r="J484" s="12">
        <f t="shared" si="77"/>
        <v>-0.16864937519764001</v>
      </c>
      <c r="K484" s="7">
        <f t="shared" si="78"/>
        <v>-6.5227110519927605E-5</v>
      </c>
      <c r="L484" s="7">
        <f t="shared" si="79"/>
        <v>1.81127968165701E-3</v>
      </c>
      <c r="M484" s="7">
        <f t="shared" si="80"/>
        <v>0.224227268444081</v>
      </c>
      <c r="N484" s="7">
        <f t="shared" si="81"/>
        <v>8.4914915454406305E-3</v>
      </c>
      <c r="O484" s="12">
        <v>0.27387873000000001</v>
      </c>
      <c r="P484" s="12">
        <v>-4.4406347000000004</v>
      </c>
      <c r="Q484" s="12">
        <v>-5.4445829000000003</v>
      </c>
      <c r="R484" s="12">
        <v>-12.333428</v>
      </c>
      <c r="S484" s="12">
        <f t="shared" si="82"/>
        <v>3.0302328752489718</v>
      </c>
      <c r="T484" s="12">
        <f t="shared" si="83"/>
        <v>-27.348306428396974</v>
      </c>
    </row>
    <row r="485" spans="1:22" x14ac:dyDescent="0.35">
      <c r="A485" s="10">
        <v>2.75</v>
      </c>
      <c r="B485">
        <v>16.3125</v>
      </c>
      <c r="C485" s="10">
        <v>-0.10131526</v>
      </c>
      <c r="D485" s="10">
        <v>4.4136540000000004E-3</v>
      </c>
      <c r="E485" s="10">
        <v>0.89880866000000004</v>
      </c>
      <c r="F485" s="10">
        <v>7.5243220999999996E-4</v>
      </c>
      <c r="G485" s="10">
        <f t="shared" ref="G485:G548" si="84">IMREAL(IMDIV(IMSUM(IMPRODUCT(COMPLEX(1 + C485,D485),COMPLEX(1 - C485, - D485)),IMPRODUCT(COMPLEX(E485,F485),COMPLEX(E485,F485))),IMSUB(IMPRODUCT(COMPLEX(1 - C485, - D485),COMPLEX(1 - C485, - D485)),IMPRODUCT(COMPLEX(E485,F485),COMPLEX(E485,F485)))))</f>
        <v>4.4348663927790302</v>
      </c>
      <c r="H485" s="10">
        <f t="shared" ref="H485:H548" si="85">IMAGINARY(IMDIV(IMSUM(IMPRODUCT(COMPLEX(1 + C485,D485),COMPLEX(1 - C485, - D485)),IMPRODUCT(COMPLEX(E485,F485),COMPLEX(E485,F485))),IMSUB(IMPRODUCT(COMPLEX(1 - C485, - D485),COMPLEX(1 - C485, - D485)),IMPRODUCT(COMPLEX(E485,F485),COMPLEX(E485,F485)))))</f>
        <v>0.126807944609649</v>
      </c>
      <c r="I485" s="10">
        <f t="shared" ref="I485:I548" si="86">IMREAL(IMDIV(IMPRODUCT(COMPLEX(2,0),COMPLEX(E485,F485)),IMSUB(IMPRODUCT(COMPLEX(1 - C485, - D485),COMPLEX(1 - C485, - D485)),IMPRODUCT(COMPLEX(E485,F485),COMPLEX(E485,F485)))))</f>
        <v>4.4349316994424202</v>
      </c>
      <c r="J485" s="10">
        <f t="shared" ref="J485:J548" si="87">IMAGINARY(IMDIV(IMPRODUCT(COMPLEX(2,0),COMPLEX(E485,F485)),IMSUB(IMPRODUCT(COMPLEX(1 - C485, - D485),COMPLEX(1 - C485, - D485)),IMPRODUCT(COMPLEX(E485,F485),COMPLEX(E485,F485)))))</f>
        <v>0.124977566675955</v>
      </c>
      <c r="K485" s="7">
        <f t="shared" ref="K485:K548" si="88">IMREAL(IMSUB(COMPLEX(G485,H485),COMPLEX(I485,J485)))</f>
        <v>-6.53066633899968E-5</v>
      </c>
      <c r="L485" s="7">
        <f t="shared" ref="L485:L548" si="89">IMAGINARY(IMSUB(COMPLEX(G485,H485),COMPLEX(I485,J485)))</f>
        <v>1.8303779336940099E-3</v>
      </c>
      <c r="M485" s="7">
        <f t="shared" ref="M485:M548" si="90">IMREAL(IMDIV(IMSUB(IMPRODUCT(COMPLEX(1 - C485, - D485),COMPLEX(1 - C485, - D485)),IMPRODUCT(COMPLEX(E485,F485),COMPLEX(E485,F485))),IMPRODUCT(COMPLEX(2,0),COMPLEX(E485,F485))))</f>
        <v>0.225303695820913</v>
      </c>
      <c r="N485" s="7">
        <f t="shared" ref="N485:N548" si="91">IMAGINARY(IMDIV(IMSUB(IMPRODUCT(COMPLEX(1 - C485, - D485),COMPLEX(1 - C485, - D485)),IMPRODUCT(COMPLEX(E485,F485),COMPLEX(E485,F485))),IMPRODUCT(COMPLEX(2,0),COMPLEX(E485,F485))))</f>
        <v>-6.3491186730874399E-3</v>
      </c>
      <c r="O485" s="10">
        <v>9.2761661999999998E-3</v>
      </c>
      <c r="P485" s="10">
        <v>-4.4472307999999998</v>
      </c>
      <c r="Q485" s="10">
        <v>-6.1802465</v>
      </c>
      <c r="R485" s="10">
        <v>-12.006065</v>
      </c>
      <c r="S485" s="10">
        <f t="shared" ref="S485:S548" si="92">IMABS(COMPLEX(Q485,R485))/IMABS(COMPLEX(O485,P485))</f>
        <v>3.0363484146687996</v>
      </c>
      <c r="T485" s="10">
        <f t="shared" ref="T485:T548" si="93">IMARGUMENT(IMDIV(COMPLEX(Q485,R485),COMPLEX(O485/B485,P485/B485)))/PI()*180</f>
        <v>-27.357123922726778</v>
      </c>
      <c r="U485" s="8"/>
      <c r="V485" s="8"/>
    </row>
    <row r="486" spans="1:22" x14ac:dyDescent="0.35">
      <c r="A486" s="12">
        <v>2.75</v>
      </c>
      <c r="B486">
        <v>16.375</v>
      </c>
      <c r="C486" s="12">
        <v>-0.10103964</v>
      </c>
      <c r="D486" s="12">
        <v>1.0336925E-2</v>
      </c>
      <c r="E486" s="12">
        <v>0.89908257000000003</v>
      </c>
      <c r="F486" s="12">
        <v>6.6381911000000004E-3</v>
      </c>
      <c r="G486" s="12">
        <f t="shared" si="84"/>
        <v>4.4167782318717697</v>
      </c>
      <c r="H486" s="12">
        <f t="shared" si="85"/>
        <v>0.41419768990734601</v>
      </c>
      <c r="I486" s="12">
        <f t="shared" si="86"/>
        <v>4.4168427526577201</v>
      </c>
      <c r="J486" s="12">
        <f t="shared" si="87"/>
        <v>0.41234855527132702</v>
      </c>
      <c r="K486" s="7">
        <f t="shared" si="88"/>
        <v>-6.4520785950428206E-5</v>
      </c>
      <c r="L486" s="7">
        <f t="shared" si="89"/>
        <v>1.84913463601899E-3</v>
      </c>
      <c r="M486" s="7">
        <f t="shared" si="90"/>
        <v>0.22444981794725499</v>
      </c>
      <c r="N486" s="7">
        <f t="shared" si="91"/>
        <v>-2.0954234357963598E-2</v>
      </c>
      <c r="O486" s="12">
        <v>-0.24990082</v>
      </c>
      <c r="P486" s="12">
        <v>-4.4245283000000004</v>
      </c>
      <c r="Q486" s="12">
        <v>-6.8605067000000002</v>
      </c>
      <c r="R486" s="12">
        <v>-11.601435</v>
      </c>
      <c r="S486" s="12">
        <f t="shared" si="92"/>
        <v>3.0413813579811144</v>
      </c>
      <c r="T486" s="12">
        <f t="shared" si="93"/>
        <v>-27.365264700875876</v>
      </c>
      <c r="U486" s="8"/>
      <c r="V486" s="8"/>
    </row>
    <row r="487" spans="1:22" x14ac:dyDescent="0.35">
      <c r="A487" s="10">
        <v>2.75</v>
      </c>
      <c r="B487">
        <v>16.4375</v>
      </c>
      <c r="C487" s="10">
        <v>-0.10010537999999999</v>
      </c>
      <c r="D487" s="10">
        <v>1.6055607E-2</v>
      </c>
      <c r="E487" s="10">
        <v>0.90011702000000005</v>
      </c>
      <c r="F487" s="10">
        <v>1.2446418000000001E-2</v>
      </c>
      <c r="G487" s="10">
        <f t="shared" si="84"/>
        <v>4.4006922234402301</v>
      </c>
      <c r="H487" s="10">
        <f t="shared" si="85"/>
        <v>0.69934915929397301</v>
      </c>
      <c r="I487" s="10">
        <f t="shared" si="86"/>
        <v>4.4008066665407304</v>
      </c>
      <c r="J487" s="10">
        <f t="shared" si="87"/>
        <v>0.69754497194299803</v>
      </c>
      <c r="K487" s="7">
        <f t="shared" si="88"/>
        <v>-1.1444310050023901E-4</v>
      </c>
      <c r="L487" s="7">
        <f t="shared" si="89"/>
        <v>1.80418735097498E-3</v>
      </c>
      <c r="M487" s="7">
        <f t="shared" si="90"/>
        <v>0.22166214319297001</v>
      </c>
      <c r="N487" s="7">
        <f t="shared" si="91"/>
        <v>-3.5134311768324898E-2</v>
      </c>
      <c r="O487" s="10">
        <v>-0.49901793</v>
      </c>
      <c r="P487" s="10">
        <v>-4.3716309000000004</v>
      </c>
      <c r="Q487" s="10">
        <v>-7.4743342999999998</v>
      </c>
      <c r="R487" s="10">
        <v>-11.131124</v>
      </c>
      <c r="S487" s="10">
        <f t="shared" si="92"/>
        <v>3.0472006868417592</v>
      </c>
      <c r="T487" s="10">
        <f t="shared" si="93"/>
        <v>-27.368518488188059</v>
      </c>
      <c r="U487" s="8"/>
      <c r="V487" s="8"/>
    </row>
    <row r="488" spans="1:22" x14ac:dyDescent="0.35">
      <c r="A488" s="12">
        <v>2.75</v>
      </c>
      <c r="B488">
        <v>16.5</v>
      </c>
      <c r="C488" s="12">
        <v>-9.8588989000000002E-2</v>
      </c>
      <c r="D488" s="12">
        <v>2.146402E-2</v>
      </c>
      <c r="E488" s="12">
        <v>0.90164328000000005</v>
      </c>
      <c r="F488" s="12">
        <v>1.7812772000000001E-2</v>
      </c>
      <c r="G488" s="12">
        <f t="shared" si="84"/>
        <v>4.3832615753825701</v>
      </c>
      <c r="H488" s="12">
        <f t="shared" si="85"/>
        <v>0.97479111411914099</v>
      </c>
      <c r="I488" s="12">
        <f t="shared" si="86"/>
        <v>4.3833810281278804</v>
      </c>
      <c r="J488" s="12">
        <f t="shared" si="87"/>
        <v>0.97296592016292904</v>
      </c>
      <c r="K488" s="7">
        <f t="shared" si="88"/>
        <v>-1.19452745310333E-4</v>
      </c>
      <c r="L488" s="7">
        <f t="shared" si="89"/>
        <v>1.82519395621195E-3</v>
      </c>
      <c r="M488" s="7">
        <f t="shared" si="90"/>
        <v>0.217422152256456</v>
      </c>
      <c r="N488" s="7">
        <f t="shared" si="91"/>
        <v>-4.82605420511108E-2</v>
      </c>
      <c r="O488" s="12">
        <v>-0.73318353000000003</v>
      </c>
      <c r="P488" s="12">
        <v>-4.2948205000000002</v>
      </c>
      <c r="Q488" s="12">
        <v>-8.0154788999999997</v>
      </c>
      <c r="R488" s="12">
        <v>-10.612209</v>
      </c>
      <c r="S488" s="12">
        <f t="shared" si="92"/>
        <v>3.0523924053909881</v>
      </c>
      <c r="T488" s="12">
        <f t="shared" si="93"/>
        <v>-27.376248367076119</v>
      </c>
      <c r="U488" s="8"/>
      <c r="V488" s="8"/>
    </row>
    <row r="489" spans="1:22" x14ac:dyDescent="0.35">
      <c r="A489" s="10">
        <v>2.75</v>
      </c>
      <c r="B489">
        <v>16.5625</v>
      </c>
      <c r="C489" s="10">
        <v>-9.6569584E-2</v>
      </c>
      <c r="D489" s="10">
        <v>2.649775E-2</v>
      </c>
      <c r="E489" s="10">
        <v>0.90340666999999997</v>
      </c>
      <c r="F489" s="10">
        <v>2.2825060000000001E-2</v>
      </c>
      <c r="G489" s="10">
        <f t="shared" si="84"/>
        <v>4.3601026403801502</v>
      </c>
      <c r="H489" s="10">
        <f t="shared" si="85"/>
        <v>1.2419105975887901</v>
      </c>
      <c r="I489" s="10">
        <f t="shared" si="86"/>
        <v>4.3600941395108901</v>
      </c>
      <c r="J489" s="10">
        <f t="shared" si="87"/>
        <v>1.2400742151749</v>
      </c>
      <c r="K489" s="7">
        <f t="shared" si="88"/>
        <v>8.5008692600752107E-6</v>
      </c>
      <c r="L489" s="7">
        <f t="shared" si="89"/>
        <v>1.8363824138900599E-3</v>
      </c>
      <c r="M489" s="7">
        <f t="shared" si="90"/>
        <v>0.21218856571828701</v>
      </c>
      <c r="N489" s="7">
        <f t="shared" si="91"/>
        <v>-6.03495155569529E-2</v>
      </c>
      <c r="O489" s="10">
        <v>-0.94925161000000002</v>
      </c>
      <c r="P489" s="10">
        <v>-4.1973455</v>
      </c>
      <c r="Q489" s="10">
        <v>-8.4809148000000008</v>
      </c>
      <c r="R489" s="10">
        <v>-10.058612999999999</v>
      </c>
      <c r="S489" s="10">
        <f t="shared" si="92"/>
        <v>3.0573437911043664</v>
      </c>
      <c r="T489" s="10">
        <f t="shared" si="93"/>
        <v>-27.392528621624162</v>
      </c>
      <c r="U489" s="8"/>
      <c r="V489" s="8"/>
    </row>
    <row r="490" spans="1:22" x14ac:dyDescent="0.35">
      <c r="A490" s="12">
        <v>2.75</v>
      </c>
      <c r="B490">
        <v>16.625</v>
      </c>
      <c r="C490" s="12">
        <v>-9.4143462999999997E-2</v>
      </c>
      <c r="D490" s="12">
        <v>3.1095356000000001E-2</v>
      </c>
      <c r="E490" s="12">
        <v>0.90583493999999998</v>
      </c>
      <c r="F490" s="12">
        <v>2.7398136999999999E-2</v>
      </c>
      <c r="G490" s="12">
        <f t="shared" si="84"/>
        <v>4.3431320190473404</v>
      </c>
      <c r="H490" s="12">
        <f t="shared" si="85"/>
        <v>1.5053251233129099</v>
      </c>
      <c r="I490" s="12">
        <f t="shared" si="86"/>
        <v>4.3431246378868398</v>
      </c>
      <c r="J490" s="12">
        <f t="shared" si="87"/>
        <v>1.5034764802054501</v>
      </c>
      <c r="K490" s="7">
        <f t="shared" si="88"/>
        <v>7.3811605005857902E-6</v>
      </c>
      <c r="L490" s="7">
        <f t="shared" si="89"/>
        <v>1.8486431074598E-3</v>
      </c>
      <c r="M490" s="7">
        <f t="shared" si="90"/>
        <v>0.20560947958497999</v>
      </c>
      <c r="N490" s="7">
        <f t="shared" si="91"/>
        <v>-7.1176639502040506E-2</v>
      </c>
      <c r="O490" s="12">
        <v>-1.1459763000000001</v>
      </c>
      <c r="P490" s="12">
        <v>-4.0818054999999998</v>
      </c>
      <c r="Q490" s="12">
        <v>-8.8688465999999995</v>
      </c>
      <c r="R490" s="12">
        <v>-9.4832043000000006</v>
      </c>
      <c r="S490" s="12">
        <f t="shared" si="92"/>
        <v>3.0625673218272897</v>
      </c>
      <c r="T490" s="12">
        <f t="shared" si="93"/>
        <v>-27.400459776468253</v>
      </c>
      <c r="U490" s="8"/>
      <c r="V490" s="8"/>
    </row>
    <row r="491" spans="1:22" x14ac:dyDescent="0.35">
      <c r="A491" s="10">
        <v>2.75</v>
      </c>
      <c r="B491">
        <v>16.6875</v>
      </c>
      <c r="C491" s="10">
        <v>-9.1401516000000002E-2</v>
      </c>
      <c r="D491" s="10">
        <v>3.5234646000000001E-2</v>
      </c>
      <c r="E491" s="10">
        <v>0.90857805000000003</v>
      </c>
      <c r="F491" s="10">
        <v>3.1512929000000002E-2</v>
      </c>
      <c r="G491" s="10">
        <f t="shared" si="84"/>
        <v>4.3264319483913702</v>
      </c>
      <c r="H491" s="10">
        <f t="shared" si="85"/>
        <v>1.7630259248621101</v>
      </c>
      <c r="I491" s="10">
        <f t="shared" si="86"/>
        <v>4.3264251941754903</v>
      </c>
      <c r="J491" s="10">
        <f t="shared" si="87"/>
        <v>1.7611650347807599</v>
      </c>
      <c r="K491" s="7">
        <f t="shared" si="88"/>
        <v>6.7542158799227502E-6</v>
      </c>
      <c r="L491" s="7">
        <f t="shared" si="89"/>
        <v>1.86089008135015E-3</v>
      </c>
      <c r="M491" s="7">
        <f t="shared" si="90"/>
        <v>0.198281079600967</v>
      </c>
      <c r="N491" s="7">
        <f t="shared" si="91"/>
        <v>-8.0714605888003402E-2</v>
      </c>
      <c r="O491" s="10">
        <v>-1.3220135</v>
      </c>
      <c r="P491" s="10">
        <v>-3.9534796000000001</v>
      </c>
      <c r="Q491" s="10">
        <v>-9.1827188</v>
      </c>
      <c r="R491" s="10">
        <v>-8.8993350000000007</v>
      </c>
      <c r="S491" s="10">
        <f t="shared" si="92"/>
        <v>3.0675360943632954</v>
      </c>
      <c r="T491" s="10">
        <f t="shared" si="93"/>
        <v>-27.408328730846414</v>
      </c>
      <c r="U491" s="8"/>
      <c r="V491" s="8"/>
    </row>
    <row r="492" spans="1:22" x14ac:dyDescent="0.35">
      <c r="A492" s="12">
        <v>2.75</v>
      </c>
      <c r="B492">
        <v>16.75</v>
      </c>
      <c r="C492" s="12">
        <v>-8.8432047E-2</v>
      </c>
      <c r="D492" s="12">
        <v>3.8907812999999999E-2</v>
      </c>
      <c r="E492" s="12">
        <v>0.91154763999999999</v>
      </c>
      <c r="F492" s="12">
        <v>3.5161673999999997E-2</v>
      </c>
      <c r="G492" s="12">
        <f t="shared" si="84"/>
        <v>4.3099932062681896</v>
      </c>
      <c r="H492" s="12">
        <f t="shared" si="85"/>
        <v>2.0150964704770198</v>
      </c>
      <c r="I492" s="12">
        <f t="shared" si="86"/>
        <v>4.3099865581489798</v>
      </c>
      <c r="J492" s="12">
        <f t="shared" si="87"/>
        <v>2.01322336950048</v>
      </c>
      <c r="K492" s="7">
        <f t="shared" si="88"/>
        <v>6.6481192098066799E-6</v>
      </c>
      <c r="L492" s="7">
        <f t="shared" si="89"/>
        <v>1.8731009765398099E-3</v>
      </c>
      <c r="M492" s="7">
        <f t="shared" si="90"/>
        <v>0.190462528841983</v>
      </c>
      <c r="N492" s="7">
        <f t="shared" si="91"/>
        <v>-8.8966313213635101E-2</v>
      </c>
      <c r="O492" s="12">
        <v>-1.4769204</v>
      </c>
      <c r="P492" s="12">
        <v>-3.8155351</v>
      </c>
      <c r="Q492" s="12">
        <v>-9.4270742999999992</v>
      </c>
      <c r="R492" s="12">
        <v>-8.3179423999999997</v>
      </c>
      <c r="S492" s="12">
        <f t="shared" si="92"/>
        <v>3.0728087734652685</v>
      </c>
      <c r="T492" s="12">
        <f t="shared" si="93"/>
        <v>-27.416090120718003</v>
      </c>
      <c r="U492" s="8"/>
      <c r="V492" s="8"/>
    </row>
    <row r="493" spans="1:22" x14ac:dyDescent="0.35">
      <c r="A493" s="10">
        <v>2.75</v>
      </c>
      <c r="B493">
        <v>16.8125</v>
      </c>
      <c r="C493" s="10">
        <v>-8.5315121999999993E-2</v>
      </c>
      <c r="D493" s="10">
        <v>4.2123282999999997E-2</v>
      </c>
      <c r="E493" s="10">
        <v>0.91466358999999997</v>
      </c>
      <c r="F493" s="10">
        <v>3.8352834000000002E-2</v>
      </c>
      <c r="G493" s="10">
        <f t="shared" si="84"/>
        <v>4.2938079840634797</v>
      </c>
      <c r="H493" s="10">
        <f t="shared" si="85"/>
        <v>2.2616124418548198</v>
      </c>
      <c r="I493" s="10">
        <f t="shared" si="86"/>
        <v>4.2938008941224597</v>
      </c>
      <c r="J493" s="10">
        <f t="shared" si="87"/>
        <v>2.2597271839220001</v>
      </c>
      <c r="K493" s="7">
        <f t="shared" si="88"/>
        <v>7.0899410200553297E-6</v>
      </c>
      <c r="L493" s="7">
        <f t="shared" si="89"/>
        <v>1.88525793281968E-3</v>
      </c>
      <c r="M493" s="7">
        <f t="shared" si="90"/>
        <v>0.182380491910205</v>
      </c>
      <c r="N493" s="7">
        <f t="shared" si="91"/>
        <v>-9.5982595734864604E-2</v>
      </c>
      <c r="O493" s="10">
        <v>-1.6116786000000001</v>
      </c>
      <c r="P493" s="10">
        <v>-3.6726540999999999</v>
      </c>
      <c r="Q493" s="10">
        <v>-9.6080178000000007</v>
      </c>
      <c r="R493" s="10">
        <v>-7.7479839999999998</v>
      </c>
      <c r="S493" s="10">
        <f t="shared" si="92"/>
        <v>3.0774559641810466</v>
      </c>
      <c r="T493" s="10">
        <f t="shared" si="93"/>
        <v>-27.423602584194398</v>
      </c>
      <c r="U493" s="8"/>
      <c r="V493" s="8"/>
    </row>
    <row r="494" spans="1:22" x14ac:dyDescent="0.35">
      <c r="A494" s="12">
        <v>2.75</v>
      </c>
      <c r="B494">
        <v>16.875</v>
      </c>
      <c r="C494" s="12">
        <v>-8.2120393999999999E-2</v>
      </c>
      <c r="D494" s="12">
        <v>4.4901719E-2</v>
      </c>
      <c r="E494" s="12">
        <v>0.91785614999999998</v>
      </c>
      <c r="F494" s="12">
        <v>4.1107110000000002E-2</v>
      </c>
      <c r="G494" s="12">
        <f t="shared" si="84"/>
        <v>4.2778690803317003</v>
      </c>
      <c r="H494" s="12">
        <f t="shared" si="85"/>
        <v>2.50264085410147</v>
      </c>
      <c r="I494" s="12">
        <f t="shared" si="86"/>
        <v>4.2778609520722197</v>
      </c>
      <c r="J494" s="12">
        <f t="shared" si="87"/>
        <v>2.5007435119276602</v>
      </c>
      <c r="K494" s="7">
        <f t="shared" si="88"/>
        <v>8.1282594805998104E-6</v>
      </c>
      <c r="L494" s="7">
        <f t="shared" si="89"/>
        <v>1.89734217380977E-3</v>
      </c>
      <c r="M494" s="7">
        <f t="shared" si="90"/>
        <v>0.17422389956444401</v>
      </c>
      <c r="N494" s="7">
        <f t="shared" si="91"/>
        <v>-0.10184746333269</v>
      </c>
      <c r="O494" s="12">
        <v>-1.7266695000000001</v>
      </c>
      <c r="P494" s="12">
        <v>-3.5263624999999998</v>
      </c>
      <c r="Q494" s="12">
        <v>-9.7323278000000002</v>
      </c>
      <c r="R494" s="12">
        <v>-7.1963569999999999</v>
      </c>
      <c r="S494" s="12">
        <f t="shared" si="92"/>
        <v>3.0827106521475329</v>
      </c>
      <c r="T494" s="12">
        <f t="shared" si="93"/>
        <v>-27.431237693977131</v>
      </c>
      <c r="U494" s="8"/>
      <c r="V494" s="8"/>
    </row>
    <row r="495" spans="1:22" x14ac:dyDescent="0.35">
      <c r="A495" s="10">
        <v>2.75</v>
      </c>
      <c r="B495">
        <v>16.9375</v>
      </c>
      <c r="C495" s="10">
        <v>-7.8906248999999998E-2</v>
      </c>
      <c r="D495" s="10">
        <v>4.7272218999999997E-2</v>
      </c>
      <c r="E495" s="10">
        <v>0.92106686000000004</v>
      </c>
      <c r="F495" s="10">
        <v>4.3453646999999998E-2</v>
      </c>
      <c r="G495" s="10">
        <f t="shared" si="84"/>
        <v>4.2621705989274998</v>
      </c>
      <c r="H495" s="10">
        <f t="shared" si="85"/>
        <v>2.7382410282476402</v>
      </c>
      <c r="I495" s="10">
        <f t="shared" si="86"/>
        <v>4.2621607987535102</v>
      </c>
      <c r="J495" s="10">
        <f t="shared" si="87"/>
        <v>2.7363316978643999</v>
      </c>
      <c r="K495" s="7">
        <f t="shared" si="88"/>
        <v>9.8001739896602708E-6</v>
      </c>
      <c r="L495" s="7">
        <f t="shared" si="89"/>
        <v>1.9093303832402599E-3</v>
      </c>
      <c r="M495" s="7">
        <f t="shared" si="90"/>
        <v>0.16614327504683499</v>
      </c>
      <c r="N495" s="7">
        <f t="shared" si="91"/>
        <v>-0.106664936252667</v>
      </c>
      <c r="O495" s="10">
        <v>-1.8239764999999999</v>
      </c>
      <c r="P495" s="10">
        <v>-3.3806091</v>
      </c>
      <c r="Q495" s="10">
        <v>-9.8071418999999995</v>
      </c>
      <c r="R495" s="10">
        <v>-6.668145</v>
      </c>
      <c r="S495" s="10">
        <f t="shared" si="92"/>
        <v>3.0873458625808441</v>
      </c>
      <c r="T495" s="10">
        <f t="shared" si="93"/>
        <v>-27.438468731379022</v>
      </c>
      <c r="U495" s="8"/>
      <c r="V495" s="8"/>
    </row>
    <row r="496" spans="1:22" x14ac:dyDescent="0.35">
      <c r="A496" s="12">
        <v>2.75</v>
      </c>
      <c r="B496">
        <v>17</v>
      </c>
      <c r="C496" s="12">
        <v>-7.5719432000000003E-2</v>
      </c>
      <c r="D496" s="12">
        <v>4.9268423999999998E-2</v>
      </c>
      <c r="E496" s="12">
        <v>0.92428739000000004</v>
      </c>
      <c r="F496" s="12">
        <v>4.5390551000000001E-2</v>
      </c>
      <c r="G496" s="12">
        <f t="shared" si="84"/>
        <v>4.2482754106364196</v>
      </c>
      <c r="H496" s="12">
        <f t="shared" si="85"/>
        <v>2.9690812051766202</v>
      </c>
      <c r="I496" s="12">
        <f t="shared" si="86"/>
        <v>4.2482825810469302</v>
      </c>
      <c r="J496" s="12">
        <f t="shared" si="87"/>
        <v>2.9671422891932302</v>
      </c>
      <c r="K496" s="7">
        <f t="shared" si="88"/>
        <v>-7.1704105106817897E-6</v>
      </c>
      <c r="L496" s="7">
        <f t="shared" si="89"/>
        <v>1.9389159833900201E-3</v>
      </c>
      <c r="M496" s="7">
        <f t="shared" si="90"/>
        <v>0.15821198314467499</v>
      </c>
      <c r="N496" s="7">
        <f t="shared" si="91"/>
        <v>-0.110500527422544</v>
      </c>
      <c r="O496" s="12">
        <v>-1.9047122999999999</v>
      </c>
      <c r="P496" s="12">
        <v>-3.2363407999999998</v>
      </c>
      <c r="Q496" s="12">
        <v>-9.8392966000000008</v>
      </c>
      <c r="R496" s="12">
        <v>-6.1667427000000004</v>
      </c>
      <c r="S496" s="12">
        <f t="shared" si="92"/>
        <v>3.0922342439085924</v>
      </c>
      <c r="T496" s="12">
        <f t="shared" si="93"/>
        <v>-27.444258607900654</v>
      </c>
      <c r="U496" s="8"/>
      <c r="V496" s="8"/>
    </row>
    <row r="497" spans="1:22" x14ac:dyDescent="0.35">
      <c r="A497" s="10">
        <v>2.875</v>
      </c>
      <c r="B497">
        <v>15</v>
      </c>
      <c r="C497" s="10">
        <v>-3.3213979999999997E-2</v>
      </c>
      <c r="D497" s="10">
        <v>-4.5594768000000001E-2</v>
      </c>
      <c r="E497" s="10">
        <v>0.96677588000000003</v>
      </c>
      <c r="F497" s="10">
        <v>-4.8888871E-2</v>
      </c>
      <c r="G497" s="10">
        <f t="shared" si="84"/>
        <v>4.4799283013861499</v>
      </c>
      <c r="H497" s="10">
        <f t="shared" si="85"/>
        <v>-7.0812820147249802</v>
      </c>
      <c r="I497" s="10">
        <f t="shared" si="86"/>
        <v>4.4799259441729999</v>
      </c>
      <c r="J497" s="10">
        <f t="shared" si="87"/>
        <v>-7.0829290784580596</v>
      </c>
      <c r="K497" s="7">
        <f t="shared" si="88"/>
        <v>2.3572131500060301E-6</v>
      </c>
      <c r="L497" s="7">
        <f t="shared" si="89"/>
        <v>1.6470637330794301E-3</v>
      </c>
      <c r="M497" s="7">
        <f t="shared" si="90"/>
        <v>6.37824273290966E-2</v>
      </c>
      <c r="N497" s="7">
        <f t="shared" si="91"/>
        <v>0.100842383301337</v>
      </c>
      <c r="O497" s="10">
        <v>2.2397789000000001</v>
      </c>
      <c r="P497" s="10">
        <v>-1.4826451</v>
      </c>
      <c r="Q497" s="10">
        <v>3.8203860000000001</v>
      </c>
      <c r="R497" s="10">
        <v>-6.7924175</v>
      </c>
      <c r="S497" s="10">
        <f t="shared" si="92"/>
        <v>2.9013243061568041</v>
      </c>
      <c r="T497" s="10">
        <f t="shared" si="93"/>
        <v>-27.141497328441293</v>
      </c>
      <c r="U497" s="8"/>
      <c r="V497" s="8"/>
    </row>
    <row r="498" spans="1:22" x14ac:dyDescent="0.35">
      <c r="A498" s="12">
        <v>2.875</v>
      </c>
      <c r="B498">
        <v>15.0625</v>
      </c>
      <c r="C498" s="12">
        <v>-3.5962776000000002E-2</v>
      </c>
      <c r="D498" s="12">
        <v>-4.6662355000000003E-2</v>
      </c>
      <c r="E498" s="12">
        <v>0.96402982000000004</v>
      </c>
      <c r="F498" s="12">
        <v>-4.9973240000000002E-2</v>
      </c>
      <c r="G498" s="12">
        <f t="shared" si="84"/>
        <v>4.4565225574876797</v>
      </c>
      <c r="H498" s="12">
        <f t="shared" si="85"/>
        <v>-6.6578234224409698</v>
      </c>
      <c r="I498" s="12">
        <f t="shared" si="86"/>
        <v>4.4565215959867901</v>
      </c>
      <c r="J498" s="12">
        <f t="shared" si="87"/>
        <v>-6.65947887266117</v>
      </c>
      <c r="K498" s="7">
        <f t="shared" si="88"/>
        <v>9.6150088957358506E-7</v>
      </c>
      <c r="L498" s="7">
        <f t="shared" si="89"/>
        <v>1.65545022020019E-3</v>
      </c>
      <c r="M498" s="7">
        <f t="shared" si="90"/>
        <v>6.9406231046415801E-2</v>
      </c>
      <c r="N498" s="7">
        <f t="shared" si="91"/>
        <v>0.103715267463503</v>
      </c>
      <c r="O498" s="12">
        <v>2.2784072000000002</v>
      </c>
      <c r="P498" s="12">
        <v>-1.5995522</v>
      </c>
      <c r="Q498" s="12">
        <v>3.7771452000000001</v>
      </c>
      <c r="R498" s="12">
        <v>-7.1692688000000002</v>
      </c>
      <c r="S498" s="12">
        <f t="shared" si="92"/>
        <v>2.9108856198265043</v>
      </c>
      <c r="T498" s="12">
        <f t="shared" si="93"/>
        <v>-27.146682632560164</v>
      </c>
      <c r="U498" s="8"/>
      <c r="V498" s="8"/>
    </row>
    <row r="499" spans="1:22" x14ac:dyDescent="0.35">
      <c r="A499" s="10">
        <v>2.875</v>
      </c>
      <c r="B499">
        <v>15.125</v>
      </c>
      <c r="C499" s="10">
        <v>-3.8922878000000001E-2</v>
      </c>
      <c r="D499" s="10">
        <v>-4.7625514000000001E-2</v>
      </c>
      <c r="E499" s="10">
        <v>0.96107228</v>
      </c>
      <c r="F499" s="10">
        <v>-5.0951280000000002E-2</v>
      </c>
      <c r="G499" s="10">
        <f t="shared" si="84"/>
        <v>4.4340919159040197</v>
      </c>
      <c r="H499" s="10">
        <f t="shared" si="85"/>
        <v>-6.2468659647691203</v>
      </c>
      <c r="I499" s="10">
        <f t="shared" si="86"/>
        <v>4.4340922600904698</v>
      </c>
      <c r="J499" s="10">
        <f t="shared" si="87"/>
        <v>-6.2485288512226402</v>
      </c>
      <c r="K499" s="7">
        <f t="shared" si="88"/>
        <v>-3.44186450007555E-7</v>
      </c>
      <c r="L499" s="7">
        <f t="shared" si="89"/>
        <v>1.66288645351997E-3</v>
      </c>
      <c r="M499" s="7">
        <f t="shared" si="90"/>
        <v>7.5531395697576095E-2</v>
      </c>
      <c r="N499" s="7">
        <f t="shared" si="91"/>
        <v>0.106438945674935</v>
      </c>
      <c r="O499" s="10">
        <v>2.3138923999999998</v>
      </c>
      <c r="P499" s="10">
        <v>-1.7258705999999999</v>
      </c>
      <c r="Q499" s="10">
        <v>3.7096700999999999</v>
      </c>
      <c r="R499" s="10">
        <v>-7.5638801999999998</v>
      </c>
      <c r="S499" s="10">
        <f t="shared" si="92"/>
        <v>2.9184742023122099</v>
      </c>
      <c r="T499" s="10">
        <f t="shared" si="93"/>
        <v>-27.156296816955635</v>
      </c>
      <c r="U499" s="8"/>
      <c r="V499" s="8"/>
    </row>
    <row r="500" spans="1:22" x14ac:dyDescent="0.35">
      <c r="A500" s="12">
        <v>2.875</v>
      </c>
      <c r="B500">
        <v>15.1875</v>
      </c>
      <c r="C500" s="12">
        <v>-4.2113707E-2</v>
      </c>
      <c r="D500" s="12">
        <v>-4.8461178000000001E-2</v>
      </c>
      <c r="E500" s="12">
        <v>0.95788474000000001</v>
      </c>
      <c r="F500" s="12">
        <v>-5.1801936E-2</v>
      </c>
      <c r="G500" s="12">
        <f t="shared" si="84"/>
        <v>4.4121078741891804</v>
      </c>
      <c r="H500" s="12">
        <f t="shared" si="85"/>
        <v>-5.8463614501701402</v>
      </c>
      <c r="I500" s="12">
        <f t="shared" si="86"/>
        <v>4.4121098878532896</v>
      </c>
      <c r="J500" s="12">
        <f t="shared" si="87"/>
        <v>-5.8480318271035898</v>
      </c>
      <c r="K500" s="7">
        <f t="shared" si="88"/>
        <v>-2.0136641092349801E-6</v>
      </c>
      <c r="L500" s="7">
        <f t="shared" si="89"/>
        <v>1.67037693344962E-3</v>
      </c>
      <c r="M500" s="7">
        <f t="shared" si="90"/>
        <v>8.2213958080133404E-2</v>
      </c>
      <c r="N500" s="7">
        <f t="shared" si="91"/>
        <v>0.108970505201698</v>
      </c>
      <c r="O500" s="12">
        <v>2.3439068999999999</v>
      </c>
      <c r="P500" s="12">
        <v>-1.8617503</v>
      </c>
      <c r="Q500" s="12">
        <v>3.6140196000000002</v>
      </c>
      <c r="R500" s="12">
        <v>-7.9770298000000004</v>
      </c>
      <c r="S500" s="12">
        <f t="shared" si="92"/>
        <v>2.9256795709649763</v>
      </c>
      <c r="T500" s="12">
        <f t="shared" si="93"/>
        <v>-27.167048265925231</v>
      </c>
      <c r="U500" s="8"/>
      <c r="V500" s="8"/>
    </row>
    <row r="501" spans="1:22" x14ac:dyDescent="0.35">
      <c r="A501" s="10">
        <v>2.875</v>
      </c>
      <c r="B501">
        <v>15.25</v>
      </c>
      <c r="C501" s="10">
        <v>-4.5547642999999999E-2</v>
      </c>
      <c r="D501" s="10">
        <v>-4.9136154000000001E-2</v>
      </c>
      <c r="E501" s="10">
        <v>0.9544551</v>
      </c>
      <c r="F501" s="10">
        <v>-5.2493107999999997E-2</v>
      </c>
      <c r="G501" s="10">
        <f t="shared" si="84"/>
        <v>4.3905160416290201</v>
      </c>
      <c r="H501" s="10">
        <f t="shared" si="85"/>
        <v>-5.4553675268054702</v>
      </c>
      <c r="I501" s="10">
        <f t="shared" si="86"/>
        <v>4.3905202303926396</v>
      </c>
      <c r="J501" s="10">
        <f t="shared" si="87"/>
        <v>-5.4570459944726997</v>
      </c>
      <c r="K501" s="7">
        <f t="shared" si="88"/>
        <v>-4.1887636195170296E-6</v>
      </c>
      <c r="L501" s="7">
        <f t="shared" si="89"/>
        <v>1.6784676672294599E-3</v>
      </c>
      <c r="M501" s="7">
        <f t="shared" si="90"/>
        <v>8.9500133331188503E-2</v>
      </c>
      <c r="N501" s="7">
        <f t="shared" si="91"/>
        <v>0.11124111004405</v>
      </c>
      <c r="O501" s="10">
        <v>2.3669802999999998</v>
      </c>
      <c r="P501" s="10">
        <v>-2.00773</v>
      </c>
      <c r="Q501" s="10">
        <v>3.4856150000000001</v>
      </c>
      <c r="R501" s="10">
        <v>-8.4079770000000007</v>
      </c>
      <c r="S501" s="10">
        <f t="shared" si="92"/>
        <v>2.9324843332377841</v>
      </c>
      <c r="T501" s="10">
        <f t="shared" si="93"/>
        <v>-27.177619477479624</v>
      </c>
      <c r="U501" s="8"/>
      <c r="V501" s="8"/>
    </row>
    <row r="502" spans="1:22" x14ac:dyDescent="0.35">
      <c r="A502" s="12">
        <v>2.875</v>
      </c>
      <c r="B502">
        <v>15.3125</v>
      </c>
      <c r="C502" s="12">
        <v>-4.923139E-2</v>
      </c>
      <c r="D502" s="12">
        <v>-4.9610885E-2</v>
      </c>
      <c r="E502" s="12">
        <v>0.95077677999999999</v>
      </c>
      <c r="F502" s="12">
        <v>-5.298568E-2</v>
      </c>
      <c r="G502" s="12">
        <f t="shared" si="84"/>
        <v>4.3693189952580003</v>
      </c>
      <c r="H502" s="12">
        <f t="shared" si="85"/>
        <v>-5.0733296622579402</v>
      </c>
      <c r="I502" s="12">
        <f t="shared" si="86"/>
        <v>4.3693259275086298</v>
      </c>
      <c r="J502" s="12">
        <f t="shared" si="87"/>
        <v>-5.0750170411675297</v>
      </c>
      <c r="K502" s="7">
        <f t="shared" si="88"/>
        <v>-6.9322506295321798E-6</v>
      </c>
      <c r="L502" s="7">
        <f t="shared" si="89"/>
        <v>1.6873789095894799E-3</v>
      </c>
      <c r="M502" s="7">
        <f t="shared" si="90"/>
        <v>9.7427804050555206E-2</v>
      </c>
      <c r="N502" s="7">
        <f t="shared" si="91"/>
        <v>0.11316339729364901</v>
      </c>
      <c r="O502" s="12">
        <v>2.3815357000000001</v>
      </c>
      <c r="P502" s="12">
        <v>-2.1641935000000001</v>
      </c>
      <c r="Q502" s="12">
        <v>3.3195073000000002</v>
      </c>
      <c r="R502" s="12">
        <v>-8.8552581999999997</v>
      </c>
      <c r="S502" s="12">
        <f t="shared" si="92"/>
        <v>2.9387909362863089</v>
      </c>
      <c r="T502" s="12">
        <f t="shared" si="93"/>
        <v>-27.188208364671439</v>
      </c>
      <c r="U502" s="8"/>
      <c r="V502" s="8"/>
    </row>
    <row r="503" spans="1:22" x14ac:dyDescent="0.35">
      <c r="A503" s="10">
        <v>2.875</v>
      </c>
      <c r="B503">
        <v>15.375</v>
      </c>
      <c r="C503" s="10">
        <v>-5.3165322000000001E-2</v>
      </c>
      <c r="D503" s="10">
        <v>-4.9840111999999999E-2</v>
      </c>
      <c r="E503" s="10">
        <v>0.94684939999999995</v>
      </c>
      <c r="F503" s="10">
        <v>-5.3234586E-2</v>
      </c>
      <c r="G503" s="10">
        <f t="shared" si="84"/>
        <v>4.34852180011237</v>
      </c>
      <c r="H503" s="10">
        <f t="shared" si="85"/>
        <v>-4.6998626230412404</v>
      </c>
      <c r="I503" s="10">
        <f t="shared" si="86"/>
        <v>4.34853204159971</v>
      </c>
      <c r="J503" s="10">
        <f t="shared" si="87"/>
        <v>-4.7015598301658601</v>
      </c>
      <c r="K503" s="7">
        <f t="shared" si="88"/>
        <v>-1.0241487339968099E-5</v>
      </c>
      <c r="L503" s="7">
        <f t="shared" si="89"/>
        <v>1.6972071246197399E-3</v>
      </c>
      <c r="M503" s="7">
        <f t="shared" si="90"/>
        <v>0.106024530209837</v>
      </c>
      <c r="N503" s="7">
        <f t="shared" si="91"/>
        <v>0.114631941877884</v>
      </c>
      <c r="O503" s="10">
        <v>2.3850552999999999</v>
      </c>
      <c r="P503" s="10">
        <v>-2.3305494000000002</v>
      </c>
      <c r="Q503" s="10">
        <v>3.1105356</v>
      </c>
      <c r="R503" s="10">
        <v>-9.3161357999999996</v>
      </c>
      <c r="S503" s="10">
        <f t="shared" si="92"/>
        <v>2.9453392317570701</v>
      </c>
      <c r="T503" s="10">
        <f t="shared" si="93"/>
        <v>-27.198742015914359</v>
      </c>
      <c r="U503" s="8"/>
      <c r="V503" s="8"/>
    </row>
    <row r="504" spans="1:22" x14ac:dyDescent="0.35">
      <c r="A504" s="12">
        <v>2.875</v>
      </c>
      <c r="B504">
        <v>15.4375</v>
      </c>
      <c r="C504" s="12">
        <v>-5.7342101999999999E-2</v>
      </c>
      <c r="D504" s="12">
        <v>-4.9773386000000003E-2</v>
      </c>
      <c r="E504" s="12">
        <v>0.94268021000000002</v>
      </c>
      <c r="F504" s="12">
        <v>-5.3189472000000002E-2</v>
      </c>
      <c r="G504" s="12">
        <f t="shared" si="84"/>
        <v>4.3281264574240899</v>
      </c>
      <c r="H504" s="12">
        <f t="shared" si="85"/>
        <v>-4.3346616162477698</v>
      </c>
      <c r="I504" s="12">
        <f t="shared" si="86"/>
        <v>4.3281405306043803</v>
      </c>
      <c r="J504" s="12">
        <f t="shared" si="87"/>
        <v>-4.3363696161557304</v>
      </c>
      <c r="K504" s="7">
        <f t="shared" si="88"/>
        <v>-1.40731802904526E-5</v>
      </c>
      <c r="L504" s="7">
        <f t="shared" si="89"/>
        <v>1.70799990796056E-3</v>
      </c>
      <c r="M504" s="7">
        <f t="shared" si="90"/>
        <v>0.11530361621393199</v>
      </c>
      <c r="N504" s="7">
        <f t="shared" si="91"/>
        <v>0.11552284276526401</v>
      </c>
      <c r="O504" s="12">
        <v>2.3753307000000001</v>
      </c>
      <c r="P504" s="12">
        <v>-2.5062446999999999</v>
      </c>
      <c r="Q504" s="12">
        <v>2.8534030000000001</v>
      </c>
      <c r="R504" s="12">
        <v>-9.7866499000000005</v>
      </c>
      <c r="S504" s="12">
        <f t="shared" si="92"/>
        <v>2.9522242006388133</v>
      </c>
      <c r="T504" s="12">
        <f t="shared" si="93"/>
        <v>-27.209199208273116</v>
      </c>
      <c r="U504" s="8"/>
      <c r="V504" s="8"/>
    </row>
    <row r="505" spans="1:22" x14ac:dyDescent="0.35">
      <c r="A505" s="10">
        <v>2.875</v>
      </c>
      <c r="B505">
        <v>15.5</v>
      </c>
      <c r="C505" s="10">
        <v>-6.1744843000000001E-2</v>
      </c>
      <c r="D505" s="10">
        <v>-4.9355968E-2</v>
      </c>
      <c r="E505" s="10">
        <v>0.93828590999999995</v>
      </c>
      <c r="F505" s="10">
        <v>-5.2795664999999999E-2</v>
      </c>
      <c r="G505" s="10">
        <f t="shared" si="84"/>
        <v>4.3081313485974801</v>
      </c>
      <c r="H505" s="10">
        <f t="shared" si="85"/>
        <v>-3.9774622352362501</v>
      </c>
      <c r="I505" s="10">
        <f t="shared" si="86"/>
        <v>4.3081496825947099</v>
      </c>
      <c r="J505" s="10">
        <f t="shared" si="87"/>
        <v>-3.9791820257602</v>
      </c>
      <c r="K505" s="7">
        <f t="shared" si="88"/>
        <v>-1.83339972297247E-5</v>
      </c>
      <c r="L505" s="7">
        <f t="shared" si="89"/>
        <v>1.7197905239498799E-3</v>
      </c>
      <c r="M505" s="7">
        <f t="shared" si="90"/>
        <v>0.125258599208593</v>
      </c>
      <c r="N505" s="7">
        <f t="shared" si="91"/>
        <v>0.115693929706393</v>
      </c>
      <c r="O505" s="10">
        <v>2.3508273000000002</v>
      </c>
      <c r="P505" s="10">
        <v>-2.6912756</v>
      </c>
      <c r="Q505" s="10">
        <v>2.5428913</v>
      </c>
      <c r="R505" s="10">
        <v>-10.261713</v>
      </c>
      <c r="S505" s="10">
        <f t="shared" si="92"/>
        <v>2.9585323820089324</v>
      </c>
      <c r="T505" s="10">
        <f t="shared" si="93"/>
        <v>-27.219439090373243</v>
      </c>
      <c r="U505" s="8"/>
      <c r="V505" s="8"/>
    </row>
    <row r="506" spans="1:22" x14ac:dyDescent="0.35">
      <c r="A506" s="12">
        <v>2.875</v>
      </c>
      <c r="B506">
        <v>15.5625</v>
      </c>
      <c r="C506" s="12">
        <v>-6.6345042000000007E-2</v>
      </c>
      <c r="D506" s="12">
        <v>-4.8530364999999999E-2</v>
      </c>
      <c r="E506" s="12">
        <v>0.93369477000000001</v>
      </c>
      <c r="F506" s="12">
        <v>-5.1995697E-2</v>
      </c>
      <c r="G506" s="12">
        <f t="shared" si="84"/>
        <v>4.2885332353610304</v>
      </c>
      <c r="H506" s="12">
        <f t="shared" si="85"/>
        <v>-3.6280259261105501</v>
      </c>
      <c r="I506" s="12">
        <f t="shared" si="86"/>
        <v>4.2885561429079697</v>
      </c>
      <c r="J506" s="12">
        <f t="shared" si="87"/>
        <v>-3.6297585179304401</v>
      </c>
      <c r="K506" s="7">
        <f t="shared" si="88"/>
        <v>-2.29075469393436E-5</v>
      </c>
      <c r="L506" s="7">
        <f t="shared" si="89"/>
        <v>1.7325918198900501E-3</v>
      </c>
      <c r="M506" s="7">
        <f t="shared" si="90"/>
        <v>0.13585627614700299</v>
      </c>
      <c r="N506" s="7">
        <f t="shared" si="91"/>
        <v>0.114986363504738</v>
      </c>
      <c r="O506" s="12">
        <v>2.3085334</v>
      </c>
      <c r="P506" s="12">
        <v>-2.8836252999999998</v>
      </c>
      <c r="Q506" s="12">
        <v>2.1742161000000002</v>
      </c>
      <c r="R506" s="12">
        <v>-10.734427999999999</v>
      </c>
      <c r="S506" s="12">
        <f t="shared" si="92"/>
        <v>2.9650274861631201</v>
      </c>
      <c r="T506" s="12">
        <f t="shared" si="93"/>
        <v>-27.229457933665728</v>
      </c>
      <c r="U506" s="8"/>
      <c r="V506" s="8"/>
    </row>
    <row r="507" spans="1:22" x14ac:dyDescent="0.35">
      <c r="A507" s="10">
        <v>2.875</v>
      </c>
      <c r="B507">
        <v>15.625</v>
      </c>
      <c r="C507" s="10">
        <v>-7.1100565000000004E-2</v>
      </c>
      <c r="D507" s="10">
        <v>-4.7238691999999999E-2</v>
      </c>
      <c r="E507" s="10">
        <v>0.92894865000000004</v>
      </c>
      <c r="F507" s="10">
        <v>-5.073167E-2</v>
      </c>
      <c r="G507" s="10">
        <f t="shared" si="84"/>
        <v>4.2693270174015803</v>
      </c>
      <c r="H507" s="10">
        <f t="shared" si="85"/>
        <v>-3.2861317575519702</v>
      </c>
      <c r="I507" s="10">
        <f t="shared" si="86"/>
        <v>4.2693546742854096</v>
      </c>
      <c r="J507" s="10">
        <f t="shared" si="87"/>
        <v>-3.28787815527504</v>
      </c>
      <c r="K507" s="7">
        <f t="shared" si="88"/>
        <v>-2.7656883829330101E-5</v>
      </c>
      <c r="L507" s="7">
        <f t="shared" si="89"/>
        <v>1.7463977230698399E-3</v>
      </c>
      <c r="M507" s="7">
        <f t="shared" si="90"/>
        <v>0.147028840459384</v>
      </c>
      <c r="N507" s="7">
        <f t="shared" si="91"/>
        <v>0.113228567224329</v>
      </c>
      <c r="O507" s="10">
        <v>2.2463161999999999</v>
      </c>
      <c r="P507" s="10">
        <v>-3.0816479000000001</v>
      </c>
      <c r="Q507" s="10">
        <v>1.7433419999999999</v>
      </c>
      <c r="R507" s="10">
        <v>-11.196738</v>
      </c>
      <c r="S507" s="10">
        <f t="shared" si="92"/>
        <v>2.9714852430073719</v>
      </c>
      <c r="T507" s="10">
        <f t="shared" si="93"/>
        <v>-27.239614281851441</v>
      </c>
      <c r="U507" s="8"/>
      <c r="V507" s="8"/>
    </row>
    <row r="508" spans="1:22" x14ac:dyDescent="0.35">
      <c r="A508" s="12">
        <v>2.875</v>
      </c>
      <c r="B508">
        <v>15.6875</v>
      </c>
      <c r="C508" s="12">
        <v>-7.5954004000000006E-2</v>
      </c>
      <c r="D508" s="12">
        <v>-4.5425957000000003E-2</v>
      </c>
      <c r="E508" s="12">
        <v>0.92410471999999999</v>
      </c>
      <c r="F508" s="12">
        <v>-4.8948541999999998E-2</v>
      </c>
      <c r="G508" s="12">
        <f t="shared" si="84"/>
        <v>4.2505067262410101</v>
      </c>
      <c r="H508" s="12">
        <f t="shared" si="85"/>
        <v>-2.9515747133184802</v>
      </c>
      <c r="I508" s="12">
        <f t="shared" si="86"/>
        <v>4.2505391892473101</v>
      </c>
      <c r="J508" s="12">
        <f t="shared" si="87"/>
        <v>-2.9533358969297501</v>
      </c>
      <c r="K508" s="7">
        <f t="shared" si="88"/>
        <v>-3.2463006299998701E-5</v>
      </c>
      <c r="L508" s="7">
        <f t="shared" si="89"/>
        <v>1.7611836112698699E-3</v>
      </c>
      <c r="M508" s="7">
        <f t="shared" si="90"/>
        <v>0.158665696623012</v>
      </c>
      <c r="N508" s="7">
        <f t="shared" si="91"/>
        <v>0.110243213057186</v>
      </c>
      <c r="O508" s="12">
        <v>2.1620650000000001</v>
      </c>
      <c r="P508" s="12">
        <v>-3.2830037999999999</v>
      </c>
      <c r="Q508" s="12">
        <v>1.2475143</v>
      </c>
      <c r="R508" s="12">
        <v>-11.638553999999999</v>
      </c>
      <c r="S508" s="12">
        <f t="shared" si="92"/>
        <v>2.977682164477812</v>
      </c>
      <c r="T508" s="12">
        <f t="shared" si="93"/>
        <v>-27.24935824986466</v>
      </c>
      <c r="U508" s="8"/>
      <c r="V508" s="8"/>
    </row>
    <row r="509" spans="1:22" x14ac:dyDescent="0.35">
      <c r="A509" s="10">
        <v>2.875</v>
      </c>
      <c r="B509">
        <v>15.75</v>
      </c>
      <c r="C509" s="10">
        <v>-8.0831818E-2</v>
      </c>
      <c r="D509" s="10">
        <v>-4.3044272000000001E-2</v>
      </c>
      <c r="E509" s="10">
        <v>0.91923633000000005</v>
      </c>
      <c r="F509" s="10">
        <v>-4.6598371999999999E-2</v>
      </c>
      <c r="G509" s="10">
        <f t="shared" si="84"/>
        <v>4.23206536439743</v>
      </c>
      <c r="H509" s="10">
        <f t="shared" si="85"/>
        <v>-2.6241632945123499</v>
      </c>
      <c r="I509" s="10">
        <f t="shared" si="86"/>
        <v>4.2321025948103799</v>
      </c>
      <c r="J509" s="10">
        <f t="shared" si="87"/>
        <v>-2.6259402178051601</v>
      </c>
      <c r="K509" s="7">
        <f t="shared" si="88"/>
        <v>-3.7230412949895701E-5</v>
      </c>
      <c r="L509" s="7">
        <f t="shared" si="89"/>
        <v>1.77692329281021E-3</v>
      </c>
      <c r="M509" s="7">
        <f t="shared" si="90"/>
        <v>0.170606272373278</v>
      </c>
      <c r="N509" s="7">
        <f t="shared" si="91"/>
        <v>0.105857989497744</v>
      </c>
      <c r="O509" s="10">
        <v>2.0537776999999999</v>
      </c>
      <c r="P509" s="10">
        <v>-3.4843470999999999</v>
      </c>
      <c r="Q509" s="10">
        <v>0.68569754999999999</v>
      </c>
      <c r="R509" s="10">
        <v>-12.048952999999999</v>
      </c>
      <c r="S509" s="10">
        <f t="shared" si="92"/>
        <v>2.9838524653993681</v>
      </c>
      <c r="T509" s="10">
        <f t="shared" si="93"/>
        <v>-27.259211031362312</v>
      </c>
      <c r="U509" s="8"/>
      <c r="V509" s="8"/>
    </row>
    <row r="510" spans="1:22" x14ac:dyDescent="0.35">
      <c r="A510" s="12">
        <v>2.875</v>
      </c>
      <c r="B510">
        <v>15.8125</v>
      </c>
      <c r="C510" s="12">
        <v>-8.5644714999999996E-2</v>
      </c>
      <c r="D510" s="12">
        <v>-4.0057816000000003E-2</v>
      </c>
      <c r="E510" s="12">
        <v>0.91443255999999995</v>
      </c>
      <c r="F510" s="12">
        <v>-4.3645296E-2</v>
      </c>
      <c r="G510" s="12">
        <f t="shared" si="84"/>
        <v>4.2139943989732496</v>
      </c>
      <c r="H510" s="12">
        <f t="shared" si="85"/>
        <v>-2.3037161706009401</v>
      </c>
      <c r="I510" s="12">
        <f t="shared" si="86"/>
        <v>4.2140362521003798</v>
      </c>
      <c r="J510" s="12">
        <f t="shared" si="87"/>
        <v>-2.3055097662272601</v>
      </c>
      <c r="K510" s="7">
        <f t="shared" si="88"/>
        <v>-4.1853127130231398E-5</v>
      </c>
      <c r="L510" s="7">
        <f t="shared" si="89"/>
        <v>1.7935956263199801E-3</v>
      </c>
      <c r="M510" s="7">
        <f t="shared" si="90"/>
        <v>0.18263551200677</v>
      </c>
      <c r="N510" s="7">
        <f t="shared" si="91"/>
        <v>9.9920345104210898E-2</v>
      </c>
      <c r="O510" s="12">
        <v>1.9201948</v>
      </c>
      <c r="P510" s="12">
        <v>-3.6820336999999999</v>
      </c>
      <c r="Q510" s="12">
        <v>5.9257148000000003E-2</v>
      </c>
      <c r="R510" s="12">
        <v>-12.415531</v>
      </c>
      <c r="S510" s="12">
        <f t="shared" si="92"/>
        <v>2.9898175511624689</v>
      </c>
      <c r="T510" s="12">
        <f t="shared" si="93"/>
        <v>-27.26875437597463</v>
      </c>
      <c r="U510" s="8"/>
      <c r="V510" s="8"/>
    </row>
    <row r="511" spans="1:22" x14ac:dyDescent="0.35">
      <c r="A511" s="10">
        <v>2.875</v>
      </c>
      <c r="B511">
        <v>15.875</v>
      </c>
      <c r="C511" s="10">
        <v>-9.0289715000000006E-2</v>
      </c>
      <c r="D511" s="10">
        <v>-3.6448161999999999E-2</v>
      </c>
      <c r="E511" s="10">
        <v>0.90979622999999998</v>
      </c>
      <c r="F511" s="10">
        <v>-4.0070844000000001E-2</v>
      </c>
      <c r="G511" s="10">
        <f t="shared" si="84"/>
        <v>4.1962852577510397</v>
      </c>
      <c r="H511" s="10">
        <f t="shared" si="85"/>
        <v>-1.9900629450548999</v>
      </c>
      <c r="I511" s="10">
        <f t="shared" si="86"/>
        <v>4.1963315089269999</v>
      </c>
      <c r="J511" s="10">
        <f t="shared" si="87"/>
        <v>-1.9918741244473399</v>
      </c>
      <c r="K511" s="7">
        <f t="shared" si="88"/>
        <v>-4.6251175960243502E-5</v>
      </c>
      <c r="L511" s="7">
        <f t="shared" si="89"/>
        <v>1.8111793924400199E-3</v>
      </c>
      <c r="M511" s="7">
        <f t="shared" si="90"/>
        <v>0.19448385116573999</v>
      </c>
      <c r="N511" s="7">
        <f t="shared" si="91"/>
        <v>9.2315716700599695E-2</v>
      </c>
      <c r="O511" s="10">
        <v>1.7605419</v>
      </c>
      <c r="P511" s="10">
        <v>-3.8713180999999999</v>
      </c>
      <c r="Q511" s="10">
        <v>-0.62766984999999997</v>
      </c>
      <c r="R511" s="10">
        <v>-12.72536</v>
      </c>
      <c r="S511" s="10">
        <f t="shared" si="92"/>
        <v>2.9958435146408822</v>
      </c>
      <c r="T511" s="10">
        <f t="shared" si="93"/>
        <v>-27.278190007077949</v>
      </c>
      <c r="U511" s="8"/>
      <c r="V511" s="8"/>
    </row>
    <row r="512" spans="1:22" x14ac:dyDescent="0.35">
      <c r="A512" s="12">
        <v>2.875</v>
      </c>
      <c r="B512">
        <v>15.9375</v>
      </c>
      <c r="C512" s="12">
        <v>-9.4654186000000001E-2</v>
      </c>
      <c r="D512" s="12">
        <v>-3.2219314999999998E-2</v>
      </c>
      <c r="E512" s="12">
        <v>0.90543974000000005</v>
      </c>
      <c r="F512" s="12">
        <v>-3.5878970000000003E-2</v>
      </c>
      <c r="G512" s="12">
        <f t="shared" si="84"/>
        <v>4.1789279872043297</v>
      </c>
      <c r="H512" s="12">
        <f t="shared" si="85"/>
        <v>-1.68304055638102</v>
      </c>
      <c r="I512" s="12">
        <f t="shared" si="86"/>
        <v>4.1789782957846997</v>
      </c>
      <c r="J512" s="12">
        <f t="shared" si="87"/>
        <v>-1.68487020589917</v>
      </c>
      <c r="K512" s="7">
        <f t="shared" si="88"/>
        <v>-5.0308580370028701E-5</v>
      </c>
      <c r="L512" s="7">
        <f t="shared" si="89"/>
        <v>1.8296495181500099E-3</v>
      </c>
      <c r="M512" s="7">
        <f t="shared" si="90"/>
        <v>0.20583415813226899</v>
      </c>
      <c r="N512" s="7">
        <f t="shared" si="91"/>
        <v>8.2987710355714506E-2</v>
      </c>
      <c r="O512" s="12">
        <v>1.5753832999999999</v>
      </c>
      <c r="P512" s="12">
        <v>-4.0478749000000001</v>
      </c>
      <c r="Q512" s="12">
        <v>-1.3678389</v>
      </c>
      <c r="R512" s="12">
        <v>-12.965987999999999</v>
      </c>
      <c r="S512" s="12">
        <f t="shared" si="92"/>
        <v>3.0016224401686973</v>
      </c>
      <c r="T512" s="12">
        <f t="shared" si="93"/>
        <v>-27.287486378680399</v>
      </c>
      <c r="U512" s="8"/>
      <c r="V512" s="8"/>
    </row>
    <row r="513" spans="1:22" x14ac:dyDescent="0.35">
      <c r="A513" s="10">
        <v>2.875</v>
      </c>
      <c r="B513">
        <v>16</v>
      </c>
      <c r="C513" s="10">
        <v>-9.8621884000000007E-2</v>
      </c>
      <c r="D513" s="10">
        <v>-2.7401655E-2</v>
      </c>
      <c r="E513" s="10">
        <v>0.90147906</v>
      </c>
      <c r="F513" s="10">
        <v>-3.1099946999999999E-2</v>
      </c>
      <c r="G513" s="10">
        <f t="shared" si="84"/>
        <v>4.16191215048869</v>
      </c>
      <c r="H513" s="10">
        <f t="shared" si="85"/>
        <v>-1.3824933924585801</v>
      </c>
      <c r="I513" s="10">
        <f t="shared" si="86"/>
        <v>4.16196603875294</v>
      </c>
      <c r="J513" s="10">
        <f t="shared" si="87"/>
        <v>-1.38434234549096</v>
      </c>
      <c r="K513" s="7">
        <f t="shared" si="88"/>
        <v>-5.3888264250012703E-5</v>
      </c>
      <c r="L513" s="7">
        <f t="shared" si="89"/>
        <v>1.84895303237997E-3</v>
      </c>
      <c r="M513" s="7">
        <f t="shared" si="90"/>
        <v>0.21633678489278599</v>
      </c>
      <c r="N513" s="7">
        <f t="shared" si="91"/>
        <v>7.1957380100147905E-2</v>
      </c>
      <c r="O513" s="10">
        <v>1.3660152999999999</v>
      </c>
      <c r="P513" s="10">
        <v>-4.2063893999999999</v>
      </c>
      <c r="Q513" s="10">
        <v>-2.1507974000000001</v>
      </c>
      <c r="R513" s="10">
        <v>-13.12613</v>
      </c>
      <c r="S513" s="10">
        <f t="shared" si="92"/>
        <v>3.0075216299573642</v>
      </c>
      <c r="T513" s="10">
        <f t="shared" si="93"/>
        <v>-27.296659899090287</v>
      </c>
      <c r="U513" s="8"/>
      <c r="V513" s="8"/>
    </row>
    <row r="514" spans="1:22" x14ac:dyDescent="0.35">
      <c r="A514" s="12">
        <v>2.875</v>
      </c>
      <c r="B514">
        <v>16.0625</v>
      </c>
      <c r="C514" s="12">
        <v>-0.10208064</v>
      </c>
      <c r="D514" s="12">
        <v>-2.2053877999999999E-2</v>
      </c>
      <c r="E514" s="12">
        <v>0.89802607999999995</v>
      </c>
      <c r="F514" s="12">
        <v>-2.5792287000000001E-2</v>
      </c>
      <c r="G514" s="12">
        <f t="shared" si="84"/>
        <v>4.1452273238025601</v>
      </c>
      <c r="H514" s="12">
        <f t="shared" si="85"/>
        <v>-1.08827258848193</v>
      </c>
      <c r="I514" s="12">
        <f t="shared" si="86"/>
        <v>4.1452841743094204</v>
      </c>
      <c r="J514" s="12">
        <f t="shared" si="87"/>
        <v>-1.09014158698694</v>
      </c>
      <c r="K514" s="7">
        <f t="shared" si="88"/>
        <v>-5.6850506860328698E-5</v>
      </c>
      <c r="L514" s="7">
        <f t="shared" si="89"/>
        <v>1.86899850500999E-3</v>
      </c>
      <c r="M514" s="7">
        <f t="shared" si="90"/>
        <v>0.225633118621341</v>
      </c>
      <c r="N514" s="7">
        <f t="shared" si="91"/>
        <v>5.9337800659145103E-2</v>
      </c>
      <c r="O514" s="12">
        <v>1.1351739000000001</v>
      </c>
      <c r="P514" s="12">
        <v>-4.3422428000000002</v>
      </c>
      <c r="Q514" s="12">
        <v>-2.9631533999999999</v>
      </c>
      <c r="R514" s="12">
        <v>-13.1966</v>
      </c>
      <c r="S514" s="12">
        <f t="shared" si="92"/>
        <v>3.0135163789582577</v>
      </c>
      <c r="T514" s="12">
        <f t="shared" si="93"/>
        <v>-27.305953077768176</v>
      </c>
      <c r="U514" s="8"/>
      <c r="V514" s="8"/>
    </row>
    <row r="515" spans="1:22" x14ac:dyDescent="0.35">
      <c r="A515" s="10">
        <v>2.875</v>
      </c>
      <c r="B515">
        <v>16.125</v>
      </c>
      <c r="C515" s="10">
        <v>-0.10493087</v>
      </c>
      <c r="D515" s="10">
        <v>-1.6262237999999998E-2</v>
      </c>
      <c r="E515" s="10">
        <v>0.89518008999999998</v>
      </c>
      <c r="F515" s="10">
        <v>-2.0041949E-2</v>
      </c>
      <c r="G515" s="10">
        <f t="shared" si="84"/>
        <v>4.12886293239991</v>
      </c>
      <c r="H515" s="10">
        <f t="shared" si="85"/>
        <v>-0.80023540652926906</v>
      </c>
      <c r="I515" s="10">
        <f t="shared" si="86"/>
        <v>4.1289219802687303</v>
      </c>
      <c r="J515" s="10">
        <f t="shared" si="87"/>
        <v>-0.80212504560015396</v>
      </c>
      <c r="K515" s="7">
        <f t="shared" si="88"/>
        <v>-5.9047868820272202E-5</v>
      </c>
      <c r="L515" s="7">
        <f t="shared" si="89"/>
        <v>1.88963907088491E-3</v>
      </c>
      <c r="M515" s="7">
        <f t="shared" si="90"/>
        <v>0.23338580751198501</v>
      </c>
      <c r="N515" s="7">
        <f t="shared" si="91"/>
        <v>4.5339825355768901E-2</v>
      </c>
      <c r="O515" s="10">
        <v>0.88679121999999999</v>
      </c>
      <c r="P515" s="10">
        <v>-4.4518301999999998</v>
      </c>
      <c r="Q515" s="10">
        <v>-3.7890199</v>
      </c>
      <c r="R515" s="10">
        <v>-13.17123</v>
      </c>
      <c r="S515" s="10">
        <f t="shared" si="92"/>
        <v>3.0192798918067068</v>
      </c>
      <c r="T515" s="10">
        <f t="shared" si="93"/>
        <v>-27.314835827261515</v>
      </c>
      <c r="U515" s="8"/>
      <c r="V515" s="8"/>
    </row>
    <row r="516" spans="1:22" x14ac:dyDescent="0.35">
      <c r="A516" s="12">
        <v>2.875</v>
      </c>
      <c r="B516">
        <v>16.1875</v>
      </c>
      <c r="C516" s="12">
        <v>-0.10709385</v>
      </c>
      <c r="D516" s="12">
        <v>-1.0136711E-2</v>
      </c>
      <c r="E516" s="12">
        <v>0.89301960999999996</v>
      </c>
      <c r="F516" s="12">
        <v>-1.3958521E-2</v>
      </c>
      <c r="G516" s="12">
        <f t="shared" si="84"/>
        <v>4.1128076271255098</v>
      </c>
      <c r="H516" s="12">
        <f t="shared" si="85"/>
        <v>-0.51824490204034901</v>
      </c>
      <c r="I516" s="12">
        <f t="shared" si="86"/>
        <v>4.1128680048305997</v>
      </c>
      <c r="J516" s="12">
        <f t="shared" si="87"/>
        <v>-0.52015558327134404</v>
      </c>
      <c r="K516" s="7">
        <f t="shared" si="88"/>
        <v>-6.0377705089820197E-5</v>
      </c>
      <c r="L516" s="7">
        <f t="shared" si="89"/>
        <v>1.91068123099503E-3</v>
      </c>
      <c r="M516" s="7">
        <f t="shared" si="90"/>
        <v>0.239311611782382</v>
      </c>
      <c r="N516" s="7">
        <f t="shared" si="91"/>
        <v>3.02658074278261E-2</v>
      </c>
      <c r="O516" s="12">
        <v>0.62558961999999996</v>
      </c>
      <c r="P516" s="12">
        <v>-4.5318168999999999</v>
      </c>
      <c r="Q516" s="12">
        <v>-4.6112843000000003</v>
      </c>
      <c r="R516" s="12">
        <v>-13.047862</v>
      </c>
      <c r="S516" s="12">
        <f t="shared" si="92"/>
        <v>3.0249977499704057</v>
      </c>
      <c r="T516" s="12">
        <f t="shared" si="93"/>
        <v>-27.32372970811549</v>
      </c>
      <c r="U516" s="8"/>
      <c r="V516" s="8"/>
    </row>
    <row r="517" spans="1:22" x14ac:dyDescent="0.35">
      <c r="A517" s="10">
        <v>2.875</v>
      </c>
      <c r="B517">
        <v>16.25</v>
      </c>
      <c r="C517" s="10">
        <v>-0.10851829</v>
      </c>
      <c r="D517" s="10">
        <v>-3.8043228E-3</v>
      </c>
      <c r="E517" s="10">
        <v>0.89159579</v>
      </c>
      <c r="F517" s="10">
        <v>-7.6685725999999996E-3</v>
      </c>
      <c r="G517" s="10">
        <f t="shared" si="84"/>
        <v>4.0970516009812998</v>
      </c>
      <c r="H517" s="10">
        <f t="shared" si="85"/>
        <v>-0.24217084336922001</v>
      </c>
      <c r="I517" s="10">
        <f t="shared" si="86"/>
        <v>4.0971123701818701</v>
      </c>
      <c r="J517" s="10">
        <f t="shared" si="87"/>
        <v>-0.244102740660113</v>
      </c>
      <c r="K517" s="7">
        <f t="shared" si="88"/>
        <v>-6.0769200570298699E-5</v>
      </c>
      <c r="L517" s="7">
        <f t="shared" si="89"/>
        <v>1.9318972908929899E-3</v>
      </c>
      <c r="M517" s="7">
        <f t="shared" si="90"/>
        <v>0.24321101857434399</v>
      </c>
      <c r="N517" s="7">
        <f t="shared" si="91"/>
        <v>1.4490321677484199E-2</v>
      </c>
      <c r="O517" s="10">
        <v>0.35701943000000003</v>
      </c>
      <c r="P517" s="10">
        <v>-4.5803436</v>
      </c>
      <c r="Q517" s="10">
        <v>-5.4123371999999996</v>
      </c>
      <c r="R517" s="10">
        <v>-12.828215</v>
      </c>
      <c r="S517" s="10">
        <f t="shared" si="92"/>
        <v>3.0305874144182976</v>
      </c>
      <c r="T517" s="10">
        <f t="shared" si="93"/>
        <v>-27.33227549196663</v>
      </c>
      <c r="U517" s="8"/>
      <c r="V517" s="8"/>
    </row>
    <row r="518" spans="1:22" x14ac:dyDescent="0.35">
      <c r="A518" s="12">
        <v>2.875</v>
      </c>
      <c r="B518">
        <v>16.3125</v>
      </c>
      <c r="C518" s="12">
        <v>-0.10918192</v>
      </c>
      <c r="D518" s="12">
        <v>2.6047251E-3</v>
      </c>
      <c r="E518" s="12">
        <v>0.89101476999999996</v>
      </c>
      <c r="F518" s="12">
        <v>-1.1695483E-3</v>
      </c>
      <c r="G518" s="12">
        <f t="shared" si="84"/>
        <v>4.0833921937290496</v>
      </c>
      <c r="H518" s="12">
        <f t="shared" si="85"/>
        <v>3.1094808095385802E-2</v>
      </c>
      <c r="I518" s="12">
        <f t="shared" si="86"/>
        <v>4.08349408928001</v>
      </c>
      <c r="J518" s="12">
        <f t="shared" si="87"/>
        <v>2.9208049239519199E-2</v>
      </c>
      <c r="K518" s="7">
        <f t="shared" si="88"/>
        <v>-1.01895550960407E-4</v>
      </c>
      <c r="L518" s="7">
        <f t="shared" si="89"/>
        <v>1.8867588558665999E-3</v>
      </c>
      <c r="M518" s="7">
        <f t="shared" si="90"/>
        <v>0.24487579006940399</v>
      </c>
      <c r="N518" s="7">
        <f t="shared" si="91"/>
        <v>-1.7515255263108301E-3</v>
      </c>
      <c r="O518" s="12">
        <v>8.6271354999999994E-2</v>
      </c>
      <c r="P518" s="12">
        <v>-4.5969838000000003</v>
      </c>
      <c r="Q518" s="12">
        <v>-6.1753580000000001</v>
      </c>
      <c r="R518" s="12">
        <v>-12.516923</v>
      </c>
      <c r="S518" s="12">
        <f t="shared" si="92"/>
        <v>3.0356689583411116</v>
      </c>
      <c r="T518" s="12">
        <f t="shared" si="93"/>
        <v>-27.335061705127586</v>
      </c>
      <c r="U518" s="8"/>
      <c r="V518" s="8"/>
    </row>
    <row r="519" spans="1:22" x14ac:dyDescent="0.35">
      <c r="A519" s="10">
        <v>2.875</v>
      </c>
      <c r="B519">
        <v>16.375</v>
      </c>
      <c r="C519" s="10">
        <v>-0.1091015</v>
      </c>
      <c r="D519" s="10">
        <v>8.9460330000000008E-3</v>
      </c>
      <c r="E519" s="10">
        <v>0.89110635000000005</v>
      </c>
      <c r="F519" s="10">
        <v>5.1260782000000001E-3</v>
      </c>
      <c r="G519" s="10">
        <f t="shared" si="84"/>
        <v>4.0681683976064402</v>
      </c>
      <c r="H519" s="10">
        <f t="shared" si="85"/>
        <v>0.29584451470029099</v>
      </c>
      <c r="I519" s="10">
        <f t="shared" si="86"/>
        <v>4.0682759586703998</v>
      </c>
      <c r="J519" s="10">
        <f t="shared" si="87"/>
        <v>0.29393494119191899</v>
      </c>
      <c r="K519" s="7">
        <f t="shared" si="88"/>
        <v>-1.0756106395959401E-4</v>
      </c>
      <c r="L519" s="7">
        <f t="shared" si="89"/>
        <v>1.90957350837201E-3</v>
      </c>
      <c r="M519" s="7">
        <f t="shared" si="90"/>
        <v>0.244527899469483</v>
      </c>
      <c r="N519" s="7">
        <f t="shared" si="91"/>
        <v>-1.7667261139737499E-2</v>
      </c>
      <c r="O519" s="10">
        <v>-0.17991428000000001</v>
      </c>
      <c r="P519" s="10">
        <v>-4.5812453</v>
      </c>
      <c r="Q519" s="10">
        <v>-6.8864697000000001</v>
      </c>
      <c r="R519" s="10">
        <v>-12.126104</v>
      </c>
      <c r="S519" s="10">
        <f t="shared" si="92"/>
        <v>3.0416097857572746</v>
      </c>
      <c r="T519" s="10">
        <f t="shared" si="93"/>
        <v>-27.343480895697265</v>
      </c>
      <c r="U519" s="8"/>
      <c r="V519" s="8"/>
    </row>
    <row r="520" spans="1:22" x14ac:dyDescent="0.35">
      <c r="A520" s="12">
        <v>2.875</v>
      </c>
      <c r="B520">
        <v>16.4375</v>
      </c>
      <c r="C520" s="12">
        <v>-0.10831730000000001</v>
      </c>
      <c r="D520" s="12">
        <v>1.5100818E-2</v>
      </c>
      <c r="E520" s="12">
        <v>0.89190033000000002</v>
      </c>
      <c r="F520" s="12">
        <v>1.1234612E-2</v>
      </c>
      <c r="G520" s="12">
        <f t="shared" si="84"/>
        <v>4.05322815041177</v>
      </c>
      <c r="H520" s="12">
        <f t="shared" si="85"/>
        <v>0.55504813212137205</v>
      </c>
      <c r="I520" s="12">
        <f t="shared" si="86"/>
        <v>4.0533406892259798</v>
      </c>
      <c r="J520" s="12">
        <f t="shared" si="87"/>
        <v>0.55311545697453701</v>
      </c>
      <c r="K520" s="7">
        <f t="shared" si="88"/>
        <v>-1.1253881420980599E-4</v>
      </c>
      <c r="L520" s="7">
        <f t="shared" si="89"/>
        <v>1.93267514683504E-3</v>
      </c>
      <c r="M520" s="7">
        <f t="shared" si="90"/>
        <v>0.24220004687215499</v>
      </c>
      <c r="N520" s="7">
        <f t="shared" si="91"/>
        <v>-3.3050414430011298E-2</v>
      </c>
      <c r="O520" s="12">
        <v>-0.43698914</v>
      </c>
      <c r="P520" s="12">
        <v>-4.5372244000000004</v>
      </c>
      <c r="Q520" s="12">
        <v>-7.5339055999999998</v>
      </c>
      <c r="R520" s="12">
        <v>-11.666763</v>
      </c>
      <c r="S520" s="12">
        <f t="shared" si="92"/>
        <v>3.04677644838852</v>
      </c>
      <c r="T520" s="12">
        <f t="shared" si="93"/>
        <v>-27.3513734422487</v>
      </c>
      <c r="U520" s="8"/>
      <c r="V520" s="8"/>
    </row>
    <row r="521" spans="1:22" x14ac:dyDescent="0.35">
      <c r="A521" s="10">
        <v>2.875</v>
      </c>
      <c r="B521">
        <v>16.5</v>
      </c>
      <c r="C521" s="10">
        <v>-0.10689359</v>
      </c>
      <c r="D521" s="10">
        <v>2.0968924E-2</v>
      </c>
      <c r="E521" s="10">
        <v>0.89307738999999997</v>
      </c>
      <c r="F521" s="10">
        <v>1.7069345999999999E-2</v>
      </c>
      <c r="G521" s="10">
        <f t="shared" si="84"/>
        <v>4.0334406559997902</v>
      </c>
      <c r="H521" s="10">
        <f t="shared" si="85"/>
        <v>0.80748086221680904</v>
      </c>
      <c r="I521" s="10">
        <f t="shared" si="86"/>
        <v>4.0334299476174298</v>
      </c>
      <c r="J521" s="10">
        <f t="shared" si="87"/>
        <v>0.80553102404557297</v>
      </c>
      <c r="K521" s="7">
        <f t="shared" si="88"/>
        <v>1.0708382360391501E-5</v>
      </c>
      <c r="L521" s="7">
        <f t="shared" si="89"/>
        <v>1.94983817123606E-3</v>
      </c>
      <c r="M521" s="7">
        <f t="shared" si="90"/>
        <v>0.23841849440186999</v>
      </c>
      <c r="N521" s="7">
        <f t="shared" si="91"/>
        <v>-4.7615428169364697E-2</v>
      </c>
      <c r="O521" s="10">
        <v>-0.68010179999999998</v>
      </c>
      <c r="P521" s="10">
        <v>-4.4672441000000003</v>
      </c>
      <c r="Q521" s="10">
        <v>-8.1106069999999999</v>
      </c>
      <c r="R521" s="10">
        <v>-11.153423</v>
      </c>
      <c r="S521" s="10">
        <f t="shared" si="92"/>
        <v>3.0518847434547678</v>
      </c>
      <c r="T521" s="10">
        <f t="shared" si="93"/>
        <v>-27.367752993278565</v>
      </c>
      <c r="U521" s="8"/>
      <c r="V521" s="8"/>
    </row>
    <row r="522" spans="1:22" x14ac:dyDescent="0.35">
      <c r="A522" s="12">
        <v>2.875</v>
      </c>
      <c r="B522">
        <v>16.5625</v>
      </c>
      <c r="C522" s="12">
        <v>-0.10491797999999999</v>
      </c>
      <c r="D522" s="12">
        <v>2.6453719000000001E-2</v>
      </c>
      <c r="E522" s="12">
        <v>0.89505590999999995</v>
      </c>
      <c r="F522" s="12">
        <v>2.2524829999999999E-2</v>
      </c>
      <c r="G522" s="12">
        <f t="shared" si="84"/>
        <v>4.0189023426796204</v>
      </c>
      <c r="H522" s="12">
        <f t="shared" si="85"/>
        <v>1.0556228211951</v>
      </c>
      <c r="I522" s="12">
        <f t="shared" si="86"/>
        <v>4.0188931466876303</v>
      </c>
      <c r="J522" s="12">
        <f t="shared" si="87"/>
        <v>1.0536583329836899</v>
      </c>
      <c r="K522" s="7">
        <f t="shared" si="88"/>
        <v>9.1959919901185606E-6</v>
      </c>
      <c r="L522" s="7">
        <f t="shared" si="89"/>
        <v>1.96448821141004E-3</v>
      </c>
      <c r="M522" s="7">
        <f t="shared" si="90"/>
        <v>0.23282142608571399</v>
      </c>
      <c r="N522" s="7">
        <f t="shared" si="91"/>
        <v>-6.1040248331694899E-2</v>
      </c>
      <c r="O522" s="12">
        <v>-0.90676440999999997</v>
      </c>
      <c r="P522" s="12">
        <v>-4.3740676000000001</v>
      </c>
      <c r="Q522" s="12">
        <v>-8.6101440999999994</v>
      </c>
      <c r="R522" s="12">
        <v>-10.599439</v>
      </c>
      <c r="S522" s="12">
        <f t="shared" si="92"/>
        <v>3.0570094301748658</v>
      </c>
      <c r="T522" s="12">
        <f t="shared" si="93"/>
        <v>-27.375883515458682</v>
      </c>
      <c r="U522" s="8"/>
      <c r="V522" s="8"/>
    </row>
    <row r="523" spans="1:22" x14ac:dyDescent="0.35">
      <c r="A523" s="10">
        <v>2.875</v>
      </c>
      <c r="B523">
        <v>16.625</v>
      </c>
      <c r="C523" s="10">
        <v>-0.10248243</v>
      </c>
      <c r="D523" s="10">
        <v>3.1501678999999998E-2</v>
      </c>
      <c r="E523" s="10">
        <v>0.89749343999999998</v>
      </c>
      <c r="F523" s="10">
        <v>2.7543282999999998E-2</v>
      </c>
      <c r="G523" s="10">
        <f t="shared" si="84"/>
        <v>4.0045840271106004</v>
      </c>
      <c r="H523" s="10">
        <f t="shared" si="85"/>
        <v>1.29848736345944</v>
      </c>
      <c r="I523" s="10">
        <f t="shared" si="86"/>
        <v>4.0045758793162003</v>
      </c>
      <c r="J523" s="10">
        <f t="shared" si="87"/>
        <v>1.29650812545383</v>
      </c>
      <c r="K523" s="7">
        <f t="shared" si="88"/>
        <v>8.1477944000596398E-6</v>
      </c>
      <c r="L523" s="7">
        <f t="shared" si="89"/>
        <v>1.9792380056100601E-3</v>
      </c>
      <c r="M523" s="7">
        <f t="shared" si="90"/>
        <v>0.22602297309369501</v>
      </c>
      <c r="N523" s="7">
        <f t="shared" si="91"/>
        <v>-7.3176443645075001E-2</v>
      </c>
      <c r="O523" s="10">
        <v>-1.1140668</v>
      </c>
      <c r="P523" s="10">
        <v>-4.2618897999999996</v>
      </c>
      <c r="Q523" s="10">
        <v>-9.0323423999999992</v>
      </c>
      <c r="R523" s="10">
        <v>-10.019698</v>
      </c>
      <c r="S523" s="10">
        <f t="shared" si="92"/>
        <v>3.0623426018092199</v>
      </c>
      <c r="T523" s="10">
        <f t="shared" si="93"/>
        <v>-27.383913182914746</v>
      </c>
      <c r="U523" s="8"/>
      <c r="V523" s="8"/>
    </row>
    <row r="524" spans="1:22" x14ac:dyDescent="0.35">
      <c r="A524" s="12">
        <v>2.875</v>
      </c>
      <c r="B524">
        <v>16.6875</v>
      </c>
      <c r="C524" s="12">
        <v>-9.9683392999999995E-2</v>
      </c>
      <c r="D524" s="12">
        <v>3.6076707E-2</v>
      </c>
      <c r="E524" s="12">
        <v>0.90029345000000005</v>
      </c>
      <c r="F524" s="12">
        <v>3.2088710999999999E-2</v>
      </c>
      <c r="G524" s="12">
        <f t="shared" si="84"/>
        <v>3.9904776584756001</v>
      </c>
      <c r="H524" s="12">
        <f t="shared" si="85"/>
        <v>1.5361548244349199</v>
      </c>
      <c r="I524" s="12">
        <f t="shared" si="86"/>
        <v>3.99047005599187</v>
      </c>
      <c r="J524" s="12">
        <f t="shared" si="87"/>
        <v>1.53416078818763</v>
      </c>
      <c r="K524" s="7">
        <f t="shared" si="88"/>
        <v>7.6024837301069698E-6</v>
      </c>
      <c r="L524" s="7">
        <f t="shared" si="89"/>
        <v>1.9940362472898902E-3</v>
      </c>
      <c r="M524" s="7">
        <f t="shared" si="90"/>
        <v>0.21832690065875099</v>
      </c>
      <c r="N524" s="7">
        <f t="shared" si="91"/>
        <v>-8.3937121516361499E-2</v>
      </c>
      <c r="O524" s="12">
        <v>-1.3008991999999999</v>
      </c>
      <c r="P524" s="12">
        <v>-4.1357730000000004</v>
      </c>
      <c r="Q524" s="12">
        <v>-9.3789274999999996</v>
      </c>
      <c r="R524" s="12">
        <v>-9.4273098999999991</v>
      </c>
      <c r="S524" s="12">
        <f t="shared" si="92"/>
        <v>3.0672175403437509</v>
      </c>
      <c r="T524" s="12">
        <f t="shared" si="93"/>
        <v>-27.391731458483644</v>
      </c>
      <c r="U524" s="8"/>
      <c r="V524" s="8"/>
    </row>
    <row r="525" spans="1:22" x14ac:dyDescent="0.35">
      <c r="A525" s="10">
        <v>2.875</v>
      </c>
      <c r="B525">
        <v>16.75</v>
      </c>
      <c r="C525" s="10">
        <v>-9.6614342000000006E-2</v>
      </c>
      <c r="D525" s="10">
        <v>4.0164147999999997E-2</v>
      </c>
      <c r="E525" s="10">
        <v>0.90336238999999996</v>
      </c>
      <c r="F525" s="10">
        <v>3.6146523E-2</v>
      </c>
      <c r="G525" s="10">
        <f t="shared" si="84"/>
        <v>3.9765751194261498</v>
      </c>
      <c r="H525" s="10">
        <f t="shared" si="85"/>
        <v>1.7686976244182699</v>
      </c>
      <c r="I525" s="10">
        <f t="shared" si="86"/>
        <v>3.9765675207430302</v>
      </c>
      <c r="J525" s="10">
        <f t="shared" si="87"/>
        <v>1.7666887732829799</v>
      </c>
      <c r="K525" s="7">
        <f t="shared" si="88"/>
        <v>7.5986831196139804E-6</v>
      </c>
      <c r="L525" s="7">
        <f t="shared" si="89"/>
        <v>2.0088511352900399E-3</v>
      </c>
      <c r="M525" s="7">
        <f t="shared" si="90"/>
        <v>0.210019490698968</v>
      </c>
      <c r="N525" s="7">
        <f t="shared" si="91"/>
        <v>-9.33063689860711E-2</v>
      </c>
      <c r="O525" s="10">
        <v>-1.4664276999999999</v>
      </c>
      <c r="P525" s="10">
        <v>-3.9984701999999999</v>
      </c>
      <c r="Q525" s="10">
        <v>-9.6538777000000007</v>
      </c>
      <c r="R525" s="10">
        <v>-8.8337603999999992</v>
      </c>
      <c r="S525" s="10">
        <f t="shared" si="92"/>
        <v>3.0725328878226175</v>
      </c>
      <c r="T525" s="10">
        <f t="shared" si="93"/>
        <v>-27.399623067195233</v>
      </c>
      <c r="U525" s="8"/>
      <c r="V525" s="8"/>
    </row>
    <row r="526" spans="1:22" x14ac:dyDescent="0.35">
      <c r="A526" s="12">
        <v>2.875</v>
      </c>
      <c r="B526">
        <v>16.8125</v>
      </c>
      <c r="C526" s="12">
        <v>-9.3361437000000005E-2</v>
      </c>
      <c r="D526" s="12">
        <v>4.3767272000000003E-2</v>
      </c>
      <c r="E526" s="12">
        <v>0.90661402000000002</v>
      </c>
      <c r="F526" s="12">
        <v>3.9720042999999997E-2</v>
      </c>
      <c r="G526" s="12">
        <f t="shared" si="84"/>
        <v>3.9628700007056299</v>
      </c>
      <c r="H526" s="12">
        <f t="shared" si="85"/>
        <v>1.9961810153984301</v>
      </c>
      <c r="I526" s="12">
        <f t="shared" si="86"/>
        <v>3.9628618242046598</v>
      </c>
      <c r="J526" s="12">
        <f t="shared" si="87"/>
        <v>1.9941573595190401</v>
      </c>
      <c r="K526" s="7">
        <f t="shared" si="88"/>
        <v>8.1765009700696095E-6</v>
      </c>
      <c r="L526" s="7">
        <f t="shared" si="89"/>
        <v>2.0236558793900201E-3</v>
      </c>
      <c r="M526" s="7">
        <f t="shared" si="90"/>
        <v>0.20135533898581001</v>
      </c>
      <c r="N526" s="7">
        <f t="shared" si="91"/>
        <v>-0.101324307767807</v>
      </c>
      <c r="O526" s="12">
        <v>-1.6113137</v>
      </c>
      <c r="P526" s="12">
        <v>-3.8546665</v>
      </c>
      <c r="Q526" s="12">
        <v>-9.8627675999999997</v>
      </c>
      <c r="R526" s="12">
        <v>-8.2486192000000003</v>
      </c>
      <c r="S526" s="12">
        <f t="shared" si="92"/>
        <v>3.0774955256567722</v>
      </c>
      <c r="T526" s="12">
        <f t="shared" si="93"/>
        <v>-27.407212840758387</v>
      </c>
      <c r="U526" s="8"/>
      <c r="V526" s="8"/>
    </row>
    <row r="527" spans="1:22" x14ac:dyDescent="0.35">
      <c r="A527" s="10">
        <v>2.875</v>
      </c>
      <c r="B527">
        <v>16.875</v>
      </c>
      <c r="C527" s="10">
        <v>-9.0000830000000004E-2</v>
      </c>
      <c r="D527" s="10">
        <v>4.6903296999999997E-2</v>
      </c>
      <c r="E527" s="10">
        <v>0.90997209999999995</v>
      </c>
      <c r="F527" s="10">
        <v>4.2826537999999997E-2</v>
      </c>
      <c r="G527" s="10">
        <f t="shared" si="84"/>
        <v>3.9493566274481799</v>
      </c>
      <c r="H527" s="10">
        <f t="shared" si="85"/>
        <v>2.2186631147330398</v>
      </c>
      <c r="I527" s="10">
        <f t="shared" si="86"/>
        <v>3.9493472474074101</v>
      </c>
      <c r="J527" s="10">
        <f t="shared" si="87"/>
        <v>2.21662468852286</v>
      </c>
      <c r="K527" s="7">
        <f t="shared" si="88"/>
        <v>9.3800407698907406E-6</v>
      </c>
      <c r="L527" s="7">
        <f t="shared" si="89"/>
        <v>2.0384262101798001E-3</v>
      </c>
      <c r="M527" s="7">
        <f t="shared" si="90"/>
        <v>0.192549938377541</v>
      </c>
      <c r="N527" s="7">
        <f t="shared" si="91"/>
        <v>-0.10807126353890401</v>
      </c>
      <c r="O527" s="10">
        <v>-1.7363519999999999</v>
      </c>
      <c r="P527" s="10">
        <v>-3.7073125</v>
      </c>
      <c r="Q527" s="10">
        <v>-10.012143999999999</v>
      </c>
      <c r="R527" s="10">
        <v>-7.6794922999999997</v>
      </c>
      <c r="S527" s="10">
        <f t="shared" si="92"/>
        <v>3.0822682648504975</v>
      </c>
      <c r="T527" s="10">
        <f t="shared" si="93"/>
        <v>-27.41470278425237</v>
      </c>
      <c r="U527" s="8"/>
      <c r="V527" s="8"/>
    </row>
    <row r="528" spans="1:22" x14ac:dyDescent="0.35">
      <c r="A528" s="12">
        <v>2.875</v>
      </c>
      <c r="B528">
        <v>16.9375</v>
      </c>
      <c r="C528" s="12">
        <v>-8.6597372000000006E-2</v>
      </c>
      <c r="D528" s="12">
        <v>4.9599427000000001E-2</v>
      </c>
      <c r="E528" s="12">
        <v>0.91337164000000004</v>
      </c>
      <c r="F528" s="12">
        <v>4.5493309000000003E-2</v>
      </c>
      <c r="G528" s="12">
        <f t="shared" si="84"/>
        <v>3.93602858687054</v>
      </c>
      <c r="H528" s="12">
        <f t="shared" si="85"/>
        <v>2.43619340057794</v>
      </c>
      <c r="I528" s="12">
        <f t="shared" si="86"/>
        <v>3.9360173078598901</v>
      </c>
      <c r="J528" s="12">
        <f t="shared" si="87"/>
        <v>2.43414028661052</v>
      </c>
      <c r="K528" s="7">
        <f t="shared" si="88"/>
        <v>1.12790106499006E-5</v>
      </c>
      <c r="L528" s="7">
        <f t="shared" si="89"/>
        <v>2.05311396742003E-3</v>
      </c>
      <c r="M528" s="7">
        <f t="shared" si="90"/>
        <v>0.18377772192772199</v>
      </c>
      <c r="N528" s="7">
        <f t="shared" si="91"/>
        <v>-0.11365314777261599</v>
      </c>
      <c r="O528" s="12">
        <v>-1.8426069</v>
      </c>
      <c r="P528" s="12">
        <v>-3.5586665000000002</v>
      </c>
      <c r="Q528" s="12">
        <v>-10.109019</v>
      </c>
      <c r="R528" s="12">
        <v>-7.1320889000000003</v>
      </c>
      <c r="S528" s="12">
        <f t="shared" si="92"/>
        <v>3.0872085535737117</v>
      </c>
      <c r="T528" s="12">
        <f t="shared" si="93"/>
        <v>-27.422140853580419</v>
      </c>
      <c r="U528" s="8"/>
      <c r="V528" s="8"/>
    </row>
    <row r="529" spans="1:22" x14ac:dyDescent="0.35">
      <c r="A529" s="10">
        <v>2.875</v>
      </c>
      <c r="B529">
        <v>17</v>
      </c>
      <c r="C529" s="10">
        <v>-8.3204401999999997E-2</v>
      </c>
      <c r="D529" s="10">
        <v>5.1889312E-2</v>
      </c>
      <c r="E529" s="10">
        <v>0.91675899999999999</v>
      </c>
      <c r="F529" s="10">
        <v>4.7754231000000001E-2</v>
      </c>
      <c r="G529" s="10">
        <f t="shared" si="84"/>
        <v>3.9228755339095001</v>
      </c>
      <c r="H529" s="10">
        <f t="shared" si="85"/>
        <v>2.64881069885777</v>
      </c>
      <c r="I529" s="10">
        <f t="shared" si="86"/>
        <v>3.9228615095147501</v>
      </c>
      <c r="J529" s="10">
        <f t="shared" si="87"/>
        <v>2.6467430915266101</v>
      </c>
      <c r="K529" s="7">
        <f t="shared" si="88"/>
        <v>1.40243947499563E-5</v>
      </c>
      <c r="L529" s="7">
        <f t="shared" si="89"/>
        <v>2.0676073311598499E-3</v>
      </c>
      <c r="M529" s="7">
        <f t="shared" si="90"/>
        <v>0.17517395266240801</v>
      </c>
      <c r="N529" s="7">
        <f t="shared" si="91"/>
        <v>-0.118189349254389</v>
      </c>
      <c r="O529" s="10">
        <v>-1.9318316</v>
      </c>
      <c r="P529" s="10">
        <v>-3.4113866000000002</v>
      </c>
      <c r="Q529" s="10">
        <v>-10.160449</v>
      </c>
      <c r="R529" s="10">
        <v>-6.6104323000000003</v>
      </c>
      <c r="S529" s="10">
        <f t="shared" si="92"/>
        <v>3.0919230143769392</v>
      </c>
      <c r="T529" s="10">
        <f t="shared" si="93"/>
        <v>-27.429385288195409</v>
      </c>
      <c r="U529" s="8"/>
      <c r="V529" s="8"/>
    </row>
    <row r="530" spans="1:22" x14ac:dyDescent="0.35">
      <c r="A530" s="12">
        <v>3</v>
      </c>
      <c r="B530">
        <v>15</v>
      </c>
      <c r="C530" s="12">
        <v>-3.5547535999999998E-2</v>
      </c>
      <c r="D530" s="12">
        <v>-4.9243018E-2</v>
      </c>
      <c r="E530" s="12">
        <v>0.96444373000000005</v>
      </c>
      <c r="F530" s="12">
        <v>-5.2695681000000001E-2</v>
      </c>
      <c r="G530" s="12">
        <f t="shared" si="84"/>
        <v>4.1030082142288196</v>
      </c>
      <c r="H530" s="12">
        <f t="shared" si="85"/>
        <v>-6.5982856591242403</v>
      </c>
      <c r="I530" s="12">
        <f t="shared" si="86"/>
        <v>4.1030068274603497</v>
      </c>
      <c r="J530" s="12">
        <f t="shared" si="87"/>
        <v>-6.6000120005571796</v>
      </c>
      <c r="K530" s="7">
        <f t="shared" si="88"/>
        <v>1.3867684698354299E-6</v>
      </c>
      <c r="L530" s="7">
        <f t="shared" si="89"/>
        <v>1.7263414329393701E-3</v>
      </c>
      <c r="M530" s="7">
        <f t="shared" si="90"/>
        <v>6.79363990850234E-2</v>
      </c>
      <c r="N530" s="7">
        <f t="shared" si="91"/>
        <v>0.109281087770778</v>
      </c>
      <c r="O530" s="12">
        <v>2.3085274999999998</v>
      </c>
      <c r="P530" s="12">
        <v>-1.5248155999999999</v>
      </c>
      <c r="Q530" s="12">
        <v>3.9437638000000002</v>
      </c>
      <c r="R530" s="12">
        <v>-6.9904637000000003</v>
      </c>
      <c r="S530" s="12">
        <f t="shared" si="92"/>
        <v>2.9010511064598994</v>
      </c>
      <c r="T530" s="12">
        <f t="shared" si="93"/>
        <v>-27.124563844408645</v>
      </c>
      <c r="U530" s="8"/>
      <c r="V530" s="8"/>
    </row>
    <row r="531" spans="1:22" x14ac:dyDescent="0.35">
      <c r="A531" s="10">
        <v>3</v>
      </c>
      <c r="B531">
        <v>15.0625</v>
      </c>
      <c r="C531" s="10">
        <v>-3.8459604000000001E-2</v>
      </c>
      <c r="D531" s="10">
        <v>-5.0380531999999999E-2</v>
      </c>
      <c r="E531" s="10">
        <v>0.96153489999999997</v>
      </c>
      <c r="F531" s="10">
        <v>-5.3854219000000002E-2</v>
      </c>
      <c r="G531" s="10">
        <f t="shared" si="84"/>
        <v>4.0836823314559796</v>
      </c>
      <c r="H531" s="10">
        <f t="shared" si="85"/>
        <v>-6.21012720739499</v>
      </c>
      <c r="I531" s="10">
        <f t="shared" si="86"/>
        <v>4.0836826000895403</v>
      </c>
      <c r="J531" s="10">
        <f t="shared" si="87"/>
        <v>-6.2118640552012696</v>
      </c>
      <c r="K531" s="7">
        <f t="shared" si="88"/>
        <v>-2.6863356072937E-7</v>
      </c>
      <c r="L531" s="7">
        <f t="shared" si="89"/>
        <v>1.7368478062795799E-3</v>
      </c>
      <c r="M531" s="7">
        <f t="shared" si="90"/>
        <v>7.3894459188942593E-2</v>
      </c>
      <c r="N531" s="7">
        <f t="shared" si="91"/>
        <v>0.11240401859445801</v>
      </c>
      <c r="O531" s="10">
        <v>2.3484951999999999</v>
      </c>
      <c r="P531" s="10">
        <v>-1.6440360999999999</v>
      </c>
      <c r="Q531" s="10">
        <v>3.9007448999999998</v>
      </c>
      <c r="R531" s="10">
        <v>-7.3745212000000002</v>
      </c>
      <c r="S531" s="10">
        <f t="shared" si="92"/>
        <v>2.910127939942448</v>
      </c>
      <c r="T531" s="10">
        <f t="shared" si="93"/>
        <v>-27.129962251453733</v>
      </c>
      <c r="U531" s="8"/>
      <c r="V531" s="8"/>
    </row>
    <row r="532" spans="1:22" x14ac:dyDescent="0.35">
      <c r="A532" s="12">
        <v>3</v>
      </c>
      <c r="B532">
        <v>15.125</v>
      </c>
      <c r="C532" s="12">
        <v>-4.1593050999999999E-2</v>
      </c>
      <c r="D532" s="12">
        <v>-5.1409404999999998E-2</v>
      </c>
      <c r="E532" s="12">
        <v>0.95840431999999998</v>
      </c>
      <c r="F532" s="12">
        <v>-5.4902187999999998E-2</v>
      </c>
      <c r="G532" s="12">
        <f t="shared" si="84"/>
        <v>4.0651598259296602</v>
      </c>
      <c r="H532" s="12">
        <f t="shared" si="85"/>
        <v>-5.8332043269676301</v>
      </c>
      <c r="I532" s="12">
        <f t="shared" si="86"/>
        <v>4.0651615613139302</v>
      </c>
      <c r="J532" s="12">
        <f t="shared" si="87"/>
        <v>-5.8349507177325997</v>
      </c>
      <c r="K532" s="7">
        <f t="shared" si="88"/>
        <v>-1.73538427006292E-6</v>
      </c>
      <c r="L532" s="7">
        <f t="shared" si="89"/>
        <v>1.74639076496952E-3</v>
      </c>
      <c r="M532" s="7">
        <f t="shared" si="90"/>
        <v>8.0383342902331595E-2</v>
      </c>
      <c r="N532" s="7">
        <f t="shared" si="91"/>
        <v>0.115378647880874</v>
      </c>
      <c r="O532" s="12">
        <v>2.3845817999999999</v>
      </c>
      <c r="P532" s="12">
        <v>-1.7721905</v>
      </c>
      <c r="Q532" s="12">
        <v>3.8333908999999999</v>
      </c>
      <c r="R532" s="12">
        <v>-7.7765266999999998</v>
      </c>
      <c r="S532" s="12">
        <f t="shared" si="92"/>
        <v>2.918208193165452</v>
      </c>
      <c r="T532" s="12">
        <f t="shared" si="93"/>
        <v>-27.140035194135649</v>
      </c>
      <c r="U532" s="8"/>
      <c r="V532" s="8"/>
    </row>
    <row r="533" spans="1:22" x14ac:dyDescent="0.35">
      <c r="A533" s="10">
        <v>3</v>
      </c>
      <c r="B533">
        <v>15.1875</v>
      </c>
      <c r="C533" s="10">
        <v>-4.4968082999999999E-2</v>
      </c>
      <c r="D533" s="10">
        <v>-5.2305839E-2</v>
      </c>
      <c r="E533" s="10">
        <v>0.95503280000000002</v>
      </c>
      <c r="F533" s="10">
        <v>-5.5817978999999997E-2</v>
      </c>
      <c r="G533" s="10">
        <f t="shared" si="84"/>
        <v>4.0469803612245396</v>
      </c>
      <c r="H533" s="10">
        <f t="shared" si="85"/>
        <v>-5.4656869384218298</v>
      </c>
      <c r="I533" s="10">
        <f t="shared" si="86"/>
        <v>4.0469838864925798</v>
      </c>
      <c r="J533" s="10">
        <f t="shared" si="87"/>
        <v>-5.4674430014558997</v>
      </c>
      <c r="K533" s="7">
        <f t="shared" si="88"/>
        <v>-3.5252680401498499E-6</v>
      </c>
      <c r="L533" s="7">
        <f t="shared" si="89"/>
        <v>1.7560630340698301E-3</v>
      </c>
      <c r="M533" s="7">
        <f t="shared" si="90"/>
        <v>8.7462619700258495E-2</v>
      </c>
      <c r="N533" s="7">
        <f t="shared" si="91"/>
        <v>0.11816130268401399</v>
      </c>
      <c r="O533" s="10">
        <v>2.4155768000000002</v>
      </c>
      <c r="P533" s="10">
        <v>-1.9102239000000001</v>
      </c>
      <c r="Q533" s="10">
        <v>3.7378363999999999</v>
      </c>
      <c r="R533" s="10">
        <v>-8.1971728000000006</v>
      </c>
      <c r="S533" s="10">
        <f t="shared" si="92"/>
        <v>2.9254289590802429</v>
      </c>
      <c r="T533" s="10">
        <f t="shared" si="93"/>
        <v>-27.150705031866707</v>
      </c>
      <c r="U533" s="8"/>
      <c r="V533" s="8"/>
    </row>
    <row r="534" spans="1:22" x14ac:dyDescent="0.35">
      <c r="A534" s="12">
        <v>3</v>
      </c>
      <c r="B534">
        <v>15.25</v>
      </c>
      <c r="C534" s="12">
        <v>-4.8597658000000002E-2</v>
      </c>
      <c r="D534" s="12">
        <v>-5.3035710999999999E-2</v>
      </c>
      <c r="E534" s="12">
        <v>0.95140767000000004</v>
      </c>
      <c r="F534" s="12">
        <v>-5.6568562000000003E-2</v>
      </c>
      <c r="G534" s="12">
        <f t="shared" si="84"/>
        <v>4.02910057756631</v>
      </c>
      <c r="H534" s="12">
        <f t="shared" si="85"/>
        <v>-5.1067323356816701</v>
      </c>
      <c r="I534" s="12">
        <f t="shared" si="86"/>
        <v>4.0291063617835903</v>
      </c>
      <c r="J534" s="12">
        <f t="shared" si="87"/>
        <v>-5.1084987462585696</v>
      </c>
      <c r="K534" s="7">
        <f t="shared" si="88"/>
        <v>-5.7842172802580202E-6</v>
      </c>
      <c r="L534" s="7">
        <f t="shared" si="89"/>
        <v>1.7664105768995201E-3</v>
      </c>
      <c r="M534" s="7">
        <f t="shared" si="90"/>
        <v>9.5182206815205297E-2</v>
      </c>
      <c r="N534" s="7">
        <f t="shared" si="91"/>
        <v>0.12068139694539</v>
      </c>
      <c r="O534" s="12">
        <v>2.4396776999999998</v>
      </c>
      <c r="P534" s="12">
        <v>-2.0584294999999999</v>
      </c>
      <c r="Q534" s="12">
        <v>3.6095231000000001</v>
      </c>
      <c r="R534" s="12">
        <v>-8.6359405999999996</v>
      </c>
      <c r="S534" s="12">
        <f t="shared" si="92"/>
        <v>2.9322636868600536</v>
      </c>
      <c r="T534" s="12">
        <f t="shared" si="93"/>
        <v>-27.161433747033481</v>
      </c>
      <c r="U534" s="8"/>
      <c r="V534" s="8"/>
    </row>
    <row r="535" spans="1:22" x14ac:dyDescent="0.35">
      <c r="A535" s="10">
        <v>3</v>
      </c>
      <c r="B535">
        <v>15.3125</v>
      </c>
      <c r="C535" s="10">
        <v>-5.2488971000000002E-2</v>
      </c>
      <c r="D535" s="10">
        <v>-5.3558386999999999E-2</v>
      </c>
      <c r="E535" s="10">
        <v>0.94752181000000002</v>
      </c>
      <c r="F535" s="10">
        <v>-5.7113719E-2</v>
      </c>
      <c r="G535" s="10">
        <f t="shared" si="84"/>
        <v>4.0115261318233602</v>
      </c>
      <c r="H535" s="10">
        <f t="shared" si="85"/>
        <v>-4.7558423958731098</v>
      </c>
      <c r="I535" s="10">
        <f t="shared" si="86"/>
        <v>4.0115346823296196</v>
      </c>
      <c r="J535" s="10">
        <f t="shared" si="87"/>
        <v>-4.7576200370907902</v>
      </c>
      <c r="K535" s="7">
        <f t="shared" si="88"/>
        <v>-8.5505062594748404E-6</v>
      </c>
      <c r="L535" s="7">
        <f t="shared" si="89"/>
        <v>1.77764121768043E-3</v>
      </c>
      <c r="M535" s="7">
        <f t="shared" si="90"/>
        <v>0.103583998333395</v>
      </c>
      <c r="N535" s="7">
        <f t="shared" si="91"/>
        <v>0.122849070248284</v>
      </c>
      <c r="O535" s="10">
        <v>2.4550353</v>
      </c>
      <c r="P535" s="10">
        <v>-2.2169249999999998</v>
      </c>
      <c r="Q535" s="10">
        <v>3.4435685999999999</v>
      </c>
      <c r="R535" s="10">
        <v>-9.0912422999999993</v>
      </c>
      <c r="S535" s="10">
        <f t="shared" si="92"/>
        <v>2.9389269027587277</v>
      </c>
      <c r="T535" s="10">
        <f t="shared" si="93"/>
        <v>-27.171983627153864</v>
      </c>
      <c r="U535" s="8"/>
      <c r="V535" s="8"/>
    </row>
    <row r="536" spans="1:22" x14ac:dyDescent="0.35">
      <c r="A536" s="12">
        <v>3</v>
      </c>
      <c r="B536">
        <v>15.375</v>
      </c>
      <c r="C536" s="12">
        <v>-5.6642824000000001E-2</v>
      </c>
      <c r="D536" s="12">
        <v>-5.3827396999999999E-2</v>
      </c>
      <c r="E536" s="12">
        <v>0.94337442000000005</v>
      </c>
      <c r="F536" s="12">
        <v>-5.7407123999999997E-2</v>
      </c>
      <c r="G536" s="12">
        <f t="shared" si="84"/>
        <v>3.9942637420754101</v>
      </c>
      <c r="H536" s="12">
        <f t="shared" si="85"/>
        <v>-4.4126742253549702</v>
      </c>
      <c r="I536" s="12">
        <f t="shared" si="86"/>
        <v>3.9942755675192898</v>
      </c>
      <c r="J536" s="12">
        <f t="shared" si="87"/>
        <v>-4.4144640522571397</v>
      </c>
      <c r="K536" s="7">
        <f t="shared" si="88"/>
        <v>-1.1825443879676101E-5</v>
      </c>
      <c r="L536" s="7">
        <f t="shared" si="89"/>
        <v>1.7898269021694401E-3</v>
      </c>
      <c r="M536" s="7">
        <f t="shared" si="90"/>
        <v>0.112699790542508</v>
      </c>
      <c r="N536" s="7">
        <f t="shared" si="91"/>
        <v>0.124555545964947</v>
      </c>
      <c r="O536" s="12">
        <v>2.4599285000000002</v>
      </c>
      <c r="P536" s="12">
        <v>-2.3858545000000002</v>
      </c>
      <c r="Q536" s="12">
        <v>3.2348024999999998</v>
      </c>
      <c r="R536" s="12">
        <v>-9.5604829999999996</v>
      </c>
      <c r="S536" s="12">
        <f t="shared" si="92"/>
        <v>2.9452122297988801</v>
      </c>
      <c r="T536" s="12">
        <f t="shared" si="93"/>
        <v>-27.182452075844328</v>
      </c>
      <c r="U536" s="8"/>
      <c r="V536" s="8"/>
    </row>
    <row r="537" spans="1:22" x14ac:dyDescent="0.35">
      <c r="A537" s="10">
        <v>3</v>
      </c>
      <c r="B537">
        <v>15.4375</v>
      </c>
      <c r="C537" s="10">
        <v>-6.1052256999999999E-2</v>
      </c>
      <c r="D537" s="10">
        <v>-5.3790921999999998E-2</v>
      </c>
      <c r="E537" s="10">
        <v>0.93897235999999995</v>
      </c>
      <c r="F537" s="10">
        <v>-5.7397034999999999E-2</v>
      </c>
      <c r="G537" s="10">
        <f t="shared" si="84"/>
        <v>3.97731633519339</v>
      </c>
      <c r="H537" s="10">
        <f t="shared" si="85"/>
        <v>-4.0769567961181998</v>
      </c>
      <c r="I537" s="10">
        <f t="shared" si="86"/>
        <v>3.9773318944240299</v>
      </c>
      <c r="J537" s="10">
        <f t="shared" si="87"/>
        <v>-4.0787598023717404</v>
      </c>
      <c r="K537" s="7">
        <f t="shared" si="88"/>
        <v>-1.5559230639894401E-5</v>
      </c>
      <c r="L537" s="7">
        <f t="shared" si="89"/>
        <v>1.8030062535405701E-3</v>
      </c>
      <c r="M537" s="7">
        <f t="shared" si="90"/>
        <v>0.122547425169826</v>
      </c>
      <c r="N537" s="7">
        <f t="shared" si="91"/>
        <v>0.12567256767472501</v>
      </c>
      <c r="O537" s="10">
        <v>2.4517950000000002</v>
      </c>
      <c r="P537" s="10">
        <v>-2.5643984999999998</v>
      </c>
      <c r="Q537" s="10">
        <v>2.9779857999999999</v>
      </c>
      <c r="R537" s="10">
        <v>-10.039883</v>
      </c>
      <c r="S537" s="10">
        <f t="shared" si="92"/>
        <v>2.9516889530225847</v>
      </c>
      <c r="T537" s="10">
        <f t="shared" si="93"/>
        <v>-27.192862905492568</v>
      </c>
      <c r="U537" s="8"/>
      <c r="V537" s="8"/>
    </row>
    <row r="538" spans="1:22" x14ac:dyDescent="0.35">
      <c r="A538" s="12">
        <v>3</v>
      </c>
      <c r="B538">
        <v>15.5</v>
      </c>
      <c r="C538" s="12">
        <v>-6.5700711999999994E-2</v>
      </c>
      <c r="D538" s="12">
        <v>-5.3392674000000001E-2</v>
      </c>
      <c r="E538" s="12">
        <v>0.93433199</v>
      </c>
      <c r="F538" s="12">
        <v>-5.7027209000000002E-2</v>
      </c>
      <c r="G538" s="12">
        <f t="shared" si="84"/>
        <v>3.9606835825761002</v>
      </c>
      <c r="H538" s="12">
        <f t="shared" si="85"/>
        <v>-3.7484560637903401</v>
      </c>
      <c r="I538" s="12">
        <f t="shared" si="86"/>
        <v>3.96070323559703</v>
      </c>
      <c r="J538" s="12">
        <f t="shared" si="87"/>
        <v>-3.75027326586248</v>
      </c>
      <c r="K538" s="7">
        <f t="shared" si="88"/>
        <v>-1.9653020929766299E-5</v>
      </c>
      <c r="L538" s="7">
        <f t="shared" si="89"/>
        <v>1.81720207213987E-3</v>
      </c>
      <c r="M538" s="7">
        <f t="shared" si="90"/>
        <v>0.133125186610526</v>
      </c>
      <c r="N538" s="7">
        <f t="shared" si="91"/>
        <v>0.12605231916173901</v>
      </c>
      <c r="O538" s="12">
        <v>2.4283621000000002</v>
      </c>
      <c r="P538" s="12">
        <v>-2.7517151000000002</v>
      </c>
      <c r="Q538" s="12">
        <v>2.6679515999999999</v>
      </c>
      <c r="R538" s="12">
        <v>-10.524336</v>
      </c>
      <c r="S538" s="12">
        <f t="shared" si="92"/>
        <v>2.9583778024473348</v>
      </c>
      <c r="T538" s="12">
        <f t="shared" si="93"/>
        <v>-27.203100474557765</v>
      </c>
      <c r="U538" s="8"/>
      <c r="V538" s="8"/>
    </row>
    <row r="539" spans="1:22" x14ac:dyDescent="0.35">
      <c r="A539" s="10">
        <v>3</v>
      </c>
      <c r="B539">
        <v>15.5625</v>
      </c>
      <c r="C539" s="10">
        <v>-7.0559958000000006E-2</v>
      </c>
      <c r="D539" s="10">
        <v>-5.2573396000000001E-2</v>
      </c>
      <c r="E539" s="10">
        <v>0.92948129999999995</v>
      </c>
      <c r="F539" s="10">
        <v>-5.6238389E-2</v>
      </c>
      <c r="G539" s="10">
        <f t="shared" si="84"/>
        <v>3.9443632503401398</v>
      </c>
      <c r="H539" s="10">
        <f t="shared" si="85"/>
        <v>-3.4269616184812701</v>
      </c>
      <c r="I539" s="10">
        <f t="shared" si="86"/>
        <v>3.9443872367389199</v>
      </c>
      <c r="J539" s="10">
        <f t="shared" si="87"/>
        <v>-3.4287940332253801</v>
      </c>
      <c r="K539" s="7">
        <f t="shared" si="88"/>
        <v>-2.39863987800959E-5</v>
      </c>
      <c r="L539" s="7">
        <f t="shared" si="89"/>
        <v>1.8324147441100001E-3</v>
      </c>
      <c r="M539" s="7">
        <f t="shared" si="90"/>
        <v>0.144404662117252</v>
      </c>
      <c r="N539" s="7">
        <f t="shared" si="91"/>
        <v>0.12552871057531401</v>
      </c>
      <c r="O539" s="10">
        <v>2.3877221</v>
      </c>
      <c r="P539" s="10">
        <v>-2.9470540000000001</v>
      </c>
      <c r="Q539" s="10">
        <v>2.2998357999999999</v>
      </c>
      <c r="R539" s="10">
        <v>-11.007389999999999</v>
      </c>
      <c r="S539" s="10">
        <f t="shared" si="92"/>
        <v>2.9647455243947309</v>
      </c>
      <c r="T539" s="10">
        <f t="shared" si="93"/>
        <v>-27.213255942609152</v>
      </c>
      <c r="U539" s="8"/>
      <c r="V539" s="8"/>
    </row>
    <row r="540" spans="1:22" x14ac:dyDescent="0.35">
      <c r="A540" s="12">
        <v>3</v>
      </c>
      <c r="B540">
        <v>15.625</v>
      </c>
      <c r="C540" s="12">
        <v>-7.5588043999999993E-2</v>
      </c>
      <c r="D540" s="12">
        <v>-5.1273148999999997E-2</v>
      </c>
      <c r="E540" s="12">
        <v>0.92446198000000002</v>
      </c>
      <c r="F540" s="12">
        <v>-5.4970600000000001E-2</v>
      </c>
      <c r="G540" s="12">
        <f t="shared" si="84"/>
        <v>3.9283520295859899</v>
      </c>
      <c r="H540" s="12">
        <f t="shared" si="85"/>
        <v>-3.1122794534777198</v>
      </c>
      <c r="I540" s="12">
        <f t="shared" si="86"/>
        <v>3.9283804584782498</v>
      </c>
      <c r="J540" s="12">
        <f t="shared" si="87"/>
        <v>-3.1141280801826499</v>
      </c>
      <c r="K540" s="7">
        <f t="shared" si="88"/>
        <v>-2.8428892259846401E-5</v>
      </c>
      <c r="L540" s="7">
        <f t="shared" si="89"/>
        <v>1.8486267049300201E-3</v>
      </c>
      <c r="M540" s="7">
        <f t="shared" si="90"/>
        <v>0.15632254914055899</v>
      </c>
      <c r="N540" s="7">
        <f t="shared" si="91"/>
        <v>0.123920899462198</v>
      </c>
      <c r="O540" s="12">
        <v>2.3271207</v>
      </c>
      <c r="P540" s="12">
        <v>-3.1481021</v>
      </c>
      <c r="Q540" s="12">
        <v>1.8695892999999999</v>
      </c>
      <c r="R540" s="12">
        <v>-11.480949000000001</v>
      </c>
      <c r="S540" s="12">
        <f t="shared" si="92"/>
        <v>2.9712970969435206</v>
      </c>
      <c r="T540" s="12">
        <f t="shared" si="93"/>
        <v>-27.22330730655359</v>
      </c>
      <c r="U540" s="8"/>
      <c r="V540" s="8"/>
    </row>
    <row r="541" spans="1:22" x14ac:dyDescent="0.35">
      <c r="A541" s="10">
        <v>3</v>
      </c>
      <c r="B541">
        <v>15.6875</v>
      </c>
      <c r="C541" s="10">
        <v>-8.0727592000000001E-2</v>
      </c>
      <c r="D541" s="10">
        <v>-4.9434537000000001E-2</v>
      </c>
      <c r="E541" s="10">
        <v>0.91933114999999999</v>
      </c>
      <c r="F541" s="10">
        <v>-5.3166372000000003E-2</v>
      </c>
      <c r="G541" s="10">
        <f t="shared" si="84"/>
        <v>3.91264514975824</v>
      </c>
      <c r="H541" s="10">
        <f t="shared" si="85"/>
        <v>-2.80422862048581</v>
      </c>
      <c r="I541" s="10">
        <f t="shared" si="86"/>
        <v>3.9126780012248399</v>
      </c>
      <c r="J541" s="10">
        <f t="shared" si="87"/>
        <v>-2.8060944218872201</v>
      </c>
      <c r="K541" s="7">
        <f t="shared" si="88"/>
        <v>-3.2851466599925799E-5</v>
      </c>
      <c r="L541" s="7">
        <f t="shared" si="89"/>
        <v>1.86580140141013E-3</v>
      </c>
      <c r="M541" s="7">
        <f t="shared" si="90"/>
        <v>0.168772018613143</v>
      </c>
      <c r="N541" s="7">
        <f t="shared" si="91"/>
        <v>0.12103991686837801</v>
      </c>
      <c r="O541" s="10">
        <v>2.2447330000000001</v>
      </c>
      <c r="P541" s="10">
        <v>-3.3529860999999999</v>
      </c>
      <c r="Q541" s="10">
        <v>1.3742159</v>
      </c>
      <c r="R541" s="10">
        <v>-11.935566</v>
      </c>
      <c r="S541" s="10">
        <f t="shared" si="92"/>
        <v>2.9775398693241009</v>
      </c>
      <c r="T541" s="10">
        <f t="shared" si="93"/>
        <v>-27.23333345912555</v>
      </c>
      <c r="U541" s="8"/>
      <c r="V541" s="8"/>
    </row>
    <row r="542" spans="1:22" x14ac:dyDescent="0.35">
      <c r="A542" s="12">
        <v>3</v>
      </c>
      <c r="B542">
        <v>15.75</v>
      </c>
      <c r="C542" s="12">
        <v>-8.5904814999999995E-2</v>
      </c>
      <c r="D542" s="12">
        <v>-4.7006837000000003E-2</v>
      </c>
      <c r="E542" s="12">
        <v>0.91416240999999998</v>
      </c>
      <c r="F542" s="12">
        <v>-5.0774905000000002E-2</v>
      </c>
      <c r="G542" s="12">
        <f t="shared" si="84"/>
        <v>3.89723733200894</v>
      </c>
      <c r="H542" s="12">
        <f t="shared" si="85"/>
        <v>-2.5026409191663102</v>
      </c>
      <c r="I542" s="12">
        <f t="shared" si="86"/>
        <v>3.89727449259279</v>
      </c>
      <c r="J542" s="12">
        <f t="shared" si="87"/>
        <v>-2.5045248198318899</v>
      </c>
      <c r="K542" s="7">
        <f t="shared" si="88"/>
        <v>-3.7160583850059902E-5</v>
      </c>
      <c r="L542" s="7">
        <f t="shared" si="89"/>
        <v>1.8839006655797499E-3</v>
      </c>
      <c r="M542" s="7">
        <f t="shared" si="90"/>
        <v>0.18159466557668</v>
      </c>
      <c r="N542" s="7">
        <f t="shared" si="91"/>
        <v>0.11669907981854501</v>
      </c>
      <c r="O542" s="12">
        <v>2.1386053999999999</v>
      </c>
      <c r="P542" s="12">
        <v>-3.5586747999999999</v>
      </c>
      <c r="Q542" s="12">
        <v>0.81251297</v>
      </c>
      <c r="R542" s="12">
        <v>-12.360068</v>
      </c>
      <c r="S542" s="12">
        <f t="shared" si="92"/>
        <v>2.9834330422271207</v>
      </c>
      <c r="T542" s="12">
        <f t="shared" si="93"/>
        <v>-27.242958995417688</v>
      </c>
      <c r="U542" s="8"/>
      <c r="V542" s="8"/>
    </row>
    <row r="543" spans="1:22" x14ac:dyDescent="0.35">
      <c r="A543" s="10">
        <v>3</v>
      </c>
      <c r="B543">
        <v>15.8125</v>
      </c>
      <c r="C543" s="10">
        <v>-9.1029726000000005E-2</v>
      </c>
      <c r="D543" s="10">
        <v>-4.3950930999999999E-2</v>
      </c>
      <c r="E543" s="10">
        <v>0.90904556999999997</v>
      </c>
      <c r="F543" s="10">
        <v>-4.7757005999999998E-2</v>
      </c>
      <c r="G543" s="10">
        <f t="shared" si="84"/>
        <v>3.8821220135621601</v>
      </c>
      <c r="H543" s="10">
        <f t="shared" si="85"/>
        <v>-2.2073576238277002</v>
      </c>
      <c r="I543" s="10">
        <f t="shared" si="86"/>
        <v>3.88216328127446</v>
      </c>
      <c r="J543" s="10">
        <f t="shared" si="87"/>
        <v>-2.20926051115379</v>
      </c>
      <c r="K543" s="7">
        <f t="shared" si="88"/>
        <v>-4.1267712299841699E-5</v>
      </c>
      <c r="L543" s="7">
        <f t="shared" si="89"/>
        <v>1.90288732608979E-3</v>
      </c>
      <c r="M543" s="7">
        <f t="shared" si="90"/>
        <v>0.19457491281019201</v>
      </c>
      <c r="N543" s="7">
        <f t="shared" si="91"/>
        <v>0.110728642817834</v>
      </c>
      <c r="O543" s="10">
        <v>2.0069621999999998</v>
      </c>
      <c r="P543" s="10">
        <v>-3.7608666999999998</v>
      </c>
      <c r="Q543" s="10">
        <v>0.18542755</v>
      </c>
      <c r="R543" s="10">
        <v>-12.742399000000001</v>
      </c>
      <c r="S543" s="10">
        <f t="shared" si="92"/>
        <v>2.9894798316224711</v>
      </c>
      <c r="T543" s="10">
        <f t="shared" si="93"/>
        <v>-27.252612394639087</v>
      </c>
      <c r="U543" s="8"/>
      <c r="V543" s="8"/>
    </row>
    <row r="544" spans="1:22" x14ac:dyDescent="0.35">
      <c r="A544" s="12">
        <v>3</v>
      </c>
      <c r="B544">
        <v>15.875</v>
      </c>
      <c r="C544" s="12">
        <v>-9.5997955999999995E-2</v>
      </c>
      <c r="D544" s="12">
        <v>-4.0244631000000003E-2</v>
      </c>
      <c r="E544" s="12">
        <v>0.90408482000000001</v>
      </c>
      <c r="F544" s="12">
        <v>-4.4090434999999997E-2</v>
      </c>
      <c r="G544" s="12">
        <f t="shared" si="84"/>
        <v>3.8672918256767601</v>
      </c>
      <c r="H544" s="12">
        <f t="shared" si="85"/>
        <v>-1.9182284963138001</v>
      </c>
      <c r="I544" s="12">
        <f t="shared" si="86"/>
        <v>3.8673369090432401</v>
      </c>
      <c r="J544" s="12">
        <f t="shared" si="87"/>
        <v>-1.92015123204472</v>
      </c>
      <c r="K544" s="7">
        <f t="shared" si="88"/>
        <v>-4.5083366480014299E-5</v>
      </c>
      <c r="L544" s="7">
        <f t="shared" si="89"/>
        <v>1.9227357309199401E-3</v>
      </c>
      <c r="M544" s="7">
        <f t="shared" si="90"/>
        <v>0.20743870380961801</v>
      </c>
      <c r="N544" s="7">
        <f t="shared" si="91"/>
        <v>0.10299430643407199</v>
      </c>
      <c r="O544" s="12">
        <v>1.8492318999999999</v>
      </c>
      <c r="P544" s="12">
        <v>-3.955524</v>
      </c>
      <c r="Q544" s="12">
        <v>-0.50341495000000003</v>
      </c>
      <c r="R544" s="12">
        <v>-13.070050999999999</v>
      </c>
      <c r="S544" s="12">
        <f t="shared" si="92"/>
        <v>2.9955139413892158</v>
      </c>
      <c r="T544" s="12">
        <f t="shared" si="93"/>
        <v>-27.262132002464575</v>
      </c>
      <c r="U544" s="8"/>
      <c r="V544" s="8"/>
    </row>
    <row r="545" spans="1:22" x14ac:dyDescent="0.35">
      <c r="A545" s="10">
        <v>3</v>
      </c>
      <c r="B545">
        <v>15.9375</v>
      </c>
      <c r="C545" s="10">
        <v>-0.10069451</v>
      </c>
      <c r="D545" s="10">
        <v>-3.5887860000000001E-2</v>
      </c>
      <c r="E545" s="10">
        <v>0.89939497000000002</v>
      </c>
      <c r="F545" s="10">
        <v>-3.9775044000000002E-2</v>
      </c>
      <c r="G545" s="10">
        <f t="shared" si="84"/>
        <v>3.8527389354251</v>
      </c>
      <c r="H545" s="10">
        <f t="shared" si="85"/>
        <v>-1.6351110377907601</v>
      </c>
      <c r="I545" s="10">
        <f t="shared" si="86"/>
        <v>3.8527874504521402</v>
      </c>
      <c r="J545" s="10">
        <f t="shared" si="87"/>
        <v>-1.6370544485491501</v>
      </c>
      <c r="K545" s="7">
        <f t="shared" si="88"/>
        <v>-4.8515027040174603E-5</v>
      </c>
      <c r="L545" s="7">
        <f t="shared" si="89"/>
        <v>1.9434107583899999E-3</v>
      </c>
      <c r="M545" s="7">
        <f t="shared" si="90"/>
        <v>0.21985878735661299</v>
      </c>
      <c r="N545" s="7">
        <f t="shared" si="91"/>
        <v>9.3418287544651701E-2</v>
      </c>
      <c r="O545" s="10">
        <v>1.6656200999999999</v>
      </c>
      <c r="P545" s="10">
        <v>-4.1379624000000002</v>
      </c>
      <c r="Q545" s="10">
        <v>-1.2473377000000001</v>
      </c>
      <c r="R545" s="10">
        <v>-13.330289</v>
      </c>
      <c r="S545" s="10">
        <f t="shared" si="92"/>
        <v>3.0015010876652237</v>
      </c>
      <c r="T545" s="10">
        <f t="shared" si="93"/>
        <v>-27.271558036885736</v>
      </c>
      <c r="U545" s="8"/>
      <c r="V545" s="8"/>
    </row>
    <row r="546" spans="1:22" x14ac:dyDescent="0.35">
      <c r="A546" s="12">
        <v>3</v>
      </c>
      <c r="B546">
        <v>16</v>
      </c>
      <c r="C546" s="12">
        <v>-0.10499952999999999</v>
      </c>
      <c r="D546" s="12">
        <v>-3.0906836E-2</v>
      </c>
      <c r="E546" s="12">
        <v>0.89509561999999998</v>
      </c>
      <c r="F546" s="12">
        <v>-3.4836952999999997E-2</v>
      </c>
      <c r="G546" s="12">
        <f t="shared" si="84"/>
        <v>3.83845462475501</v>
      </c>
      <c r="H546" s="12">
        <f t="shared" si="85"/>
        <v>-1.3578685592072299</v>
      </c>
      <c r="I546" s="12">
        <f t="shared" si="86"/>
        <v>3.8385060583806601</v>
      </c>
      <c r="J546" s="12">
        <f t="shared" si="87"/>
        <v>-1.3598334231587399</v>
      </c>
      <c r="K546" s="7">
        <f t="shared" si="88"/>
        <v>-5.1433625650076899E-5</v>
      </c>
      <c r="L546" s="7">
        <f t="shared" si="89"/>
        <v>1.9648639515099701E-3</v>
      </c>
      <c r="M546" s="7">
        <f t="shared" si="90"/>
        <v>0.23146850646765199</v>
      </c>
      <c r="N546" s="7">
        <f t="shared" si="91"/>
        <v>8.2000290403640694E-2</v>
      </c>
      <c r="O546" s="12">
        <v>1.4574431999999999</v>
      </c>
      <c r="P546" s="12">
        <v>-4.3034926999999996</v>
      </c>
      <c r="Q546" s="12">
        <v>-2.0365277000000002</v>
      </c>
      <c r="R546" s="12">
        <v>-13.511732</v>
      </c>
      <c r="S546" s="12">
        <f t="shared" si="92"/>
        <v>3.0073911677468446</v>
      </c>
      <c r="T546" s="12">
        <f t="shared" si="93"/>
        <v>-27.280721674975588</v>
      </c>
      <c r="U546" s="8"/>
      <c r="V546" s="8"/>
    </row>
    <row r="547" spans="1:22" x14ac:dyDescent="0.35">
      <c r="A547" s="10">
        <v>3</v>
      </c>
      <c r="B547">
        <v>16.0625</v>
      </c>
      <c r="C547" s="10">
        <v>-0.10879577</v>
      </c>
      <c r="D547" s="10">
        <v>-2.5356456999999999E-2</v>
      </c>
      <c r="E547" s="10">
        <v>0.89130377000000005</v>
      </c>
      <c r="F547" s="10">
        <v>-2.933088E-2</v>
      </c>
      <c r="G547" s="10">
        <f t="shared" si="84"/>
        <v>3.8244307474490302</v>
      </c>
      <c r="H547" s="10">
        <f t="shared" si="85"/>
        <v>-1.0863709537360999</v>
      </c>
      <c r="I547" s="10">
        <f t="shared" si="86"/>
        <v>3.8244844633764798</v>
      </c>
      <c r="J547" s="10">
        <f t="shared" si="87"/>
        <v>-1.08835795959791</v>
      </c>
      <c r="K547" s="7">
        <f t="shared" si="88"/>
        <v>-5.3715927449626799E-5</v>
      </c>
      <c r="L547" s="7">
        <f t="shared" si="89"/>
        <v>1.9870058618101098E-3</v>
      </c>
      <c r="M547" s="7">
        <f t="shared" si="90"/>
        <v>0.24188444804033099</v>
      </c>
      <c r="N547" s="7">
        <f t="shared" si="91"/>
        <v>6.8834601591039699E-2</v>
      </c>
      <c r="O547" s="10">
        <v>1.2272381999999999</v>
      </c>
      <c r="P547" s="10">
        <v>-4.4479107999999998</v>
      </c>
      <c r="Q547" s="10">
        <v>-2.8582537000000001</v>
      </c>
      <c r="R547" s="10">
        <v>-13.604839999999999</v>
      </c>
      <c r="S547" s="10">
        <f t="shared" si="92"/>
        <v>3.0128974911676449</v>
      </c>
      <c r="T547" s="10">
        <f t="shared" si="93"/>
        <v>-27.289664184569162</v>
      </c>
      <c r="U547" s="8"/>
      <c r="V547" s="8"/>
    </row>
    <row r="548" spans="1:22" x14ac:dyDescent="0.35">
      <c r="A548" s="12">
        <v>3</v>
      </c>
      <c r="B548">
        <v>16.125</v>
      </c>
      <c r="C548" s="12">
        <v>-0.11197711</v>
      </c>
      <c r="D548" s="12">
        <v>-1.9320062999999998E-2</v>
      </c>
      <c r="E548" s="12">
        <v>0.88812528999999996</v>
      </c>
      <c r="F548" s="12">
        <v>-2.3339908999999999E-2</v>
      </c>
      <c r="G548" s="12">
        <f t="shared" si="84"/>
        <v>3.8106584968624602</v>
      </c>
      <c r="H548" s="12">
        <f t="shared" si="85"/>
        <v>-0.82049281732161095</v>
      </c>
      <c r="I548" s="12">
        <f t="shared" si="86"/>
        <v>3.81071373339485</v>
      </c>
      <c r="J548" s="12">
        <f t="shared" si="87"/>
        <v>-0.82250252640332799</v>
      </c>
      <c r="K548" s="7">
        <f t="shared" si="88"/>
        <v>-5.5236532389812998E-5</v>
      </c>
      <c r="L548" s="7">
        <f t="shared" si="89"/>
        <v>2.0097090817170499E-3</v>
      </c>
      <c r="M548" s="7">
        <f t="shared" si="90"/>
        <v>0.25073702499730699</v>
      </c>
      <c r="N548" s="7">
        <f t="shared" si="91"/>
        <v>5.4118952760960598E-2</v>
      </c>
      <c r="O548" s="12">
        <v>0.97828724</v>
      </c>
      <c r="P548" s="12">
        <v>-4.5660672</v>
      </c>
      <c r="Q548" s="12">
        <v>-3.6972805000000002</v>
      </c>
      <c r="R548" s="12">
        <v>-13.602733000000001</v>
      </c>
      <c r="S548" s="12">
        <f t="shared" si="92"/>
        <v>3.0186683061864561</v>
      </c>
      <c r="T548" s="12">
        <f t="shared" si="93"/>
        <v>-27.29877132117532</v>
      </c>
      <c r="U548" s="8"/>
      <c r="V548" s="8"/>
    </row>
    <row r="549" spans="1:22" x14ac:dyDescent="0.35">
      <c r="A549" s="10">
        <v>3</v>
      </c>
      <c r="B549">
        <v>16.1875</v>
      </c>
      <c r="C549" s="10">
        <v>-0.11445597</v>
      </c>
      <c r="D549" s="10">
        <v>-1.2900725E-2</v>
      </c>
      <c r="E549" s="10">
        <v>0.88571566999999995</v>
      </c>
      <c r="F549" s="10">
        <v>-1.6833893999999999E-2</v>
      </c>
      <c r="G549" s="10">
        <f t="shared" ref="G549:G612" si="94">IMREAL(IMDIV(IMSUM(IMPRODUCT(COMPLEX(1 + C549,D549),COMPLEX(1 - C549, - D549)),IMPRODUCT(COMPLEX(E549,F549),COMPLEX(E549,F549))),IMSUB(IMPRODUCT(COMPLEX(1 - C549, - D549),COMPLEX(1 - C549, - D549)),IMPRODUCT(COMPLEX(E549,F549),COMPLEX(E549,F549)))))</f>
        <v>3.7990779825279999</v>
      </c>
      <c r="H549" s="10">
        <f t="shared" ref="H549:H612" si="95">IMAGINARY(IMDIV(IMSUM(IMPRODUCT(COMPLEX(1 + C549,D549),COMPLEX(1 - C549, - D549)),IMPRODUCT(COMPLEX(E549,F549),COMPLEX(E549,F549))),IMSUB(IMPRODUCT(COMPLEX(1 - C549, - D549),COMPLEX(1 - C549, - D549)),IMPRODUCT(COMPLEX(E549,F549),COMPLEX(E549,F549)))))</f>
        <v>-0.55787239963291002</v>
      </c>
      <c r="I549" s="10">
        <f t="shared" ref="I549:I612" si="96">IMREAL(IMDIV(IMPRODUCT(COMPLEX(2,0),COMPLEX(E549,F549)),IMSUB(IMPRODUCT(COMPLEX(1 - C549, - D549),COMPLEX(1 - C549, - D549)),IMPRODUCT(COMPLEX(E549,F549),COMPLEX(E549,F549)))))</f>
        <v>3.79916766160766</v>
      </c>
      <c r="J549" s="10">
        <f t="shared" ref="J549:J612" si="97">IMAGINARY(IMDIV(IMPRODUCT(COMPLEX(2,0),COMPLEX(E549,F549)),IMSUB(IMPRODUCT(COMPLEX(1 - C549, - D549),COMPLEX(1 - C549, - D549)),IMPRODUCT(COMPLEX(E549,F549),COMPLEX(E549,F549)))))</f>
        <v>-0.55983863902875697</v>
      </c>
      <c r="K549" s="7">
        <f t="shared" ref="K549:K612" si="98">IMREAL(IMSUB(COMPLEX(G549,H549),COMPLEX(I549,J549)))</f>
        <v>-8.9679079660065497E-5</v>
      </c>
      <c r="L549" s="7">
        <f t="shared" ref="L549:L612" si="99">IMAGINARY(IMSUB(COMPLEX(G549,H549),COMPLEX(I549,J549)))</f>
        <v>1.9662393958469501E-3</v>
      </c>
      <c r="M549" s="7">
        <f t="shared" ref="M549:M612" si="100">IMREAL(IMDIV(IMSUB(IMPRODUCT(COMPLEX(1 - C549, - D549),COMPLEX(1 - C549, - D549)),IMPRODUCT(COMPLEX(E549,F549),COMPLEX(E549,F549))),IMPRODUCT(COMPLEX(2,0),COMPLEX(E549,F549))))</f>
        <v>0.25762144082225302</v>
      </c>
      <c r="N549" s="7">
        <f t="shared" ref="N549:N612" si="101">IMAGINARY(IMDIV(IMSUB(IMPRODUCT(COMPLEX(1 - C549, - D549),COMPLEX(1 - C549, - D549)),IMPRODUCT(COMPLEX(E549,F549),COMPLEX(E549,F549))),IMPRODUCT(COMPLEX(2,0),COMPLEX(E549,F549))))</f>
        <v>3.7962640678386499E-2</v>
      </c>
      <c r="O549" s="10">
        <v>0.71458434999999998</v>
      </c>
      <c r="P549" s="10">
        <v>-4.6541242</v>
      </c>
      <c r="Q549" s="10">
        <v>-4.5364807000000003</v>
      </c>
      <c r="R549" s="10">
        <v>-13.501037999999999</v>
      </c>
      <c r="S549" s="10">
        <f t="shared" ref="S549:S612" si="102">IMABS(COMPLEX(Q549,R549))/IMABS(COMPLEX(O549,P549))</f>
        <v>3.0248104561410063</v>
      </c>
      <c r="T549" s="10">
        <f t="shared" ref="T549:T612" si="103">IMARGUMENT(IMDIV(COMPLEX(Q549,R549),COMPLEX(O549/B549,P549/B549)))/PI()*180</f>
        <v>-27.301758511212192</v>
      </c>
      <c r="U549" s="8"/>
      <c r="V549" s="8"/>
    </row>
    <row r="550" spans="1:22" x14ac:dyDescent="0.35">
      <c r="A550" s="12">
        <v>3</v>
      </c>
      <c r="B550">
        <v>16.25</v>
      </c>
      <c r="C550" s="12">
        <v>-0.11617366</v>
      </c>
      <c r="D550" s="12">
        <v>-6.2369111E-3</v>
      </c>
      <c r="E550" s="12">
        <v>0.88401017000000004</v>
      </c>
      <c r="F550" s="12">
        <v>-1.0218105999999999E-2</v>
      </c>
      <c r="G550" s="12">
        <f t="shared" si="94"/>
        <v>3.7857318054787501</v>
      </c>
      <c r="H550" s="12">
        <f t="shared" si="95"/>
        <v>-0.30276746038372299</v>
      </c>
      <c r="I550" s="12">
        <f t="shared" si="96"/>
        <v>3.7858276734012302</v>
      </c>
      <c r="J550" s="12">
        <f t="shared" si="97"/>
        <v>-0.30475768406787102</v>
      </c>
      <c r="K550" s="7">
        <f t="shared" si="98"/>
        <v>-9.5867922480063998E-5</v>
      </c>
      <c r="L550" s="7">
        <f t="shared" si="99"/>
        <v>1.9902236841480301E-3</v>
      </c>
      <c r="M550" s="7">
        <f t="shared" si="100"/>
        <v>0.26244235596065901</v>
      </c>
      <c r="N550" s="7">
        <f t="shared" si="101"/>
        <v>2.1126509578295202E-2</v>
      </c>
      <c r="O550" s="12">
        <v>0.4429285</v>
      </c>
      <c r="P550" s="12">
        <v>-4.7127623999999999</v>
      </c>
      <c r="Q550" s="12">
        <v>-5.3588256000000003</v>
      </c>
      <c r="R550" s="12">
        <v>-13.303017000000001</v>
      </c>
      <c r="S550" s="12">
        <f t="shared" si="102"/>
        <v>3.0298315996825611</v>
      </c>
      <c r="T550" s="12">
        <f t="shared" si="103"/>
        <v>-27.310114621976787</v>
      </c>
      <c r="U550" s="8"/>
      <c r="V550" s="8"/>
    </row>
    <row r="551" spans="1:22" x14ac:dyDescent="0.35">
      <c r="A551" s="10">
        <v>3</v>
      </c>
      <c r="B551">
        <v>16.3125</v>
      </c>
      <c r="C551" s="10">
        <v>-0.11710139</v>
      </c>
      <c r="D551" s="10">
        <v>5.3825062999999997E-4</v>
      </c>
      <c r="E551" s="10">
        <v>0.88309338999999998</v>
      </c>
      <c r="F551" s="10">
        <v>-3.4923355999999998E-3</v>
      </c>
      <c r="G551" s="10">
        <f t="shared" si="94"/>
        <v>3.7726265533707402</v>
      </c>
      <c r="H551" s="10">
        <f t="shared" si="95"/>
        <v>-5.2930246998191703E-2</v>
      </c>
      <c r="I551" s="10">
        <f t="shared" si="96"/>
        <v>3.7727279940903098</v>
      </c>
      <c r="J551" s="10">
        <f t="shared" si="97"/>
        <v>-5.4945139450032002E-2</v>
      </c>
      <c r="K551" s="7">
        <f t="shared" si="98"/>
        <v>-1.01440719569634E-4</v>
      </c>
      <c r="L551" s="7">
        <f t="shared" si="99"/>
        <v>2.0148924518402999E-3</v>
      </c>
      <c r="M551" s="7">
        <f t="shared" si="100"/>
        <v>0.26500398204521403</v>
      </c>
      <c r="N551" s="7">
        <f t="shared" si="101"/>
        <v>3.8594568097928702E-3</v>
      </c>
      <c r="O551" s="10">
        <v>0.16803934000000001</v>
      </c>
      <c r="P551" s="10">
        <v>-4.7380613</v>
      </c>
      <c r="Q551" s="10">
        <v>-6.1474795999999996</v>
      </c>
      <c r="R551" s="10">
        <v>-13.012515</v>
      </c>
      <c r="S551" s="10">
        <f t="shared" si="102"/>
        <v>3.0355283339441703</v>
      </c>
      <c r="T551" s="10">
        <f t="shared" si="103"/>
        <v>-27.318565096652794</v>
      </c>
      <c r="U551" s="8"/>
      <c r="V551" s="8"/>
    </row>
    <row r="552" spans="1:22" x14ac:dyDescent="0.35">
      <c r="A552" s="12">
        <v>3</v>
      </c>
      <c r="B552">
        <v>16.375</v>
      </c>
      <c r="C552" s="12">
        <v>-0.11724353999999999</v>
      </c>
      <c r="D552" s="12">
        <v>7.2852691000000001E-3</v>
      </c>
      <c r="E552" s="12">
        <v>0.88296083999999997</v>
      </c>
      <c r="F552" s="12">
        <v>3.2042569999999999E-3</v>
      </c>
      <c r="G552" s="12">
        <f t="shared" si="94"/>
        <v>3.7597551459717899</v>
      </c>
      <c r="H552" s="12">
        <f t="shared" si="95"/>
        <v>0.19174419756594799</v>
      </c>
      <c r="I552" s="12">
        <f t="shared" si="96"/>
        <v>3.75986148790148</v>
      </c>
      <c r="J552" s="12">
        <f t="shared" si="97"/>
        <v>0.189704116983134</v>
      </c>
      <c r="K552" s="7">
        <f t="shared" si="98"/>
        <v>-1.06341929690057E-4</v>
      </c>
      <c r="L552" s="7">
        <f t="shared" si="99"/>
        <v>2.0400805828139899E-3</v>
      </c>
      <c r="M552" s="7">
        <f t="shared" si="100"/>
        <v>0.26529188699966499</v>
      </c>
      <c r="N552" s="7">
        <f t="shared" si="101"/>
        <v>-1.33853237221646E-2</v>
      </c>
      <c r="O552" s="12">
        <v>-0.10427684</v>
      </c>
      <c r="P552" s="12">
        <v>-4.7313996999999999</v>
      </c>
      <c r="Q552" s="12">
        <v>-6.8874518</v>
      </c>
      <c r="R552" s="12">
        <v>-12.638033999999999</v>
      </c>
      <c r="S552" s="12">
        <f t="shared" si="102"/>
        <v>3.041267419632149</v>
      </c>
      <c r="T552" s="12">
        <f t="shared" si="103"/>
        <v>-27.326861053425208</v>
      </c>
      <c r="U552" s="8"/>
      <c r="V552" s="8"/>
    </row>
    <row r="553" spans="1:22" x14ac:dyDescent="0.35">
      <c r="A553" s="10">
        <v>3</v>
      </c>
      <c r="B553">
        <v>16.4375</v>
      </c>
      <c r="C553" s="10">
        <v>-0.11663382999999999</v>
      </c>
      <c r="D553" s="10">
        <v>1.3879854E-2</v>
      </c>
      <c r="E553" s="10">
        <v>0.88333030999999995</v>
      </c>
      <c r="F553" s="10">
        <v>9.7531684999999993E-3</v>
      </c>
      <c r="G553" s="10">
        <f t="shared" si="94"/>
        <v>3.7427335370296002</v>
      </c>
      <c r="H553" s="10">
        <f t="shared" si="95"/>
        <v>0.43080856966126102</v>
      </c>
      <c r="I553" s="10">
        <f t="shared" si="96"/>
        <v>3.7427198643023001</v>
      </c>
      <c r="J553" s="10">
        <f t="shared" si="97"/>
        <v>0.428745161702833</v>
      </c>
      <c r="K553" s="7">
        <f t="shared" si="98"/>
        <v>1.36727273001291E-5</v>
      </c>
      <c r="L553" s="7">
        <f t="shared" si="99"/>
        <v>2.0634079584280198E-3</v>
      </c>
      <c r="M553" s="7">
        <f t="shared" si="100"/>
        <v>0.26372458860895198</v>
      </c>
      <c r="N553" s="7">
        <f t="shared" si="101"/>
        <v>-3.0210821404672902E-2</v>
      </c>
      <c r="O553" s="10">
        <v>-0.36841466</v>
      </c>
      <c r="P553" s="10">
        <v>-4.6963096999999996</v>
      </c>
      <c r="Q553" s="10">
        <v>-7.5677050000000001</v>
      </c>
      <c r="R553" s="10">
        <v>-12.191765999999999</v>
      </c>
      <c r="S553" s="10">
        <f t="shared" si="102"/>
        <v>3.0461341991920277</v>
      </c>
      <c r="T553" s="10">
        <f t="shared" si="103"/>
        <v>-27.343274878955381</v>
      </c>
      <c r="U553" s="8"/>
      <c r="V553" s="8"/>
    </row>
    <row r="554" spans="1:22" x14ac:dyDescent="0.35">
      <c r="A554" s="12">
        <v>3</v>
      </c>
      <c r="B554">
        <v>16.5</v>
      </c>
      <c r="C554" s="12">
        <v>-0.11533734</v>
      </c>
      <c r="D554" s="12">
        <v>2.0192411E-2</v>
      </c>
      <c r="E554" s="12">
        <v>0.88463051000000004</v>
      </c>
      <c r="F554" s="12">
        <v>1.6031519000000001E-2</v>
      </c>
      <c r="G554" s="12">
        <f t="shared" si="94"/>
        <v>3.7302236050642601</v>
      </c>
      <c r="H554" s="12">
        <f t="shared" si="95"/>
        <v>0.66523866772442097</v>
      </c>
      <c r="I554" s="12">
        <f t="shared" si="96"/>
        <v>3.7302118582514101</v>
      </c>
      <c r="J554" s="12">
        <f t="shared" si="97"/>
        <v>0.663158163841711</v>
      </c>
      <c r="K554" s="7">
        <f t="shared" si="98"/>
        <v>1.1746812849988699E-5</v>
      </c>
      <c r="L554" s="7">
        <f t="shared" si="99"/>
        <v>2.0805038827099698E-3</v>
      </c>
      <c r="M554" s="7">
        <f t="shared" si="100"/>
        <v>0.25986794520574102</v>
      </c>
      <c r="N554" s="7">
        <f t="shared" si="101"/>
        <v>-4.61993999088142E-2</v>
      </c>
      <c r="O554" s="12">
        <v>-0.62060826999999996</v>
      </c>
      <c r="P554" s="12">
        <v>-4.6325611000000002</v>
      </c>
      <c r="Q554" s="12">
        <v>-8.1769558999999994</v>
      </c>
      <c r="R554" s="12">
        <v>-11.685771000000001</v>
      </c>
      <c r="S554" s="12">
        <f t="shared" si="102"/>
        <v>3.0514968001358405</v>
      </c>
      <c r="T554" s="12">
        <f t="shared" si="103"/>
        <v>-27.351583462874615</v>
      </c>
      <c r="U554" s="8"/>
      <c r="V554" s="8"/>
    </row>
    <row r="555" spans="1:22" x14ac:dyDescent="0.35">
      <c r="A555" s="10">
        <v>3</v>
      </c>
      <c r="B555">
        <v>16.5625</v>
      </c>
      <c r="C555" s="10">
        <v>-0.11343454</v>
      </c>
      <c r="D555" s="10">
        <v>2.6136363999999999E-2</v>
      </c>
      <c r="E555" s="10">
        <v>0.88653618999999995</v>
      </c>
      <c r="F555" s="10">
        <v>2.1940728E-2</v>
      </c>
      <c r="G555" s="10">
        <f t="shared" si="94"/>
        <v>3.7178959519874999</v>
      </c>
      <c r="H555" s="10">
        <f t="shared" si="95"/>
        <v>0.89477039985127405</v>
      </c>
      <c r="I555" s="10">
        <f t="shared" si="96"/>
        <v>3.71788571778754</v>
      </c>
      <c r="J555" s="10">
        <f t="shared" si="97"/>
        <v>0.89267252967945698</v>
      </c>
      <c r="K555" s="7">
        <f t="shared" si="98"/>
        <v>1.02341999599354E-5</v>
      </c>
      <c r="L555" s="7">
        <f t="shared" si="99"/>
        <v>2.0978701718170601E-3</v>
      </c>
      <c r="M555" s="7">
        <f t="shared" si="100"/>
        <v>0.25430937707335299</v>
      </c>
      <c r="N555" s="7">
        <f t="shared" si="101"/>
        <v>-6.1060240197046797E-2</v>
      </c>
      <c r="O555" s="10">
        <v>-0.85677738000000003</v>
      </c>
      <c r="P555" s="10">
        <v>-4.5448601999999996</v>
      </c>
      <c r="Q555" s="10">
        <v>-8.7108450000000008</v>
      </c>
      <c r="R555" s="10">
        <v>-11.135097</v>
      </c>
      <c r="S555" s="10">
        <f t="shared" si="102"/>
        <v>3.0568164444441939</v>
      </c>
      <c r="T555" s="10">
        <f t="shared" si="103"/>
        <v>-27.359758461074275</v>
      </c>
      <c r="U555" s="8"/>
      <c r="V555" s="8"/>
    </row>
    <row r="556" spans="1:22" x14ac:dyDescent="0.35">
      <c r="A556" s="12">
        <v>3</v>
      </c>
      <c r="B556">
        <v>16.625</v>
      </c>
      <c r="C556" s="12">
        <v>-0.11101951</v>
      </c>
      <c r="D556" s="12">
        <v>3.1642205999999999E-2</v>
      </c>
      <c r="E556" s="12">
        <v>0.88895316999999996</v>
      </c>
      <c r="F556" s="12">
        <v>2.7411461000000002E-2</v>
      </c>
      <c r="G556" s="12">
        <f t="shared" si="94"/>
        <v>3.7057431657199298</v>
      </c>
      <c r="H556" s="12">
        <f t="shared" si="95"/>
        <v>1.1194815345076801</v>
      </c>
      <c r="I556" s="12">
        <f t="shared" si="96"/>
        <v>3.7057339804975098</v>
      </c>
      <c r="J556" s="12">
        <f t="shared" si="97"/>
        <v>1.1173661136808699</v>
      </c>
      <c r="K556" s="7">
        <f t="shared" si="98"/>
        <v>9.1852224199939803E-6</v>
      </c>
      <c r="L556" s="7">
        <f t="shared" si="99"/>
        <v>2.1154208268101501E-3</v>
      </c>
      <c r="M556" s="7">
        <f t="shared" si="100"/>
        <v>0.24736273035367801</v>
      </c>
      <c r="N556" s="7">
        <f t="shared" si="101"/>
        <v>-7.4585691833084805E-2</v>
      </c>
      <c r="O556" s="12">
        <v>-1.0742875000000001</v>
      </c>
      <c r="P556" s="12">
        <v>-4.4372571000000001</v>
      </c>
      <c r="Q556" s="12">
        <v>-9.1672519999999995</v>
      </c>
      <c r="R556" s="12">
        <v>-10.554029</v>
      </c>
      <c r="S556" s="12">
        <f t="shared" si="102"/>
        <v>3.0620164022732324</v>
      </c>
      <c r="T556" s="12">
        <f t="shared" si="103"/>
        <v>-27.367866947996376</v>
      </c>
      <c r="U556" s="8"/>
      <c r="V556" s="8"/>
    </row>
    <row r="557" spans="1:22" x14ac:dyDescent="0.35">
      <c r="A557" s="10">
        <v>3</v>
      </c>
      <c r="B557">
        <v>16.6875</v>
      </c>
      <c r="C557" s="10">
        <v>-0.10819136</v>
      </c>
      <c r="D557" s="10">
        <v>3.6664981999999999E-2</v>
      </c>
      <c r="E557" s="10">
        <v>0.89178230000000003</v>
      </c>
      <c r="F557" s="10">
        <v>3.2398879999999998E-2</v>
      </c>
      <c r="G557" s="10">
        <f t="shared" si="94"/>
        <v>3.6937590398382798</v>
      </c>
      <c r="H557" s="10">
        <f t="shared" si="95"/>
        <v>1.3394434998698499</v>
      </c>
      <c r="I557" s="10">
        <f t="shared" si="96"/>
        <v>3.69375041973045</v>
      </c>
      <c r="J557" s="10">
        <f t="shared" si="97"/>
        <v>1.3373104023898299</v>
      </c>
      <c r="K557" s="7">
        <f t="shared" si="98"/>
        <v>8.6201078297598599E-6</v>
      </c>
      <c r="L557" s="7">
        <f t="shared" si="99"/>
        <v>2.1330974800199999E-3</v>
      </c>
      <c r="M557" s="7">
        <f t="shared" si="100"/>
        <v>0.23935359235541201</v>
      </c>
      <c r="N557" s="7">
        <f t="shared" si="101"/>
        <v>-8.66571945945456E-2</v>
      </c>
      <c r="O557" s="10">
        <v>-1.2716231</v>
      </c>
      <c r="P557" s="10">
        <v>-4.3141897</v>
      </c>
      <c r="Q557" s="10">
        <v>-9.5470234999999999</v>
      </c>
      <c r="R557" s="10">
        <v>-9.9559823999999999</v>
      </c>
      <c r="S557" s="10">
        <f t="shared" si="102"/>
        <v>3.0668464714207415</v>
      </c>
      <c r="T557" s="10">
        <f t="shared" si="103"/>
        <v>-27.375666957554408</v>
      </c>
      <c r="U557" s="8"/>
      <c r="V557" s="8"/>
    </row>
    <row r="558" spans="1:22" x14ac:dyDescent="0.35">
      <c r="A558" s="12">
        <v>3</v>
      </c>
      <c r="B558">
        <v>16.75</v>
      </c>
      <c r="C558" s="12">
        <v>-0.10504793</v>
      </c>
      <c r="D558" s="12">
        <v>4.1182460999999997E-2</v>
      </c>
      <c r="E558" s="12">
        <v>0.89492563000000003</v>
      </c>
      <c r="F558" s="12">
        <v>3.6880832000000002E-2</v>
      </c>
      <c r="G558" s="12">
        <f t="shared" si="94"/>
        <v>3.6819371909048799</v>
      </c>
      <c r="H558" s="12">
        <f t="shared" si="95"/>
        <v>1.55472039272831</v>
      </c>
      <c r="I558" s="12">
        <f t="shared" si="96"/>
        <v>3.6819285968951898</v>
      </c>
      <c r="J558" s="12">
        <f t="shared" si="97"/>
        <v>1.5525695313098</v>
      </c>
      <c r="K558" s="7">
        <f t="shared" si="98"/>
        <v>8.5940096901104806E-6</v>
      </c>
      <c r="L558" s="7">
        <f t="shared" si="99"/>
        <v>2.1508614185099498E-3</v>
      </c>
      <c r="M558" s="7">
        <f t="shared" si="100"/>
        <v>0.230595125967929</v>
      </c>
      <c r="N558" s="7">
        <f t="shared" si="101"/>
        <v>-9.7235716887136198E-2</v>
      </c>
      <c r="O558" s="12">
        <v>-1.4476549999999999</v>
      </c>
      <c r="P558" s="12">
        <v>-4.1784037999999999</v>
      </c>
      <c r="Q558" s="12">
        <v>-9.8533925999999994</v>
      </c>
      <c r="R558" s="12">
        <v>-9.3528798000000002</v>
      </c>
      <c r="S558" s="12">
        <f t="shared" si="102"/>
        <v>3.072198145092301</v>
      </c>
      <c r="T558" s="12">
        <f t="shared" si="103"/>
        <v>-27.383563422479114</v>
      </c>
      <c r="U558" s="8"/>
      <c r="V558" s="8"/>
    </row>
    <row r="559" spans="1:22" x14ac:dyDescent="0.35">
      <c r="A559" s="10">
        <v>3</v>
      </c>
      <c r="B559">
        <v>16.8125</v>
      </c>
      <c r="C559" s="10">
        <v>-0.10168096</v>
      </c>
      <c r="D559" s="10">
        <v>4.5191937000000001E-2</v>
      </c>
      <c r="E559" s="10">
        <v>0.89829135000000004</v>
      </c>
      <c r="F559" s="10">
        <v>4.0854669000000003E-2</v>
      </c>
      <c r="G559" s="10">
        <f t="shared" si="94"/>
        <v>3.6702726124649598</v>
      </c>
      <c r="H559" s="10">
        <f t="shared" si="95"/>
        <v>1.7653701924977401</v>
      </c>
      <c r="I559" s="10">
        <f t="shared" si="96"/>
        <v>3.67026347041993</v>
      </c>
      <c r="J559" s="10">
        <f t="shared" si="97"/>
        <v>1.76320150864657</v>
      </c>
      <c r="K559" s="7">
        <f t="shared" si="98"/>
        <v>9.1420450298862494E-6</v>
      </c>
      <c r="L559" s="7">
        <f t="shared" si="99"/>
        <v>2.16868385117008E-3</v>
      </c>
      <c r="M559" s="7">
        <f t="shared" si="100"/>
        <v>0.22137074141180499</v>
      </c>
      <c r="N559" s="7">
        <f t="shared" si="101"/>
        <v>-0.106346922604672</v>
      </c>
      <c r="O559" s="10">
        <v>-1.6029431000000001</v>
      </c>
      <c r="P559" s="10">
        <v>-4.0351546999999997</v>
      </c>
      <c r="Q559" s="10">
        <v>-10.091404000000001</v>
      </c>
      <c r="R559" s="10">
        <v>-8.7549039999999998</v>
      </c>
      <c r="S559" s="10">
        <f t="shared" si="102"/>
        <v>3.0769683460272965</v>
      </c>
      <c r="T559" s="10">
        <f t="shared" si="103"/>
        <v>-27.391202946550383</v>
      </c>
      <c r="U559" s="8"/>
      <c r="V559" s="8"/>
    </row>
    <row r="560" spans="1:22" x14ac:dyDescent="0.35">
      <c r="A560" s="12">
        <v>3</v>
      </c>
      <c r="B560">
        <v>16.875</v>
      </c>
      <c r="C560" s="12">
        <v>-9.8172843999999995E-2</v>
      </c>
      <c r="D560" s="12">
        <v>4.8706327000000001E-2</v>
      </c>
      <c r="E560" s="12">
        <v>0.90179697999999997</v>
      </c>
      <c r="F560" s="12">
        <v>4.4333355999999997E-2</v>
      </c>
      <c r="G560" s="12">
        <f t="shared" si="94"/>
        <v>3.65876067079253</v>
      </c>
      <c r="H560" s="12">
        <f t="shared" si="95"/>
        <v>1.9714438375707699</v>
      </c>
      <c r="I560" s="12">
        <f t="shared" si="96"/>
        <v>3.6587503634772598</v>
      </c>
      <c r="J560" s="12">
        <f t="shared" si="97"/>
        <v>1.9692572965434501</v>
      </c>
      <c r="K560" s="7">
        <f t="shared" si="98"/>
        <v>1.0307315270186E-5</v>
      </c>
      <c r="L560" s="7">
        <f t="shared" si="99"/>
        <v>2.1865410273198501E-3</v>
      </c>
      <c r="M560" s="7">
        <f t="shared" si="100"/>
        <v>0.21192420929341599</v>
      </c>
      <c r="N560" s="7">
        <f t="shared" si="101"/>
        <v>-0.114064435669404</v>
      </c>
      <c r="O560" s="12">
        <v>-1.7377041</v>
      </c>
      <c r="P560" s="12">
        <v>-3.8865604999999999</v>
      </c>
      <c r="Q560" s="12">
        <v>-10.267293</v>
      </c>
      <c r="R560" s="12">
        <v>-8.1703139</v>
      </c>
      <c r="S560" s="12">
        <f t="shared" si="102"/>
        <v>3.0820650325965038</v>
      </c>
      <c r="T560" s="12">
        <f t="shared" si="103"/>
        <v>-27.398885274259921</v>
      </c>
      <c r="U560" s="8"/>
      <c r="V560" s="8"/>
    </row>
    <row r="561" spans="1:22" x14ac:dyDescent="0.35">
      <c r="A561" s="10">
        <v>3</v>
      </c>
      <c r="B561">
        <v>16.9375</v>
      </c>
      <c r="C561" s="10">
        <v>-9.4594817999999997E-2</v>
      </c>
      <c r="D561" s="10">
        <v>5.1750145999999997E-2</v>
      </c>
      <c r="E561" s="10">
        <v>0.90537115999999995</v>
      </c>
      <c r="F561" s="10">
        <v>4.7341467999999998E-2</v>
      </c>
      <c r="G561" s="10">
        <f t="shared" si="94"/>
        <v>3.64739749227796</v>
      </c>
      <c r="H561" s="10">
        <f t="shared" si="95"/>
        <v>2.1729855362892101</v>
      </c>
      <c r="I561" s="10">
        <f t="shared" si="96"/>
        <v>3.64738534032338</v>
      </c>
      <c r="J561" s="10">
        <f t="shared" si="97"/>
        <v>2.17078113300308</v>
      </c>
      <c r="K561" s="7">
        <f t="shared" si="98"/>
        <v>1.21519545799309E-5</v>
      </c>
      <c r="L561" s="7">
        <f t="shared" si="99"/>
        <v>2.2044032861301402E-3</v>
      </c>
      <c r="M561" s="7">
        <f t="shared" si="100"/>
        <v>0.202455813805589</v>
      </c>
      <c r="N561" s="7">
        <f t="shared" si="101"/>
        <v>-0.12049378386682599</v>
      </c>
      <c r="O561" s="10">
        <v>-1.8533948</v>
      </c>
      <c r="P561" s="10">
        <v>-3.7362506</v>
      </c>
      <c r="Q561" s="10">
        <v>-10.387788</v>
      </c>
      <c r="R561" s="10">
        <v>-7.6053952000000002</v>
      </c>
      <c r="S561" s="10">
        <f t="shared" si="102"/>
        <v>3.0868579564677718</v>
      </c>
      <c r="T561" s="10">
        <f t="shared" si="103"/>
        <v>-27.406310778984757</v>
      </c>
      <c r="U561" s="8"/>
      <c r="V561" s="8"/>
    </row>
    <row r="562" spans="1:22" x14ac:dyDescent="0.35">
      <c r="A562" s="12">
        <v>3</v>
      </c>
      <c r="B562">
        <v>17</v>
      </c>
      <c r="C562" s="12">
        <v>-9.1006411999999995E-2</v>
      </c>
      <c r="D562" s="12">
        <v>5.4355776000000001E-2</v>
      </c>
      <c r="E562" s="12">
        <v>0.90895424999999996</v>
      </c>
      <c r="F562" s="12">
        <v>4.9911447999999997E-2</v>
      </c>
      <c r="G562" s="12">
        <f t="shared" si="94"/>
        <v>3.6361799376664399</v>
      </c>
      <c r="H562" s="12">
        <f t="shared" si="95"/>
        <v>2.3700323532429599</v>
      </c>
      <c r="I562" s="12">
        <f t="shared" si="96"/>
        <v>3.6361652065594101</v>
      </c>
      <c r="J562" s="12">
        <f t="shared" si="97"/>
        <v>2.3678101127987801</v>
      </c>
      <c r="K562" s="7">
        <f t="shared" si="98"/>
        <v>1.4731107029764E-5</v>
      </c>
      <c r="L562" s="7">
        <f t="shared" si="99"/>
        <v>2.2222404441798499E-3</v>
      </c>
      <c r="M562" s="7">
        <f t="shared" si="100"/>
        <v>0.19312313077606499</v>
      </c>
      <c r="N562" s="7">
        <f t="shared" si="101"/>
        <v>-0.12575856048620301</v>
      </c>
      <c r="O562" s="12">
        <v>-1.9512531</v>
      </c>
      <c r="P562" s="12">
        <v>-3.5862099000000001</v>
      </c>
      <c r="Q562" s="12">
        <v>-10.459885999999999</v>
      </c>
      <c r="R562" s="12">
        <v>-7.0647764999999998</v>
      </c>
      <c r="S562" s="12">
        <f t="shared" si="102"/>
        <v>3.0916477627956969</v>
      </c>
      <c r="T562" s="12">
        <f t="shared" si="103"/>
        <v>-27.413704646202394</v>
      </c>
      <c r="U562" s="8"/>
      <c r="V562" s="8"/>
    </row>
    <row r="563" spans="1:22" x14ac:dyDescent="0.35">
      <c r="A563" s="10">
        <v>3.125</v>
      </c>
      <c r="B563">
        <v>15</v>
      </c>
      <c r="C563" s="10">
        <v>-3.7906517000000001E-2</v>
      </c>
      <c r="D563" s="10">
        <v>-5.2934516000000001E-2</v>
      </c>
      <c r="E563" s="10">
        <v>0.96208596000000002</v>
      </c>
      <c r="F563" s="10">
        <v>-5.6550524999999997E-2</v>
      </c>
      <c r="G563" s="10">
        <f t="shared" si="94"/>
        <v>3.7750175385398901</v>
      </c>
      <c r="H563" s="10">
        <f t="shared" si="95"/>
        <v>-6.1722297987134898</v>
      </c>
      <c r="I563" s="10">
        <f t="shared" si="96"/>
        <v>3.7750170459322101</v>
      </c>
      <c r="J563" s="10">
        <f t="shared" si="97"/>
        <v>-6.1740378109049603</v>
      </c>
      <c r="K563" s="7">
        <f t="shared" si="98"/>
        <v>4.9260767998049502E-7</v>
      </c>
      <c r="L563" s="7">
        <f t="shared" si="99"/>
        <v>1.8080121914705301E-3</v>
      </c>
      <c r="M563" s="7">
        <f t="shared" si="100"/>
        <v>7.2084272179708697E-2</v>
      </c>
      <c r="N563" s="7">
        <f t="shared" si="101"/>
        <v>0.117893778119135</v>
      </c>
      <c r="O563" s="10">
        <v>2.3746775000000002</v>
      </c>
      <c r="P563" s="10">
        <v>-1.5653469</v>
      </c>
      <c r="Q563" s="10">
        <v>4.0624628999999999</v>
      </c>
      <c r="R563" s="10">
        <v>-7.1805428999999998</v>
      </c>
      <c r="S563" s="10">
        <f t="shared" si="102"/>
        <v>2.9006800837714142</v>
      </c>
      <c r="T563" s="10">
        <f t="shared" si="103"/>
        <v>-27.108371388396971</v>
      </c>
      <c r="U563" s="8"/>
      <c r="V563" s="8"/>
    </row>
    <row r="564" spans="1:22" x14ac:dyDescent="0.35">
      <c r="A564" s="12">
        <v>3.125</v>
      </c>
      <c r="B564">
        <v>15.0625</v>
      </c>
      <c r="C564" s="12">
        <v>-4.0978898E-2</v>
      </c>
      <c r="D564" s="12">
        <v>-5.4140995999999997E-2</v>
      </c>
      <c r="E564" s="12">
        <v>0.95901725000000004</v>
      </c>
      <c r="F564" s="12">
        <v>-5.7782337000000003E-2</v>
      </c>
      <c r="G564" s="12">
        <f t="shared" si="94"/>
        <v>3.7589543161038099</v>
      </c>
      <c r="H564" s="12">
        <f t="shared" si="95"/>
        <v>-5.8149370942101104</v>
      </c>
      <c r="I564" s="12">
        <f t="shared" si="96"/>
        <v>3.7589557049493401</v>
      </c>
      <c r="J564" s="12">
        <f t="shared" si="97"/>
        <v>-5.8167577656880898</v>
      </c>
      <c r="K564" s="7">
        <f t="shared" si="98"/>
        <v>-1.3888455301369601E-6</v>
      </c>
      <c r="L564" s="7">
        <f t="shared" si="99"/>
        <v>1.8206714779793699E-3</v>
      </c>
      <c r="M564" s="7">
        <f t="shared" si="100"/>
        <v>7.8369670506452493E-2</v>
      </c>
      <c r="N564" s="7">
        <f t="shared" si="101"/>
        <v>0.121272349368897</v>
      </c>
      <c r="O564" s="12">
        <v>2.4151422</v>
      </c>
      <c r="P564" s="12">
        <v>-1.6860999000000001</v>
      </c>
      <c r="Q564" s="12">
        <v>4.0197265</v>
      </c>
      <c r="R564" s="12">
        <v>-7.5710452999999998</v>
      </c>
      <c r="S564" s="12">
        <f t="shared" si="102"/>
        <v>2.9102179886612864</v>
      </c>
      <c r="T564" s="12">
        <f t="shared" si="103"/>
        <v>-27.114326235407933</v>
      </c>
      <c r="U564" s="8"/>
      <c r="V564" s="8"/>
    </row>
    <row r="565" spans="1:22" x14ac:dyDescent="0.35">
      <c r="A565" s="10">
        <v>3.125</v>
      </c>
      <c r="B565">
        <v>15.125</v>
      </c>
      <c r="C565" s="10">
        <v>-4.4282469999999997E-2</v>
      </c>
      <c r="D565" s="10">
        <v>-5.5235014999999998E-2</v>
      </c>
      <c r="E565" s="10">
        <v>0.95571673000000001</v>
      </c>
      <c r="F565" s="10">
        <v>-5.8899712999999999E-2</v>
      </c>
      <c r="G565" s="10">
        <f t="shared" si="94"/>
        <v>3.7435577774022901</v>
      </c>
      <c r="H565" s="10">
        <f t="shared" si="95"/>
        <v>-5.4677614615710901</v>
      </c>
      <c r="I565" s="10">
        <f t="shared" si="96"/>
        <v>3.74356073489774</v>
      </c>
      <c r="J565" s="10">
        <f t="shared" si="97"/>
        <v>-5.4695938058848697</v>
      </c>
      <c r="K565" s="7">
        <f t="shared" si="98"/>
        <v>-2.9574954498734502E-6</v>
      </c>
      <c r="L565" s="7">
        <f t="shared" si="99"/>
        <v>1.83234431377954E-3</v>
      </c>
      <c r="M565" s="7">
        <f t="shared" si="100"/>
        <v>8.5215133087011993E-2</v>
      </c>
      <c r="N565" s="7">
        <f t="shared" si="101"/>
        <v>0.124505036009014</v>
      </c>
      <c r="O565" s="10">
        <v>2.4524838999999998</v>
      </c>
      <c r="P565" s="10">
        <v>-1.8163750000000001</v>
      </c>
      <c r="Q565" s="10">
        <v>3.9526159999999999</v>
      </c>
      <c r="R565" s="10">
        <v>-7.9795749000000002</v>
      </c>
      <c r="S565" s="10">
        <f t="shared" si="102"/>
        <v>2.9178443541935821</v>
      </c>
      <c r="T565" s="10">
        <f t="shared" si="103"/>
        <v>-27.124233102730116</v>
      </c>
      <c r="U565" s="8"/>
      <c r="V565" s="8"/>
    </row>
    <row r="566" spans="1:22" x14ac:dyDescent="0.35">
      <c r="A566" s="12">
        <v>3.125</v>
      </c>
      <c r="B566">
        <v>15.1875</v>
      </c>
      <c r="C566" s="12">
        <v>-4.7838102E-2</v>
      </c>
      <c r="D566" s="12">
        <v>-5.6192080999999998E-2</v>
      </c>
      <c r="E566" s="12">
        <v>0.95216469999999997</v>
      </c>
      <c r="F566" s="12">
        <v>-5.9880539000000003E-2</v>
      </c>
      <c r="G566" s="12">
        <f t="shared" si="94"/>
        <v>3.7284220823132999</v>
      </c>
      <c r="H566" s="12">
        <f t="shared" si="95"/>
        <v>-5.1290753408684902</v>
      </c>
      <c r="I566" s="12">
        <f t="shared" si="96"/>
        <v>3.7284268844660802</v>
      </c>
      <c r="J566" s="12">
        <f t="shared" si="97"/>
        <v>-5.1309195584284604</v>
      </c>
      <c r="K566" s="7">
        <f t="shared" si="98"/>
        <v>-4.8021527803143701E-6</v>
      </c>
      <c r="L566" s="7">
        <f t="shared" si="99"/>
        <v>1.8442175599702199E-3</v>
      </c>
      <c r="M566" s="7">
        <f t="shared" si="100"/>
        <v>9.2683528638871499E-2</v>
      </c>
      <c r="N566" s="7">
        <f t="shared" si="101"/>
        <v>0.12754755412226601</v>
      </c>
      <c r="O566" s="12">
        <v>2.4845761999999998</v>
      </c>
      <c r="P566" s="12">
        <v>-1.9564486000000001</v>
      </c>
      <c r="Q566" s="12">
        <v>3.8573146</v>
      </c>
      <c r="R566" s="12">
        <v>-8.4069470000000006</v>
      </c>
      <c r="S566" s="12">
        <f t="shared" si="102"/>
        <v>2.9248710088607588</v>
      </c>
      <c r="T566" s="12">
        <f t="shared" si="103"/>
        <v>-27.134952084577879</v>
      </c>
      <c r="U566" s="8"/>
      <c r="V566" s="8"/>
    </row>
    <row r="567" spans="1:22" x14ac:dyDescent="0.35">
      <c r="A567" s="10">
        <v>3.125</v>
      </c>
      <c r="B567">
        <v>15.25</v>
      </c>
      <c r="C567" s="10">
        <v>-5.1659258999999999E-2</v>
      </c>
      <c r="D567" s="10">
        <v>-5.6977218000000003E-2</v>
      </c>
      <c r="E567" s="10">
        <v>0.94834795000000005</v>
      </c>
      <c r="F567" s="10">
        <v>-6.0690925999999999E-2</v>
      </c>
      <c r="G567" s="10">
        <f t="shared" si="94"/>
        <v>3.7135137580876201</v>
      </c>
      <c r="H567" s="10">
        <f t="shared" si="95"/>
        <v>-4.7981275947657602</v>
      </c>
      <c r="I567" s="10">
        <f t="shared" si="96"/>
        <v>3.7135208104322199</v>
      </c>
      <c r="J567" s="10">
        <f t="shared" si="97"/>
        <v>-4.7999844289776199</v>
      </c>
      <c r="K567" s="7">
        <f t="shared" si="98"/>
        <v>-7.0523445998560402E-6</v>
      </c>
      <c r="L567" s="7">
        <f t="shared" si="99"/>
        <v>1.8568342118596699E-3</v>
      </c>
      <c r="M567" s="7">
        <f t="shared" si="100"/>
        <v>0.100828455207463</v>
      </c>
      <c r="N567" s="7">
        <f t="shared" si="101"/>
        <v>0.13032780471677499</v>
      </c>
      <c r="O567" s="10">
        <v>2.5095203000000001</v>
      </c>
      <c r="P567" s="10">
        <v>-2.1064878</v>
      </c>
      <c r="Q567" s="10">
        <v>3.7293341999999998</v>
      </c>
      <c r="R567" s="10">
        <v>-8.8525991000000008</v>
      </c>
      <c r="S567" s="10">
        <f t="shared" si="102"/>
        <v>2.9318702433803967</v>
      </c>
      <c r="T567" s="10">
        <f t="shared" si="103"/>
        <v>-27.145718788664897</v>
      </c>
      <c r="U567" s="8"/>
      <c r="V567" s="8"/>
    </row>
    <row r="568" spans="1:22" x14ac:dyDescent="0.35">
      <c r="A568" s="12">
        <v>3.125</v>
      </c>
      <c r="B568">
        <v>15.3125</v>
      </c>
      <c r="C568" s="12">
        <v>-5.5753585000000001E-2</v>
      </c>
      <c r="D568" s="12">
        <v>-5.7548831000000002E-2</v>
      </c>
      <c r="E568" s="12">
        <v>0.94425893000000005</v>
      </c>
      <c r="F568" s="12">
        <v>-6.1289657999999997E-2</v>
      </c>
      <c r="G568" s="12">
        <f t="shared" si="94"/>
        <v>3.6988407736607498</v>
      </c>
      <c r="H568" s="12">
        <f t="shared" si="95"/>
        <v>-4.4744764122837299</v>
      </c>
      <c r="I568" s="12">
        <f t="shared" si="96"/>
        <v>3.69885052949035</v>
      </c>
      <c r="J568" s="12">
        <f t="shared" si="97"/>
        <v>-4.4763467958323799</v>
      </c>
      <c r="K568" s="7">
        <f t="shared" si="98"/>
        <v>-9.7558296001665195E-6</v>
      </c>
      <c r="L568" s="7">
        <f t="shared" si="99"/>
        <v>1.87038354864999E-3</v>
      </c>
      <c r="M568" s="7">
        <f t="shared" si="100"/>
        <v>0.10969575718828301</v>
      </c>
      <c r="N568" s="7">
        <f t="shared" si="101"/>
        <v>0.13275374262658601</v>
      </c>
      <c r="O568" s="12">
        <v>2.5262026</v>
      </c>
      <c r="P568" s="12">
        <v>-2.2672368999999999</v>
      </c>
      <c r="Q568" s="12">
        <v>3.5638043000000001</v>
      </c>
      <c r="R568" s="12">
        <v>-9.3150560000000002</v>
      </c>
      <c r="S568" s="12">
        <f t="shared" si="102"/>
        <v>2.9382115211599218</v>
      </c>
      <c r="T568" s="12">
        <f t="shared" si="103"/>
        <v>-27.156279503665338</v>
      </c>
      <c r="U568" s="8"/>
      <c r="V568" s="8"/>
    </row>
    <row r="569" spans="1:22" x14ac:dyDescent="0.35">
      <c r="A569" s="10">
        <v>3.125</v>
      </c>
      <c r="B569">
        <v>15.375</v>
      </c>
      <c r="C569" s="10">
        <v>-6.0122293E-2</v>
      </c>
      <c r="D569" s="10">
        <v>-5.7859374999999998E-2</v>
      </c>
      <c r="E569" s="10">
        <v>0.93989643</v>
      </c>
      <c r="F569" s="10">
        <v>-6.1629306000000002E-2</v>
      </c>
      <c r="G569" s="10">
        <f t="shared" si="94"/>
        <v>3.68441116919481</v>
      </c>
      <c r="H569" s="10">
        <f t="shared" si="95"/>
        <v>-4.1578178120696796</v>
      </c>
      <c r="I569" s="10">
        <f t="shared" si="96"/>
        <v>3.6844240835896902</v>
      </c>
      <c r="J569" s="10">
        <f t="shared" si="97"/>
        <v>-4.1597027355807796</v>
      </c>
      <c r="K569" s="7">
        <f t="shared" si="98"/>
        <v>-1.2914394880159099E-5</v>
      </c>
      <c r="L569" s="7">
        <f t="shared" si="99"/>
        <v>1.8849235111000301E-3</v>
      </c>
      <c r="M569" s="7">
        <f t="shared" si="100"/>
        <v>0.119321563427199</v>
      </c>
      <c r="N569" s="7">
        <f t="shared" si="101"/>
        <v>0.13471365470999599</v>
      </c>
      <c r="O569" s="10">
        <v>2.5320353</v>
      </c>
      <c r="P569" s="10">
        <v>-2.4380343</v>
      </c>
      <c r="Q569" s="10">
        <v>3.3556675</v>
      </c>
      <c r="R569" s="10">
        <v>-9.7917245000000008</v>
      </c>
      <c r="S569" s="10">
        <f t="shared" si="102"/>
        <v>2.9447429274537353</v>
      </c>
      <c r="T569" s="10">
        <f t="shared" si="103"/>
        <v>-27.16671447562068</v>
      </c>
      <c r="U569" s="8"/>
      <c r="V569" s="8"/>
    </row>
    <row r="570" spans="1:22" x14ac:dyDescent="0.35">
      <c r="A570" s="12">
        <v>3.125</v>
      </c>
      <c r="B570">
        <v>15.4375</v>
      </c>
      <c r="C570" s="12">
        <v>-6.4758813999999998E-2</v>
      </c>
      <c r="D570" s="12">
        <v>-5.7855838999999999E-2</v>
      </c>
      <c r="E570" s="12">
        <v>0.93526690000000001</v>
      </c>
      <c r="F570" s="12">
        <v>-6.1656903999999998E-2</v>
      </c>
      <c r="G570" s="12">
        <f t="shared" si="94"/>
        <v>3.67022882756633</v>
      </c>
      <c r="H570" s="12">
        <f t="shared" si="95"/>
        <v>-3.84791147687619</v>
      </c>
      <c r="I570" s="12">
        <f t="shared" si="96"/>
        <v>3.6702452962724501</v>
      </c>
      <c r="J570" s="12">
        <f t="shared" si="97"/>
        <v>-3.8498119536424502</v>
      </c>
      <c r="K570" s="7">
        <f t="shared" si="98"/>
        <v>-1.64687061201541E-5</v>
      </c>
      <c r="L570" s="7">
        <f t="shared" si="99"/>
        <v>1.90047676626026E-3</v>
      </c>
      <c r="M570" s="7">
        <f t="shared" si="100"/>
        <v>0.12972845289752899</v>
      </c>
      <c r="N570" s="7">
        <f t="shared" si="101"/>
        <v>0.13607541414185001</v>
      </c>
      <c r="O570" s="12">
        <v>2.5248146999999999</v>
      </c>
      <c r="P570" s="12">
        <v>-2.6183402</v>
      </c>
      <c r="Q570" s="12">
        <v>3.0996891999999998</v>
      </c>
      <c r="R570" s="12">
        <v>-10.279018000000001</v>
      </c>
      <c r="S570" s="12">
        <f t="shared" si="102"/>
        <v>2.95164923989568</v>
      </c>
      <c r="T570" s="12">
        <f t="shared" si="103"/>
        <v>-27.177274635806761</v>
      </c>
      <c r="U570" s="8"/>
      <c r="V570" s="8"/>
    </row>
    <row r="571" spans="1:22" x14ac:dyDescent="0.35">
      <c r="A571" s="10">
        <v>3.125</v>
      </c>
      <c r="B571">
        <v>15.5</v>
      </c>
      <c r="C571" s="10">
        <v>-6.9646970000000002E-2</v>
      </c>
      <c r="D571" s="10">
        <v>-5.7480584000000001E-2</v>
      </c>
      <c r="E571" s="10">
        <v>0.93038633999999998</v>
      </c>
      <c r="F571" s="10">
        <v>-6.1314842000000001E-2</v>
      </c>
      <c r="G571" s="10">
        <f t="shared" si="94"/>
        <v>3.6562945001142402</v>
      </c>
      <c r="H571" s="10">
        <f t="shared" si="95"/>
        <v>-3.54455166484248</v>
      </c>
      <c r="I571" s="10">
        <f t="shared" si="96"/>
        <v>3.6563148300233199</v>
      </c>
      <c r="J571" s="10">
        <f t="shared" si="97"/>
        <v>-3.5464687229388199</v>
      </c>
      <c r="K571" s="7">
        <f t="shared" si="98"/>
        <v>-2.0329909079741499E-5</v>
      </c>
      <c r="L571" s="7">
        <f t="shared" si="99"/>
        <v>1.9170580963399099E-3</v>
      </c>
      <c r="M571" s="7">
        <f t="shared" si="100"/>
        <v>0.14091974725671799</v>
      </c>
      <c r="N571" s="7">
        <f t="shared" si="101"/>
        <v>0.136686116848206</v>
      </c>
      <c r="O571" s="10">
        <v>2.5032128</v>
      </c>
      <c r="P571" s="10">
        <v>-2.8083619</v>
      </c>
      <c r="Q571" s="10">
        <v>2.7907422</v>
      </c>
      <c r="R571" s="10">
        <v>-10.771993999999999</v>
      </c>
      <c r="S571" s="10">
        <f t="shared" si="102"/>
        <v>2.957867923702663</v>
      </c>
      <c r="T571" s="10">
        <f t="shared" si="103"/>
        <v>-27.187479246816398</v>
      </c>
      <c r="U571" s="8"/>
      <c r="V571" s="8"/>
    </row>
    <row r="572" spans="1:22" x14ac:dyDescent="0.35">
      <c r="A572" s="12">
        <v>3.125</v>
      </c>
      <c r="B572">
        <v>15.5625</v>
      </c>
      <c r="C572" s="12">
        <v>-7.4758907999999999E-2</v>
      </c>
      <c r="D572" s="12">
        <v>-5.6672803000000001E-2</v>
      </c>
      <c r="E572" s="12">
        <v>0.92528235999999997</v>
      </c>
      <c r="F572" s="12">
        <v>-6.0542301E-2</v>
      </c>
      <c r="G572" s="12">
        <f t="shared" si="94"/>
        <v>3.6426069483072898</v>
      </c>
      <c r="H572" s="12">
        <f t="shared" si="95"/>
        <v>-3.2475525166414001</v>
      </c>
      <c r="I572" s="12">
        <f t="shared" si="96"/>
        <v>3.6426313248895101</v>
      </c>
      <c r="J572" s="12">
        <f t="shared" si="97"/>
        <v>-3.2494871785590198</v>
      </c>
      <c r="K572" s="7">
        <f t="shared" si="98"/>
        <v>-2.4376582220320101E-5</v>
      </c>
      <c r="L572" s="7">
        <f t="shared" si="99"/>
        <v>1.9346619176197101E-3</v>
      </c>
      <c r="M572" s="7">
        <f t="shared" si="100"/>
        <v>0.15287233684566401</v>
      </c>
      <c r="N572" s="7">
        <f t="shared" si="101"/>
        <v>0.136373037573712</v>
      </c>
      <c r="O572" s="12">
        <v>2.4640548</v>
      </c>
      <c r="P572" s="12">
        <v>-3.0059849999999999</v>
      </c>
      <c r="Q572" s="12">
        <v>2.4239744000000001</v>
      </c>
      <c r="R572" s="12">
        <v>-11.264351</v>
      </c>
      <c r="S572" s="12">
        <f t="shared" si="102"/>
        <v>2.9644163707794675</v>
      </c>
      <c r="T572" s="12">
        <f t="shared" si="103"/>
        <v>-27.197751956190107</v>
      </c>
      <c r="U572" s="8"/>
      <c r="V572" s="8"/>
    </row>
    <row r="573" spans="1:22" x14ac:dyDescent="0.35">
      <c r="A573" s="10">
        <v>3.125</v>
      </c>
      <c r="B573">
        <v>15.625</v>
      </c>
      <c r="C573" s="10">
        <v>-8.0053027999999998E-2</v>
      </c>
      <c r="D573" s="10">
        <v>-5.5370739000000002E-2</v>
      </c>
      <c r="E573" s="10">
        <v>0.91999628</v>
      </c>
      <c r="F573" s="10">
        <v>-5.9277471999999998E-2</v>
      </c>
      <c r="G573" s="10">
        <f t="shared" si="94"/>
        <v>3.6291638295144302</v>
      </c>
      <c r="H573" s="10">
        <f t="shared" si="95"/>
        <v>-2.95674232668995</v>
      </c>
      <c r="I573" s="10">
        <f t="shared" si="96"/>
        <v>3.6291922982505702</v>
      </c>
      <c r="J573" s="10">
        <f t="shared" si="97"/>
        <v>-2.9586955894243401</v>
      </c>
      <c r="K573" s="7">
        <f t="shared" si="98"/>
        <v>-2.8468736140041501E-5</v>
      </c>
      <c r="L573" s="7">
        <f t="shared" si="99"/>
        <v>1.9532627343901202E-3</v>
      </c>
      <c r="M573" s="7">
        <f t="shared" si="100"/>
        <v>0.16552821656715</v>
      </c>
      <c r="N573" s="7">
        <f t="shared" si="101"/>
        <v>0.13494672203470301</v>
      </c>
      <c r="O573" s="10">
        <v>2.4054261000000001</v>
      </c>
      <c r="P573" s="10">
        <v>-3.2099652999999999</v>
      </c>
      <c r="Q573" s="10">
        <v>1.9952392999999999</v>
      </c>
      <c r="R573" s="10">
        <v>-11.748253999999999</v>
      </c>
      <c r="S573" s="10">
        <f t="shared" si="102"/>
        <v>2.9707803870797007</v>
      </c>
      <c r="T573" s="10">
        <f t="shared" si="103"/>
        <v>-27.207760099814944</v>
      </c>
      <c r="U573" s="8"/>
      <c r="V573" s="8"/>
    </row>
    <row r="574" spans="1:22" x14ac:dyDescent="0.35">
      <c r="A574" s="12">
        <v>3.125</v>
      </c>
      <c r="B574">
        <v>15.6875</v>
      </c>
      <c r="C574" s="12">
        <v>-8.5472223999999999E-2</v>
      </c>
      <c r="D574" s="12">
        <v>-5.3514823000000003E-2</v>
      </c>
      <c r="E574" s="12">
        <v>0.91458497999999999</v>
      </c>
      <c r="F574" s="12">
        <v>-5.7460693E-2</v>
      </c>
      <c r="G574" s="12">
        <f t="shared" si="94"/>
        <v>3.6159619066893902</v>
      </c>
      <c r="H574" s="12">
        <f t="shared" si="95"/>
        <v>-2.6719620745848398</v>
      </c>
      <c r="I574" s="12">
        <f t="shared" si="96"/>
        <v>3.6159943999947299</v>
      </c>
      <c r="J574" s="12">
        <f t="shared" si="97"/>
        <v>-2.67393488905123</v>
      </c>
      <c r="K574" s="7">
        <f t="shared" si="98"/>
        <v>-3.24933053397203E-5</v>
      </c>
      <c r="L574" s="7">
        <f t="shared" si="99"/>
        <v>1.9728144663901902E-3</v>
      </c>
      <c r="M574" s="7">
        <f t="shared" si="100"/>
        <v>0.17878531641450399</v>
      </c>
      <c r="N574" s="7">
        <f t="shared" si="101"/>
        <v>0.13220714479300699</v>
      </c>
      <c r="O574" s="12">
        <v>2.3251564</v>
      </c>
      <c r="P574" s="12">
        <v>-3.4180812999999999</v>
      </c>
      <c r="Q574" s="12">
        <v>1.5014772000000001</v>
      </c>
      <c r="R574" s="12">
        <v>-12.214304</v>
      </c>
      <c r="S574" s="12">
        <f t="shared" si="102"/>
        <v>2.9768653188123633</v>
      </c>
      <c r="T574" s="12">
        <f t="shared" si="103"/>
        <v>-27.217487909399519</v>
      </c>
      <c r="U574" s="8"/>
      <c r="V574" s="8"/>
    </row>
    <row r="575" spans="1:22" x14ac:dyDescent="0.35">
      <c r="A575" s="10">
        <v>3.125</v>
      </c>
      <c r="B575">
        <v>15.75</v>
      </c>
      <c r="C575" s="10">
        <v>-9.0942801000000004E-2</v>
      </c>
      <c r="D575" s="10">
        <v>-5.1051712999999999E-2</v>
      </c>
      <c r="E575" s="10">
        <v>0.90912196000000001</v>
      </c>
      <c r="F575" s="10">
        <v>-5.5038524999999998E-2</v>
      </c>
      <c r="G575" s="10">
        <f t="shared" si="94"/>
        <v>3.6029970821316302</v>
      </c>
      <c r="H575" s="10">
        <f t="shared" si="95"/>
        <v>-2.39306261029065</v>
      </c>
      <c r="I575" s="10">
        <f t="shared" si="96"/>
        <v>3.6030334348488702</v>
      </c>
      <c r="J575" s="10">
        <f t="shared" si="97"/>
        <v>-2.3950558792818701</v>
      </c>
      <c r="K575" s="7">
        <f t="shared" si="98"/>
        <v>-3.6352717240006902E-5</v>
      </c>
      <c r="L575" s="7">
        <f t="shared" si="99"/>
        <v>1.9932689912200998E-3</v>
      </c>
      <c r="M575" s="7">
        <f t="shared" si="100"/>
        <v>0.19248883355157001</v>
      </c>
      <c r="N575" s="7">
        <f t="shared" si="101"/>
        <v>0.12795371478786599</v>
      </c>
      <c r="O575" s="10">
        <v>2.2209704000000001</v>
      </c>
      <c r="P575" s="10">
        <v>-3.6268870999999998</v>
      </c>
      <c r="Q575" s="10">
        <v>0.94115782000000003</v>
      </c>
      <c r="R575" s="10">
        <v>-12.651986000000001</v>
      </c>
      <c r="S575" s="10">
        <f t="shared" si="102"/>
        <v>2.9831390111504192</v>
      </c>
      <c r="T575" s="10">
        <f t="shared" si="103"/>
        <v>-27.227457329649887</v>
      </c>
      <c r="U575" s="8"/>
      <c r="V575" s="8"/>
    </row>
    <row r="576" spans="1:22" x14ac:dyDescent="0.35">
      <c r="A576" s="12">
        <v>3.125</v>
      </c>
      <c r="B576">
        <v>15.8125</v>
      </c>
      <c r="C576" s="12">
        <v>-9.6374512999999995E-2</v>
      </c>
      <c r="D576" s="12">
        <v>-4.7939146000000002E-2</v>
      </c>
      <c r="E576" s="12">
        <v>0.90369730000000004</v>
      </c>
      <c r="F576" s="12">
        <v>-5.1968617000000002E-2</v>
      </c>
      <c r="G576" s="12">
        <f t="shared" si="94"/>
        <v>3.5902642420315098</v>
      </c>
      <c r="H576" s="12">
        <f t="shared" si="95"/>
        <v>-2.1199033264412601</v>
      </c>
      <c r="I576" s="12">
        <f t="shared" si="96"/>
        <v>3.5903042059477199</v>
      </c>
      <c r="J576" s="12">
        <f t="shared" si="97"/>
        <v>-2.1219179090879301</v>
      </c>
      <c r="K576" s="7">
        <f t="shared" si="98"/>
        <v>-3.9963916210084001E-5</v>
      </c>
      <c r="L576" s="7">
        <f t="shared" si="99"/>
        <v>2.0145826466699802E-3</v>
      </c>
      <c r="M576" s="7">
        <f t="shared" si="100"/>
        <v>0.206424503084186</v>
      </c>
      <c r="N576" s="7">
        <f t="shared" si="101"/>
        <v>0.121999648175575</v>
      </c>
      <c r="O576" s="12">
        <v>2.0916329999999999</v>
      </c>
      <c r="P576" s="12">
        <v>-3.8331979999999999</v>
      </c>
      <c r="Q576" s="12">
        <v>0.31493100000000002</v>
      </c>
      <c r="R576" s="12">
        <v>-13.049382</v>
      </c>
      <c r="S576" s="12">
        <f t="shared" si="102"/>
        <v>2.989234531086729</v>
      </c>
      <c r="T576" s="12">
        <f t="shared" si="103"/>
        <v>-27.237152817525583</v>
      </c>
      <c r="U576" s="8"/>
      <c r="V576" s="8"/>
    </row>
    <row r="577" spans="1:22" x14ac:dyDescent="0.35">
      <c r="A577" s="10">
        <v>3.125</v>
      </c>
      <c r="B577">
        <v>15.875</v>
      </c>
      <c r="C577" s="10">
        <v>-0.10166214</v>
      </c>
      <c r="D577" s="10">
        <v>-4.4151257999999999E-2</v>
      </c>
      <c r="E577" s="10">
        <v>0.89841607999999995</v>
      </c>
      <c r="F577" s="10">
        <v>-4.8225033E-2</v>
      </c>
      <c r="G577" s="10">
        <f t="shared" si="94"/>
        <v>3.5777576214678399</v>
      </c>
      <c r="H577" s="10">
        <f t="shared" si="95"/>
        <v>-1.8523515043412599</v>
      </c>
      <c r="I577" s="10">
        <f t="shared" si="96"/>
        <v>3.5778008783450299</v>
      </c>
      <c r="J577" s="10">
        <f t="shared" si="97"/>
        <v>-1.8543882240757601</v>
      </c>
      <c r="K577" s="7">
        <f t="shared" si="98"/>
        <v>-4.3256877189978797E-5</v>
      </c>
      <c r="L577" s="7">
        <f t="shared" si="99"/>
        <v>2.0367197345001501E-3</v>
      </c>
      <c r="M577" s="7">
        <f t="shared" si="100"/>
        <v>0.220315874682421</v>
      </c>
      <c r="N577" s="7">
        <f t="shared" si="101"/>
        <v>0.11419058172321001</v>
      </c>
      <c r="O577" s="10">
        <v>1.9362755</v>
      </c>
      <c r="P577" s="10">
        <v>-4.0328216000000001</v>
      </c>
      <c r="Q577" s="10">
        <v>-0.37405475999999999</v>
      </c>
      <c r="R577" s="10">
        <v>-13.393943</v>
      </c>
      <c r="S577" s="10">
        <f t="shared" si="102"/>
        <v>2.9951851368740061</v>
      </c>
      <c r="T577" s="10">
        <f t="shared" si="103"/>
        <v>-27.246715488996383</v>
      </c>
      <c r="U577" s="8"/>
      <c r="V577" s="8"/>
    </row>
    <row r="578" spans="1:22" x14ac:dyDescent="0.35">
      <c r="A578" s="12">
        <v>3.125</v>
      </c>
      <c r="B578">
        <v>15.9375</v>
      </c>
      <c r="C578" s="12">
        <v>-0.10668893</v>
      </c>
      <c r="D578" s="12">
        <v>-3.9683824999999999E-2</v>
      </c>
      <c r="E578" s="12">
        <v>0.89339489000000005</v>
      </c>
      <c r="F578" s="12">
        <v>-4.3803485000000003E-2</v>
      </c>
      <c r="G578" s="12">
        <f t="shared" si="94"/>
        <v>3.5654712625982099</v>
      </c>
      <c r="H578" s="12">
        <f t="shared" si="95"/>
        <v>-1.59028133511694</v>
      </c>
      <c r="I578" s="12">
        <f t="shared" si="96"/>
        <v>3.5655174131900602</v>
      </c>
      <c r="J578" s="12">
        <f t="shared" si="97"/>
        <v>-1.59234098373469</v>
      </c>
      <c r="K578" s="7">
        <f t="shared" si="98"/>
        <v>-4.6150591850313601E-5</v>
      </c>
      <c r="L578" s="7">
        <f t="shared" si="99"/>
        <v>2.0596486177499899E-3</v>
      </c>
      <c r="M578" s="7">
        <f t="shared" si="100"/>
        <v>0.23382796843572101</v>
      </c>
      <c r="N578" s="7">
        <f t="shared" si="101"/>
        <v>0.104426318577559</v>
      </c>
      <c r="O578" s="12">
        <v>1.7549593000000001</v>
      </c>
      <c r="P578" s="12">
        <v>-4.2213324999999999</v>
      </c>
      <c r="Q578" s="12">
        <v>-1.1197296999999999</v>
      </c>
      <c r="R578" s="12">
        <v>-13.67324</v>
      </c>
      <c r="S578" s="12">
        <f t="shared" si="102"/>
        <v>3.0009210493074394</v>
      </c>
      <c r="T578" s="12">
        <f t="shared" si="103"/>
        <v>-27.256030136216705</v>
      </c>
      <c r="U578" s="8"/>
      <c r="V578" s="8"/>
    </row>
    <row r="579" spans="1:22" x14ac:dyDescent="0.35">
      <c r="A579" s="10">
        <v>3.125</v>
      </c>
      <c r="B579">
        <v>16</v>
      </c>
      <c r="C579" s="10">
        <v>-0.11133208</v>
      </c>
      <c r="D579" s="10">
        <v>-3.4558697999999999E-2</v>
      </c>
      <c r="E579" s="10">
        <v>0.88875630999999999</v>
      </c>
      <c r="F579" s="10">
        <v>-3.8725731999999999E-2</v>
      </c>
      <c r="G579" s="10">
        <f t="shared" si="94"/>
        <v>3.55339796366182</v>
      </c>
      <c r="H579" s="10">
        <f t="shared" si="95"/>
        <v>-1.33357233361309</v>
      </c>
      <c r="I579" s="10">
        <f t="shared" si="96"/>
        <v>3.55344649715745</v>
      </c>
      <c r="J579" s="10">
        <f t="shared" si="97"/>
        <v>-1.3356556574202301</v>
      </c>
      <c r="K579" s="7">
        <f t="shared" si="98"/>
        <v>-4.8533495629943199E-5</v>
      </c>
      <c r="L579" s="7">
        <f t="shared" si="99"/>
        <v>2.0833238071400499E-3</v>
      </c>
      <c r="M579" s="7">
        <f t="shared" si="100"/>
        <v>0.24657947698313701</v>
      </c>
      <c r="N579" s="7">
        <f t="shared" si="101"/>
        <v>9.26833353758688E-2</v>
      </c>
      <c r="O579" s="10">
        <v>1.5485435999999999</v>
      </c>
      <c r="P579" s="10">
        <v>-4.3934707</v>
      </c>
      <c r="Q579" s="10">
        <v>-1.9129505</v>
      </c>
      <c r="R579" s="10">
        <v>-13.875690000000001</v>
      </c>
      <c r="S579" s="10">
        <f t="shared" si="102"/>
        <v>3.0068200550263349</v>
      </c>
      <c r="T579" s="10">
        <f t="shared" si="103"/>
        <v>-27.265271503030366</v>
      </c>
      <c r="U579" s="8"/>
      <c r="V579" s="8"/>
    </row>
    <row r="580" spans="1:22" x14ac:dyDescent="0.35">
      <c r="A580" s="12">
        <v>3.125</v>
      </c>
      <c r="B580">
        <v>16.0625</v>
      </c>
      <c r="C580" s="12">
        <v>-0.11547066</v>
      </c>
      <c r="D580" s="12">
        <v>-2.8821181000000001E-2</v>
      </c>
      <c r="E580" s="12">
        <v>0.88467750000000001</v>
      </c>
      <c r="F580" s="12">
        <v>-3.2906805999999997E-2</v>
      </c>
      <c r="G580" s="12">
        <f t="shared" si="94"/>
        <v>3.5435844525362201</v>
      </c>
      <c r="H580" s="12">
        <f t="shared" si="95"/>
        <v>-1.08048715938308</v>
      </c>
      <c r="I580" s="12">
        <f t="shared" si="96"/>
        <v>3.54366269918699</v>
      </c>
      <c r="J580" s="12">
        <f t="shared" si="97"/>
        <v>-1.0825296607313399</v>
      </c>
      <c r="K580" s="7">
        <f t="shared" si="98"/>
        <v>-7.8246650769830896E-5</v>
      </c>
      <c r="L580" s="7">
        <f t="shared" si="99"/>
        <v>2.0425013482599E-3</v>
      </c>
      <c r="M580" s="7">
        <f t="shared" si="100"/>
        <v>0.25810731883136601</v>
      </c>
      <c r="N580" s="7">
        <f t="shared" si="101"/>
        <v>7.8847467156199197E-2</v>
      </c>
      <c r="O580" s="12">
        <v>1.3185507999999999</v>
      </c>
      <c r="P580" s="12">
        <v>-4.5441048000000004</v>
      </c>
      <c r="Q580" s="12">
        <v>-2.7415452999999999</v>
      </c>
      <c r="R580" s="12">
        <v>-13.990163000000001</v>
      </c>
      <c r="S580" s="12">
        <f t="shared" si="102"/>
        <v>3.0130262688574105</v>
      </c>
      <c r="T580" s="12">
        <f t="shared" si="103"/>
        <v>-27.268321140309517</v>
      </c>
      <c r="U580" s="8"/>
      <c r="V580" s="8"/>
    </row>
    <row r="581" spans="1:22" x14ac:dyDescent="0.35">
      <c r="A581" s="10">
        <v>3.125</v>
      </c>
      <c r="B581">
        <v>16.125</v>
      </c>
      <c r="C581" s="10">
        <v>-0.11899046000000001</v>
      </c>
      <c r="D581" s="10">
        <v>-2.2561371E-2</v>
      </c>
      <c r="E581" s="10">
        <v>0.88117069000000003</v>
      </c>
      <c r="F581" s="10">
        <v>-2.6696360999999998E-2</v>
      </c>
      <c r="G581" s="10">
        <f t="shared" si="94"/>
        <v>3.5318557759711902</v>
      </c>
      <c r="H581" s="10">
        <f t="shared" si="95"/>
        <v>-0.83406167581684998</v>
      </c>
      <c r="I581" s="10">
        <f t="shared" si="96"/>
        <v>3.5319406179635999</v>
      </c>
      <c r="J581" s="10">
        <f t="shared" si="97"/>
        <v>-0.83612882884560003</v>
      </c>
      <c r="K581" s="7">
        <f t="shared" si="98"/>
        <v>-8.4841992409767601E-5</v>
      </c>
      <c r="L581" s="7">
        <f t="shared" si="99"/>
        <v>2.06715302875005E-3</v>
      </c>
      <c r="M581" s="7">
        <f t="shared" si="100"/>
        <v>0.26810511416116301</v>
      </c>
      <c r="N581" s="7">
        <f t="shared" si="101"/>
        <v>6.3469474535032905E-2</v>
      </c>
      <c r="O581" s="10">
        <v>1.0698704999999999</v>
      </c>
      <c r="P581" s="10">
        <v>-4.6704568999999996</v>
      </c>
      <c r="Q581" s="10">
        <v>-3.5909507999999999</v>
      </c>
      <c r="R581" s="10">
        <v>-14.011388</v>
      </c>
      <c r="S581" s="10">
        <f t="shared" si="102"/>
        <v>3.0187715277857419</v>
      </c>
      <c r="T581" s="10">
        <f t="shared" si="103"/>
        <v>-27.277072994125714</v>
      </c>
      <c r="U581" s="8"/>
      <c r="V581" s="8"/>
    </row>
    <row r="582" spans="1:22" x14ac:dyDescent="0.35">
      <c r="A582" s="12">
        <v>3.125</v>
      </c>
      <c r="B582">
        <v>16.1875</v>
      </c>
      <c r="C582" s="12">
        <v>-0.12179884000000001</v>
      </c>
      <c r="D582" s="12">
        <v>-1.5880703999999999E-2</v>
      </c>
      <c r="E582" s="12">
        <v>0.87837434999999997</v>
      </c>
      <c r="F582" s="12">
        <v>-2.0066962000000001E-2</v>
      </c>
      <c r="G582" s="12">
        <f t="shared" si="94"/>
        <v>3.5203288915230599</v>
      </c>
      <c r="H582" s="12">
        <f t="shared" si="95"/>
        <v>-0.592661654708737</v>
      </c>
      <c r="I582" s="12">
        <f t="shared" si="96"/>
        <v>3.52041985905687</v>
      </c>
      <c r="J582" s="12">
        <f t="shared" si="97"/>
        <v>-0.59475441207963098</v>
      </c>
      <c r="K582" s="7">
        <f t="shared" si="98"/>
        <v>-9.0967533810104597E-5</v>
      </c>
      <c r="L582" s="7">
        <f t="shared" si="99"/>
        <v>2.0927573708939798E-3</v>
      </c>
      <c r="M582" s="7">
        <f t="shared" si="100"/>
        <v>0.276174420351748</v>
      </c>
      <c r="N582" s="7">
        <f t="shared" si="101"/>
        <v>4.66580582952799E-2</v>
      </c>
      <c r="O582" s="12">
        <v>0.80613747999999996</v>
      </c>
      <c r="P582" s="12">
        <v>-4.7691109000000003</v>
      </c>
      <c r="Q582" s="12">
        <v>-4.4448277000000003</v>
      </c>
      <c r="R582" s="12">
        <v>-13.9346</v>
      </c>
      <c r="S582" s="12">
        <f t="shared" si="102"/>
        <v>3.0239917436161878</v>
      </c>
      <c r="T582" s="12">
        <f t="shared" si="103"/>
        <v>-27.285719178513499</v>
      </c>
      <c r="U582" s="8"/>
      <c r="V582" s="8"/>
    </row>
    <row r="583" spans="1:22" x14ac:dyDescent="0.35">
      <c r="A583" s="10">
        <v>3.125</v>
      </c>
      <c r="B583">
        <v>16.25</v>
      </c>
      <c r="C583" s="10">
        <v>-0.12382744</v>
      </c>
      <c r="D583" s="10">
        <v>-8.9064137000000008E-3</v>
      </c>
      <c r="E583" s="10">
        <v>0.87635666999999995</v>
      </c>
      <c r="F583" s="10">
        <v>-1.3145614999999999E-2</v>
      </c>
      <c r="G583" s="10">
        <f t="shared" si="94"/>
        <v>3.5089990585475102</v>
      </c>
      <c r="H583" s="10">
        <f t="shared" si="95"/>
        <v>-0.35618512271818698</v>
      </c>
      <c r="I583" s="10">
        <f t="shared" si="96"/>
        <v>3.5090955965204098</v>
      </c>
      <c r="J583" s="10">
        <f t="shared" si="97"/>
        <v>-0.35830432366319398</v>
      </c>
      <c r="K583" s="7">
        <f t="shared" si="98"/>
        <v>-9.6537972899657403E-5</v>
      </c>
      <c r="L583" s="7">
        <f t="shared" si="99"/>
        <v>2.1192009450070001E-3</v>
      </c>
      <c r="M583" s="7">
        <f t="shared" si="100"/>
        <v>0.28203326105081999</v>
      </c>
      <c r="N583" s="7">
        <f t="shared" si="101"/>
        <v>2.8797658562377999E-2</v>
      </c>
      <c r="O583" s="10">
        <v>0.53216054999999995</v>
      </c>
      <c r="P583" s="10">
        <v>-4.8362072999999999</v>
      </c>
      <c r="Q583" s="10">
        <v>-5.2858907000000004</v>
      </c>
      <c r="R583" s="10">
        <v>-13.759565</v>
      </c>
      <c r="S583" s="10">
        <f t="shared" si="102"/>
        <v>3.0295477219049634</v>
      </c>
      <c r="T583" s="10">
        <f t="shared" si="103"/>
        <v>-27.294216200475095</v>
      </c>
      <c r="U583" s="8"/>
      <c r="V583" s="8"/>
    </row>
    <row r="584" spans="1:22" x14ac:dyDescent="0.35">
      <c r="A584" s="12">
        <v>3.125</v>
      </c>
      <c r="B584">
        <v>16.3125</v>
      </c>
      <c r="C584" s="12">
        <v>-0.12503810000000001</v>
      </c>
      <c r="D584" s="12">
        <v>-1.7702934E-3</v>
      </c>
      <c r="E584" s="12">
        <v>0.87491187000000004</v>
      </c>
      <c r="F584" s="12">
        <v>-6.0853438999999999E-3</v>
      </c>
      <c r="G584" s="12">
        <f t="shared" si="94"/>
        <v>3.4940518755656398</v>
      </c>
      <c r="H584" s="12">
        <f t="shared" si="95"/>
        <v>-0.12436082312390299</v>
      </c>
      <c r="I584" s="12">
        <f t="shared" si="96"/>
        <v>3.4940315151827499</v>
      </c>
      <c r="J584" s="12">
        <f t="shared" si="97"/>
        <v>-0.12651844627488601</v>
      </c>
      <c r="K584" s="7">
        <f t="shared" si="98"/>
        <v>2.03603828898835E-5</v>
      </c>
      <c r="L584" s="7">
        <f t="shared" si="99"/>
        <v>2.1576231509830199E-3</v>
      </c>
      <c r="M584" s="7">
        <f t="shared" si="100"/>
        <v>0.28582757695537903</v>
      </c>
      <c r="N584" s="7">
        <f t="shared" si="101"/>
        <v>1.0349780985595599E-2</v>
      </c>
      <c r="O584" s="12">
        <v>0.25404930999999997</v>
      </c>
      <c r="P584" s="12">
        <v>-4.8715850999999999</v>
      </c>
      <c r="Q584" s="12">
        <v>-6.0987818999999996</v>
      </c>
      <c r="R584" s="12">
        <v>-13.491194999999999</v>
      </c>
      <c r="S584" s="12">
        <f t="shared" si="102"/>
        <v>3.0350626157314706</v>
      </c>
      <c r="T584" s="12">
        <f t="shared" si="103"/>
        <v>-27.310880037744514</v>
      </c>
      <c r="U584" s="8"/>
      <c r="V584" s="8"/>
    </row>
    <row r="585" spans="1:22" x14ac:dyDescent="0.35">
      <c r="A585" s="10">
        <v>3.125</v>
      </c>
      <c r="B585">
        <v>16.375</v>
      </c>
      <c r="C585" s="10">
        <v>-0.12542756999999999</v>
      </c>
      <c r="D585" s="10">
        <v>5.3668756000000003E-3</v>
      </c>
      <c r="E585" s="10">
        <v>0.87452704999999997</v>
      </c>
      <c r="F585" s="10">
        <v>1.0145483E-3</v>
      </c>
      <c r="G585" s="10">
        <f t="shared" si="94"/>
        <v>3.4830757551774298</v>
      </c>
      <c r="H585" s="10">
        <f t="shared" si="95"/>
        <v>0.102393765161553</v>
      </c>
      <c r="I585" s="10">
        <f t="shared" si="96"/>
        <v>3.4830578006507502</v>
      </c>
      <c r="J585" s="10">
        <f t="shared" si="97"/>
        <v>0.100217513060404</v>
      </c>
      <c r="K585" s="7">
        <f t="shared" si="98"/>
        <v>1.7954526679631E-5</v>
      </c>
      <c r="L585" s="7">
        <f t="shared" si="99"/>
        <v>2.1762521011490098E-3</v>
      </c>
      <c r="M585" s="7">
        <f t="shared" si="100"/>
        <v>0.28686655946623801</v>
      </c>
      <c r="N585" s="7">
        <f t="shared" si="101"/>
        <v>-8.2539695908950099E-3</v>
      </c>
      <c r="O585" s="10">
        <v>-2.3459885999999999E-2</v>
      </c>
      <c r="P585" s="10">
        <v>-4.8746913999999997</v>
      </c>
      <c r="Q585" s="10">
        <v>-6.8655029000000001</v>
      </c>
      <c r="R585" s="10">
        <v>-13.135203000000001</v>
      </c>
      <c r="S585" s="10">
        <f t="shared" si="102"/>
        <v>3.0404083844103278</v>
      </c>
      <c r="T585" s="10">
        <f t="shared" si="103"/>
        <v>-27.31941251077286</v>
      </c>
      <c r="U585" s="8"/>
      <c r="V585" s="8"/>
    </row>
    <row r="586" spans="1:22" x14ac:dyDescent="0.35">
      <c r="A586" s="12">
        <v>3.125</v>
      </c>
      <c r="B586">
        <v>16.4375</v>
      </c>
      <c r="C586" s="12">
        <v>-0.12502388</v>
      </c>
      <c r="D586" s="12">
        <v>1.2375807000000001E-2</v>
      </c>
      <c r="E586" s="12">
        <v>0.87493487000000003</v>
      </c>
      <c r="F586" s="12">
        <v>7.9850927999999995E-3</v>
      </c>
      <c r="G586" s="12">
        <f t="shared" si="94"/>
        <v>3.4722548498911401</v>
      </c>
      <c r="H586" s="12">
        <f t="shared" si="95"/>
        <v>0.32449666386341602</v>
      </c>
      <c r="I586" s="12">
        <f t="shared" si="96"/>
        <v>3.4722390443335298</v>
      </c>
      <c r="J586" s="12">
        <f t="shared" si="97"/>
        <v>0.322301226783683</v>
      </c>
      <c r="K586" s="7">
        <f t="shared" si="98"/>
        <v>1.58055576102711E-5</v>
      </c>
      <c r="L586" s="7">
        <f t="shared" si="99"/>
        <v>2.1954370797330198E-3</v>
      </c>
      <c r="M586" s="7">
        <f t="shared" si="100"/>
        <v>0.28553841145759301</v>
      </c>
      <c r="N586" s="7">
        <f t="shared" si="101"/>
        <v>-2.6504333120967699E-2</v>
      </c>
      <c r="O586" s="12">
        <v>-0.29461812999999998</v>
      </c>
      <c r="P586" s="12">
        <v>-4.8469574</v>
      </c>
      <c r="Q586" s="12">
        <v>-7.5744689000000003</v>
      </c>
      <c r="R586" s="12">
        <v>-12.703168</v>
      </c>
      <c r="S586" s="12">
        <f t="shared" si="102"/>
        <v>3.0457700887117567</v>
      </c>
      <c r="T586" s="12">
        <f t="shared" si="103"/>
        <v>-27.327797568963831</v>
      </c>
      <c r="U586" s="8"/>
      <c r="V586" s="8"/>
    </row>
    <row r="587" spans="1:22" x14ac:dyDescent="0.35">
      <c r="A587" s="10">
        <v>3.125</v>
      </c>
      <c r="B587">
        <v>16.5</v>
      </c>
      <c r="C587" s="10">
        <v>-0.12388346</v>
      </c>
      <c r="D587" s="10">
        <v>1.9132855000000001E-2</v>
      </c>
      <c r="E587" s="10">
        <v>0.87607869999999999</v>
      </c>
      <c r="F587" s="10">
        <v>1.4702890999999999E-2</v>
      </c>
      <c r="G587" s="10">
        <f t="shared" si="94"/>
        <v>3.4615835359115601</v>
      </c>
      <c r="H587" s="10">
        <f t="shared" si="95"/>
        <v>0.54202892540318104</v>
      </c>
      <c r="I587" s="10">
        <f t="shared" si="96"/>
        <v>3.4615695219532601</v>
      </c>
      <c r="J587" s="10">
        <f t="shared" si="97"/>
        <v>0.53981387045367701</v>
      </c>
      <c r="K587" s="7">
        <f t="shared" si="98"/>
        <v>1.40139583000298E-5</v>
      </c>
      <c r="L587" s="7">
        <f t="shared" si="99"/>
        <v>2.2150549495040298E-3</v>
      </c>
      <c r="M587" s="7">
        <f t="shared" si="100"/>
        <v>0.28202772372570101</v>
      </c>
      <c r="N587" s="7">
        <f t="shared" si="101"/>
        <v>-4.3980765416984903E-2</v>
      </c>
      <c r="O587" s="10">
        <v>-0.55467474999999999</v>
      </c>
      <c r="P587" s="10">
        <v>-4.7908568000000002</v>
      </c>
      <c r="Q587" s="10">
        <v>-8.2158999999999995</v>
      </c>
      <c r="R587" s="10">
        <v>-12.207985000000001</v>
      </c>
      <c r="S587" s="10">
        <f t="shared" si="102"/>
        <v>3.0511275443501531</v>
      </c>
      <c r="T587" s="10">
        <f t="shared" si="103"/>
        <v>-27.33614077144939</v>
      </c>
      <c r="U587" s="8"/>
      <c r="V587" s="8"/>
    </row>
    <row r="588" spans="1:22" x14ac:dyDescent="0.35">
      <c r="A588" s="12">
        <v>3.125</v>
      </c>
      <c r="B588">
        <v>16.5625</v>
      </c>
      <c r="C588" s="12">
        <v>-0.12208489</v>
      </c>
      <c r="D588" s="12">
        <v>2.5534806E-2</v>
      </c>
      <c r="E588" s="12">
        <v>0.87787985999999996</v>
      </c>
      <c r="F588" s="12">
        <v>2.1064948999999999E-2</v>
      </c>
      <c r="G588" s="12">
        <f t="shared" si="94"/>
        <v>3.4510559640453402</v>
      </c>
      <c r="H588" s="12">
        <f t="shared" si="95"/>
        <v>0.75506570966890296</v>
      </c>
      <c r="I588" s="12">
        <f t="shared" si="96"/>
        <v>3.4510433338792601</v>
      </c>
      <c r="J588" s="12">
        <f t="shared" si="97"/>
        <v>0.75283071354957898</v>
      </c>
      <c r="K588" s="7">
        <f t="shared" si="98"/>
        <v>1.2630166080107601E-5</v>
      </c>
      <c r="L588" s="7">
        <f t="shared" si="99"/>
        <v>2.2349961193239799E-3</v>
      </c>
      <c r="M588" s="7">
        <f t="shared" si="100"/>
        <v>0.27660449718438701</v>
      </c>
      <c r="N588" s="7">
        <f t="shared" si="101"/>
        <v>-6.0340117709350598E-2</v>
      </c>
      <c r="O588" s="12">
        <v>-0.79981791999999996</v>
      </c>
      <c r="P588" s="12">
        <v>-4.7100704000000002</v>
      </c>
      <c r="Q588" s="12">
        <v>-8.7833138999999996</v>
      </c>
      <c r="R588" s="12">
        <v>-11.663576000000001</v>
      </c>
      <c r="S588" s="12">
        <f t="shared" si="102"/>
        <v>3.0561774902782513</v>
      </c>
      <c r="T588" s="12">
        <f t="shared" si="103"/>
        <v>-27.344282369503407</v>
      </c>
      <c r="U588" s="8"/>
      <c r="V588" s="8"/>
    </row>
    <row r="589" spans="1:22" x14ac:dyDescent="0.35">
      <c r="A589" s="10">
        <v>3.125</v>
      </c>
      <c r="B589">
        <v>16.625</v>
      </c>
      <c r="C589" s="10">
        <v>-0.11972152</v>
      </c>
      <c r="D589" s="10">
        <v>3.1502475000000002E-2</v>
      </c>
      <c r="E589" s="10">
        <v>0.88024488999999995</v>
      </c>
      <c r="F589" s="10">
        <v>2.6992250999999998E-2</v>
      </c>
      <c r="G589" s="10">
        <f t="shared" si="94"/>
        <v>3.4406659462250002</v>
      </c>
      <c r="H589" s="10">
        <f t="shared" si="95"/>
        <v>0.96367592661282897</v>
      </c>
      <c r="I589" s="10">
        <f t="shared" si="96"/>
        <v>3.4406542367034301</v>
      </c>
      <c r="J589" s="10">
        <f t="shared" si="97"/>
        <v>0.96142075033086105</v>
      </c>
      <c r="K589" s="7">
        <f t="shared" si="98"/>
        <v>1.1709521570146801E-5</v>
      </c>
      <c r="L589" s="7">
        <f t="shared" si="99"/>
        <v>2.2551762819679202E-3</v>
      </c>
      <c r="M589" s="7">
        <f t="shared" si="100"/>
        <v>0.26959237775614903</v>
      </c>
      <c r="N589" s="7">
        <f t="shared" si="101"/>
        <v>-7.5332099151623894E-2</v>
      </c>
      <c r="O589" s="10">
        <v>-1.0269273000000001</v>
      </c>
      <c r="P589" s="10">
        <v>-4.6073430000000002</v>
      </c>
      <c r="Q589" s="10">
        <v>-9.2736169999999998</v>
      </c>
      <c r="R589" s="10">
        <v>-11.084184</v>
      </c>
      <c r="S589" s="10">
        <f t="shared" si="102"/>
        <v>3.061595281266309</v>
      </c>
      <c r="T589" s="10">
        <f t="shared" si="103"/>
        <v>-27.352419702456494</v>
      </c>
      <c r="U589" s="8"/>
      <c r="V589" s="8"/>
    </row>
    <row r="590" spans="1:22" x14ac:dyDescent="0.35">
      <c r="A590" s="12">
        <v>3.125</v>
      </c>
      <c r="B590">
        <v>16.6875</v>
      </c>
      <c r="C590" s="12">
        <v>-0.11689403</v>
      </c>
      <c r="D590" s="12">
        <v>3.6981685E-2</v>
      </c>
      <c r="E590" s="12">
        <v>0.88307305000000003</v>
      </c>
      <c r="F590" s="12">
        <v>3.2430734000000003E-2</v>
      </c>
      <c r="G590" s="12">
        <f t="shared" si="94"/>
        <v>3.43040848007126</v>
      </c>
      <c r="H590" s="12">
        <f t="shared" si="95"/>
        <v>1.16792258347223</v>
      </c>
      <c r="I590" s="12">
        <f t="shared" si="96"/>
        <v>3.4303971978179502</v>
      </c>
      <c r="J590" s="12">
        <f t="shared" si="97"/>
        <v>1.1656470448443801</v>
      </c>
      <c r="K590" s="7">
        <f t="shared" si="98"/>
        <v>1.1282253309818901E-5</v>
      </c>
      <c r="L590" s="7">
        <f t="shared" si="99"/>
        <v>2.2755386278498998E-3</v>
      </c>
      <c r="M590" s="7">
        <f t="shared" si="100"/>
        <v>0.26133655703991499</v>
      </c>
      <c r="N590" s="7">
        <f t="shared" si="101"/>
        <v>-8.8802015585003197E-2</v>
      </c>
      <c r="O590" s="12">
        <v>-1.2342656000000001</v>
      </c>
      <c r="P590" s="12">
        <v>-4.4877596999999998</v>
      </c>
      <c r="Q590" s="12">
        <v>-9.6867695999999999</v>
      </c>
      <c r="R590" s="12">
        <v>-10.483399</v>
      </c>
      <c r="S590" s="12">
        <f t="shared" si="102"/>
        <v>3.0666887211148341</v>
      </c>
      <c r="T590" s="12">
        <f t="shared" si="103"/>
        <v>-27.360440077442203</v>
      </c>
      <c r="U590" s="8"/>
      <c r="V590" s="8"/>
    </row>
    <row r="591" spans="1:22" x14ac:dyDescent="0.35">
      <c r="A591" s="10">
        <v>3.125</v>
      </c>
      <c r="B591">
        <v>16.75</v>
      </c>
      <c r="C591" s="10">
        <v>-0.11370376</v>
      </c>
      <c r="D591" s="10">
        <v>4.1942038000000001E-2</v>
      </c>
      <c r="E591" s="10">
        <v>0.88626289999999996</v>
      </c>
      <c r="F591" s="10">
        <v>3.7350076000000003E-2</v>
      </c>
      <c r="G591" s="10">
        <f t="shared" si="94"/>
        <v>3.4202788999445501</v>
      </c>
      <c r="H591" s="10">
        <f t="shared" si="95"/>
        <v>1.36786264708767</v>
      </c>
      <c r="I591" s="10">
        <f t="shared" si="96"/>
        <v>3.42026750143126</v>
      </c>
      <c r="J591" s="10">
        <f t="shared" si="97"/>
        <v>1.36556660164182</v>
      </c>
      <c r="K591" s="7">
        <f t="shared" si="98"/>
        <v>1.13985132901284E-5</v>
      </c>
      <c r="L591" s="7">
        <f t="shared" si="99"/>
        <v>2.2960454458500501E-3</v>
      </c>
      <c r="M591" s="7">
        <f t="shared" si="100"/>
        <v>0.25217628961333</v>
      </c>
      <c r="N591" s="7">
        <f t="shared" si="101"/>
        <v>-0.100683212256882</v>
      </c>
      <c r="O591" s="10">
        <v>-1.4208048</v>
      </c>
      <c r="P591" s="10">
        <v>-4.3550722000000004</v>
      </c>
      <c r="Q591" s="10">
        <v>-10.025197</v>
      </c>
      <c r="R591" s="10">
        <v>-9.8735169999999997</v>
      </c>
      <c r="S591" s="10">
        <f t="shared" si="102"/>
        <v>3.0715997423411303</v>
      </c>
      <c r="T591" s="10">
        <f t="shared" si="103"/>
        <v>-27.368265111180236</v>
      </c>
      <c r="U591" s="8"/>
      <c r="V591" s="8"/>
    </row>
    <row r="592" spans="1:22" x14ac:dyDescent="0.35">
      <c r="A592" s="12">
        <v>3.125</v>
      </c>
      <c r="B592">
        <v>16.8125</v>
      </c>
      <c r="C592" s="12">
        <v>-0.11024741</v>
      </c>
      <c r="D592" s="12">
        <v>4.6374099000000002E-2</v>
      </c>
      <c r="E592" s="12">
        <v>0.88971765000000003</v>
      </c>
      <c r="F592" s="12">
        <v>4.1740891000000002E-2</v>
      </c>
      <c r="G592" s="12">
        <f t="shared" si="94"/>
        <v>3.4102727358357199</v>
      </c>
      <c r="H592" s="12">
        <f t="shared" si="95"/>
        <v>1.56354660426075</v>
      </c>
      <c r="I592" s="12">
        <f t="shared" si="96"/>
        <v>3.4102606324370801</v>
      </c>
      <c r="J592" s="12">
        <f t="shared" si="97"/>
        <v>1.5612299317497</v>
      </c>
      <c r="K592" s="7">
        <f t="shared" si="98"/>
        <v>1.21033986397734E-5</v>
      </c>
      <c r="L592" s="7">
        <f t="shared" si="99"/>
        <v>2.3166725110499399E-3</v>
      </c>
      <c r="M592" s="7">
        <f t="shared" si="100"/>
        <v>0.242424391109517</v>
      </c>
      <c r="N592" s="7">
        <f t="shared" si="101"/>
        <v>-0.110982782954012</v>
      </c>
      <c r="O592" s="12">
        <v>-1.5861586999999999</v>
      </c>
      <c r="P592" s="12">
        <v>-4.2125522000000002</v>
      </c>
      <c r="Q592" s="12">
        <v>-10.29332</v>
      </c>
      <c r="R592" s="12">
        <v>-9.2652321000000004</v>
      </c>
      <c r="S592" s="12">
        <f t="shared" si="102"/>
        <v>3.0766997352847727</v>
      </c>
      <c r="T592" s="12">
        <f t="shared" si="103"/>
        <v>-27.376023899114163</v>
      </c>
      <c r="U592" s="8"/>
      <c r="V592" s="8"/>
    </row>
    <row r="593" spans="1:22" x14ac:dyDescent="0.35">
      <c r="A593" s="10">
        <v>3.125</v>
      </c>
      <c r="B593">
        <v>16.875</v>
      </c>
      <c r="C593" s="10">
        <v>-0.10661319</v>
      </c>
      <c r="D593" s="10">
        <v>5.0285677000000001E-2</v>
      </c>
      <c r="E593" s="10">
        <v>0.89334897000000002</v>
      </c>
      <c r="F593" s="10">
        <v>4.5611024999999999E-2</v>
      </c>
      <c r="G593" s="10">
        <f t="shared" si="94"/>
        <v>3.4003867831038499</v>
      </c>
      <c r="H593" s="10">
        <f t="shared" si="95"/>
        <v>1.75501931761712</v>
      </c>
      <c r="I593" s="10">
        <f t="shared" si="96"/>
        <v>3.4003733261189599</v>
      </c>
      <c r="J593" s="10">
        <f t="shared" si="97"/>
        <v>1.7526819159401199</v>
      </c>
      <c r="K593" s="7">
        <f t="shared" si="98"/>
        <v>1.3456984889970201E-5</v>
      </c>
      <c r="L593" s="7">
        <f t="shared" si="99"/>
        <v>2.3374016770001402E-3</v>
      </c>
      <c r="M593" s="7">
        <f t="shared" si="100"/>
        <v>0.23235429798871099</v>
      </c>
      <c r="N593" s="7">
        <f t="shared" si="101"/>
        <v>-0.119764254426906</v>
      </c>
      <c r="O593" s="10">
        <v>-1.7309954000000001</v>
      </c>
      <c r="P593" s="10">
        <v>-4.0642415999999999</v>
      </c>
      <c r="Q593" s="10">
        <v>-10.496846</v>
      </c>
      <c r="R593" s="10">
        <v>-8.6673393000000001</v>
      </c>
      <c r="S593" s="10">
        <f t="shared" si="102"/>
        <v>3.0815394056113989</v>
      </c>
      <c r="T593" s="10">
        <f t="shared" si="103"/>
        <v>-27.383637533070637</v>
      </c>
      <c r="U593" s="8"/>
      <c r="V593" s="8"/>
    </row>
    <row r="594" spans="1:22" x14ac:dyDescent="0.35">
      <c r="A594" s="12">
        <v>3.125</v>
      </c>
      <c r="B594">
        <v>16.9375</v>
      </c>
      <c r="C594" s="12">
        <v>-0.10287859000000001</v>
      </c>
      <c r="D594" s="12">
        <v>5.3697795E-2</v>
      </c>
      <c r="E594" s="12">
        <v>0.89707926999999998</v>
      </c>
      <c r="F594" s="12">
        <v>4.8981548E-2</v>
      </c>
      <c r="G594" s="12">
        <f t="shared" si="94"/>
        <v>3.39061827761478</v>
      </c>
      <c r="H594" s="12">
        <f t="shared" si="95"/>
        <v>1.9423193008874899</v>
      </c>
      <c r="I594" s="12">
        <f t="shared" si="96"/>
        <v>3.3906027682378501</v>
      </c>
      <c r="J594" s="12">
        <f t="shared" si="97"/>
        <v>1.93996109112699</v>
      </c>
      <c r="K594" s="7">
        <f t="shared" si="98"/>
        <v>1.5509376929845301E-5</v>
      </c>
      <c r="L594" s="7">
        <f t="shared" si="99"/>
        <v>2.3582097604999399E-3</v>
      </c>
      <c r="M594" s="7">
        <f t="shared" si="100"/>
        <v>0.22219420772003601</v>
      </c>
      <c r="N594" s="7">
        <f t="shared" si="101"/>
        <v>-0.12713023232582299</v>
      </c>
      <c r="O594" s="12">
        <v>-1.8561106000000001</v>
      </c>
      <c r="P594" s="12">
        <v>-3.9127158</v>
      </c>
      <c r="Q594" s="12">
        <v>-10.642383000000001</v>
      </c>
      <c r="R594" s="12">
        <v>-8.0868240999999994</v>
      </c>
      <c r="S594" s="12">
        <f t="shared" si="102"/>
        <v>3.0864370274233166</v>
      </c>
      <c r="T594" s="12">
        <f t="shared" si="103"/>
        <v>-27.391214377463989</v>
      </c>
      <c r="U594" s="8"/>
      <c r="V594" s="8"/>
    </row>
    <row r="595" spans="1:22" x14ac:dyDescent="0.35">
      <c r="A595" s="10">
        <v>3.125</v>
      </c>
      <c r="B595">
        <v>17</v>
      </c>
      <c r="C595" s="10">
        <v>-9.9109347E-2</v>
      </c>
      <c r="D595" s="10">
        <v>5.6640823E-2</v>
      </c>
      <c r="E595" s="10">
        <v>0.90084266000000002</v>
      </c>
      <c r="F595" s="10">
        <v>5.1882893999999999E-2</v>
      </c>
      <c r="G595" s="10">
        <f t="shared" si="94"/>
        <v>3.38096500442937</v>
      </c>
      <c r="H595" s="10">
        <f t="shared" si="95"/>
        <v>2.1254785858426102</v>
      </c>
      <c r="I595" s="10">
        <f t="shared" si="96"/>
        <v>3.3809466672010302</v>
      </c>
      <c r="J595" s="10">
        <f t="shared" si="97"/>
        <v>2.12309952062976</v>
      </c>
      <c r="K595" s="7">
        <f t="shared" si="98"/>
        <v>1.83372283397709E-5</v>
      </c>
      <c r="L595" s="7">
        <f t="shared" si="99"/>
        <v>2.3790652128501399E-3</v>
      </c>
      <c r="M595" s="7">
        <f t="shared" si="100"/>
        <v>0.21212649085211599</v>
      </c>
      <c r="N595" s="7">
        <f t="shared" si="101"/>
        <v>-0.13320696697468001</v>
      </c>
      <c r="O595" s="10">
        <v>-1.9628926</v>
      </c>
      <c r="P595" s="10">
        <v>-3.7607069000000002</v>
      </c>
      <c r="Q595" s="10">
        <v>-10.736720999999999</v>
      </c>
      <c r="R595" s="10">
        <v>-7.5288767999999999</v>
      </c>
      <c r="S595" s="10">
        <f t="shared" si="102"/>
        <v>3.0912123480779128</v>
      </c>
      <c r="T595" s="10">
        <f t="shared" si="103"/>
        <v>-27.398623761891763</v>
      </c>
      <c r="U595" s="8"/>
      <c r="V595" s="8"/>
    </row>
    <row r="596" spans="1:22" x14ac:dyDescent="0.35">
      <c r="A596" s="12">
        <v>3.25</v>
      </c>
      <c r="B596">
        <v>15</v>
      </c>
      <c r="C596" s="12">
        <v>-4.0284119E-2</v>
      </c>
      <c r="D596" s="12">
        <v>-5.6659657000000002E-2</v>
      </c>
      <c r="E596" s="12">
        <v>0.95970915000000001</v>
      </c>
      <c r="F596" s="12">
        <v>-6.0443261999999998E-2</v>
      </c>
      <c r="G596" s="12">
        <f t="shared" si="94"/>
        <v>3.4877898981641602</v>
      </c>
      <c r="H596" s="12">
        <f t="shared" si="95"/>
        <v>-5.7946734515797198</v>
      </c>
      <c r="I596" s="12">
        <f t="shared" si="96"/>
        <v>3.4877901115928598</v>
      </c>
      <c r="J596" s="12">
        <f t="shared" si="97"/>
        <v>-5.7965652600428497</v>
      </c>
      <c r="K596" s="7">
        <f t="shared" si="98"/>
        <v>-2.13428699602503E-7</v>
      </c>
      <c r="L596" s="7">
        <f t="shared" si="99"/>
        <v>1.89180846312986E-3</v>
      </c>
      <c r="M596" s="7">
        <f t="shared" si="100"/>
        <v>7.6211114260426496E-2</v>
      </c>
      <c r="N596" s="7">
        <f t="shared" si="101"/>
        <v>0.12665977114929999</v>
      </c>
      <c r="O596" s="12">
        <v>2.4382459000000001</v>
      </c>
      <c r="P596" s="12">
        <v>-1.6042171999999999</v>
      </c>
      <c r="Q596" s="12">
        <v>4.1764903000000002</v>
      </c>
      <c r="R596" s="12">
        <v>-7.3625746000000003</v>
      </c>
      <c r="S596" s="12">
        <f t="shared" si="102"/>
        <v>2.9001926946473859</v>
      </c>
      <c r="T596" s="12">
        <f t="shared" si="103"/>
        <v>-27.093034518746293</v>
      </c>
      <c r="U596" s="8"/>
      <c r="V596" s="8"/>
    </row>
    <row r="597" spans="1:22" x14ac:dyDescent="0.35">
      <c r="A597" s="10">
        <v>3.25</v>
      </c>
      <c r="B597">
        <v>15.0625</v>
      </c>
      <c r="C597" s="10">
        <v>-4.3514854999999998E-2</v>
      </c>
      <c r="D597" s="10">
        <v>-5.7934605E-2</v>
      </c>
      <c r="E597" s="10">
        <v>0.95648239999999995</v>
      </c>
      <c r="F597" s="10">
        <v>-6.1747905999999998E-2</v>
      </c>
      <c r="G597" s="10">
        <f t="shared" si="94"/>
        <v>3.4743464117982801</v>
      </c>
      <c r="H597" s="10">
        <f t="shared" si="95"/>
        <v>-5.4643629597093604</v>
      </c>
      <c r="I597" s="10">
        <f t="shared" si="96"/>
        <v>3.47434867461428</v>
      </c>
      <c r="J597" s="10">
        <f t="shared" si="97"/>
        <v>-5.4662696085118396</v>
      </c>
      <c r="K597" s="7">
        <f t="shared" si="98"/>
        <v>-2.26281599990941E-6</v>
      </c>
      <c r="L597" s="7">
        <f t="shared" si="99"/>
        <v>1.9066488024792601E-3</v>
      </c>
      <c r="M597" s="7">
        <f t="shared" si="100"/>
        <v>8.2818810830372694E-2</v>
      </c>
      <c r="N597" s="7">
        <f t="shared" si="101"/>
        <v>0.13030066670134</v>
      </c>
      <c r="O597" s="10">
        <v>2.4797677</v>
      </c>
      <c r="P597" s="10">
        <v>-1.7267893000000001</v>
      </c>
      <c r="Q597" s="10">
        <v>4.1340503999999996</v>
      </c>
      <c r="R597" s="10">
        <v>-7.7588780000000002</v>
      </c>
      <c r="S597" s="10">
        <f t="shared" si="102"/>
        <v>2.9093963431559837</v>
      </c>
      <c r="T597" s="10">
        <f t="shared" si="103"/>
        <v>-27.099145996897605</v>
      </c>
      <c r="U597" s="8"/>
      <c r="V597" s="8"/>
    </row>
    <row r="598" spans="1:22" x14ac:dyDescent="0.35">
      <c r="A598" s="12">
        <v>3.25</v>
      </c>
      <c r="B598">
        <v>15.125</v>
      </c>
      <c r="C598" s="12">
        <v>-4.6986111999999997E-2</v>
      </c>
      <c r="D598" s="12">
        <v>-5.9093422999999999E-2</v>
      </c>
      <c r="E598" s="12">
        <v>0.95301426</v>
      </c>
      <c r="F598" s="12">
        <v>-6.2934387999999994E-2</v>
      </c>
      <c r="G598" s="12">
        <f t="shared" si="94"/>
        <v>3.4614621072456302</v>
      </c>
      <c r="H598" s="12">
        <f t="shared" si="95"/>
        <v>-5.1432268293140702</v>
      </c>
      <c r="I598" s="12">
        <f t="shared" si="96"/>
        <v>3.46146598148297</v>
      </c>
      <c r="J598" s="12">
        <f t="shared" si="97"/>
        <v>-5.1451473040164597</v>
      </c>
      <c r="K598" s="7">
        <f t="shared" si="98"/>
        <v>-3.8742373398292801E-6</v>
      </c>
      <c r="L598" s="7">
        <f t="shared" si="99"/>
        <v>1.9204747023895399E-3</v>
      </c>
      <c r="M598" s="7">
        <f t="shared" si="100"/>
        <v>9.0015085563434197E-2</v>
      </c>
      <c r="N598" s="7">
        <f t="shared" si="101"/>
        <v>0.13379905429811401</v>
      </c>
      <c r="O598" s="12">
        <v>2.517598</v>
      </c>
      <c r="P598" s="12">
        <v>-1.8584863</v>
      </c>
      <c r="Q598" s="12">
        <v>4.0672446999999998</v>
      </c>
      <c r="R598" s="12">
        <v>-8.1733737000000009</v>
      </c>
      <c r="S598" s="12">
        <f t="shared" si="102"/>
        <v>2.9174405545484858</v>
      </c>
      <c r="T598" s="12">
        <f t="shared" si="103"/>
        <v>-27.109408332901136</v>
      </c>
      <c r="U598" s="8"/>
      <c r="V598" s="8"/>
    </row>
    <row r="599" spans="1:22" x14ac:dyDescent="0.35">
      <c r="A599" s="10">
        <v>3.25</v>
      </c>
      <c r="B599">
        <v>15.1875</v>
      </c>
      <c r="C599" s="10">
        <v>-5.0719343E-2</v>
      </c>
      <c r="D599" s="10">
        <v>-6.0110988999999997E-2</v>
      </c>
      <c r="E599" s="10">
        <v>0.94928458000000004</v>
      </c>
      <c r="F599" s="10">
        <v>-6.3980156999999996E-2</v>
      </c>
      <c r="G599" s="10">
        <f t="shared" si="94"/>
        <v>3.4487766980199801</v>
      </c>
      <c r="H599" s="10">
        <f t="shared" si="95"/>
        <v>-4.8298083309503896</v>
      </c>
      <c r="I599" s="10">
        <f t="shared" si="96"/>
        <v>3.4487824020953499</v>
      </c>
      <c r="J599" s="10">
        <f t="shared" si="97"/>
        <v>-4.8317429001207204</v>
      </c>
      <c r="K599" s="7">
        <f t="shared" si="98"/>
        <v>-5.7040753698167601E-6</v>
      </c>
      <c r="L599" s="7">
        <f t="shared" si="99"/>
        <v>1.9345691703307501E-3</v>
      </c>
      <c r="M599" s="7">
        <f t="shared" si="100"/>
        <v>9.7866007622692403E-2</v>
      </c>
      <c r="N599" s="7">
        <f t="shared" si="101"/>
        <v>0.13711024134396199</v>
      </c>
      <c r="O599" s="10">
        <v>2.5504072999999998</v>
      </c>
      <c r="P599" s="10">
        <v>-2.0001277000000002</v>
      </c>
      <c r="Q599" s="10">
        <v>3.9723177000000001</v>
      </c>
      <c r="R599" s="10">
        <v>-8.6067868999999995</v>
      </c>
      <c r="S599" s="10">
        <f t="shared" si="102"/>
        <v>2.9246500194878418</v>
      </c>
      <c r="T599" s="10">
        <f t="shared" si="103"/>
        <v>-27.120199365476097</v>
      </c>
      <c r="U599" s="8"/>
      <c r="V599" s="8"/>
    </row>
    <row r="600" spans="1:22" x14ac:dyDescent="0.35">
      <c r="A600" s="12">
        <v>3.25</v>
      </c>
      <c r="B600">
        <v>15.25</v>
      </c>
      <c r="C600" s="12">
        <v>-5.4728460999999999E-2</v>
      </c>
      <c r="D600" s="12">
        <v>-6.0951580999999998E-2</v>
      </c>
      <c r="E600" s="12">
        <v>0.94527972000000005</v>
      </c>
      <c r="F600" s="12">
        <v>-6.4850571999999995E-2</v>
      </c>
      <c r="G600" s="12">
        <f t="shared" si="94"/>
        <v>3.4362636276669298</v>
      </c>
      <c r="H600" s="12">
        <f t="shared" si="95"/>
        <v>-4.52343487304117</v>
      </c>
      <c r="I600" s="12">
        <f t="shared" si="96"/>
        <v>3.4362715186218198</v>
      </c>
      <c r="J600" s="12">
        <f t="shared" si="97"/>
        <v>-4.5253843451834799</v>
      </c>
      <c r="K600" s="7">
        <f t="shared" si="98"/>
        <v>-7.89095488995528E-6</v>
      </c>
      <c r="L600" s="7">
        <f t="shared" si="99"/>
        <v>1.9494721423098901E-3</v>
      </c>
      <c r="M600" s="7">
        <f t="shared" si="100"/>
        <v>0.10642873465832001</v>
      </c>
      <c r="N600" s="7">
        <f t="shared" si="101"/>
        <v>0.140160906113034</v>
      </c>
      <c r="O600" s="12">
        <v>2.5767592000000001</v>
      </c>
      <c r="P600" s="12">
        <v>-2.1522912999999999</v>
      </c>
      <c r="Q600" s="12">
        <v>3.8448144000000002</v>
      </c>
      <c r="R600" s="12">
        <v>-9.0586167</v>
      </c>
      <c r="S600" s="12">
        <f t="shared" si="102"/>
        <v>2.9310860004427144</v>
      </c>
      <c r="T600" s="12">
        <f t="shared" si="103"/>
        <v>-27.130807066179631</v>
      </c>
      <c r="U600" s="8"/>
      <c r="V600" s="8"/>
    </row>
    <row r="601" spans="1:22" x14ac:dyDescent="0.35">
      <c r="A601" s="10">
        <v>3.25</v>
      </c>
      <c r="B601">
        <v>15.3125</v>
      </c>
      <c r="C601" s="10">
        <v>-5.9021538999999998E-2</v>
      </c>
      <c r="D601" s="10">
        <v>-6.1572780000000001E-2</v>
      </c>
      <c r="E601" s="10">
        <v>0.94099171999999998</v>
      </c>
      <c r="F601" s="10">
        <v>-6.5503559000000003E-2</v>
      </c>
      <c r="G601" s="10">
        <f t="shared" si="94"/>
        <v>3.4239322382975499</v>
      </c>
      <c r="H601" s="10">
        <f t="shared" si="95"/>
        <v>-4.2237091347182503</v>
      </c>
      <c r="I601" s="10">
        <f t="shared" si="96"/>
        <v>3.4239427304177399</v>
      </c>
      <c r="J601" s="10">
        <f t="shared" si="97"/>
        <v>-4.2256744905678296</v>
      </c>
      <c r="K601" s="7">
        <f t="shared" si="98"/>
        <v>-1.04921201899977E-5</v>
      </c>
      <c r="L601" s="7">
        <f t="shared" si="99"/>
        <v>1.9653558495793498E-3</v>
      </c>
      <c r="M601" s="7">
        <f t="shared" si="100"/>
        <v>0.11575309150825901</v>
      </c>
      <c r="N601" s="7">
        <f t="shared" si="101"/>
        <v>0.142857204253278</v>
      </c>
      <c r="O601" s="10">
        <v>2.5942205999999999</v>
      </c>
      <c r="P601" s="10">
        <v>-2.3145798000000002</v>
      </c>
      <c r="Q601" s="10">
        <v>3.6799612000000002</v>
      </c>
      <c r="R601" s="10">
        <v>-9.5274137000000003</v>
      </c>
      <c r="S601" s="10">
        <f t="shared" si="102"/>
        <v>2.9376956121540552</v>
      </c>
      <c r="T601" s="10">
        <f t="shared" si="103"/>
        <v>-27.141416853580498</v>
      </c>
      <c r="U601" s="8"/>
      <c r="V601" s="8"/>
    </row>
    <row r="602" spans="1:22" x14ac:dyDescent="0.35">
      <c r="A602" s="12">
        <v>3.25</v>
      </c>
      <c r="B602">
        <v>15.375</v>
      </c>
      <c r="C602" s="12">
        <v>-6.3600196999999997E-2</v>
      </c>
      <c r="D602" s="12">
        <v>-6.1926129000000003E-2</v>
      </c>
      <c r="E602" s="12">
        <v>0.93641892999999998</v>
      </c>
      <c r="F602" s="12">
        <v>-6.5890744000000001E-2</v>
      </c>
      <c r="G602" s="12">
        <f t="shared" si="94"/>
        <v>3.4117912446880601</v>
      </c>
      <c r="H602" s="12">
        <f t="shared" si="95"/>
        <v>-3.9303566125560598</v>
      </c>
      <c r="I602" s="12">
        <f t="shared" si="96"/>
        <v>3.41180473751144</v>
      </c>
      <c r="J602" s="12">
        <f t="shared" si="97"/>
        <v>-3.9323388743517702</v>
      </c>
      <c r="K602" s="7">
        <f t="shared" si="98"/>
        <v>-1.34928233799236E-5</v>
      </c>
      <c r="L602" s="7">
        <f t="shared" si="99"/>
        <v>1.9822617957103699E-3</v>
      </c>
      <c r="M602" s="7">
        <f t="shared" si="100"/>
        <v>0.12587966452134899</v>
      </c>
      <c r="N602" s="7">
        <f t="shared" si="101"/>
        <v>0.145084943708916</v>
      </c>
      <c r="O602" s="12">
        <v>2.6011728999999999</v>
      </c>
      <c r="P602" s="12">
        <v>-2.4871553</v>
      </c>
      <c r="Q602" s="12">
        <v>3.4727321999999998</v>
      </c>
      <c r="R602" s="12">
        <v>-10.010680000000001</v>
      </c>
      <c r="S602" s="12">
        <f t="shared" si="102"/>
        <v>2.9442160116870886</v>
      </c>
      <c r="T602" s="12">
        <f t="shared" si="103"/>
        <v>-27.151850638979962</v>
      </c>
      <c r="U602" s="8"/>
      <c r="V602" s="8"/>
    </row>
    <row r="603" spans="1:22" x14ac:dyDescent="0.35">
      <c r="A603" s="10">
        <v>3.25</v>
      </c>
      <c r="B603">
        <v>15.4375</v>
      </c>
      <c r="C603" s="10">
        <v>-6.8458274E-2</v>
      </c>
      <c r="D603" s="10">
        <v>-6.1957597000000003E-2</v>
      </c>
      <c r="E603" s="10">
        <v>0.93156742000000003</v>
      </c>
      <c r="F603" s="10">
        <v>-6.5958118999999996E-2</v>
      </c>
      <c r="G603" s="10">
        <f t="shared" si="94"/>
        <v>3.3998452120759799</v>
      </c>
      <c r="H603" s="10">
        <f t="shared" si="95"/>
        <v>-3.6431627892569201</v>
      </c>
      <c r="I603" s="10">
        <f t="shared" si="96"/>
        <v>3.3998620597847999</v>
      </c>
      <c r="J603" s="10">
        <f t="shared" si="97"/>
        <v>-3.6451629908605301</v>
      </c>
      <c r="K603" s="7">
        <f t="shared" si="98"/>
        <v>-1.6847708820044699E-5</v>
      </c>
      <c r="L603" s="7">
        <f t="shared" si="99"/>
        <v>2.0002016036100301E-3</v>
      </c>
      <c r="M603" s="7">
        <f t="shared" si="100"/>
        <v>0.13683588484884601</v>
      </c>
      <c r="N603" s="7">
        <f t="shared" si="101"/>
        <v>0.14670862949782101</v>
      </c>
      <c r="O603" s="10">
        <v>2.5951735999999999</v>
      </c>
      <c r="P603" s="10">
        <v>-2.6692537999999999</v>
      </c>
      <c r="Q603" s="10">
        <v>3.2179867999999998</v>
      </c>
      <c r="R603" s="10">
        <v>-10.505024000000001</v>
      </c>
      <c r="S603" s="10">
        <f t="shared" si="102"/>
        <v>2.9511700123720077</v>
      </c>
      <c r="T603" s="10">
        <f t="shared" si="103"/>
        <v>-27.1624838565054</v>
      </c>
      <c r="U603" s="8"/>
      <c r="V603" s="8"/>
    </row>
    <row r="604" spans="1:22" x14ac:dyDescent="0.35">
      <c r="A604" s="12">
        <v>3.25</v>
      </c>
      <c r="B604">
        <v>15.5</v>
      </c>
      <c r="C604" s="12">
        <v>-7.3580020999999995E-2</v>
      </c>
      <c r="D604" s="12">
        <v>-6.1608399000000001E-2</v>
      </c>
      <c r="E604" s="12">
        <v>0.92645274</v>
      </c>
      <c r="F604" s="12">
        <v>-6.5646909000000003E-2</v>
      </c>
      <c r="G604" s="12">
        <f t="shared" si="94"/>
        <v>3.38809546035858</v>
      </c>
      <c r="H604" s="12">
        <f t="shared" si="95"/>
        <v>-3.3619431104765498</v>
      </c>
      <c r="I604" s="12">
        <f t="shared" si="96"/>
        <v>3.3881159177640301</v>
      </c>
      <c r="J604" s="12">
        <f t="shared" si="97"/>
        <v>-3.3639622910926299</v>
      </c>
      <c r="K604" s="7">
        <f t="shared" si="98"/>
        <v>-2.0457405450091701E-5</v>
      </c>
      <c r="L604" s="7">
        <f t="shared" si="99"/>
        <v>2.0191806160800899E-3</v>
      </c>
      <c r="M604" s="7">
        <f t="shared" si="100"/>
        <v>0.14863044244871501</v>
      </c>
      <c r="N604" s="7">
        <f t="shared" si="101"/>
        <v>0.147570867066395</v>
      </c>
      <c r="O604" s="12">
        <v>2.5750761</v>
      </c>
      <c r="P604" s="12">
        <v>-2.8612818999999998</v>
      </c>
      <c r="Q604" s="12">
        <v>2.9106198999999999</v>
      </c>
      <c r="R604" s="12">
        <v>-11.005547</v>
      </c>
      <c r="S604" s="12">
        <f t="shared" si="102"/>
        <v>2.9573177461293958</v>
      </c>
      <c r="T604" s="12">
        <f t="shared" si="103"/>
        <v>-27.172587991686836</v>
      </c>
      <c r="U604" s="8"/>
      <c r="V604" s="8"/>
    </row>
    <row r="605" spans="1:22" x14ac:dyDescent="0.35">
      <c r="A605" s="10">
        <v>3.25</v>
      </c>
      <c r="B605">
        <v>15.5625</v>
      </c>
      <c r="C605" s="10">
        <v>-7.8938045999999998E-2</v>
      </c>
      <c r="D605" s="10">
        <v>-6.0816399E-2</v>
      </c>
      <c r="E605" s="10">
        <v>0.92110203999999996</v>
      </c>
      <c r="F605" s="10">
        <v>-6.4894953000000005E-2</v>
      </c>
      <c r="G605" s="10">
        <f t="shared" si="94"/>
        <v>3.3765414670407301</v>
      </c>
      <c r="H605" s="10">
        <f t="shared" si="95"/>
        <v>-3.0865318622336599</v>
      </c>
      <c r="I605" s="10">
        <f t="shared" si="96"/>
        <v>3.3765656680223599</v>
      </c>
      <c r="J605" s="10">
        <f t="shared" si="97"/>
        <v>-3.08857104900973</v>
      </c>
      <c r="K605" s="7">
        <f t="shared" si="98"/>
        <v>-2.42009816298072E-5</v>
      </c>
      <c r="L605" s="7">
        <f t="shared" si="99"/>
        <v>2.0391867760700699E-3</v>
      </c>
      <c r="M605" s="7">
        <f t="shared" si="100"/>
        <v>0.16124595953795601</v>
      </c>
      <c r="N605" s="7">
        <f t="shared" si="101"/>
        <v>0.14749294145681799</v>
      </c>
      <c r="O605" s="10">
        <v>2.5374615999999999</v>
      </c>
      <c r="P605" s="10">
        <v>-3.0608631000000002</v>
      </c>
      <c r="Q605" s="10">
        <v>2.5457914000000001</v>
      </c>
      <c r="R605" s="10">
        <v>-11.506195</v>
      </c>
      <c r="S605" s="10">
        <f t="shared" si="102"/>
        <v>2.9639912745167969</v>
      </c>
      <c r="T605" s="10">
        <f t="shared" si="103"/>
        <v>-27.182867978839276</v>
      </c>
      <c r="U605" s="8"/>
      <c r="V605" s="8"/>
    </row>
    <row r="606" spans="1:22" x14ac:dyDescent="0.35">
      <c r="A606" s="12">
        <v>3.25</v>
      </c>
      <c r="B606">
        <v>15.625</v>
      </c>
      <c r="C606" s="12">
        <v>-8.4491236999999997E-2</v>
      </c>
      <c r="D606" s="12">
        <v>-5.9518261000000003E-2</v>
      </c>
      <c r="E606" s="12">
        <v>0.91555615999999995</v>
      </c>
      <c r="F606" s="12">
        <v>-6.3638848999999997E-2</v>
      </c>
      <c r="G606" s="12">
        <f t="shared" si="94"/>
        <v>3.3651816542400002</v>
      </c>
      <c r="H606" s="12">
        <f t="shared" si="95"/>
        <v>-2.8167761976375201</v>
      </c>
      <c r="I606" s="12">
        <f t="shared" si="96"/>
        <v>3.3652095966699598</v>
      </c>
      <c r="J606" s="12">
        <f t="shared" si="97"/>
        <v>-2.8188363852445302</v>
      </c>
      <c r="K606" s="7">
        <f t="shared" si="98"/>
        <v>-2.7942429959626501E-5</v>
      </c>
      <c r="L606" s="7">
        <f t="shared" si="99"/>
        <v>2.0601876070101E-3</v>
      </c>
      <c r="M606" s="7">
        <f t="shared" si="100"/>
        <v>0.174630347047528</v>
      </c>
      <c r="N606" s="7">
        <f t="shared" si="101"/>
        <v>0.146277479035054</v>
      </c>
      <c r="O606" s="12">
        <v>2.4808899000000002</v>
      </c>
      <c r="P606" s="12">
        <v>-3.2673698</v>
      </c>
      <c r="Q606" s="12">
        <v>2.1193322000000001</v>
      </c>
      <c r="R606" s="12">
        <v>-11.999368</v>
      </c>
      <c r="S606" s="12">
        <f t="shared" si="102"/>
        <v>2.9701607042931712</v>
      </c>
      <c r="T606" s="12">
        <f t="shared" si="103"/>
        <v>-27.192836337816363</v>
      </c>
      <c r="U606" s="8"/>
      <c r="V606" s="8"/>
    </row>
    <row r="607" spans="1:22" x14ac:dyDescent="0.35">
      <c r="A607" s="10">
        <v>3.25</v>
      </c>
      <c r="B607">
        <v>15.6875</v>
      </c>
      <c r="C607" s="10">
        <v>-9.0182962000000005E-2</v>
      </c>
      <c r="D607" s="10">
        <v>-5.7652489000000001E-2</v>
      </c>
      <c r="E607" s="10">
        <v>0.90987150999999999</v>
      </c>
      <c r="F607" s="10">
        <v>-6.1816994E-2</v>
      </c>
      <c r="G607" s="10">
        <f t="shared" si="94"/>
        <v>3.35401370034818</v>
      </c>
      <c r="H607" s="10">
        <f t="shared" si="95"/>
        <v>-2.5525344567366099</v>
      </c>
      <c r="I607" s="10">
        <f t="shared" si="96"/>
        <v>3.35404527100882</v>
      </c>
      <c r="J607" s="10">
        <f t="shared" si="97"/>
        <v>-2.5546165867896198</v>
      </c>
      <c r="K607" s="7">
        <f t="shared" si="98"/>
        <v>-3.1570660639967899E-5</v>
      </c>
      <c r="L607" s="7">
        <f t="shared" si="99"/>
        <v>2.0821300530098302E-3</v>
      </c>
      <c r="M607" s="7">
        <f t="shared" si="100"/>
        <v>0.188687252307673</v>
      </c>
      <c r="N607" s="7">
        <f t="shared" si="101"/>
        <v>0.14371409611771799</v>
      </c>
      <c r="O607" s="10">
        <v>2.4026190000000001</v>
      </c>
      <c r="P607" s="10">
        <v>-3.4779258999999998</v>
      </c>
      <c r="Q607" s="10">
        <v>1.6280185</v>
      </c>
      <c r="R607" s="10">
        <v>-12.476082</v>
      </c>
      <c r="S607" s="10">
        <f t="shared" si="102"/>
        <v>2.9764599875960478</v>
      </c>
      <c r="T607" s="10">
        <f t="shared" si="103"/>
        <v>-27.202887949665396</v>
      </c>
      <c r="U607" s="8"/>
      <c r="V607" s="8"/>
    </row>
    <row r="608" spans="1:22" x14ac:dyDescent="0.35">
      <c r="A608" s="12">
        <v>3.25</v>
      </c>
      <c r="B608">
        <v>15.75</v>
      </c>
      <c r="C608" s="12">
        <v>-9.5939901999999994E-2</v>
      </c>
      <c r="D608" s="12">
        <v>-5.5163360000000002E-2</v>
      </c>
      <c r="E608" s="12">
        <v>0.90412121000000001</v>
      </c>
      <c r="F608" s="12">
        <v>-5.9373550999999997E-2</v>
      </c>
      <c r="G608" s="12">
        <f t="shared" si="94"/>
        <v>3.3430344504553302</v>
      </c>
      <c r="H608" s="12">
        <f t="shared" si="95"/>
        <v>-2.2936733054125198</v>
      </c>
      <c r="I608" s="12">
        <f t="shared" si="96"/>
        <v>3.3430694365229301</v>
      </c>
      <c r="J608" s="12">
        <f t="shared" si="97"/>
        <v>-2.2957782629444301</v>
      </c>
      <c r="K608" s="7">
        <f t="shared" si="98"/>
        <v>-3.4986067599884803E-5</v>
      </c>
      <c r="L608" s="7">
        <f t="shared" si="99"/>
        <v>2.1049575319103098E-3</v>
      </c>
      <c r="M608" s="7">
        <f t="shared" si="100"/>
        <v>0.20326674544378301</v>
      </c>
      <c r="N608" s="7">
        <f t="shared" si="101"/>
        <v>0.13958889715873099</v>
      </c>
      <c r="O608" s="12">
        <v>2.3007615000000001</v>
      </c>
      <c r="P608" s="12">
        <v>-3.6897603999999999</v>
      </c>
      <c r="Q608" s="12">
        <v>1.0701978999999999</v>
      </c>
      <c r="R608" s="12">
        <v>-12.925912</v>
      </c>
      <c r="S608" s="12">
        <f t="shared" si="102"/>
        <v>2.9827973570212079</v>
      </c>
      <c r="T608" s="12">
        <f t="shared" si="103"/>
        <v>-27.21273396444295</v>
      </c>
      <c r="U608" s="8"/>
      <c r="V608" s="8"/>
    </row>
    <row r="609" spans="1:22" x14ac:dyDescent="0.35">
      <c r="A609" s="10">
        <v>3.25</v>
      </c>
      <c r="B609">
        <v>15.8125</v>
      </c>
      <c r="C609" s="10">
        <v>-0.10167192999999999</v>
      </c>
      <c r="D609" s="10">
        <v>-5.2005681999999998E-2</v>
      </c>
      <c r="E609" s="10">
        <v>0.89839526999999997</v>
      </c>
      <c r="F609" s="10">
        <v>-5.6263226E-2</v>
      </c>
      <c r="G609" s="10">
        <f t="shared" si="94"/>
        <v>3.33224015221673</v>
      </c>
      <c r="H609" s="10">
        <f t="shared" si="95"/>
        <v>-2.04006781355403</v>
      </c>
      <c r="I609" s="10">
        <f t="shared" si="96"/>
        <v>3.33227828228073</v>
      </c>
      <c r="J609" s="10">
        <f t="shared" si="97"/>
        <v>-2.0421964328622102</v>
      </c>
      <c r="K609" s="7">
        <f t="shared" si="98"/>
        <v>-3.8130063999997097E-5</v>
      </c>
      <c r="L609" s="7">
        <f t="shared" si="99"/>
        <v>2.1286193081802001E-3</v>
      </c>
      <c r="M609" s="7">
        <f t="shared" si="100"/>
        <v>0.218157497037787</v>
      </c>
      <c r="N609" s="7">
        <f t="shared" si="101"/>
        <v>0.13369845628492599</v>
      </c>
      <c r="O609" s="10">
        <v>2.1741152000000001</v>
      </c>
      <c r="P609" s="10">
        <v>-3.8999842</v>
      </c>
      <c r="Q609" s="10">
        <v>0.44615210999999999</v>
      </c>
      <c r="R609" s="10">
        <v>-13.337204</v>
      </c>
      <c r="S609" s="10">
        <f t="shared" si="102"/>
        <v>2.9886944505969586</v>
      </c>
      <c r="T609" s="10">
        <f t="shared" si="103"/>
        <v>-27.222327959171</v>
      </c>
      <c r="U609" s="8"/>
      <c r="V609" s="8"/>
    </row>
    <row r="610" spans="1:22" x14ac:dyDescent="0.35">
      <c r="A610" s="12">
        <v>3.25</v>
      </c>
      <c r="B610">
        <v>15.875</v>
      </c>
      <c r="C610" s="12">
        <v>-0.10727622000000001</v>
      </c>
      <c r="D610" s="12">
        <v>-4.8146014000000001E-2</v>
      </c>
      <c r="E610" s="12">
        <v>0.89283612999999995</v>
      </c>
      <c r="F610" s="12">
        <v>-5.2329103000000002E-2</v>
      </c>
      <c r="G610" s="12">
        <f t="shared" si="94"/>
        <v>3.3238079879007398</v>
      </c>
      <c r="H610" s="12">
        <f t="shared" si="95"/>
        <v>-1.79059973027289</v>
      </c>
      <c r="I610" s="12">
        <f t="shared" si="96"/>
        <v>3.3238685335474201</v>
      </c>
      <c r="J610" s="12">
        <f t="shared" si="97"/>
        <v>-1.79269103066018</v>
      </c>
      <c r="K610" s="7">
        <f t="shared" si="98"/>
        <v>-6.0545646680232303E-5</v>
      </c>
      <c r="L610" s="7">
        <f t="shared" si="99"/>
        <v>2.0913003872899999E-3</v>
      </c>
      <c r="M610" s="7">
        <f t="shared" si="100"/>
        <v>0.233060236066541</v>
      </c>
      <c r="N610" s="7">
        <f t="shared" si="101"/>
        <v>0.12569841152957001</v>
      </c>
      <c r="O610" s="12">
        <v>2.0207025000000001</v>
      </c>
      <c r="P610" s="12">
        <v>-4.1037609000000002</v>
      </c>
      <c r="Q610" s="12">
        <v>-0.24147478</v>
      </c>
      <c r="R610" s="12">
        <v>-13.69711</v>
      </c>
      <c r="S610" s="12">
        <f t="shared" si="102"/>
        <v>2.9948364583970242</v>
      </c>
      <c r="T610" s="12">
        <f t="shared" si="103"/>
        <v>-27.225752337148965</v>
      </c>
      <c r="U610" s="8"/>
      <c r="V610" s="8"/>
    </row>
    <row r="611" spans="1:22" x14ac:dyDescent="0.35">
      <c r="A611" s="10">
        <v>3.25</v>
      </c>
      <c r="B611">
        <v>15.9375</v>
      </c>
      <c r="C611" s="10">
        <v>-0.11262891</v>
      </c>
      <c r="D611" s="10">
        <v>-4.3583453000000001E-2</v>
      </c>
      <c r="E611" s="10">
        <v>0.88749721999999998</v>
      </c>
      <c r="F611" s="10">
        <v>-4.7814651999999999E-2</v>
      </c>
      <c r="G611" s="10">
        <f t="shared" si="94"/>
        <v>3.3133085535464502</v>
      </c>
      <c r="H611" s="10">
        <f t="shared" si="95"/>
        <v>-1.5470685124621</v>
      </c>
      <c r="I611" s="10">
        <f t="shared" si="96"/>
        <v>3.3133760894640401</v>
      </c>
      <c r="J611" s="10">
        <f t="shared" si="97"/>
        <v>-1.5491838356802901</v>
      </c>
      <c r="K611" s="7">
        <f t="shared" si="98"/>
        <v>-6.7535917589900394E-5</v>
      </c>
      <c r="L611" s="7">
        <f t="shared" si="99"/>
        <v>2.1153232181900798E-3</v>
      </c>
      <c r="M611" s="7">
        <f t="shared" si="100"/>
        <v>0.24766550907799101</v>
      </c>
      <c r="N611" s="7">
        <f t="shared" si="101"/>
        <v>0.115797118395098</v>
      </c>
      <c r="O611" s="10">
        <v>1.8417112</v>
      </c>
      <c r="P611" s="10">
        <v>-4.2969656000000001</v>
      </c>
      <c r="Q611" s="10">
        <v>-0.98711152000000002</v>
      </c>
      <c r="R611" s="10">
        <v>-13.994497000000001</v>
      </c>
      <c r="S611" s="10">
        <f t="shared" si="102"/>
        <v>3.0008998073832909</v>
      </c>
      <c r="T611" s="10">
        <f t="shared" si="103"/>
        <v>-27.235046070904492</v>
      </c>
      <c r="U611" s="8"/>
      <c r="V611" s="8"/>
    </row>
    <row r="612" spans="1:22" x14ac:dyDescent="0.35">
      <c r="A612" s="12">
        <v>3.25</v>
      </c>
      <c r="B612">
        <v>16</v>
      </c>
      <c r="C612" s="12">
        <v>-0.11760797000000001</v>
      </c>
      <c r="D612" s="12">
        <v>-3.8332020000000001E-2</v>
      </c>
      <c r="E612" s="12">
        <v>0.88253150999999996</v>
      </c>
      <c r="F612" s="12">
        <v>-4.2613508000000001E-2</v>
      </c>
      <c r="G612" s="12">
        <f t="shared" si="94"/>
        <v>3.30298164903928</v>
      </c>
      <c r="H612" s="12">
        <f t="shared" si="95"/>
        <v>-1.30844995008082</v>
      </c>
      <c r="I612" s="12">
        <f t="shared" si="96"/>
        <v>3.30305596598116</v>
      </c>
      <c r="J612" s="12">
        <f t="shared" si="97"/>
        <v>-1.3105903857132899</v>
      </c>
      <c r="K612" s="7">
        <f t="shared" si="98"/>
        <v>-7.4316941879981599E-5</v>
      </c>
      <c r="L612" s="7">
        <f t="shared" si="99"/>
        <v>2.1404356324699102E-3</v>
      </c>
      <c r="M612" s="7">
        <f t="shared" si="100"/>
        <v>0.261569647781212</v>
      </c>
      <c r="N612" s="7">
        <f t="shared" si="101"/>
        <v>0.103785908899863</v>
      </c>
      <c r="O612" s="12">
        <v>1.6375584999999999</v>
      </c>
      <c r="P612" s="12">
        <v>-4.475149</v>
      </c>
      <c r="Q612" s="12">
        <v>-1.7822929000000001</v>
      </c>
      <c r="R612" s="12">
        <v>-14.217088</v>
      </c>
      <c r="S612" s="12">
        <f t="shared" si="102"/>
        <v>3.0067823690227371</v>
      </c>
      <c r="T612" s="12">
        <f t="shared" si="103"/>
        <v>-27.244197080248238</v>
      </c>
      <c r="U612" s="8"/>
      <c r="V612" s="8"/>
    </row>
    <row r="613" spans="1:22" x14ac:dyDescent="0.35">
      <c r="A613" s="10">
        <v>3.25</v>
      </c>
      <c r="B613">
        <v>16.0625</v>
      </c>
      <c r="C613" s="10">
        <v>-0.12209035999999999</v>
      </c>
      <c r="D613" s="10">
        <v>-3.2427867999999999E-2</v>
      </c>
      <c r="E613" s="10">
        <v>0.87783635000000004</v>
      </c>
      <c r="F613" s="10">
        <v>-3.6850895000000002E-2</v>
      </c>
      <c r="G613" s="10">
        <f t="shared" ref="G613:G676" si="104">IMREAL(IMDIV(IMSUM(IMPRODUCT(COMPLEX(1 + C613,D613),COMPLEX(1 - C613, - D613)),IMPRODUCT(COMPLEX(E613,F613),COMPLEX(E613,F613))),IMSUB(IMPRODUCT(COMPLEX(1 - C613, - D613),COMPLEX(1 - C613, - D613)),IMPRODUCT(COMPLEX(E613,F613),COMPLEX(E613,F613)))))</f>
        <v>3.28927503714492</v>
      </c>
      <c r="H613" s="10">
        <f t="shared" ref="H613:H676" si="105">IMAGINARY(IMDIV(IMSUM(IMPRODUCT(COMPLEX(1 + C613,D613),COMPLEX(1 - C613, - D613)),IMPRODUCT(COMPLEX(E613,F613),COMPLEX(E613,F613))),IMSUB(IMPRODUCT(COMPLEX(1 - C613, - D613),COMPLEX(1 - C613, - D613)),IMPRODUCT(COMPLEX(E613,F613),COMPLEX(E613,F613)))))</f>
        <v>-1.07365722786097</v>
      </c>
      <c r="I613" s="10">
        <f t="shared" ref="I613:I676" si="106">IMREAL(IMDIV(IMPRODUCT(COMPLEX(2,0),COMPLEX(E613,F613)),IMSUB(IMPRODUCT(COMPLEX(1 - C613, - D613),COMPLEX(1 - C613, - D613)),IMPRODUCT(COMPLEX(E613,F613),COMPLEX(E613,F613)))))</f>
        <v>3.28924328210775</v>
      </c>
      <c r="J613" s="10">
        <f t="shared" ref="J613:J676" si="107">IMAGINARY(IMDIV(IMPRODUCT(COMPLEX(2,0),COMPLEX(E613,F613)),IMSUB(IMPRODUCT(COMPLEX(1 - C613, - D613),COMPLEX(1 - C613, - D613)),IMPRODUCT(COMPLEX(E613,F613),COMPLEX(E613,F613)))))</f>
        <v>-1.07586889263411</v>
      </c>
      <c r="K613" s="7">
        <f t="shared" ref="K613:K676" si="108">IMREAL(IMSUB(COMPLEX(G613,H613),COMPLEX(I613,J613)))</f>
        <v>3.1755037170011498E-5</v>
      </c>
      <c r="L613" s="7">
        <f t="shared" ref="L613:L676" si="109">IMAGINARY(IMSUB(COMPLEX(G613,H613),COMPLEX(I613,J613)))</f>
        <v>2.2116647731400501E-3</v>
      </c>
      <c r="M613" s="7">
        <f t="shared" ref="M613:M676" si="110">IMREAL(IMDIV(IMSUB(IMPRODUCT(COMPLEX(1 - C613, - D613),COMPLEX(1 - C613, - D613)),IMPRODUCT(COMPLEX(E613,F613),COMPLEX(E613,F613))),IMPRODUCT(COMPLEX(2,0),COMPLEX(E613,F613))))</f>
        <v>0.27463880364882998</v>
      </c>
      <c r="N613" s="7">
        <f t="shared" ref="N613:N676" si="111">IMAGINARY(IMDIV(IMSUB(IMPRODUCT(COMPLEX(1 - C613, - D613),COMPLEX(1 - C613, - D613)),IMPRODUCT(COMPLEX(E613,F613),COMPLEX(E613,F613))),IMPRODUCT(COMPLEX(2,0),COMPLEX(E613,F613))))</f>
        <v>8.9830796999206194E-2</v>
      </c>
      <c r="O613" s="10">
        <v>1.4108742000000001</v>
      </c>
      <c r="P613" s="10">
        <v>-4.6350666</v>
      </c>
      <c r="Q613" s="10">
        <v>-2.6169175999999998</v>
      </c>
      <c r="R613" s="10">
        <v>-14.355802000000001</v>
      </c>
      <c r="S613" s="10">
        <f t="shared" ref="S613:S676" si="112">IMABS(COMPLEX(Q613,R613))/IMABS(COMPLEX(O613,P613))</f>
        <v>3.011816807152349</v>
      </c>
      <c r="T613" s="10">
        <f t="shared" ref="T613:T676" si="113">IMARGUMENT(IMDIV(COMPLEX(Q613,R613),COMPLEX(O613/B613,P613/B613)))/PI()*180</f>
        <v>-27.260802044241565</v>
      </c>
      <c r="U613" s="8"/>
      <c r="V613" s="8"/>
    </row>
    <row r="614" spans="1:22" x14ac:dyDescent="0.35">
      <c r="A614" s="12">
        <v>3.25</v>
      </c>
      <c r="B614">
        <v>16.125</v>
      </c>
      <c r="C614" s="12">
        <v>-0.12595339</v>
      </c>
      <c r="D614" s="12">
        <v>-2.5966699999999999E-2</v>
      </c>
      <c r="E614" s="12">
        <v>0.87397692000000005</v>
      </c>
      <c r="F614" s="12">
        <v>-3.0425662999999999E-2</v>
      </c>
      <c r="G614" s="12">
        <f t="shared" si="104"/>
        <v>3.2793460333101399</v>
      </c>
      <c r="H614" s="12">
        <f t="shared" si="105"/>
        <v>-0.84469992150253204</v>
      </c>
      <c r="I614" s="12">
        <f t="shared" si="106"/>
        <v>3.2793161581786201</v>
      </c>
      <c r="J614" s="12">
        <f t="shared" si="107"/>
        <v>-0.846929547299898</v>
      </c>
      <c r="K614" s="7">
        <f t="shared" si="108"/>
        <v>2.9875131519752101E-5</v>
      </c>
      <c r="L614" s="7">
        <f t="shared" si="109"/>
        <v>2.22962579736596E-3</v>
      </c>
      <c r="M614" s="7">
        <f t="shared" si="110"/>
        <v>0.28587375160508299</v>
      </c>
      <c r="N614" s="7">
        <f t="shared" si="111"/>
        <v>7.3830919421410998E-2</v>
      </c>
      <c r="O614" s="12">
        <v>1.1630084999999999</v>
      </c>
      <c r="P614" s="12">
        <v>-4.7689269000000003</v>
      </c>
      <c r="Q614" s="12">
        <v>-3.4744375999999999</v>
      </c>
      <c r="R614" s="12">
        <v>-14.400509</v>
      </c>
      <c r="S614" s="12">
        <f t="shared" si="112"/>
        <v>3.0178556680861628</v>
      </c>
      <c r="T614" s="12">
        <f t="shared" si="113"/>
        <v>-27.269940270952645</v>
      </c>
      <c r="U614" s="8"/>
      <c r="V614" s="8"/>
    </row>
    <row r="615" spans="1:22" x14ac:dyDescent="0.35">
      <c r="A615" s="10">
        <v>3.25</v>
      </c>
      <c r="B615">
        <v>16.1875</v>
      </c>
      <c r="C615" s="10">
        <v>-0.12909924</v>
      </c>
      <c r="D615" s="10">
        <v>-1.9041918000000001E-2</v>
      </c>
      <c r="E615" s="10">
        <v>0.87083522999999996</v>
      </c>
      <c r="F615" s="10">
        <v>-2.3538392000000002E-2</v>
      </c>
      <c r="G615" s="10">
        <f t="shared" si="104"/>
        <v>3.2695549836708802</v>
      </c>
      <c r="H615" s="10">
        <f t="shared" si="105"/>
        <v>-0.62036476892427606</v>
      </c>
      <c r="I615" s="10">
        <f t="shared" si="106"/>
        <v>3.2695272726382201</v>
      </c>
      <c r="J615" s="10">
        <f t="shared" si="107"/>
        <v>-0.62261314189318495</v>
      </c>
      <c r="K615" s="7">
        <f t="shared" si="108"/>
        <v>2.77110326600827E-5</v>
      </c>
      <c r="L615" s="7">
        <f t="shared" si="109"/>
        <v>2.2483729689088999E-3</v>
      </c>
      <c r="M615" s="7">
        <f t="shared" si="110"/>
        <v>0.29515146419375898</v>
      </c>
      <c r="N615" s="7">
        <f t="shared" si="111"/>
        <v>5.6205428226254801E-2</v>
      </c>
      <c r="O615" s="10">
        <v>0.89905745000000004</v>
      </c>
      <c r="P615" s="10">
        <v>-4.8755233000000002</v>
      </c>
      <c r="Q615" s="10">
        <v>-4.3402460999999999</v>
      </c>
      <c r="R615" s="10">
        <v>-14.347737</v>
      </c>
      <c r="S615" s="10">
        <f t="shared" si="112"/>
        <v>3.023532229371904</v>
      </c>
      <c r="T615" s="10">
        <f t="shared" si="113"/>
        <v>-27.278868845312811</v>
      </c>
      <c r="U615" s="8"/>
      <c r="V615" s="8"/>
    </row>
    <row r="616" spans="1:22" x14ac:dyDescent="0.35">
      <c r="A616" s="12">
        <v>3.25</v>
      </c>
      <c r="B616">
        <v>16.25</v>
      </c>
      <c r="C616" s="12">
        <v>-0.13145148000000001</v>
      </c>
      <c r="D616" s="12">
        <v>-1.1779359999999999E-2</v>
      </c>
      <c r="E616" s="12">
        <v>0.86848745000000005</v>
      </c>
      <c r="F616" s="12">
        <v>-1.6315000999999999E-2</v>
      </c>
      <c r="G616" s="12">
        <f t="shared" si="104"/>
        <v>3.2598980688358901</v>
      </c>
      <c r="H616" s="12">
        <f t="shared" si="105"/>
        <v>-0.40056194259925698</v>
      </c>
      <c r="I616" s="12">
        <f t="shared" si="106"/>
        <v>3.2598726763579999</v>
      </c>
      <c r="J616" s="12">
        <f t="shared" si="107"/>
        <v>-0.40282988993661101</v>
      </c>
      <c r="K616" s="7">
        <f t="shared" si="108"/>
        <v>2.5392477890129301E-5</v>
      </c>
      <c r="L616" s="7">
        <f t="shared" si="109"/>
        <v>2.2679473373540299E-3</v>
      </c>
      <c r="M616" s="7">
        <f t="shared" si="110"/>
        <v>0.30214663553346199</v>
      </c>
      <c r="N616" s="7">
        <f t="shared" si="111"/>
        <v>3.7336947795348498E-2</v>
      </c>
      <c r="O616" s="12">
        <v>0.62375712000000005</v>
      </c>
      <c r="P616" s="12">
        <v>-4.9518399000000004</v>
      </c>
      <c r="Q616" s="12">
        <v>-5.1974847999999998</v>
      </c>
      <c r="R616" s="12">
        <v>-14.196576</v>
      </c>
      <c r="S616" s="12">
        <f t="shared" si="112"/>
        <v>3.0290877599872732</v>
      </c>
      <c r="T616" s="12">
        <f t="shared" si="113"/>
        <v>-27.287533273107819</v>
      </c>
      <c r="U616" s="8"/>
      <c r="V616" s="8"/>
    </row>
    <row r="617" spans="1:22" x14ac:dyDescent="0.35">
      <c r="A617" s="10">
        <v>3.25</v>
      </c>
      <c r="B617">
        <v>16.3125</v>
      </c>
      <c r="C617" s="10">
        <v>-0.13296388000000001</v>
      </c>
      <c r="D617" s="10">
        <v>-4.3199235000000004E-3</v>
      </c>
      <c r="E617" s="10">
        <v>0.86697953000000005</v>
      </c>
      <c r="F617" s="10">
        <v>-8.8963142999999995E-3</v>
      </c>
      <c r="G617" s="10">
        <f t="shared" si="104"/>
        <v>3.2503719563938702</v>
      </c>
      <c r="H617" s="10">
        <f t="shared" si="105"/>
        <v>-0.18520385700366601</v>
      </c>
      <c r="I617" s="10">
        <f t="shared" si="106"/>
        <v>3.2503488968484699</v>
      </c>
      <c r="J617" s="10">
        <f t="shared" si="107"/>
        <v>-0.187492169916225</v>
      </c>
      <c r="K617" s="7">
        <f t="shared" si="108"/>
        <v>2.30595454002724E-5</v>
      </c>
      <c r="L617" s="7">
        <f t="shared" si="109"/>
        <v>2.28831291255899E-3</v>
      </c>
      <c r="M617" s="7">
        <f t="shared" si="110"/>
        <v>0.30663896604340701</v>
      </c>
      <c r="N617" s="7">
        <f t="shared" si="111"/>
        <v>1.7688071942089201E-2</v>
      </c>
      <c r="O617" s="10">
        <v>0.34247608000000002</v>
      </c>
      <c r="P617" s="10">
        <v>-4.9963680000000004</v>
      </c>
      <c r="Q617" s="10">
        <v>-6.029388</v>
      </c>
      <c r="R617" s="10">
        <v>-13.949807</v>
      </c>
      <c r="S617" s="10">
        <f t="shared" si="112"/>
        <v>3.0345011256846082</v>
      </c>
      <c r="T617" s="10">
        <f t="shared" si="113"/>
        <v>-27.29618076153978</v>
      </c>
      <c r="U617" s="8"/>
      <c r="V617" s="8"/>
    </row>
    <row r="618" spans="1:22" x14ac:dyDescent="0.35">
      <c r="A618" s="12">
        <v>3.25</v>
      </c>
      <c r="B618">
        <v>16.375</v>
      </c>
      <c r="C618" s="12">
        <v>-0.13362346999999999</v>
      </c>
      <c r="D618" s="12">
        <v>3.1894769E-3</v>
      </c>
      <c r="E618" s="12">
        <v>0.86632414999999996</v>
      </c>
      <c r="F618" s="12">
        <v>-1.4290730999999999E-3</v>
      </c>
      <c r="G618" s="12">
        <f t="shared" si="104"/>
        <v>3.2409725379909999</v>
      </c>
      <c r="H618" s="12">
        <f t="shared" si="105"/>
        <v>2.5792255109982499E-2</v>
      </c>
      <c r="I618" s="12">
        <f t="shared" si="106"/>
        <v>3.24095168044667</v>
      </c>
      <c r="J618" s="12">
        <f t="shared" si="107"/>
        <v>2.34828714614191E-2</v>
      </c>
      <c r="K618" s="7">
        <f t="shared" si="108"/>
        <v>2.0857544329899701E-5</v>
      </c>
      <c r="L618" s="7">
        <f t="shared" si="109"/>
        <v>2.3093836485634E-3</v>
      </c>
      <c r="M618" s="7">
        <f t="shared" si="110"/>
        <v>0.30853514695465001</v>
      </c>
      <c r="N618" s="7">
        <f t="shared" si="111"/>
        <v>-2.2355443436501699E-3</v>
      </c>
      <c r="O618" s="12">
        <v>6.0721567999999997E-2</v>
      </c>
      <c r="P618" s="12">
        <v>-5.0087516000000001</v>
      </c>
      <c r="Q618" s="12">
        <v>-6.8205057</v>
      </c>
      <c r="R618" s="12">
        <v>-13.614212</v>
      </c>
      <c r="S618" s="12">
        <f t="shared" si="112"/>
        <v>3.0398852583189098</v>
      </c>
      <c r="T618" s="12">
        <f t="shared" si="113"/>
        <v>-27.304715926224635</v>
      </c>
      <c r="U618" s="8"/>
      <c r="V618" s="8"/>
    </row>
    <row r="619" spans="1:22" x14ac:dyDescent="0.35">
      <c r="A619" s="10">
        <v>3.25</v>
      </c>
      <c r="B619">
        <v>16.4375</v>
      </c>
      <c r="C619" s="10">
        <v>-0.1334504</v>
      </c>
      <c r="D619" s="10">
        <v>1.0605442E-2</v>
      </c>
      <c r="E619" s="10">
        <v>0.86650092000000001</v>
      </c>
      <c r="F619" s="10">
        <v>5.943556E-3</v>
      </c>
      <c r="G619" s="10">
        <f t="shared" si="104"/>
        <v>3.23169524503788</v>
      </c>
      <c r="H619" s="10">
        <f t="shared" si="105"/>
        <v>0.23250390361370299</v>
      </c>
      <c r="I619" s="10">
        <f t="shared" si="106"/>
        <v>3.2316763381079299</v>
      </c>
      <c r="J619" s="10">
        <f t="shared" si="107"/>
        <v>0.23017285980512001</v>
      </c>
      <c r="K619" s="7">
        <f t="shared" si="108"/>
        <v>1.8906929950102101E-5</v>
      </c>
      <c r="L619" s="7">
        <f t="shared" si="109"/>
        <v>2.3310438085829802E-3</v>
      </c>
      <c r="M619" s="7">
        <f t="shared" si="110"/>
        <v>0.30787512243307902</v>
      </c>
      <c r="N619" s="7">
        <f t="shared" si="111"/>
        <v>-2.1928092413723201E-2</v>
      </c>
      <c r="O619" s="10">
        <v>-0.21613609</v>
      </c>
      <c r="P619" s="10">
        <v>-4.9900561000000003</v>
      </c>
      <c r="Q619" s="10">
        <v>-7.5573496000000002</v>
      </c>
      <c r="R619" s="10">
        <v>-13.199449</v>
      </c>
      <c r="S619" s="10">
        <f t="shared" si="112"/>
        <v>3.0451731350081821</v>
      </c>
      <c r="T619" s="10">
        <f t="shared" si="113"/>
        <v>-27.313188973945802</v>
      </c>
      <c r="U619" s="8"/>
      <c r="V619" s="8"/>
    </row>
    <row r="620" spans="1:22" x14ac:dyDescent="0.35">
      <c r="A620" s="12">
        <v>3.25</v>
      </c>
      <c r="B620">
        <v>16.5</v>
      </c>
      <c r="C620" s="12">
        <v>-0.13249469999999999</v>
      </c>
      <c r="D620" s="12">
        <v>1.7796801000000001E-2</v>
      </c>
      <c r="E620" s="12">
        <v>0.86745961999999999</v>
      </c>
      <c r="F620" s="12">
        <v>1.3090645999999999E-2</v>
      </c>
      <c r="G620" s="12">
        <f t="shared" si="104"/>
        <v>3.2225354744371399</v>
      </c>
      <c r="H620" s="12">
        <f t="shared" si="105"/>
        <v>0.435003496541295</v>
      </c>
      <c r="I620" s="12">
        <f t="shared" si="106"/>
        <v>3.2225181712379301</v>
      </c>
      <c r="J620" s="12">
        <f t="shared" si="107"/>
        <v>0.43265032457907898</v>
      </c>
      <c r="K620" s="7">
        <f t="shared" si="108"/>
        <v>1.7303199209894901E-5</v>
      </c>
      <c r="L620" s="7">
        <f t="shared" si="109"/>
        <v>2.3531719622160198E-3</v>
      </c>
      <c r="M620" s="7">
        <f t="shared" si="110"/>
        <v>0.30482181127422397</v>
      </c>
      <c r="N620" s="7">
        <f t="shared" si="111"/>
        <v>-4.0924906727806999E-2</v>
      </c>
      <c r="O620" s="12">
        <v>-0.48326396999999999</v>
      </c>
      <c r="P620" s="12">
        <v>-4.9423069000000002</v>
      </c>
      <c r="Q620" s="12">
        <v>-8.2292833000000005</v>
      </c>
      <c r="R620" s="12">
        <v>-12.717549999999999</v>
      </c>
      <c r="S620" s="12">
        <f t="shared" si="112"/>
        <v>3.0503860486138832</v>
      </c>
      <c r="T620" s="12">
        <f t="shared" si="113"/>
        <v>-27.32144511404627</v>
      </c>
      <c r="U620" s="8"/>
      <c r="V620" s="8"/>
    </row>
    <row r="621" spans="1:22" x14ac:dyDescent="0.35">
      <c r="A621" s="10">
        <v>3.25</v>
      </c>
      <c r="B621">
        <v>16.5625</v>
      </c>
      <c r="C621" s="10">
        <v>-0.13083065999999999</v>
      </c>
      <c r="D621" s="10">
        <v>2.4651436999999998E-2</v>
      </c>
      <c r="E621" s="10">
        <v>0.86912582000000005</v>
      </c>
      <c r="F621" s="10">
        <v>1.9900296000000001E-2</v>
      </c>
      <c r="G621" s="10">
        <f t="shared" si="104"/>
        <v>3.2134882001533698</v>
      </c>
      <c r="H621" s="10">
        <f t="shared" si="105"/>
        <v>0.63335793369046101</v>
      </c>
      <c r="I621" s="10">
        <f t="shared" si="106"/>
        <v>3.2134720833516299</v>
      </c>
      <c r="J621" s="10">
        <f t="shared" si="107"/>
        <v>0.63098227320949196</v>
      </c>
      <c r="K621" s="7">
        <f t="shared" si="108"/>
        <v>1.6116801739851601E-5</v>
      </c>
      <c r="L621" s="7">
        <f t="shared" si="109"/>
        <v>2.3756604809690401E-3</v>
      </c>
      <c r="M621" s="7">
        <f t="shared" si="110"/>
        <v>0.29963724747221199</v>
      </c>
      <c r="N621" s="7">
        <f t="shared" si="111"/>
        <v>-5.8835361454597397E-2</v>
      </c>
      <c r="O621" s="10">
        <v>-0.73647141000000005</v>
      </c>
      <c r="P621" s="10">
        <v>-4.8679686999999996</v>
      </c>
      <c r="Q621" s="10">
        <v>-8.8290927000000003</v>
      </c>
      <c r="R621" s="10">
        <v>-12.18221</v>
      </c>
      <c r="S621" s="10">
        <f t="shared" si="112"/>
        <v>3.0558855444429454</v>
      </c>
      <c r="T621" s="10">
        <f t="shared" si="113"/>
        <v>-27.329836965632161</v>
      </c>
      <c r="U621" s="8"/>
      <c r="V621" s="8"/>
    </row>
    <row r="622" spans="1:22" x14ac:dyDescent="0.35">
      <c r="A622" s="12">
        <v>3.25</v>
      </c>
      <c r="B622">
        <v>16.625</v>
      </c>
      <c r="C622" s="12">
        <v>-0.12854974999999999</v>
      </c>
      <c r="D622" s="12">
        <v>3.1080641999999999E-2</v>
      </c>
      <c r="E622" s="12">
        <v>0.87140795999999998</v>
      </c>
      <c r="F622" s="12">
        <v>2.6283957E-2</v>
      </c>
      <c r="G622" s="12">
        <f t="shared" si="104"/>
        <v>3.2045483663174998</v>
      </c>
      <c r="H622" s="12">
        <f t="shared" si="105"/>
        <v>0.82762843919712803</v>
      </c>
      <c r="I622" s="12">
        <f t="shared" si="106"/>
        <v>3.20453297324894</v>
      </c>
      <c r="J622" s="12">
        <f t="shared" si="107"/>
        <v>0.82523000906447297</v>
      </c>
      <c r="K622" s="7">
        <f t="shared" si="108"/>
        <v>1.5393068559799198E-5</v>
      </c>
      <c r="L622" s="7">
        <f t="shared" si="109"/>
        <v>2.3984301326550601E-3</v>
      </c>
      <c r="M622" s="7">
        <f t="shared" si="110"/>
        <v>0.292650447081716</v>
      </c>
      <c r="N622" s="7">
        <f t="shared" si="111"/>
        <v>-7.5363222383421399E-2</v>
      </c>
      <c r="O622" s="12">
        <v>-0.97271379000000002</v>
      </c>
      <c r="P622" s="12">
        <v>-4.7715839999999998</v>
      </c>
      <c r="Q622" s="12">
        <v>-9.3526150000000001</v>
      </c>
      <c r="R622" s="12">
        <v>-11.607348</v>
      </c>
      <c r="S622" s="12">
        <f t="shared" si="112"/>
        <v>3.0610456573088238</v>
      </c>
      <c r="T622" s="12">
        <f t="shared" si="113"/>
        <v>-27.337929824691336</v>
      </c>
      <c r="U622" s="8"/>
      <c r="V622" s="8"/>
    </row>
    <row r="623" spans="1:22" x14ac:dyDescent="0.35">
      <c r="A623" s="10">
        <v>3.25</v>
      </c>
      <c r="B623">
        <v>16.6875</v>
      </c>
      <c r="C623" s="10">
        <v>-0.12575309000000001</v>
      </c>
      <c r="D623" s="10">
        <v>3.7020850000000001E-2</v>
      </c>
      <c r="E623" s="10">
        <v>0.87420481000000005</v>
      </c>
      <c r="F623" s="10">
        <v>3.2178162000000003E-2</v>
      </c>
      <c r="G623" s="10">
        <f t="shared" si="104"/>
        <v>3.1957121491362201</v>
      </c>
      <c r="H623" s="10">
        <f t="shared" si="105"/>
        <v>1.0178708333137101</v>
      </c>
      <c r="I623" s="10">
        <f t="shared" si="106"/>
        <v>3.1956969619357598</v>
      </c>
      <c r="J623" s="10">
        <f t="shared" si="107"/>
        <v>1.01544940156914</v>
      </c>
      <c r="K623" s="7">
        <f t="shared" si="108"/>
        <v>1.5187200460342601E-5</v>
      </c>
      <c r="L623" s="7">
        <f t="shared" si="109"/>
        <v>2.4214317445701E-3</v>
      </c>
      <c r="M623" s="7">
        <f t="shared" si="110"/>
        <v>0.28422322523855498</v>
      </c>
      <c r="N623" s="7">
        <f t="shared" si="111"/>
        <v>-9.0313414387613297E-2</v>
      </c>
      <c r="O623" s="10">
        <v>-1.1897458000000001</v>
      </c>
      <c r="P623" s="10">
        <v>-4.6567511000000001</v>
      </c>
      <c r="Q623" s="10">
        <v>-9.7988786999999995</v>
      </c>
      <c r="R623" s="10">
        <v>-11.006629</v>
      </c>
      <c r="S623" s="10">
        <f t="shared" si="112"/>
        <v>3.0660559003337449</v>
      </c>
      <c r="T623" s="10">
        <f t="shared" si="113"/>
        <v>-27.345911830851581</v>
      </c>
      <c r="U623" s="8"/>
      <c r="V623" s="8"/>
    </row>
    <row r="624" spans="1:22" x14ac:dyDescent="0.35">
      <c r="A624" s="12">
        <v>3.25</v>
      </c>
      <c r="B624">
        <v>16.75</v>
      </c>
      <c r="C624" s="12">
        <v>-0.1225446</v>
      </c>
      <c r="D624" s="12">
        <v>4.2433060000000002E-2</v>
      </c>
      <c r="E624" s="12">
        <v>0.87741237000000005</v>
      </c>
      <c r="F624" s="12">
        <v>3.7543962E-2</v>
      </c>
      <c r="G624" s="12">
        <f t="shared" si="104"/>
        <v>3.1869754784595501</v>
      </c>
      <c r="H624" s="12">
        <f t="shared" si="105"/>
        <v>1.2041351214293099</v>
      </c>
      <c r="I624" s="12">
        <f t="shared" si="106"/>
        <v>3.18695993916648</v>
      </c>
      <c r="J624" s="12">
        <f t="shared" si="107"/>
        <v>1.2016904818463301</v>
      </c>
      <c r="K624" s="7">
        <f t="shared" si="108"/>
        <v>1.5539293070077099E-5</v>
      </c>
      <c r="L624" s="7">
        <f t="shared" si="109"/>
        <v>2.4446395829798E-3</v>
      </c>
      <c r="M624" s="7">
        <f t="shared" si="110"/>
        <v>0.27471960322389499</v>
      </c>
      <c r="N624" s="7">
        <f t="shared" si="111"/>
        <v>-0.103587098260512</v>
      </c>
      <c r="O624" s="12">
        <v>-1.3861851000000001</v>
      </c>
      <c r="P624" s="12">
        <v>-4.5271027000000004</v>
      </c>
      <c r="Q624" s="12">
        <v>-10.169573</v>
      </c>
      <c r="R624" s="12">
        <v>-10.392699</v>
      </c>
      <c r="S624" s="12">
        <f t="shared" si="112"/>
        <v>3.0711496777547955</v>
      </c>
      <c r="T624" s="12">
        <f t="shared" si="113"/>
        <v>-27.35386547112018</v>
      </c>
      <c r="U624" s="8"/>
      <c r="V624" s="8"/>
    </row>
    <row r="625" spans="1:22" x14ac:dyDescent="0.35">
      <c r="A625" s="10">
        <v>3.25</v>
      </c>
      <c r="B625">
        <v>16.8125</v>
      </c>
      <c r="C625" s="10">
        <v>-0.11902514</v>
      </c>
      <c r="D625" s="10">
        <v>4.7300480999999998E-2</v>
      </c>
      <c r="E625" s="10">
        <v>0.88092967</v>
      </c>
      <c r="F625" s="10">
        <v>4.2364593999999998E-2</v>
      </c>
      <c r="G625" s="10">
        <f t="shared" si="104"/>
        <v>3.1783355174350501</v>
      </c>
      <c r="H625" s="10">
        <f t="shared" si="105"/>
        <v>1.3864661292542499</v>
      </c>
      <c r="I625" s="10">
        <f t="shared" si="106"/>
        <v>3.1783190130453902</v>
      </c>
      <c r="J625" s="10">
        <f t="shared" si="107"/>
        <v>1.3839980892569901</v>
      </c>
      <c r="K625" s="7">
        <f t="shared" si="108"/>
        <v>1.65043896598327E-5</v>
      </c>
      <c r="L625" s="7">
        <f t="shared" si="109"/>
        <v>2.4680399972598602E-3</v>
      </c>
      <c r="M625" s="7">
        <f t="shared" si="110"/>
        <v>0.26448165477416402</v>
      </c>
      <c r="N625" s="7">
        <f t="shared" si="111"/>
        <v>-0.115168459600358</v>
      </c>
      <c r="O625" s="10">
        <v>-1.5616626</v>
      </c>
      <c r="P625" s="10">
        <v>-4.3867897999999999</v>
      </c>
      <c r="Q625" s="10">
        <v>-10.468385</v>
      </c>
      <c r="R625" s="10">
        <v>-9.7766500999999995</v>
      </c>
      <c r="S625" s="10">
        <f t="shared" si="112"/>
        <v>3.0760973126035154</v>
      </c>
      <c r="T625" s="10">
        <f t="shared" si="113"/>
        <v>-27.361599296405192</v>
      </c>
      <c r="U625" s="8"/>
      <c r="V625" s="8"/>
    </row>
    <row r="626" spans="1:22" x14ac:dyDescent="0.35">
      <c r="A626" s="12">
        <v>3.25</v>
      </c>
      <c r="B626">
        <v>16.875</v>
      </c>
      <c r="C626" s="12">
        <v>-0.11528824</v>
      </c>
      <c r="D626" s="12">
        <v>5.1625077999999998E-2</v>
      </c>
      <c r="E626" s="12">
        <v>0.88466305000000001</v>
      </c>
      <c r="F626" s="12">
        <v>4.6642036999999997E-2</v>
      </c>
      <c r="G626" s="12">
        <f t="shared" si="104"/>
        <v>3.1697899095868798</v>
      </c>
      <c r="H626" s="12">
        <f t="shared" si="105"/>
        <v>1.5649031717895601</v>
      </c>
      <c r="I626" s="12">
        <f t="shared" si="106"/>
        <v>3.1697717620831498</v>
      </c>
      <c r="J626" s="12">
        <f t="shared" si="107"/>
        <v>1.56241154539112</v>
      </c>
      <c r="K626" s="7">
        <f t="shared" si="108"/>
        <v>1.81475037299705E-5</v>
      </c>
      <c r="L626" s="7">
        <f t="shared" si="109"/>
        <v>2.4916263984400299E-3</v>
      </c>
      <c r="M626" s="7">
        <f t="shared" si="110"/>
        <v>0.25381356695118501</v>
      </c>
      <c r="N626" s="7">
        <f t="shared" si="111"/>
        <v>-0.12510719292950501</v>
      </c>
      <c r="O626" s="12">
        <v>-1.7163899</v>
      </c>
      <c r="P626" s="12">
        <v>-4.2392602999999998</v>
      </c>
      <c r="Q626" s="12">
        <v>-10.700561</v>
      </c>
      <c r="R626" s="12">
        <v>-9.1678125000000001</v>
      </c>
      <c r="S626" s="12">
        <f t="shared" si="112"/>
        <v>3.0809366520032544</v>
      </c>
      <c r="T626" s="12">
        <f t="shared" si="113"/>
        <v>-27.369334160973924</v>
      </c>
      <c r="U626" s="8"/>
      <c r="V626" s="8"/>
    </row>
    <row r="627" spans="1:22" x14ac:dyDescent="0.35">
      <c r="A627" s="10">
        <v>3.25</v>
      </c>
      <c r="B627">
        <v>16.9375</v>
      </c>
      <c r="C627" s="10">
        <v>-0.11141731000000001</v>
      </c>
      <c r="D627" s="10">
        <v>5.5423612999999997E-2</v>
      </c>
      <c r="E627" s="10">
        <v>0.88852898999999996</v>
      </c>
      <c r="F627" s="10">
        <v>5.0393079E-2</v>
      </c>
      <c r="G627" s="10">
        <f t="shared" si="104"/>
        <v>3.1613373066231598</v>
      </c>
      <c r="H627" s="10">
        <f t="shared" si="105"/>
        <v>1.73948029805541</v>
      </c>
      <c r="I627" s="10">
        <f t="shared" si="106"/>
        <v>3.1613167829398998</v>
      </c>
      <c r="J627" s="10">
        <f t="shared" si="107"/>
        <v>1.7369649118947501</v>
      </c>
      <c r="K627" s="7">
        <f t="shared" si="108"/>
        <v>2.0523683259998601E-5</v>
      </c>
      <c r="L627" s="7">
        <f t="shared" si="109"/>
        <v>2.5153861606599399E-3</v>
      </c>
      <c r="M627" s="7">
        <f t="shared" si="110"/>
        <v>0.24297316514466299</v>
      </c>
      <c r="N627" s="7">
        <f t="shared" si="111"/>
        <v>-0.13350002273287201</v>
      </c>
      <c r="O627" s="10">
        <v>-1.8511021999999999</v>
      </c>
      <c r="P627" s="10">
        <v>-4.0875168999999998</v>
      </c>
      <c r="Q627" s="10">
        <v>-10.872263999999999</v>
      </c>
      <c r="R627" s="10">
        <v>-8.5737444000000007</v>
      </c>
      <c r="S627" s="10">
        <f t="shared" si="112"/>
        <v>3.0857392889028277</v>
      </c>
      <c r="T627" s="10">
        <f t="shared" si="113"/>
        <v>-27.376876390794834</v>
      </c>
      <c r="U627" s="8"/>
      <c r="V627" s="8"/>
    </row>
    <row r="628" spans="1:22" x14ac:dyDescent="0.35">
      <c r="A628" s="12">
        <v>3.25</v>
      </c>
      <c r="B628">
        <v>17</v>
      </c>
      <c r="C628" s="12">
        <v>-0.10748422000000001</v>
      </c>
      <c r="D628" s="12">
        <v>5.8723708999999999E-2</v>
      </c>
      <c r="E628" s="12">
        <v>0.89245543000000005</v>
      </c>
      <c r="F628" s="12">
        <v>5.3645420999999999E-2</v>
      </c>
      <c r="G628" s="12">
        <f t="shared" si="104"/>
        <v>3.1529755166365101</v>
      </c>
      <c r="H628" s="12">
        <f t="shared" si="105"/>
        <v>1.9102249368958399</v>
      </c>
      <c r="I628" s="12">
        <f t="shared" si="106"/>
        <v>3.1529517885203</v>
      </c>
      <c r="J628" s="12">
        <f t="shared" si="107"/>
        <v>1.9076856560239299</v>
      </c>
      <c r="K628" s="7">
        <f t="shared" si="108"/>
        <v>2.3728116210097701E-5</v>
      </c>
      <c r="L628" s="7">
        <f t="shared" si="109"/>
        <v>2.53928087191002E-3</v>
      </c>
      <c r="M628" s="7">
        <f t="shared" si="110"/>
        <v>0.23216980793877501</v>
      </c>
      <c r="N628" s="7">
        <f t="shared" si="111"/>
        <v>-0.14047376619561</v>
      </c>
      <c r="O628" s="12">
        <v>-1.9669086</v>
      </c>
      <c r="P628" s="12">
        <v>-3.9341552000000002</v>
      </c>
      <c r="Q628" s="12">
        <v>-10.990173</v>
      </c>
      <c r="R628" s="12">
        <v>-8.0002285999999998</v>
      </c>
      <c r="S628" s="12">
        <f t="shared" si="112"/>
        <v>3.090561092270701</v>
      </c>
      <c r="T628" s="12">
        <f t="shared" si="113"/>
        <v>-27.384403333283849</v>
      </c>
      <c r="U628" s="8"/>
      <c r="V628" s="8"/>
    </row>
    <row r="629" spans="1:22" x14ac:dyDescent="0.35">
      <c r="A629" s="10">
        <v>3.375</v>
      </c>
      <c r="B629">
        <v>15</v>
      </c>
      <c r="C629" s="10">
        <v>-4.2678264E-2</v>
      </c>
      <c r="D629" s="10">
        <v>-6.0411411999999998E-2</v>
      </c>
      <c r="E629" s="10">
        <v>0.95731495</v>
      </c>
      <c r="F629" s="10">
        <v>-6.4366136000000004E-2</v>
      </c>
      <c r="G629" s="10">
        <f t="shared" si="104"/>
        <v>3.2347772428011998</v>
      </c>
      <c r="H629" s="10">
        <f t="shared" si="105"/>
        <v>-5.4582227396525198</v>
      </c>
      <c r="I629" s="10">
        <f t="shared" si="106"/>
        <v>3.2347777597746901</v>
      </c>
      <c r="J629" s="10">
        <f t="shared" si="107"/>
        <v>-5.4602001073394897</v>
      </c>
      <c r="K629" s="7">
        <f t="shared" si="108"/>
        <v>-5.1697349023882598E-7</v>
      </c>
      <c r="L629" s="7">
        <f t="shared" si="109"/>
        <v>1.9773676869698801E-3</v>
      </c>
      <c r="M629" s="7">
        <f t="shared" si="110"/>
        <v>8.0312133270450906E-2</v>
      </c>
      <c r="N629" s="7">
        <f t="shared" si="111"/>
        <v>0.13556428022879799</v>
      </c>
      <c r="O629" s="10">
        <v>2.4991447999999998</v>
      </c>
      <c r="P629" s="10">
        <v>-1.6414597</v>
      </c>
      <c r="Q629" s="10">
        <v>4.2857826000000001</v>
      </c>
      <c r="R629" s="10">
        <v>-7.5370502000000004</v>
      </c>
      <c r="S629" s="10">
        <f t="shared" si="112"/>
        <v>2.8997819464821486</v>
      </c>
      <c r="T629" s="10">
        <f t="shared" si="113"/>
        <v>-27.078948075863188</v>
      </c>
      <c r="U629" s="8"/>
      <c r="V629" s="8"/>
    </row>
    <row r="630" spans="1:22" x14ac:dyDescent="0.35">
      <c r="A630" s="12">
        <v>3.375</v>
      </c>
      <c r="B630">
        <v>15.0625</v>
      </c>
      <c r="C630" s="12">
        <v>-4.6064760000000003E-2</v>
      </c>
      <c r="D630" s="12">
        <v>-6.1753791000000002E-2</v>
      </c>
      <c r="E630" s="12">
        <v>0.95393278000000004</v>
      </c>
      <c r="F630" s="12">
        <v>-6.5742671000000003E-2</v>
      </c>
      <c r="G630" s="12">
        <f t="shared" si="104"/>
        <v>3.22345824640092</v>
      </c>
      <c r="H630" s="12">
        <f t="shared" si="105"/>
        <v>-5.1516970792750101</v>
      </c>
      <c r="I630" s="12">
        <f t="shared" si="106"/>
        <v>3.2234609941891899</v>
      </c>
      <c r="J630" s="12">
        <f t="shared" si="107"/>
        <v>-5.15369151624789</v>
      </c>
      <c r="K630" s="7">
        <f t="shared" si="108"/>
        <v>-2.74778826980793E-6</v>
      </c>
      <c r="L630" s="7">
        <f t="shared" si="109"/>
        <v>1.9944369728799299E-3</v>
      </c>
      <c r="M630" s="7">
        <f t="shared" si="110"/>
        <v>8.7235536714152004E-2</v>
      </c>
      <c r="N630" s="7">
        <f t="shared" si="111"/>
        <v>0.13947277360870999</v>
      </c>
      <c r="O630" s="12">
        <v>2.5411473</v>
      </c>
      <c r="P630" s="12">
        <v>-1.765315</v>
      </c>
      <c r="Q630" s="12">
        <v>4.2436268999999998</v>
      </c>
      <c r="R630" s="12">
        <v>-7.9385053000000001</v>
      </c>
      <c r="S630" s="12">
        <f t="shared" si="112"/>
        <v>2.9092213921003425</v>
      </c>
      <c r="T630" s="12">
        <f t="shared" si="113"/>
        <v>-27.085309019023342</v>
      </c>
      <c r="U630" s="8"/>
      <c r="V630" s="8"/>
    </row>
    <row r="631" spans="1:22" x14ac:dyDescent="0.35">
      <c r="A631" s="10">
        <v>3.375</v>
      </c>
      <c r="B631">
        <v>15.125</v>
      </c>
      <c r="C631" s="10">
        <v>-4.9700847999999999E-2</v>
      </c>
      <c r="D631" s="10">
        <v>-6.2976660000000004E-2</v>
      </c>
      <c r="E631" s="10">
        <v>0.95029984000000001</v>
      </c>
      <c r="F631" s="10">
        <v>-6.6997580000000001E-2</v>
      </c>
      <c r="G631" s="10">
        <f t="shared" si="104"/>
        <v>3.2126113477407499</v>
      </c>
      <c r="H631" s="10">
        <f t="shared" si="105"/>
        <v>-4.8535141913672897</v>
      </c>
      <c r="I631" s="10">
        <f t="shared" si="106"/>
        <v>3.21261573366953</v>
      </c>
      <c r="J631" s="10">
        <f t="shared" si="107"/>
        <v>-4.8555246418579499</v>
      </c>
      <c r="K631" s="7">
        <f t="shared" si="108"/>
        <v>-4.3859287801595298E-6</v>
      </c>
      <c r="L631" s="7">
        <f t="shared" si="109"/>
        <v>2.01045049066018E-3</v>
      </c>
      <c r="M631" s="7">
        <f t="shared" si="110"/>
        <v>9.47757587700465E-2</v>
      </c>
      <c r="N631" s="7">
        <f t="shared" si="111"/>
        <v>0.143243409828262</v>
      </c>
      <c r="O631" s="10">
        <v>2.5800109</v>
      </c>
      <c r="P631" s="10">
        <v>-1.8986945</v>
      </c>
      <c r="Q631" s="10">
        <v>4.1771851</v>
      </c>
      <c r="R631" s="10">
        <v>-8.3583370000000006</v>
      </c>
      <c r="S631" s="10">
        <f t="shared" si="112"/>
        <v>2.9169454340082885</v>
      </c>
      <c r="T631" s="10">
        <f t="shared" si="113"/>
        <v>-27.095546130961441</v>
      </c>
      <c r="U631" s="8"/>
      <c r="V631" s="8"/>
    </row>
    <row r="632" spans="1:22" x14ac:dyDescent="0.35">
      <c r="A632" s="12">
        <v>3.375</v>
      </c>
      <c r="B632">
        <v>15.1875</v>
      </c>
      <c r="C632" s="12">
        <v>-5.3608364999999998E-2</v>
      </c>
      <c r="D632" s="12">
        <v>-6.4054233000000002E-2</v>
      </c>
      <c r="E632" s="12">
        <v>0.94639574999999998</v>
      </c>
      <c r="F632" s="12">
        <v>-6.8107853999999995E-2</v>
      </c>
      <c r="G632" s="12">
        <f t="shared" si="104"/>
        <v>3.2019158669320098</v>
      </c>
      <c r="H632" s="12">
        <f t="shared" si="105"/>
        <v>-4.5623799527290503</v>
      </c>
      <c r="I632" s="12">
        <f t="shared" si="106"/>
        <v>3.2019220323463302</v>
      </c>
      <c r="J632" s="12">
        <f t="shared" si="107"/>
        <v>-4.5644067465627796</v>
      </c>
      <c r="K632" s="7">
        <f t="shared" si="108"/>
        <v>-6.1654143204137296E-6</v>
      </c>
      <c r="L632" s="7">
        <f t="shared" si="109"/>
        <v>2.0267938337292799E-3</v>
      </c>
      <c r="M632" s="7">
        <f t="shared" si="110"/>
        <v>0.103001683274718</v>
      </c>
      <c r="N632" s="7">
        <f t="shared" si="111"/>
        <v>0.146831051255152</v>
      </c>
      <c r="O632" s="12">
        <v>2.6138043</v>
      </c>
      <c r="P632" s="12">
        <v>-2.0419781000000001</v>
      </c>
      <c r="Q632" s="12">
        <v>4.0826998999999997</v>
      </c>
      <c r="R632" s="12">
        <v>-8.7971356000000007</v>
      </c>
      <c r="S632" s="12">
        <f t="shared" si="112"/>
        <v>2.9239442258428761</v>
      </c>
      <c r="T632" s="12">
        <f t="shared" si="113"/>
        <v>-27.106294147256122</v>
      </c>
      <c r="U632" s="8"/>
      <c r="V632" s="8"/>
    </row>
    <row r="633" spans="1:22" x14ac:dyDescent="0.35">
      <c r="A633" s="10">
        <v>3.375</v>
      </c>
      <c r="B633">
        <v>15.25</v>
      </c>
      <c r="C633" s="10">
        <v>-5.7801586000000002E-2</v>
      </c>
      <c r="D633" s="10">
        <v>-6.4950114000000003E-2</v>
      </c>
      <c r="E633" s="10">
        <v>0.94220658000000002</v>
      </c>
      <c r="F633" s="10">
        <v>-6.9038174999999993E-2</v>
      </c>
      <c r="G633" s="10">
        <f t="shared" si="104"/>
        <v>3.1913501302343801</v>
      </c>
      <c r="H633" s="10">
        <f t="shared" si="105"/>
        <v>-4.2776943416255397</v>
      </c>
      <c r="I633" s="10">
        <f t="shared" si="106"/>
        <v>3.1913583912097501</v>
      </c>
      <c r="J633" s="10">
        <f t="shared" si="107"/>
        <v>-4.2797383468941597</v>
      </c>
      <c r="K633" s="7">
        <f t="shared" si="108"/>
        <v>-8.2609753699891508E-6</v>
      </c>
      <c r="L633" s="7">
        <f t="shared" si="109"/>
        <v>2.0440052686199199E-3</v>
      </c>
      <c r="M633" s="7">
        <f t="shared" si="110"/>
        <v>0.111973838639137</v>
      </c>
      <c r="N633" s="7">
        <f t="shared" si="111"/>
        <v>0.15016136463795801</v>
      </c>
      <c r="O633" s="10">
        <v>2.6405341999999998</v>
      </c>
      <c r="P633" s="10">
        <v>-2.1952264000000001</v>
      </c>
      <c r="Q633" s="10">
        <v>3.9558089999999999</v>
      </c>
      <c r="R633" s="10">
        <v>-9.2544380999999998</v>
      </c>
      <c r="S633" s="10">
        <f t="shared" si="112"/>
        <v>2.9309364611117874</v>
      </c>
      <c r="T633" s="10">
        <f t="shared" si="113"/>
        <v>-27.11704118073871</v>
      </c>
      <c r="U633" s="8"/>
      <c r="V633" s="8"/>
    </row>
    <row r="634" spans="1:22" x14ac:dyDescent="0.35">
      <c r="A634" s="12">
        <v>3.375</v>
      </c>
      <c r="B634">
        <v>15.3125</v>
      </c>
      <c r="C634" s="12">
        <v>-6.2288959999999997E-2</v>
      </c>
      <c r="D634" s="12">
        <v>-6.5621167999999994E-2</v>
      </c>
      <c r="E634" s="12">
        <v>0.93772396999999996</v>
      </c>
      <c r="F634" s="12">
        <v>-6.9745721999999996E-2</v>
      </c>
      <c r="G634" s="12">
        <f t="shared" si="104"/>
        <v>3.1809244569831501</v>
      </c>
      <c r="H634" s="12">
        <f t="shared" si="105"/>
        <v>-3.9990978198402898</v>
      </c>
      <c r="I634" s="12">
        <f t="shared" si="106"/>
        <v>3.1809351748272099</v>
      </c>
      <c r="J634" s="12">
        <f t="shared" si="107"/>
        <v>-4.0011600614047298</v>
      </c>
      <c r="K634" s="7">
        <f t="shared" si="108"/>
        <v>-1.07178440598155E-5</v>
      </c>
      <c r="L634" s="7">
        <f t="shared" si="109"/>
        <v>2.0622415644400102E-3</v>
      </c>
      <c r="M634" s="7">
        <f t="shared" si="110"/>
        <v>0.12174602607568601</v>
      </c>
      <c r="N634" s="7">
        <f t="shared" si="111"/>
        <v>0.15313903314462701</v>
      </c>
      <c r="O634" s="12">
        <v>2.6589119999999999</v>
      </c>
      <c r="P634" s="12">
        <v>-2.3589598999999999</v>
      </c>
      <c r="Q634" s="12">
        <v>3.7918170999999998</v>
      </c>
      <c r="R634" s="12">
        <v>-9.7289344</v>
      </c>
      <c r="S634" s="12">
        <f t="shared" si="112"/>
        <v>2.9376089027935581</v>
      </c>
      <c r="T634" s="12">
        <f t="shared" si="113"/>
        <v>-27.127714784854398</v>
      </c>
      <c r="U634" s="8"/>
      <c r="V634" s="8"/>
    </row>
    <row r="635" spans="1:22" x14ac:dyDescent="0.35">
      <c r="A635" s="10">
        <v>3.375</v>
      </c>
      <c r="B635">
        <v>15.375</v>
      </c>
      <c r="C635" s="10">
        <v>-6.7072490999999998E-2</v>
      </c>
      <c r="D635" s="10">
        <v>-6.6018154999999995E-2</v>
      </c>
      <c r="E635" s="10">
        <v>0.93294591000000004</v>
      </c>
      <c r="F635" s="10">
        <v>-7.0181308999999997E-2</v>
      </c>
      <c r="G635" s="10">
        <f t="shared" si="104"/>
        <v>3.1706479426729599</v>
      </c>
      <c r="H635" s="10">
        <f t="shared" si="105"/>
        <v>-3.7263427277346102</v>
      </c>
      <c r="I635" s="10">
        <f t="shared" si="106"/>
        <v>3.1706614759127598</v>
      </c>
      <c r="J635" s="10">
        <f t="shared" si="107"/>
        <v>-3.72842425741303</v>
      </c>
      <c r="K635" s="7">
        <f t="shared" si="108"/>
        <v>-1.3533239799912201E-5</v>
      </c>
      <c r="L635" s="7">
        <f t="shared" si="109"/>
        <v>2.0815296784197899E-3</v>
      </c>
      <c r="M635" s="7">
        <f t="shared" si="110"/>
        <v>0.13236325840803501</v>
      </c>
      <c r="N635" s="7">
        <f t="shared" si="111"/>
        <v>0.15564776851388001</v>
      </c>
      <c r="O635" s="10">
        <v>2.6669219000000002</v>
      </c>
      <c r="P635" s="10">
        <v>-2.533007</v>
      </c>
      <c r="Q635" s="10">
        <v>3.5857431000000002</v>
      </c>
      <c r="R635" s="10">
        <v>-10.218107</v>
      </c>
      <c r="S635" s="10">
        <f t="shared" si="112"/>
        <v>2.9441641401034846</v>
      </c>
      <c r="T635" s="10">
        <f t="shared" si="113"/>
        <v>-27.138207361180406</v>
      </c>
      <c r="U635" s="8"/>
      <c r="V635" s="8"/>
    </row>
    <row r="636" spans="1:22" x14ac:dyDescent="0.35">
      <c r="A636" s="12">
        <v>3.375</v>
      </c>
      <c r="B636">
        <v>15.4375</v>
      </c>
      <c r="C636" s="12">
        <v>-7.2146425E-2</v>
      </c>
      <c r="D636" s="12">
        <v>-6.6086186000000005E-2</v>
      </c>
      <c r="E636" s="12">
        <v>0.92787807</v>
      </c>
      <c r="F636" s="12">
        <v>-7.0290050000000007E-2</v>
      </c>
      <c r="G636" s="12">
        <f t="shared" si="104"/>
        <v>3.16052539636767</v>
      </c>
      <c r="H636" s="12">
        <f t="shared" si="105"/>
        <v>-3.4592353601127601</v>
      </c>
      <c r="I636" s="12">
        <f t="shared" si="106"/>
        <v>3.1605420616539601</v>
      </c>
      <c r="J636" s="12">
        <f t="shared" si="107"/>
        <v>-3.46133723134079</v>
      </c>
      <c r="K636" s="7">
        <f t="shared" si="108"/>
        <v>-1.6665286290074001E-5</v>
      </c>
      <c r="L636" s="7">
        <f t="shared" si="109"/>
        <v>2.1018712280298502E-3</v>
      </c>
      <c r="M636" s="7">
        <f t="shared" si="110"/>
        <v>0.14385794725812501</v>
      </c>
      <c r="N636" s="7">
        <f t="shared" si="111"/>
        <v>0.15754919857267399</v>
      </c>
      <c r="O636" s="12">
        <v>2.6625586999999999</v>
      </c>
      <c r="P636" s="12">
        <v>-2.7170559000000001</v>
      </c>
      <c r="Q636" s="12">
        <v>3.3325140000000002</v>
      </c>
      <c r="R636" s="12">
        <v>-10.718536</v>
      </c>
      <c r="S636" s="12">
        <f t="shared" si="112"/>
        <v>2.9506260997595817</v>
      </c>
      <c r="T636" s="12">
        <f t="shared" si="113"/>
        <v>-27.148535526217806</v>
      </c>
      <c r="U636" s="8"/>
      <c r="V636" s="8"/>
    </row>
    <row r="637" spans="1:22" x14ac:dyDescent="0.35">
      <c r="A637" s="10">
        <v>3.375</v>
      </c>
      <c r="B637">
        <v>15.5</v>
      </c>
      <c r="C637" s="10">
        <v>-7.7495464E-2</v>
      </c>
      <c r="D637" s="10">
        <v>-6.5765509999999999E-2</v>
      </c>
      <c r="E637" s="10">
        <v>0.92253554999999998</v>
      </c>
      <c r="F637" s="10">
        <v>-7.0012186000000004E-2</v>
      </c>
      <c r="G637" s="10">
        <f t="shared" si="104"/>
        <v>3.1505586502414</v>
      </c>
      <c r="H637" s="10">
        <f t="shared" si="105"/>
        <v>-3.1976094872589198</v>
      </c>
      <c r="I637" s="10">
        <f t="shared" si="106"/>
        <v>3.15057866533513</v>
      </c>
      <c r="J637" s="10">
        <f t="shared" si="107"/>
        <v>-3.1997327498346801</v>
      </c>
      <c r="K637" s="7">
        <f t="shared" si="108"/>
        <v>-2.0015093729952599E-5</v>
      </c>
      <c r="L637" s="7">
        <f t="shared" si="109"/>
        <v>2.1232625757603399E-3</v>
      </c>
      <c r="M637" s="7">
        <f t="shared" si="110"/>
        <v>0.156244326810243</v>
      </c>
      <c r="N637" s="7">
        <f t="shared" si="111"/>
        <v>0.15868198911244399</v>
      </c>
      <c r="O637" s="10">
        <v>2.6436719000000002</v>
      </c>
      <c r="P637" s="10">
        <v>-2.9104516999999999</v>
      </c>
      <c r="Q637" s="10">
        <v>3.0271021999999999</v>
      </c>
      <c r="R637" s="10">
        <v>-11.22579</v>
      </c>
      <c r="S637" s="10">
        <f t="shared" si="112"/>
        <v>2.9570455245731919</v>
      </c>
      <c r="T637" s="10">
        <f t="shared" si="113"/>
        <v>-27.158834294966578</v>
      </c>
      <c r="U637" s="8"/>
      <c r="V637" s="8"/>
    </row>
    <row r="638" spans="1:22" x14ac:dyDescent="0.35">
      <c r="A638" s="12">
        <v>3.375</v>
      </c>
      <c r="B638">
        <v>15.5625</v>
      </c>
      <c r="C638" s="12">
        <v>-8.3092735000000001E-2</v>
      </c>
      <c r="D638" s="12">
        <v>-6.4992865999999996E-2</v>
      </c>
      <c r="E638" s="12">
        <v>0.91694498000000002</v>
      </c>
      <c r="F638" s="12">
        <v>-6.9284421999999998E-2</v>
      </c>
      <c r="G638" s="12">
        <f t="shared" si="104"/>
        <v>3.1407476942162602</v>
      </c>
      <c r="H638" s="12">
        <f t="shared" si="105"/>
        <v>-2.9413160067754398</v>
      </c>
      <c r="I638" s="12">
        <f t="shared" si="106"/>
        <v>3.14077115544222</v>
      </c>
      <c r="J638" s="12">
        <f t="shared" si="107"/>
        <v>-2.9434616939705598</v>
      </c>
      <c r="K638" s="7">
        <f t="shared" si="108"/>
        <v>-2.34612259597533E-5</v>
      </c>
      <c r="L638" s="7">
        <f t="shared" si="109"/>
        <v>2.1456871951199799E-3</v>
      </c>
      <c r="M638" s="7">
        <f t="shared" si="110"/>
        <v>0.16951109795354</v>
      </c>
      <c r="N638" s="7">
        <f t="shared" si="111"/>
        <v>0.15886207521505399</v>
      </c>
      <c r="O638" s="12">
        <v>2.6083083999999999</v>
      </c>
      <c r="P638" s="12">
        <v>-3.1124847999999998</v>
      </c>
      <c r="Q638" s="12">
        <v>2.6646955999999999</v>
      </c>
      <c r="R638" s="12">
        <v>-11.733824</v>
      </c>
      <c r="S638" s="12">
        <f t="shared" si="112"/>
        <v>2.9630420414561049</v>
      </c>
      <c r="T638" s="12">
        <f t="shared" si="113"/>
        <v>-27.168910513730477</v>
      </c>
      <c r="U638" s="8"/>
      <c r="V638" s="8"/>
    </row>
    <row r="639" spans="1:22" x14ac:dyDescent="0.35">
      <c r="A639" s="10">
        <v>3.375</v>
      </c>
      <c r="B639">
        <v>15.625</v>
      </c>
      <c r="C639" s="10">
        <v>-8.8897711000000004E-2</v>
      </c>
      <c r="D639" s="10">
        <v>-6.3703564000000004E-2</v>
      </c>
      <c r="E639" s="10">
        <v>0.91114660999999997</v>
      </c>
      <c r="F639" s="10">
        <v>-6.8041988999999997E-2</v>
      </c>
      <c r="G639" s="10">
        <f t="shared" si="104"/>
        <v>3.1310915185731298</v>
      </c>
      <c r="H639" s="10">
        <f t="shared" si="105"/>
        <v>-2.6902176503922299</v>
      </c>
      <c r="I639" s="10">
        <f t="shared" si="106"/>
        <v>3.1311183837299699</v>
      </c>
      <c r="J639" s="10">
        <f t="shared" si="107"/>
        <v>-2.6923867565475201</v>
      </c>
      <c r="K639" s="7">
        <f t="shared" si="108"/>
        <v>-2.6865156840028E-5</v>
      </c>
      <c r="L639" s="7">
        <f t="shared" si="109"/>
        <v>2.1691061552902E-3</v>
      </c>
      <c r="M639" s="7">
        <f t="shared" si="110"/>
        <v>0.183612628257486</v>
      </c>
      <c r="N639" s="7">
        <f t="shared" si="111"/>
        <v>0.157884866705816</v>
      </c>
      <c r="O639" s="10">
        <v>2.5532537</v>
      </c>
      <c r="P639" s="10">
        <v>-3.3204283000000001</v>
      </c>
      <c r="Q639" s="10">
        <v>2.2410800000000002</v>
      </c>
      <c r="R639" s="10">
        <v>-12.235386</v>
      </c>
      <c r="S639" s="10">
        <f t="shared" si="112"/>
        <v>2.969713708253785</v>
      </c>
      <c r="T639" s="10">
        <f t="shared" si="113"/>
        <v>-27.179135562986588</v>
      </c>
      <c r="U639" s="8"/>
      <c r="V639" s="8"/>
    </row>
    <row r="640" spans="1:22" x14ac:dyDescent="0.35">
      <c r="A640" s="12">
        <v>3.375</v>
      </c>
      <c r="B640">
        <v>15.6875</v>
      </c>
      <c r="C640" s="12">
        <v>-9.4858386000000003E-2</v>
      </c>
      <c r="D640" s="12">
        <v>-6.1832308000000002E-2</v>
      </c>
      <c r="E640" s="12">
        <v>0.90522073000000003</v>
      </c>
      <c r="F640" s="12">
        <v>-6.6104624000000001E-2</v>
      </c>
      <c r="G640" s="12">
        <f t="shared" si="104"/>
        <v>3.12383752291047</v>
      </c>
      <c r="H640" s="12">
        <f t="shared" si="105"/>
        <v>-2.4437285067748902</v>
      </c>
      <c r="I640" s="12">
        <f t="shared" si="106"/>
        <v>3.1238816419544002</v>
      </c>
      <c r="J640" s="12">
        <f t="shared" si="107"/>
        <v>-2.44586448603458</v>
      </c>
      <c r="K640" s="7">
        <f t="shared" si="108"/>
        <v>-4.4119043930201899E-5</v>
      </c>
      <c r="L640" s="7">
        <f t="shared" si="109"/>
        <v>2.1359792596897802E-3</v>
      </c>
      <c r="M640" s="7">
        <f t="shared" si="110"/>
        <v>0.198456486382623</v>
      </c>
      <c r="N640" s="7">
        <f t="shared" si="111"/>
        <v>0.155382862637133</v>
      </c>
      <c r="O640" s="12">
        <v>2.4767636</v>
      </c>
      <c r="P640" s="12">
        <v>-3.5333991999999999</v>
      </c>
      <c r="Q640" s="12">
        <v>1.7530243999999999</v>
      </c>
      <c r="R640" s="12">
        <v>-12.721209999999999</v>
      </c>
      <c r="S640" s="12">
        <f t="shared" si="112"/>
        <v>2.9759938437159192</v>
      </c>
      <c r="T640" s="12">
        <f t="shared" si="113"/>
        <v>-27.182703257964565</v>
      </c>
      <c r="U640" s="8"/>
      <c r="V640" s="8"/>
    </row>
    <row r="641" spans="1:22" x14ac:dyDescent="0.35">
      <c r="A641" s="10">
        <v>3.375</v>
      </c>
      <c r="B641">
        <v>15.75</v>
      </c>
      <c r="C641" s="10">
        <v>-0.10089401000000001</v>
      </c>
      <c r="D641" s="10">
        <v>-5.9324717999999999E-2</v>
      </c>
      <c r="E641" s="10">
        <v>0.89919839000000001</v>
      </c>
      <c r="F641" s="10">
        <v>-6.3644114000000002E-2</v>
      </c>
      <c r="G641" s="10">
        <f t="shared" si="104"/>
        <v>3.1144322772546902</v>
      </c>
      <c r="H641" s="10">
        <f t="shared" si="105"/>
        <v>-2.2025657423390501</v>
      </c>
      <c r="I641" s="10">
        <f t="shared" si="106"/>
        <v>3.1144831387476302</v>
      </c>
      <c r="J641" s="10">
        <f t="shared" si="107"/>
        <v>-2.2047252307252201</v>
      </c>
      <c r="K641" s="7">
        <f t="shared" si="108"/>
        <v>-5.0861492939979803E-5</v>
      </c>
      <c r="L641" s="7">
        <f t="shared" si="109"/>
        <v>2.1594883861699699E-3</v>
      </c>
      <c r="M641" s="7">
        <f t="shared" si="110"/>
        <v>0.21389478379549401</v>
      </c>
      <c r="N641" s="7">
        <f t="shared" si="111"/>
        <v>0.151414923615245</v>
      </c>
      <c r="O641" s="10">
        <v>2.3773208000000001</v>
      </c>
      <c r="P641" s="10">
        <v>-3.7478387</v>
      </c>
      <c r="Q641" s="10">
        <v>1.1985371</v>
      </c>
      <c r="R641" s="10">
        <v>-13.182014000000001</v>
      </c>
      <c r="S641" s="10">
        <f t="shared" si="112"/>
        <v>2.9823527130809016</v>
      </c>
      <c r="T641" s="10">
        <f t="shared" si="113"/>
        <v>-27.192512291325759</v>
      </c>
      <c r="U641" s="8"/>
      <c r="V641" s="8"/>
    </row>
    <row r="642" spans="1:22" x14ac:dyDescent="0.35">
      <c r="A642" s="12">
        <v>3.375</v>
      </c>
      <c r="B642">
        <v>15.8125</v>
      </c>
      <c r="C642" s="12">
        <v>-0.10692453</v>
      </c>
      <c r="D642" s="12">
        <v>-5.6121230000000001E-2</v>
      </c>
      <c r="E642" s="12">
        <v>0.89299152999999998</v>
      </c>
      <c r="F642" s="12">
        <v>-6.0641177999999997E-2</v>
      </c>
      <c r="G642" s="12">
        <f t="shared" si="104"/>
        <v>3.1015362857679798</v>
      </c>
      <c r="H642" s="12">
        <f t="shared" si="105"/>
        <v>-1.9645409381144201</v>
      </c>
      <c r="I642" s="12">
        <f t="shared" si="106"/>
        <v>3.10149942210596</v>
      </c>
      <c r="J642" s="12">
        <f t="shared" si="107"/>
        <v>-1.9668010902839299</v>
      </c>
      <c r="K642" s="7">
        <f t="shared" si="108"/>
        <v>3.6863662019825897E-5</v>
      </c>
      <c r="L642" s="7">
        <f t="shared" si="109"/>
        <v>2.2601521695098099E-3</v>
      </c>
      <c r="M642" s="7">
        <f t="shared" si="110"/>
        <v>0.22995182446996401</v>
      </c>
      <c r="N642" s="7">
        <f t="shared" si="111"/>
        <v>0.14582285453827601</v>
      </c>
      <c r="O642" s="12">
        <v>2.2539682999999999</v>
      </c>
      <c r="P642" s="12">
        <v>-3.9619643999999998</v>
      </c>
      <c r="Q642" s="12">
        <v>0.57646483999999998</v>
      </c>
      <c r="R642" s="12">
        <v>-13.607635999999999</v>
      </c>
      <c r="S642" s="12">
        <f t="shared" si="112"/>
        <v>2.9879617022987524</v>
      </c>
      <c r="T642" s="12">
        <f t="shared" si="113"/>
        <v>-27.209831711842575</v>
      </c>
      <c r="U642" s="8"/>
      <c r="V642" s="8"/>
    </row>
    <row r="643" spans="1:22" x14ac:dyDescent="0.35">
      <c r="A643" s="10">
        <v>3.375</v>
      </c>
      <c r="B643">
        <v>15.875</v>
      </c>
      <c r="C643" s="10">
        <v>-0.11283227999999999</v>
      </c>
      <c r="D643" s="10">
        <v>-5.2209358999999997E-2</v>
      </c>
      <c r="E643" s="10">
        <v>0.88708377999999999</v>
      </c>
      <c r="F643" s="10">
        <v>-5.6766021E-2</v>
      </c>
      <c r="G643" s="10">
        <f t="shared" si="104"/>
        <v>3.09256482425821</v>
      </c>
      <c r="H643" s="10">
        <f t="shared" si="105"/>
        <v>-1.7330876070791501</v>
      </c>
      <c r="I643" s="10">
        <f t="shared" si="106"/>
        <v>3.0925280439154799</v>
      </c>
      <c r="J643" s="10">
        <f t="shared" si="107"/>
        <v>-1.73536611750602</v>
      </c>
      <c r="K643" s="7">
        <f t="shared" si="108"/>
        <v>3.6780342730136098E-5</v>
      </c>
      <c r="L643" s="7">
        <f t="shared" si="109"/>
        <v>2.2785104268698798E-3</v>
      </c>
      <c r="M643" s="7">
        <f t="shared" si="110"/>
        <v>0.24592227804630701</v>
      </c>
      <c r="N643" s="7">
        <f t="shared" si="111"/>
        <v>0.13799880964737299</v>
      </c>
      <c r="O643" s="10">
        <v>2.1040014999999999</v>
      </c>
      <c r="P643" s="10">
        <v>-4.1697990000000003</v>
      </c>
      <c r="Q643" s="10">
        <v>-0.10853143</v>
      </c>
      <c r="R643" s="10">
        <v>-13.983116000000001</v>
      </c>
      <c r="S643" s="10">
        <f t="shared" si="112"/>
        <v>2.9939802359589072</v>
      </c>
      <c r="T643" s="10">
        <f t="shared" si="113"/>
        <v>-27.219343714578379</v>
      </c>
      <c r="U643" s="8"/>
      <c r="V643" s="8"/>
    </row>
    <row r="644" spans="1:22" x14ac:dyDescent="0.35">
      <c r="A644" s="12">
        <v>3.375</v>
      </c>
      <c r="B644">
        <v>15.9375</v>
      </c>
      <c r="C644" s="12">
        <v>-0.118505</v>
      </c>
      <c r="D644" s="12">
        <v>-4.7566975999999997E-2</v>
      </c>
      <c r="E644" s="12">
        <v>0.88141174</v>
      </c>
      <c r="F644" s="12">
        <v>-5.2161049000000001E-2</v>
      </c>
      <c r="G644" s="12">
        <f t="shared" si="104"/>
        <v>3.08371266769085</v>
      </c>
      <c r="H644" s="12">
        <f t="shared" si="105"/>
        <v>-1.5062530522848301</v>
      </c>
      <c r="I644" s="12">
        <f t="shared" si="106"/>
        <v>3.0836763129655802</v>
      </c>
      <c r="J644" s="12">
        <f t="shared" si="107"/>
        <v>-1.5085502679260501</v>
      </c>
      <c r="K644" s="7">
        <f t="shared" si="108"/>
        <v>3.63547252697494E-5</v>
      </c>
      <c r="L644" s="7">
        <f t="shared" si="109"/>
        <v>2.2972156412199899E-3</v>
      </c>
      <c r="M644" s="7">
        <f t="shared" si="110"/>
        <v>0.26166592787224402</v>
      </c>
      <c r="N644" s="7">
        <f t="shared" si="111"/>
        <v>0.12800831395276199</v>
      </c>
      <c r="O644" s="12">
        <v>1.9280824999999999</v>
      </c>
      <c r="P644" s="12">
        <v>-4.3682675</v>
      </c>
      <c r="Q644" s="12">
        <v>-0.85263953999999997</v>
      </c>
      <c r="R644" s="12">
        <v>-14.297712000000001</v>
      </c>
      <c r="S644" s="12">
        <f t="shared" si="112"/>
        <v>2.999694381827819</v>
      </c>
      <c r="T644" s="12">
        <f t="shared" si="113"/>
        <v>-27.228660292150654</v>
      </c>
      <c r="U644" s="8"/>
      <c r="V644" s="8"/>
    </row>
    <row r="645" spans="1:22" x14ac:dyDescent="0.35">
      <c r="A645" s="10">
        <v>3.375</v>
      </c>
      <c r="B645">
        <v>16</v>
      </c>
      <c r="C645" s="10">
        <v>-0.12381597</v>
      </c>
      <c r="D645" s="10">
        <v>-4.2206973000000002E-2</v>
      </c>
      <c r="E645" s="10">
        <v>0.87610222999999998</v>
      </c>
      <c r="F645" s="10">
        <v>-4.6839354999999999E-2</v>
      </c>
      <c r="G645" s="10">
        <f t="shared" si="104"/>
        <v>3.0749770673053498</v>
      </c>
      <c r="H645" s="10">
        <f t="shared" si="105"/>
        <v>-1.2839421028598901</v>
      </c>
      <c r="I645" s="10">
        <f t="shared" si="106"/>
        <v>3.0749415310027399</v>
      </c>
      <c r="J645" s="10">
        <f t="shared" si="107"/>
        <v>-1.2862584709081999</v>
      </c>
      <c r="K645" s="7">
        <f t="shared" si="108"/>
        <v>3.5536302609884301E-5</v>
      </c>
      <c r="L645" s="7">
        <f t="shared" si="109"/>
        <v>2.3163680483098098E-3</v>
      </c>
      <c r="M645" s="7">
        <f t="shared" si="110"/>
        <v>0.27677923428741902</v>
      </c>
      <c r="N645" s="7">
        <f t="shared" si="111"/>
        <v>0.115777692383499</v>
      </c>
      <c r="O645" s="10">
        <v>1.7264809000000001</v>
      </c>
      <c r="P645" s="10">
        <v>-4.5518485000000002</v>
      </c>
      <c r="Q645" s="10">
        <v>-1.6480267</v>
      </c>
      <c r="R645" s="10">
        <v>-14.539705</v>
      </c>
      <c r="S645" s="10">
        <f t="shared" si="112"/>
        <v>3.0057501980430517</v>
      </c>
      <c r="T645" s="10">
        <f t="shared" si="113"/>
        <v>-27.238033583588898</v>
      </c>
      <c r="U645" s="8"/>
      <c r="V645" s="8"/>
    </row>
    <row r="646" spans="1:22" x14ac:dyDescent="0.35">
      <c r="A646" s="12">
        <v>3.375</v>
      </c>
      <c r="B646">
        <v>16.0625</v>
      </c>
      <c r="C646" s="12">
        <v>-0.12863689</v>
      </c>
      <c r="D646" s="12">
        <v>-3.6170763000000002E-2</v>
      </c>
      <c r="E646" s="12">
        <v>0.87128359</v>
      </c>
      <c r="F646" s="12">
        <v>-4.0842576999999998E-2</v>
      </c>
      <c r="G646" s="12">
        <f t="shared" si="104"/>
        <v>3.0663553972128801</v>
      </c>
      <c r="H646" s="12">
        <f t="shared" si="105"/>
        <v>-1.0660637375311599</v>
      </c>
      <c r="I646" s="12">
        <f t="shared" si="106"/>
        <v>3.0663210927145799</v>
      </c>
      <c r="J646" s="12">
        <f t="shared" si="107"/>
        <v>-1.06839981754581</v>
      </c>
      <c r="K646" s="7">
        <f t="shared" si="108"/>
        <v>3.4304498300219401E-5</v>
      </c>
      <c r="L646" s="7">
        <f t="shared" si="109"/>
        <v>2.33608001465013E-3</v>
      </c>
      <c r="M646" s="7">
        <f t="shared" si="110"/>
        <v>0.29081736737209102</v>
      </c>
      <c r="N646" s="7">
        <f t="shared" si="111"/>
        <v>0.10132964319285601</v>
      </c>
      <c r="O646" s="12">
        <v>1.5012759</v>
      </c>
      <c r="P646" s="12">
        <v>-4.7168419999999998</v>
      </c>
      <c r="Q646" s="12">
        <v>-2.4839883</v>
      </c>
      <c r="R646" s="12">
        <v>-14.698772999999999</v>
      </c>
      <c r="S646" s="12">
        <f t="shared" si="112"/>
        <v>3.0115566988536986</v>
      </c>
      <c r="T646" s="12">
        <f t="shared" si="113"/>
        <v>-27.247180292774917</v>
      </c>
      <c r="U646" s="8"/>
      <c r="V646" s="8"/>
    </row>
    <row r="647" spans="1:22" x14ac:dyDescent="0.35">
      <c r="A647" s="10">
        <v>3.375</v>
      </c>
      <c r="B647">
        <v>16.125</v>
      </c>
      <c r="C647" s="10">
        <v>-0.13284582</v>
      </c>
      <c r="D647" s="10">
        <v>-2.9529528999999999E-2</v>
      </c>
      <c r="E647" s="10">
        <v>0.86707767000000002</v>
      </c>
      <c r="F647" s="10">
        <v>-3.4242113999999997E-2</v>
      </c>
      <c r="G647" s="10">
        <f t="shared" si="104"/>
        <v>3.0578452012006401</v>
      </c>
      <c r="H647" s="10">
        <f t="shared" si="105"/>
        <v>-0.85253050550348697</v>
      </c>
      <c r="I647" s="10">
        <f t="shared" si="106"/>
        <v>3.0578124974578902</v>
      </c>
      <c r="J647" s="10">
        <f t="shared" si="107"/>
        <v>-0.85488696520943697</v>
      </c>
      <c r="K647" s="7">
        <f t="shared" si="108"/>
        <v>3.2703742749884399E-5</v>
      </c>
      <c r="L647" s="7">
        <f t="shared" si="109"/>
        <v>2.3564597059499998E-3</v>
      </c>
      <c r="M647" s="7">
        <f t="shared" si="110"/>
        <v>0.30332284860564601</v>
      </c>
      <c r="N647" s="7">
        <f t="shared" si="111"/>
        <v>8.4801389797032001E-2</v>
      </c>
      <c r="O647" s="10">
        <v>1.2552905000000001</v>
      </c>
      <c r="P647" s="10">
        <v>-4.8593188999999999</v>
      </c>
      <c r="Q647" s="10">
        <v>-3.3472393999999999</v>
      </c>
      <c r="R647" s="10">
        <v>-14.766679</v>
      </c>
      <c r="S647" s="10">
        <f t="shared" si="112"/>
        <v>3.0168926226555071</v>
      </c>
      <c r="T647" s="10">
        <f t="shared" si="113"/>
        <v>-27.256068424886056</v>
      </c>
      <c r="U647" s="8"/>
      <c r="V647" s="8"/>
    </row>
    <row r="648" spans="1:22" x14ac:dyDescent="0.35">
      <c r="A648" s="12">
        <v>3.375</v>
      </c>
      <c r="B648">
        <v>16.1875</v>
      </c>
      <c r="C648" s="12">
        <v>-0.13633574000000001</v>
      </c>
      <c r="D648" s="12">
        <v>-2.2382811999999998E-2</v>
      </c>
      <c r="E648" s="12">
        <v>0.86359136000000003</v>
      </c>
      <c r="F648" s="12">
        <v>-2.7137664999999998E-2</v>
      </c>
      <c r="G648" s="12">
        <f t="shared" si="104"/>
        <v>3.04944384368887</v>
      </c>
      <c r="H648" s="12">
        <f t="shared" si="105"/>
        <v>-0.64325854480192601</v>
      </c>
      <c r="I648" s="12">
        <f t="shared" si="106"/>
        <v>3.04941304510313</v>
      </c>
      <c r="J648" s="12">
        <f t="shared" si="107"/>
        <v>-0.64563613118632301</v>
      </c>
      <c r="K648" s="7">
        <f t="shared" si="108"/>
        <v>3.07985857399551E-5</v>
      </c>
      <c r="L648" s="7">
        <f t="shared" si="109"/>
        <v>2.377586384397E-3</v>
      </c>
      <c r="M648" s="7">
        <f t="shared" si="110"/>
        <v>0.31386234147291397</v>
      </c>
      <c r="N648" s="7">
        <f t="shared" si="111"/>
        <v>6.6452417195191502E-2</v>
      </c>
      <c r="O648" s="12">
        <v>0.99184581000000005</v>
      </c>
      <c r="P648" s="12">
        <v>-4.9736535000000002</v>
      </c>
      <c r="Q648" s="12">
        <v>-4.2225083999999997</v>
      </c>
      <c r="R648" s="12">
        <v>-14.738144</v>
      </c>
      <c r="S648" s="12">
        <f t="shared" si="112"/>
        <v>3.0229387673981609</v>
      </c>
      <c r="T648" s="12">
        <f t="shared" si="113"/>
        <v>-27.265089677385809</v>
      </c>
      <c r="U648" s="8"/>
      <c r="V648" s="8"/>
    </row>
    <row r="649" spans="1:22" x14ac:dyDescent="0.35">
      <c r="A649" s="10">
        <v>3.375</v>
      </c>
      <c r="B649">
        <v>16.25</v>
      </c>
      <c r="C649" s="10">
        <v>-0.13902248</v>
      </c>
      <c r="D649" s="10">
        <v>-1.4854248E-2</v>
      </c>
      <c r="E649" s="10">
        <v>0.86090856999999998</v>
      </c>
      <c r="F649" s="10">
        <v>-1.9652949999999999E-2</v>
      </c>
      <c r="G649" s="10">
        <f t="shared" si="104"/>
        <v>3.0411483120467899</v>
      </c>
      <c r="H649" s="10">
        <f t="shared" si="105"/>
        <v>-0.43816917650898402</v>
      </c>
      <c r="I649" s="10">
        <f t="shared" si="106"/>
        <v>3.0411195933057402</v>
      </c>
      <c r="J649" s="10">
        <f t="shared" si="107"/>
        <v>-0.44056867913817599</v>
      </c>
      <c r="K649" s="7">
        <f t="shared" si="108"/>
        <v>2.8718741049704699E-5</v>
      </c>
      <c r="L649" s="7">
        <f t="shared" si="109"/>
        <v>2.3995026291919702E-3</v>
      </c>
      <c r="M649" s="7">
        <f t="shared" si="110"/>
        <v>0.32206689425749002</v>
      </c>
      <c r="N649" s="7">
        <f t="shared" si="111"/>
        <v>4.6658009277076098E-2</v>
      </c>
      <c r="O649" s="10">
        <v>0.71601269999999995</v>
      </c>
      <c r="P649" s="10">
        <v>-5.0588316000000004</v>
      </c>
      <c r="Q649" s="10">
        <v>-5.0933169999999999</v>
      </c>
      <c r="R649" s="10">
        <v>-14.611311000000001</v>
      </c>
      <c r="S649" s="10">
        <f t="shared" si="112"/>
        <v>3.0285452869691682</v>
      </c>
      <c r="T649" s="10">
        <f t="shared" si="113"/>
        <v>-27.273876752174814</v>
      </c>
      <c r="U649" s="8"/>
      <c r="V649" s="8"/>
    </row>
    <row r="650" spans="1:22" x14ac:dyDescent="0.35">
      <c r="A650" s="12">
        <v>3.375</v>
      </c>
      <c r="B650">
        <v>16.3125</v>
      </c>
      <c r="C650" s="12">
        <v>-0.14085112</v>
      </c>
      <c r="D650" s="12">
        <v>-7.0847401000000004E-3</v>
      </c>
      <c r="E650" s="12">
        <v>0.85908386999999997</v>
      </c>
      <c r="F650" s="12">
        <v>-1.1928917000000001E-2</v>
      </c>
      <c r="G650" s="12">
        <f t="shared" si="104"/>
        <v>3.0329543869090898</v>
      </c>
      <c r="H650" s="12">
        <f t="shared" si="105"/>
        <v>-0.23719178586843301</v>
      </c>
      <c r="I650" s="12">
        <f t="shared" si="106"/>
        <v>3.0329277479026402</v>
      </c>
      <c r="J650" s="12">
        <f t="shared" si="107"/>
        <v>-0.239614017575105</v>
      </c>
      <c r="K650" s="7">
        <f t="shared" si="108"/>
        <v>2.6639006449613599E-5</v>
      </c>
      <c r="L650" s="7">
        <f t="shared" si="109"/>
        <v>2.4222317066719999E-3</v>
      </c>
      <c r="M650" s="7">
        <f t="shared" si="110"/>
        <v>0.32766921481612798</v>
      </c>
      <c r="N650" s="7">
        <f t="shared" si="111"/>
        <v>2.5887242797678699E-2</v>
      </c>
      <c r="O650" s="12">
        <v>0.43286258</v>
      </c>
      <c r="P650" s="12">
        <v>-5.1126560999999997</v>
      </c>
      <c r="Q650" s="12">
        <v>-5.9430730000000001</v>
      </c>
      <c r="R650" s="12">
        <v>-14.388164</v>
      </c>
      <c r="S650" s="12">
        <f t="shared" si="112"/>
        <v>3.0339919482606454</v>
      </c>
      <c r="T650" s="12">
        <f t="shared" si="113"/>
        <v>-27.282615955894741</v>
      </c>
      <c r="U650" s="8"/>
      <c r="V650" s="8"/>
    </row>
    <row r="651" spans="1:22" x14ac:dyDescent="0.35">
      <c r="A651" s="10">
        <v>3.375</v>
      </c>
      <c r="B651">
        <v>16.375</v>
      </c>
      <c r="C651" s="10">
        <v>-0.14179982999999999</v>
      </c>
      <c r="D651" s="10">
        <v>7.7660988E-4</v>
      </c>
      <c r="E651" s="10">
        <v>0.85813879000000004</v>
      </c>
      <c r="F651" s="10">
        <v>-4.1145527999999999E-3</v>
      </c>
      <c r="G651" s="10">
        <f t="shared" si="104"/>
        <v>3.0248585877997698</v>
      </c>
      <c r="H651" s="10">
        <f t="shared" si="105"/>
        <v>-4.0255292859641197E-2</v>
      </c>
      <c r="I651" s="10">
        <f t="shared" si="106"/>
        <v>3.0248338782408699</v>
      </c>
      <c r="J651" s="10">
        <f t="shared" si="107"/>
        <v>-4.2701009687926797E-2</v>
      </c>
      <c r="K651" s="7">
        <f t="shared" si="108"/>
        <v>2.4709558899882501E-5</v>
      </c>
      <c r="L651" s="7">
        <f t="shared" si="109"/>
        <v>2.4457168282856E-3</v>
      </c>
      <c r="M651" s="7">
        <f t="shared" si="110"/>
        <v>0.33053079791633799</v>
      </c>
      <c r="N651" s="7">
        <f t="shared" si="111"/>
        <v>4.6660409702207898E-3</v>
      </c>
      <c r="O651" s="10">
        <v>0.14780225999999999</v>
      </c>
      <c r="P651" s="10">
        <v>-5.1344884000000004</v>
      </c>
      <c r="Q651" s="10">
        <v>-6.7560492999999999</v>
      </c>
      <c r="R651" s="10">
        <v>-14.074309</v>
      </c>
      <c r="S651" s="10">
        <f t="shared" si="112"/>
        <v>3.039329525368621</v>
      </c>
      <c r="T651" s="10">
        <f t="shared" si="113"/>
        <v>-27.291137088932192</v>
      </c>
      <c r="U651" s="8"/>
      <c r="V651" s="8"/>
    </row>
    <row r="652" spans="1:22" x14ac:dyDescent="0.35">
      <c r="A652" s="12">
        <v>3.375</v>
      </c>
      <c r="B652">
        <v>16.4375</v>
      </c>
      <c r="C652" s="12">
        <v>-0.14188039</v>
      </c>
      <c r="D652" s="12">
        <v>8.5822998999999997E-3</v>
      </c>
      <c r="E652" s="12">
        <v>0.85806136</v>
      </c>
      <c r="F652" s="12">
        <v>3.6428989999999998E-3</v>
      </c>
      <c r="G652" s="12">
        <f t="shared" si="104"/>
        <v>3.0168584037374599</v>
      </c>
      <c r="H652" s="12">
        <f t="shared" si="105"/>
        <v>0.15271930501509601</v>
      </c>
      <c r="I652" s="12">
        <f t="shared" si="106"/>
        <v>3.0168353778052301</v>
      </c>
      <c r="J652" s="12">
        <f t="shared" si="107"/>
        <v>0.150249475764164</v>
      </c>
      <c r="K652" s="7">
        <f t="shared" si="108"/>
        <v>2.30259322298032E-5</v>
      </c>
      <c r="L652" s="7">
        <f t="shared" si="109"/>
        <v>2.4698292509320002E-3</v>
      </c>
      <c r="M652" s="7">
        <f t="shared" si="110"/>
        <v>0.33065302101373101</v>
      </c>
      <c r="N652" s="7">
        <f t="shared" si="111"/>
        <v>-1.6467734180210001E-2</v>
      </c>
      <c r="O652" s="12">
        <v>-0.13383218999999999</v>
      </c>
      <c r="P652" s="12">
        <v>-5.1247280000000002</v>
      </c>
      <c r="Q652" s="12">
        <v>-7.5184572999999997</v>
      </c>
      <c r="R652" s="12">
        <v>-13.678545</v>
      </c>
      <c r="S652" s="12">
        <f t="shared" si="112"/>
        <v>3.0447128246182822</v>
      </c>
      <c r="T652" s="12">
        <f t="shared" si="113"/>
        <v>-27.299601821490722</v>
      </c>
      <c r="U652" s="8"/>
      <c r="V652" s="8"/>
    </row>
    <row r="653" spans="1:22" x14ac:dyDescent="0.35">
      <c r="A653" s="10">
        <v>3.375</v>
      </c>
      <c r="B653">
        <v>16.5</v>
      </c>
      <c r="C653" s="10">
        <v>-0.14113569000000001</v>
      </c>
      <c r="D653" s="10">
        <v>1.6194531000000002E-2</v>
      </c>
      <c r="E653" s="10">
        <v>0.85880849999999997</v>
      </c>
      <c r="F653" s="10">
        <v>1.1205898000000001E-2</v>
      </c>
      <c r="G653" s="10">
        <f t="shared" si="104"/>
        <v>3.0089495083073401</v>
      </c>
      <c r="H653" s="10">
        <f t="shared" si="105"/>
        <v>0.341796866752613</v>
      </c>
      <c r="I653" s="10">
        <f t="shared" si="106"/>
        <v>3.0089278246255802</v>
      </c>
      <c r="J653" s="10">
        <f t="shared" si="107"/>
        <v>0.33930242655929399</v>
      </c>
      <c r="K653" s="7">
        <f t="shared" si="108"/>
        <v>2.1683681759920899E-5</v>
      </c>
      <c r="L653" s="7">
        <f t="shared" si="109"/>
        <v>2.4944401933190098E-3</v>
      </c>
      <c r="M653" s="7">
        <f t="shared" si="110"/>
        <v>0.32817127148699698</v>
      </c>
      <c r="N653" s="7">
        <f t="shared" si="111"/>
        <v>-3.7006307639314201E-2</v>
      </c>
      <c r="O653" s="10">
        <v>-0.40710476000000001</v>
      </c>
      <c r="P653" s="10">
        <v>-5.0853780000000004</v>
      </c>
      <c r="Q653" s="10">
        <v>-8.2191089000000002</v>
      </c>
      <c r="R653" s="10">
        <v>-13.212265</v>
      </c>
      <c r="S653" s="10">
        <f t="shared" si="112"/>
        <v>3.0500211397225527</v>
      </c>
      <c r="T653" s="10">
        <f t="shared" si="113"/>
        <v>-27.307994687441781</v>
      </c>
      <c r="U653" s="8"/>
      <c r="V653" s="8"/>
    </row>
    <row r="654" spans="1:22" x14ac:dyDescent="0.35">
      <c r="A654" s="12">
        <v>3.375</v>
      </c>
      <c r="B654">
        <v>16.5625</v>
      </c>
      <c r="C654" s="12">
        <v>-0.13963476</v>
      </c>
      <c r="D654" s="12">
        <v>2.3492839000000001E-2</v>
      </c>
      <c r="E654" s="12">
        <v>0.86031100000000005</v>
      </c>
      <c r="F654" s="12">
        <v>1.8454203999999998E-2</v>
      </c>
      <c r="G654" s="12">
        <f t="shared" si="104"/>
        <v>3.00112780854163</v>
      </c>
      <c r="H654" s="12">
        <f t="shared" si="105"/>
        <v>0.52703498089231604</v>
      </c>
      <c r="I654" s="12">
        <f t="shared" si="106"/>
        <v>3.0011070352429101</v>
      </c>
      <c r="J654" s="12">
        <f t="shared" si="107"/>
        <v>0.52451554273061796</v>
      </c>
      <c r="K654" s="7">
        <f t="shared" si="108"/>
        <v>2.0773298719856101E-5</v>
      </c>
      <c r="L654" s="7">
        <f t="shared" si="109"/>
        <v>2.51943816169808E-3</v>
      </c>
      <c r="M654" s="7">
        <f t="shared" si="110"/>
        <v>0.32333383302034602</v>
      </c>
      <c r="N654" s="7">
        <f t="shared" si="111"/>
        <v>-5.6510353985462301E-2</v>
      </c>
      <c r="O654" s="12">
        <v>-0.66775945000000003</v>
      </c>
      <c r="P654" s="12">
        <v>-5.0191479000000001</v>
      </c>
      <c r="Q654" s="12">
        <v>-8.8497927999999995</v>
      </c>
      <c r="R654" s="12">
        <v>-12.688452</v>
      </c>
      <c r="S654" s="12">
        <f t="shared" si="112"/>
        <v>3.0552419406873108</v>
      </c>
      <c r="T654" s="12">
        <f t="shared" si="113"/>
        <v>-27.316286487897425</v>
      </c>
      <c r="U654" s="8"/>
      <c r="V654" s="8"/>
    </row>
    <row r="655" spans="1:22" x14ac:dyDescent="0.35">
      <c r="A655" s="10">
        <v>3.375</v>
      </c>
      <c r="B655">
        <v>16.625</v>
      </c>
      <c r="C655" s="10">
        <v>-0.13746611</v>
      </c>
      <c r="D655" s="10">
        <v>3.0379310999999999E-2</v>
      </c>
      <c r="E655" s="10">
        <v>0.86248022000000002</v>
      </c>
      <c r="F655" s="10">
        <v>2.5290044000000001E-2</v>
      </c>
      <c r="G655" s="10">
        <f t="shared" si="104"/>
        <v>2.9933886971064401</v>
      </c>
      <c r="H655" s="10">
        <f t="shared" si="105"/>
        <v>0.70848731359387396</v>
      </c>
      <c r="I655" s="10">
        <f t="shared" si="106"/>
        <v>2.9933683370253301</v>
      </c>
      <c r="J655" s="10">
        <f t="shared" si="107"/>
        <v>0.70594255999646605</v>
      </c>
      <c r="K655" s="7">
        <f t="shared" si="108"/>
        <v>2.0360081109949101E-5</v>
      </c>
      <c r="L655" s="7">
        <f t="shared" si="109"/>
        <v>2.5447535974079099E-3</v>
      </c>
      <c r="M655" s="7">
        <f t="shared" si="110"/>
        <v>0.316470251487381</v>
      </c>
      <c r="N655" s="7">
        <f t="shared" si="111"/>
        <v>-7.4634924387468202E-2</v>
      </c>
      <c r="O655" s="10">
        <v>-0.91239166999999999</v>
      </c>
      <c r="P655" s="10">
        <v>-4.9293721000000001</v>
      </c>
      <c r="Q655" s="10">
        <v>-9.4055102000000002</v>
      </c>
      <c r="R655" s="10">
        <v>-12.120792</v>
      </c>
      <c r="S655" s="10">
        <f t="shared" si="112"/>
        <v>3.0603836976854928</v>
      </c>
      <c r="T655" s="10">
        <f t="shared" si="113"/>
        <v>-27.324437315829581</v>
      </c>
      <c r="U655" s="8"/>
      <c r="V655" s="8"/>
    </row>
    <row r="656" spans="1:22" x14ac:dyDescent="0.35">
      <c r="A656" s="12">
        <v>3.375</v>
      </c>
      <c r="B656">
        <v>16.6875</v>
      </c>
      <c r="C656" s="12">
        <v>-0.13473025</v>
      </c>
      <c r="D656" s="12">
        <v>3.6781019999999998E-2</v>
      </c>
      <c r="E656" s="12">
        <v>0.86521552999999995</v>
      </c>
      <c r="F656" s="12">
        <v>3.1640551000000003E-2</v>
      </c>
      <c r="G656" s="12">
        <f t="shared" si="104"/>
        <v>2.9857290931457201</v>
      </c>
      <c r="H656" s="12">
        <f t="shared" si="105"/>
        <v>0.88620292679607904</v>
      </c>
      <c r="I656" s="12">
        <f t="shared" si="106"/>
        <v>2.9857085890097799</v>
      </c>
      <c r="J656" s="12">
        <f t="shared" si="107"/>
        <v>0.883632569913264</v>
      </c>
      <c r="K656" s="7">
        <f t="shared" si="108"/>
        <v>2.0504135940235799E-5</v>
      </c>
      <c r="L656" s="7">
        <f t="shared" si="109"/>
        <v>2.57035688281504E-3</v>
      </c>
      <c r="M656" s="7">
        <f t="shared" si="110"/>
        <v>0.30795542168089401</v>
      </c>
      <c r="N656" s="7">
        <f t="shared" si="111"/>
        <v>-9.1140656419138502E-2</v>
      </c>
      <c r="O656" s="12">
        <v>-1.1384945</v>
      </c>
      <c r="P656" s="12">
        <v>-4.8197368000000003</v>
      </c>
      <c r="Q656" s="12">
        <v>-9.8843645999999996</v>
      </c>
      <c r="R656" s="12">
        <v>-11.522926</v>
      </c>
      <c r="S656" s="12">
        <f t="shared" si="112"/>
        <v>3.0655016001590196</v>
      </c>
      <c r="T656" s="12">
        <f t="shared" si="113"/>
        <v>-27.332480178104049</v>
      </c>
      <c r="U656" s="8"/>
      <c r="V656" s="8"/>
    </row>
    <row r="657" spans="1:22" x14ac:dyDescent="0.35">
      <c r="A657" s="10">
        <v>3.375</v>
      </c>
      <c r="B657">
        <v>16.75</v>
      </c>
      <c r="C657" s="10">
        <v>-0.13153264000000001</v>
      </c>
      <c r="D657" s="10">
        <v>4.2650113000000003E-2</v>
      </c>
      <c r="E657" s="10">
        <v>0.86841137000000002</v>
      </c>
      <c r="F657" s="10">
        <v>3.7457873000000003E-2</v>
      </c>
      <c r="G657" s="10">
        <f t="shared" si="104"/>
        <v>2.9781461134872398</v>
      </c>
      <c r="H657" s="10">
        <f t="shared" si="105"/>
        <v>1.0602259285922999</v>
      </c>
      <c r="I657" s="10">
        <f t="shared" si="106"/>
        <v>2.9781248580631901</v>
      </c>
      <c r="J657" s="10">
        <f t="shared" si="107"/>
        <v>1.05762968072871</v>
      </c>
      <c r="K657" s="7">
        <f t="shared" si="108"/>
        <v>2.1255424049737601E-5</v>
      </c>
      <c r="L657" s="7">
        <f t="shared" si="109"/>
        <v>2.5962478635899199E-3</v>
      </c>
      <c r="M657" s="7">
        <f t="shared" si="110"/>
        <v>0.29817601569010899</v>
      </c>
      <c r="N657" s="7">
        <f t="shared" si="111"/>
        <v>-0.10589206944143401</v>
      </c>
      <c r="O657" s="10">
        <v>-1.3445130000000001</v>
      </c>
      <c r="P657" s="10">
        <v>-4.6942113000000001</v>
      </c>
      <c r="Q657" s="10">
        <v>-10.287197000000001</v>
      </c>
      <c r="R657" s="10">
        <v>-10.907654000000001</v>
      </c>
      <c r="S657" s="10">
        <f t="shared" si="112"/>
        <v>3.0705620492430277</v>
      </c>
      <c r="T657" s="10">
        <f t="shared" si="113"/>
        <v>-27.340467238223269</v>
      </c>
      <c r="U657" s="8"/>
      <c r="V657" s="8"/>
    </row>
    <row r="658" spans="1:22" x14ac:dyDescent="0.35">
      <c r="A658" s="12">
        <v>3.375</v>
      </c>
      <c r="B658">
        <v>16.8125</v>
      </c>
      <c r="C658" s="12">
        <v>-0.12797744999999999</v>
      </c>
      <c r="D658" s="12">
        <v>4.7962004000000003E-2</v>
      </c>
      <c r="E658" s="12">
        <v>0.87196346999999996</v>
      </c>
      <c r="F658" s="12">
        <v>4.2717409999999997E-2</v>
      </c>
      <c r="G658" s="12">
        <f t="shared" si="104"/>
        <v>2.9706384257224201</v>
      </c>
      <c r="H658" s="12">
        <f t="shared" si="105"/>
        <v>1.2305973327979201</v>
      </c>
      <c r="I658" s="12">
        <f t="shared" si="106"/>
        <v>2.9706157618534599</v>
      </c>
      <c r="J658" s="12">
        <f t="shared" si="107"/>
        <v>1.22797489889983</v>
      </c>
      <c r="K658" s="7">
        <f t="shared" si="108"/>
        <v>2.2663868960215401E-5</v>
      </c>
      <c r="L658" s="7">
        <f t="shared" si="109"/>
        <v>2.6224338980900298E-3</v>
      </c>
      <c r="M658" s="7">
        <f t="shared" si="110"/>
        <v>0.28750267692206299</v>
      </c>
      <c r="N658" s="7">
        <f t="shared" si="111"/>
        <v>-0.11884609082075399</v>
      </c>
      <c r="O658" s="12">
        <v>-1.5297339000000001</v>
      </c>
      <c r="P658" s="12">
        <v>-4.5566399999999998</v>
      </c>
      <c r="Q658" s="12">
        <v>-10.616973</v>
      </c>
      <c r="R658" s="12">
        <v>-10.286405999999999</v>
      </c>
      <c r="S658" s="12">
        <f t="shared" si="112"/>
        <v>3.075538016450662</v>
      </c>
      <c r="T658" s="12">
        <f t="shared" si="113"/>
        <v>-27.348311151408531</v>
      </c>
      <c r="U658" s="8"/>
      <c r="V658" s="8"/>
    </row>
    <row r="659" spans="1:22" x14ac:dyDescent="0.35">
      <c r="A659" s="10">
        <v>3.375</v>
      </c>
      <c r="B659">
        <v>16.875</v>
      </c>
      <c r="C659" s="10">
        <v>-0.12416286</v>
      </c>
      <c r="D659" s="10">
        <v>5.2712188E-2</v>
      </c>
      <c r="E659" s="10">
        <v>0.87577358000000005</v>
      </c>
      <c r="F659" s="10">
        <v>4.7414643999999999E-2</v>
      </c>
      <c r="G659" s="10">
        <f t="shared" si="104"/>
        <v>2.9632055940142399</v>
      </c>
      <c r="H659" s="10">
        <f t="shared" si="105"/>
        <v>1.3973531659241101</v>
      </c>
      <c r="I659" s="10">
        <f t="shared" si="106"/>
        <v>2.9631808296170501</v>
      </c>
      <c r="J659" s="10">
        <f t="shared" si="107"/>
        <v>1.3947042441461299</v>
      </c>
      <c r="K659" s="7">
        <f t="shared" si="108"/>
        <v>2.4764397189791499E-5</v>
      </c>
      <c r="L659" s="7">
        <f t="shared" si="109"/>
        <v>2.6489217779801502E-3</v>
      </c>
      <c r="M659" s="7">
        <f t="shared" si="110"/>
        <v>0.27627075638888399</v>
      </c>
      <c r="N659" s="7">
        <f t="shared" si="111"/>
        <v>-0.13003458736564399</v>
      </c>
      <c r="O659" s="10">
        <v>-1.6941546000000001</v>
      </c>
      <c r="P659" s="10">
        <v>-4.4105929000000001</v>
      </c>
      <c r="Q659" s="10">
        <v>-10.87837</v>
      </c>
      <c r="R659" s="10">
        <v>-9.6690124999999991</v>
      </c>
      <c r="S659" s="10">
        <f t="shared" si="112"/>
        <v>3.0804303696587731</v>
      </c>
      <c r="T659" s="10">
        <f t="shared" si="113"/>
        <v>-27.356070566692662</v>
      </c>
      <c r="U659" s="8"/>
      <c r="V659" s="8"/>
    </row>
    <row r="660" spans="1:22" x14ac:dyDescent="0.35">
      <c r="A660" s="12">
        <v>3.375</v>
      </c>
      <c r="B660">
        <v>16.9375</v>
      </c>
      <c r="C660" s="12">
        <v>-0.12017775</v>
      </c>
      <c r="D660" s="12">
        <v>5.6912459999999998E-2</v>
      </c>
      <c r="E660" s="12">
        <v>0.87975270000000005</v>
      </c>
      <c r="F660" s="12">
        <v>5.1561425000000001E-2</v>
      </c>
      <c r="G660" s="12">
        <f t="shared" si="104"/>
        <v>2.9558471482180702</v>
      </c>
      <c r="H660" s="12">
        <f t="shared" si="105"/>
        <v>1.56052507443597</v>
      </c>
      <c r="I660" s="12">
        <f t="shared" si="106"/>
        <v>2.95581953109822</v>
      </c>
      <c r="J660" s="12">
        <f t="shared" si="107"/>
        <v>1.5578493899989501</v>
      </c>
      <c r="K660" s="7">
        <f t="shared" si="108"/>
        <v>2.76171198501096E-5</v>
      </c>
      <c r="L660" s="7">
        <f t="shared" si="109"/>
        <v>2.67568443701993E-3</v>
      </c>
      <c r="M660" s="7">
        <f t="shared" si="110"/>
        <v>0.264769084883613</v>
      </c>
      <c r="N660" s="7">
        <f t="shared" si="111"/>
        <v>-0.13954517623180601</v>
      </c>
      <c r="O660" s="12">
        <v>-1.8383646</v>
      </c>
      <c r="P660" s="12">
        <v>-4.2593079999999999</v>
      </c>
      <c r="Q660" s="12">
        <v>-11.077127000000001</v>
      </c>
      <c r="R660" s="12">
        <v>-9.0635291999999996</v>
      </c>
      <c r="S660" s="12">
        <f t="shared" si="112"/>
        <v>3.085205993480908</v>
      </c>
      <c r="T660" s="12">
        <f t="shared" si="113"/>
        <v>-27.363711691922674</v>
      </c>
      <c r="U660" s="8"/>
      <c r="V660" s="8"/>
    </row>
    <row r="661" spans="1:22" x14ac:dyDescent="0.35">
      <c r="A661" s="10">
        <v>3.375</v>
      </c>
      <c r="B661">
        <v>17</v>
      </c>
      <c r="C661" s="10">
        <v>-0.11608881</v>
      </c>
      <c r="D661" s="10">
        <v>6.0589754000000003E-2</v>
      </c>
      <c r="E661" s="10">
        <v>0.88398615000000003</v>
      </c>
      <c r="F661" s="10">
        <v>5.5084421000000001E-2</v>
      </c>
      <c r="G661" s="10">
        <f t="shared" si="104"/>
        <v>2.95120731536064</v>
      </c>
      <c r="H661" s="10">
        <f t="shared" si="105"/>
        <v>1.7213830683528699</v>
      </c>
      <c r="I661" s="10">
        <f t="shared" si="106"/>
        <v>2.9512523702194899</v>
      </c>
      <c r="J661" s="10">
        <f t="shared" si="107"/>
        <v>1.7186306290353</v>
      </c>
      <c r="K661" s="7">
        <f t="shared" si="108"/>
        <v>-4.5054858849979998E-5</v>
      </c>
      <c r="L661" s="7">
        <f t="shared" si="109"/>
        <v>2.7524393175699701E-3</v>
      </c>
      <c r="M661" s="7">
        <f t="shared" si="110"/>
        <v>0.25303139489262999</v>
      </c>
      <c r="N661" s="7">
        <f t="shared" si="111"/>
        <v>-0.147350158786203</v>
      </c>
      <c r="O661" s="10">
        <v>-1.9641057</v>
      </c>
      <c r="P661" s="10">
        <v>-4.1048292999999996</v>
      </c>
      <c r="Q661" s="10">
        <v>-11.219487000000001</v>
      </c>
      <c r="R661" s="10">
        <v>-8.4743103000000009</v>
      </c>
      <c r="S661" s="10">
        <f t="shared" si="112"/>
        <v>3.0898055781729092</v>
      </c>
      <c r="T661" s="10">
        <f t="shared" si="113"/>
        <v>-27.36500659070936</v>
      </c>
      <c r="U661" s="8"/>
      <c r="V661" s="8"/>
    </row>
    <row r="662" spans="1:22" x14ac:dyDescent="0.35">
      <c r="A662" s="12">
        <v>3.5</v>
      </c>
      <c r="B662">
        <v>15</v>
      </c>
      <c r="C662" s="12">
        <v>-4.5085123999999997E-2</v>
      </c>
      <c r="D662" s="12">
        <v>-6.4182049000000005E-2</v>
      </c>
      <c r="E662" s="12">
        <v>0.95490708000000002</v>
      </c>
      <c r="F662" s="12">
        <v>-6.8310860000000001E-2</v>
      </c>
      <c r="G662" s="12">
        <f t="shared" si="104"/>
        <v>3.0107240346384101</v>
      </c>
      <c r="H662" s="12">
        <f t="shared" si="105"/>
        <v>-5.1570533265396898</v>
      </c>
      <c r="I662" s="12">
        <f t="shared" si="106"/>
        <v>3.0107243984249599</v>
      </c>
      <c r="J662" s="12">
        <f t="shared" si="107"/>
        <v>-5.1591177393357697</v>
      </c>
      <c r="K662" s="7">
        <f t="shared" si="108"/>
        <v>-3.6378654977298202E-7</v>
      </c>
      <c r="L662" s="7">
        <f t="shared" si="109"/>
        <v>2.0644127960798299E-3</v>
      </c>
      <c r="M662" s="7">
        <f t="shared" si="110"/>
        <v>8.4379025405489194E-2</v>
      </c>
      <c r="N662" s="7">
        <f t="shared" si="111"/>
        <v>0.14459022786179199</v>
      </c>
      <c r="O662" s="12">
        <v>2.5577093999999998</v>
      </c>
      <c r="P662" s="12">
        <v>-1.6773286999999999</v>
      </c>
      <c r="Q662" s="12">
        <v>4.3903299999999996</v>
      </c>
      <c r="R662" s="12">
        <v>-7.7040588999999997</v>
      </c>
      <c r="S662" s="12">
        <f t="shared" si="112"/>
        <v>2.8990668158418491</v>
      </c>
      <c r="T662" s="12">
        <f t="shared" si="113"/>
        <v>-27.065786988359829</v>
      </c>
      <c r="U662" s="8"/>
      <c r="V662" s="8"/>
    </row>
    <row r="663" spans="1:22" x14ac:dyDescent="0.35">
      <c r="A663" s="10">
        <v>3.5</v>
      </c>
      <c r="B663">
        <v>15.0625</v>
      </c>
      <c r="C663" s="10">
        <v>-4.8625259999999997E-2</v>
      </c>
      <c r="D663" s="10">
        <v>-6.5590937000000002E-2</v>
      </c>
      <c r="E663" s="10">
        <v>0.95137157999999999</v>
      </c>
      <c r="F663" s="10">
        <v>-6.9758435999999993E-2</v>
      </c>
      <c r="G663" s="10">
        <f t="shared" si="104"/>
        <v>3.0011369892350901</v>
      </c>
      <c r="H663" s="10">
        <f t="shared" si="105"/>
        <v>-4.87154375201587</v>
      </c>
      <c r="I663" s="10">
        <f t="shared" si="106"/>
        <v>3.0011397512463001</v>
      </c>
      <c r="J663" s="10">
        <f t="shared" si="107"/>
        <v>-4.8736274990528496</v>
      </c>
      <c r="K663" s="7">
        <f t="shared" si="108"/>
        <v>-2.7620112099668901E-6</v>
      </c>
      <c r="L663" s="7">
        <f t="shared" si="109"/>
        <v>2.0837470369796701E-3</v>
      </c>
      <c r="M663" s="7">
        <f t="shared" si="110"/>
        <v>9.1612441831507796E-2</v>
      </c>
      <c r="N663" s="7">
        <f t="shared" si="111"/>
        <v>0.14877178431294399</v>
      </c>
      <c r="O663" s="10">
        <v>2.6004909</v>
      </c>
      <c r="P663" s="10">
        <v>-1.8026017000000001</v>
      </c>
      <c r="Q663" s="10">
        <v>4.3484870999999998</v>
      </c>
      <c r="R663" s="10">
        <v>-8.1103374000000006</v>
      </c>
      <c r="S663" s="10">
        <f t="shared" si="112"/>
        <v>2.9083678773749893</v>
      </c>
      <c r="T663" s="10">
        <f t="shared" si="113"/>
        <v>-27.072476085561426</v>
      </c>
      <c r="U663" s="8"/>
      <c r="V663" s="8"/>
    </row>
    <row r="664" spans="1:22" x14ac:dyDescent="0.35">
      <c r="A664" s="12">
        <v>3.5</v>
      </c>
      <c r="B664">
        <v>15.125</v>
      </c>
      <c r="C664" s="12">
        <v>-5.2423458999999999E-2</v>
      </c>
      <c r="D664" s="12">
        <v>-6.6876985E-2</v>
      </c>
      <c r="E664" s="12">
        <v>0.94757652000000003</v>
      </c>
      <c r="F664" s="12">
        <v>-7.1080962999999997E-2</v>
      </c>
      <c r="G664" s="12">
        <f t="shared" si="104"/>
        <v>2.99195366956326</v>
      </c>
      <c r="H664" s="12">
        <f t="shared" si="105"/>
        <v>-4.5936760608769296</v>
      </c>
      <c r="I664" s="12">
        <f t="shared" si="106"/>
        <v>2.9919580774016299</v>
      </c>
      <c r="J664" s="12">
        <f t="shared" si="107"/>
        <v>-4.5957780406337703</v>
      </c>
      <c r="K664" s="7">
        <f t="shared" si="108"/>
        <v>-4.4078383698575896E-6</v>
      </c>
      <c r="L664" s="7">
        <f t="shared" si="109"/>
        <v>2.1019797568406799E-3</v>
      </c>
      <c r="M664" s="7">
        <f t="shared" si="110"/>
        <v>9.9489880563544394E-2</v>
      </c>
      <c r="N664" s="7">
        <f t="shared" si="111"/>
        <v>0.152820793784751</v>
      </c>
      <c r="O664" s="12">
        <v>2.6398456000000001</v>
      </c>
      <c r="P664" s="12">
        <v>-1.9371697000000001</v>
      </c>
      <c r="Q664" s="12">
        <v>4.2823919999999998</v>
      </c>
      <c r="R664" s="12">
        <v>-8.5348883000000004</v>
      </c>
      <c r="S664" s="12">
        <f t="shared" si="112"/>
        <v>2.9162948864273837</v>
      </c>
      <c r="T664" s="12">
        <f t="shared" si="113"/>
        <v>-27.082786850124652</v>
      </c>
      <c r="U664" s="8"/>
      <c r="V664" s="8"/>
    </row>
    <row r="665" spans="1:22" x14ac:dyDescent="0.35">
      <c r="A665" s="10">
        <v>3.5</v>
      </c>
      <c r="B665">
        <v>15.1875</v>
      </c>
      <c r="C665" s="10">
        <v>-5.6502005000000001E-2</v>
      </c>
      <c r="D665" s="10">
        <v>-6.8013857999999996E-2</v>
      </c>
      <c r="E665" s="10">
        <v>0.94350124000000002</v>
      </c>
      <c r="F665" s="10">
        <v>-7.2255089999999994E-2</v>
      </c>
      <c r="G665" s="10">
        <f t="shared" si="104"/>
        <v>2.9828858288072801</v>
      </c>
      <c r="H665" s="10">
        <f t="shared" si="105"/>
        <v>-4.32228353240796</v>
      </c>
      <c r="I665" s="10">
        <f t="shared" si="106"/>
        <v>2.98289194827476</v>
      </c>
      <c r="J665" s="10">
        <f t="shared" si="107"/>
        <v>-4.32440413199026</v>
      </c>
      <c r="K665" s="7">
        <f t="shared" si="108"/>
        <v>-6.1194674798592496E-6</v>
      </c>
      <c r="L665" s="7">
        <f t="shared" si="109"/>
        <v>2.12059958229993E-3</v>
      </c>
      <c r="M665" s="7">
        <f t="shared" si="110"/>
        <v>0.108083175147106</v>
      </c>
      <c r="N665" s="7">
        <f t="shared" si="111"/>
        <v>0.15669200806120501</v>
      </c>
      <c r="O665" s="10">
        <v>2.6743787999999999</v>
      </c>
      <c r="P665" s="10">
        <v>-2.0817814000000001</v>
      </c>
      <c r="Q665" s="10">
        <v>4.1884166</v>
      </c>
      <c r="R665" s="10">
        <v>-8.9785371999999999</v>
      </c>
      <c r="S665" s="10">
        <f t="shared" si="112"/>
        <v>2.9233038852960291</v>
      </c>
      <c r="T665" s="10">
        <f t="shared" si="113"/>
        <v>-27.09353108018896</v>
      </c>
      <c r="U665" s="8"/>
      <c r="V665" s="8"/>
    </row>
    <row r="666" spans="1:22" x14ac:dyDescent="0.35">
      <c r="A666" s="12">
        <v>3.5</v>
      </c>
      <c r="B666">
        <v>15.25</v>
      </c>
      <c r="C666" s="12">
        <v>-6.0875506000000003E-2</v>
      </c>
      <c r="D666" s="12">
        <v>-6.8964583999999995E-2</v>
      </c>
      <c r="E666" s="12">
        <v>0.93913150000000001</v>
      </c>
      <c r="F666" s="12">
        <v>-7.3244922000000004E-2</v>
      </c>
      <c r="G666" s="12">
        <f t="shared" si="104"/>
        <v>2.9739151121916798</v>
      </c>
      <c r="H666" s="12">
        <f t="shared" si="105"/>
        <v>-4.0568243818366199</v>
      </c>
      <c r="I666" s="12">
        <f t="shared" si="106"/>
        <v>2.9739231954336498</v>
      </c>
      <c r="J666" s="12">
        <f t="shared" si="107"/>
        <v>-4.0589645260401896</v>
      </c>
      <c r="K666" s="7">
        <f t="shared" si="108"/>
        <v>-8.0832419699916596E-6</v>
      </c>
      <c r="L666" s="7">
        <f t="shared" si="109"/>
        <v>2.14014420356978E-3</v>
      </c>
      <c r="M666" s="7">
        <f t="shared" si="110"/>
        <v>0.117456249474249</v>
      </c>
      <c r="N666" s="7">
        <f t="shared" si="111"/>
        <v>0.16031037745350499</v>
      </c>
      <c r="O666" s="12">
        <v>2.7021544999999998</v>
      </c>
      <c r="P666" s="12">
        <v>-2.2365455999999999</v>
      </c>
      <c r="Q666" s="12">
        <v>4.0622232</v>
      </c>
      <c r="R666" s="12">
        <v>-9.4407536000000007</v>
      </c>
      <c r="S666" s="12">
        <f t="shared" si="112"/>
        <v>2.9300389243333451</v>
      </c>
      <c r="T666" s="12">
        <f t="shared" si="113"/>
        <v>-27.104262424561679</v>
      </c>
      <c r="U666" s="8"/>
      <c r="V666" s="8"/>
    </row>
    <row r="667" spans="1:22" x14ac:dyDescent="0.35">
      <c r="A667" s="10">
        <v>3.5</v>
      </c>
      <c r="B667">
        <v>15.3125</v>
      </c>
      <c r="C667" s="10">
        <v>-6.5552758000000003E-2</v>
      </c>
      <c r="D667" s="10">
        <v>-6.9685413000000002E-2</v>
      </c>
      <c r="E667" s="10">
        <v>0.93445864999999995</v>
      </c>
      <c r="F667" s="10">
        <v>-7.4006998000000004E-2</v>
      </c>
      <c r="G667" s="10">
        <f t="shared" si="104"/>
        <v>2.96505189665907</v>
      </c>
      <c r="H667" s="10">
        <f t="shared" si="105"/>
        <v>-3.79697289841718</v>
      </c>
      <c r="I667" s="10">
        <f t="shared" si="106"/>
        <v>2.9650622695490698</v>
      </c>
      <c r="J667" s="10">
        <f t="shared" si="107"/>
        <v>-3.79913365617857</v>
      </c>
      <c r="K667" s="7">
        <f t="shared" si="108"/>
        <v>-1.0372889999832301E-5</v>
      </c>
      <c r="L667" s="7">
        <f t="shared" si="109"/>
        <v>2.1607577613900202E-3</v>
      </c>
      <c r="M667" s="7">
        <f t="shared" si="110"/>
        <v>0.12766677678242599</v>
      </c>
      <c r="N667" s="7">
        <f t="shared" si="111"/>
        <v>0.16357941397423501</v>
      </c>
      <c r="O667" s="10">
        <v>2.7211902000000001</v>
      </c>
      <c r="P667" s="10">
        <v>-2.4013667999999999</v>
      </c>
      <c r="Q667" s="10">
        <v>3.8991682999999999</v>
      </c>
      <c r="R667" s="10">
        <v>-9.9201084999999996</v>
      </c>
      <c r="S667" s="10">
        <f t="shared" si="112"/>
        <v>2.9369437098161182</v>
      </c>
      <c r="T667" s="10">
        <f t="shared" si="113"/>
        <v>-27.114929551837019</v>
      </c>
      <c r="U667" s="8"/>
      <c r="V667" s="8"/>
    </row>
    <row r="668" spans="1:22" x14ac:dyDescent="0.35">
      <c r="A668" s="12">
        <v>3.5</v>
      </c>
      <c r="B668">
        <v>15.375</v>
      </c>
      <c r="C668" s="12">
        <v>-7.0536128000000003E-2</v>
      </c>
      <c r="D668" s="12">
        <v>-7.0126448999999993E-2</v>
      </c>
      <c r="E668" s="12">
        <v>0.92948032999999997</v>
      </c>
      <c r="F668" s="12">
        <v>-7.4491446000000003E-2</v>
      </c>
      <c r="G668" s="12">
        <f t="shared" si="104"/>
        <v>2.9563053624532798</v>
      </c>
      <c r="H668" s="12">
        <f t="shared" si="105"/>
        <v>-3.5425032416773501</v>
      </c>
      <c r="I668" s="12">
        <f t="shared" si="106"/>
        <v>2.95631835454498</v>
      </c>
      <c r="J668" s="12">
        <f t="shared" si="107"/>
        <v>-3.54468569386272</v>
      </c>
      <c r="K668" s="7">
        <f t="shared" si="108"/>
        <v>-1.2992091700248E-5</v>
      </c>
      <c r="L668" s="7">
        <f t="shared" si="109"/>
        <v>2.18245218536994E-3</v>
      </c>
      <c r="M668" s="7">
        <f t="shared" si="110"/>
        <v>0.13876422413460901</v>
      </c>
      <c r="N668" s="7">
        <f t="shared" si="111"/>
        <v>0.16638112040731601</v>
      </c>
      <c r="O668" s="12">
        <v>2.7302295000000001</v>
      </c>
      <c r="P668" s="12">
        <v>-2.5767069</v>
      </c>
      <c r="Q668" s="12">
        <v>3.6944305000000002</v>
      </c>
      <c r="R668" s="12">
        <v>-10.414510999999999</v>
      </c>
      <c r="S668" s="12">
        <f t="shared" si="112"/>
        <v>2.9435173860704347</v>
      </c>
      <c r="T668" s="12">
        <f t="shared" si="113"/>
        <v>-27.125461002234559</v>
      </c>
      <c r="U668" s="8"/>
      <c r="V668" s="8"/>
    </row>
    <row r="669" spans="1:22" x14ac:dyDescent="0.35">
      <c r="A669" s="10">
        <v>3.5</v>
      </c>
      <c r="B669">
        <v>15.4375</v>
      </c>
      <c r="C669" s="10">
        <v>-7.5820257000000002E-2</v>
      </c>
      <c r="D669" s="10">
        <v>-7.0232084E-2</v>
      </c>
      <c r="E669" s="10">
        <v>0.92420179999999996</v>
      </c>
      <c r="F669" s="10">
        <v>-7.4642642999999995E-2</v>
      </c>
      <c r="G669" s="10">
        <f t="shared" si="104"/>
        <v>2.94768057773264</v>
      </c>
      <c r="H669" s="10">
        <f t="shared" si="105"/>
        <v>-3.2932386165887002</v>
      </c>
      <c r="I669" s="10">
        <f t="shared" si="106"/>
        <v>2.9476964691841401</v>
      </c>
      <c r="J669" s="10">
        <f t="shared" si="107"/>
        <v>-3.2954438367233401</v>
      </c>
      <c r="K669" s="7">
        <f t="shared" si="108"/>
        <v>-1.58914515000497E-5</v>
      </c>
      <c r="L669" s="7">
        <f t="shared" si="109"/>
        <v>2.2052201346398599E-3</v>
      </c>
      <c r="M669" s="7">
        <f t="shared" si="110"/>
        <v>0.15078607050679499</v>
      </c>
      <c r="N669" s="7">
        <f t="shared" si="111"/>
        <v>0.16857469278473</v>
      </c>
      <c r="O669" s="10">
        <v>2.7270623999999999</v>
      </c>
      <c r="P669" s="10">
        <v>-2.7620654999999998</v>
      </c>
      <c r="Q669" s="10">
        <v>3.4429414999999999</v>
      </c>
      <c r="R669" s="10">
        <v>-10.920419000000001</v>
      </c>
      <c r="S669" s="10">
        <f t="shared" si="112"/>
        <v>2.9499844606317436</v>
      </c>
      <c r="T669" s="10">
        <f t="shared" si="113"/>
        <v>-27.135850141607115</v>
      </c>
      <c r="U669" s="8"/>
      <c r="V669" s="8"/>
    </row>
    <row r="670" spans="1:22" x14ac:dyDescent="0.35">
      <c r="A670" s="12">
        <v>3.5</v>
      </c>
      <c r="B670">
        <v>15.5</v>
      </c>
      <c r="C670" s="12">
        <v>-8.1394670000000002E-2</v>
      </c>
      <c r="D670" s="12">
        <v>-6.9941728999999994E-2</v>
      </c>
      <c r="E670" s="12">
        <v>0.91865620000000003</v>
      </c>
      <c r="F670" s="12">
        <v>-7.4293076E-2</v>
      </c>
      <c r="G670" s="12">
        <f t="shared" si="104"/>
        <v>2.94145484513216</v>
      </c>
      <c r="H670" s="12">
        <f t="shared" si="105"/>
        <v>-3.0490806572187901</v>
      </c>
      <c r="I670" s="12">
        <f t="shared" si="106"/>
        <v>2.9414850126568401</v>
      </c>
      <c r="J670" s="12">
        <f t="shared" si="107"/>
        <v>-3.0512562097489302</v>
      </c>
      <c r="K670" s="7">
        <f t="shared" si="108"/>
        <v>-3.01675246801025E-5</v>
      </c>
      <c r="L670" s="7">
        <f t="shared" si="109"/>
        <v>2.17555253014012E-3</v>
      </c>
      <c r="M670" s="7">
        <f t="shared" si="110"/>
        <v>0.16375700777719901</v>
      </c>
      <c r="N670" s="7">
        <f t="shared" si="111"/>
        <v>0.169868139636982</v>
      </c>
      <c r="O670" s="12">
        <v>2.7089878999999999</v>
      </c>
      <c r="P670" s="12">
        <v>-2.9567339000000001</v>
      </c>
      <c r="Q670" s="12">
        <v>3.1399149</v>
      </c>
      <c r="R670" s="12">
        <v>-11.433244999999999</v>
      </c>
      <c r="S670" s="12">
        <f t="shared" si="112"/>
        <v>2.9566769188352375</v>
      </c>
      <c r="T670" s="12">
        <f t="shared" si="113"/>
        <v>-27.139658896077609</v>
      </c>
      <c r="U670" s="8"/>
      <c r="V670" s="8"/>
    </row>
    <row r="671" spans="1:22" x14ac:dyDescent="0.35">
      <c r="A671" s="10">
        <v>3.5</v>
      </c>
      <c r="B671">
        <v>15.5625</v>
      </c>
      <c r="C671" s="10">
        <v>-8.7233195999999999E-2</v>
      </c>
      <c r="D671" s="10">
        <v>-6.9180999000000007E-2</v>
      </c>
      <c r="E671" s="10">
        <v>0.91268351999999997</v>
      </c>
      <c r="F671" s="10">
        <v>-7.3775381000000001E-2</v>
      </c>
      <c r="G671" s="10">
        <f t="shared" si="104"/>
        <v>2.9290076204781399</v>
      </c>
      <c r="H671" s="10">
        <f t="shared" si="105"/>
        <v>-2.8071975019095801</v>
      </c>
      <c r="I671" s="10">
        <f t="shared" si="106"/>
        <v>2.9289712544619499</v>
      </c>
      <c r="J671" s="10">
        <f t="shared" si="107"/>
        <v>-2.8094948721163502</v>
      </c>
      <c r="K671" s="7">
        <f t="shared" si="108"/>
        <v>3.6366016189948203E-5</v>
      </c>
      <c r="L671" s="7">
        <f t="shared" si="109"/>
        <v>2.2973702067701201E-3</v>
      </c>
      <c r="M671" s="7">
        <f t="shared" si="110"/>
        <v>0.177813709280053</v>
      </c>
      <c r="N671" s="7">
        <f t="shared" si="111"/>
        <v>0.170560466803239</v>
      </c>
      <c r="O671" s="10">
        <v>2.6760552999999998</v>
      </c>
      <c r="P671" s="10">
        <v>-3.1610450000000001</v>
      </c>
      <c r="Q671" s="10">
        <v>2.7791402000000001</v>
      </c>
      <c r="R671" s="10">
        <v>-11.949439999999999</v>
      </c>
      <c r="S671" s="10">
        <f t="shared" si="112"/>
        <v>2.9621738105360067</v>
      </c>
      <c r="T671" s="10">
        <f t="shared" si="113"/>
        <v>-27.157544431663016</v>
      </c>
      <c r="U671" s="8"/>
      <c r="V671" s="8"/>
    </row>
    <row r="672" spans="1:22" x14ac:dyDescent="0.35">
      <c r="A672" s="12">
        <v>3.5</v>
      </c>
      <c r="B672">
        <v>15.625</v>
      </c>
      <c r="C672" s="12">
        <v>-9.3282455E-2</v>
      </c>
      <c r="D672" s="12">
        <v>-6.7903269000000002E-2</v>
      </c>
      <c r="E672" s="12">
        <v>0.90663212999999998</v>
      </c>
      <c r="F672" s="12">
        <v>-7.2536819000000002E-2</v>
      </c>
      <c r="G672" s="12">
        <f t="shared" si="104"/>
        <v>2.92091854039161</v>
      </c>
      <c r="H672" s="12">
        <f t="shared" si="105"/>
        <v>-2.5728069213901299</v>
      </c>
      <c r="I672" s="12">
        <f t="shared" si="106"/>
        <v>2.92088119917294</v>
      </c>
      <c r="J672" s="12">
        <f t="shared" si="107"/>
        <v>-2.5751238818529099</v>
      </c>
      <c r="K672" s="7">
        <f t="shared" si="108"/>
        <v>3.73412186700506E-5</v>
      </c>
      <c r="L672" s="7">
        <f t="shared" si="109"/>
        <v>2.31696046277996E-3</v>
      </c>
      <c r="M672" s="7">
        <f t="shared" si="110"/>
        <v>0.19263455795857101</v>
      </c>
      <c r="N672" s="7">
        <f t="shared" si="111"/>
        <v>0.16983157370787799</v>
      </c>
      <c r="O672" s="12">
        <v>2.6232264000000001</v>
      </c>
      <c r="P672" s="12">
        <v>-3.3710906999999999</v>
      </c>
      <c r="Q672" s="12">
        <v>2.3587140999999998</v>
      </c>
      <c r="R672" s="12">
        <v>-12.458314</v>
      </c>
      <c r="S672" s="12">
        <f t="shared" si="112"/>
        <v>2.9684381946590412</v>
      </c>
      <c r="T672" s="12">
        <f t="shared" si="113"/>
        <v>-27.167568514134604</v>
      </c>
      <c r="U672" s="8"/>
      <c r="V672" s="8"/>
    </row>
    <row r="673" spans="1:22" x14ac:dyDescent="0.35">
      <c r="A673" s="10">
        <v>3.5</v>
      </c>
      <c r="B673">
        <v>15.6875</v>
      </c>
      <c r="C673" s="10">
        <v>-9.9496003999999999E-2</v>
      </c>
      <c r="D673" s="10">
        <v>-6.6034838999999998E-2</v>
      </c>
      <c r="E673" s="10">
        <v>0.90041680999999996</v>
      </c>
      <c r="F673" s="10">
        <v>-7.0708187000000006E-2</v>
      </c>
      <c r="G673" s="10">
        <f t="shared" si="104"/>
        <v>2.9129311975168899</v>
      </c>
      <c r="H673" s="10">
        <f t="shared" si="105"/>
        <v>-2.3430842380703698</v>
      </c>
      <c r="I673" s="10">
        <f t="shared" si="106"/>
        <v>2.9128930633461398</v>
      </c>
      <c r="J673" s="10">
        <f t="shared" si="107"/>
        <v>-2.3454211030484502</v>
      </c>
      <c r="K673" s="7">
        <f t="shared" si="108"/>
        <v>3.8134170750048199E-5</v>
      </c>
      <c r="L673" s="7">
        <f t="shared" si="109"/>
        <v>2.3368649780803898E-3</v>
      </c>
      <c r="M673" s="7">
        <f t="shared" si="110"/>
        <v>0.20827286422309399</v>
      </c>
      <c r="N673" s="7">
        <f t="shared" si="111"/>
        <v>0.16769842226203999</v>
      </c>
      <c r="O673" s="10">
        <v>2.5490743</v>
      </c>
      <c r="P673" s="10">
        <v>-3.5854389000000002</v>
      </c>
      <c r="Q673" s="10">
        <v>1.8742696999999999</v>
      </c>
      <c r="R673" s="10">
        <v>-12.95312</v>
      </c>
      <c r="S673" s="10">
        <f t="shared" si="112"/>
        <v>2.9750756792703341</v>
      </c>
      <c r="T673" s="10">
        <f t="shared" si="113"/>
        <v>-27.177644055931545</v>
      </c>
      <c r="U673" s="8"/>
      <c r="V673" s="8"/>
    </row>
    <row r="674" spans="1:22" x14ac:dyDescent="0.35">
      <c r="A674" s="12">
        <v>3.5</v>
      </c>
      <c r="B674">
        <v>15.75</v>
      </c>
      <c r="C674" s="12">
        <v>-0.10580186</v>
      </c>
      <c r="D674" s="12">
        <v>-6.3515990999999994E-2</v>
      </c>
      <c r="E674" s="12">
        <v>0.89410951000000005</v>
      </c>
      <c r="F674" s="12">
        <v>-6.8229735999999999E-2</v>
      </c>
      <c r="G674" s="12">
        <f t="shared" si="104"/>
        <v>2.9050434936415099</v>
      </c>
      <c r="H674" s="12">
        <f t="shared" si="105"/>
        <v>-2.1179220248002499</v>
      </c>
      <c r="I674" s="12">
        <f t="shared" si="106"/>
        <v>2.9050047322332802</v>
      </c>
      <c r="J674" s="12">
        <f t="shared" si="107"/>
        <v>-2.1202790931094402</v>
      </c>
      <c r="K674" s="7">
        <f t="shared" si="108"/>
        <v>3.87614082297816E-5</v>
      </c>
      <c r="L674" s="7">
        <f t="shared" si="109"/>
        <v>2.3570683091902501E-3</v>
      </c>
      <c r="M674" s="7">
        <f t="shared" si="110"/>
        <v>0.224591148033397</v>
      </c>
      <c r="N674" s="7">
        <f t="shared" si="111"/>
        <v>0.163922595508674</v>
      </c>
      <c r="O674" s="12">
        <v>2.4525674</v>
      </c>
      <c r="P674" s="12">
        <v>-3.8028279</v>
      </c>
      <c r="Q674" s="12">
        <v>1.3237717</v>
      </c>
      <c r="R674" s="12">
        <v>-13.423961</v>
      </c>
      <c r="S674" s="12">
        <f t="shared" si="112"/>
        <v>2.980940672634838</v>
      </c>
      <c r="T674" s="12">
        <f t="shared" si="113"/>
        <v>-27.187408519250553</v>
      </c>
      <c r="U674" s="8"/>
      <c r="V674" s="8"/>
    </row>
    <row r="675" spans="1:22" x14ac:dyDescent="0.35">
      <c r="A675" s="10">
        <v>3.5</v>
      </c>
      <c r="B675">
        <v>15.8125</v>
      </c>
      <c r="C675" s="10">
        <v>-0.11211098999999999</v>
      </c>
      <c r="D675" s="10">
        <v>-6.0296437000000001E-2</v>
      </c>
      <c r="E675" s="10">
        <v>0.88779934000000005</v>
      </c>
      <c r="F675" s="10">
        <v>-6.5051147000000004E-2</v>
      </c>
      <c r="G675" s="10">
        <f t="shared" si="104"/>
        <v>2.89725344127549</v>
      </c>
      <c r="H675" s="10">
        <f t="shared" si="105"/>
        <v>-1.89721933143349</v>
      </c>
      <c r="I675" s="10">
        <f t="shared" si="106"/>
        <v>2.8972142568103201</v>
      </c>
      <c r="J675" s="10">
        <f t="shared" si="107"/>
        <v>-1.89959688618654</v>
      </c>
      <c r="K675" s="7">
        <f t="shared" si="108"/>
        <v>3.9184465169927997E-5</v>
      </c>
      <c r="L675" s="7">
        <f t="shared" si="109"/>
        <v>2.3775547530500199E-3</v>
      </c>
      <c r="M675" s="7">
        <f t="shared" si="110"/>
        <v>0.24138787762147701</v>
      </c>
      <c r="N675" s="7">
        <f t="shared" si="111"/>
        <v>0.15826915790403501</v>
      </c>
      <c r="O675" s="10">
        <v>2.3310559999999998</v>
      </c>
      <c r="P675" s="10">
        <v>-4.0185114999999998</v>
      </c>
      <c r="Q675" s="10">
        <v>0.70696046999999995</v>
      </c>
      <c r="R675" s="10">
        <v>-13.860048000000001</v>
      </c>
      <c r="S675" s="10">
        <f t="shared" si="112"/>
        <v>2.9873116318332986</v>
      </c>
      <c r="T675" s="10">
        <f t="shared" si="113"/>
        <v>-27.197180529661111</v>
      </c>
      <c r="U675" s="8"/>
      <c r="V675" s="8"/>
    </row>
    <row r="676" spans="1:22" x14ac:dyDescent="0.35">
      <c r="A676" s="12">
        <v>3.5</v>
      </c>
      <c r="B676">
        <v>15.875</v>
      </c>
      <c r="C676" s="12">
        <v>-0.11831818</v>
      </c>
      <c r="D676" s="12">
        <v>-5.6340398E-2</v>
      </c>
      <c r="E676" s="12">
        <v>0.88159158999999998</v>
      </c>
      <c r="F676" s="12">
        <v>-6.1136676000000001E-2</v>
      </c>
      <c r="G676" s="12">
        <f t="shared" si="104"/>
        <v>2.8895591020420799</v>
      </c>
      <c r="H676" s="12">
        <f t="shared" si="105"/>
        <v>-1.68088129680632</v>
      </c>
      <c r="I676" s="12">
        <f t="shared" si="106"/>
        <v>2.88951973682265</v>
      </c>
      <c r="J676" s="12">
        <f t="shared" si="107"/>
        <v>-1.68327963841077</v>
      </c>
      <c r="K676" s="7">
        <f t="shared" si="108"/>
        <v>3.9365219429932097E-5</v>
      </c>
      <c r="L676" s="7">
        <f t="shared" si="109"/>
        <v>2.3983416044499602E-3</v>
      </c>
      <c r="M676" s="7">
        <f t="shared" si="110"/>
        <v>0.25839069416352101</v>
      </c>
      <c r="N676" s="7">
        <f t="shared" si="111"/>
        <v>0.15052459711472599</v>
      </c>
      <c r="O676" s="12">
        <v>2.1841868</v>
      </c>
      <c r="P676" s="12">
        <v>-4.2299594999999997</v>
      </c>
      <c r="Q676" s="12">
        <v>2.5726476000000002E-2</v>
      </c>
      <c r="R676" s="12">
        <v>-14.249423999999999</v>
      </c>
      <c r="S676" s="12">
        <f t="shared" si="112"/>
        <v>2.9932095366665972</v>
      </c>
      <c r="T676" s="12">
        <f t="shared" si="113"/>
        <v>-27.206629569928598</v>
      </c>
      <c r="U676" s="8"/>
      <c r="V676" s="8"/>
    </row>
    <row r="677" spans="1:22" x14ac:dyDescent="0.35">
      <c r="A677" s="10">
        <v>3.5</v>
      </c>
      <c r="B677">
        <v>15.9375</v>
      </c>
      <c r="C677" s="10">
        <v>-0.12430471</v>
      </c>
      <c r="D677" s="10">
        <v>-5.163185E-2</v>
      </c>
      <c r="E677" s="10">
        <v>0.87560512000000001</v>
      </c>
      <c r="F677" s="10">
        <v>-5.6470407E-2</v>
      </c>
      <c r="G677" s="10">
        <f t="shared" ref="G677:G740" si="114">IMREAL(IMDIV(IMSUM(IMPRODUCT(COMPLEX(1 + C677,D677),COMPLEX(1 - C677, - D677)),IMPRODUCT(COMPLEX(E677,F677),COMPLEX(E677,F677))),IMSUB(IMPRODUCT(COMPLEX(1 - C677, - D677),COMPLEX(1 - C677, - D677)),IMPRODUCT(COMPLEX(E677,F677),COMPLEX(E677,F677)))))</f>
        <v>2.8819581623225501</v>
      </c>
      <c r="H677" s="10">
        <f t="shared" ref="H677:H740" si="115">IMAGINARY(IMDIV(IMSUM(IMPRODUCT(COMPLEX(1 + C677,D677),COMPLEX(1 - C677, - D677)),IMPRODUCT(COMPLEX(E677,F677),COMPLEX(E677,F677))),IMSUB(IMPRODUCT(COMPLEX(1 - C677, - D677),COMPLEX(1 - C677, - D677)),IMPRODUCT(COMPLEX(E677,F677),COMPLEX(E677,F677)))))</f>
        <v>-1.46881757089409</v>
      </c>
      <c r="I677" s="10">
        <f t="shared" ref="I677:I740" si="116">IMREAL(IMDIV(IMPRODUCT(COMPLEX(2,0),COMPLEX(E677,F677)),IMSUB(IMPRODUCT(COMPLEX(1 - C677, - D677),COMPLEX(1 - C677, - D677)),IMPRODUCT(COMPLEX(E677,F677),COMPLEX(E677,F677)))))</f>
        <v>2.8819189289557001</v>
      </c>
      <c r="J677" s="10">
        <f t="shared" ref="J677:J740" si="117">IMAGINARY(IMDIV(IMPRODUCT(COMPLEX(2,0),COMPLEX(E677,F677)),IMSUB(IMPRODUCT(COMPLEX(1 - C677, - D677),COMPLEX(1 - C677, - D677)),IMPRODUCT(COMPLEX(E677,F677),COMPLEX(E677,F677)))))</f>
        <v>-1.4712370533929</v>
      </c>
      <c r="K677" s="7">
        <f t="shared" ref="K677:K740" si="118">IMREAL(IMSUB(COMPLEX(G677,H677),COMPLEX(I677,J677)))</f>
        <v>3.92333668499667E-5</v>
      </c>
      <c r="L677" s="7">
        <f t="shared" ref="L677:L740" si="119">IMAGINARY(IMSUB(COMPLEX(G677,H677),COMPLEX(I677,J677)))</f>
        <v>2.41948249880997E-3</v>
      </c>
      <c r="M677" s="7">
        <f t="shared" ref="M677:M740" si="120">IMREAL(IMDIV(IMSUB(IMPRODUCT(COMPLEX(1 - C677, - D677),COMPLEX(1 - C677, - D677)),IMPRODUCT(COMPLEX(E677,F677),COMPLEX(E677,F677))),IMPRODUCT(COMPLEX(2,0),COMPLEX(E677,F677))))</f>
        <v>0.27525503873818702</v>
      </c>
      <c r="N677" s="7">
        <f t="shared" ref="N677:N740" si="121">IMAGINARY(IMDIV(IMSUB(IMPRODUCT(COMPLEX(1 - C677, - D677),COMPLEX(1 - C677, - D677)),IMPRODUCT(COMPLEX(E677,F677),COMPLEX(E677,F677))),IMPRODUCT(COMPLEX(2,0),COMPLEX(E677,F677))))</f>
        <v>0.14051936300354601</v>
      </c>
      <c r="O677" s="10">
        <v>2.0111734000000001</v>
      </c>
      <c r="P677" s="10">
        <v>-4.4322229000000002</v>
      </c>
      <c r="Q677" s="10">
        <v>-0.71548933999999997</v>
      </c>
      <c r="R677" s="10">
        <v>-14.58028</v>
      </c>
      <c r="S677" s="10">
        <f t="shared" ref="S677:S740" si="122">IMABS(COMPLEX(Q677,R677))/IMABS(COMPLEX(O677,P677))</f>
        <v>2.9992381380569144</v>
      </c>
      <c r="T677" s="10">
        <f t="shared" ref="T677:T740" si="123">IMARGUMENT(IMDIV(COMPLEX(Q677,R677),COMPLEX(O677/B677,P677/B677)))/PI()*180</f>
        <v>-27.216119422522283</v>
      </c>
      <c r="U677" s="8"/>
      <c r="V677" s="8"/>
    </row>
    <row r="678" spans="1:22" x14ac:dyDescent="0.35">
      <c r="A678" s="12">
        <v>3.5</v>
      </c>
      <c r="B678">
        <v>16</v>
      </c>
      <c r="C678" s="12">
        <v>-0.12994275999999999</v>
      </c>
      <c r="D678" s="12">
        <v>-4.6179301999999998E-2</v>
      </c>
      <c r="E678" s="12">
        <v>0.86996788000000003</v>
      </c>
      <c r="F678" s="12">
        <v>-5.1061042000000001E-2</v>
      </c>
      <c r="G678" s="12">
        <f t="shared" si="114"/>
        <v>2.8744486163087002</v>
      </c>
      <c r="H678" s="12">
        <f t="shared" si="115"/>
        <v>-1.2609424134215099</v>
      </c>
      <c r="I678" s="12">
        <f t="shared" si="116"/>
        <v>2.87440989292182</v>
      </c>
      <c r="J678" s="12">
        <f t="shared" si="117"/>
        <v>-1.2633834870074301</v>
      </c>
      <c r="K678" s="7">
        <f t="shared" si="118"/>
        <v>3.87233868801573E-5</v>
      </c>
      <c r="L678" s="7">
        <f t="shared" si="119"/>
        <v>2.4410735859201598E-3</v>
      </c>
      <c r="M678" s="7">
        <f t="shared" si="120"/>
        <v>0.291570500312133</v>
      </c>
      <c r="N678" s="7">
        <f t="shared" si="121"/>
        <v>0.12815338421285499</v>
      </c>
      <c r="O678" s="12">
        <v>1.8128675000000001</v>
      </c>
      <c r="P678" s="12">
        <v>-4.6216774000000003</v>
      </c>
      <c r="Q678" s="12">
        <v>-1.5094869</v>
      </c>
      <c r="R678" s="12">
        <v>-14.840968</v>
      </c>
      <c r="S678" s="12">
        <f t="shared" si="122"/>
        <v>3.0048336420420108</v>
      </c>
      <c r="T678" s="12">
        <f t="shared" si="123"/>
        <v>-27.22537901225359</v>
      </c>
      <c r="U678" s="8"/>
      <c r="V678" s="8"/>
    </row>
    <row r="679" spans="1:22" x14ac:dyDescent="0.35">
      <c r="A679" s="10">
        <v>3.5</v>
      </c>
      <c r="B679">
        <v>16.0625</v>
      </c>
      <c r="C679" s="10">
        <v>-0.13510169</v>
      </c>
      <c r="D679" s="10">
        <v>-4.0019403000000002E-2</v>
      </c>
      <c r="E679" s="10">
        <v>0.86481054999999996</v>
      </c>
      <c r="F679" s="10">
        <v>-4.4945462999999998E-2</v>
      </c>
      <c r="G679" s="10">
        <f t="shared" si="114"/>
        <v>2.8670281363641501</v>
      </c>
      <c r="H679" s="10">
        <f t="shared" si="115"/>
        <v>-1.05717336194681</v>
      </c>
      <c r="I679" s="10">
        <f t="shared" si="116"/>
        <v>2.8669903217172501</v>
      </c>
      <c r="J679" s="10">
        <f t="shared" si="117"/>
        <v>-1.059636593172</v>
      </c>
      <c r="K679" s="7">
        <f t="shared" si="118"/>
        <v>3.7814646900002899E-5</v>
      </c>
      <c r="L679" s="7">
        <f t="shared" si="119"/>
        <v>2.4632312251899901E-3</v>
      </c>
      <c r="M679" s="7">
        <f t="shared" si="120"/>
        <v>0.30687734657550397</v>
      </c>
      <c r="N679" s="7">
        <f t="shared" si="121"/>
        <v>0.113421542997103</v>
      </c>
      <c r="O679" s="10">
        <v>1.5902016999999999</v>
      </c>
      <c r="P679" s="10">
        <v>-4.7923476000000003</v>
      </c>
      <c r="Q679" s="10">
        <v>-2.3461949</v>
      </c>
      <c r="R679" s="10">
        <v>-15.020751000000001</v>
      </c>
      <c r="S679" s="10">
        <f t="shared" si="122"/>
        <v>3.0108943611538539</v>
      </c>
      <c r="T679" s="10">
        <f t="shared" si="123"/>
        <v>-27.234619372331018</v>
      </c>
      <c r="U679" s="8"/>
      <c r="V679" s="8"/>
    </row>
    <row r="680" spans="1:22" x14ac:dyDescent="0.35">
      <c r="A680" s="12">
        <v>3.5</v>
      </c>
      <c r="B680">
        <v>16.125</v>
      </c>
      <c r="C680" s="12">
        <v>-0.13965569999999999</v>
      </c>
      <c r="D680" s="12">
        <v>-3.3218591999999998E-2</v>
      </c>
      <c r="E680" s="12">
        <v>0.86025889</v>
      </c>
      <c r="F680" s="12">
        <v>-3.8190346E-2</v>
      </c>
      <c r="G680" s="12">
        <f t="shared" si="114"/>
        <v>2.8596949828410798</v>
      </c>
      <c r="H680" s="12">
        <f t="shared" si="115"/>
        <v>-0.85743157197023601</v>
      </c>
      <c r="I680" s="12">
        <f t="shared" si="116"/>
        <v>2.8596584563553198</v>
      </c>
      <c r="J680" s="12">
        <f t="shared" si="117"/>
        <v>-0.85991764593837705</v>
      </c>
      <c r="K680" s="7">
        <f t="shared" si="118"/>
        <v>3.6526485760024499E-5</v>
      </c>
      <c r="L680" s="7">
        <f t="shared" si="119"/>
        <v>2.4860739681410401E-3</v>
      </c>
      <c r="M680" s="7">
        <f t="shared" si="120"/>
        <v>0.32069360023536098</v>
      </c>
      <c r="N680" s="7">
        <f t="shared" si="121"/>
        <v>9.6434623221882204E-2</v>
      </c>
      <c r="O680" s="12">
        <v>1.3463773999999999</v>
      </c>
      <c r="P680" s="12">
        <v>-4.9419398000000001</v>
      </c>
      <c r="Q680" s="12">
        <v>-3.2130342999999999</v>
      </c>
      <c r="R680" s="12">
        <v>-15.111229</v>
      </c>
      <c r="S680" s="12">
        <f t="shared" si="122"/>
        <v>3.0161769088727328</v>
      </c>
      <c r="T680" s="12">
        <f t="shared" si="123"/>
        <v>-27.243532243971757</v>
      </c>
      <c r="U680" s="8"/>
      <c r="V680" s="8"/>
    </row>
    <row r="681" spans="1:22" x14ac:dyDescent="0.35">
      <c r="A681" s="10">
        <v>3.5</v>
      </c>
      <c r="B681">
        <v>16.1875</v>
      </c>
      <c r="C681" s="10">
        <v>-0.14349228999999999</v>
      </c>
      <c r="D681" s="10">
        <v>-2.5872144E-2</v>
      </c>
      <c r="E681" s="10">
        <v>0.85642525000000003</v>
      </c>
      <c r="F681" s="10">
        <v>-3.0891120000000001E-2</v>
      </c>
      <c r="G681" s="10">
        <f t="shared" si="114"/>
        <v>2.85244694871513</v>
      </c>
      <c r="H681" s="10">
        <f t="shared" si="115"/>
        <v>-0.66163853797786099</v>
      </c>
      <c r="I681" s="10">
        <f t="shared" si="116"/>
        <v>2.8524120152845098</v>
      </c>
      <c r="J681" s="10">
        <f t="shared" si="117"/>
        <v>-0.66414821711695704</v>
      </c>
      <c r="K681" s="7">
        <f t="shared" si="118"/>
        <v>3.4933430620220897E-5</v>
      </c>
      <c r="L681" s="7">
        <f t="shared" si="119"/>
        <v>2.5096791390960501E-3</v>
      </c>
      <c r="M681" s="7">
        <f t="shared" si="120"/>
        <v>0.33255177414756298</v>
      </c>
      <c r="N681" s="7">
        <f t="shared" si="121"/>
        <v>7.7430492760407005E-2</v>
      </c>
      <c r="O681" s="10">
        <v>1.0843445</v>
      </c>
      <c r="P681" s="10">
        <v>-5.0648062999999999</v>
      </c>
      <c r="Q681" s="10">
        <v>-4.0953977999999998</v>
      </c>
      <c r="R681" s="10">
        <v>-15.106673000000001</v>
      </c>
      <c r="S681" s="10">
        <f t="shared" si="122"/>
        <v>3.0218579674668988</v>
      </c>
      <c r="T681" s="10">
        <f t="shared" si="123"/>
        <v>-27.252479732941854</v>
      </c>
      <c r="U681" s="8"/>
      <c r="V681" s="8"/>
    </row>
    <row r="682" spans="1:22" x14ac:dyDescent="0.35">
      <c r="A682" s="12">
        <v>3.5</v>
      </c>
      <c r="B682">
        <v>16.25</v>
      </c>
      <c r="C682" s="12">
        <v>-0.14652021000000001</v>
      </c>
      <c r="D682" s="12">
        <v>-1.8100615E-2</v>
      </c>
      <c r="E682" s="12">
        <v>0.85340064999999998</v>
      </c>
      <c r="F682" s="12">
        <v>-2.3168415000000001E-2</v>
      </c>
      <c r="G682" s="12">
        <f t="shared" si="114"/>
        <v>2.84528214611381</v>
      </c>
      <c r="H682" s="12">
        <f t="shared" si="115"/>
        <v>-0.46972119627456399</v>
      </c>
      <c r="I682" s="12">
        <f t="shared" si="116"/>
        <v>2.8452489959182001</v>
      </c>
      <c r="J682" s="12">
        <f t="shared" si="117"/>
        <v>-0.47225528054756</v>
      </c>
      <c r="K682" s="7">
        <f t="shared" si="118"/>
        <v>3.3150195609898999E-5</v>
      </c>
      <c r="L682" s="7">
        <f t="shared" si="119"/>
        <v>2.5340842729960102E-3</v>
      </c>
      <c r="M682" s="7">
        <f t="shared" si="120"/>
        <v>0.34204006946712501</v>
      </c>
      <c r="N682" s="7">
        <f t="shared" si="121"/>
        <v>5.6771913177523399E-2</v>
      </c>
      <c r="O682" s="12">
        <v>0.80861108999999998</v>
      </c>
      <c r="P682" s="12">
        <v>-5.1580066999999996</v>
      </c>
      <c r="Q682" s="12">
        <v>-4.9772799000000001</v>
      </c>
      <c r="R682" s="12">
        <v>-15.004372</v>
      </c>
      <c r="S682" s="12">
        <f t="shared" si="122"/>
        <v>3.0278404702930746</v>
      </c>
      <c r="T682" s="12">
        <f t="shared" si="123"/>
        <v>-27.26145331322147</v>
      </c>
      <c r="U682" s="8"/>
      <c r="V682" s="8"/>
    </row>
    <row r="683" spans="1:22" x14ac:dyDescent="0.35">
      <c r="A683" s="10">
        <v>3.5</v>
      </c>
      <c r="B683">
        <v>16.3125</v>
      </c>
      <c r="C683" s="10">
        <v>-0.14867626</v>
      </c>
      <c r="D683" s="10">
        <v>-1.0043521999999999E-2</v>
      </c>
      <c r="E683" s="10">
        <v>0.85124803999999998</v>
      </c>
      <c r="F683" s="10">
        <v>-1.5161716E-2</v>
      </c>
      <c r="G683" s="10">
        <f t="shared" si="114"/>
        <v>2.8381981274144499</v>
      </c>
      <c r="H683" s="10">
        <f t="shared" si="115"/>
        <v>-0.28161108470960799</v>
      </c>
      <c r="I683" s="10">
        <f t="shared" si="116"/>
        <v>2.8381668256600401</v>
      </c>
      <c r="J683" s="10">
        <f t="shared" si="117"/>
        <v>-0.28417035868235402</v>
      </c>
      <c r="K683" s="7">
        <f t="shared" si="118"/>
        <v>3.1301754409795997E-5</v>
      </c>
      <c r="L683" s="7">
        <f t="shared" si="119"/>
        <v>2.5592739727460199E-3</v>
      </c>
      <c r="M683" s="7">
        <f t="shared" si="120"/>
        <v>0.34884297658376101</v>
      </c>
      <c r="N683" s="7">
        <f t="shared" si="121"/>
        <v>3.4927768474840797E-2</v>
      </c>
      <c r="O683" s="10">
        <v>0.52442023999999998</v>
      </c>
      <c r="P683" s="10">
        <v>-5.2213155000000002</v>
      </c>
      <c r="Q683" s="10">
        <v>-5.8423195000000003</v>
      </c>
      <c r="R683" s="10">
        <v>-14.805338000000001</v>
      </c>
      <c r="S683" s="10">
        <f t="shared" si="122"/>
        <v>3.0330839133124639</v>
      </c>
      <c r="T683" s="10">
        <f t="shared" si="123"/>
        <v>-27.270096076967782</v>
      </c>
      <c r="U683" s="8"/>
      <c r="V683" s="8"/>
    </row>
    <row r="684" spans="1:22" x14ac:dyDescent="0.35">
      <c r="A684" s="12">
        <v>3.5</v>
      </c>
      <c r="B684">
        <v>16.375</v>
      </c>
      <c r="C684" s="12">
        <v>-0.14992964</v>
      </c>
      <c r="D684" s="12">
        <v>-1.8509434E-3</v>
      </c>
      <c r="E684" s="12">
        <v>0.84999791000000002</v>
      </c>
      <c r="F684" s="12">
        <v>-7.0209801000000001E-3</v>
      </c>
      <c r="G684" s="12">
        <f t="shared" si="114"/>
        <v>2.8311921690989701</v>
      </c>
      <c r="H684" s="12">
        <f t="shared" si="115"/>
        <v>-9.7242999349171605E-2</v>
      </c>
      <c r="I684" s="12">
        <f t="shared" si="116"/>
        <v>2.8311626257881399</v>
      </c>
      <c r="J684" s="12">
        <f t="shared" si="117"/>
        <v>-9.9828187717621003E-2</v>
      </c>
      <c r="K684" s="7">
        <f t="shared" si="118"/>
        <v>2.95433108301602E-5</v>
      </c>
      <c r="L684" s="7">
        <f t="shared" si="119"/>
        <v>2.5851883684493999E-3</v>
      </c>
      <c r="M684" s="7">
        <f t="shared" si="120"/>
        <v>0.352773179637484</v>
      </c>
      <c r="N684" s="7">
        <f t="shared" si="121"/>
        <v>1.24389559532241E-2</v>
      </c>
      <c r="O684" s="12">
        <v>0.23685100000000001</v>
      </c>
      <c r="P684" s="12">
        <v>-5.2522710999999997</v>
      </c>
      <c r="Q684" s="12">
        <v>-6.6747787000000001</v>
      </c>
      <c r="R684" s="12">
        <v>-14.51422</v>
      </c>
      <c r="S684" s="12">
        <f t="shared" si="122"/>
        <v>3.0385406167131008</v>
      </c>
      <c r="T684" s="12">
        <f t="shared" si="123"/>
        <v>-27.278689599346638</v>
      </c>
      <c r="U684" s="8"/>
      <c r="V684" s="8"/>
    </row>
    <row r="685" spans="1:22" x14ac:dyDescent="0.35">
      <c r="A685" s="10">
        <v>3.5</v>
      </c>
      <c r="B685">
        <v>16.4375</v>
      </c>
      <c r="C685" s="10">
        <v>-0.15028342</v>
      </c>
      <c r="D685" s="10">
        <v>6.3257501000000002E-3</v>
      </c>
      <c r="E685" s="10">
        <v>0.84964695999999995</v>
      </c>
      <c r="F685" s="10">
        <v>1.1025710999999999E-3</v>
      </c>
      <c r="G685" s="10">
        <f t="shared" si="114"/>
        <v>2.8242610112116999</v>
      </c>
      <c r="H685" s="10">
        <f t="shared" si="115"/>
        <v>8.34435342587065E-2</v>
      </c>
      <c r="I685" s="10">
        <f t="shared" si="116"/>
        <v>2.8242330210654201</v>
      </c>
      <c r="J685" s="10">
        <f t="shared" si="117"/>
        <v>8.0831780744794704E-2</v>
      </c>
      <c r="K685" s="7">
        <f t="shared" si="118"/>
        <v>2.7990146279854899E-5</v>
      </c>
      <c r="L685" s="7">
        <f t="shared" si="119"/>
        <v>2.6117535139117999E-3</v>
      </c>
      <c r="M685" s="7">
        <f t="shared" si="120"/>
        <v>0.35378862628298902</v>
      </c>
      <c r="N685" s="7">
        <f t="shared" si="121"/>
        <v>-1.0125710044605499E-2</v>
      </c>
      <c r="O685" s="10">
        <v>-4.8717481E-2</v>
      </c>
      <c r="P685" s="10">
        <v>-5.2513237999999998</v>
      </c>
      <c r="Q685" s="10">
        <v>-7.4605569999999997</v>
      </c>
      <c r="R685" s="10">
        <v>-14.13897</v>
      </c>
      <c r="S685" s="10">
        <f t="shared" si="122"/>
        <v>3.0441621097378722</v>
      </c>
      <c r="T685" s="10">
        <f t="shared" si="123"/>
        <v>-27.287252321464628</v>
      </c>
      <c r="U685" s="8"/>
      <c r="V685" s="8"/>
    </row>
    <row r="686" spans="1:22" x14ac:dyDescent="0.35">
      <c r="A686" s="12">
        <v>3.5</v>
      </c>
      <c r="B686">
        <v>16.5</v>
      </c>
      <c r="C686" s="12">
        <v>-0.14977285000000001</v>
      </c>
      <c r="D686" s="12">
        <v>1.4342941999999999E-2</v>
      </c>
      <c r="E686" s="12">
        <v>0.85015963000000006</v>
      </c>
      <c r="F686" s="12">
        <v>9.0655322999999999E-3</v>
      </c>
      <c r="G686" s="12">
        <f t="shared" si="114"/>
        <v>2.8174000529503598</v>
      </c>
      <c r="H686" s="12">
        <f t="shared" si="115"/>
        <v>0.26050345709981299</v>
      </c>
      <c r="I686" s="12">
        <f t="shared" si="116"/>
        <v>2.8173732552306201</v>
      </c>
      <c r="J686" s="12">
        <f t="shared" si="117"/>
        <v>0.257864592450469</v>
      </c>
      <c r="K686" s="7">
        <f t="shared" si="118"/>
        <v>2.67977197396796E-5</v>
      </c>
      <c r="L686" s="7">
        <f t="shared" si="119"/>
        <v>2.6388646493439899E-3</v>
      </c>
      <c r="M686" s="7">
        <f t="shared" si="120"/>
        <v>0.35199186793504</v>
      </c>
      <c r="N686" s="7">
        <f t="shared" si="121"/>
        <v>-3.2216618583439702E-2</v>
      </c>
      <c r="O686" s="12">
        <v>-0.32731065999999998</v>
      </c>
      <c r="P686" s="12">
        <v>-5.2209038000000003</v>
      </c>
      <c r="Q686" s="12">
        <v>-8.1877901000000008</v>
      </c>
      <c r="R686" s="12">
        <v>-13.690042</v>
      </c>
      <c r="S686" s="12">
        <f t="shared" si="122"/>
        <v>3.0493681277398172</v>
      </c>
      <c r="T686" s="12">
        <f t="shared" si="123"/>
        <v>-27.295641847180324</v>
      </c>
      <c r="U686" s="8"/>
      <c r="V686" s="8"/>
    </row>
    <row r="687" spans="1:22" x14ac:dyDescent="0.35">
      <c r="A687" s="10">
        <v>3.5</v>
      </c>
      <c r="B687">
        <v>16.5625</v>
      </c>
      <c r="C687" s="10">
        <v>-0.14846124999999999</v>
      </c>
      <c r="D687" s="10">
        <v>2.2071861000000002E-2</v>
      </c>
      <c r="E687" s="10">
        <v>0.85147211</v>
      </c>
      <c r="F687" s="10">
        <v>1.6739405999999998E-2</v>
      </c>
      <c r="G687" s="10">
        <f t="shared" si="114"/>
        <v>2.8106016884073699</v>
      </c>
      <c r="H687" s="10">
        <f t="shared" si="115"/>
        <v>0.43396900399076599</v>
      </c>
      <c r="I687" s="10">
        <f t="shared" si="116"/>
        <v>2.81057547672629</v>
      </c>
      <c r="J687" s="10">
        <f t="shared" si="117"/>
        <v>0.43130261776047202</v>
      </c>
      <c r="K687" s="7">
        <f t="shared" si="118"/>
        <v>2.6211681079857399E-5</v>
      </c>
      <c r="L687" s="7">
        <f t="shared" si="119"/>
        <v>2.6663862302939698E-3</v>
      </c>
      <c r="M687" s="7">
        <f t="shared" si="120"/>
        <v>0.34761305715652102</v>
      </c>
      <c r="N687" s="7">
        <f t="shared" si="121"/>
        <v>-5.3343673835068002E-2</v>
      </c>
      <c r="O687" s="10">
        <v>-0.59453592</v>
      </c>
      <c r="P687" s="10">
        <v>-5.1628748</v>
      </c>
      <c r="Q687" s="10">
        <v>-8.8475380999999995</v>
      </c>
      <c r="R687" s="10">
        <v>-13.179971999999999</v>
      </c>
      <c r="S687" s="10">
        <f t="shared" si="122"/>
        <v>3.0544985829582783</v>
      </c>
      <c r="T687" s="10">
        <f t="shared" si="123"/>
        <v>-27.303914481892491</v>
      </c>
      <c r="U687" s="8"/>
      <c r="V687" s="8"/>
    </row>
    <row r="688" spans="1:22" x14ac:dyDescent="0.35">
      <c r="A688" s="12">
        <v>3.5</v>
      </c>
      <c r="B688">
        <v>16.625</v>
      </c>
      <c r="C688" s="12">
        <v>-0.14643295000000001</v>
      </c>
      <c r="D688" s="12">
        <v>2.9407345000000001E-2</v>
      </c>
      <c r="E688" s="12">
        <v>0.85350026999999995</v>
      </c>
      <c r="F688" s="12">
        <v>2.4019183E-2</v>
      </c>
      <c r="G688" s="12">
        <f t="shared" si="114"/>
        <v>2.8038663641030901</v>
      </c>
      <c r="H688" s="12">
        <f t="shared" si="115"/>
        <v>0.60392041748549097</v>
      </c>
      <c r="I688" s="12">
        <f t="shared" si="116"/>
        <v>2.8038402317350002</v>
      </c>
      <c r="J688" s="12">
        <f t="shared" si="117"/>
        <v>0.60122617612205598</v>
      </c>
      <c r="K688" s="7">
        <f t="shared" si="118"/>
        <v>2.6132368089903901E-5</v>
      </c>
      <c r="L688" s="7">
        <f t="shared" si="119"/>
        <v>2.69424136343499E-3</v>
      </c>
      <c r="M688" s="7">
        <f t="shared" si="120"/>
        <v>0.34097563325069502</v>
      </c>
      <c r="N688" s="7">
        <f t="shared" si="121"/>
        <v>-7.3115248796917595E-2</v>
      </c>
      <c r="O688" s="12">
        <v>-0.84683772999999996</v>
      </c>
      <c r="P688" s="12">
        <v>-5.0803205</v>
      </c>
      <c r="Q688" s="12">
        <v>-9.4341018000000005</v>
      </c>
      <c r="R688" s="12">
        <v>-12.621973000000001</v>
      </c>
      <c r="S688" s="12">
        <f t="shared" si="122"/>
        <v>3.0595701628572591</v>
      </c>
      <c r="T688" s="12">
        <f t="shared" si="123"/>
        <v>-27.312104332126989</v>
      </c>
      <c r="U688" s="8"/>
      <c r="V688" s="8"/>
    </row>
    <row r="689" spans="1:22" x14ac:dyDescent="0.35">
      <c r="A689" s="10">
        <v>3.5</v>
      </c>
      <c r="B689">
        <v>16.6875</v>
      </c>
      <c r="C689" s="10">
        <v>-0.14378647999999999</v>
      </c>
      <c r="D689" s="10">
        <v>3.6267676999999998E-2</v>
      </c>
      <c r="E689" s="10">
        <v>0.85614533999999998</v>
      </c>
      <c r="F689" s="10">
        <v>3.0823177E-2</v>
      </c>
      <c r="G689" s="10">
        <f t="shared" si="114"/>
        <v>2.7971904295986101</v>
      </c>
      <c r="H689" s="10">
        <f t="shared" si="115"/>
        <v>0.77041123559885605</v>
      </c>
      <c r="I689" s="10">
        <f t="shared" si="116"/>
        <v>2.7971637497845201</v>
      </c>
      <c r="J689" s="10">
        <f t="shared" si="117"/>
        <v>0.76768882016258899</v>
      </c>
      <c r="K689" s="7">
        <f t="shared" si="118"/>
        <v>2.6679814089991501E-5</v>
      </c>
      <c r="L689" s="7">
        <f t="shared" si="119"/>
        <v>2.72241543626706E-3</v>
      </c>
      <c r="M689" s="7">
        <f t="shared" si="120"/>
        <v>0.33246251089791901</v>
      </c>
      <c r="N689" s="7">
        <f t="shared" si="121"/>
        <v>-9.1245195337304505E-2</v>
      </c>
      <c r="O689" s="10">
        <v>-1.0814671</v>
      </c>
      <c r="P689" s="10">
        <v>-4.9766709999999996</v>
      </c>
      <c r="Q689" s="10">
        <v>-9.9446960000000004</v>
      </c>
      <c r="R689" s="10">
        <v>-12.029464000000001</v>
      </c>
      <c r="S689" s="10">
        <f t="shared" si="122"/>
        <v>3.0646767588752666</v>
      </c>
      <c r="T689" s="10">
        <f t="shared" si="123"/>
        <v>-27.320184602975697</v>
      </c>
      <c r="U689" s="8"/>
      <c r="V689" s="8"/>
    </row>
    <row r="690" spans="1:22" x14ac:dyDescent="0.35">
      <c r="A690" s="12">
        <v>3.5</v>
      </c>
      <c r="B690">
        <v>16.75</v>
      </c>
      <c r="C690" s="12">
        <v>-0.14062796999999999</v>
      </c>
      <c r="D690" s="12">
        <v>4.2595397E-2</v>
      </c>
      <c r="E690" s="12">
        <v>0.85930086000000006</v>
      </c>
      <c r="F690" s="12">
        <v>3.7093851999999997E-2</v>
      </c>
      <c r="G690" s="12">
        <f t="shared" si="114"/>
        <v>2.79056970931103</v>
      </c>
      <c r="H690" s="12">
        <f t="shared" si="115"/>
        <v>0.93346450176829998</v>
      </c>
      <c r="I690" s="12">
        <f t="shared" si="116"/>
        <v>2.7905416905446101</v>
      </c>
      <c r="J690" s="12">
        <f t="shared" si="117"/>
        <v>0.93071355430258196</v>
      </c>
      <c r="K690" s="7">
        <f t="shared" si="118"/>
        <v>2.8018766419890499E-5</v>
      </c>
      <c r="L690" s="7">
        <f t="shared" si="119"/>
        <v>2.7509474657180198E-3</v>
      </c>
      <c r="M690" s="7">
        <f t="shared" si="120"/>
        <v>0.322481060162151</v>
      </c>
      <c r="N690" s="7">
        <f t="shared" si="121"/>
        <v>-0.107555280294058</v>
      </c>
      <c r="O690" s="12">
        <v>-1.296559</v>
      </c>
      <c r="P690" s="12">
        <v>-4.8557889000000003</v>
      </c>
      <c r="Q690" s="12">
        <v>-10.379206999999999</v>
      </c>
      <c r="R690" s="12">
        <v>-11.415342000000001</v>
      </c>
      <c r="S690" s="12">
        <f t="shared" si="122"/>
        <v>3.0697894310423424</v>
      </c>
      <c r="T690" s="12">
        <f t="shared" si="123"/>
        <v>-27.328205558955034</v>
      </c>
      <c r="U690" s="8"/>
      <c r="V690" s="8"/>
    </row>
    <row r="691" spans="1:22" x14ac:dyDescent="0.35">
      <c r="A691" s="10">
        <v>3.5</v>
      </c>
      <c r="B691">
        <v>16.8125</v>
      </c>
      <c r="C691" s="10">
        <v>-0.13706404999999999</v>
      </c>
      <c r="D691" s="10">
        <v>4.835764E-2</v>
      </c>
      <c r="E691" s="10">
        <v>0.86286032000000001</v>
      </c>
      <c r="F691" s="10">
        <v>4.2798332000000001E-2</v>
      </c>
      <c r="G691" s="10">
        <f t="shared" si="114"/>
        <v>2.7840062320913299</v>
      </c>
      <c r="H691" s="10">
        <f t="shared" si="115"/>
        <v>1.0931161671816001</v>
      </c>
      <c r="I691" s="10">
        <f t="shared" si="116"/>
        <v>2.7839761429545402</v>
      </c>
      <c r="J691" s="10">
        <f t="shared" si="117"/>
        <v>1.0903363244244599</v>
      </c>
      <c r="K691" s="7">
        <f t="shared" si="118"/>
        <v>3.0089136789701602E-5</v>
      </c>
      <c r="L691" s="7">
        <f t="shared" si="119"/>
        <v>2.7798427571401598E-3</v>
      </c>
      <c r="M691" s="7">
        <f t="shared" si="120"/>
        <v>0.31142914525065202</v>
      </c>
      <c r="N691" s="7">
        <f t="shared" si="121"/>
        <v>-0.12197033742928599</v>
      </c>
      <c r="O691" s="10">
        <v>-1.4911859000000001</v>
      </c>
      <c r="P691" s="10">
        <v>-4.7216883000000003</v>
      </c>
      <c r="Q691" s="10">
        <v>-10.739882</v>
      </c>
      <c r="R691" s="10">
        <v>-10.791328</v>
      </c>
      <c r="S691" s="10">
        <f t="shared" si="122"/>
        <v>3.0747681423958979</v>
      </c>
      <c r="T691" s="10">
        <f t="shared" si="123"/>
        <v>-27.336136020179577</v>
      </c>
      <c r="U691" s="8"/>
      <c r="V691" s="8"/>
    </row>
    <row r="692" spans="1:22" x14ac:dyDescent="0.35">
      <c r="A692" s="12">
        <v>3.5</v>
      </c>
      <c r="B692">
        <v>16.875</v>
      </c>
      <c r="C692" s="12">
        <v>-0.1331968</v>
      </c>
      <c r="D692" s="12">
        <v>5.3542935E-2</v>
      </c>
      <c r="E692" s="12">
        <v>0.86672187000000001</v>
      </c>
      <c r="F692" s="12">
        <v>4.7925217999999999E-2</v>
      </c>
      <c r="G692" s="12">
        <f t="shared" si="114"/>
        <v>2.7775023627771001</v>
      </c>
      <c r="H692" s="12">
        <f t="shared" si="115"/>
        <v>1.2494035405611501</v>
      </c>
      <c r="I692" s="12">
        <f t="shared" si="116"/>
        <v>2.7774695867097901</v>
      </c>
      <c r="J692" s="12">
        <f t="shared" si="117"/>
        <v>1.2465944757672001</v>
      </c>
      <c r="K692" s="7">
        <f t="shared" si="118"/>
        <v>3.2776067310003002E-5</v>
      </c>
      <c r="L692" s="7">
        <f t="shared" si="119"/>
        <v>2.8090647939500398E-3</v>
      </c>
      <c r="M692" s="7">
        <f t="shared" si="120"/>
        <v>0.29967297892302802</v>
      </c>
      <c r="N692" s="7">
        <f t="shared" si="121"/>
        <v>-0.13450036747465599</v>
      </c>
      <c r="O692" s="12">
        <v>-1.6651157999999999</v>
      </c>
      <c r="P692" s="12">
        <v>-4.5779345999999999</v>
      </c>
      <c r="Q692" s="12">
        <v>-11.030801</v>
      </c>
      <c r="R692" s="12">
        <v>-10.167661000000001</v>
      </c>
      <c r="S692" s="12">
        <f t="shared" si="122"/>
        <v>3.0796354886669253</v>
      </c>
      <c r="T692" s="12">
        <f t="shared" si="123"/>
        <v>-27.343966270301134</v>
      </c>
      <c r="U692" s="8"/>
      <c r="V692" s="8"/>
    </row>
    <row r="693" spans="1:22" x14ac:dyDescent="0.35">
      <c r="A693" s="10">
        <v>3.5</v>
      </c>
      <c r="B693">
        <v>16.9375</v>
      </c>
      <c r="C693" s="10">
        <v>-0.12911111</v>
      </c>
      <c r="D693" s="10">
        <v>5.8159984999999997E-2</v>
      </c>
      <c r="E693" s="10">
        <v>0.87095314000000001</v>
      </c>
      <c r="F693" s="10">
        <v>5.2388086E-2</v>
      </c>
      <c r="G693" s="10">
        <f t="shared" si="114"/>
        <v>2.7733373241731898</v>
      </c>
      <c r="H693" s="10">
        <f t="shared" si="115"/>
        <v>1.4031557935283601</v>
      </c>
      <c r="I693" s="10">
        <f t="shared" si="116"/>
        <v>2.7733777759737501</v>
      </c>
      <c r="J693" s="10">
        <f t="shared" si="117"/>
        <v>1.40027005347462</v>
      </c>
      <c r="K693" s="7">
        <f t="shared" si="118"/>
        <v>-4.04518005603371E-5</v>
      </c>
      <c r="L693" s="7">
        <f t="shared" si="119"/>
        <v>2.88574005374009E-3</v>
      </c>
      <c r="M693" s="7">
        <f t="shared" si="120"/>
        <v>0.287325781742163</v>
      </c>
      <c r="N693" s="7">
        <f t="shared" si="121"/>
        <v>-0.14506991844032999</v>
      </c>
      <c r="O693" s="10">
        <v>-1.8193782999999999</v>
      </c>
      <c r="P693" s="10">
        <v>-4.4268761999999997</v>
      </c>
      <c r="Q693" s="10">
        <v>-11.256601</v>
      </c>
      <c r="R693" s="10">
        <v>-9.5516279999999991</v>
      </c>
      <c r="S693" s="10">
        <f t="shared" si="122"/>
        <v>3.0845051645987014</v>
      </c>
      <c r="T693" s="10">
        <f t="shared" si="123"/>
        <v>-27.342293872618328</v>
      </c>
      <c r="U693" s="8"/>
      <c r="V693" s="8"/>
    </row>
    <row r="694" spans="1:22" x14ac:dyDescent="0.35">
      <c r="A694" s="12">
        <v>3.5</v>
      </c>
      <c r="B694">
        <v>17</v>
      </c>
      <c r="C694" s="12">
        <v>-0.12490794</v>
      </c>
      <c r="D694" s="12">
        <v>6.2223123999999998E-2</v>
      </c>
      <c r="E694" s="12">
        <v>0.87515628999999995</v>
      </c>
      <c r="F694" s="12">
        <v>5.6395227999999999E-2</v>
      </c>
      <c r="G694" s="12">
        <f t="shared" si="114"/>
        <v>2.7670047383238798</v>
      </c>
      <c r="H694" s="12">
        <f t="shared" si="115"/>
        <v>1.5531147899776001</v>
      </c>
      <c r="I694" s="12">
        <f t="shared" si="116"/>
        <v>2.7670453424953698</v>
      </c>
      <c r="J694" s="12">
        <f t="shared" si="117"/>
        <v>1.5502010538706801</v>
      </c>
      <c r="K694" s="7">
        <f t="shared" si="118"/>
        <v>-4.0604171489988503E-5</v>
      </c>
      <c r="L694" s="7">
        <f t="shared" si="119"/>
        <v>2.9137361069200298E-3</v>
      </c>
      <c r="M694" s="7">
        <f t="shared" si="120"/>
        <v>0.27506341692535102</v>
      </c>
      <c r="N694" s="7">
        <f t="shared" si="121"/>
        <v>-0.15410069081644001</v>
      </c>
      <c r="O694" s="12">
        <v>-1.9534435999999999</v>
      </c>
      <c r="P694" s="12">
        <v>-4.2730281999999997</v>
      </c>
      <c r="Q694" s="12">
        <v>-11.424434</v>
      </c>
      <c r="R694" s="12">
        <v>-8.9524839000000007</v>
      </c>
      <c r="S694" s="12">
        <f t="shared" si="122"/>
        <v>3.0892163270255799</v>
      </c>
      <c r="T694" s="12">
        <f t="shared" si="123"/>
        <v>-27.348997677779685</v>
      </c>
      <c r="U694" s="8"/>
      <c r="V694" s="8"/>
    </row>
    <row r="695" spans="1:22" x14ac:dyDescent="0.35">
      <c r="A695" s="10">
        <v>3.625</v>
      </c>
      <c r="B695">
        <v>15</v>
      </c>
      <c r="C695" s="10">
        <v>-4.7501468999999998E-2</v>
      </c>
      <c r="D695" s="10">
        <v>-6.7964765999999996E-2</v>
      </c>
      <c r="E695" s="10">
        <v>0.95248843999999999</v>
      </c>
      <c r="F695" s="10">
        <v>-7.2269997000000002E-2</v>
      </c>
      <c r="G695" s="10">
        <f t="shared" si="114"/>
        <v>2.8113358407617901</v>
      </c>
      <c r="H695" s="10">
        <f t="shared" si="115"/>
        <v>-4.8862993743325598</v>
      </c>
      <c r="I695" s="10">
        <f t="shared" si="116"/>
        <v>2.8113354290384902</v>
      </c>
      <c r="J695" s="10">
        <f t="shared" si="117"/>
        <v>-4.8884520015799202</v>
      </c>
      <c r="K695" s="7">
        <f t="shared" si="118"/>
        <v>4.11723299897915E-7</v>
      </c>
      <c r="L695" s="7">
        <f t="shared" si="119"/>
        <v>2.1526272473604302E-3</v>
      </c>
      <c r="M695" s="7">
        <f t="shared" si="120"/>
        <v>8.8405190248372706E-2</v>
      </c>
      <c r="N695" s="7">
        <f t="shared" si="121"/>
        <v>0.153722150959239</v>
      </c>
      <c r="O695" s="10">
        <v>2.6139008000000001</v>
      </c>
      <c r="P695" s="10">
        <v>-1.7118315</v>
      </c>
      <c r="Q695" s="10">
        <v>4.4901439999999999</v>
      </c>
      <c r="R695" s="10">
        <v>-7.8639403999999997</v>
      </c>
      <c r="S695" s="10">
        <f t="shared" si="122"/>
        <v>2.8981880219572309</v>
      </c>
      <c r="T695" s="10">
        <f t="shared" si="123"/>
        <v>-27.053941932928257</v>
      </c>
      <c r="U695" s="8"/>
      <c r="V695" s="8"/>
    </row>
    <row r="696" spans="1:22" x14ac:dyDescent="0.35">
      <c r="A696" s="12">
        <v>3.625</v>
      </c>
      <c r="B696">
        <v>15.0625</v>
      </c>
      <c r="C696" s="12">
        <v>-5.1193403999999998E-2</v>
      </c>
      <c r="D696" s="12">
        <v>-6.9439095000000006E-2</v>
      </c>
      <c r="E696" s="12">
        <v>0.94880154000000005</v>
      </c>
      <c r="F696" s="12">
        <v>-7.3787475000000005E-2</v>
      </c>
      <c r="G696" s="12">
        <f t="shared" si="114"/>
        <v>2.80318131303317</v>
      </c>
      <c r="H696" s="12">
        <f t="shared" si="115"/>
        <v>-4.6194312598828002</v>
      </c>
      <c r="I696" s="12">
        <f t="shared" si="116"/>
        <v>2.8031835121424402</v>
      </c>
      <c r="J696" s="12">
        <f t="shared" si="117"/>
        <v>-4.6216054505978699</v>
      </c>
      <c r="K696" s="7">
        <f t="shared" si="118"/>
        <v>-2.1991092702400299E-6</v>
      </c>
      <c r="L696" s="7">
        <f t="shared" si="119"/>
        <v>2.1741907150696301E-3</v>
      </c>
      <c r="M696" s="7">
        <f t="shared" si="120"/>
        <v>9.5943332340029705E-2</v>
      </c>
      <c r="N696" s="7">
        <f t="shared" si="121"/>
        <v>0.158181662303054</v>
      </c>
      <c r="O696" s="12">
        <v>2.6569156999999999</v>
      </c>
      <c r="P696" s="12">
        <v>-1.8380652</v>
      </c>
      <c r="Q696" s="12">
        <v>4.4485787999999999</v>
      </c>
      <c r="R696" s="12">
        <v>-8.2745838000000003</v>
      </c>
      <c r="S696" s="12">
        <f t="shared" si="122"/>
        <v>2.9078795037222314</v>
      </c>
      <c r="T696" s="12">
        <f t="shared" si="123"/>
        <v>-27.061007902365105</v>
      </c>
      <c r="U696" s="8"/>
      <c r="V696" s="8"/>
    </row>
    <row r="697" spans="1:22" x14ac:dyDescent="0.35">
      <c r="A697" s="10">
        <v>3.625</v>
      </c>
      <c r="B697">
        <v>15.125</v>
      </c>
      <c r="C697" s="10">
        <v>-5.5151151000000002E-2</v>
      </c>
      <c r="D697" s="10">
        <v>-7.0787242E-2</v>
      </c>
      <c r="E697" s="10">
        <v>0.94484694999999996</v>
      </c>
      <c r="F697" s="10">
        <v>-7.5176627999999995E-2</v>
      </c>
      <c r="G697" s="10">
        <f t="shared" si="114"/>
        <v>2.7953690757641398</v>
      </c>
      <c r="H697" s="10">
        <f t="shared" si="115"/>
        <v>-4.3596169472678596</v>
      </c>
      <c r="I697" s="10">
        <f t="shared" si="116"/>
        <v>2.79537294293113</v>
      </c>
      <c r="J697" s="10">
        <f t="shared" si="117"/>
        <v>-4.3618116338644803</v>
      </c>
      <c r="K697" s="7">
        <f t="shared" si="118"/>
        <v>-3.8671669901901901E-6</v>
      </c>
      <c r="L697" s="7">
        <f t="shared" si="119"/>
        <v>2.1946865966206998E-3</v>
      </c>
      <c r="M697" s="7">
        <f t="shared" si="120"/>
        <v>0.104151412541477</v>
      </c>
      <c r="N697" s="7">
        <f t="shared" si="121"/>
        <v>0.162514573969684</v>
      </c>
      <c r="O697" s="10">
        <v>2.6970803999999999</v>
      </c>
      <c r="P697" s="10">
        <v>-1.9739632</v>
      </c>
      <c r="Q697" s="10">
        <v>4.3828538999999997</v>
      </c>
      <c r="R697" s="10">
        <v>-8.7034789999999997</v>
      </c>
      <c r="S697" s="10">
        <f t="shared" si="122"/>
        <v>2.915604615201064</v>
      </c>
      <c r="T697" s="10">
        <f t="shared" si="123"/>
        <v>-27.071337472501824</v>
      </c>
      <c r="U697" s="8"/>
      <c r="V697" s="8"/>
    </row>
    <row r="698" spans="1:22" x14ac:dyDescent="0.35">
      <c r="A698" s="12">
        <v>3.625</v>
      </c>
      <c r="B698">
        <v>15.1875</v>
      </c>
      <c r="C698" s="12">
        <v>-5.9397571000000003E-2</v>
      </c>
      <c r="D698" s="12">
        <v>-7.1982471000000006E-2</v>
      </c>
      <c r="E698" s="12">
        <v>0.94060359999999998</v>
      </c>
      <c r="F698" s="12">
        <v>-7.6413765999999994E-2</v>
      </c>
      <c r="G698" s="12">
        <f t="shared" si="114"/>
        <v>2.7876425977677499</v>
      </c>
      <c r="H698" s="12">
        <f t="shared" si="115"/>
        <v>-4.1057857710088603</v>
      </c>
      <c r="I698" s="12">
        <f t="shared" si="116"/>
        <v>2.7876480923285101</v>
      </c>
      <c r="J698" s="12">
        <f t="shared" si="117"/>
        <v>-4.1080014050375899</v>
      </c>
      <c r="K698" s="7">
        <f t="shared" si="118"/>
        <v>-5.4945607601553101E-6</v>
      </c>
      <c r="L698" s="7">
        <f t="shared" si="119"/>
        <v>2.2156340287296E-3</v>
      </c>
      <c r="M698" s="7">
        <f t="shared" si="120"/>
        <v>0.113104509209597</v>
      </c>
      <c r="N698" s="7">
        <f t="shared" si="121"/>
        <v>0.16667580245432001</v>
      </c>
      <c r="O698" s="12">
        <v>2.7321075000000001</v>
      </c>
      <c r="P698" s="12">
        <v>-2.1196041000000001</v>
      </c>
      <c r="Q698" s="12">
        <v>4.2893847000000003</v>
      </c>
      <c r="R698" s="12">
        <v>-9.1514191</v>
      </c>
      <c r="S698" s="12">
        <f t="shared" si="122"/>
        <v>2.922805402730138</v>
      </c>
      <c r="T698" s="12">
        <f t="shared" si="123"/>
        <v>-27.082156318699806</v>
      </c>
      <c r="U698" s="8"/>
      <c r="V698" s="8"/>
    </row>
    <row r="699" spans="1:22" x14ac:dyDescent="0.35">
      <c r="A699" s="10">
        <v>3.625</v>
      </c>
      <c r="B699">
        <v>15.25</v>
      </c>
      <c r="C699" s="10">
        <v>-6.3951233999999996E-2</v>
      </c>
      <c r="D699" s="10">
        <v>-7.2989660999999997E-2</v>
      </c>
      <c r="E699" s="10">
        <v>0.93607004999999999</v>
      </c>
      <c r="F699" s="10">
        <v>-7.7367406E-2</v>
      </c>
      <c r="G699" s="10">
        <f t="shared" si="114"/>
        <v>2.7822923619393398</v>
      </c>
      <c r="H699" s="10">
        <f t="shared" si="115"/>
        <v>-3.8580895422768902</v>
      </c>
      <c r="I699" s="10">
        <f t="shared" si="116"/>
        <v>2.7823077948130002</v>
      </c>
      <c r="J699" s="10">
        <f t="shared" si="117"/>
        <v>-3.8602783577029398</v>
      </c>
      <c r="K699" s="7">
        <f t="shared" si="118"/>
        <v>-1.5432873660348199E-5</v>
      </c>
      <c r="L699" s="7">
        <f t="shared" si="119"/>
        <v>2.1888154260496502E-3</v>
      </c>
      <c r="M699" s="7">
        <f t="shared" si="120"/>
        <v>0.12287724932111201</v>
      </c>
      <c r="N699" s="7">
        <f t="shared" si="121"/>
        <v>0.170484511847561</v>
      </c>
      <c r="O699" s="10">
        <v>2.7603482000000001</v>
      </c>
      <c r="P699" s="10">
        <v>-2.2756535000000002</v>
      </c>
      <c r="Q699" s="10">
        <v>4.1643040999999998</v>
      </c>
      <c r="R699" s="10">
        <v>-9.6178980000000003</v>
      </c>
      <c r="S699" s="10">
        <f t="shared" si="122"/>
        <v>2.9296639843450145</v>
      </c>
      <c r="T699" s="10">
        <f t="shared" si="123"/>
        <v>-27.086173746385846</v>
      </c>
      <c r="U699" s="8"/>
      <c r="V699" s="8"/>
    </row>
    <row r="700" spans="1:22" x14ac:dyDescent="0.35">
      <c r="A700" s="12">
        <v>3.625</v>
      </c>
      <c r="B700">
        <v>15.3125</v>
      </c>
      <c r="C700" s="12">
        <v>-6.8814572000000004E-2</v>
      </c>
      <c r="D700" s="12">
        <v>-7.3759416999999994E-2</v>
      </c>
      <c r="E700" s="12">
        <v>0.93121496999999998</v>
      </c>
      <c r="F700" s="12">
        <v>-7.8179762999999999E-2</v>
      </c>
      <c r="G700" s="12">
        <f t="shared" si="114"/>
        <v>2.77467691015628</v>
      </c>
      <c r="H700" s="12">
        <f t="shared" si="115"/>
        <v>-3.61484449264209</v>
      </c>
      <c r="I700" s="12">
        <f t="shared" si="116"/>
        <v>2.77469656556246</v>
      </c>
      <c r="J700" s="12">
        <f t="shared" si="117"/>
        <v>-3.61705458955488</v>
      </c>
      <c r="K700" s="7">
        <f t="shared" si="118"/>
        <v>-1.9655406179985799E-5</v>
      </c>
      <c r="L700" s="7">
        <f t="shared" si="119"/>
        <v>2.2100969127900601E-3</v>
      </c>
      <c r="M700" s="7">
        <f t="shared" si="120"/>
        <v>0.133514254470985</v>
      </c>
      <c r="N700" s="7">
        <f t="shared" si="121"/>
        <v>0.174047264446511</v>
      </c>
      <c r="O700" s="12">
        <v>2.7804644999999999</v>
      </c>
      <c r="P700" s="12">
        <v>-2.4418394999999999</v>
      </c>
      <c r="Q700" s="12">
        <v>4.0022358000000002</v>
      </c>
      <c r="R700" s="12">
        <v>-10.101656</v>
      </c>
      <c r="S700" s="12">
        <f t="shared" si="122"/>
        <v>2.9362675944437164</v>
      </c>
      <c r="T700" s="12">
        <f t="shared" si="123"/>
        <v>-27.096709988901413</v>
      </c>
      <c r="U700" s="8"/>
      <c r="V700" s="8"/>
    </row>
    <row r="701" spans="1:22" x14ac:dyDescent="0.35">
      <c r="A701" s="10">
        <v>3.625</v>
      </c>
      <c r="B701">
        <v>15.375</v>
      </c>
      <c r="C701" s="10">
        <v>-7.4003922E-2</v>
      </c>
      <c r="D701" s="10">
        <v>-7.4234988000000002E-2</v>
      </c>
      <c r="E701" s="10">
        <v>0.92591725999999996</v>
      </c>
      <c r="F701" s="10">
        <v>-7.8921848000000003E-2</v>
      </c>
      <c r="G701" s="10">
        <f t="shared" si="114"/>
        <v>2.7627952777129998</v>
      </c>
      <c r="H701" s="10">
        <f t="shared" si="115"/>
        <v>-3.3733171442256502</v>
      </c>
      <c r="I701" s="10">
        <f t="shared" si="116"/>
        <v>2.7627613594431901</v>
      </c>
      <c r="J701" s="10">
        <f t="shared" si="117"/>
        <v>-3.3756607460697499</v>
      </c>
      <c r="K701" s="7">
        <f t="shared" si="118"/>
        <v>3.3918269809696303E-5</v>
      </c>
      <c r="L701" s="7">
        <f t="shared" si="119"/>
        <v>2.3436018440996498E-3</v>
      </c>
      <c r="M701" s="7">
        <f t="shared" si="120"/>
        <v>0.145195011598867</v>
      </c>
      <c r="N701" s="7">
        <f t="shared" si="121"/>
        <v>0.17740551477751201</v>
      </c>
      <c r="O701" s="10">
        <v>2.7909695000000001</v>
      </c>
      <c r="P701" s="10">
        <v>-2.6187616</v>
      </c>
      <c r="Q701" s="10">
        <v>3.7977987</v>
      </c>
      <c r="R701" s="10">
        <v>-10.602190999999999</v>
      </c>
      <c r="S701" s="10">
        <f t="shared" si="122"/>
        <v>2.9425911153664366</v>
      </c>
      <c r="T701" s="10">
        <f t="shared" si="123"/>
        <v>-27.115306345767291</v>
      </c>
      <c r="U701" s="8"/>
      <c r="V701" s="8"/>
    </row>
    <row r="702" spans="1:22" x14ac:dyDescent="0.35">
      <c r="A702" s="12">
        <v>3.625</v>
      </c>
      <c r="B702">
        <v>15.4375</v>
      </c>
      <c r="C702" s="12">
        <v>-7.9493152999999997E-2</v>
      </c>
      <c r="D702" s="12">
        <v>-7.4377583999999997E-2</v>
      </c>
      <c r="E702" s="12">
        <v>0.92042442000000002</v>
      </c>
      <c r="F702" s="12">
        <v>-7.9106466E-2</v>
      </c>
      <c r="G702" s="12">
        <f t="shared" si="114"/>
        <v>2.7556058527619198</v>
      </c>
      <c r="H702" s="12">
        <f t="shared" si="115"/>
        <v>-3.1401065403828299</v>
      </c>
      <c r="I702" s="12">
        <f t="shared" si="116"/>
        <v>2.7555702288045598</v>
      </c>
      <c r="J702" s="12">
        <f t="shared" si="117"/>
        <v>-3.14247116306796</v>
      </c>
      <c r="K702" s="7">
        <f t="shared" si="118"/>
        <v>3.5623957360009201E-5</v>
      </c>
      <c r="L702" s="7">
        <f t="shared" si="119"/>
        <v>2.3646226851301599E-3</v>
      </c>
      <c r="M702" s="7">
        <f t="shared" si="120"/>
        <v>0.157746972744602</v>
      </c>
      <c r="N702" s="7">
        <f t="shared" si="121"/>
        <v>0.179895728197874</v>
      </c>
      <c r="O702" s="12">
        <v>2.7889181999999999</v>
      </c>
      <c r="P702" s="12">
        <v>-2.8052416</v>
      </c>
      <c r="Q702" s="12">
        <v>3.5480885999999998</v>
      </c>
      <c r="R702" s="12">
        <v>-11.112916</v>
      </c>
      <c r="S702" s="12">
        <f t="shared" si="122"/>
        <v>2.9490676945040666</v>
      </c>
      <c r="T702" s="12">
        <f t="shared" si="123"/>
        <v>-27.125774519163773</v>
      </c>
      <c r="U702" s="8"/>
      <c r="V702" s="8"/>
    </row>
    <row r="703" spans="1:22" x14ac:dyDescent="0.35">
      <c r="A703" s="10">
        <v>3.625</v>
      </c>
      <c r="B703">
        <v>15.5</v>
      </c>
      <c r="C703" s="10">
        <v>-8.5278357999999999E-2</v>
      </c>
      <c r="D703" s="10">
        <v>-7.4117552000000003E-2</v>
      </c>
      <c r="E703" s="10">
        <v>0.91463592000000005</v>
      </c>
      <c r="F703" s="10">
        <v>-7.8889028E-2</v>
      </c>
      <c r="G703" s="10">
        <f t="shared" si="114"/>
        <v>2.7485034220214999</v>
      </c>
      <c r="H703" s="10">
        <f t="shared" si="115"/>
        <v>-2.91156168724428</v>
      </c>
      <c r="I703" s="10">
        <f t="shared" si="116"/>
        <v>2.7484662516296701</v>
      </c>
      <c r="J703" s="10">
        <f t="shared" si="117"/>
        <v>-2.9139476161864</v>
      </c>
      <c r="K703" s="7">
        <f t="shared" si="118"/>
        <v>3.7170391829821598E-5</v>
      </c>
      <c r="L703" s="7">
        <f t="shared" si="119"/>
        <v>2.38592894211997E-3</v>
      </c>
      <c r="M703" s="7">
        <f t="shared" si="120"/>
        <v>0.17129568599379499</v>
      </c>
      <c r="N703" s="7">
        <f t="shared" si="121"/>
        <v>0.18160916313550099</v>
      </c>
      <c r="O703" s="10">
        <v>2.7727602</v>
      </c>
      <c r="P703" s="10">
        <v>-3.0011488000000002</v>
      </c>
      <c r="Q703" s="10">
        <v>3.2472028000000002</v>
      </c>
      <c r="R703" s="10">
        <v>-11.631167</v>
      </c>
      <c r="S703" s="10">
        <f t="shared" si="122"/>
        <v>2.9554702285328522</v>
      </c>
      <c r="T703" s="10">
        <f t="shared" si="123"/>
        <v>-27.136097726352283</v>
      </c>
      <c r="U703" s="8"/>
      <c r="V703" s="8"/>
    </row>
    <row r="704" spans="1:22" x14ac:dyDescent="0.35">
      <c r="A704" s="12">
        <v>3.625</v>
      </c>
      <c r="B704">
        <v>15.5625</v>
      </c>
      <c r="C704" s="12">
        <v>-9.1333763999999998E-2</v>
      </c>
      <c r="D704" s="12">
        <v>-7.3389919999999997E-2</v>
      </c>
      <c r="E704" s="12">
        <v>0.90857756999999995</v>
      </c>
      <c r="F704" s="12">
        <v>-7.8204631999999996E-2</v>
      </c>
      <c r="G704" s="12">
        <f t="shared" si="114"/>
        <v>2.74148455295974</v>
      </c>
      <c r="H704" s="12">
        <f t="shared" si="115"/>
        <v>-2.6875613290503799</v>
      </c>
      <c r="I704" s="12">
        <f t="shared" si="116"/>
        <v>2.7414460140944001</v>
      </c>
      <c r="J704" s="12">
        <f t="shared" si="117"/>
        <v>-2.6899688845613099</v>
      </c>
      <c r="K704" s="7">
        <f t="shared" si="118"/>
        <v>3.85388653398877E-5</v>
      </c>
      <c r="L704" s="7">
        <f t="shared" si="119"/>
        <v>2.4075555109299698E-3</v>
      </c>
      <c r="M704" s="7">
        <f t="shared" si="120"/>
        <v>0.18584236598722001</v>
      </c>
      <c r="N704" s="7">
        <f t="shared" si="121"/>
        <v>0.18235273624529699</v>
      </c>
      <c r="O704" s="12">
        <v>2.7403270000000002</v>
      </c>
      <c r="P704" s="12">
        <v>-3.2055064999999998</v>
      </c>
      <c r="Q704" s="12">
        <v>2.8904440999999998</v>
      </c>
      <c r="R704" s="12">
        <v>-12.151426000000001</v>
      </c>
      <c r="S704" s="12">
        <f t="shared" si="122"/>
        <v>2.9618013092217272</v>
      </c>
      <c r="T704" s="12">
        <f t="shared" si="123"/>
        <v>-27.146292925441013</v>
      </c>
      <c r="U704" s="8"/>
      <c r="V704" s="8"/>
    </row>
    <row r="705" spans="1:22" x14ac:dyDescent="0.35">
      <c r="A705" s="10">
        <v>3.625</v>
      </c>
      <c r="B705">
        <v>15.625</v>
      </c>
      <c r="C705" s="10">
        <v>-9.7620177000000002E-2</v>
      </c>
      <c r="D705" s="10">
        <v>-7.2127892999999998E-2</v>
      </c>
      <c r="E705" s="10">
        <v>0.90228858000000001</v>
      </c>
      <c r="F705" s="10">
        <v>-7.6986530999999997E-2</v>
      </c>
      <c r="G705" s="10">
        <f t="shared" si="114"/>
        <v>2.73454662324606</v>
      </c>
      <c r="H705" s="10">
        <f t="shared" si="115"/>
        <v>-2.4679945328754802</v>
      </c>
      <c r="I705" s="10">
        <f t="shared" si="116"/>
        <v>2.7345069020284098</v>
      </c>
      <c r="J705" s="10">
        <f t="shared" si="117"/>
        <v>-2.47042405920963</v>
      </c>
      <c r="K705" s="7">
        <f t="shared" si="118"/>
        <v>3.9721217650168201E-5</v>
      </c>
      <c r="L705" s="7">
        <f t="shared" si="119"/>
        <v>2.4295263341498302E-3</v>
      </c>
      <c r="M705" s="7">
        <f t="shared" si="120"/>
        <v>0.201355050617402</v>
      </c>
      <c r="N705" s="7">
        <f t="shared" si="121"/>
        <v>0.181909345746985</v>
      </c>
      <c r="O705" s="10">
        <v>2.6896928999999998</v>
      </c>
      <c r="P705" s="10">
        <v>-3.4172487999999999</v>
      </c>
      <c r="Q705" s="10">
        <v>2.4736077999999999</v>
      </c>
      <c r="R705" s="10">
        <v>-12.666847000000001</v>
      </c>
      <c r="S705" s="10">
        <f t="shared" si="122"/>
        <v>2.9677430750750604</v>
      </c>
      <c r="T705" s="10">
        <f t="shared" si="123"/>
        <v>-27.156262666025853</v>
      </c>
      <c r="U705" s="8"/>
      <c r="V705" s="8"/>
    </row>
    <row r="706" spans="1:22" x14ac:dyDescent="0.35">
      <c r="A706" s="12">
        <v>3.625</v>
      </c>
      <c r="B706">
        <v>15.6875</v>
      </c>
      <c r="C706" s="12">
        <v>-0.10408313</v>
      </c>
      <c r="D706" s="12">
        <v>-7.0265592000000002E-2</v>
      </c>
      <c r="E706" s="12">
        <v>0.89582335000000002</v>
      </c>
      <c r="F706" s="12">
        <v>-7.5168835000000003E-2</v>
      </c>
      <c r="G706" s="12">
        <f t="shared" si="114"/>
        <v>2.72768778386415</v>
      </c>
      <c r="H706" s="12">
        <f t="shared" si="115"/>
        <v>-2.2527568725388001</v>
      </c>
      <c r="I706" s="12">
        <f t="shared" si="116"/>
        <v>2.7276470329326101</v>
      </c>
      <c r="J706" s="12">
        <f t="shared" si="117"/>
        <v>-2.2552087085925101</v>
      </c>
      <c r="K706" s="7">
        <f t="shared" si="118"/>
        <v>4.0750931539879103E-5</v>
      </c>
      <c r="L706" s="7">
        <f t="shared" si="119"/>
        <v>2.4518360537100201E-3</v>
      </c>
      <c r="M706" s="7">
        <f t="shared" si="120"/>
        <v>0.217758395654925</v>
      </c>
      <c r="N706" s="7">
        <f t="shared" si="121"/>
        <v>0.18004185450715299</v>
      </c>
      <c r="O706" s="12">
        <v>2.6181325000000002</v>
      </c>
      <c r="P706" s="12">
        <v>-3.6337114000000001</v>
      </c>
      <c r="Q706" s="12">
        <v>1.9933192</v>
      </c>
      <c r="R706" s="12">
        <v>-13.169333999999999</v>
      </c>
      <c r="S706" s="12">
        <f t="shared" si="122"/>
        <v>2.9739493346493409</v>
      </c>
      <c r="T706" s="12">
        <f t="shared" si="123"/>
        <v>-27.166205379564143</v>
      </c>
      <c r="U706" s="8"/>
      <c r="V706" s="8"/>
    </row>
    <row r="707" spans="1:22" x14ac:dyDescent="0.35">
      <c r="A707" s="10">
        <v>3.625</v>
      </c>
      <c r="B707">
        <v>15.75</v>
      </c>
      <c r="C707" s="10">
        <v>-0.11065153</v>
      </c>
      <c r="D707" s="10">
        <v>-6.7741651999999999E-2</v>
      </c>
      <c r="E707" s="10">
        <v>0.88925293999999999</v>
      </c>
      <c r="F707" s="10">
        <v>-7.2690128000000007E-2</v>
      </c>
      <c r="G707" s="10">
        <f t="shared" si="114"/>
        <v>2.7209064409676902</v>
      </c>
      <c r="H707" s="10">
        <f t="shared" si="115"/>
        <v>-2.0417509421100899</v>
      </c>
      <c r="I707" s="10">
        <f t="shared" si="116"/>
        <v>2.72086479637959</v>
      </c>
      <c r="J707" s="10">
        <f t="shared" si="117"/>
        <v>-2.0442254013412602</v>
      </c>
      <c r="K707" s="7">
        <f t="shared" si="118"/>
        <v>4.1644588100187001E-5</v>
      </c>
      <c r="L707" s="7">
        <f t="shared" si="119"/>
        <v>2.47445923117029E-3</v>
      </c>
      <c r="M707" s="7">
        <f t="shared" si="120"/>
        <v>0.23492259985782901</v>
      </c>
      <c r="N707" s="7">
        <f t="shared" si="121"/>
        <v>0.176500775274651</v>
      </c>
      <c r="O707" s="10">
        <v>2.5236608</v>
      </c>
      <c r="P707" s="10">
        <v>-3.8522585999999999</v>
      </c>
      <c r="Q707" s="10">
        <v>1.4474054000000001</v>
      </c>
      <c r="R707" s="10">
        <v>-13.649312</v>
      </c>
      <c r="S707" s="10">
        <f t="shared" si="122"/>
        <v>2.9804463661558329</v>
      </c>
      <c r="T707" s="10">
        <f t="shared" si="123"/>
        <v>-27.176130066729616</v>
      </c>
      <c r="U707" s="8"/>
      <c r="V707" s="8"/>
    </row>
    <row r="708" spans="1:22" x14ac:dyDescent="0.35">
      <c r="A708" s="12">
        <v>3.625</v>
      </c>
      <c r="B708">
        <v>15.8125</v>
      </c>
      <c r="C708" s="12">
        <v>-0.11723718</v>
      </c>
      <c r="D708" s="12">
        <v>-6.4503597999999995E-2</v>
      </c>
      <c r="E708" s="12">
        <v>0.88266562000000004</v>
      </c>
      <c r="F708" s="12">
        <v>-6.9497895000000004E-2</v>
      </c>
      <c r="G708" s="12">
        <f t="shared" si="114"/>
        <v>2.7142012717431299</v>
      </c>
      <c r="H708" s="12">
        <f t="shared" si="115"/>
        <v>-1.8348857978642199</v>
      </c>
      <c r="I708" s="12">
        <f t="shared" si="116"/>
        <v>2.7141589060020399</v>
      </c>
      <c r="J708" s="12">
        <f t="shared" si="117"/>
        <v>-1.83738317353023</v>
      </c>
      <c r="K708" s="7">
        <f t="shared" si="118"/>
        <v>4.2365741089955799E-5</v>
      </c>
      <c r="L708" s="7">
        <f t="shared" si="119"/>
        <v>2.4973756660100501E-3</v>
      </c>
      <c r="M708" s="7">
        <f t="shared" si="120"/>
        <v>0.25265298330833202</v>
      </c>
      <c r="N708" s="7">
        <f t="shared" si="121"/>
        <v>0.17103653704518701</v>
      </c>
      <c r="O708" s="12">
        <v>2.4052501999999998</v>
      </c>
      <c r="P708" s="12">
        <v>-4.0707421999999998</v>
      </c>
      <c r="Q708" s="12">
        <v>0.83535258999999995</v>
      </c>
      <c r="R708" s="12">
        <v>-14.096183999999999</v>
      </c>
      <c r="S708" s="12">
        <f t="shared" si="122"/>
        <v>2.9865109145933588</v>
      </c>
      <c r="T708" s="12">
        <f t="shared" si="123"/>
        <v>-27.185828407959281</v>
      </c>
      <c r="U708" s="8"/>
      <c r="V708" s="8"/>
    </row>
    <row r="709" spans="1:22" x14ac:dyDescent="0.35">
      <c r="A709" s="10">
        <v>3.625</v>
      </c>
      <c r="B709">
        <v>15.875</v>
      </c>
      <c r="C709" s="10">
        <v>-0.12373553</v>
      </c>
      <c r="D709" s="10">
        <v>-6.0512817000000003E-2</v>
      </c>
      <c r="E709" s="10">
        <v>0.87616601000000005</v>
      </c>
      <c r="F709" s="10">
        <v>-6.5553538999999994E-2</v>
      </c>
      <c r="G709" s="10">
        <f t="shared" si="114"/>
        <v>2.7075704895283201</v>
      </c>
      <c r="H709" s="10">
        <f t="shared" si="115"/>
        <v>-1.6320749395549199</v>
      </c>
      <c r="I709" s="10">
        <f t="shared" si="116"/>
        <v>2.70752761022207</v>
      </c>
      <c r="J709" s="10">
        <f t="shared" si="117"/>
        <v>-1.6345955327150501</v>
      </c>
      <c r="K709" s="7">
        <f t="shared" si="118"/>
        <v>4.2879306250131998E-5</v>
      </c>
      <c r="L709" s="7">
        <f t="shared" si="119"/>
        <v>2.5205931601302001E-3</v>
      </c>
      <c r="M709" s="7">
        <f t="shared" si="120"/>
        <v>0.27068215857017303</v>
      </c>
      <c r="N709" s="7">
        <f t="shared" si="121"/>
        <v>0.16341692897757101</v>
      </c>
      <c r="O709" s="10">
        <v>2.2616388999999999</v>
      </c>
      <c r="P709" s="10">
        <v>-4.2855065999999997</v>
      </c>
      <c r="Q709" s="10">
        <v>0.15871199999999999</v>
      </c>
      <c r="R709" s="10">
        <v>-14.498507</v>
      </c>
      <c r="S709" s="10">
        <f t="shared" si="122"/>
        <v>2.9922296132821526</v>
      </c>
      <c r="T709" s="10">
        <f t="shared" si="123"/>
        <v>-27.195283094476935</v>
      </c>
      <c r="U709" s="8"/>
      <c r="V709" s="8"/>
    </row>
    <row r="710" spans="1:22" x14ac:dyDescent="0.35">
      <c r="A710" s="12">
        <v>3.625</v>
      </c>
      <c r="B710">
        <v>15.9375</v>
      </c>
      <c r="C710" s="12">
        <v>-0.13002802999999999</v>
      </c>
      <c r="D710" s="12">
        <v>-5.5749732000000003E-2</v>
      </c>
      <c r="E710" s="12">
        <v>0.86987283000000004</v>
      </c>
      <c r="F710" s="12">
        <v>-6.0837584E-2</v>
      </c>
      <c r="G710" s="12">
        <f t="shared" si="114"/>
        <v>2.7010125628395301</v>
      </c>
      <c r="H710" s="12">
        <f t="shared" si="115"/>
        <v>-1.43323682276201</v>
      </c>
      <c r="I710" s="12">
        <f t="shared" si="116"/>
        <v>2.70096946286231</v>
      </c>
      <c r="J710" s="12">
        <f t="shared" si="117"/>
        <v>-1.43578098451926</v>
      </c>
      <c r="K710" s="7">
        <f t="shared" si="118"/>
        <v>4.3099977220073499E-5</v>
      </c>
      <c r="L710" s="7">
        <f t="shared" si="119"/>
        <v>2.54416175724992E-3</v>
      </c>
      <c r="M710" s="7">
        <f t="shared" si="120"/>
        <v>0.28866679227327602</v>
      </c>
      <c r="N710" s="7">
        <f t="shared" si="121"/>
        <v>0.15344945468910301</v>
      </c>
      <c r="O710" s="12">
        <v>2.0917048999999999</v>
      </c>
      <c r="P710" s="12">
        <v>-4.4912174</v>
      </c>
      <c r="Q710" s="12">
        <v>-0.57855723999999997</v>
      </c>
      <c r="R710" s="12">
        <v>-14.844516</v>
      </c>
      <c r="S710" s="12">
        <f t="shared" si="122"/>
        <v>2.998492369681645</v>
      </c>
      <c r="T710" s="12">
        <f t="shared" si="123"/>
        <v>-27.204858505804879</v>
      </c>
      <c r="U710" s="8"/>
      <c r="V710" s="8"/>
    </row>
    <row r="711" spans="1:22" x14ac:dyDescent="0.35">
      <c r="A711" s="10">
        <v>3.625</v>
      </c>
      <c r="B711">
        <v>16</v>
      </c>
      <c r="C711" s="10">
        <v>-0.13598626</v>
      </c>
      <c r="D711" s="10">
        <v>-5.0218631999999999E-2</v>
      </c>
      <c r="E711" s="10">
        <v>0.86391463000000002</v>
      </c>
      <c r="F711" s="10">
        <v>-5.5354502E-2</v>
      </c>
      <c r="G711" s="10">
        <f t="shared" si="114"/>
        <v>2.6945255965554602</v>
      </c>
      <c r="H711" s="10">
        <f t="shared" si="115"/>
        <v>-1.2382931935669701</v>
      </c>
      <c r="I711" s="10">
        <f t="shared" si="116"/>
        <v>2.6944826343267501</v>
      </c>
      <c r="J711" s="10">
        <f t="shared" si="117"/>
        <v>-1.2408613661569801</v>
      </c>
      <c r="K711" s="7">
        <f t="shared" si="118"/>
        <v>4.29622287101417E-5</v>
      </c>
      <c r="L711" s="7">
        <f t="shared" si="119"/>
        <v>2.5681725900099702E-3</v>
      </c>
      <c r="M711" s="7">
        <f t="shared" si="120"/>
        <v>0.30619212713709798</v>
      </c>
      <c r="N711" s="7">
        <f t="shared" si="121"/>
        <v>0.14100739650184599</v>
      </c>
      <c r="O711" s="10">
        <v>1.8966679</v>
      </c>
      <c r="P711" s="10">
        <v>-4.6853841999999997</v>
      </c>
      <c r="Q711" s="10">
        <v>-1.3698181</v>
      </c>
      <c r="R711" s="10">
        <v>-15.122692000000001</v>
      </c>
      <c r="S711" s="10">
        <f t="shared" si="122"/>
        <v>3.0040458217983712</v>
      </c>
      <c r="T711" s="10">
        <f t="shared" si="123"/>
        <v>-27.214103362410654</v>
      </c>
      <c r="U711" s="8"/>
      <c r="V711" s="8"/>
    </row>
    <row r="712" spans="1:22" x14ac:dyDescent="0.35">
      <c r="A712" s="12">
        <v>3.625</v>
      </c>
      <c r="B712">
        <v>16.0625</v>
      </c>
      <c r="C712" s="12">
        <v>-0.14147794</v>
      </c>
      <c r="D712" s="12">
        <v>-4.3951297E-2</v>
      </c>
      <c r="E712" s="12">
        <v>0.85842375000000004</v>
      </c>
      <c r="F712" s="12">
        <v>-4.9136289E-2</v>
      </c>
      <c r="G712" s="12">
        <f t="shared" si="114"/>
        <v>2.6881078947427</v>
      </c>
      <c r="H712" s="12">
        <f t="shared" si="115"/>
        <v>-1.0471646813933899</v>
      </c>
      <c r="I712" s="12">
        <f t="shared" si="116"/>
        <v>2.6880654593079099</v>
      </c>
      <c r="J712" s="12">
        <f t="shared" si="117"/>
        <v>-1.0497574148529001</v>
      </c>
      <c r="K712" s="7">
        <f t="shared" si="118"/>
        <v>4.2435434790100099E-5</v>
      </c>
      <c r="L712" s="7">
        <f t="shared" si="119"/>
        <v>2.5927334595101702E-3</v>
      </c>
      <c r="M712" s="7">
        <f t="shared" si="120"/>
        <v>0.32278658007195599</v>
      </c>
      <c r="N712" s="7">
        <f t="shared" si="121"/>
        <v>0.12605630739840201</v>
      </c>
      <c r="O712" s="12">
        <v>1.6770035000000001</v>
      </c>
      <c r="P712" s="12">
        <v>-4.8616267999999998</v>
      </c>
      <c r="Q712" s="12">
        <v>-2.2056881000000002</v>
      </c>
      <c r="R712" s="12">
        <v>-15.322229</v>
      </c>
      <c r="S712" s="12">
        <f t="shared" si="122"/>
        <v>3.0101033076538326</v>
      </c>
      <c r="T712" s="12">
        <f t="shared" si="123"/>
        <v>-27.223371539804322</v>
      </c>
      <c r="U712" s="8"/>
      <c r="V712" s="8"/>
    </row>
    <row r="713" spans="1:22" x14ac:dyDescent="0.35">
      <c r="A713" s="10">
        <v>3.625</v>
      </c>
      <c r="B713">
        <v>16.125</v>
      </c>
      <c r="C713" s="10">
        <v>-0.14637401</v>
      </c>
      <c r="D713" s="10">
        <v>-3.7009305999999999E-2</v>
      </c>
      <c r="E713" s="10">
        <v>0.85352921999999998</v>
      </c>
      <c r="F713" s="10">
        <v>-4.2244760999999999E-2</v>
      </c>
      <c r="G713" s="10">
        <f t="shared" si="114"/>
        <v>2.6817579104233098</v>
      </c>
      <c r="H713" s="10">
        <f t="shared" si="115"/>
        <v>-0.85978063788784598</v>
      </c>
      <c r="I713" s="10">
        <f t="shared" si="116"/>
        <v>2.6817163765271599</v>
      </c>
      <c r="J713" s="10">
        <f t="shared" si="117"/>
        <v>-0.86239860078240405</v>
      </c>
      <c r="K713" s="7">
        <f t="shared" si="118"/>
        <v>4.1533896149914499E-5</v>
      </c>
      <c r="L713" s="7">
        <f t="shared" si="119"/>
        <v>2.6179628945580701E-3</v>
      </c>
      <c r="M713" s="7">
        <f t="shared" si="120"/>
        <v>0.33794624808637602</v>
      </c>
      <c r="N713" s="7">
        <f t="shared" si="121"/>
        <v>0.108678297988684</v>
      </c>
      <c r="O713" s="10">
        <v>1.4357055000000001</v>
      </c>
      <c r="P713" s="10">
        <v>-5.0176720000000001</v>
      </c>
      <c r="Q713" s="10">
        <v>-3.0743336000000001</v>
      </c>
      <c r="R713" s="10">
        <v>-15.434653000000001</v>
      </c>
      <c r="S713" s="10">
        <f t="shared" si="122"/>
        <v>3.0154743890108273</v>
      </c>
      <c r="T713" s="10">
        <f t="shared" si="123"/>
        <v>-27.232366060600803</v>
      </c>
      <c r="U713" s="8"/>
      <c r="V713" s="8"/>
    </row>
    <row r="714" spans="1:22" x14ac:dyDescent="0.35">
      <c r="A714" s="12">
        <v>3.625</v>
      </c>
      <c r="B714">
        <v>16.1875</v>
      </c>
      <c r="C714" s="12">
        <v>-0.15055704</v>
      </c>
      <c r="D714" s="12">
        <v>-2.9483551E-2</v>
      </c>
      <c r="E714" s="12">
        <v>0.84934836000000002</v>
      </c>
      <c r="F714" s="12">
        <v>-3.4771005000000001E-2</v>
      </c>
      <c r="G714" s="12">
        <f t="shared" si="114"/>
        <v>2.67547399376308</v>
      </c>
      <c r="H714" s="12">
        <f t="shared" si="115"/>
        <v>-0.67607342789379798</v>
      </c>
      <c r="I714" s="12">
        <f t="shared" si="116"/>
        <v>2.6754336817611502</v>
      </c>
      <c r="J714" s="12">
        <f t="shared" si="117"/>
        <v>-0.678717386526969</v>
      </c>
      <c r="K714" s="7">
        <f t="shared" si="118"/>
        <v>4.03120019298875E-5</v>
      </c>
      <c r="L714" s="7">
        <f t="shared" si="119"/>
        <v>2.64395863317102E-3</v>
      </c>
      <c r="M714" s="7">
        <f t="shared" si="120"/>
        <v>0.35117117868507902</v>
      </c>
      <c r="N714" s="7">
        <f t="shared" si="121"/>
        <v>8.9086859541903193E-2</v>
      </c>
      <c r="O714" s="12">
        <v>1.1753905</v>
      </c>
      <c r="P714" s="12">
        <v>-5.1474684999999996</v>
      </c>
      <c r="Q714" s="12">
        <v>-3.9616571</v>
      </c>
      <c r="R714" s="12">
        <v>-15.453366000000001</v>
      </c>
      <c r="S714" s="12">
        <f t="shared" si="122"/>
        <v>3.021442595155861</v>
      </c>
      <c r="T714" s="12">
        <f t="shared" si="123"/>
        <v>-27.241389711202928</v>
      </c>
      <c r="U714" s="8"/>
      <c r="V714" s="8"/>
    </row>
    <row r="715" spans="1:22" x14ac:dyDescent="0.35">
      <c r="A715" s="10">
        <v>3.625</v>
      </c>
      <c r="B715">
        <v>16.25</v>
      </c>
      <c r="C715" s="10">
        <v>-0.15392935999999999</v>
      </c>
      <c r="D715" s="10">
        <v>-2.1491065E-2</v>
      </c>
      <c r="E715" s="10">
        <v>0.84597862000000001</v>
      </c>
      <c r="F715" s="10">
        <v>-2.6832156999999999E-2</v>
      </c>
      <c r="G715" s="10">
        <f t="shared" si="114"/>
        <v>2.6692544738945001</v>
      </c>
      <c r="H715" s="10">
        <f t="shared" si="115"/>
        <v>-0.49597677509046201</v>
      </c>
      <c r="I715" s="10">
        <f t="shared" si="116"/>
        <v>2.6692155945270399</v>
      </c>
      <c r="J715" s="10">
        <f t="shared" si="117"/>
        <v>-0.498647547801853</v>
      </c>
      <c r="K715" s="7">
        <f t="shared" si="118"/>
        <v>3.8879367460165098E-5</v>
      </c>
      <c r="L715" s="7">
        <f t="shared" si="119"/>
        <v>2.67077271139099E-3</v>
      </c>
      <c r="M715" s="7">
        <f t="shared" si="120"/>
        <v>0.36200797680632602</v>
      </c>
      <c r="N715" s="7">
        <f t="shared" si="121"/>
        <v>6.7628253892009105E-2</v>
      </c>
      <c r="O715" s="10">
        <v>0.90064279000000003</v>
      </c>
      <c r="P715" s="10">
        <v>-5.2495586000000003</v>
      </c>
      <c r="Q715" s="10">
        <v>-4.8522737999999999</v>
      </c>
      <c r="R715" s="10">
        <v>-15.375349</v>
      </c>
      <c r="S715" s="10">
        <f t="shared" si="122"/>
        <v>3.0270480286639536</v>
      </c>
      <c r="T715" s="10">
        <f t="shared" si="123"/>
        <v>-27.250260767562683</v>
      </c>
      <c r="U715" s="8"/>
      <c r="V715" s="8"/>
    </row>
    <row r="716" spans="1:22" x14ac:dyDescent="0.35">
      <c r="A716" s="12">
        <v>3.625</v>
      </c>
      <c r="B716">
        <v>16.3125</v>
      </c>
      <c r="C716" s="12">
        <v>-0.15642</v>
      </c>
      <c r="D716" s="12">
        <v>-1.3169357E-2</v>
      </c>
      <c r="E716" s="12">
        <v>0.84349070999999998</v>
      </c>
      <c r="F716" s="12">
        <v>-1.8565715999999999E-2</v>
      </c>
      <c r="G716" s="12">
        <f t="shared" si="114"/>
        <v>2.66309784223923</v>
      </c>
      <c r="H716" s="12">
        <f t="shared" si="115"/>
        <v>-0.31942789280980899</v>
      </c>
      <c r="I716" s="12">
        <f t="shared" si="116"/>
        <v>2.6630604763407302</v>
      </c>
      <c r="J716" s="12">
        <f t="shared" si="117"/>
        <v>-0.32212629359981398</v>
      </c>
      <c r="K716" s="7">
        <f t="shared" si="118"/>
        <v>3.7365898499785999E-5</v>
      </c>
      <c r="L716" s="7">
        <f t="shared" si="119"/>
        <v>2.6984007900049999E-3</v>
      </c>
      <c r="M716" s="7">
        <f t="shared" si="120"/>
        <v>0.37009277679737801</v>
      </c>
      <c r="N716" s="7">
        <f t="shared" si="121"/>
        <v>4.4766769488320597E-2</v>
      </c>
      <c r="O716" s="12">
        <v>0.61613430000000002</v>
      </c>
      <c r="P716" s="12">
        <v>-5.3216004000000003</v>
      </c>
      <c r="Q716" s="12">
        <v>-5.7300836000000004</v>
      </c>
      <c r="R716" s="12">
        <v>-15.200608000000001</v>
      </c>
      <c r="S716" s="12">
        <f t="shared" si="122"/>
        <v>3.0323520151679175</v>
      </c>
      <c r="T716" s="12">
        <f t="shared" si="123"/>
        <v>-27.258935806332577</v>
      </c>
      <c r="U716" s="8"/>
      <c r="V716" s="8"/>
    </row>
    <row r="717" spans="1:22" x14ac:dyDescent="0.35">
      <c r="A717" s="10">
        <v>3.625</v>
      </c>
      <c r="B717">
        <v>16.375</v>
      </c>
      <c r="C717" s="10">
        <v>-0.15798962</v>
      </c>
      <c r="D717" s="10">
        <v>-4.6685655000000001E-3</v>
      </c>
      <c r="E717" s="10">
        <v>0.84192369</v>
      </c>
      <c r="F717" s="10">
        <v>-1.0121717000000001E-2</v>
      </c>
      <c r="G717" s="10">
        <f t="shared" si="114"/>
        <v>2.6570017512820701</v>
      </c>
      <c r="H717" s="10">
        <f t="shared" si="115"/>
        <v>-0.14636743409698399</v>
      </c>
      <c r="I717" s="10">
        <f t="shared" si="116"/>
        <v>2.6569658395300402</v>
      </c>
      <c r="J717" s="10">
        <f t="shared" si="117"/>
        <v>-0.149094225955889</v>
      </c>
      <c r="K717" s="7">
        <f t="shared" si="118"/>
        <v>3.59117520298824E-5</v>
      </c>
      <c r="L717" s="7">
        <f t="shared" si="119"/>
        <v>2.7267918589050102E-3</v>
      </c>
      <c r="M717" s="7">
        <f t="shared" si="120"/>
        <v>0.37518775575563701</v>
      </c>
      <c r="N717" s="7">
        <f t="shared" si="121"/>
        <v>2.1053461508714101E-2</v>
      </c>
      <c r="O717" s="10">
        <v>0.32691364000000001</v>
      </c>
      <c r="P717" s="10">
        <v>-5.3614758</v>
      </c>
      <c r="Q717" s="10">
        <v>-6.5794926</v>
      </c>
      <c r="R717" s="10">
        <v>-14.932948</v>
      </c>
      <c r="S717" s="10">
        <f t="shared" si="122"/>
        <v>3.0379544524001463</v>
      </c>
      <c r="T717" s="10">
        <f t="shared" si="123"/>
        <v>-27.267669474626295</v>
      </c>
      <c r="U717" s="8"/>
      <c r="V717" s="8"/>
    </row>
    <row r="718" spans="1:22" x14ac:dyDescent="0.35">
      <c r="A718" s="12">
        <v>3.625</v>
      </c>
      <c r="B718">
        <v>16.4375</v>
      </c>
      <c r="C718" s="12">
        <v>-0.15863260000000001</v>
      </c>
      <c r="D718" s="12">
        <v>3.8576899E-3</v>
      </c>
      <c r="E718" s="12">
        <v>0.84128294000000003</v>
      </c>
      <c r="F718" s="12">
        <v>-1.6535599000000001E-3</v>
      </c>
      <c r="G718" s="12">
        <f t="shared" si="114"/>
        <v>2.6509637017024299</v>
      </c>
      <c r="H718" s="12">
        <f t="shared" si="115"/>
        <v>2.3262597398943999E-2</v>
      </c>
      <c r="I718" s="12">
        <f t="shared" si="116"/>
        <v>2.6509290642919798</v>
      </c>
      <c r="J718" s="12">
        <f t="shared" si="117"/>
        <v>2.0506760672248301E-2</v>
      </c>
      <c r="K718" s="7">
        <f t="shared" si="118"/>
        <v>3.46374104500669E-5</v>
      </c>
      <c r="L718" s="7">
        <f t="shared" si="119"/>
        <v>2.7558367266956999E-3</v>
      </c>
      <c r="M718" s="7">
        <f t="shared" si="120"/>
        <v>0.37720366650999398</v>
      </c>
      <c r="N718" s="7">
        <f t="shared" si="121"/>
        <v>-2.9179299506759699E-3</v>
      </c>
      <c r="O718" s="12">
        <v>3.8295612999999999E-2</v>
      </c>
      <c r="P718" s="12">
        <v>-5.3701109999999996</v>
      </c>
      <c r="Q718" s="12">
        <v>-7.3861343000000002</v>
      </c>
      <c r="R718" s="12">
        <v>-14.579269</v>
      </c>
      <c r="S718" s="12">
        <f t="shared" si="122"/>
        <v>3.0433424286741775</v>
      </c>
      <c r="T718" s="12">
        <f t="shared" si="123"/>
        <v>-27.276222338208012</v>
      </c>
      <c r="U718" s="8"/>
      <c r="V718" s="8"/>
    </row>
    <row r="719" spans="1:22" x14ac:dyDescent="0.35">
      <c r="A719" s="10">
        <v>3.625</v>
      </c>
      <c r="B719">
        <v>16.5</v>
      </c>
      <c r="C719" s="10">
        <v>-0.15837609999999999</v>
      </c>
      <c r="D719" s="10">
        <v>1.2261236999999999E-2</v>
      </c>
      <c r="E719" s="10">
        <v>0.84154107</v>
      </c>
      <c r="F719" s="10">
        <v>6.6907861999999999E-3</v>
      </c>
      <c r="G719" s="10">
        <f t="shared" si="114"/>
        <v>2.6449806929688302</v>
      </c>
      <c r="H719" s="10">
        <f t="shared" si="115"/>
        <v>0.18951405001653099</v>
      </c>
      <c r="I719" s="10">
        <f t="shared" si="116"/>
        <v>2.6449470346377999</v>
      </c>
      <c r="J719" s="10">
        <f t="shared" si="117"/>
        <v>0.18672861551172301</v>
      </c>
      <c r="K719" s="7">
        <f t="shared" si="118"/>
        <v>3.3658331030306203E-5</v>
      </c>
      <c r="L719" s="7">
        <f t="shared" si="119"/>
        <v>2.78543450480798E-3</v>
      </c>
      <c r="M719" s="7">
        <f t="shared" si="120"/>
        <v>0.37620435990593598</v>
      </c>
      <c r="N719" s="7">
        <f t="shared" si="121"/>
        <v>-2.65593671082071E-2</v>
      </c>
      <c r="O719" s="10">
        <v>-0.24476496</v>
      </c>
      <c r="P719" s="10">
        <v>-5.3485693999999997</v>
      </c>
      <c r="Q719" s="10">
        <v>-8.1377728999999999</v>
      </c>
      <c r="R719" s="10">
        <v>-14.149277</v>
      </c>
      <c r="S719" s="10">
        <f t="shared" si="122"/>
        <v>3.048568010156842</v>
      </c>
      <c r="T719" s="10">
        <f t="shared" si="123"/>
        <v>-27.284619816870435</v>
      </c>
      <c r="U719" s="8"/>
      <c r="V719" s="8"/>
    </row>
    <row r="720" spans="1:22" x14ac:dyDescent="0.35">
      <c r="A720" s="12">
        <v>3.625</v>
      </c>
      <c r="B720">
        <v>16.5625</v>
      </c>
      <c r="C720" s="12">
        <v>-0.15727650000000001</v>
      </c>
      <c r="D720" s="12">
        <v>2.0407336000000002E-2</v>
      </c>
      <c r="E720" s="12">
        <v>0.84264139999999998</v>
      </c>
      <c r="F720" s="12">
        <v>1.4776635999999999E-2</v>
      </c>
      <c r="G720" s="12">
        <f t="shared" si="114"/>
        <v>2.6390486566539</v>
      </c>
      <c r="H720" s="12">
        <f t="shared" si="115"/>
        <v>0.35242906507641097</v>
      </c>
      <c r="I720" s="12">
        <f t="shared" si="116"/>
        <v>2.6390155320776998</v>
      </c>
      <c r="J720" s="12">
        <f t="shared" si="117"/>
        <v>0.34961350624044502</v>
      </c>
      <c r="K720" s="7">
        <f t="shared" si="118"/>
        <v>3.3124576200194203E-5</v>
      </c>
      <c r="L720" s="7">
        <f t="shared" si="119"/>
        <v>2.8155588359659602E-3</v>
      </c>
      <c r="M720" s="7">
        <f t="shared" si="120"/>
        <v>0.37239344659572698</v>
      </c>
      <c r="N720" s="7">
        <f t="shared" si="121"/>
        <v>-4.9334222168368302E-2</v>
      </c>
      <c r="O720" s="12">
        <v>-0.51776345000000001</v>
      </c>
      <c r="P720" s="12">
        <v>-5.2986006000000003</v>
      </c>
      <c r="Q720" s="12">
        <v>-8.8248265999999997</v>
      </c>
      <c r="R720" s="12">
        <v>-13.654699000000001</v>
      </c>
      <c r="S720" s="12">
        <f t="shared" si="122"/>
        <v>3.0538456671544245</v>
      </c>
      <c r="T720" s="12">
        <f t="shared" si="123"/>
        <v>-27.292924288285658</v>
      </c>
      <c r="U720" s="8"/>
      <c r="V720" s="8"/>
    </row>
    <row r="721" spans="1:22" x14ac:dyDescent="0.35">
      <c r="A721" s="10">
        <v>3.625</v>
      </c>
      <c r="B721">
        <v>16.625</v>
      </c>
      <c r="C721" s="10">
        <v>-0.15541399</v>
      </c>
      <c r="D721" s="10">
        <v>2.8180361000000001E-2</v>
      </c>
      <c r="E721" s="10">
        <v>0.84450331000000001</v>
      </c>
      <c r="F721" s="10">
        <v>2.2488517999999999E-2</v>
      </c>
      <c r="G721" s="10">
        <f t="shared" si="114"/>
        <v>2.6331613432323802</v>
      </c>
      <c r="H721" s="10">
        <f t="shared" si="115"/>
        <v>0.51202929818960197</v>
      </c>
      <c r="I721" s="10">
        <f t="shared" si="116"/>
        <v>2.6331280917308599</v>
      </c>
      <c r="J721" s="10">
        <f t="shared" si="117"/>
        <v>0.50918316437080502</v>
      </c>
      <c r="K721" s="7">
        <f t="shared" si="118"/>
        <v>3.3251501520226197E-5</v>
      </c>
      <c r="L721" s="7">
        <f t="shared" si="119"/>
        <v>2.8461338187969502E-3</v>
      </c>
      <c r="M721" s="7">
        <f t="shared" si="120"/>
        <v>0.366086912595742</v>
      </c>
      <c r="N721" s="7">
        <f t="shared" si="121"/>
        <v>-7.0792337515075895E-2</v>
      </c>
      <c r="O721" s="10">
        <v>-0.77693296999999995</v>
      </c>
      <c r="P721" s="10">
        <v>-5.2235496000000001</v>
      </c>
      <c r="Q721" s="10">
        <v>-9.4405768999999999</v>
      </c>
      <c r="R721" s="10">
        <v>-13.108428999999999</v>
      </c>
      <c r="S721" s="10">
        <f t="shared" si="122"/>
        <v>3.058904608408044</v>
      </c>
      <c r="T721" s="10">
        <f t="shared" si="123"/>
        <v>-27.301148748499749</v>
      </c>
      <c r="U721" s="8"/>
      <c r="V721" s="8"/>
    </row>
    <row r="722" spans="1:22" x14ac:dyDescent="0.35">
      <c r="A722" s="12">
        <v>3.625</v>
      </c>
      <c r="B722">
        <v>16.6875</v>
      </c>
      <c r="C722" s="12">
        <v>-0.15288521999999999</v>
      </c>
      <c r="D722" s="12">
        <v>3.5489443000000002E-2</v>
      </c>
      <c r="E722" s="12">
        <v>0.84703026000000003</v>
      </c>
      <c r="F722" s="12">
        <v>2.9735503E-2</v>
      </c>
      <c r="G722" s="12">
        <f t="shared" si="114"/>
        <v>2.6273187532012101</v>
      </c>
      <c r="H722" s="12">
        <f t="shared" si="115"/>
        <v>0.66834976232975496</v>
      </c>
      <c r="I722" s="12">
        <f t="shared" si="116"/>
        <v>2.6272847693525199</v>
      </c>
      <c r="J722" s="12">
        <f t="shared" si="117"/>
        <v>0.66547257296921902</v>
      </c>
      <c r="K722" s="7">
        <f t="shared" si="118"/>
        <v>3.39838486902444E-5</v>
      </c>
      <c r="L722" s="7">
        <f t="shared" si="119"/>
        <v>2.8771893605359401E-3</v>
      </c>
      <c r="M722" s="7">
        <f t="shared" si="120"/>
        <v>0.35767371572238799</v>
      </c>
      <c r="N722" s="7">
        <f t="shared" si="121"/>
        <v>-9.0596211975871102E-2</v>
      </c>
      <c r="O722" s="12">
        <v>-1.0193095999999999</v>
      </c>
      <c r="P722" s="12">
        <v>-5.1265302000000004</v>
      </c>
      <c r="Q722" s="12">
        <v>-9.9814694999999993</v>
      </c>
      <c r="R722" s="12">
        <v>-12.523834000000001</v>
      </c>
      <c r="S722" s="12">
        <f t="shared" si="122"/>
        <v>3.0639433462698475</v>
      </c>
      <c r="T722" s="12">
        <f t="shared" si="123"/>
        <v>-27.309294669673204</v>
      </c>
      <c r="U722" s="8"/>
      <c r="V722" s="8"/>
    </row>
    <row r="723" spans="1:22" x14ac:dyDescent="0.35">
      <c r="A723" s="10">
        <v>3.625</v>
      </c>
      <c r="B723">
        <v>16.75</v>
      </c>
      <c r="C723" s="10">
        <v>-0.1497938</v>
      </c>
      <c r="D723" s="10">
        <v>4.2272701000000003E-2</v>
      </c>
      <c r="E723" s="10">
        <v>0.85011890999999995</v>
      </c>
      <c r="F723" s="10">
        <v>3.645607E-2</v>
      </c>
      <c r="G723" s="10">
        <f t="shared" si="114"/>
        <v>2.6215250600186999</v>
      </c>
      <c r="H723" s="10">
        <f t="shared" si="115"/>
        <v>0.82151779684447701</v>
      </c>
      <c r="I723" s="10">
        <f t="shared" si="116"/>
        <v>2.6214898724487998</v>
      </c>
      <c r="J723" s="10">
        <f t="shared" si="117"/>
        <v>0.81860925206448398</v>
      </c>
      <c r="K723" s="7">
        <f t="shared" si="118"/>
        <v>3.5187569900063698E-5</v>
      </c>
      <c r="L723" s="7">
        <f t="shared" si="119"/>
        <v>2.9085447799930301E-3</v>
      </c>
      <c r="M723" s="7">
        <f t="shared" si="120"/>
        <v>0.34757028430960701</v>
      </c>
      <c r="N723" s="7">
        <f t="shared" si="121"/>
        <v>-0.108535323164436</v>
      </c>
      <c r="O723" s="10">
        <v>-1.2429703999999999</v>
      </c>
      <c r="P723" s="10">
        <v>-5.0112185</v>
      </c>
      <c r="Q723" s="10">
        <v>-10.446854</v>
      </c>
      <c r="R723" s="10">
        <v>-11.913322000000001</v>
      </c>
      <c r="S723" s="10">
        <f t="shared" si="122"/>
        <v>3.0689107156274202</v>
      </c>
      <c r="T723" s="10">
        <f t="shared" si="123"/>
        <v>-27.317322719853724</v>
      </c>
      <c r="U723" s="8"/>
      <c r="V723" s="8"/>
    </row>
    <row r="724" spans="1:22" x14ac:dyDescent="0.35">
      <c r="A724" s="12">
        <v>3.625</v>
      </c>
      <c r="B724">
        <v>16.8125</v>
      </c>
      <c r="C724" s="12">
        <v>-0.14624845</v>
      </c>
      <c r="D724" s="12">
        <v>4.8487003000000001E-2</v>
      </c>
      <c r="E724" s="12">
        <v>0.85365970999999996</v>
      </c>
      <c r="F724" s="12">
        <v>4.2607069999999997E-2</v>
      </c>
      <c r="G724" s="12">
        <f t="shared" si="114"/>
        <v>2.6157705868862098</v>
      </c>
      <c r="H724" s="12">
        <f t="shared" si="115"/>
        <v>0.97152293605434303</v>
      </c>
      <c r="I724" s="12">
        <f t="shared" si="116"/>
        <v>2.6157333092965902</v>
      </c>
      <c r="J724" s="12">
        <f t="shared" si="117"/>
        <v>0.96858272494498399</v>
      </c>
      <c r="K724" s="7">
        <f t="shared" si="118"/>
        <v>3.7277589619577598E-5</v>
      </c>
      <c r="L724" s="7">
        <f t="shared" si="119"/>
        <v>2.9402111093590499E-3</v>
      </c>
      <c r="M724" s="7">
        <f t="shared" si="120"/>
        <v>0.33620329269452298</v>
      </c>
      <c r="N724" s="7">
        <f t="shared" si="121"/>
        <v>-0.124493082003496</v>
      </c>
      <c r="O724" s="12">
        <v>-1.446553</v>
      </c>
      <c r="P724" s="12">
        <v>-4.8811942999999998</v>
      </c>
      <c r="Q724" s="12">
        <v>-10.838081000000001</v>
      </c>
      <c r="R724" s="12">
        <v>-11.288976999999999</v>
      </c>
      <c r="S724" s="12">
        <f t="shared" si="122"/>
        <v>3.0739250960516395</v>
      </c>
      <c r="T724" s="12">
        <f t="shared" si="123"/>
        <v>-27.325302518255725</v>
      </c>
      <c r="U724" s="8"/>
      <c r="V724" s="8"/>
    </row>
    <row r="725" spans="1:22" x14ac:dyDescent="0.35">
      <c r="A725" s="10">
        <v>3.625</v>
      </c>
      <c r="B725">
        <v>16.875</v>
      </c>
      <c r="C725" s="10">
        <v>-0.14235329999999999</v>
      </c>
      <c r="D725" s="10">
        <v>5.4114632000000003E-2</v>
      </c>
      <c r="E725" s="10">
        <v>0.85743879999999995</v>
      </c>
      <c r="F725" s="10">
        <v>4.8042649E-2</v>
      </c>
      <c r="G725" s="10">
        <f t="shared" si="114"/>
        <v>2.6100472702298498</v>
      </c>
      <c r="H725" s="10">
        <f t="shared" si="115"/>
        <v>1.1166217185187599</v>
      </c>
      <c r="I725" s="10">
        <f t="shared" si="116"/>
        <v>2.6099525294575101</v>
      </c>
      <c r="J725" s="10">
        <f t="shared" si="117"/>
        <v>1.11358512373255</v>
      </c>
      <c r="K725" s="7">
        <f t="shared" si="118"/>
        <v>9.47407723397298E-5</v>
      </c>
      <c r="L725" s="7">
        <f t="shared" si="119"/>
        <v>3.0365947862098799E-3</v>
      </c>
      <c r="M725" s="7">
        <f t="shared" si="120"/>
        <v>0.32414023263198499</v>
      </c>
      <c r="N725" s="7">
        <f t="shared" si="121"/>
        <v>-0.138300500483514</v>
      </c>
      <c r="O725" s="10">
        <v>-1.6296233</v>
      </c>
      <c r="P725" s="10">
        <v>-4.7402933999999997</v>
      </c>
      <c r="Q725" s="10">
        <v>-11.158746000000001</v>
      </c>
      <c r="R725" s="10">
        <v>-10.661322999999999</v>
      </c>
      <c r="S725" s="10">
        <f t="shared" si="122"/>
        <v>3.0788731716159914</v>
      </c>
      <c r="T725" s="10">
        <f t="shared" si="123"/>
        <v>-27.333920155963987</v>
      </c>
      <c r="U725" s="8"/>
      <c r="V725" s="8"/>
    </row>
    <row r="726" spans="1:22" x14ac:dyDescent="0.35">
      <c r="A726" s="12">
        <v>3.625</v>
      </c>
      <c r="B726">
        <v>16.9375</v>
      </c>
      <c r="C726" s="12">
        <v>-0.13819999999999999</v>
      </c>
      <c r="D726" s="12">
        <v>5.9154659999999998E-2</v>
      </c>
      <c r="E726" s="12">
        <v>0.86184727000000005</v>
      </c>
      <c r="F726" s="12">
        <v>5.3059578000000003E-2</v>
      </c>
      <c r="G726" s="12">
        <f t="shared" si="114"/>
        <v>2.6063664674428502</v>
      </c>
      <c r="H726" s="12">
        <f t="shared" si="115"/>
        <v>1.26288409573199</v>
      </c>
      <c r="I726" s="12">
        <f t="shared" si="116"/>
        <v>2.60639938864565</v>
      </c>
      <c r="J726" s="12">
        <f t="shared" si="117"/>
        <v>1.25983672708526</v>
      </c>
      <c r="K726" s="7">
        <f t="shared" si="118"/>
        <v>-3.2921202799851597E-5</v>
      </c>
      <c r="L726" s="7">
        <f t="shared" si="119"/>
        <v>3.0473686467300501E-3</v>
      </c>
      <c r="M726" s="7">
        <f t="shared" si="120"/>
        <v>0.31100738775880099</v>
      </c>
      <c r="N726" s="7">
        <f t="shared" si="121"/>
        <v>-0.150329428099269</v>
      </c>
      <c r="O726" s="12">
        <v>-1.7932205000000001</v>
      </c>
      <c r="P726" s="12">
        <v>-4.5910380999999996</v>
      </c>
      <c r="Q726" s="12">
        <v>-11.412272</v>
      </c>
      <c r="R726" s="12">
        <v>-10.03797</v>
      </c>
      <c r="S726" s="12">
        <f t="shared" si="122"/>
        <v>3.0836405100815933</v>
      </c>
      <c r="T726" s="12">
        <f t="shared" si="123"/>
        <v>-27.330695561742687</v>
      </c>
      <c r="U726" s="8"/>
      <c r="V726" s="8"/>
    </row>
    <row r="727" spans="1:22" x14ac:dyDescent="0.35">
      <c r="A727" s="10">
        <v>3.625</v>
      </c>
      <c r="B727">
        <v>17</v>
      </c>
      <c r="C727" s="10">
        <v>-0.13388151000000001</v>
      </c>
      <c r="D727" s="10">
        <v>6.3626894000000003E-2</v>
      </c>
      <c r="E727" s="10">
        <v>0.86616457000000002</v>
      </c>
      <c r="F727" s="10">
        <v>5.7472210000000003E-2</v>
      </c>
      <c r="G727" s="10">
        <f t="shared" si="114"/>
        <v>2.6008077904240898</v>
      </c>
      <c r="H727" s="10">
        <f t="shared" si="115"/>
        <v>1.4041656045283</v>
      </c>
      <c r="I727" s="10">
        <f t="shared" si="116"/>
        <v>2.6008402991828299</v>
      </c>
      <c r="J727" s="10">
        <f t="shared" si="117"/>
        <v>1.4010884334668801</v>
      </c>
      <c r="K727" s="7">
        <f t="shared" si="118"/>
        <v>-3.2508758740057397E-5</v>
      </c>
      <c r="L727" s="7">
        <f t="shared" si="119"/>
        <v>3.07717106141991E-3</v>
      </c>
      <c r="M727" s="7">
        <f t="shared" si="120"/>
        <v>0.29800795415327402</v>
      </c>
      <c r="N727" s="7">
        <f t="shared" si="121"/>
        <v>-0.16053869119778999</v>
      </c>
      <c r="O727" s="10">
        <v>-1.9365022000000001</v>
      </c>
      <c r="P727" s="10">
        <v>-4.4374324999999999</v>
      </c>
      <c r="Q727" s="10">
        <v>-11.606396999999999</v>
      </c>
      <c r="R727" s="10">
        <v>-9.4275225000000002</v>
      </c>
      <c r="S727" s="10">
        <f t="shared" si="122"/>
        <v>3.0884193001981508</v>
      </c>
      <c r="T727" s="10">
        <f t="shared" si="123"/>
        <v>-27.337567860954092</v>
      </c>
      <c r="U727" s="8"/>
      <c r="V727" s="8"/>
    </row>
    <row r="728" spans="1:22" x14ac:dyDescent="0.35">
      <c r="A728" s="12">
        <v>3.75</v>
      </c>
      <c r="B728">
        <v>15</v>
      </c>
      <c r="C728" s="12">
        <v>-4.9944698000000003E-2</v>
      </c>
      <c r="D728" s="12">
        <v>-7.1749994999999997E-2</v>
      </c>
      <c r="E728" s="12">
        <v>0.95000059999999997</v>
      </c>
      <c r="F728" s="12">
        <v>-7.6385095E-2</v>
      </c>
      <c r="G728" s="12">
        <f t="shared" si="114"/>
        <v>2.6298339800528501</v>
      </c>
      <c r="H728" s="12">
        <f t="shared" si="115"/>
        <v>-4.6378005418384403</v>
      </c>
      <c r="I728" s="12">
        <f t="shared" si="116"/>
        <v>2.6298119997546401</v>
      </c>
      <c r="J728" s="12">
        <f t="shared" si="117"/>
        <v>-4.64011820616932</v>
      </c>
      <c r="K728" s="7">
        <f t="shared" si="118"/>
        <v>2.1980298209989301E-5</v>
      </c>
      <c r="L728" s="7">
        <f t="shared" si="119"/>
        <v>2.3176643308797699E-3</v>
      </c>
      <c r="M728" s="7">
        <f t="shared" si="120"/>
        <v>9.2447295949761796E-2</v>
      </c>
      <c r="N728" s="7">
        <f t="shared" si="121"/>
        <v>0.16311674792252701</v>
      </c>
      <c r="O728" s="12">
        <v>2.6680461000000002</v>
      </c>
      <c r="P728" s="12">
        <v>-1.7457259000000001</v>
      </c>
      <c r="Q728" s="12">
        <v>4.5848304000000004</v>
      </c>
      <c r="R728" s="12">
        <v>-8.0191631000000001</v>
      </c>
      <c r="S728" s="12">
        <f t="shared" si="122"/>
        <v>2.8971382076920991</v>
      </c>
      <c r="T728" s="12">
        <f t="shared" si="123"/>
        <v>-27.044841743171421</v>
      </c>
      <c r="U728" s="8"/>
      <c r="V728" s="8"/>
    </row>
    <row r="729" spans="1:22" x14ac:dyDescent="0.35">
      <c r="A729" s="10">
        <v>3.75</v>
      </c>
      <c r="B729">
        <v>15.0625</v>
      </c>
      <c r="C729" s="10">
        <v>-5.3773722000000003E-2</v>
      </c>
      <c r="D729" s="10">
        <v>-7.3296082999999998E-2</v>
      </c>
      <c r="E729" s="10">
        <v>0.94623886999999995</v>
      </c>
      <c r="F729" s="10">
        <v>-7.7733694000000006E-2</v>
      </c>
      <c r="G729" s="10">
        <f t="shared" si="114"/>
        <v>2.6283958522008599</v>
      </c>
      <c r="H729" s="10">
        <f t="shared" si="115"/>
        <v>-4.39264544439677</v>
      </c>
      <c r="I729" s="10">
        <f t="shared" si="116"/>
        <v>2.6284070711418499</v>
      </c>
      <c r="J729" s="10">
        <f t="shared" si="117"/>
        <v>-4.3948642110347604</v>
      </c>
      <c r="K729" s="7">
        <f t="shared" si="118"/>
        <v>-1.12189409899877E-5</v>
      </c>
      <c r="L729" s="7">
        <f t="shared" si="119"/>
        <v>2.2187666379904799E-3</v>
      </c>
      <c r="M729" s="7">
        <f t="shared" si="120"/>
        <v>0.100231532334339</v>
      </c>
      <c r="N729" s="7">
        <f t="shared" si="121"/>
        <v>0.16759351285795901</v>
      </c>
      <c r="O729" s="10">
        <v>2.7108156999999999</v>
      </c>
      <c r="P729" s="10">
        <v>-1.8724626</v>
      </c>
      <c r="Q729" s="10">
        <v>4.5444072000000002</v>
      </c>
      <c r="R729" s="10">
        <v>-8.4320664999999995</v>
      </c>
      <c r="S729" s="10">
        <f t="shared" si="122"/>
        <v>2.9073588330026863</v>
      </c>
      <c r="T729" s="10">
        <f t="shared" si="123"/>
        <v>-27.043542339237135</v>
      </c>
      <c r="U729" s="8"/>
      <c r="V729" s="8"/>
    </row>
    <row r="730" spans="1:22" x14ac:dyDescent="0.35">
      <c r="A730" s="12">
        <v>3.75</v>
      </c>
      <c r="B730">
        <v>15.125</v>
      </c>
      <c r="C730" s="12">
        <v>-5.7900892000000002E-2</v>
      </c>
      <c r="D730" s="12">
        <v>-7.4697396999999999E-2</v>
      </c>
      <c r="E730" s="12">
        <v>0.94203247999999995</v>
      </c>
      <c r="F730" s="12">
        <v>-7.9414465000000004E-2</v>
      </c>
      <c r="G730" s="12">
        <f t="shared" si="114"/>
        <v>2.6167707228204198</v>
      </c>
      <c r="H730" s="12">
        <f t="shared" si="115"/>
        <v>-4.1442921728603199</v>
      </c>
      <c r="I730" s="12">
        <f t="shared" si="116"/>
        <v>2.6167429709182302</v>
      </c>
      <c r="J730" s="12">
        <f t="shared" si="117"/>
        <v>-4.1466508508911399</v>
      </c>
      <c r="K730" s="7">
        <f t="shared" si="118"/>
        <v>2.7751902189621098E-5</v>
      </c>
      <c r="L730" s="7">
        <f t="shared" si="119"/>
        <v>2.3586780308200201E-3</v>
      </c>
      <c r="M730" s="7">
        <f t="shared" si="120"/>
        <v>0.108840227977456</v>
      </c>
      <c r="N730" s="7">
        <f t="shared" si="121"/>
        <v>0.17247487772768599</v>
      </c>
      <c r="O730" s="12">
        <v>2.7522166000000001</v>
      </c>
      <c r="P730" s="12">
        <v>-2.0100731999999999</v>
      </c>
      <c r="Q730" s="12">
        <v>4.4780148000000004</v>
      </c>
      <c r="R730" s="12">
        <v>-8.8665897999999999</v>
      </c>
      <c r="S730" s="12">
        <f t="shared" si="122"/>
        <v>2.914601159950752</v>
      </c>
      <c r="T730" s="12">
        <f t="shared" si="123"/>
        <v>-27.061819235261474</v>
      </c>
      <c r="U730" s="8"/>
      <c r="V730" s="8"/>
    </row>
    <row r="731" spans="1:22" x14ac:dyDescent="0.35">
      <c r="A731" s="10">
        <v>3.75</v>
      </c>
      <c r="B731">
        <v>15.1875</v>
      </c>
      <c r="C731" s="10">
        <v>-6.2313558999999998E-2</v>
      </c>
      <c r="D731" s="10">
        <v>-7.5949187000000001E-2</v>
      </c>
      <c r="E731" s="10">
        <v>0.93761477000000004</v>
      </c>
      <c r="F731" s="10">
        <v>-8.0709952000000001E-2</v>
      </c>
      <c r="G731" s="10">
        <f t="shared" si="114"/>
        <v>2.6103408729587301</v>
      </c>
      <c r="H731" s="10">
        <f t="shared" si="115"/>
        <v>-3.9063132742054201</v>
      </c>
      <c r="I731" s="10">
        <f t="shared" si="116"/>
        <v>2.6103107029724502</v>
      </c>
      <c r="J731" s="10">
        <f t="shared" si="117"/>
        <v>-3.9086938138293701</v>
      </c>
      <c r="K731" s="7">
        <f t="shared" si="118"/>
        <v>3.0169986279915399E-5</v>
      </c>
      <c r="L731" s="7">
        <f t="shared" si="119"/>
        <v>2.3805396239500202E-3</v>
      </c>
      <c r="M731" s="7">
        <f t="shared" si="120"/>
        <v>0.11815846767701101</v>
      </c>
      <c r="N731" s="7">
        <f t="shared" si="121"/>
        <v>0.17693114889916101</v>
      </c>
      <c r="O731" s="10">
        <v>2.7878504999999998</v>
      </c>
      <c r="P731" s="10">
        <v>-2.1568214000000001</v>
      </c>
      <c r="Q731" s="10">
        <v>4.3849393000000001</v>
      </c>
      <c r="R731" s="10">
        <v>-9.3185576000000001</v>
      </c>
      <c r="S731" s="10">
        <f t="shared" si="122"/>
        <v>2.9218091968402038</v>
      </c>
      <c r="T731" s="10">
        <f t="shared" si="123"/>
        <v>-27.072867349673633</v>
      </c>
      <c r="U731" s="8"/>
      <c r="V731" s="8"/>
    </row>
    <row r="732" spans="1:22" x14ac:dyDescent="0.35">
      <c r="A732" s="12">
        <v>3.75</v>
      </c>
      <c r="B732">
        <v>15.25</v>
      </c>
      <c r="C732" s="12">
        <v>-6.7038219999999996E-2</v>
      </c>
      <c r="D732" s="12">
        <v>-7.7006201999999996E-2</v>
      </c>
      <c r="E732" s="12">
        <v>0.93288541999999997</v>
      </c>
      <c r="F732" s="12">
        <v>-8.1811598999999999E-2</v>
      </c>
      <c r="G732" s="12">
        <f t="shared" si="114"/>
        <v>2.6039632187372099</v>
      </c>
      <c r="H732" s="12">
        <f t="shared" si="115"/>
        <v>-3.6734295785781499</v>
      </c>
      <c r="I732" s="12">
        <f t="shared" si="116"/>
        <v>2.6039308108674701</v>
      </c>
      <c r="J732" s="12">
        <f t="shared" si="117"/>
        <v>-3.6758324466859902</v>
      </c>
      <c r="K732" s="7">
        <f t="shared" si="118"/>
        <v>3.2407869739792302E-5</v>
      </c>
      <c r="L732" s="7">
        <f t="shared" si="119"/>
        <v>2.4028681078402899E-3</v>
      </c>
      <c r="M732" s="7">
        <f t="shared" si="120"/>
        <v>0.12832176062226899</v>
      </c>
      <c r="N732" s="7">
        <f t="shared" si="121"/>
        <v>0.18114509392592901</v>
      </c>
      <c r="O732" s="12">
        <v>2.8169496999999999</v>
      </c>
      <c r="P732" s="12">
        <v>-2.3137169000000002</v>
      </c>
      <c r="Q732" s="12">
        <v>4.2600667999999997</v>
      </c>
      <c r="R732" s="12">
        <v>-9.7890885000000001</v>
      </c>
      <c r="S732" s="12">
        <f t="shared" si="122"/>
        <v>2.928639119383361</v>
      </c>
      <c r="T732" s="12">
        <f t="shared" si="123"/>
        <v>-27.083877929991942</v>
      </c>
      <c r="U732" s="8"/>
      <c r="V732" s="8"/>
    </row>
    <row r="733" spans="1:22" x14ac:dyDescent="0.35">
      <c r="A733" s="10">
        <v>3.75</v>
      </c>
      <c r="B733">
        <v>15.3125</v>
      </c>
      <c r="C733" s="10">
        <v>-7.2084116000000004E-2</v>
      </c>
      <c r="D733" s="10">
        <v>-7.7823755999999994E-2</v>
      </c>
      <c r="E733" s="10">
        <v>0.92783503000000001</v>
      </c>
      <c r="F733" s="10">
        <v>-8.2674516000000003E-2</v>
      </c>
      <c r="G733" s="10">
        <f t="shared" si="114"/>
        <v>2.5976519792012498</v>
      </c>
      <c r="H733" s="10">
        <f t="shared" si="115"/>
        <v>-3.44536030636718</v>
      </c>
      <c r="I733" s="10">
        <f t="shared" si="116"/>
        <v>2.5976174337138498</v>
      </c>
      <c r="J733" s="10">
        <f t="shared" si="117"/>
        <v>-3.4477858682112901</v>
      </c>
      <c r="K733" s="7">
        <f t="shared" si="118"/>
        <v>3.4545487400006201E-5</v>
      </c>
      <c r="L733" s="7">
        <f t="shared" si="119"/>
        <v>2.4255618441100199E-3</v>
      </c>
      <c r="M733" s="7">
        <f t="shared" si="120"/>
        <v>0.139395718689763</v>
      </c>
      <c r="N733" s="7">
        <f t="shared" si="121"/>
        <v>0.18501823353587299</v>
      </c>
      <c r="O733" s="10">
        <v>2.8381215000000002</v>
      </c>
      <c r="P733" s="10">
        <v>-2.4811600999999999</v>
      </c>
      <c r="Q733" s="10">
        <v>4.0989234999999997</v>
      </c>
      <c r="R733" s="10">
        <v>-10.276842</v>
      </c>
      <c r="S733" s="10">
        <f t="shared" si="122"/>
        <v>2.9349656722909274</v>
      </c>
      <c r="T733" s="10">
        <f t="shared" si="123"/>
        <v>-27.094586170829622</v>
      </c>
      <c r="U733" s="8"/>
      <c r="V733" s="8"/>
    </row>
    <row r="734" spans="1:22" x14ac:dyDescent="0.35">
      <c r="A734" s="12">
        <v>3.75</v>
      </c>
      <c r="B734">
        <v>15.375</v>
      </c>
      <c r="C734" s="12">
        <v>-7.7454177999999999E-2</v>
      </c>
      <c r="D734" s="12">
        <v>-7.8350946000000005E-2</v>
      </c>
      <c r="E734" s="12">
        <v>0.92246064000000005</v>
      </c>
      <c r="F734" s="12">
        <v>-8.3247688E-2</v>
      </c>
      <c r="G734" s="12">
        <f t="shared" si="114"/>
        <v>2.5914115106238498</v>
      </c>
      <c r="H734" s="12">
        <f t="shared" si="115"/>
        <v>-3.2219095761450598</v>
      </c>
      <c r="I734" s="12">
        <f t="shared" si="116"/>
        <v>2.5913749130603998</v>
      </c>
      <c r="J734" s="12">
        <f t="shared" si="117"/>
        <v>-3.2243581410363098</v>
      </c>
      <c r="K734" s="7">
        <f t="shared" si="118"/>
        <v>3.6597563449980401E-5</v>
      </c>
      <c r="L734" s="7">
        <f t="shared" si="119"/>
        <v>2.4485648912499999E-3</v>
      </c>
      <c r="M734" s="7">
        <f t="shared" si="120"/>
        <v>0.15143869372043001</v>
      </c>
      <c r="N734" s="7">
        <f t="shared" si="121"/>
        <v>0.188429926717436</v>
      </c>
      <c r="O734" s="12">
        <v>2.8487453999999999</v>
      </c>
      <c r="P734" s="12">
        <v>-2.6583505999999999</v>
      </c>
      <c r="Q734" s="12">
        <v>3.8968324000000001</v>
      </c>
      <c r="R734" s="12">
        <v>-10.779722</v>
      </c>
      <c r="S734" s="12">
        <f t="shared" si="122"/>
        <v>2.9417809205958432</v>
      </c>
      <c r="T734" s="12">
        <f t="shared" si="123"/>
        <v>-27.105328391795418</v>
      </c>
      <c r="U734" s="8"/>
      <c r="V734" s="8"/>
    </row>
    <row r="735" spans="1:22" x14ac:dyDescent="0.35">
      <c r="A735" s="10">
        <v>3.75</v>
      </c>
      <c r="B735">
        <v>15.4375</v>
      </c>
      <c r="C735" s="10">
        <v>-8.3143729999999999E-2</v>
      </c>
      <c r="D735" s="10">
        <v>-7.8531084000000001E-2</v>
      </c>
      <c r="E735" s="10">
        <v>0.91676694999999997</v>
      </c>
      <c r="F735" s="10">
        <v>-8.3474387999999997E-2</v>
      </c>
      <c r="G735" s="10">
        <f t="shared" si="114"/>
        <v>2.58524118449676</v>
      </c>
      <c r="H735" s="10">
        <f t="shared" si="115"/>
        <v>-3.0029262595288899</v>
      </c>
      <c r="I735" s="10">
        <f t="shared" si="116"/>
        <v>2.5852026323469999</v>
      </c>
      <c r="J735" s="10">
        <f t="shared" si="117"/>
        <v>-3.0053981172095501</v>
      </c>
      <c r="K735" s="7">
        <f t="shared" si="118"/>
        <v>3.8552149760118199E-5</v>
      </c>
      <c r="L735" s="7">
        <f t="shared" si="119"/>
        <v>2.4718576806601598E-3</v>
      </c>
      <c r="M735" s="7">
        <f t="shared" si="120"/>
        <v>0.16449818946626599</v>
      </c>
      <c r="N735" s="7">
        <f t="shared" si="121"/>
        <v>0.19123551195577501</v>
      </c>
      <c r="O735" s="10">
        <v>2.8477518000000002</v>
      </c>
      <c r="P735" s="10">
        <v>-2.8457713999999998</v>
      </c>
      <c r="Q735" s="10">
        <v>3.6489631999999999</v>
      </c>
      <c r="R735" s="10">
        <v>-11.294620999999999</v>
      </c>
      <c r="S735" s="10">
        <f t="shared" si="122"/>
        <v>2.9482464395881745</v>
      </c>
      <c r="T735" s="10">
        <f t="shared" si="123"/>
        <v>-27.115795173054931</v>
      </c>
      <c r="U735" s="8"/>
      <c r="V735" s="8"/>
    </row>
    <row r="736" spans="1:22" x14ac:dyDescent="0.35">
      <c r="A736" s="12">
        <v>3.75</v>
      </c>
      <c r="B736">
        <v>15.5</v>
      </c>
      <c r="C736" s="12">
        <v>-8.9138787999999997E-2</v>
      </c>
      <c r="D736" s="12">
        <v>-7.8302410000000003E-2</v>
      </c>
      <c r="E736" s="12">
        <v>0.91076805000000005</v>
      </c>
      <c r="F736" s="12">
        <v>-8.3292895000000006E-2</v>
      </c>
      <c r="G736" s="12">
        <f t="shared" si="114"/>
        <v>2.5791383538116199</v>
      </c>
      <c r="H736" s="12">
        <f t="shared" si="115"/>
        <v>-2.7882851629624201</v>
      </c>
      <c r="I736" s="12">
        <f t="shared" si="116"/>
        <v>2.57909799770824</v>
      </c>
      <c r="J736" s="12">
        <f t="shared" si="117"/>
        <v>-2.7907806224016798</v>
      </c>
      <c r="K736" s="7">
        <f t="shared" si="118"/>
        <v>4.03561033799349E-5</v>
      </c>
      <c r="L736" s="7">
        <f t="shared" si="119"/>
        <v>2.4954594392596601E-3</v>
      </c>
      <c r="M736" s="7">
        <f t="shared" si="120"/>
        <v>0.17860538415632299</v>
      </c>
      <c r="N736" s="7">
        <f t="shared" si="121"/>
        <v>0.19326463965424701</v>
      </c>
      <c r="O736" s="12">
        <v>2.8328628</v>
      </c>
      <c r="P736" s="12">
        <v>-3.0426305</v>
      </c>
      <c r="Q736" s="12">
        <v>3.3504904999999998</v>
      </c>
      <c r="R736" s="12">
        <v>-11.817422000000001</v>
      </c>
      <c r="S736" s="12">
        <f t="shared" si="122"/>
        <v>2.9546492481054956</v>
      </c>
      <c r="T736" s="12">
        <f t="shared" si="123"/>
        <v>-27.126125099753381</v>
      </c>
      <c r="U736" s="8"/>
      <c r="V736" s="8"/>
    </row>
    <row r="737" spans="1:22" x14ac:dyDescent="0.35">
      <c r="A737" s="10">
        <v>3.75</v>
      </c>
      <c r="B737">
        <v>15.5625</v>
      </c>
      <c r="C737" s="10">
        <v>-9.5414111999999995E-2</v>
      </c>
      <c r="D737" s="10">
        <v>-7.7599318E-2</v>
      </c>
      <c r="E737" s="10">
        <v>0.90448923000000003</v>
      </c>
      <c r="F737" s="10">
        <v>-8.2637672999999995E-2</v>
      </c>
      <c r="G737" s="10">
        <f t="shared" si="114"/>
        <v>2.5731000474116601</v>
      </c>
      <c r="H737" s="10">
        <f t="shared" si="115"/>
        <v>-2.57787474958121</v>
      </c>
      <c r="I737" s="10">
        <f t="shared" si="116"/>
        <v>2.5730580632110698</v>
      </c>
      <c r="J737" s="10">
        <f t="shared" si="117"/>
        <v>-2.5803941546072</v>
      </c>
      <c r="K737" s="7">
        <f t="shared" si="118"/>
        <v>4.1984200590316997E-5</v>
      </c>
      <c r="L737" s="7">
        <f t="shared" si="119"/>
        <v>2.5194050259900202E-3</v>
      </c>
      <c r="M737" s="7">
        <f t="shared" si="120"/>
        <v>0.19376806162541699</v>
      </c>
      <c r="N737" s="7">
        <f t="shared" si="121"/>
        <v>0.19432051717628801</v>
      </c>
      <c r="O737" s="10">
        <v>2.8019547</v>
      </c>
      <c r="P737" s="10">
        <v>-3.2479965000000002</v>
      </c>
      <c r="Q737" s="10">
        <v>2.9967646999999999</v>
      </c>
      <c r="R737" s="10">
        <v>-12.342749</v>
      </c>
      <c r="S737" s="10">
        <f t="shared" si="122"/>
        <v>2.9609805701992924</v>
      </c>
      <c r="T737" s="10">
        <f t="shared" si="123"/>
        <v>-27.136323513649256</v>
      </c>
      <c r="U737" s="8"/>
      <c r="V737" s="8"/>
    </row>
    <row r="738" spans="1:22" x14ac:dyDescent="0.35">
      <c r="A738" s="12">
        <v>3.75</v>
      </c>
      <c r="B738">
        <v>15.625</v>
      </c>
      <c r="C738" s="12">
        <v>-0.10193119</v>
      </c>
      <c r="D738" s="12">
        <v>-7.6354213000000004E-2</v>
      </c>
      <c r="E738" s="12">
        <v>0.89796898000000003</v>
      </c>
      <c r="F738" s="12">
        <v>-8.1441177000000003E-2</v>
      </c>
      <c r="G738" s="12">
        <f t="shared" si="114"/>
        <v>2.5671240919470502</v>
      </c>
      <c r="H738" s="12">
        <f t="shared" si="115"/>
        <v>-2.3715922819972901</v>
      </c>
      <c r="I738" s="12">
        <f t="shared" si="116"/>
        <v>2.5670806446830801</v>
      </c>
      <c r="J738" s="12">
        <f t="shared" si="117"/>
        <v>-2.3741360014743802</v>
      </c>
      <c r="K738" s="7">
        <f t="shared" si="118"/>
        <v>4.34472639700978E-5</v>
      </c>
      <c r="L738" s="7">
        <f t="shared" si="119"/>
        <v>2.5437194770900899E-3</v>
      </c>
      <c r="M738" s="7">
        <f t="shared" si="120"/>
        <v>0.20996167635398999</v>
      </c>
      <c r="N738" s="7">
        <f t="shared" si="121"/>
        <v>0.19418072267981401</v>
      </c>
      <c r="O738" s="12">
        <v>2.7528614999999999</v>
      </c>
      <c r="P738" s="12">
        <v>-3.4605011000000001</v>
      </c>
      <c r="Q738" s="12">
        <v>2.5835990999999998</v>
      </c>
      <c r="R738" s="12">
        <v>-12.864015</v>
      </c>
      <c r="S738" s="12">
        <f t="shared" si="122"/>
        <v>2.9672438953875448</v>
      </c>
      <c r="T738" s="12">
        <f t="shared" si="123"/>
        <v>-27.146421175986607</v>
      </c>
      <c r="U738" s="8"/>
      <c r="V738" s="8"/>
    </row>
    <row r="739" spans="1:22" x14ac:dyDescent="0.35">
      <c r="A739" s="10">
        <v>3.75</v>
      </c>
      <c r="B739">
        <v>15.6875</v>
      </c>
      <c r="C739" s="10">
        <v>-0.10863639</v>
      </c>
      <c r="D739" s="10">
        <v>-7.4500163999999994E-2</v>
      </c>
      <c r="E739" s="10">
        <v>0.89126086999999998</v>
      </c>
      <c r="F739" s="10">
        <v>-7.9636452999999996E-2</v>
      </c>
      <c r="G739" s="10">
        <f t="shared" si="114"/>
        <v>2.5612090767376099</v>
      </c>
      <c r="H739" s="10">
        <f t="shared" si="115"/>
        <v>-2.1693418259469799</v>
      </c>
      <c r="I739" s="10">
        <f t="shared" si="116"/>
        <v>2.56116430043777</v>
      </c>
      <c r="J739" s="10">
        <f t="shared" si="117"/>
        <v>-2.17191021737725</v>
      </c>
      <c r="K739" s="7">
        <f t="shared" si="118"/>
        <v>4.4776299839899301E-5</v>
      </c>
      <c r="L739" s="7">
        <f t="shared" si="119"/>
        <v>2.5683914302701001E-3</v>
      </c>
      <c r="M739" s="7">
        <f t="shared" si="120"/>
        <v>0.22711887814603399</v>
      </c>
      <c r="N739" s="7">
        <f t="shared" si="121"/>
        <v>0.19260061212016599</v>
      </c>
      <c r="O739" s="10">
        <v>2.6834614999999999</v>
      </c>
      <c r="P739" s="10">
        <v>-3.6782788000000002</v>
      </c>
      <c r="Q739" s="10">
        <v>2.1075982</v>
      </c>
      <c r="R739" s="10">
        <v>-13.373282</v>
      </c>
      <c r="S739" s="10">
        <f t="shared" si="122"/>
        <v>2.9734347840194104</v>
      </c>
      <c r="T739" s="10">
        <f t="shared" si="123"/>
        <v>-27.156328601575627</v>
      </c>
      <c r="U739" s="8"/>
      <c r="V739" s="8"/>
    </row>
    <row r="740" spans="1:22" x14ac:dyDescent="0.35">
      <c r="A740" s="12">
        <v>3.75</v>
      </c>
      <c r="B740">
        <v>15.75</v>
      </c>
      <c r="C740" s="12">
        <v>-0.11545954999999999</v>
      </c>
      <c r="D740" s="12">
        <v>-7.1974376000000007E-2</v>
      </c>
      <c r="E740" s="12">
        <v>0.88443501999999996</v>
      </c>
      <c r="F740" s="12">
        <v>-7.7160626999999996E-2</v>
      </c>
      <c r="G740" s="12">
        <f t="shared" si="114"/>
        <v>2.5553540903615102</v>
      </c>
      <c r="H740" s="12">
        <f t="shared" si="115"/>
        <v>-1.97103417771752</v>
      </c>
      <c r="I740" s="12">
        <f t="shared" si="116"/>
        <v>2.5553080979006602</v>
      </c>
      <c r="J740" s="12">
        <f t="shared" si="117"/>
        <v>-1.97362755919185</v>
      </c>
      <c r="K740" s="7">
        <f t="shared" si="118"/>
        <v>4.5992460850019498E-5</v>
      </c>
      <c r="L740" s="7">
        <f t="shared" si="119"/>
        <v>2.5933814743299699E-3</v>
      </c>
      <c r="M740" s="7">
        <f t="shared" si="120"/>
        <v>0.245118066435141</v>
      </c>
      <c r="N740" s="7">
        <f t="shared" si="121"/>
        <v>0.18932032954056</v>
      </c>
      <c r="O740" s="12">
        <v>2.591987</v>
      </c>
      <c r="P740" s="12">
        <v>-3.8992306000000001</v>
      </c>
      <c r="Q740" s="12">
        <v>1.5664686999999999</v>
      </c>
      <c r="R740" s="12">
        <v>-13.861435999999999</v>
      </c>
      <c r="S740" s="12">
        <f t="shared" si="122"/>
        <v>2.9793385622064568</v>
      </c>
      <c r="T740" s="12">
        <f t="shared" si="123"/>
        <v>-27.166111668455983</v>
      </c>
      <c r="U740" s="8"/>
      <c r="V740" s="8"/>
    </row>
    <row r="741" spans="1:22" x14ac:dyDescent="0.35">
      <c r="A741" s="10">
        <v>3.75</v>
      </c>
      <c r="B741">
        <v>15.8125</v>
      </c>
      <c r="C741" s="10">
        <v>-0.1223134</v>
      </c>
      <c r="D741" s="10">
        <v>-6.8722459E-2</v>
      </c>
      <c r="E741" s="10">
        <v>0.87757874000000002</v>
      </c>
      <c r="F741" s="10">
        <v>-7.3959245000000007E-2</v>
      </c>
      <c r="G741" s="10">
        <f t="shared" ref="G741:G804" si="124">IMREAL(IMDIV(IMSUM(IMPRODUCT(COMPLEX(1 + C741,D741),COMPLEX(1 - C741, - D741)),IMPRODUCT(COMPLEX(E741,F741),COMPLEX(E741,F741))),IMSUB(IMPRODUCT(COMPLEX(1 - C741, - D741),COMPLEX(1 - C741, - D741)),IMPRODUCT(COMPLEX(E741,F741),COMPLEX(E741,F741)))))</f>
        <v>2.5495579671616899</v>
      </c>
      <c r="H741" s="10">
        <f t="shared" ref="H741:H804" si="125">IMAGINARY(IMDIV(IMSUM(IMPRODUCT(COMPLEX(1 + C741,D741),COMPLEX(1 - C741, - D741)),IMPRODUCT(COMPLEX(E741,F741),COMPLEX(E741,F741))),IMSUB(IMPRODUCT(COMPLEX(1 - C741, - D741),COMPLEX(1 - C741, - D741)),IMPRODUCT(COMPLEX(E741,F741),COMPLEX(E741,F741)))))</f>
        <v>-1.7765866536608701</v>
      </c>
      <c r="I741" s="10">
        <f t="shared" ref="I741:I804" si="126">IMREAL(IMDIV(IMPRODUCT(COMPLEX(2,0),COMPLEX(E741,F741)),IMSUB(IMPRODUCT(COMPLEX(1 - C741, - D741),COMPLEX(1 - C741, - D741)),IMPRODUCT(COMPLEX(E741,F741),COMPLEX(E741,F741)))))</f>
        <v>2.5495108912973099</v>
      </c>
      <c r="J741" s="10">
        <f t="shared" ref="J741:J804" si="127">IMAGINARY(IMDIV(IMPRODUCT(COMPLEX(2,0),COMPLEX(E741,F741)),IMSUB(IMPRODUCT(COMPLEX(1 - C741, - D741),COMPLEX(1 - C741, - D741)),IMPRODUCT(COMPLEX(E741,F741),COMPLEX(E741,F741)))))</f>
        <v>-1.77920531114817</v>
      </c>
      <c r="K741" s="7">
        <f t="shared" ref="K741:K804" si="128">IMREAL(IMSUB(COMPLEX(G741,H741),COMPLEX(I741,J741)))</f>
        <v>4.7075864380019498E-5</v>
      </c>
      <c r="L741" s="7">
        <f t="shared" ref="L741:L804" si="129">IMAGINARY(IMSUB(COMPLEX(G741,H741),COMPLEX(I741,J741)))</f>
        <v>2.6186574872999499E-3</v>
      </c>
      <c r="M741" s="7">
        <f t="shared" ref="M741:M804" si="130">IMREAL(IMDIV(IMSUB(IMPRODUCT(COMPLEX(1 - C741, - D741),COMPLEX(1 - C741, - D741)),IMPRODUCT(COMPLEX(E741,F741),COMPLEX(E741,F741))),IMPRODUCT(COMPLEX(2,0),COMPLEX(E741,F741))))</f>
        <v>0.26377223065098898</v>
      </c>
      <c r="N741" s="7">
        <f t="shared" ref="N741:N804" si="131">IMAGINARY(IMDIV(IMSUB(IMPRODUCT(COMPLEX(1 - C741, - D741),COMPLEX(1 - C741, - D741)),IMPRODUCT(COMPLEX(E741,F741),COMPLEX(E741,F741))),IMPRODUCT(COMPLEX(2,0),COMPLEX(E741,F741))))</f>
        <v>0.184076465532899</v>
      </c>
      <c r="O741" s="10">
        <v>2.4763836000000001</v>
      </c>
      <c r="P741" s="10">
        <v>-4.1198126000000004</v>
      </c>
      <c r="Q741" s="10">
        <v>0.95951143999999999</v>
      </c>
      <c r="R741" s="10">
        <v>-14.318136000000001</v>
      </c>
      <c r="S741" s="10">
        <f t="shared" ref="S741:S804" si="132">IMABS(COMPLEX(Q741,R741))/IMABS(COMPLEX(O741,P741))</f>
        <v>2.9854057865080628</v>
      </c>
      <c r="T741" s="10">
        <f t="shared" ref="T741:T804" si="133">IMARGUMENT(IMDIV(COMPLEX(Q741,R741),COMPLEX(O741/B741,P741/B741)))/PI()*180</f>
        <v>-27.175840333979309</v>
      </c>
      <c r="U741" s="8"/>
      <c r="V741" s="8"/>
    </row>
    <row r="742" spans="1:22" x14ac:dyDescent="0.35">
      <c r="A742" s="12">
        <v>3.75</v>
      </c>
      <c r="B742">
        <v>15.875</v>
      </c>
      <c r="C742" s="12">
        <v>-0.12909419</v>
      </c>
      <c r="D742" s="12">
        <v>-6.4703264999999996E-2</v>
      </c>
      <c r="E742" s="12">
        <v>0.87079591999999995</v>
      </c>
      <c r="F742" s="12">
        <v>-6.9991186999999996E-2</v>
      </c>
      <c r="G742" s="12">
        <f t="shared" si="124"/>
        <v>2.5438192767231498</v>
      </c>
      <c r="H742" s="12">
        <f t="shared" si="125"/>
        <v>-1.5859217304103499</v>
      </c>
      <c r="I742" s="12">
        <f t="shared" si="126"/>
        <v>2.5437713203373402</v>
      </c>
      <c r="J742" s="12">
        <f t="shared" si="127"/>
        <v>-1.58856596349255</v>
      </c>
      <c r="K742" s="7">
        <f t="shared" si="128"/>
        <v>4.7956385809566599E-5</v>
      </c>
      <c r="L742" s="7">
        <f t="shared" si="129"/>
        <v>2.6442330822000798E-3</v>
      </c>
      <c r="M742" s="7">
        <f t="shared" si="130"/>
        <v>0.28281992614425799</v>
      </c>
      <c r="N742" s="7">
        <f t="shared" si="131"/>
        <v>0.17661890629801799</v>
      </c>
      <c r="O742" s="12">
        <v>2.3354351000000002</v>
      </c>
      <c r="P742" s="12">
        <v>-4.3364134999999999</v>
      </c>
      <c r="Q742" s="12">
        <v>0.28796896999999999</v>
      </c>
      <c r="R742" s="12">
        <v>-14.732182999999999</v>
      </c>
      <c r="S742" s="12">
        <f t="shared" si="132"/>
        <v>2.9916855580144759</v>
      </c>
      <c r="T742" s="12">
        <f t="shared" si="133"/>
        <v>-27.185481311177217</v>
      </c>
      <c r="U742" s="8"/>
      <c r="V742" s="8"/>
    </row>
    <row r="743" spans="1:22" x14ac:dyDescent="0.35">
      <c r="A743" s="10">
        <v>3.75</v>
      </c>
      <c r="B743">
        <v>15.9375</v>
      </c>
      <c r="C743" s="10">
        <v>-0.13568382000000001</v>
      </c>
      <c r="D743" s="10">
        <v>-5.9893966E-2</v>
      </c>
      <c r="E743" s="10">
        <v>0.86420481999999998</v>
      </c>
      <c r="F743" s="10">
        <v>-6.5233730000000004E-2</v>
      </c>
      <c r="G743" s="10">
        <f t="shared" si="124"/>
        <v>2.5381366433670101</v>
      </c>
      <c r="H743" s="10">
        <f t="shared" si="125"/>
        <v>-1.39896476113056</v>
      </c>
      <c r="I743" s="10">
        <f t="shared" si="126"/>
        <v>2.5380880896764801</v>
      </c>
      <c r="J743" s="10">
        <f t="shared" si="127"/>
        <v>-1.40163492143771</v>
      </c>
      <c r="K743" s="7">
        <f t="shared" si="128"/>
        <v>4.85536905299178E-5</v>
      </c>
      <c r="L743" s="7">
        <f t="shared" si="129"/>
        <v>2.67016030714995E-3</v>
      </c>
      <c r="M743" s="7">
        <f t="shared" si="130"/>
        <v>0.30192073550614301</v>
      </c>
      <c r="N743" s="7">
        <f t="shared" si="131"/>
        <v>0.166732844345647</v>
      </c>
      <c r="O743" s="10">
        <v>2.1690231999999998</v>
      </c>
      <c r="P743" s="10">
        <v>-4.5459375</v>
      </c>
      <c r="Q743" s="10">
        <v>-0.44463912999999999</v>
      </c>
      <c r="R743" s="10">
        <v>-15.092091</v>
      </c>
      <c r="S743" s="10">
        <f t="shared" si="132"/>
        <v>2.9976145629776858</v>
      </c>
      <c r="T743" s="10">
        <f t="shared" si="133"/>
        <v>-27.194960036573491</v>
      </c>
      <c r="U743" s="8"/>
      <c r="V743" s="8"/>
    </row>
    <row r="744" spans="1:22" x14ac:dyDescent="0.35">
      <c r="A744" s="12">
        <v>3.75</v>
      </c>
      <c r="B744">
        <v>16</v>
      </c>
      <c r="C744" s="12">
        <v>-0.14195381000000001</v>
      </c>
      <c r="D744" s="12">
        <v>-5.4294742E-2</v>
      </c>
      <c r="E744" s="12">
        <v>0.85793406000000005</v>
      </c>
      <c r="F744" s="12">
        <v>-5.9687218E-2</v>
      </c>
      <c r="G744" s="12">
        <f t="shared" si="124"/>
        <v>2.5325085142405901</v>
      </c>
      <c r="H744" s="12">
        <f t="shared" si="125"/>
        <v>-1.2156392313942499</v>
      </c>
      <c r="I744" s="12">
        <f t="shared" si="126"/>
        <v>2.5324597169664802</v>
      </c>
      <c r="J744" s="12">
        <f t="shared" si="127"/>
        <v>-1.2183357521437399</v>
      </c>
      <c r="K744" s="7">
        <f t="shared" si="128"/>
        <v>4.8797274109890799E-5</v>
      </c>
      <c r="L744" s="7">
        <f t="shared" si="129"/>
        <v>2.69652074949001E-3</v>
      </c>
      <c r="M744" s="7">
        <f t="shared" si="130"/>
        <v>0.32065811178005199</v>
      </c>
      <c r="N744" s="7">
        <f t="shared" si="131"/>
        <v>0.154264740789049</v>
      </c>
      <c r="O744" s="12">
        <v>1.9773084999999999</v>
      </c>
      <c r="P744" s="12">
        <v>-4.7442380000000002</v>
      </c>
      <c r="Q744" s="12">
        <v>-1.2322259</v>
      </c>
      <c r="R744" s="12">
        <v>-15.386422</v>
      </c>
      <c r="S744" s="12">
        <f t="shared" si="132"/>
        <v>3.0031684089907849</v>
      </c>
      <c r="T744" s="12">
        <f t="shared" si="133"/>
        <v>-27.204225260695363</v>
      </c>
      <c r="U744" s="8"/>
      <c r="V744" s="8"/>
    </row>
    <row r="745" spans="1:22" x14ac:dyDescent="0.35">
      <c r="A745" s="10">
        <v>3.75</v>
      </c>
      <c r="B745">
        <v>16.0625</v>
      </c>
      <c r="C745" s="10">
        <v>-0.14777046999999999</v>
      </c>
      <c r="D745" s="10">
        <v>-4.7932961000000003E-2</v>
      </c>
      <c r="E745" s="10">
        <v>0.85211738999999997</v>
      </c>
      <c r="F745" s="10">
        <v>-5.3379248999999997E-2</v>
      </c>
      <c r="G745" s="10">
        <f t="shared" si="124"/>
        <v>2.5269335645689899</v>
      </c>
      <c r="H745" s="10">
        <f t="shared" si="125"/>
        <v>-1.03587714725743</v>
      </c>
      <c r="I745" s="10">
        <f t="shared" si="126"/>
        <v>2.5268849081307199</v>
      </c>
      <c r="J745" s="10">
        <f t="shared" si="127"/>
        <v>-1.0386005764585999</v>
      </c>
      <c r="K745" s="7">
        <f t="shared" si="128"/>
        <v>4.8656438270011601E-5</v>
      </c>
      <c r="L745" s="7">
        <f t="shared" si="129"/>
        <v>2.7234292011699699E-3</v>
      </c>
      <c r="M745" s="7">
        <f t="shared" si="130"/>
        <v>0.33855031956591802</v>
      </c>
      <c r="N745" s="7">
        <f t="shared" si="131"/>
        <v>0.13915099810442799</v>
      </c>
      <c r="O745" s="10">
        <v>1.76081</v>
      </c>
      <c r="P745" s="10">
        <v>-4.9255070999999999</v>
      </c>
      <c r="Q745" s="10">
        <v>-2.0660604999999999</v>
      </c>
      <c r="R745" s="10">
        <v>-15.604607</v>
      </c>
      <c r="S745" s="10">
        <f t="shared" si="132"/>
        <v>3.0092611530145992</v>
      </c>
      <c r="T745" s="10">
        <f t="shared" si="133"/>
        <v>-27.213496616527646</v>
      </c>
      <c r="U745" s="8"/>
      <c r="V745" s="8"/>
    </row>
    <row r="746" spans="1:22" x14ac:dyDescent="0.35">
      <c r="A746" s="12">
        <v>3.75</v>
      </c>
      <c r="B746">
        <v>16.125</v>
      </c>
      <c r="C746" s="12">
        <v>-0.15300227999999999</v>
      </c>
      <c r="D746" s="12">
        <v>-4.0865256000000003E-2</v>
      </c>
      <c r="E746" s="12">
        <v>0.84688633000000002</v>
      </c>
      <c r="F746" s="12">
        <v>-4.6366681999999999E-2</v>
      </c>
      <c r="G746" s="12">
        <f t="shared" si="124"/>
        <v>2.5214104621837699</v>
      </c>
      <c r="H746" s="12">
        <f t="shared" si="125"/>
        <v>-0.85960998953526202</v>
      </c>
      <c r="I746" s="12">
        <f t="shared" si="126"/>
        <v>2.5213623317107801</v>
      </c>
      <c r="J746" s="12">
        <f t="shared" si="127"/>
        <v>-0.86236098814524598</v>
      </c>
      <c r="K746" s="7">
        <f t="shared" si="128"/>
        <v>4.8130472989793601E-5</v>
      </c>
      <c r="L746" s="7">
        <f t="shared" si="129"/>
        <v>2.7509986099839602E-3</v>
      </c>
      <c r="M746" s="7">
        <f t="shared" si="130"/>
        <v>0.35507472125369199</v>
      </c>
      <c r="N746" s="7">
        <f t="shared" si="131"/>
        <v>0.121443310084659</v>
      </c>
      <c r="O746" s="12">
        <v>1.5222036999999999</v>
      </c>
      <c r="P746" s="12">
        <v>-5.0870540999999996</v>
      </c>
      <c r="Q746" s="12">
        <v>-2.9349368</v>
      </c>
      <c r="R746" s="12">
        <v>-15.737677</v>
      </c>
      <c r="S746" s="12">
        <f t="shared" si="132"/>
        <v>3.0149259221638038</v>
      </c>
      <c r="T746" s="12">
        <f t="shared" si="133"/>
        <v>-27.222610153452141</v>
      </c>
      <c r="U746" s="8"/>
      <c r="V746" s="8"/>
    </row>
    <row r="747" spans="1:22" x14ac:dyDescent="0.35">
      <c r="A747" s="10">
        <v>3.75</v>
      </c>
      <c r="B747">
        <v>16.1875</v>
      </c>
      <c r="C747" s="10">
        <v>-0.15752762000000001</v>
      </c>
      <c r="D747" s="10">
        <v>-3.3177882999999998E-2</v>
      </c>
      <c r="E747" s="10">
        <v>0.84236239000000002</v>
      </c>
      <c r="F747" s="10">
        <v>-3.8735950999999998E-2</v>
      </c>
      <c r="G747" s="10">
        <f t="shared" si="124"/>
        <v>2.51593802301104</v>
      </c>
      <c r="H747" s="10">
        <f t="shared" si="125"/>
        <v>-0.68677624840804796</v>
      </c>
      <c r="I747" s="10">
        <f t="shared" si="126"/>
        <v>2.5158907492310498</v>
      </c>
      <c r="J747" s="10">
        <f t="shared" si="127"/>
        <v>-0.68955556663209405</v>
      </c>
      <c r="K747" s="7">
        <f t="shared" si="128"/>
        <v>4.72737799901424E-5</v>
      </c>
      <c r="L747" s="7">
        <f t="shared" si="129"/>
        <v>2.7793182240460901E-3</v>
      </c>
      <c r="M747" s="7">
        <f t="shared" si="130"/>
        <v>0.36970159360705901</v>
      </c>
      <c r="N747" s="7">
        <f t="shared" si="131"/>
        <v>0.101327846585715</v>
      </c>
      <c r="O747" s="10">
        <v>1.2643169000000001</v>
      </c>
      <c r="P747" s="10">
        <v>-5.2246117999999999</v>
      </c>
      <c r="Q747" s="10">
        <v>-3.8254345999999999</v>
      </c>
      <c r="R747" s="10">
        <v>-15.778836</v>
      </c>
      <c r="S747" s="10">
        <f t="shared" si="132"/>
        <v>3.0204071224748317</v>
      </c>
      <c r="T747" s="10">
        <f t="shared" si="133"/>
        <v>-27.231523147829645</v>
      </c>
      <c r="U747" s="8"/>
      <c r="V747" s="8"/>
    </row>
    <row r="748" spans="1:22" x14ac:dyDescent="0.35">
      <c r="A748" s="12">
        <v>3.75</v>
      </c>
      <c r="B748">
        <v>16.25</v>
      </c>
      <c r="C748" s="12">
        <v>-0.16124295</v>
      </c>
      <c r="D748" s="12">
        <v>-2.4984201000000001E-2</v>
      </c>
      <c r="E748" s="12">
        <v>0.83864892000000002</v>
      </c>
      <c r="F748" s="12">
        <v>-3.0600585999999999E-2</v>
      </c>
      <c r="G748" s="12">
        <f t="shared" si="124"/>
        <v>2.5105152115531602</v>
      </c>
      <c r="H748" s="12">
        <f t="shared" si="125"/>
        <v>-0.51732068582820301</v>
      </c>
      <c r="I748" s="12">
        <f t="shared" si="126"/>
        <v>2.5104690307920898</v>
      </c>
      <c r="J748" s="12">
        <f t="shared" si="127"/>
        <v>-0.52012915985281805</v>
      </c>
      <c r="K748" s="7">
        <f t="shared" si="128"/>
        <v>4.6180761070324602E-5</v>
      </c>
      <c r="L748" s="7">
        <f t="shared" si="129"/>
        <v>2.8084740246150401E-3</v>
      </c>
      <c r="M748" s="7">
        <f t="shared" si="130"/>
        <v>0.38193719684529898</v>
      </c>
      <c r="N748" s="7">
        <f t="shared" si="131"/>
        <v>7.9131298125994703E-2</v>
      </c>
      <c r="O748" s="12">
        <v>0.99089190999999999</v>
      </c>
      <c r="P748" s="12">
        <v>-5.3342831000000004</v>
      </c>
      <c r="Q748" s="12">
        <v>-4.7226786000000001</v>
      </c>
      <c r="R748" s="12">
        <v>-15.724373999999999</v>
      </c>
      <c r="S748" s="12">
        <f t="shared" si="132"/>
        <v>3.0261103548188228</v>
      </c>
      <c r="T748" s="12">
        <f t="shared" si="133"/>
        <v>-27.240451149134294</v>
      </c>
      <c r="U748" s="8"/>
      <c r="V748" s="8"/>
    </row>
    <row r="749" spans="1:22" x14ac:dyDescent="0.35">
      <c r="A749" s="10">
        <v>3.75</v>
      </c>
      <c r="B749">
        <v>16.3125</v>
      </c>
      <c r="C749" s="10">
        <v>-0.16407023000000001</v>
      </c>
      <c r="D749" s="10">
        <v>-1.6419243E-2</v>
      </c>
      <c r="E749" s="10">
        <v>0.83582372000000005</v>
      </c>
      <c r="F749" s="10">
        <v>-2.2095674999999999E-2</v>
      </c>
      <c r="G749" s="10">
        <f t="shared" si="124"/>
        <v>2.5051401596381799</v>
      </c>
      <c r="H749" s="10">
        <f t="shared" si="125"/>
        <v>-0.35118727659390803</v>
      </c>
      <c r="I749" s="10">
        <f t="shared" si="126"/>
        <v>2.5050951885131001</v>
      </c>
      <c r="J749" s="10">
        <f t="shared" si="127"/>
        <v>-0.35402577074282798</v>
      </c>
      <c r="K749" s="7">
        <f t="shared" si="128"/>
        <v>4.4971125079840101E-5</v>
      </c>
      <c r="L749" s="7">
        <f t="shared" si="129"/>
        <v>2.8384941489199601E-3</v>
      </c>
      <c r="M749" s="7">
        <f t="shared" si="130"/>
        <v>0.39136999133578598</v>
      </c>
      <c r="N749" s="7">
        <f t="shared" si="131"/>
        <v>5.5309300606059902E-2</v>
      </c>
      <c r="O749" s="10">
        <v>0.70666072000000002</v>
      </c>
      <c r="P749" s="10">
        <v>-5.4144686000000002</v>
      </c>
      <c r="Q749" s="10">
        <v>-5.6109296000000004</v>
      </c>
      <c r="R749" s="10">
        <v>-15.573581000000001</v>
      </c>
      <c r="S749" s="10">
        <f t="shared" si="132"/>
        <v>3.0315642861283969</v>
      </c>
      <c r="T749" s="10">
        <f t="shared" si="133"/>
        <v>-27.249174438850595</v>
      </c>
      <c r="U749" s="8"/>
      <c r="V749" s="8"/>
    </row>
    <row r="750" spans="1:22" x14ac:dyDescent="0.35">
      <c r="A750" s="12">
        <v>3.75</v>
      </c>
      <c r="B750">
        <v>16.375</v>
      </c>
      <c r="C750" s="12">
        <v>-0.16596205999999999</v>
      </c>
      <c r="D750" s="12">
        <v>-7.6323752999999999E-3</v>
      </c>
      <c r="E750" s="12">
        <v>0.83393388999999996</v>
      </c>
      <c r="F750" s="12">
        <v>-1.337052E-2</v>
      </c>
      <c r="G750" s="12">
        <f t="shared" si="124"/>
        <v>2.4998112808367301</v>
      </c>
      <c r="H750" s="12">
        <f t="shared" si="125"/>
        <v>-0.188321100219246</v>
      </c>
      <c r="I750" s="12">
        <f t="shared" si="126"/>
        <v>2.4997674859232402</v>
      </c>
      <c r="J750" s="12">
        <f t="shared" si="127"/>
        <v>-0.191190447497814</v>
      </c>
      <c r="K750" s="7">
        <f t="shared" si="128"/>
        <v>4.3794913489936202E-5</v>
      </c>
      <c r="L750" s="7">
        <f t="shared" si="129"/>
        <v>2.8693472785679998E-3</v>
      </c>
      <c r="M750" s="7">
        <f t="shared" si="130"/>
        <v>0.39771071969683802</v>
      </c>
      <c r="N750" s="7">
        <f t="shared" si="131"/>
        <v>3.0418225255631301E-2</v>
      </c>
      <c r="O750" s="12">
        <v>0.41653579000000002</v>
      </c>
      <c r="P750" s="12">
        <v>-5.4634353000000004</v>
      </c>
      <c r="Q750" s="12">
        <v>-6.4747646999999997</v>
      </c>
      <c r="R750" s="12">
        <v>-15.329393</v>
      </c>
      <c r="S750" s="12">
        <f t="shared" si="132"/>
        <v>3.0370169849871362</v>
      </c>
      <c r="T750" s="12">
        <f t="shared" si="133"/>
        <v>-27.257851920141569</v>
      </c>
      <c r="U750" s="8"/>
      <c r="V750" s="8"/>
    </row>
    <row r="751" spans="1:22" x14ac:dyDescent="0.35">
      <c r="A751" s="10">
        <v>3.75</v>
      </c>
      <c r="B751">
        <v>16.4375</v>
      </c>
      <c r="C751" s="10">
        <v>-0.16690440000000001</v>
      </c>
      <c r="D751" s="10">
        <v>1.2213447999999999E-3</v>
      </c>
      <c r="E751" s="10">
        <v>0.83299321999999998</v>
      </c>
      <c r="F751" s="10">
        <v>-4.5800212999999998E-3</v>
      </c>
      <c r="G751" s="10">
        <f t="shared" si="124"/>
        <v>2.4945267986654098</v>
      </c>
      <c r="H751" s="10">
        <f t="shared" si="125"/>
        <v>-2.8670031923227601E-2</v>
      </c>
      <c r="I751" s="10">
        <f t="shared" si="126"/>
        <v>2.49448402122847</v>
      </c>
      <c r="J751" s="10">
        <f t="shared" si="127"/>
        <v>-3.1570987556932703E-2</v>
      </c>
      <c r="K751" s="7">
        <f t="shared" si="128"/>
        <v>4.2777436939811502E-5</v>
      </c>
      <c r="L751" s="7">
        <f t="shared" si="129"/>
        <v>2.9009556337050999E-3</v>
      </c>
      <c r="M751" s="7">
        <f t="shared" si="130"/>
        <v>0.40082030380396499</v>
      </c>
      <c r="N751" s="7">
        <f t="shared" si="131"/>
        <v>5.0729099550331199E-3</v>
      </c>
      <c r="O751" s="10">
        <v>0.12566052</v>
      </c>
      <c r="P751" s="10">
        <v>-5.4810843</v>
      </c>
      <c r="Q751" s="10">
        <v>-7.2997299</v>
      </c>
      <c r="R751" s="10">
        <v>-14.997821</v>
      </c>
      <c r="S751" s="10">
        <f t="shared" si="132"/>
        <v>3.0423846835828079</v>
      </c>
      <c r="T751" s="10">
        <f t="shared" si="133"/>
        <v>-27.266429209965278</v>
      </c>
      <c r="U751" s="8"/>
      <c r="V751" s="8"/>
    </row>
    <row r="752" spans="1:22" x14ac:dyDescent="0.35">
      <c r="A752" s="12">
        <v>3.75</v>
      </c>
      <c r="B752">
        <v>16.5</v>
      </c>
      <c r="C752" s="12">
        <v>-0.16691634</v>
      </c>
      <c r="D752" s="12">
        <v>9.9901977999999995E-3</v>
      </c>
      <c r="E752" s="12">
        <v>0.83298236999999997</v>
      </c>
      <c r="F752" s="12">
        <v>4.1242843999999999E-3</v>
      </c>
      <c r="G752" s="12">
        <f t="shared" si="124"/>
        <v>2.4892846259075898</v>
      </c>
      <c r="H752" s="12">
        <f t="shared" si="125"/>
        <v>0.12781467024126</v>
      </c>
      <c r="I752" s="12">
        <f t="shared" si="126"/>
        <v>2.4892425818106401</v>
      </c>
      <c r="J752" s="12">
        <f t="shared" si="127"/>
        <v>0.124881441674383</v>
      </c>
      <c r="K752" s="7">
        <f t="shared" si="128"/>
        <v>4.2044096949744903E-5</v>
      </c>
      <c r="L752" s="7">
        <f t="shared" si="129"/>
        <v>2.9332285668770002E-3</v>
      </c>
      <c r="M752" s="7">
        <f t="shared" si="130"/>
        <v>0.40072006347422101</v>
      </c>
      <c r="N752" s="7">
        <f t="shared" si="131"/>
        <v>-2.0103504415431801E-2</v>
      </c>
      <c r="O752" s="12">
        <v>-0.16100439</v>
      </c>
      <c r="P752" s="12">
        <v>-5.4681797999999997</v>
      </c>
      <c r="Q752" s="12">
        <v>-8.0732666999999996</v>
      </c>
      <c r="R752" s="12">
        <v>-14.587712</v>
      </c>
      <c r="S752" s="12">
        <f t="shared" si="132"/>
        <v>3.047719664410669</v>
      </c>
      <c r="T752" s="12">
        <f t="shared" si="133"/>
        <v>-27.274903021541597</v>
      </c>
      <c r="U752" s="8"/>
      <c r="V752" s="8"/>
    </row>
    <row r="753" spans="1:22" x14ac:dyDescent="0.35">
      <c r="A753" s="10">
        <v>3.75</v>
      </c>
      <c r="B753">
        <v>16.5625</v>
      </c>
      <c r="C753" s="10">
        <v>-0.16604719000000001</v>
      </c>
      <c r="D753" s="10">
        <v>1.8534076999999999E-2</v>
      </c>
      <c r="E753" s="10">
        <v>0.83385187000000005</v>
      </c>
      <c r="F753" s="10">
        <v>1.2602566000000001E-2</v>
      </c>
      <c r="G753" s="10">
        <f t="shared" si="124"/>
        <v>2.4840821730385501</v>
      </c>
      <c r="H753" s="10">
        <f t="shared" si="125"/>
        <v>0.2811788646751</v>
      </c>
      <c r="I753" s="10">
        <f t="shared" si="126"/>
        <v>2.4840404974513999</v>
      </c>
      <c r="J753" s="10">
        <f t="shared" si="127"/>
        <v>0.27821283588002399</v>
      </c>
      <c r="K753" s="7">
        <f t="shared" si="128"/>
        <v>4.1675587150180597E-5</v>
      </c>
      <c r="L753" s="7">
        <f t="shared" si="129"/>
        <v>2.9660287950760101E-3</v>
      </c>
      <c r="M753" s="7">
        <f t="shared" si="130"/>
        <v>0.39758263892169299</v>
      </c>
      <c r="N753" s="7">
        <f t="shared" si="131"/>
        <v>-4.4529303602157601E-2</v>
      </c>
      <c r="O753" s="10">
        <v>-0.43892272999999998</v>
      </c>
      <c r="P753" s="10">
        <v>-5.4266762999999996</v>
      </c>
      <c r="Q753" s="10">
        <v>-8.7852911999999996</v>
      </c>
      <c r="R753" s="10">
        <v>-14.110073</v>
      </c>
      <c r="S753" s="10">
        <f t="shared" si="132"/>
        <v>3.0529615011718181</v>
      </c>
      <c r="T753" s="10">
        <f t="shared" si="133"/>
        <v>-27.283290416766445</v>
      </c>
      <c r="U753" s="8"/>
      <c r="V753" s="8"/>
    </row>
    <row r="754" spans="1:22" x14ac:dyDescent="0.35">
      <c r="A754" s="12">
        <v>3.75</v>
      </c>
      <c r="B754">
        <v>16.625</v>
      </c>
      <c r="C754" s="12">
        <v>-0.16437155000000001</v>
      </c>
      <c r="D754" s="12">
        <v>2.6730172999999999E-2</v>
      </c>
      <c r="E754" s="12">
        <v>0.83552663999999999</v>
      </c>
      <c r="F754" s="12">
        <v>2.0731980000000001E-2</v>
      </c>
      <c r="G754" s="12">
        <f t="shared" si="124"/>
        <v>2.4789144427658201</v>
      </c>
      <c r="H754" s="12">
        <f t="shared" si="125"/>
        <v>0.43144308673522702</v>
      </c>
      <c r="I754" s="12">
        <f t="shared" si="126"/>
        <v>2.4788725310470001</v>
      </c>
      <c r="J754" s="12">
        <f t="shared" si="127"/>
        <v>0.42844371185475899</v>
      </c>
      <c r="K754" s="7">
        <f t="shared" si="128"/>
        <v>4.1911718819953598E-5</v>
      </c>
      <c r="L754" s="7">
        <f t="shared" si="129"/>
        <v>2.99937488046803E-3</v>
      </c>
      <c r="M754" s="7">
        <f t="shared" si="130"/>
        <v>0.39170771312166303</v>
      </c>
      <c r="N754" s="7">
        <f t="shared" si="131"/>
        <v>-6.7702031657553605E-2</v>
      </c>
      <c r="O754" s="12">
        <v>-0.70418597000000005</v>
      </c>
      <c r="P754" s="12">
        <v>-5.3593374999999996</v>
      </c>
      <c r="Q754" s="12">
        <v>-9.4283763</v>
      </c>
      <c r="R754" s="12">
        <v>-13.577279000000001</v>
      </c>
      <c r="S754" s="12">
        <f t="shared" si="132"/>
        <v>3.0580286079226329</v>
      </c>
      <c r="T754" s="12">
        <f t="shared" si="133"/>
        <v>-27.291553249853681</v>
      </c>
      <c r="U754" s="8"/>
      <c r="V754" s="8"/>
    </row>
    <row r="755" spans="1:22" x14ac:dyDescent="0.35">
      <c r="A755" s="10">
        <v>3.75</v>
      </c>
      <c r="B755">
        <v>16.6875</v>
      </c>
      <c r="C755" s="10">
        <v>-0.16198396000000001</v>
      </c>
      <c r="D755" s="10">
        <v>3.4476228999999997E-2</v>
      </c>
      <c r="E755" s="10">
        <v>0.83791201999999998</v>
      </c>
      <c r="F755" s="10">
        <v>2.8409647999999999E-2</v>
      </c>
      <c r="G755" s="10">
        <f t="shared" si="124"/>
        <v>2.4737789802361201</v>
      </c>
      <c r="H755" s="10">
        <f t="shared" si="125"/>
        <v>0.57857185001476097</v>
      </c>
      <c r="I755" s="10">
        <f t="shared" si="126"/>
        <v>2.4737361697332698</v>
      </c>
      <c r="J755" s="10">
        <f t="shared" si="127"/>
        <v>0.57553827188166995</v>
      </c>
      <c r="K755" s="7">
        <f t="shared" si="128"/>
        <v>4.2810502850265698E-5</v>
      </c>
      <c r="L755" s="7">
        <f t="shared" si="129"/>
        <v>3.0335781330910199E-3</v>
      </c>
      <c r="M755" s="7">
        <f t="shared" si="130"/>
        <v>0.38348842595646898</v>
      </c>
      <c r="N755" s="7">
        <f t="shared" si="131"/>
        <v>-8.9222233422493802E-2</v>
      </c>
      <c r="O755" s="10">
        <v>-0.95355005000000004</v>
      </c>
      <c r="P755" s="10">
        <v>-5.2692173999999996</v>
      </c>
      <c r="Q755" s="10">
        <v>-9.9978923000000002</v>
      </c>
      <c r="R755" s="10">
        <v>-13.002561999999999</v>
      </c>
      <c r="S755" s="10">
        <f t="shared" si="132"/>
        <v>3.0630383532379688</v>
      </c>
      <c r="T755" s="10">
        <f t="shared" si="133"/>
        <v>-27.2997150965152</v>
      </c>
      <c r="U755" s="8"/>
      <c r="V755" s="8"/>
    </row>
    <row r="756" spans="1:22" x14ac:dyDescent="0.35">
      <c r="A756" s="12">
        <v>3.75</v>
      </c>
      <c r="B756">
        <v>16.75</v>
      </c>
      <c r="C756" s="12">
        <v>-0.15898298</v>
      </c>
      <c r="D756" s="12">
        <v>4.1709672000000003E-2</v>
      </c>
      <c r="E756" s="12">
        <v>0.84083194999999999</v>
      </c>
      <c r="F756" s="12">
        <v>3.5407162999999998E-2</v>
      </c>
      <c r="G756" s="12">
        <f t="shared" si="124"/>
        <v>2.4687796317742698</v>
      </c>
      <c r="H756" s="12">
        <f t="shared" si="125"/>
        <v>0.72117031626016104</v>
      </c>
      <c r="I756" s="12">
        <f t="shared" si="126"/>
        <v>2.4686970212742598</v>
      </c>
      <c r="J756" s="12">
        <f t="shared" si="127"/>
        <v>0.71801850978103898</v>
      </c>
      <c r="K756" s="7">
        <f t="shared" si="128"/>
        <v>8.2610500010016406E-5</v>
      </c>
      <c r="L756" s="7">
        <f t="shared" si="129"/>
        <v>3.1518064791220498E-3</v>
      </c>
      <c r="M756" s="7">
        <f t="shared" si="130"/>
        <v>0.37347824640604399</v>
      </c>
      <c r="N756" s="7">
        <f t="shared" si="131"/>
        <v>-0.108625842543321</v>
      </c>
      <c r="O756" s="12">
        <v>-1.1851375</v>
      </c>
      <c r="P756" s="12">
        <v>-5.1594259999999998</v>
      </c>
      <c r="Q756" s="12">
        <v>-10.493228999999999</v>
      </c>
      <c r="R756" s="12">
        <v>-12.397807999999999</v>
      </c>
      <c r="S756" s="12">
        <f t="shared" si="132"/>
        <v>3.0681859789883035</v>
      </c>
      <c r="T756" s="12">
        <f t="shared" si="133"/>
        <v>-27.307212673856789</v>
      </c>
      <c r="U756" s="8"/>
      <c r="V756" s="8"/>
    </row>
    <row r="757" spans="1:22" x14ac:dyDescent="0.35">
      <c r="A757" s="10">
        <v>3.75</v>
      </c>
      <c r="B757">
        <v>16.8125</v>
      </c>
      <c r="C757" s="10">
        <v>-0.15548194000000001</v>
      </c>
      <c r="D757" s="10">
        <v>4.8372092999999998E-2</v>
      </c>
      <c r="E757" s="10">
        <v>0.84430959999999999</v>
      </c>
      <c r="F757" s="10">
        <v>4.2020679999999998E-2</v>
      </c>
      <c r="G757" s="10">
        <f t="shared" si="124"/>
        <v>2.46361917787344</v>
      </c>
      <c r="H757" s="10">
        <f t="shared" si="125"/>
        <v>0.86247927525885804</v>
      </c>
      <c r="I757" s="10">
        <f t="shared" si="126"/>
        <v>2.46352502517261</v>
      </c>
      <c r="J757" s="10">
        <f t="shared" si="127"/>
        <v>0.85930293868795504</v>
      </c>
      <c r="K757" s="7">
        <f t="shared" si="128"/>
        <v>9.4152700830019102E-5</v>
      </c>
      <c r="L757" s="7">
        <f t="shared" si="129"/>
        <v>3.1763365709029899E-3</v>
      </c>
      <c r="M757" s="7">
        <f t="shared" si="130"/>
        <v>0.36189155241454202</v>
      </c>
      <c r="N757" s="7">
        <f t="shared" si="131"/>
        <v>-0.12623150619481699</v>
      </c>
      <c r="O757" s="10">
        <v>-1.3971529</v>
      </c>
      <c r="P757" s="10">
        <v>-5.0343280000000004</v>
      </c>
      <c r="Q757" s="10">
        <v>-10.914097</v>
      </c>
      <c r="R757" s="10">
        <v>-11.775342999999999</v>
      </c>
      <c r="S757" s="10">
        <f t="shared" si="132"/>
        <v>3.0730383671932913</v>
      </c>
      <c r="T757" s="10">
        <f t="shared" si="133"/>
        <v>-27.315534520388447</v>
      </c>
      <c r="U757" s="8"/>
      <c r="V757" s="8"/>
    </row>
    <row r="758" spans="1:22" x14ac:dyDescent="0.35">
      <c r="A758" s="12">
        <v>3.75</v>
      </c>
      <c r="B758">
        <v>16.875</v>
      </c>
      <c r="C758" s="12">
        <v>-0.15157782</v>
      </c>
      <c r="D758" s="12">
        <v>5.4442089999999999E-2</v>
      </c>
      <c r="E758" s="12">
        <v>0.84845778000000005</v>
      </c>
      <c r="F758" s="12">
        <v>4.8083064000000002E-2</v>
      </c>
      <c r="G758" s="12">
        <f t="shared" si="124"/>
        <v>2.46034025967433</v>
      </c>
      <c r="H758" s="12">
        <f t="shared" si="125"/>
        <v>1.0028787166205</v>
      </c>
      <c r="I758" s="12">
        <f t="shared" si="126"/>
        <v>2.4603681680184102</v>
      </c>
      <c r="J758" s="12">
        <f t="shared" si="127"/>
        <v>0.99969934894818402</v>
      </c>
      <c r="K758" s="7">
        <f t="shared" si="128"/>
        <v>-2.7908344080174202E-5</v>
      </c>
      <c r="L758" s="7">
        <f t="shared" si="129"/>
        <v>3.17936767231597E-3</v>
      </c>
      <c r="M758" s="7">
        <f t="shared" si="130"/>
        <v>0.34884933235202498</v>
      </c>
      <c r="N758" s="7">
        <f t="shared" si="131"/>
        <v>-0.141744822976721</v>
      </c>
      <c r="O758" s="12">
        <v>-1.5897859000000001</v>
      </c>
      <c r="P758" s="12">
        <v>-4.8961781000000002</v>
      </c>
      <c r="Q758" s="12">
        <v>-11.262779999999999</v>
      </c>
      <c r="R758" s="12">
        <v>-11.14466</v>
      </c>
      <c r="S758" s="12">
        <f t="shared" si="132"/>
        <v>3.0779425678267049</v>
      </c>
      <c r="T758" s="12">
        <f t="shared" si="133"/>
        <v>-27.313449318692168</v>
      </c>
      <c r="U758" s="8"/>
      <c r="V758" s="8"/>
    </row>
    <row r="759" spans="1:22" x14ac:dyDescent="0.35">
      <c r="A759" s="10">
        <v>3.75</v>
      </c>
      <c r="B759">
        <v>16.9375</v>
      </c>
      <c r="C759" s="10">
        <v>-0.14737626000000001</v>
      </c>
      <c r="D759" s="10">
        <v>5.9918385999999997E-2</v>
      </c>
      <c r="E759" s="10">
        <v>0.85265676999999995</v>
      </c>
      <c r="F759" s="10">
        <v>5.3496264000000002E-2</v>
      </c>
      <c r="G759" s="10">
        <f t="shared" si="124"/>
        <v>2.4553838787931301</v>
      </c>
      <c r="H759" s="10">
        <f t="shared" si="125"/>
        <v>1.1389084245058001</v>
      </c>
      <c r="I759" s="10">
        <f t="shared" si="126"/>
        <v>2.4554107038159998</v>
      </c>
      <c r="J759" s="10">
        <f t="shared" si="127"/>
        <v>1.1356975026709699</v>
      </c>
      <c r="K759" s="7">
        <f t="shared" si="128"/>
        <v>-2.68250228696587E-5</v>
      </c>
      <c r="L759" s="7">
        <f t="shared" si="129"/>
        <v>3.2109218348301801E-3</v>
      </c>
      <c r="M759" s="7">
        <f t="shared" si="130"/>
        <v>0.33549130286643303</v>
      </c>
      <c r="N759" s="7">
        <f t="shared" si="131"/>
        <v>-0.155174299045407</v>
      </c>
      <c r="O759" s="10">
        <v>-1.7617514000000001</v>
      </c>
      <c r="P759" s="10">
        <v>-4.7496400000000003</v>
      </c>
      <c r="Q759" s="10">
        <v>-11.545318</v>
      </c>
      <c r="R759" s="10">
        <v>-10.515948</v>
      </c>
      <c r="S759" s="10">
        <f t="shared" si="132"/>
        <v>3.0827282895040282</v>
      </c>
      <c r="T759" s="10">
        <f t="shared" si="133"/>
        <v>-27.320478044555788</v>
      </c>
      <c r="U759" s="8"/>
      <c r="V759" s="8"/>
    </row>
    <row r="760" spans="1:22" x14ac:dyDescent="0.35">
      <c r="A760" s="12">
        <v>3.75</v>
      </c>
      <c r="B760">
        <v>17</v>
      </c>
      <c r="C760" s="12">
        <v>-0.14299012</v>
      </c>
      <c r="D760" s="12">
        <v>6.4787200000000003E-2</v>
      </c>
      <c r="E760" s="12">
        <v>0.85703989000000003</v>
      </c>
      <c r="F760" s="12">
        <v>5.8300022999999999E-2</v>
      </c>
      <c r="G760" s="12">
        <f t="shared" si="124"/>
        <v>2.4504219804200398</v>
      </c>
      <c r="H760" s="12">
        <f t="shared" si="125"/>
        <v>1.2716358115726101</v>
      </c>
      <c r="I760" s="12">
        <f t="shared" si="126"/>
        <v>2.4504475054769799</v>
      </c>
      <c r="J760" s="12">
        <f t="shared" si="127"/>
        <v>1.2683923545334601</v>
      </c>
      <c r="K760" s="7">
        <f t="shared" si="128"/>
        <v>-2.552505694009E-5</v>
      </c>
      <c r="L760" s="7">
        <f t="shared" si="129"/>
        <v>3.2434570391499701E-3</v>
      </c>
      <c r="M760" s="7">
        <f t="shared" si="130"/>
        <v>0.32185507289269</v>
      </c>
      <c r="N760" s="7">
        <f t="shared" si="131"/>
        <v>-0.16659753486350801</v>
      </c>
      <c r="O760" s="12">
        <v>-1.9133941000000001</v>
      </c>
      <c r="P760" s="12">
        <v>-4.5978868000000004</v>
      </c>
      <c r="Q760" s="12">
        <v>-11.765041</v>
      </c>
      <c r="R760" s="12">
        <v>-9.8995156000000009</v>
      </c>
      <c r="S760" s="12">
        <f t="shared" si="132"/>
        <v>3.0874418226689517</v>
      </c>
      <c r="T760" s="12">
        <f t="shared" si="133"/>
        <v>-27.327112528279628</v>
      </c>
      <c r="U760" s="8"/>
      <c r="V760" s="8"/>
    </row>
    <row r="761" spans="1:22" x14ac:dyDescent="0.35">
      <c r="A761" s="10">
        <v>3.875</v>
      </c>
      <c r="B761">
        <v>15</v>
      </c>
      <c r="C761" s="10">
        <v>-5.2379321999999999E-2</v>
      </c>
      <c r="D761" s="10">
        <v>-7.5539296000000006E-2</v>
      </c>
      <c r="E761" s="10">
        <v>0.94756165000000003</v>
      </c>
      <c r="F761" s="10">
        <v>-8.0361098000000006E-2</v>
      </c>
      <c r="G761" s="10">
        <f t="shared" si="124"/>
        <v>2.4700512562362502</v>
      </c>
      <c r="H761" s="10">
        <f t="shared" si="125"/>
        <v>-4.4162777650389096</v>
      </c>
      <c r="I761" s="10">
        <f t="shared" si="126"/>
        <v>2.4700275542896502</v>
      </c>
      <c r="J761" s="10">
        <f t="shared" si="127"/>
        <v>-4.4186887943410502</v>
      </c>
      <c r="K761" s="7">
        <f t="shared" si="128"/>
        <v>2.3701946600063198E-5</v>
      </c>
      <c r="L761" s="7">
        <f t="shared" si="129"/>
        <v>2.41102930214065E-3</v>
      </c>
      <c r="M761" s="7">
        <f t="shared" si="130"/>
        <v>9.6388134038152107E-2</v>
      </c>
      <c r="N761" s="7">
        <f t="shared" si="131"/>
        <v>0.17243093788251801</v>
      </c>
      <c r="O761" s="10">
        <v>2.7196300999999998</v>
      </c>
      <c r="P761" s="10">
        <v>-1.7778596</v>
      </c>
      <c r="Q761" s="10">
        <v>4.6752764000000004</v>
      </c>
      <c r="R761" s="10">
        <v>-8.1664999999999992</v>
      </c>
      <c r="S761" s="10">
        <f t="shared" si="132"/>
        <v>2.8961450116477874</v>
      </c>
      <c r="T761" s="10">
        <f t="shared" si="133"/>
        <v>-27.035902484636175</v>
      </c>
      <c r="U761" s="8"/>
      <c r="V761" s="8"/>
    </row>
    <row r="762" spans="1:22" x14ac:dyDescent="0.35">
      <c r="A762" s="12">
        <v>3.875</v>
      </c>
      <c r="B762">
        <v>15.0625</v>
      </c>
      <c r="C762" s="12">
        <v>-5.6366703999999997E-2</v>
      </c>
      <c r="D762" s="12">
        <v>-7.7140134999999999E-2</v>
      </c>
      <c r="E762" s="12">
        <v>0.94356762000000005</v>
      </c>
      <c r="F762" s="12">
        <v>-8.2005862999999998E-2</v>
      </c>
      <c r="G762" s="12">
        <f t="shared" si="124"/>
        <v>2.4644254549986302</v>
      </c>
      <c r="H762" s="12">
        <f t="shared" si="125"/>
        <v>-4.1812137839322601</v>
      </c>
      <c r="I762" s="12">
        <f t="shared" si="126"/>
        <v>2.4643985352955999</v>
      </c>
      <c r="J762" s="12">
        <f t="shared" si="127"/>
        <v>-4.1836467933194097</v>
      </c>
      <c r="K762" s="7">
        <f t="shared" si="128"/>
        <v>2.6919703030259301E-5</v>
      </c>
      <c r="L762" s="7">
        <f t="shared" si="129"/>
        <v>2.4330093871496299E-3</v>
      </c>
      <c r="M762" s="7">
        <f t="shared" si="130"/>
        <v>0.10452925621607299</v>
      </c>
      <c r="N762" s="7">
        <f t="shared" si="131"/>
        <v>0.17745242147856699</v>
      </c>
      <c r="O762" s="12">
        <v>2.7634775999999999</v>
      </c>
      <c r="P762" s="12">
        <v>-1.9061330999999999</v>
      </c>
      <c r="Q762" s="12">
        <v>4.6340935999999999</v>
      </c>
      <c r="R762" s="12">
        <v>-8.5845775</v>
      </c>
      <c r="S762" s="12">
        <f t="shared" si="132"/>
        <v>2.9059268771434739</v>
      </c>
      <c r="T762" s="12">
        <f t="shared" si="133"/>
        <v>-27.042796188159258</v>
      </c>
      <c r="U762" s="8"/>
      <c r="V762" s="8"/>
    </row>
    <row r="763" spans="1:22" x14ac:dyDescent="0.35">
      <c r="A763" s="10">
        <v>3.875</v>
      </c>
      <c r="B763">
        <v>15.125</v>
      </c>
      <c r="C763" s="10">
        <v>-6.0636211000000002E-2</v>
      </c>
      <c r="D763" s="10">
        <v>-7.8607978999999994E-2</v>
      </c>
      <c r="E763" s="10">
        <v>0.93929205999999998</v>
      </c>
      <c r="F763" s="10">
        <v>-8.3520486000000005E-2</v>
      </c>
      <c r="G763" s="10">
        <f t="shared" si="124"/>
        <v>2.4589036333124299</v>
      </c>
      <c r="H763" s="10">
        <f t="shared" si="125"/>
        <v>-3.9521562935132799</v>
      </c>
      <c r="I763" s="10">
        <f t="shared" si="126"/>
        <v>2.4588738013201401</v>
      </c>
      <c r="J763" s="10">
        <f t="shared" si="127"/>
        <v>-3.9546127083862999</v>
      </c>
      <c r="K763" s="7">
        <f t="shared" si="128"/>
        <v>2.9831992289786099E-5</v>
      </c>
      <c r="L763" s="7">
        <f t="shared" si="129"/>
        <v>2.4564148730199498E-3</v>
      </c>
      <c r="M763" s="7">
        <f t="shared" si="130"/>
        <v>0.113390422030195</v>
      </c>
      <c r="N763" s="7">
        <f t="shared" si="131"/>
        <v>0.182366091228085</v>
      </c>
      <c r="O763" s="10">
        <v>2.804621</v>
      </c>
      <c r="P763" s="10">
        <v>-2.0440721000000002</v>
      </c>
      <c r="Q763" s="10">
        <v>4.5688830999999999</v>
      </c>
      <c r="R763" s="10">
        <v>-9.0209037999999993</v>
      </c>
      <c r="S763" s="10">
        <f t="shared" si="132"/>
        <v>2.9137139662033267</v>
      </c>
      <c r="T763" s="10">
        <f t="shared" si="133"/>
        <v>-27.053396884520382</v>
      </c>
      <c r="U763" s="8"/>
      <c r="V763" s="8"/>
    </row>
    <row r="764" spans="1:22" x14ac:dyDescent="0.35">
      <c r="A764" s="12">
        <v>3.875</v>
      </c>
      <c r="B764">
        <v>15.1875</v>
      </c>
      <c r="C764" s="12">
        <v>-6.5210682000000006E-2</v>
      </c>
      <c r="D764" s="12">
        <v>-7.9915464000000005E-2</v>
      </c>
      <c r="E764" s="12">
        <v>0.93471212999999997</v>
      </c>
      <c r="F764" s="12">
        <v>-8.4876243000000004E-2</v>
      </c>
      <c r="G764" s="12">
        <f t="shared" si="124"/>
        <v>2.45339566324005</v>
      </c>
      <c r="H764" s="12">
        <f t="shared" si="125"/>
        <v>-3.7282450808292</v>
      </c>
      <c r="I764" s="12">
        <f t="shared" si="126"/>
        <v>2.4533632207570899</v>
      </c>
      <c r="J764" s="12">
        <f t="shared" si="127"/>
        <v>-3.7307256465341498</v>
      </c>
      <c r="K764" s="7">
        <f t="shared" si="128"/>
        <v>3.2442482960082197E-5</v>
      </c>
      <c r="L764" s="7">
        <f t="shared" si="129"/>
        <v>2.48056570494981E-3</v>
      </c>
      <c r="M764" s="7">
        <f t="shared" si="130"/>
        <v>0.12305390461808299</v>
      </c>
      <c r="N764" s="7">
        <f t="shared" si="131"/>
        <v>0.187122866268117</v>
      </c>
      <c r="O764" s="12">
        <v>2.8410258000000002</v>
      </c>
      <c r="P764" s="12">
        <v>-2.1919309</v>
      </c>
      <c r="Q764" s="12">
        <v>4.4762348000000003</v>
      </c>
      <c r="R764" s="12">
        <v>-9.4762368000000006</v>
      </c>
      <c r="S764" s="12">
        <f t="shared" si="132"/>
        <v>2.9206636867075808</v>
      </c>
      <c r="T764" s="12">
        <f t="shared" si="133"/>
        <v>-27.064436455706378</v>
      </c>
      <c r="U764" s="8"/>
      <c r="V764" s="8"/>
    </row>
    <row r="765" spans="1:22" x14ac:dyDescent="0.35">
      <c r="A765" s="10">
        <v>3.875</v>
      </c>
      <c r="B765">
        <v>15.25</v>
      </c>
      <c r="C765" s="10">
        <v>-7.0105166999999996E-2</v>
      </c>
      <c r="D765" s="10">
        <v>-8.1024297999999995E-2</v>
      </c>
      <c r="E765" s="10">
        <v>0.92981250000000004</v>
      </c>
      <c r="F765" s="10">
        <v>-8.6034334000000004E-2</v>
      </c>
      <c r="G765" s="10">
        <f t="shared" si="124"/>
        <v>2.4479233596841499</v>
      </c>
      <c r="H765" s="10">
        <f t="shared" si="125"/>
        <v>-3.50907434087451</v>
      </c>
      <c r="I765" s="10">
        <f t="shared" si="126"/>
        <v>2.4478884673402299</v>
      </c>
      <c r="J765" s="10">
        <f t="shared" si="127"/>
        <v>-3.5115795494111302</v>
      </c>
      <c r="K765" s="7">
        <f t="shared" si="128"/>
        <v>3.4892343919956699E-5</v>
      </c>
      <c r="L765" s="7">
        <f t="shared" si="129"/>
        <v>2.5052085366201698E-3</v>
      </c>
      <c r="M765" s="7">
        <f t="shared" si="130"/>
        <v>0.13359394526190399</v>
      </c>
      <c r="N765" s="7">
        <f t="shared" si="131"/>
        <v>0.19164507385280699</v>
      </c>
      <c r="O765" s="10">
        <v>2.8705072</v>
      </c>
      <c r="P765" s="10">
        <v>-2.3495355</v>
      </c>
      <c r="Q765" s="10">
        <v>4.3520428000000004</v>
      </c>
      <c r="R765" s="10">
        <v>-9.9501398999999999</v>
      </c>
      <c r="S765" s="10">
        <f t="shared" si="132"/>
        <v>2.9277200856723344</v>
      </c>
      <c r="T765" s="10">
        <f t="shared" si="133"/>
        <v>-27.075520324996496</v>
      </c>
      <c r="U765" s="8"/>
      <c r="V765" s="8"/>
    </row>
    <row r="766" spans="1:22" x14ac:dyDescent="0.35">
      <c r="A766" s="12">
        <v>3.875</v>
      </c>
      <c r="B766">
        <v>15.3125</v>
      </c>
      <c r="C766" s="12">
        <v>-7.5329069999999998E-2</v>
      </c>
      <c r="D766" s="12">
        <v>-8.1889343000000003E-2</v>
      </c>
      <c r="E766" s="12">
        <v>0.92458359999999995</v>
      </c>
      <c r="F766" s="12">
        <v>-8.6949402999999995E-2</v>
      </c>
      <c r="G766" s="12">
        <f t="shared" si="124"/>
        <v>2.4425006688195898</v>
      </c>
      <c r="H766" s="12">
        <f t="shared" si="125"/>
        <v>-3.2943893200937202</v>
      </c>
      <c r="I766" s="12">
        <f t="shared" si="126"/>
        <v>2.4424634037622699</v>
      </c>
      <c r="J766" s="12">
        <f t="shared" si="127"/>
        <v>-3.29691955485813</v>
      </c>
      <c r="K766" s="7">
        <f t="shared" si="128"/>
        <v>3.7265057319935097E-5</v>
      </c>
      <c r="L766" s="7">
        <f t="shared" si="129"/>
        <v>2.5302347644098298E-3</v>
      </c>
      <c r="M766" s="7">
        <f t="shared" si="130"/>
        <v>0.145079833976342</v>
      </c>
      <c r="N766" s="7">
        <f t="shared" si="131"/>
        <v>0.19583365749324799</v>
      </c>
      <c r="O766" s="12">
        <v>2.8920759</v>
      </c>
      <c r="P766" s="12">
        <v>-2.5175434000000001</v>
      </c>
      <c r="Q766" s="12">
        <v>4.1919082999999997</v>
      </c>
      <c r="R766" s="12">
        <v>-10.441300999999999</v>
      </c>
      <c r="S766" s="12">
        <f t="shared" si="132"/>
        <v>2.9343675566045517</v>
      </c>
      <c r="T766" s="12">
        <f t="shared" si="133"/>
        <v>-27.08636137496525</v>
      </c>
      <c r="U766" s="8"/>
      <c r="V766" s="8"/>
    </row>
    <row r="767" spans="1:22" x14ac:dyDescent="0.35">
      <c r="A767" s="10">
        <v>3.875</v>
      </c>
      <c r="B767">
        <v>15.375</v>
      </c>
      <c r="C767" s="10">
        <v>-8.0885529999999997E-2</v>
      </c>
      <c r="D767" s="10">
        <v>-8.2459262000000005E-2</v>
      </c>
      <c r="E767" s="10">
        <v>0.91902225000000004</v>
      </c>
      <c r="F767" s="10">
        <v>-8.7569989000000001E-2</v>
      </c>
      <c r="G767" s="10">
        <f t="shared" si="124"/>
        <v>2.4371320438701201</v>
      </c>
      <c r="H767" s="10">
        <f t="shared" si="125"/>
        <v>-3.0840112039580698</v>
      </c>
      <c r="I767" s="10">
        <f t="shared" si="126"/>
        <v>2.4370924624872301</v>
      </c>
      <c r="J767" s="10">
        <f t="shared" si="127"/>
        <v>-3.0865667864408102</v>
      </c>
      <c r="K767" s="7">
        <f t="shared" si="128"/>
        <v>3.9581382889952701E-5</v>
      </c>
      <c r="L767" s="7">
        <f t="shared" si="129"/>
        <v>2.5555824827403501E-3</v>
      </c>
      <c r="M767" s="7">
        <f t="shared" si="130"/>
        <v>0.15757422429854701</v>
      </c>
      <c r="N767" s="7">
        <f t="shared" si="131"/>
        <v>0.19956705566382199</v>
      </c>
      <c r="O767" s="10">
        <v>2.9040414000000001</v>
      </c>
      <c r="P767" s="10">
        <v>-2.6960041000000001</v>
      </c>
      <c r="Q767" s="10">
        <v>3.9912315</v>
      </c>
      <c r="R767" s="10">
        <v>-10.947671</v>
      </c>
      <c r="S767" s="10">
        <f t="shared" si="132"/>
        <v>2.9406555671788501</v>
      </c>
      <c r="T767" s="10">
        <f t="shared" si="133"/>
        <v>-27.096996032621938</v>
      </c>
      <c r="U767" s="8"/>
      <c r="V767" s="8"/>
    </row>
    <row r="768" spans="1:22" x14ac:dyDescent="0.35">
      <c r="A768" s="12">
        <v>3.875</v>
      </c>
      <c r="B768">
        <v>15.4375</v>
      </c>
      <c r="C768" s="12">
        <v>-8.6770142999999994E-2</v>
      </c>
      <c r="D768" s="12">
        <v>-8.2676924999999998E-2</v>
      </c>
      <c r="E768" s="12">
        <v>0.91313290999999996</v>
      </c>
      <c r="F768" s="12">
        <v>-8.7838923999999999E-2</v>
      </c>
      <c r="G768" s="12">
        <f t="shared" si="124"/>
        <v>2.4318172719447602</v>
      </c>
      <c r="H768" s="12">
        <f t="shared" si="125"/>
        <v>-2.8778024081937899</v>
      </c>
      <c r="I768" s="12">
        <f t="shared" si="126"/>
        <v>2.43177545857783</v>
      </c>
      <c r="J768" s="12">
        <f t="shared" si="127"/>
        <v>-2.8803836407354502</v>
      </c>
      <c r="K768" s="7">
        <f t="shared" si="128"/>
        <v>4.1813366930210101E-5</v>
      </c>
      <c r="L768" s="7">
        <f t="shared" si="129"/>
        <v>2.58123254166032E-3</v>
      </c>
      <c r="M768" s="7">
        <f t="shared" si="130"/>
        <v>0.17112957020530301</v>
      </c>
      <c r="N768" s="7">
        <f t="shared" si="131"/>
        <v>0.20269914836368799</v>
      </c>
      <c r="O768" s="12">
        <v>2.9038328999999998</v>
      </c>
      <c r="P768" s="12">
        <v>-2.8839904999999999</v>
      </c>
      <c r="Q768" s="12">
        <v>3.7452787999999999</v>
      </c>
      <c r="R768" s="12">
        <v>-11.466206</v>
      </c>
      <c r="S768" s="12">
        <f t="shared" si="132"/>
        <v>2.9473394249869274</v>
      </c>
      <c r="T768" s="12">
        <f t="shared" si="133"/>
        <v>-27.107510533425817</v>
      </c>
      <c r="U768" s="8"/>
      <c r="V768" s="8"/>
    </row>
    <row r="769" spans="1:22" x14ac:dyDescent="0.35">
      <c r="A769" s="10">
        <v>3.875</v>
      </c>
      <c r="B769">
        <v>15.5</v>
      </c>
      <c r="C769" s="10">
        <v>-9.2969292999999995E-2</v>
      </c>
      <c r="D769" s="10">
        <v>-8.2480113999999993E-2</v>
      </c>
      <c r="E769" s="10">
        <v>0.90692927999999995</v>
      </c>
      <c r="F769" s="10">
        <v>-8.7694030000000006E-2</v>
      </c>
      <c r="G769" s="10">
        <f t="shared" si="124"/>
        <v>2.4265540510913399</v>
      </c>
      <c r="H769" s="10">
        <f t="shared" si="125"/>
        <v>-2.6756479069261001</v>
      </c>
      <c r="I769" s="10">
        <f t="shared" si="126"/>
        <v>2.4265101322372602</v>
      </c>
      <c r="J769" s="10">
        <f t="shared" si="127"/>
        <v>-2.6782551116411799</v>
      </c>
      <c r="K769" s="7">
        <f t="shared" si="128"/>
        <v>4.3918854079727503E-5</v>
      </c>
      <c r="L769" s="7">
        <f t="shared" si="129"/>
        <v>2.6072047150798002E-3</v>
      </c>
      <c r="M769" s="7">
        <f t="shared" si="130"/>
        <v>0.18578284861604299</v>
      </c>
      <c r="N769" s="7">
        <f t="shared" si="131"/>
        <v>0.205057402131023</v>
      </c>
      <c r="O769" s="10">
        <v>2.8901558999999999</v>
      </c>
      <c r="P769" s="10">
        <v>-3.0816175000000001</v>
      </c>
      <c r="Q769" s="10">
        <v>3.4492994000000001</v>
      </c>
      <c r="R769" s="10">
        <v>-11.992934</v>
      </c>
      <c r="S769" s="10">
        <f t="shared" si="132"/>
        <v>2.9537390272216388</v>
      </c>
      <c r="T769" s="10">
        <f t="shared" si="133"/>
        <v>-27.117847626584968</v>
      </c>
      <c r="U769" s="8"/>
      <c r="V769" s="8"/>
    </row>
    <row r="770" spans="1:22" x14ac:dyDescent="0.35">
      <c r="A770" s="12">
        <v>3.875</v>
      </c>
      <c r="B770">
        <v>15.5625</v>
      </c>
      <c r="C770" s="12">
        <v>-9.9458240000000003E-2</v>
      </c>
      <c r="D770" s="12">
        <v>-8.1802691999999996E-2</v>
      </c>
      <c r="E770" s="12">
        <v>0.90043616999999998</v>
      </c>
      <c r="F770" s="12">
        <v>-8.7069252E-2</v>
      </c>
      <c r="G770" s="12">
        <f t="shared" si="124"/>
        <v>2.4213398436886702</v>
      </c>
      <c r="H770" s="12">
        <f t="shared" si="125"/>
        <v>-2.4774458418882901</v>
      </c>
      <c r="I770" s="12">
        <f t="shared" si="126"/>
        <v>2.42129398111505</v>
      </c>
      <c r="J770" s="12">
        <f t="shared" si="127"/>
        <v>-2.48007938169502</v>
      </c>
      <c r="K770" s="7">
        <f t="shared" si="128"/>
        <v>4.5862573620158997E-5</v>
      </c>
      <c r="L770" s="7">
        <f t="shared" si="129"/>
        <v>2.6335398067298698E-3</v>
      </c>
      <c r="M770" s="7">
        <f t="shared" si="130"/>
        <v>0.201548457086967</v>
      </c>
      <c r="N770" s="7">
        <f t="shared" si="131"/>
        <v>0.20644175252260599</v>
      </c>
      <c r="O770" s="12">
        <v>2.8608437000000002</v>
      </c>
      <c r="P770" s="12">
        <v>-3.2879415000000001</v>
      </c>
      <c r="Q770" s="12">
        <v>3.0987130999999999</v>
      </c>
      <c r="R770" s="12">
        <v>-12.522658</v>
      </c>
      <c r="S770" s="12">
        <f t="shared" si="132"/>
        <v>2.9599334549328331</v>
      </c>
      <c r="T770" s="12">
        <f t="shared" si="133"/>
        <v>-27.128016561085406</v>
      </c>
      <c r="U770" s="8"/>
      <c r="V770" s="8"/>
    </row>
    <row r="771" spans="1:22" x14ac:dyDescent="0.35">
      <c r="A771" s="10">
        <v>3.875</v>
      </c>
      <c r="B771">
        <v>15.625</v>
      </c>
      <c r="C771" s="10">
        <v>-0.10619913</v>
      </c>
      <c r="D771" s="10">
        <v>-8.0576408000000002E-2</v>
      </c>
      <c r="E771" s="10">
        <v>0.89369140999999996</v>
      </c>
      <c r="F771" s="10">
        <v>-8.5896396E-2</v>
      </c>
      <c r="G771" s="10">
        <f t="shared" si="124"/>
        <v>2.41617275014314</v>
      </c>
      <c r="H771" s="10">
        <f t="shared" si="125"/>
        <v>-2.28310211203102</v>
      </c>
      <c r="I771" s="10">
        <f t="shared" si="126"/>
        <v>2.4161250938274601</v>
      </c>
      <c r="J771" s="10">
        <f t="shared" si="127"/>
        <v>-2.28576237839291</v>
      </c>
      <c r="K771" s="7">
        <f t="shared" si="128"/>
        <v>4.7656315679933697E-5</v>
      </c>
      <c r="L771" s="7">
        <f t="shared" si="129"/>
        <v>2.6602663618899799E-3</v>
      </c>
      <c r="M771" s="7">
        <f t="shared" si="130"/>
        <v>0.218409352401676</v>
      </c>
      <c r="N771" s="7">
        <f t="shared" si="131"/>
        <v>0.206625013781078</v>
      </c>
      <c r="O771" s="10">
        <v>2.8135159999999999</v>
      </c>
      <c r="P771" s="10">
        <v>-3.5013608000000001</v>
      </c>
      <c r="Q771" s="10">
        <v>2.6893813</v>
      </c>
      <c r="R771" s="10">
        <v>-13.049030999999999</v>
      </c>
      <c r="S771" s="10">
        <f t="shared" si="132"/>
        <v>2.9661992153955188</v>
      </c>
      <c r="T771" s="10">
        <f t="shared" si="133"/>
        <v>-27.138097877376087</v>
      </c>
      <c r="U771" s="8"/>
      <c r="V771" s="8"/>
    </row>
    <row r="772" spans="1:22" x14ac:dyDescent="0.35">
      <c r="A772" s="12">
        <v>3.875</v>
      </c>
      <c r="B772">
        <v>15.6875</v>
      </c>
      <c r="C772" s="12">
        <v>-0.11313918000000001</v>
      </c>
      <c r="D772" s="12">
        <v>-7.8733441000000001E-2</v>
      </c>
      <c r="E772" s="12">
        <v>0.88674770000000003</v>
      </c>
      <c r="F772" s="12">
        <v>-8.4107624000000006E-2</v>
      </c>
      <c r="G772" s="12">
        <f t="shared" si="124"/>
        <v>2.41105159628234</v>
      </c>
      <c r="H772" s="12">
        <f t="shared" si="125"/>
        <v>-2.09252806363402</v>
      </c>
      <c r="I772" s="12">
        <f t="shared" si="126"/>
        <v>2.41100225471701</v>
      </c>
      <c r="J772" s="12">
        <f t="shared" si="127"/>
        <v>-2.0952154397173102</v>
      </c>
      <c r="K772" s="7">
        <f t="shared" si="128"/>
        <v>4.9341565329985598E-5</v>
      </c>
      <c r="L772" s="7">
        <f t="shared" si="129"/>
        <v>2.6873760832901699E-3</v>
      </c>
      <c r="M772" s="7">
        <f t="shared" si="130"/>
        <v>0.23630652058552901</v>
      </c>
      <c r="N772" s="7">
        <f t="shared" si="131"/>
        <v>0.205355706104385</v>
      </c>
      <c r="O772" s="12">
        <v>2.7462148000000002</v>
      </c>
      <c r="P772" s="12">
        <v>-3.7202337999999999</v>
      </c>
      <c r="Q772" s="12">
        <v>2.2178594999999999</v>
      </c>
      <c r="R772" s="12">
        <v>-13.564355000000001</v>
      </c>
      <c r="S772" s="12">
        <f t="shared" si="132"/>
        <v>2.9723894118073666</v>
      </c>
      <c r="T772" s="12">
        <f t="shared" si="133"/>
        <v>-27.148068611742396</v>
      </c>
      <c r="U772" s="8"/>
      <c r="V772" s="8"/>
    </row>
    <row r="773" spans="1:22" x14ac:dyDescent="0.35">
      <c r="A773" s="10">
        <v>3.875</v>
      </c>
      <c r="B773">
        <v>15.75</v>
      </c>
      <c r="C773" s="10">
        <v>-0.12020922000000001</v>
      </c>
      <c r="D773" s="10">
        <v>-7.6209742999999996E-2</v>
      </c>
      <c r="E773" s="10">
        <v>0.87967413000000005</v>
      </c>
      <c r="F773" s="10">
        <v>-8.1638794000000001E-2</v>
      </c>
      <c r="G773" s="10">
        <f t="shared" si="124"/>
        <v>2.4059760528253999</v>
      </c>
      <c r="H773" s="10">
        <f t="shared" si="125"/>
        <v>-1.9056410506851</v>
      </c>
      <c r="I773" s="10">
        <f t="shared" si="126"/>
        <v>2.4059250943072499</v>
      </c>
      <c r="J773" s="10">
        <f t="shared" si="127"/>
        <v>-1.9083558728553001</v>
      </c>
      <c r="K773" s="7">
        <f t="shared" si="128"/>
        <v>5.0958518150068203E-5</v>
      </c>
      <c r="L773" s="7">
        <f t="shared" si="129"/>
        <v>2.7148221702000298E-3</v>
      </c>
      <c r="M773" s="7">
        <f t="shared" si="130"/>
        <v>0.25512716264552099</v>
      </c>
      <c r="N773" s="7">
        <f t="shared" si="131"/>
        <v>0.20236432975885299</v>
      </c>
      <c r="O773" s="10">
        <v>2.6569962999999999</v>
      </c>
      <c r="P773" s="10">
        <v>-3.9422584999999999</v>
      </c>
      <c r="Q773" s="10">
        <v>1.6818047</v>
      </c>
      <c r="R773" s="10">
        <v>-14.059801</v>
      </c>
      <c r="S773" s="10">
        <f t="shared" si="132"/>
        <v>2.9785168913590918</v>
      </c>
      <c r="T773" s="10">
        <f t="shared" si="133"/>
        <v>-27.15791749900983</v>
      </c>
      <c r="U773" s="8"/>
      <c r="V773" s="8"/>
    </row>
    <row r="774" spans="1:22" x14ac:dyDescent="0.35">
      <c r="A774" s="12">
        <v>3.875</v>
      </c>
      <c r="B774">
        <v>15.8125</v>
      </c>
      <c r="C774" s="12">
        <v>-0.12732309999999999</v>
      </c>
      <c r="D774" s="12">
        <v>-7.2949172000000007E-2</v>
      </c>
      <c r="E774" s="12">
        <v>0.87255685000000005</v>
      </c>
      <c r="F774" s="12">
        <v>-7.8433621999999995E-2</v>
      </c>
      <c r="G774" s="12">
        <f t="shared" si="124"/>
        <v>2.4009455146027801</v>
      </c>
      <c r="H774" s="12">
        <f t="shared" si="125"/>
        <v>-1.7223627948142199</v>
      </c>
      <c r="I774" s="12">
        <f t="shared" si="126"/>
        <v>2.4008930070952399</v>
      </c>
      <c r="J774" s="12">
        <f t="shared" si="127"/>
        <v>-1.7251053284222</v>
      </c>
      <c r="K774" s="7">
        <f t="shared" si="128"/>
        <v>5.2507507540155998E-5</v>
      </c>
      <c r="L774" s="7">
        <f t="shared" si="129"/>
        <v>2.7425336079800501E-3</v>
      </c>
      <c r="M774" s="7">
        <f t="shared" si="130"/>
        <v>0.27469305430643498</v>
      </c>
      <c r="N774" s="7">
        <f t="shared" si="131"/>
        <v>0.19737424794198799</v>
      </c>
      <c r="O774" s="12">
        <v>2.5440871999999999</v>
      </c>
      <c r="P774" s="12">
        <v>-4.1644193999999999</v>
      </c>
      <c r="Q774" s="12">
        <v>1.0803142999999999</v>
      </c>
      <c r="R774" s="12">
        <v>-14.525297999999999</v>
      </c>
      <c r="S774" s="12">
        <f t="shared" si="132"/>
        <v>2.9846934183400471</v>
      </c>
      <c r="T774" s="12">
        <f t="shared" si="133"/>
        <v>-27.167669168160568</v>
      </c>
      <c r="U774" s="8"/>
      <c r="V774" s="8"/>
    </row>
    <row r="775" spans="1:22" x14ac:dyDescent="0.35">
      <c r="A775" s="10">
        <v>3.875</v>
      </c>
      <c r="B775">
        <v>15.875</v>
      </c>
      <c r="C775" s="10">
        <v>-0.13437793000000001</v>
      </c>
      <c r="D775" s="10">
        <v>-6.8908311999999999E-2</v>
      </c>
      <c r="E775" s="10">
        <v>0.86549891999999995</v>
      </c>
      <c r="F775" s="10">
        <v>-7.4448634999999999E-2</v>
      </c>
      <c r="G775" s="10">
        <f t="shared" si="124"/>
        <v>2.3959591345097402</v>
      </c>
      <c r="H775" s="10">
        <f t="shared" si="125"/>
        <v>-1.54262519145559</v>
      </c>
      <c r="I775" s="10">
        <f t="shared" si="126"/>
        <v>2.3959052308715698</v>
      </c>
      <c r="J775" s="10">
        <f t="shared" si="127"/>
        <v>-1.54539567286977</v>
      </c>
      <c r="K775" s="7">
        <f t="shared" si="128"/>
        <v>5.3903638170371699E-5</v>
      </c>
      <c r="L775" s="7">
        <f t="shared" si="129"/>
        <v>2.7704814141800102E-3</v>
      </c>
      <c r="M775" s="7">
        <f t="shared" si="130"/>
        <v>0.29474969653842797</v>
      </c>
      <c r="N775" s="7">
        <f t="shared" si="131"/>
        <v>0.19011808135852801</v>
      </c>
      <c r="O775" s="10">
        <v>2.4064703999999999</v>
      </c>
      <c r="P775" s="10">
        <v>-4.3837193000000001</v>
      </c>
      <c r="Q775" s="10">
        <v>0.41435240000000001</v>
      </c>
      <c r="R775" s="10">
        <v>-14.950112000000001</v>
      </c>
      <c r="S775" s="10">
        <f t="shared" si="132"/>
        <v>2.9906864508200717</v>
      </c>
      <c r="T775" s="10">
        <f t="shared" si="133"/>
        <v>-27.177278228812359</v>
      </c>
      <c r="U775" s="8"/>
      <c r="V775" s="8"/>
    </row>
    <row r="776" spans="1:22" x14ac:dyDescent="0.35">
      <c r="A776" s="12">
        <v>3.875</v>
      </c>
      <c r="B776">
        <v>15.9375</v>
      </c>
      <c r="C776" s="12">
        <v>-0.14125629000000001</v>
      </c>
      <c r="D776" s="12">
        <v>-6.4061332999999998E-2</v>
      </c>
      <c r="E776" s="12">
        <v>0.85861801000000004</v>
      </c>
      <c r="F776" s="12">
        <v>-6.9658221000000006E-2</v>
      </c>
      <c r="G776" s="12">
        <f t="shared" si="124"/>
        <v>2.3910147265634798</v>
      </c>
      <c r="H776" s="12">
        <f t="shared" si="125"/>
        <v>-1.36636127568398</v>
      </c>
      <c r="I776" s="12">
        <f t="shared" si="126"/>
        <v>2.3909597053173499</v>
      </c>
      <c r="J776" s="12">
        <f t="shared" si="127"/>
        <v>-1.3691600495607901</v>
      </c>
      <c r="K776" s="7">
        <f t="shared" si="128"/>
        <v>5.5021246129882697E-5</v>
      </c>
      <c r="L776" s="7">
        <f t="shared" si="129"/>
        <v>2.79877387681005E-3</v>
      </c>
      <c r="M776" s="7">
        <f t="shared" si="130"/>
        <v>0.31496102451443397</v>
      </c>
      <c r="N776" s="7">
        <f t="shared" si="131"/>
        <v>0.180359397515092</v>
      </c>
      <c r="O776" s="12">
        <v>2.2435239</v>
      </c>
      <c r="P776" s="12">
        <v>-4.5964971999999999</v>
      </c>
      <c r="Q776" s="12">
        <v>-0.31293788</v>
      </c>
      <c r="R776" s="12">
        <v>-15.322886</v>
      </c>
      <c r="S776" s="12">
        <f t="shared" si="132"/>
        <v>2.9964180767507993</v>
      </c>
      <c r="T776" s="12">
        <f t="shared" si="133"/>
        <v>-27.186721433673405</v>
      </c>
      <c r="U776" s="8"/>
      <c r="V776" s="8"/>
    </row>
    <row r="777" spans="1:22" x14ac:dyDescent="0.35">
      <c r="A777" s="10">
        <v>3.875</v>
      </c>
      <c r="B777">
        <v>16</v>
      </c>
      <c r="C777" s="10">
        <v>-0.14782983999999999</v>
      </c>
      <c r="D777" s="10">
        <v>-5.8404631999999998E-2</v>
      </c>
      <c r="E777" s="10">
        <v>0.85204257999999999</v>
      </c>
      <c r="F777" s="10">
        <v>-6.4058951000000003E-2</v>
      </c>
      <c r="G777" s="10">
        <f t="shared" si="124"/>
        <v>2.3861111322202402</v>
      </c>
      <c r="H777" s="10">
        <f t="shared" si="125"/>
        <v>-1.1934994244879</v>
      </c>
      <c r="I777" s="10">
        <f t="shared" si="126"/>
        <v>2.3860553324475302</v>
      </c>
      <c r="J777" s="10">
        <f t="shared" si="127"/>
        <v>-1.19632692210883</v>
      </c>
      <c r="K777" s="7">
        <f t="shared" si="128"/>
        <v>5.5799772709974598E-5</v>
      </c>
      <c r="L777" s="7">
        <f t="shared" si="129"/>
        <v>2.8274976209299299E-3</v>
      </c>
      <c r="M777" s="7">
        <f t="shared" si="130"/>
        <v>0.33491042839328899</v>
      </c>
      <c r="N777" s="7">
        <f t="shared" si="131"/>
        <v>0.16791830287142101</v>
      </c>
      <c r="O777" s="10">
        <v>2.0550256</v>
      </c>
      <c r="P777" s="10">
        <v>-4.7980615999999996</v>
      </c>
      <c r="Q777" s="10">
        <v>-1.0959888</v>
      </c>
      <c r="R777" s="10">
        <v>-15.632361</v>
      </c>
      <c r="S777" s="10">
        <f t="shared" si="132"/>
        <v>3.0022697741574769</v>
      </c>
      <c r="T777" s="10">
        <f t="shared" si="133"/>
        <v>-27.196069482395046</v>
      </c>
      <c r="U777" s="8"/>
      <c r="V777" s="8"/>
    </row>
    <row r="778" spans="1:22" x14ac:dyDescent="0.35">
      <c r="A778" s="12">
        <v>3.875</v>
      </c>
      <c r="B778">
        <v>16.0625</v>
      </c>
      <c r="C778" s="12">
        <v>-0.15396431999999999</v>
      </c>
      <c r="D778" s="12">
        <v>-5.1960931000000002E-2</v>
      </c>
      <c r="E778" s="12">
        <v>0.84590694</v>
      </c>
      <c r="F778" s="12">
        <v>-5.7673707999999997E-2</v>
      </c>
      <c r="G778" s="12">
        <f t="shared" si="124"/>
        <v>2.3812473659370799</v>
      </c>
      <c r="H778" s="12">
        <f t="shared" si="125"/>
        <v>-1.0239696725204199</v>
      </c>
      <c r="I778" s="12">
        <f t="shared" si="126"/>
        <v>2.3811911522577698</v>
      </c>
      <c r="J778" s="12">
        <f t="shared" si="127"/>
        <v>-1.02682640547643</v>
      </c>
      <c r="K778" s="7">
        <f t="shared" si="128"/>
        <v>5.6213679310079798E-5</v>
      </c>
      <c r="L778" s="7">
        <f t="shared" si="129"/>
        <v>2.85673295601008E-3</v>
      </c>
      <c r="M778" s="7">
        <f t="shared" si="130"/>
        <v>0.35410975740145101</v>
      </c>
      <c r="N778" s="7">
        <f t="shared" si="131"/>
        <v>0.15270057130520501</v>
      </c>
      <c r="O778" s="12">
        <v>1.8419354999999999</v>
      </c>
      <c r="P778" s="12">
        <v>-4.9841180999999999</v>
      </c>
      <c r="Q778" s="12">
        <v>-1.9267053000000001</v>
      </c>
      <c r="R778" s="12">
        <v>-15.868031</v>
      </c>
      <c r="S778" s="12">
        <f t="shared" si="132"/>
        <v>3.00824795110778</v>
      </c>
      <c r="T778" s="12">
        <f t="shared" si="133"/>
        <v>-27.205341658896316</v>
      </c>
      <c r="U778" s="8"/>
      <c r="V778" s="8"/>
    </row>
    <row r="779" spans="1:22" x14ac:dyDescent="0.35">
      <c r="A779" s="10">
        <v>3.875</v>
      </c>
      <c r="B779">
        <v>16.125</v>
      </c>
      <c r="C779" s="10">
        <v>-0.15952586999999999</v>
      </c>
      <c r="D779" s="10">
        <v>-4.4782341000000003E-2</v>
      </c>
      <c r="E779" s="10">
        <v>0.84034496999999997</v>
      </c>
      <c r="F779" s="10">
        <v>-5.0554831000000001E-2</v>
      </c>
      <c r="G779" s="10">
        <f t="shared" si="124"/>
        <v>2.3764225493295701</v>
      </c>
      <c r="H779" s="10">
        <f t="shared" si="125"/>
        <v>-0.85771622633802103</v>
      </c>
      <c r="I779" s="10">
        <f t="shared" si="126"/>
        <v>2.3763662971136599</v>
      </c>
      <c r="J779" s="10">
        <f t="shared" si="127"/>
        <v>-0.86060282011192701</v>
      </c>
      <c r="K779" s="7">
        <f t="shared" si="128"/>
        <v>5.6252215910212997E-5</v>
      </c>
      <c r="L779" s="7">
        <f t="shared" si="129"/>
        <v>2.8865937739059899E-3</v>
      </c>
      <c r="M779" s="7">
        <f t="shared" si="130"/>
        <v>0.372019069625111</v>
      </c>
      <c r="N779" s="7">
        <f t="shared" si="131"/>
        <v>0.134726982470528</v>
      </c>
      <c r="O779" s="10">
        <v>1.6063953</v>
      </c>
      <c r="P779" s="10">
        <v>-5.1512107</v>
      </c>
      <c r="Q779" s="10">
        <v>-2.7944764000000002</v>
      </c>
      <c r="R779" s="10">
        <v>-16.020779999999998</v>
      </c>
      <c r="S779" s="10">
        <f t="shared" si="132"/>
        <v>3.0139076130526976</v>
      </c>
      <c r="T779" s="10">
        <f t="shared" si="133"/>
        <v>-27.214446798028064</v>
      </c>
      <c r="U779" s="8"/>
      <c r="V779" s="8"/>
    </row>
    <row r="780" spans="1:22" x14ac:dyDescent="0.35">
      <c r="A780" s="12">
        <v>3.875</v>
      </c>
      <c r="B780">
        <v>16.1875</v>
      </c>
      <c r="C780" s="12">
        <v>-0.16438916000000001</v>
      </c>
      <c r="D780" s="12">
        <v>-3.6950733999999999E-2</v>
      </c>
      <c r="E780" s="12">
        <v>0.83548197999999996</v>
      </c>
      <c r="F780" s="12">
        <v>-4.2784460000000003E-2</v>
      </c>
      <c r="G780" s="12">
        <f t="shared" si="124"/>
        <v>2.37163590356684</v>
      </c>
      <c r="H780" s="12">
        <f t="shared" si="125"/>
        <v>-0.69468982089407705</v>
      </c>
      <c r="I780" s="12">
        <f t="shared" si="126"/>
        <v>2.3715799790774401</v>
      </c>
      <c r="J780" s="12">
        <f t="shared" si="127"/>
        <v>-0.69760703497425502</v>
      </c>
      <c r="K780" s="7">
        <f t="shared" si="128"/>
        <v>5.5924489399839002E-5</v>
      </c>
      <c r="L780" s="7">
        <f t="shared" si="129"/>
        <v>2.9172140801779801E-3</v>
      </c>
      <c r="M780" s="7">
        <f t="shared" si="130"/>
        <v>0.388080784220737</v>
      </c>
      <c r="N780" s="7">
        <f t="shared" si="131"/>
        <v>0.114155072820284</v>
      </c>
      <c r="O780" s="12">
        <v>1.3510266</v>
      </c>
      <c r="P780" s="12">
        <v>-5.2950185999999997</v>
      </c>
      <c r="Q780" s="12">
        <v>-3.6865144999999999</v>
      </c>
      <c r="R780" s="12">
        <v>-16.083528000000001</v>
      </c>
      <c r="S780" s="12">
        <f t="shared" si="132"/>
        <v>3.019514091936994</v>
      </c>
      <c r="T780" s="12">
        <f t="shared" si="133"/>
        <v>-27.223445854259023</v>
      </c>
      <c r="U780" s="8"/>
      <c r="V780" s="8"/>
    </row>
    <row r="781" spans="1:22" x14ac:dyDescent="0.35">
      <c r="A781" s="10">
        <v>3.875</v>
      </c>
      <c r="B781">
        <v>16.25</v>
      </c>
      <c r="C781" s="10">
        <v>-0.16844571</v>
      </c>
      <c r="D781" s="10">
        <v>-2.8575268000000001E-2</v>
      </c>
      <c r="E781" s="10">
        <v>0.83142625999999997</v>
      </c>
      <c r="F781" s="10">
        <v>-3.4471953999999999E-2</v>
      </c>
      <c r="G781" s="10">
        <f t="shared" si="124"/>
        <v>2.3668860595763799</v>
      </c>
      <c r="H781" s="10">
        <f t="shared" si="125"/>
        <v>-0.53483730404044505</v>
      </c>
      <c r="I781" s="10">
        <f t="shared" si="126"/>
        <v>2.3668307347986599</v>
      </c>
      <c r="J781" s="10">
        <f t="shared" si="127"/>
        <v>-0.53778599891756795</v>
      </c>
      <c r="K781" s="7">
        <f t="shared" si="128"/>
        <v>5.5324777719967197E-5</v>
      </c>
      <c r="L781" s="7">
        <f t="shared" si="129"/>
        <v>2.9486948771228999E-3</v>
      </c>
      <c r="M781" s="7">
        <f t="shared" si="130"/>
        <v>0.40176369931109401</v>
      </c>
      <c r="N781" s="7">
        <f t="shared" si="131"/>
        <v>9.1287851381233007E-2</v>
      </c>
      <c r="O781" s="10">
        <v>1.0794748999999999</v>
      </c>
      <c r="P781" s="10">
        <v>-5.4122101999999996</v>
      </c>
      <c r="Q781" s="10">
        <v>-4.5884301000000001</v>
      </c>
      <c r="R781" s="10">
        <v>-16.051881999999999</v>
      </c>
      <c r="S781" s="10">
        <f t="shared" si="132"/>
        <v>3.0250727749189981</v>
      </c>
      <c r="T781" s="10">
        <f t="shared" si="133"/>
        <v>-27.232309533831693</v>
      </c>
      <c r="U781" s="8"/>
      <c r="V781" s="8"/>
    </row>
    <row r="782" spans="1:22" x14ac:dyDescent="0.35">
      <c r="A782" s="12">
        <v>3.875</v>
      </c>
      <c r="B782">
        <v>16.3125</v>
      </c>
      <c r="C782" s="12">
        <v>-0.17161100000000001</v>
      </c>
      <c r="D782" s="12">
        <v>-1.9787816999999999E-2</v>
      </c>
      <c r="E782" s="12">
        <v>0.82826208000000001</v>
      </c>
      <c r="F782" s="12">
        <v>-2.5749286E-2</v>
      </c>
      <c r="G782" s="12">
        <f t="shared" si="124"/>
        <v>2.3621720440634602</v>
      </c>
      <c r="H782" s="12">
        <f t="shared" si="125"/>
        <v>-0.37810517688315898</v>
      </c>
      <c r="I782" s="12">
        <f t="shared" si="126"/>
        <v>2.36211746642693</v>
      </c>
      <c r="J782" s="12">
        <f t="shared" si="127"/>
        <v>-0.38108626324434403</v>
      </c>
      <c r="K782" s="7">
        <f t="shared" si="128"/>
        <v>5.4577636530161997E-5</v>
      </c>
      <c r="L782" s="7">
        <f t="shared" si="129"/>
        <v>2.9810863611850502E-3</v>
      </c>
      <c r="M782" s="7">
        <f t="shared" si="130"/>
        <v>0.41260950194033702</v>
      </c>
      <c r="N782" s="7">
        <f t="shared" si="131"/>
        <v>6.6567313229939501E-2</v>
      </c>
      <c r="O782" s="12">
        <v>0.79608314000000002</v>
      </c>
      <c r="P782" s="12">
        <v>-5.5002455000000001</v>
      </c>
      <c r="Q782" s="12">
        <v>-5.4850536999999999</v>
      </c>
      <c r="R782" s="12">
        <v>-15.924733</v>
      </c>
      <c r="S782" s="12">
        <f t="shared" si="132"/>
        <v>3.030627893947365</v>
      </c>
      <c r="T782" s="12">
        <f t="shared" si="133"/>
        <v>-27.241127341702356</v>
      </c>
      <c r="U782" s="8"/>
      <c r="V782" s="8"/>
    </row>
    <row r="783" spans="1:22" x14ac:dyDescent="0.35">
      <c r="A783" s="10">
        <v>3.875</v>
      </c>
      <c r="B783">
        <v>16.375</v>
      </c>
      <c r="C783" s="10">
        <v>-0.17383005000000001</v>
      </c>
      <c r="D783" s="10">
        <v>-1.0736285999999999E-2</v>
      </c>
      <c r="E783" s="10">
        <v>0.82604414000000004</v>
      </c>
      <c r="F783" s="10">
        <v>-1.6764332999999999E-2</v>
      </c>
      <c r="G783" s="10">
        <f t="shared" si="124"/>
        <v>2.3574924351777602</v>
      </c>
      <c r="H783" s="10">
        <f t="shared" si="125"/>
        <v>-0.22444236466218301</v>
      </c>
      <c r="I783" s="10">
        <f t="shared" si="126"/>
        <v>2.3574386121901401</v>
      </c>
      <c r="J783" s="10">
        <f t="shared" si="127"/>
        <v>-0.22745674000521299</v>
      </c>
      <c r="K783" s="7">
        <f t="shared" si="128"/>
        <v>5.3822987620133502E-5</v>
      </c>
      <c r="L783" s="7">
        <f t="shared" si="129"/>
        <v>3.01437534302998E-3</v>
      </c>
      <c r="M783" s="7">
        <f t="shared" si="130"/>
        <v>0.42027672008758099</v>
      </c>
      <c r="N783" s="7">
        <f t="shared" si="131"/>
        <v>4.0550270177509999E-2</v>
      </c>
      <c r="O783" s="10">
        <v>0.50569702999999999</v>
      </c>
      <c r="P783" s="10">
        <v>-5.5579162999999996</v>
      </c>
      <c r="Q783" s="10">
        <v>-6.3610489000000001</v>
      </c>
      <c r="R783" s="10">
        <v>-15.703931000000001</v>
      </c>
      <c r="S783" s="10">
        <f t="shared" si="132"/>
        <v>3.0359629203181719</v>
      </c>
      <c r="T783" s="10">
        <f t="shared" si="133"/>
        <v>-27.249791416953389</v>
      </c>
      <c r="U783" s="8"/>
      <c r="V783" s="8"/>
    </row>
    <row r="784" spans="1:22" x14ac:dyDescent="0.35">
      <c r="A784" s="12">
        <v>3.875</v>
      </c>
      <c r="B784">
        <v>16.4375</v>
      </c>
      <c r="C784" s="12">
        <v>-0.17508061999999999</v>
      </c>
      <c r="D784" s="12">
        <v>-1.5762971E-3</v>
      </c>
      <c r="E784" s="12">
        <v>0.82479438999999999</v>
      </c>
      <c r="F784" s="12">
        <v>-7.6725954000000001E-3</v>
      </c>
      <c r="G784" s="12">
        <f t="shared" si="124"/>
        <v>2.3528459225108702</v>
      </c>
      <c r="H784" s="12">
        <f t="shared" si="125"/>
        <v>-7.3801060060245199E-2</v>
      </c>
      <c r="I784" s="12">
        <f t="shared" si="126"/>
        <v>2.3527927164740698</v>
      </c>
      <c r="J784" s="12">
        <f t="shared" si="127"/>
        <v>-7.6849561906304098E-2</v>
      </c>
      <c r="K784" s="7">
        <f t="shared" si="128"/>
        <v>5.3206036800368402E-5</v>
      </c>
      <c r="L784" s="7">
        <f t="shared" si="129"/>
        <v>3.0485018460588999E-3</v>
      </c>
      <c r="M784" s="7">
        <f t="shared" si="130"/>
        <v>0.42457384805266701</v>
      </c>
      <c r="N784" s="7">
        <f t="shared" si="131"/>
        <v>1.38679085459846E-2</v>
      </c>
      <c r="O784" s="12">
        <v>0.21326353000000001</v>
      </c>
      <c r="P784" s="12">
        <v>-5.5841453999999997</v>
      </c>
      <c r="Q784" s="12">
        <v>-7.2020871</v>
      </c>
      <c r="R784" s="12">
        <v>-15.394857999999999</v>
      </c>
      <c r="S784" s="12">
        <f t="shared" si="132"/>
        <v>3.0414403343336249</v>
      </c>
      <c r="T784" s="12">
        <f t="shared" si="133"/>
        <v>-27.258444916936934</v>
      </c>
      <c r="U784" s="8"/>
      <c r="V784" s="8"/>
    </row>
    <row r="785" spans="1:22" x14ac:dyDescent="0.35">
      <c r="A785" s="10">
        <v>3.875</v>
      </c>
      <c r="B785">
        <v>16.5</v>
      </c>
      <c r="C785" s="10">
        <v>-0.17537372000000001</v>
      </c>
      <c r="D785" s="10">
        <v>7.5376949E-3</v>
      </c>
      <c r="E785" s="10">
        <v>0.82450162000000005</v>
      </c>
      <c r="F785" s="10">
        <v>1.3716086000000001E-3</v>
      </c>
      <c r="G785" s="10">
        <f t="shared" si="124"/>
        <v>2.3482314081112601</v>
      </c>
      <c r="H785" s="10">
        <f t="shared" si="125"/>
        <v>7.3862988618645306E-2</v>
      </c>
      <c r="I785" s="10">
        <f t="shared" si="126"/>
        <v>2.3481785810682698</v>
      </c>
      <c r="J785" s="10">
        <f t="shared" si="127"/>
        <v>7.0779590412382104E-2</v>
      </c>
      <c r="K785" s="7">
        <f t="shared" si="128"/>
        <v>5.2827042990255501E-5</v>
      </c>
      <c r="L785" s="7">
        <f t="shared" si="129"/>
        <v>3.0833982062631999E-3</v>
      </c>
      <c r="M785" s="7">
        <f t="shared" si="130"/>
        <v>0.42547541839478098</v>
      </c>
      <c r="N785" s="7">
        <f t="shared" si="131"/>
        <v>-1.28248234982278E-2</v>
      </c>
      <c r="O785" s="10">
        <v>-7.6267741999999999E-2</v>
      </c>
      <c r="P785" s="10">
        <v>-5.5803253000000002</v>
      </c>
      <c r="Q785" s="10">
        <v>-7.9952869</v>
      </c>
      <c r="R785" s="10">
        <v>-15.005390999999999</v>
      </c>
      <c r="S785" s="10">
        <f t="shared" si="132"/>
        <v>3.04658805293719</v>
      </c>
      <c r="T785" s="10">
        <f t="shared" si="133"/>
        <v>-27.266896585637575</v>
      </c>
      <c r="U785" s="8"/>
      <c r="V785" s="8"/>
    </row>
    <row r="786" spans="1:22" x14ac:dyDescent="0.35">
      <c r="A786" s="12">
        <v>3.875</v>
      </c>
      <c r="B786">
        <v>16.5625</v>
      </c>
      <c r="C786" s="12">
        <v>-0.17475083999999999</v>
      </c>
      <c r="D786" s="12">
        <v>1.6461125E-2</v>
      </c>
      <c r="E786" s="12">
        <v>0.82513798999999999</v>
      </c>
      <c r="F786" s="12">
        <v>1.0102084000000001E-2</v>
      </c>
      <c r="G786" s="12">
        <f t="shared" si="124"/>
        <v>2.34391230572419</v>
      </c>
      <c r="H786" s="12">
        <f t="shared" si="125"/>
        <v>0.21766559704650301</v>
      </c>
      <c r="I786" s="12">
        <f t="shared" si="126"/>
        <v>2.3438668285686699</v>
      </c>
      <c r="J786" s="12">
        <f t="shared" si="127"/>
        <v>0.21448575519944599</v>
      </c>
      <c r="K786" s="7">
        <f t="shared" si="128"/>
        <v>4.54771555200573E-5</v>
      </c>
      <c r="L786" s="7">
        <f t="shared" si="129"/>
        <v>3.1798418470570201E-3</v>
      </c>
      <c r="M786" s="7">
        <f t="shared" si="130"/>
        <v>0.42310235621323899</v>
      </c>
      <c r="N786" s="7">
        <f t="shared" si="131"/>
        <v>-3.8717826155029202E-2</v>
      </c>
      <c r="O786" s="12">
        <v>-0.35809763999999999</v>
      </c>
      <c r="P786" s="12">
        <v>-5.5469857999999999</v>
      </c>
      <c r="Q786" s="12">
        <v>-8.7298784999999999</v>
      </c>
      <c r="R786" s="12">
        <v>-14.546272999999999</v>
      </c>
      <c r="S786" s="12">
        <f t="shared" si="132"/>
        <v>3.0520305891346644</v>
      </c>
      <c r="T786" s="12">
        <f t="shared" si="133"/>
        <v>-27.276153745923224</v>
      </c>
      <c r="U786" s="8"/>
      <c r="V786" s="8"/>
    </row>
    <row r="787" spans="1:22" x14ac:dyDescent="0.35">
      <c r="A787" s="10">
        <v>3.875</v>
      </c>
      <c r="B787">
        <v>16.625</v>
      </c>
      <c r="C787" s="10">
        <v>-0.17327980000000001</v>
      </c>
      <c r="D787" s="10">
        <v>2.5068231E-2</v>
      </c>
      <c r="E787" s="10">
        <v>0.82655897</v>
      </c>
      <c r="F787" s="10">
        <v>1.8559286000000001E-2</v>
      </c>
      <c r="G787" s="10">
        <f t="shared" si="124"/>
        <v>2.3392467518190601</v>
      </c>
      <c r="H787" s="10">
        <f t="shared" si="125"/>
        <v>0.35888250519056802</v>
      </c>
      <c r="I787" s="10">
        <f t="shared" si="126"/>
        <v>2.33917672436072</v>
      </c>
      <c r="J787" s="10">
        <f t="shared" si="127"/>
        <v>0.355627542389304</v>
      </c>
      <c r="K787" s="7">
        <f t="shared" si="128"/>
        <v>7.0027458340060606E-5</v>
      </c>
      <c r="L787" s="7">
        <f t="shared" si="129"/>
        <v>3.2549628012640301E-3</v>
      </c>
      <c r="M787" s="7">
        <f t="shared" si="130"/>
        <v>0.41784304099104502</v>
      </c>
      <c r="N787" s="7">
        <f t="shared" si="131"/>
        <v>-6.3525124982905606E-2</v>
      </c>
      <c r="O787" s="10">
        <v>-0.62929581999999995</v>
      </c>
      <c r="P787" s="10">
        <v>-5.4874204000000004</v>
      </c>
      <c r="Q787" s="10">
        <v>-9.3990905999999992</v>
      </c>
      <c r="R787" s="10">
        <v>-14.027756999999999</v>
      </c>
      <c r="S787" s="10">
        <f t="shared" si="132"/>
        <v>3.0570960804818226</v>
      </c>
      <c r="T787" s="10">
        <f t="shared" si="133"/>
        <v>-27.281391704332016</v>
      </c>
      <c r="U787" s="8"/>
      <c r="V787" s="8"/>
    </row>
    <row r="788" spans="1:22" x14ac:dyDescent="0.35">
      <c r="A788" s="12">
        <v>3.875</v>
      </c>
      <c r="B788">
        <v>16.6875</v>
      </c>
      <c r="C788" s="12">
        <v>-0.17105439</v>
      </c>
      <c r="D788" s="12">
        <v>3.3239631999999998E-2</v>
      </c>
      <c r="E788" s="12">
        <v>0.82875721000000002</v>
      </c>
      <c r="F788" s="12">
        <v>2.6670945000000001E-2</v>
      </c>
      <c r="G788" s="12">
        <f t="shared" si="124"/>
        <v>2.33464516844144</v>
      </c>
      <c r="H788" s="12">
        <f t="shared" si="125"/>
        <v>0.49776904209541301</v>
      </c>
      <c r="I788" s="12">
        <f t="shared" si="126"/>
        <v>2.3345617494117401</v>
      </c>
      <c r="J788" s="12">
        <f t="shared" si="127"/>
        <v>0.49448411517855101</v>
      </c>
      <c r="K788" s="7">
        <f t="shared" si="128"/>
        <v>8.3419029699882699E-5</v>
      </c>
      <c r="L788" s="7">
        <f t="shared" si="129"/>
        <v>3.284926916862E-3</v>
      </c>
      <c r="M788" s="7">
        <f t="shared" si="130"/>
        <v>0.40995391807855303</v>
      </c>
      <c r="N788" s="7">
        <f t="shared" si="131"/>
        <v>-8.6832443175312607E-2</v>
      </c>
      <c r="O788" s="12">
        <v>-0.88491308999999996</v>
      </c>
      <c r="P788" s="12">
        <v>-5.4042661000000001</v>
      </c>
      <c r="Q788" s="12">
        <v>-9.9957107000000001</v>
      </c>
      <c r="R788" s="12">
        <v>-13.464498000000001</v>
      </c>
      <c r="S788" s="12">
        <f t="shared" si="132"/>
        <v>3.0621808917396707</v>
      </c>
      <c r="T788" s="12">
        <f t="shared" si="133"/>
        <v>-27.289997144885437</v>
      </c>
      <c r="U788" s="8"/>
      <c r="V788" s="8"/>
    </row>
    <row r="789" spans="1:22" x14ac:dyDescent="0.35">
      <c r="A789" s="10">
        <v>3.875</v>
      </c>
      <c r="B789">
        <v>16.75</v>
      </c>
      <c r="C789" s="10">
        <v>-0.16816998999999999</v>
      </c>
      <c r="D789" s="10">
        <v>4.0910504E-2</v>
      </c>
      <c r="E789" s="10">
        <v>0.83161664000000002</v>
      </c>
      <c r="F789" s="10">
        <v>3.4285546E-2</v>
      </c>
      <c r="G789" s="10">
        <f t="shared" si="124"/>
        <v>2.3300678948717</v>
      </c>
      <c r="H789" s="10">
        <f t="shared" si="125"/>
        <v>0.63396740461208101</v>
      </c>
      <c r="I789" s="10">
        <f t="shared" si="126"/>
        <v>2.32997217439801</v>
      </c>
      <c r="J789" s="10">
        <f t="shared" si="127"/>
        <v>0.63065425507666195</v>
      </c>
      <c r="K789" s="7">
        <f t="shared" si="128"/>
        <v>9.5720473689997503E-5</v>
      </c>
      <c r="L789" s="7">
        <f t="shared" si="129"/>
        <v>3.3131495354190598E-3</v>
      </c>
      <c r="M789" s="7">
        <f t="shared" si="130"/>
        <v>0.39989258125941801</v>
      </c>
      <c r="N789" s="7">
        <f t="shared" si="131"/>
        <v>-0.108239042816037</v>
      </c>
      <c r="O789" s="10">
        <v>-1.1236058</v>
      </c>
      <c r="P789" s="10">
        <v>-5.3009113000000001</v>
      </c>
      <c r="Q789" s="10">
        <v>-10.519062</v>
      </c>
      <c r="R789" s="10">
        <v>-12.867371</v>
      </c>
      <c r="S789" s="10">
        <f t="shared" si="132"/>
        <v>3.0671396642168749</v>
      </c>
      <c r="T789" s="10">
        <f t="shared" si="133"/>
        <v>-27.298413743601532</v>
      </c>
      <c r="U789" s="8"/>
      <c r="V789" s="8"/>
    </row>
    <row r="790" spans="1:22" x14ac:dyDescent="0.35">
      <c r="A790" s="12">
        <v>3.875</v>
      </c>
      <c r="B790">
        <v>16.8125</v>
      </c>
      <c r="C790" s="12">
        <v>-0.16471589</v>
      </c>
      <c r="D790" s="12">
        <v>4.8037115999999998E-2</v>
      </c>
      <c r="E790" s="12">
        <v>0.83530510999999996</v>
      </c>
      <c r="F790" s="12">
        <v>4.1428184999999999E-2</v>
      </c>
      <c r="G790" s="12">
        <f t="shared" si="124"/>
        <v>2.3271734348550699</v>
      </c>
      <c r="H790" s="12">
        <f t="shared" si="125"/>
        <v>0.76949250525538204</v>
      </c>
      <c r="I790" s="12">
        <f t="shared" si="126"/>
        <v>2.32719485377388</v>
      </c>
      <c r="J790" s="12">
        <f t="shared" si="127"/>
        <v>0.76618814522924095</v>
      </c>
      <c r="K790" s="7">
        <f t="shared" si="128"/>
        <v>-2.1418918810134402E-5</v>
      </c>
      <c r="L790" s="7">
        <f t="shared" si="129"/>
        <v>3.3043600261410998E-3</v>
      </c>
      <c r="M790" s="7">
        <f t="shared" si="130"/>
        <v>0.387679712276911</v>
      </c>
      <c r="N790" s="7">
        <f t="shared" si="131"/>
        <v>-0.12763675513065301</v>
      </c>
      <c r="O790" s="12">
        <v>-1.3448553999999999</v>
      </c>
      <c r="P790" s="12">
        <v>-5.1796537000000002</v>
      </c>
      <c r="Q790" s="12">
        <v>-10.969049999999999</v>
      </c>
      <c r="R790" s="12">
        <v>-12.245691000000001</v>
      </c>
      <c r="S790" s="12">
        <f t="shared" si="132"/>
        <v>3.0721144358879284</v>
      </c>
      <c r="T790" s="12">
        <f t="shared" si="133"/>
        <v>-27.297322715657195</v>
      </c>
      <c r="U790" s="8"/>
      <c r="V790" s="8"/>
    </row>
    <row r="791" spans="1:22" x14ac:dyDescent="0.35">
      <c r="A791" s="10">
        <v>3.875</v>
      </c>
      <c r="B791">
        <v>16.875</v>
      </c>
      <c r="C791" s="10">
        <v>-0.16084314999999999</v>
      </c>
      <c r="D791" s="10">
        <v>5.4538642999999998E-2</v>
      </c>
      <c r="E791" s="10">
        <v>0.83917428999999999</v>
      </c>
      <c r="F791" s="10">
        <v>4.7857012999999997E-2</v>
      </c>
      <c r="G791" s="10">
        <f t="shared" si="124"/>
        <v>2.3227429979247698</v>
      </c>
      <c r="H791" s="10">
        <f t="shared" si="125"/>
        <v>0.90022684055214797</v>
      </c>
      <c r="I791" s="10">
        <f t="shared" si="126"/>
        <v>2.3227628784770702</v>
      </c>
      <c r="J791" s="10">
        <f t="shared" si="127"/>
        <v>0.89688612110046895</v>
      </c>
      <c r="K791" s="7">
        <f t="shared" si="128"/>
        <v>-1.98805523003998E-5</v>
      </c>
      <c r="L791" s="7">
        <f t="shared" si="129"/>
        <v>3.3407194516790199E-3</v>
      </c>
      <c r="M791" s="7">
        <f t="shared" si="130"/>
        <v>0.37466140563941303</v>
      </c>
      <c r="N791" s="7">
        <f t="shared" si="131"/>
        <v>-0.14466763609133501</v>
      </c>
      <c r="O791" s="10">
        <v>-1.5447706000000001</v>
      </c>
      <c r="P791" s="10">
        <v>-5.0463417000000002</v>
      </c>
      <c r="Q791" s="10">
        <v>-11.34625</v>
      </c>
      <c r="R791" s="10">
        <v>-11.616922000000001</v>
      </c>
      <c r="S791" s="10">
        <f t="shared" si="132"/>
        <v>3.0769453687822064</v>
      </c>
      <c r="T791" s="10">
        <f t="shared" si="133"/>
        <v>-27.304437027602511</v>
      </c>
      <c r="U791" s="8"/>
      <c r="V791" s="8"/>
    </row>
    <row r="792" spans="1:22" x14ac:dyDescent="0.35">
      <c r="A792" s="12">
        <v>3.875</v>
      </c>
      <c r="B792">
        <v>16.9375</v>
      </c>
      <c r="C792" s="12">
        <v>-0.15663553</v>
      </c>
      <c r="D792" s="12">
        <v>6.0428953000000001E-2</v>
      </c>
      <c r="E792" s="12">
        <v>0.84337980999999995</v>
      </c>
      <c r="F792" s="12">
        <v>5.3674359999999997E-2</v>
      </c>
      <c r="G792" s="12">
        <f t="shared" si="124"/>
        <v>2.3183381869307902</v>
      </c>
      <c r="H792" s="12">
        <f t="shared" si="125"/>
        <v>1.0282710149968499</v>
      </c>
      <c r="I792" s="12">
        <f t="shared" si="126"/>
        <v>2.31835726261107</v>
      </c>
      <c r="J792" s="12">
        <f t="shared" si="127"/>
        <v>1.0248938088242501</v>
      </c>
      <c r="K792" s="7">
        <f t="shared" si="128"/>
        <v>-1.9075680279812001E-5</v>
      </c>
      <c r="L792" s="7">
        <f t="shared" si="129"/>
        <v>3.37720617259984E-3</v>
      </c>
      <c r="M792" s="7">
        <f t="shared" si="130"/>
        <v>0.36082327317365598</v>
      </c>
      <c r="N792" s="7">
        <f t="shared" si="131"/>
        <v>-0.15951188573019401</v>
      </c>
      <c r="O792" s="12">
        <v>-1.7246473</v>
      </c>
      <c r="P792" s="12">
        <v>-4.9031883000000001</v>
      </c>
      <c r="Q792" s="12">
        <v>-11.655426</v>
      </c>
      <c r="R792" s="12">
        <v>-10.987308000000001</v>
      </c>
      <c r="S792" s="12">
        <f t="shared" si="132"/>
        <v>3.0817331093359996</v>
      </c>
      <c r="T792" s="12">
        <f t="shared" si="133"/>
        <v>-27.311322013920964</v>
      </c>
      <c r="U792" s="8"/>
      <c r="V792" s="8"/>
    </row>
    <row r="793" spans="1:22" x14ac:dyDescent="0.35">
      <c r="A793" s="10">
        <v>3.875</v>
      </c>
      <c r="B793">
        <v>17</v>
      </c>
      <c r="C793" s="10">
        <v>-0.15218667</v>
      </c>
      <c r="D793" s="10">
        <v>6.5713184999999993E-2</v>
      </c>
      <c r="E793" s="10">
        <v>0.84784377</v>
      </c>
      <c r="F793" s="10">
        <v>5.8908653999999998E-2</v>
      </c>
      <c r="G793" s="10">
        <f t="shared" si="124"/>
        <v>2.3139325808312701</v>
      </c>
      <c r="H793" s="10">
        <f t="shared" si="125"/>
        <v>1.1539511142163601</v>
      </c>
      <c r="I793" s="10">
        <f t="shared" si="126"/>
        <v>2.3139593753476499</v>
      </c>
      <c r="J793" s="10">
        <f t="shared" si="127"/>
        <v>1.1505489916587199</v>
      </c>
      <c r="K793" s="7">
        <f t="shared" si="128"/>
        <v>-2.6794516379879999E-5</v>
      </c>
      <c r="L793" s="7">
        <f t="shared" si="129"/>
        <v>3.4021225576401598E-3</v>
      </c>
      <c r="M793" s="7">
        <f t="shared" si="130"/>
        <v>0.34649597692463302</v>
      </c>
      <c r="N793" s="7">
        <f t="shared" si="131"/>
        <v>-0.17228504575822301</v>
      </c>
      <c r="O793" s="10">
        <v>-1.8848284</v>
      </c>
      <c r="P793" s="10">
        <v>-4.7536974000000001</v>
      </c>
      <c r="Q793" s="10">
        <v>-11.901923</v>
      </c>
      <c r="R793" s="10">
        <v>-10.364330000000001</v>
      </c>
      <c r="S793" s="10">
        <f t="shared" si="132"/>
        <v>3.086224496254431</v>
      </c>
      <c r="T793" s="10">
        <f t="shared" si="133"/>
        <v>-27.322086483181266</v>
      </c>
      <c r="U793" s="8"/>
      <c r="V793" s="8"/>
    </row>
    <row r="794" spans="1:22" x14ac:dyDescent="0.35">
      <c r="A794" s="12">
        <v>4</v>
      </c>
      <c r="B794">
        <v>15.0625</v>
      </c>
      <c r="C794" s="12">
        <v>-5.8949952999999999E-2</v>
      </c>
      <c r="D794" s="12">
        <v>-8.0983050000000001E-2</v>
      </c>
      <c r="E794" s="12">
        <v>0.94098046000000002</v>
      </c>
      <c r="F794" s="12">
        <v>-8.6044205999999998E-2</v>
      </c>
      <c r="G794" s="12">
        <f t="shared" si="124"/>
        <v>2.3212448428432202</v>
      </c>
      <c r="H794" s="12">
        <f t="shared" si="125"/>
        <v>-3.9931776149744298</v>
      </c>
      <c r="I794" s="12">
        <f t="shared" si="126"/>
        <v>2.32121645258507</v>
      </c>
      <c r="J794" s="12">
        <f t="shared" si="127"/>
        <v>-3.9957083528714299</v>
      </c>
      <c r="K794" s="7">
        <f t="shared" si="128"/>
        <v>2.83902581501572E-5</v>
      </c>
      <c r="L794" s="7">
        <f t="shared" si="129"/>
        <v>2.53073789700009E-3</v>
      </c>
      <c r="M794" s="7">
        <f t="shared" si="130"/>
        <v>0.108703085468237</v>
      </c>
      <c r="N794" s="7">
        <f t="shared" si="131"/>
        <v>0.18711991555316301</v>
      </c>
      <c r="O794" s="12">
        <v>2.8134310999999999</v>
      </c>
      <c r="P794" s="12">
        <v>-1.9381645999999999</v>
      </c>
      <c r="Q794" s="12">
        <v>4.7198789000000003</v>
      </c>
      <c r="R794" s="12">
        <v>-8.7288686000000002</v>
      </c>
      <c r="S794" s="12">
        <f t="shared" si="132"/>
        <v>2.9045744743493511</v>
      </c>
      <c r="T794" s="12">
        <f t="shared" si="133"/>
        <v>-27.036153420609551</v>
      </c>
      <c r="U794" s="8"/>
      <c r="V794" s="8"/>
    </row>
    <row r="795" spans="1:22" x14ac:dyDescent="0.35">
      <c r="A795" s="10">
        <v>4</v>
      </c>
      <c r="B795">
        <v>15.125</v>
      </c>
      <c r="C795" s="10">
        <v>-6.3373401999999995E-2</v>
      </c>
      <c r="D795" s="10">
        <v>-8.2509043000000004E-2</v>
      </c>
      <c r="E795" s="10">
        <v>0.93655027000000002</v>
      </c>
      <c r="F795" s="10">
        <v>-8.762172E-2</v>
      </c>
      <c r="G795" s="10">
        <f t="shared" si="124"/>
        <v>2.3165186365536101</v>
      </c>
      <c r="H795" s="10">
        <f t="shared" si="125"/>
        <v>-3.7770054542633398</v>
      </c>
      <c r="I795" s="10">
        <f t="shared" si="126"/>
        <v>2.3164870066691399</v>
      </c>
      <c r="J795" s="10">
        <f t="shared" si="127"/>
        <v>-3.7795619711869599</v>
      </c>
      <c r="K795" s="7">
        <f t="shared" si="128"/>
        <v>3.1629884470252299E-5</v>
      </c>
      <c r="L795" s="7">
        <f t="shared" si="129"/>
        <v>2.55651692362013E-3</v>
      </c>
      <c r="M795" s="7">
        <f t="shared" si="130"/>
        <v>0.117880176208965</v>
      </c>
      <c r="N795" s="7">
        <f t="shared" si="131"/>
        <v>0.192332367880126</v>
      </c>
      <c r="O795" s="10">
        <v>2.8548415</v>
      </c>
      <c r="P795" s="10">
        <v>-2.0769277000000002</v>
      </c>
      <c r="Q795" s="10">
        <v>4.6548613000000003</v>
      </c>
      <c r="R795" s="10">
        <v>-9.1685715999999999</v>
      </c>
      <c r="S795" s="10">
        <f t="shared" si="132"/>
        <v>2.9125653345337246</v>
      </c>
      <c r="T795" s="10">
        <f t="shared" si="133"/>
        <v>-27.046916971167054</v>
      </c>
      <c r="U795" s="8"/>
      <c r="V795" s="8"/>
    </row>
    <row r="796" spans="1:22" x14ac:dyDescent="0.35">
      <c r="A796" s="12">
        <v>4</v>
      </c>
      <c r="B796">
        <v>15.1875</v>
      </c>
      <c r="C796" s="12">
        <v>-6.8109323999999999E-2</v>
      </c>
      <c r="D796" s="12">
        <v>-8.3871090999999995E-2</v>
      </c>
      <c r="E796" s="12">
        <v>0.93180812000000002</v>
      </c>
      <c r="F796" s="12">
        <v>-8.9036932999999999E-2</v>
      </c>
      <c r="G796" s="12">
        <f t="shared" si="124"/>
        <v>2.3117890062357498</v>
      </c>
      <c r="H796" s="12">
        <f t="shared" si="125"/>
        <v>-3.5656460381776101</v>
      </c>
      <c r="I796" s="12">
        <f t="shared" si="126"/>
        <v>2.3117543987943998</v>
      </c>
      <c r="J796" s="12">
        <f t="shared" si="127"/>
        <v>-3.5682291551918</v>
      </c>
      <c r="K796" s="7">
        <f t="shared" si="128"/>
        <v>3.4607441349976398E-5</v>
      </c>
      <c r="L796" s="7">
        <f t="shared" si="129"/>
        <v>2.5831170141898999E-3</v>
      </c>
      <c r="M796" s="7">
        <f t="shared" si="130"/>
        <v>0.12788750748265401</v>
      </c>
      <c r="N796" s="7">
        <f t="shared" si="131"/>
        <v>0.19739637265204199</v>
      </c>
      <c r="O796" s="12">
        <v>2.8913676000000001</v>
      </c>
      <c r="P796" s="12">
        <v>-2.2254133999999999</v>
      </c>
      <c r="Q796" s="12">
        <v>4.5625426999999998</v>
      </c>
      <c r="R796" s="12">
        <v>-9.6272207000000005</v>
      </c>
      <c r="S796" s="12">
        <f t="shared" si="132"/>
        <v>2.9199063351341756</v>
      </c>
      <c r="T796" s="12">
        <f t="shared" si="133"/>
        <v>-27.058161439967513</v>
      </c>
      <c r="U796" s="8"/>
      <c r="V796" s="8"/>
    </row>
    <row r="797" spans="1:22" x14ac:dyDescent="0.35">
      <c r="A797" s="10">
        <v>4</v>
      </c>
      <c r="B797">
        <v>15.25</v>
      </c>
      <c r="C797" s="10">
        <v>-7.3173219999999997E-2</v>
      </c>
      <c r="D797" s="10">
        <v>-8.5030434000000002E-2</v>
      </c>
      <c r="E797" s="10">
        <v>0.92673844000000005</v>
      </c>
      <c r="F797" s="10">
        <v>-9.0250494000000001E-2</v>
      </c>
      <c r="G797" s="10">
        <f t="shared" si="124"/>
        <v>2.3070815227691202</v>
      </c>
      <c r="H797" s="10">
        <f t="shared" si="125"/>
        <v>-3.3587202778703298</v>
      </c>
      <c r="I797" s="10">
        <f t="shared" si="126"/>
        <v>2.3070441639310002</v>
      </c>
      <c r="J797" s="10">
        <f t="shared" si="127"/>
        <v>-3.3613305206724502</v>
      </c>
      <c r="K797" s="7">
        <f t="shared" si="128"/>
        <v>3.7358838119949701E-5</v>
      </c>
      <c r="L797" s="7">
        <f t="shared" si="129"/>
        <v>2.6102428021204101E-3</v>
      </c>
      <c r="M797" s="7">
        <f t="shared" si="130"/>
        <v>0.13880300635472201</v>
      </c>
      <c r="N797" s="7">
        <f t="shared" si="131"/>
        <v>0.20223400527636001</v>
      </c>
      <c r="O797" s="10">
        <v>2.9216163000000002</v>
      </c>
      <c r="P797" s="10">
        <v>-2.3840631000000001</v>
      </c>
      <c r="Q797" s="10">
        <v>4.4388769999999997</v>
      </c>
      <c r="R797" s="10">
        <v>-10.104357</v>
      </c>
      <c r="S797" s="10">
        <f t="shared" si="132"/>
        <v>2.926731844611544</v>
      </c>
      <c r="T797" s="10">
        <f t="shared" si="133"/>
        <v>-27.069229198907045</v>
      </c>
      <c r="U797" s="8"/>
      <c r="V797" s="8"/>
    </row>
    <row r="798" spans="1:22" x14ac:dyDescent="0.35">
      <c r="A798" s="12">
        <v>4</v>
      </c>
      <c r="B798">
        <v>15.3125</v>
      </c>
      <c r="C798" s="12">
        <v>-7.8574701999999996E-2</v>
      </c>
      <c r="D798" s="12">
        <v>-8.5941453000000001E-2</v>
      </c>
      <c r="E798" s="12">
        <v>0.92133145999999999</v>
      </c>
      <c r="F798" s="12">
        <v>-9.1216574999999994E-2</v>
      </c>
      <c r="G798" s="12">
        <f t="shared" si="124"/>
        <v>2.3024101033831599</v>
      </c>
      <c r="H798" s="12">
        <f t="shared" si="125"/>
        <v>-3.1559926772084101</v>
      </c>
      <c r="I798" s="12">
        <f t="shared" si="126"/>
        <v>2.30237013984059</v>
      </c>
      <c r="J798" s="12">
        <f t="shared" si="127"/>
        <v>-3.1586304673771801</v>
      </c>
      <c r="K798" s="7">
        <f t="shared" si="128"/>
        <v>3.99635425698541E-5</v>
      </c>
      <c r="L798" s="7">
        <f t="shared" si="129"/>
        <v>2.6377901687699699E-3</v>
      </c>
      <c r="M798" s="7">
        <f t="shared" si="130"/>
        <v>0.15069983230737599</v>
      </c>
      <c r="N798" s="7">
        <f t="shared" si="131"/>
        <v>0.20674568068697499</v>
      </c>
      <c r="O798" s="12">
        <v>2.9438449000000002</v>
      </c>
      <c r="P798" s="12">
        <v>-2.5529280999999999</v>
      </c>
      <c r="Q798" s="12">
        <v>4.2795477000000002</v>
      </c>
      <c r="R798" s="12">
        <v>-10.598761</v>
      </c>
      <c r="S798" s="12">
        <f t="shared" si="132"/>
        <v>2.9333475238404443</v>
      </c>
      <c r="T798" s="12">
        <f t="shared" si="133"/>
        <v>-27.080106301754334</v>
      </c>
      <c r="U798" s="8"/>
      <c r="V798" s="8"/>
    </row>
    <row r="799" spans="1:22" x14ac:dyDescent="0.35">
      <c r="A799" s="10">
        <v>4</v>
      </c>
      <c r="B799">
        <v>15.375</v>
      </c>
      <c r="C799" s="10">
        <v>-8.4317050000000004E-2</v>
      </c>
      <c r="D799" s="10">
        <v>-8.6552331999999996E-2</v>
      </c>
      <c r="E799" s="10">
        <v>0.91558368999999995</v>
      </c>
      <c r="F799" s="10">
        <v>-9.1883219000000002E-2</v>
      </c>
      <c r="G799" s="10">
        <f t="shared" si="124"/>
        <v>2.2977798614536402</v>
      </c>
      <c r="H799" s="10">
        <f t="shared" si="125"/>
        <v>-2.9572972508764401</v>
      </c>
      <c r="I799" s="10">
        <f t="shared" si="126"/>
        <v>2.2977373345868499</v>
      </c>
      <c r="J799" s="10">
        <f t="shared" si="127"/>
        <v>-2.95996294002755</v>
      </c>
      <c r="K799" s="7">
        <f t="shared" si="128"/>
        <v>4.2526866790293403E-5</v>
      </c>
      <c r="L799" s="7">
        <f t="shared" si="129"/>
        <v>2.66568915110987E-3</v>
      </c>
      <c r="M799" s="7">
        <f t="shared" si="130"/>
        <v>0.16364511233634299</v>
      </c>
      <c r="N799" s="7">
        <f t="shared" si="131"/>
        <v>0.21080889470741701</v>
      </c>
      <c r="O799" s="10">
        <v>2.9564319999999999</v>
      </c>
      <c r="P799" s="10">
        <v>-2.7320665000000002</v>
      </c>
      <c r="Q799" s="10">
        <v>4.0800416999999998</v>
      </c>
      <c r="R799" s="10">
        <v>-11.108404</v>
      </c>
      <c r="S799" s="10">
        <f t="shared" si="132"/>
        <v>2.9397547111469997</v>
      </c>
      <c r="T799" s="10">
        <f t="shared" si="133"/>
        <v>-27.090744282321225</v>
      </c>
      <c r="U799" s="8"/>
      <c r="V799" s="8"/>
    </row>
    <row r="800" spans="1:22" x14ac:dyDescent="0.35">
      <c r="A800" s="12">
        <v>4</v>
      </c>
      <c r="B800">
        <v>15.4375</v>
      </c>
      <c r="C800" s="12">
        <v>-9.0396017999999995E-2</v>
      </c>
      <c r="D800" s="12">
        <v>-8.6805472999999994E-2</v>
      </c>
      <c r="E800" s="12">
        <v>0.90949932</v>
      </c>
      <c r="F800" s="12">
        <v>-9.2192739999999995E-2</v>
      </c>
      <c r="G800" s="12">
        <f t="shared" si="124"/>
        <v>2.2931910602165502</v>
      </c>
      <c r="H800" s="12">
        <f t="shared" si="125"/>
        <v>-2.7625076692105002</v>
      </c>
      <c r="I800" s="12">
        <f t="shared" si="126"/>
        <v>2.2931459832258501</v>
      </c>
      <c r="J800" s="12">
        <f t="shared" si="127"/>
        <v>-2.7652015651056598</v>
      </c>
      <c r="K800" s="7">
        <f t="shared" si="128"/>
        <v>4.50769907001103E-5</v>
      </c>
      <c r="L800" s="7">
        <f t="shared" si="129"/>
        <v>2.6938958951596699E-3</v>
      </c>
      <c r="M800" s="7">
        <f t="shared" si="130"/>
        <v>0.17769633330245899</v>
      </c>
      <c r="N800" s="7">
        <f t="shared" si="131"/>
        <v>0.21427601319575501</v>
      </c>
      <c r="O800" s="12">
        <v>2.9573163</v>
      </c>
      <c r="P800" s="12">
        <v>-2.9210156</v>
      </c>
      <c r="Q800" s="12">
        <v>3.8357079000000001</v>
      </c>
      <c r="R800" s="12">
        <v>-11.6304</v>
      </c>
      <c r="S800" s="12">
        <f t="shared" si="132"/>
        <v>2.9462367115690005</v>
      </c>
      <c r="T800" s="12">
        <f t="shared" si="133"/>
        <v>-27.101252119901361</v>
      </c>
      <c r="U800" s="8"/>
      <c r="V800" s="8"/>
    </row>
    <row r="801" spans="1:22" x14ac:dyDescent="0.35">
      <c r="A801" s="10">
        <v>4</v>
      </c>
      <c r="B801">
        <v>15.5</v>
      </c>
      <c r="C801" s="10">
        <v>-9.6798221000000004E-2</v>
      </c>
      <c r="D801" s="10">
        <v>-8.6638185000000006E-2</v>
      </c>
      <c r="E801" s="10">
        <v>0.90309185000000003</v>
      </c>
      <c r="F801" s="10">
        <v>-9.2082465000000002E-2</v>
      </c>
      <c r="G801" s="10">
        <f t="shared" si="124"/>
        <v>2.2886412101500602</v>
      </c>
      <c r="H801" s="10">
        <f t="shared" si="125"/>
        <v>-2.5715201958246698</v>
      </c>
      <c r="I801" s="10">
        <f t="shared" si="126"/>
        <v>2.2885936538420699</v>
      </c>
      <c r="J801" s="10">
        <f t="shared" si="127"/>
        <v>-2.57424261491601</v>
      </c>
      <c r="K801" s="7">
        <f t="shared" si="128"/>
        <v>4.7556307990248597E-5</v>
      </c>
      <c r="L801" s="7">
        <f t="shared" si="129"/>
        <v>2.72241909134019E-3</v>
      </c>
      <c r="M801" s="7">
        <f t="shared" si="130"/>
        <v>0.19289608943404199</v>
      </c>
      <c r="N801" s="7">
        <f t="shared" si="131"/>
        <v>0.21697225841649101</v>
      </c>
      <c r="O801" s="10">
        <v>2.9447093</v>
      </c>
      <c r="P801" s="10">
        <v>-3.1193960999999999</v>
      </c>
      <c r="Q801" s="10">
        <v>3.5418652000000002</v>
      </c>
      <c r="R801" s="10">
        <v>-12.160779</v>
      </c>
      <c r="S801" s="10">
        <f t="shared" si="132"/>
        <v>2.952636987418368</v>
      </c>
      <c r="T801" s="10">
        <f t="shared" si="133"/>
        <v>-27.111587521042114</v>
      </c>
      <c r="U801" s="8"/>
      <c r="V801" s="8"/>
    </row>
    <row r="802" spans="1:22" x14ac:dyDescent="0.35">
      <c r="A802" s="12">
        <v>4</v>
      </c>
      <c r="B802">
        <v>15.5625</v>
      </c>
      <c r="C802" s="12">
        <v>-0.10349927</v>
      </c>
      <c r="D802" s="12">
        <v>-8.5983812000000007E-2</v>
      </c>
      <c r="E802" s="12">
        <v>0.89638578999999996</v>
      </c>
      <c r="F802" s="12">
        <v>-9.1485840999999998E-2</v>
      </c>
      <c r="G802" s="12">
        <f t="shared" si="124"/>
        <v>2.2841274342608302</v>
      </c>
      <c r="H802" s="12">
        <f t="shared" si="125"/>
        <v>-2.3842426130887602</v>
      </c>
      <c r="I802" s="12">
        <f t="shared" si="126"/>
        <v>2.2840775302863001</v>
      </c>
      <c r="J802" s="12">
        <f t="shared" si="127"/>
        <v>-2.3869939229931001</v>
      </c>
      <c r="K802" s="7">
        <f t="shared" si="128"/>
        <v>4.9903974530085501E-5</v>
      </c>
      <c r="L802" s="7">
        <f t="shared" si="129"/>
        <v>2.7513099043399202E-3</v>
      </c>
      <c r="M802" s="7">
        <f t="shared" si="130"/>
        <v>0.20926521434920201</v>
      </c>
      <c r="N802" s="7">
        <f t="shared" si="131"/>
        <v>0.21869432553052701</v>
      </c>
      <c r="O802" s="12">
        <v>2.9165730000000001</v>
      </c>
      <c r="P802" s="12">
        <v>-3.3263514000000001</v>
      </c>
      <c r="Q802" s="12">
        <v>3.1940181000000001</v>
      </c>
      <c r="R802" s="12">
        <v>-12.694585</v>
      </c>
      <c r="S802" s="12">
        <f t="shared" si="132"/>
        <v>2.9589715478084875</v>
      </c>
      <c r="T802" s="12">
        <f t="shared" si="133"/>
        <v>-27.121809430415311</v>
      </c>
      <c r="U802" s="8"/>
      <c r="V802" s="8"/>
    </row>
    <row r="803" spans="1:22" x14ac:dyDescent="0.35">
      <c r="A803" s="10">
        <v>4</v>
      </c>
      <c r="B803">
        <v>15.625</v>
      </c>
      <c r="C803" s="10">
        <v>-0.11046179</v>
      </c>
      <c r="D803" s="10">
        <v>-8.4773485999999995E-2</v>
      </c>
      <c r="E803" s="10">
        <v>0.88941855999999997</v>
      </c>
      <c r="F803" s="10">
        <v>-9.0334081999999996E-2</v>
      </c>
      <c r="G803" s="10">
        <f t="shared" si="124"/>
        <v>2.2796479138664898</v>
      </c>
      <c r="H803" s="10">
        <f t="shared" si="125"/>
        <v>-2.2005899360407</v>
      </c>
      <c r="I803" s="10">
        <f t="shared" si="126"/>
        <v>2.2795958166719599</v>
      </c>
      <c r="J803" s="10">
        <f t="shared" si="127"/>
        <v>-2.2033705452363699</v>
      </c>
      <c r="K803" s="7">
        <f t="shared" si="128"/>
        <v>5.2097194529920898E-5</v>
      </c>
      <c r="L803" s="7">
        <f t="shared" si="129"/>
        <v>2.7806091956699098E-3</v>
      </c>
      <c r="M803" s="7">
        <f t="shared" si="130"/>
        <v>0.22679388723605801</v>
      </c>
      <c r="N803" s="7">
        <f t="shared" si="131"/>
        <v>0.219210338657811</v>
      </c>
      <c r="O803" s="10">
        <v>2.8708224000000002</v>
      </c>
      <c r="P803" s="10">
        <v>-3.5406214999999999</v>
      </c>
      <c r="Q803" s="10">
        <v>2.7880482999999998</v>
      </c>
      <c r="R803" s="10">
        <v>-13.225562</v>
      </c>
      <c r="S803" s="10">
        <f t="shared" si="132"/>
        <v>2.9652268764806893</v>
      </c>
      <c r="T803" s="10">
        <f t="shared" si="133"/>
        <v>-27.131896868313959</v>
      </c>
      <c r="U803" s="8"/>
      <c r="V803" s="8"/>
    </row>
    <row r="804" spans="1:22" x14ac:dyDescent="0.35">
      <c r="A804" s="12">
        <v>4</v>
      </c>
      <c r="B804">
        <v>15.6875</v>
      </c>
      <c r="C804" s="12">
        <v>-0.11763364</v>
      </c>
      <c r="D804" s="12">
        <v>-8.2938593000000005E-2</v>
      </c>
      <c r="E804" s="12">
        <v>0.88224228999999998</v>
      </c>
      <c r="F804" s="12">
        <v>-8.8558617000000006E-2</v>
      </c>
      <c r="G804" s="12">
        <f t="shared" si="124"/>
        <v>2.2752014812902801</v>
      </c>
      <c r="H804" s="12">
        <f t="shared" si="125"/>
        <v>-2.0204816532401102</v>
      </c>
      <c r="I804" s="12">
        <f t="shared" si="126"/>
        <v>2.2751473400164799</v>
      </c>
      <c r="J804" s="12">
        <f t="shared" si="127"/>
        <v>-2.0232919917170902</v>
      </c>
      <c r="K804" s="7">
        <f t="shared" si="128"/>
        <v>5.4141273800212302E-5</v>
      </c>
      <c r="L804" s="7">
        <f t="shared" si="129"/>
        <v>2.8103384769799802E-3</v>
      </c>
      <c r="M804" s="7">
        <f t="shared" si="130"/>
        <v>0.245431056240795</v>
      </c>
      <c r="N804" s="7">
        <f t="shared" si="131"/>
        <v>0.21826221180342101</v>
      </c>
      <c r="O804" s="12">
        <v>2.8053385</v>
      </c>
      <c r="P804" s="12">
        <v>-3.7604009999999999</v>
      </c>
      <c r="Q804" s="12">
        <v>2.3205526999999999</v>
      </c>
      <c r="R804" s="12">
        <v>-13.746409</v>
      </c>
      <c r="S804" s="12">
        <f t="shared" si="132"/>
        <v>2.9714984056615732</v>
      </c>
      <c r="T804" s="12">
        <f t="shared" si="133"/>
        <v>-27.141863232619684</v>
      </c>
      <c r="U804" s="8"/>
      <c r="V804" s="8"/>
    </row>
    <row r="805" spans="1:22" x14ac:dyDescent="0.35">
      <c r="A805" s="10">
        <v>4</v>
      </c>
      <c r="B805">
        <v>15.75</v>
      </c>
      <c r="C805" s="10">
        <v>-0.12494644000000001</v>
      </c>
      <c r="D805" s="10">
        <v>-8.0414018000000004E-2</v>
      </c>
      <c r="E805" s="10">
        <v>0.87492526000000004</v>
      </c>
      <c r="F805" s="10">
        <v>-8.6094311000000007E-2</v>
      </c>
      <c r="G805" s="10">
        <f t="shared" ref="G805:G868" si="134">IMREAL(IMDIV(IMSUM(IMPRODUCT(COMPLEX(1 + C805,D805),COMPLEX(1 - C805, - D805)),IMPRODUCT(COMPLEX(E805,F805),COMPLEX(E805,F805))),IMSUB(IMPRODUCT(COMPLEX(1 - C805, - D805),COMPLEX(1 - C805, - D805)),IMPRODUCT(COMPLEX(E805,F805),COMPLEX(E805,F805)))))</f>
        <v>2.27078748839067</v>
      </c>
      <c r="H805" s="10">
        <f t="shared" ref="H805:H868" si="135">IMAGINARY(IMDIV(IMSUM(IMPRODUCT(COMPLEX(1 + C805,D805),COMPLEX(1 - C805, - D805)),IMPRODUCT(COMPLEX(E805,F805),COMPLEX(E805,F805))),IMSUB(IMPRODUCT(COMPLEX(1 - C805, - D805),COMPLEX(1 - C805, - D805)),IMPRODUCT(COMPLEX(E805,F805),COMPLEX(E805,F805)))))</f>
        <v>-1.84384152660428</v>
      </c>
      <c r="I805" s="10">
        <f t="shared" ref="I805:I868" si="136">IMREAL(IMDIV(IMPRODUCT(COMPLEX(2,0),COMPLEX(E805,F805)),IMSUB(IMPRODUCT(COMPLEX(1 - C805, - D805),COMPLEX(1 - C805, - D805)),IMPRODUCT(COMPLEX(E805,F805),COMPLEX(E805,F805)))))</f>
        <v>2.2707314021948299</v>
      </c>
      <c r="J805" s="10">
        <f t="shared" ref="J805:J868" si="137">IMAGINARY(IMDIV(IMPRODUCT(COMPLEX(2,0),COMPLEX(E805,F805)),IMSUB(IMPRODUCT(COMPLEX(1 - C805, - D805),COMPLEX(1 - C805, - D805)),IMPRODUCT(COMPLEX(E805,F805),COMPLEX(E805,F805)))))</f>
        <v>-1.8466820146145999</v>
      </c>
      <c r="K805" s="7">
        <f t="shared" ref="K805:K868" si="138">IMREAL(IMSUB(COMPLEX(G805,H805),COMPLEX(I805,J805)))</f>
        <v>5.6086195840077097E-5</v>
      </c>
      <c r="L805" s="7">
        <f t="shared" ref="L805:L868" si="139">IMAGINARY(IMSUB(COMPLEX(G805,H805),COMPLEX(I805,J805)))</f>
        <v>2.8404880103198899E-3</v>
      </c>
      <c r="M805" s="7">
        <f t="shared" ref="M805:M868" si="140">IMREAL(IMDIV(IMSUB(IMPRODUCT(COMPLEX(1 - C805, - D805),COMPLEX(1 - C805, - D805)),IMPRODUCT(COMPLEX(E805,F805),COMPLEX(E805,F805))),IMPRODUCT(COMPLEX(2,0),COMPLEX(E805,F805))))</f>
        <v>0.26507245443886102</v>
      </c>
      <c r="N805" s="7">
        <f t="shared" ref="N805:N868" si="141">IMAGINARY(IMDIV(IMSUB(IMPRODUCT(COMPLEX(1 - C805, - D805),COMPLEX(1 - C805, - D805)),IMPRODUCT(COMPLEX(E805,F805),COMPLEX(E805,F805))),IMPRODUCT(COMPLEX(2,0),COMPLEX(E805,F805))))</f>
        <v>0.21557130610377501</v>
      </c>
      <c r="O805" s="10">
        <v>2.7183313999999998</v>
      </c>
      <c r="P805" s="10">
        <v>-3.9836472000000001</v>
      </c>
      <c r="Q805" s="10">
        <v>1.7890855000000001</v>
      </c>
      <c r="R805" s="10">
        <v>-14.248384</v>
      </c>
      <c r="S805" s="10">
        <f t="shared" ref="S805:S868" si="142">IMABS(COMPLEX(Q805,R805))/IMABS(COMPLEX(O805,P805))</f>
        <v>2.9776191064789348</v>
      </c>
      <c r="T805" s="10">
        <f t="shared" ref="T805:T868" si="143">IMARGUMENT(IMDIV(COMPLEX(Q805,R805),COMPLEX(O805/B805,P805/B805)))/PI()*180</f>
        <v>-27.151716060408482</v>
      </c>
      <c r="U805" s="8"/>
      <c r="V805" s="8"/>
    </row>
    <row r="806" spans="1:22" x14ac:dyDescent="0.35">
      <c r="A806" s="12">
        <v>4</v>
      </c>
      <c r="B806">
        <v>15.8125</v>
      </c>
      <c r="C806" s="12">
        <v>-0.13231488</v>
      </c>
      <c r="D806" s="12">
        <v>-7.7142155000000004E-2</v>
      </c>
      <c r="E806" s="12">
        <v>0.86755269000000002</v>
      </c>
      <c r="F806" s="12">
        <v>-8.2883459000000007E-2</v>
      </c>
      <c r="G806" s="12">
        <f t="shared" si="134"/>
        <v>2.2664055014583102</v>
      </c>
      <c r="H806" s="12">
        <f t="shared" si="135"/>
        <v>-1.67059742470691</v>
      </c>
      <c r="I806" s="12">
        <f t="shared" si="136"/>
        <v>2.26634752428575</v>
      </c>
      <c r="J806" s="12">
        <f t="shared" si="137"/>
        <v>-1.6734684332430201</v>
      </c>
      <c r="K806" s="7">
        <f t="shared" si="138"/>
        <v>5.7977172560175198E-5</v>
      </c>
      <c r="L806" s="7">
        <f t="shared" si="139"/>
        <v>2.8710085361101098E-3</v>
      </c>
      <c r="M806" s="7">
        <f t="shared" si="140"/>
        <v>0.28554828333822302</v>
      </c>
      <c r="N806" s="7">
        <f t="shared" si="141"/>
        <v>0.21084852751514699</v>
      </c>
      <c r="O806" s="12">
        <v>2.6080684999999999</v>
      </c>
      <c r="P806" s="12">
        <v>-4.2075458000000001</v>
      </c>
      <c r="Q806" s="12">
        <v>1.1926270000000001</v>
      </c>
      <c r="R806" s="12">
        <v>-14.721864999999999</v>
      </c>
      <c r="S806" s="12">
        <f t="shared" si="142"/>
        <v>2.9836769205991081</v>
      </c>
      <c r="T806" s="12">
        <f t="shared" si="143"/>
        <v>-27.161462250048007</v>
      </c>
      <c r="U806" s="8"/>
      <c r="V806" s="8"/>
    </row>
    <row r="807" spans="1:22" x14ac:dyDescent="0.35">
      <c r="A807" s="10">
        <v>4</v>
      </c>
      <c r="B807">
        <v>15.875</v>
      </c>
      <c r="C807" s="10">
        <v>-0.13963703999999999</v>
      </c>
      <c r="D807" s="10">
        <v>-7.3077501000000003E-2</v>
      </c>
      <c r="E807" s="10">
        <v>0.86022644000000004</v>
      </c>
      <c r="F807" s="10">
        <v>-7.8880434999999999E-2</v>
      </c>
      <c r="G807" s="10">
        <f t="shared" si="134"/>
        <v>2.2620550635990901</v>
      </c>
      <c r="H807" s="10">
        <f t="shared" si="135"/>
        <v>-1.50068121041729</v>
      </c>
      <c r="I807" s="10">
        <f t="shared" si="136"/>
        <v>2.2619952191033801</v>
      </c>
      <c r="J807" s="10">
        <f t="shared" si="137"/>
        <v>-1.5035830491336299</v>
      </c>
      <c r="K807" s="7">
        <f t="shared" si="138"/>
        <v>5.9844495710059702E-5</v>
      </c>
      <c r="L807" s="7">
        <f t="shared" si="139"/>
        <v>2.9018387163399799E-3</v>
      </c>
      <c r="M807" s="7">
        <f t="shared" si="140"/>
        <v>0.30661208765560299</v>
      </c>
      <c r="N807" s="7">
        <f t="shared" si="141"/>
        <v>0.203809775442929</v>
      </c>
      <c r="O807" s="10">
        <v>2.4733390000000002</v>
      </c>
      <c r="P807" s="10">
        <v>-4.4289695</v>
      </c>
      <c r="Q807" s="10">
        <v>0.53188669</v>
      </c>
      <c r="R807" s="10">
        <v>-15.156211000000001</v>
      </c>
      <c r="S807" s="10">
        <f t="shared" si="142"/>
        <v>2.9895870825866444</v>
      </c>
      <c r="T807" s="10">
        <f t="shared" si="143"/>
        <v>-27.171094285953405</v>
      </c>
      <c r="U807" s="8"/>
      <c r="V807" s="8"/>
    </row>
    <row r="808" spans="1:22" x14ac:dyDescent="0.35">
      <c r="A808" s="12">
        <v>4</v>
      </c>
      <c r="B808">
        <v>15.9375</v>
      </c>
      <c r="C808" s="12">
        <v>-0.14679642000000001</v>
      </c>
      <c r="D808" s="12">
        <v>-6.8191365000000004E-2</v>
      </c>
      <c r="E808" s="12">
        <v>0.85306309999999996</v>
      </c>
      <c r="F808" s="12">
        <v>-7.4056466000000001E-2</v>
      </c>
      <c r="G808" s="12">
        <f t="shared" si="134"/>
        <v>2.2577351921073001</v>
      </c>
      <c r="H808" s="12">
        <f t="shared" si="135"/>
        <v>-1.3340220119772199</v>
      </c>
      <c r="I808" s="12">
        <f t="shared" si="136"/>
        <v>2.2576735487641599</v>
      </c>
      <c r="J808" s="12">
        <f t="shared" si="137"/>
        <v>-1.3369549492589501</v>
      </c>
      <c r="K808" s="7">
        <f t="shared" si="138"/>
        <v>6.1643343140182995E-5</v>
      </c>
      <c r="L808" s="7">
        <f t="shared" si="139"/>
        <v>2.9329372817301601E-3</v>
      </c>
      <c r="M808" s="7">
        <f t="shared" si="140"/>
        <v>0.32793390364797598</v>
      </c>
      <c r="N808" s="7">
        <f t="shared" si="141"/>
        <v>0.19419674547366</v>
      </c>
      <c r="O808" s="12">
        <v>2.3133062999999998</v>
      </c>
      <c r="P808" s="12">
        <v>-4.6440665000000001</v>
      </c>
      <c r="Q808" s="12">
        <v>-0.19034645</v>
      </c>
      <c r="R808" s="12">
        <v>-15.540523</v>
      </c>
      <c r="S808" s="12">
        <f t="shared" si="142"/>
        <v>2.9955104824251553</v>
      </c>
      <c r="T808" s="12">
        <f t="shared" si="143"/>
        <v>-27.180598236022274</v>
      </c>
      <c r="U808" s="8"/>
      <c r="V808" s="8"/>
    </row>
    <row r="809" spans="1:22" x14ac:dyDescent="0.35">
      <c r="A809" s="10">
        <v>4</v>
      </c>
      <c r="B809">
        <v>16</v>
      </c>
      <c r="C809" s="10">
        <v>-0.15366474999999999</v>
      </c>
      <c r="D809" s="10">
        <v>-6.2476803999999997E-2</v>
      </c>
      <c r="E809" s="10">
        <v>0.84619109000000003</v>
      </c>
      <c r="F809" s="10">
        <v>-6.8404654999999995E-2</v>
      </c>
      <c r="G809" s="10">
        <f t="shared" si="134"/>
        <v>2.2534447256243402</v>
      </c>
      <c r="H809" s="10">
        <f t="shared" si="135"/>
        <v>-1.17055553461704</v>
      </c>
      <c r="I809" s="10">
        <f t="shared" si="136"/>
        <v>2.2533814271055199</v>
      </c>
      <c r="J809" s="10">
        <f t="shared" si="137"/>
        <v>-1.1735198613978099</v>
      </c>
      <c r="K809" s="7">
        <f t="shared" si="138"/>
        <v>6.3298518820253906E-5</v>
      </c>
      <c r="L809" s="7">
        <f t="shared" si="139"/>
        <v>2.9643267807699701E-3</v>
      </c>
      <c r="M809" s="7">
        <f t="shared" si="140"/>
        <v>0.34909751564004998</v>
      </c>
      <c r="N809" s="7">
        <f t="shared" si="141"/>
        <v>0.18180360556821501</v>
      </c>
      <c r="O809" s="10">
        <v>2.1279153000000002</v>
      </c>
      <c r="P809" s="10">
        <v>-4.8487495000000003</v>
      </c>
      <c r="Q809" s="10">
        <v>-0.96896704</v>
      </c>
      <c r="R809" s="10">
        <v>-15.863643</v>
      </c>
      <c r="S809" s="10">
        <f t="shared" si="142"/>
        <v>3.0014768324039105</v>
      </c>
      <c r="T809" s="10">
        <f t="shared" si="143"/>
        <v>-27.190020653656177</v>
      </c>
      <c r="U809" s="8"/>
      <c r="V809" s="8"/>
    </row>
    <row r="810" spans="1:22" x14ac:dyDescent="0.35">
      <c r="A810" s="12">
        <v>4</v>
      </c>
      <c r="B810">
        <v>16.0625</v>
      </c>
      <c r="C810" s="12">
        <v>-0.16010694</v>
      </c>
      <c r="D810" s="12">
        <v>-5.5952760999999997E-2</v>
      </c>
      <c r="E810" s="12">
        <v>0.83974559999999998</v>
      </c>
      <c r="F810" s="12">
        <v>-6.1944093999999998E-2</v>
      </c>
      <c r="G810" s="12">
        <f t="shared" si="134"/>
        <v>2.2491822577981999</v>
      </c>
      <c r="H810" s="12">
        <f t="shared" si="135"/>
        <v>-1.01022242639772</v>
      </c>
      <c r="I810" s="12">
        <f t="shared" si="136"/>
        <v>2.2491174982841602</v>
      </c>
      <c r="J810" s="12">
        <f t="shared" si="137"/>
        <v>-1.01321850779671</v>
      </c>
      <c r="K810" s="7">
        <f t="shared" si="138"/>
        <v>6.4759514039725006E-5</v>
      </c>
      <c r="L810" s="7">
        <f t="shared" si="139"/>
        <v>2.9960813989899902E-3</v>
      </c>
      <c r="M810" s="7">
        <f t="shared" si="140"/>
        <v>0.36960809948450601</v>
      </c>
      <c r="N810" s="7">
        <f t="shared" si="141"/>
        <v>0.166506982100743</v>
      </c>
      <c r="O810" s="12">
        <v>1.9180912999999999</v>
      </c>
      <c r="P810" s="12">
        <v>-5.0391519000000002</v>
      </c>
      <c r="Q810" s="12">
        <v>-1.7963768</v>
      </c>
      <c r="R810" s="12">
        <v>-16.115151000000001</v>
      </c>
      <c r="S810" s="12">
        <f t="shared" si="142"/>
        <v>3.007305822034168</v>
      </c>
      <c r="T810" s="12">
        <f t="shared" si="143"/>
        <v>-27.199289034701756</v>
      </c>
      <c r="U810" s="8"/>
      <c r="V810" s="8"/>
    </row>
    <row r="811" spans="1:22" x14ac:dyDescent="0.35">
      <c r="A811" s="10">
        <v>4</v>
      </c>
      <c r="B811">
        <v>16.125</v>
      </c>
      <c r="C811" s="10">
        <v>-0.16598706999999999</v>
      </c>
      <c r="D811" s="10">
        <v>-4.8667567000000002E-2</v>
      </c>
      <c r="E811" s="10">
        <v>0.83386273</v>
      </c>
      <c r="F811" s="10">
        <v>-5.4723451999999999E-2</v>
      </c>
      <c r="G811" s="10">
        <f t="shared" si="134"/>
        <v>2.2449466122031398</v>
      </c>
      <c r="H811" s="10">
        <f t="shared" si="135"/>
        <v>-0.85298331690340901</v>
      </c>
      <c r="I811" s="10">
        <f t="shared" si="136"/>
        <v>2.24488067698036</v>
      </c>
      <c r="J811" s="10">
        <f t="shared" si="137"/>
        <v>-0.85601168648202797</v>
      </c>
      <c r="K811" s="7">
        <f t="shared" si="138"/>
        <v>6.5935222779867102E-5</v>
      </c>
      <c r="L811" s="7">
        <f t="shared" si="139"/>
        <v>3.02836957861896E-3</v>
      </c>
      <c r="M811" s="7">
        <f t="shared" si="140"/>
        <v>0.38890944084469498</v>
      </c>
      <c r="N811" s="7">
        <f t="shared" si="141"/>
        <v>0.14829787157955099</v>
      </c>
      <c r="O811" s="10">
        <v>1.6855022</v>
      </c>
      <c r="P811" s="10">
        <v>-5.2110873</v>
      </c>
      <c r="Q811" s="10">
        <v>-2.6624848000000001</v>
      </c>
      <c r="R811" s="10">
        <v>-16.285779000000002</v>
      </c>
      <c r="S811" s="10">
        <f t="shared" si="142"/>
        <v>3.0130193725258625</v>
      </c>
      <c r="T811" s="10">
        <f t="shared" si="143"/>
        <v>-27.208438596299079</v>
      </c>
      <c r="U811" s="8"/>
      <c r="V811" s="8"/>
    </row>
    <row r="812" spans="1:22" x14ac:dyDescent="0.35">
      <c r="A812" s="12">
        <v>4</v>
      </c>
      <c r="B812">
        <v>16.1875</v>
      </c>
      <c r="C812" s="12">
        <v>-0.17117731999999999</v>
      </c>
      <c r="D812" s="12">
        <v>-4.0696991000000002E-2</v>
      </c>
      <c r="E812" s="12">
        <v>0.82877634</v>
      </c>
      <c r="F812" s="12">
        <v>-4.6932532999999999E-2</v>
      </c>
      <c r="G812" s="12">
        <f t="shared" si="134"/>
        <v>2.2410266073323499</v>
      </c>
      <c r="H812" s="12">
        <f t="shared" si="135"/>
        <v>-0.69994099934377396</v>
      </c>
      <c r="I812" s="12">
        <f t="shared" si="136"/>
        <v>2.2410131578726999</v>
      </c>
      <c r="J812" s="12">
        <f t="shared" si="137"/>
        <v>-0.70305888451750898</v>
      </c>
      <c r="K812" s="7">
        <f t="shared" si="138"/>
        <v>1.34494596499835E-5</v>
      </c>
      <c r="L812" s="7">
        <f t="shared" si="139"/>
        <v>3.1178851737350098E-3</v>
      </c>
      <c r="M812" s="7">
        <f t="shared" si="140"/>
        <v>0.40624324776825899</v>
      </c>
      <c r="N812" s="7">
        <f t="shared" si="141"/>
        <v>0.12744812479809001</v>
      </c>
      <c r="O812" s="12">
        <v>1.4327087999999999</v>
      </c>
      <c r="P812" s="12">
        <v>-5.3602600999999996</v>
      </c>
      <c r="Q812" s="12">
        <v>-3.5547908000000001</v>
      </c>
      <c r="R812" s="12">
        <v>-16.368711000000001</v>
      </c>
      <c r="S812" s="12">
        <f t="shared" si="142"/>
        <v>3.0189206119767342</v>
      </c>
      <c r="T812" s="12">
        <f t="shared" si="143"/>
        <v>-27.21706321742446</v>
      </c>
      <c r="U812" s="8"/>
      <c r="V812" s="8"/>
    </row>
    <row r="813" spans="1:22" x14ac:dyDescent="0.35">
      <c r="A813" s="10">
        <v>4</v>
      </c>
      <c r="B813">
        <v>16.25</v>
      </c>
      <c r="C813" s="10">
        <v>-0.17556389999999999</v>
      </c>
      <c r="D813" s="10">
        <v>-3.2150323000000001E-2</v>
      </c>
      <c r="E813" s="10">
        <v>0.82437324000000001</v>
      </c>
      <c r="F813" s="10">
        <v>-3.8461910000000002E-2</v>
      </c>
      <c r="G813" s="10">
        <f t="shared" si="134"/>
        <v>2.2368250526619202</v>
      </c>
      <c r="H813" s="10">
        <f t="shared" si="135"/>
        <v>-0.54870023684676505</v>
      </c>
      <c r="I813" s="10">
        <f t="shared" si="136"/>
        <v>2.2368035815465701</v>
      </c>
      <c r="J813" s="10">
        <f t="shared" si="137"/>
        <v>-0.55185619729700897</v>
      </c>
      <c r="K813" s="7">
        <f t="shared" si="138"/>
        <v>2.1471115350113499E-5</v>
      </c>
      <c r="L813" s="7">
        <f t="shared" si="139"/>
        <v>3.1559604502439101E-3</v>
      </c>
      <c r="M813" s="7">
        <f t="shared" si="140"/>
        <v>0.42141539070815998</v>
      </c>
      <c r="N813" s="7">
        <f t="shared" si="141"/>
        <v>0.103970101316559</v>
      </c>
      <c r="O813" s="10">
        <v>1.1632018</v>
      </c>
      <c r="P813" s="10">
        <v>-5.4840187</v>
      </c>
      <c r="Q813" s="10">
        <v>-4.4600517000000002</v>
      </c>
      <c r="R813" s="10">
        <v>-16.358287000000001</v>
      </c>
      <c r="S813" s="10">
        <f t="shared" si="142"/>
        <v>3.0244969079608053</v>
      </c>
      <c r="T813" s="10">
        <f t="shared" si="143"/>
        <v>-27.226266468757284</v>
      </c>
      <c r="U813" s="8"/>
      <c r="V813" s="8"/>
    </row>
    <row r="814" spans="1:22" x14ac:dyDescent="0.35">
      <c r="A814" s="12">
        <v>4</v>
      </c>
      <c r="B814">
        <v>16.3125</v>
      </c>
      <c r="C814" s="12">
        <v>-0.17905766000000001</v>
      </c>
      <c r="D814" s="12">
        <v>-2.3145734000000001E-2</v>
      </c>
      <c r="E814" s="12">
        <v>0.82090078</v>
      </c>
      <c r="F814" s="12">
        <v>-2.9613754999999999E-2</v>
      </c>
      <c r="G814" s="12">
        <f t="shared" si="134"/>
        <v>2.2327772802097501</v>
      </c>
      <c r="H814" s="12">
        <f t="shared" si="135"/>
        <v>-0.40094301977399899</v>
      </c>
      <c r="I814" s="12">
        <f t="shared" si="136"/>
        <v>2.2327669591444801</v>
      </c>
      <c r="J814" s="12">
        <f t="shared" si="137"/>
        <v>-0.40417713085726098</v>
      </c>
      <c r="K814" s="7">
        <f t="shared" si="138"/>
        <v>1.0321065269991401E-5</v>
      </c>
      <c r="L814" s="7">
        <f t="shared" si="139"/>
        <v>3.2341110832619902E-3</v>
      </c>
      <c r="M814" s="7">
        <f t="shared" si="140"/>
        <v>0.43366424458420499</v>
      </c>
      <c r="N814" s="7">
        <f t="shared" si="141"/>
        <v>7.8502223178090094E-2</v>
      </c>
      <c r="O814" s="12">
        <v>0.87997910000000001</v>
      </c>
      <c r="P814" s="12">
        <v>-5.5796833000000001</v>
      </c>
      <c r="Q814" s="12">
        <v>-5.3646566</v>
      </c>
      <c r="R814" s="12">
        <v>-16.252473999999999</v>
      </c>
      <c r="S814" s="12">
        <f t="shared" si="142"/>
        <v>3.029924353482766</v>
      </c>
      <c r="T814" s="12">
        <f t="shared" si="143"/>
        <v>-27.229522220797346</v>
      </c>
      <c r="U814" s="8"/>
      <c r="V814" s="8"/>
    </row>
    <row r="815" spans="1:22" x14ac:dyDescent="0.35">
      <c r="A815" s="10">
        <v>4</v>
      </c>
      <c r="B815">
        <v>16.375</v>
      </c>
      <c r="C815" s="10">
        <v>-0.18159560999999999</v>
      </c>
      <c r="D815" s="10">
        <v>-1.3846867000000001E-2</v>
      </c>
      <c r="E815" s="10">
        <v>0.81833387000000002</v>
      </c>
      <c r="F815" s="10">
        <v>-2.0396713E-2</v>
      </c>
      <c r="G815" s="10">
        <f t="shared" si="134"/>
        <v>2.2286013292362998</v>
      </c>
      <c r="H815" s="10">
        <f t="shared" si="135"/>
        <v>-0.25557823716378802</v>
      </c>
      <c r="I815" s="10">
        <f t="shared" si="136"/>
        <v>2.22857679413318</v>
      </c>
      <c r="J815" s="10">
        <f t="shared" si="137"/>
        <v>-0.25885335599505099</v>
      </c>
      <c r="K815" s="7">
        <f t="shared" si="138"/>
        <v>2.4535103119838201E-5</v>
      </c>
      <c r="L815" s="7">
        <f t="shared" si="139"/>
        <v>3.27511883126297E-3</v>
      </c>
      <c r="M815" s="7">
        <f t="shared" si="140"/>
        <v>0.442743699662215</v>
      </c>
      <c r="N815" s="7">
        <f t="shared" si="141"/>
        <v>5.14255074381701E-2</v>
      </c>
      <c r="O815" s="10">
        <v>0.58983196999999998</v>
      </c>
      <c r="P815" s="10">
        <v>-5.6449666000000001</v>
      </c>
      <c r="Q815" s="10">
        <v>-6.2506136000000003</v>
      </c>
      <c r="R815" s="10">
        <v>-16.053842</v>
      </c>
      <c r="S815" s="10">
        <f t="shared" si="142"/>
        <v>3.0353567379399178</v>
      </c>
      <c r="T815" s="10">
        <f t="shared" si="143"/>
        <v>-27.238689489751419</v>
      </c>
      <c r="U815" s="8"/>
      <c r="V815" s="8"/>
    </row>
    <row r="816" spans="1:22" x14ac:dyDescent="0.35">
      <c r="A816" s="12">
        <v>4</v>
      </c>
      <c r="B816">
        <v>16.4375</v>
      </c>
      <c r="C816" s="12">
        <v>-0.18314932</v>
      </c>
      <c r="D816" s="12">
        <v>-4.4008481999999998E-3</v>
      </c>
      <c r="E816" s="12">
        <v>0.81674919000000001</v>
      </c>
      <c r="F816" s="12">
        <v>-1.1029058E-2</v>
      </c>
      <c r="G816" s="12">
        <f t="shared" si="134"/>
        <v>2.2244449634924801</v>
      </c>
      <c r="H816" s="12">
        <f t="shared" si="135"/>
        <v>-0.113074261952372</v>
      </c>
      <c r="I816" s="12">
        <f t="shared" si="136"/>
        <v>2.2244052007601298</v>
      </c>
      <c r="J816" s="12">
        <f t="shared" si="137"/>
        <v>-0.11638866681971299</v>
      </c>
      <c r="K816" s="7">
        <f t="shared" si="138"/>
        <v>3.9762732350290298E-5</v>
      </c>
      <c r="L816" s="7">
        <f t="shared" si="139"/>
        <v>3.3144048673410002E-3</v>
      </c>
      <c r="M816" s="7">
        <f t="shared" si="140"/>
        <v>0.44833096314906601</v>
      </c>
      <c r="N816" s="7">
        <f t="shared" si="141"/>
        <v>2.3458245411890899E-2</v>
      </c>
      <c r="O816" s="12">
        <v>0.29657033999999999</v>
      </c>
      <c r="P816" s="12">
        <v>-5.6798979000000003</v>
      </c>
      <c r="Q816" s="12">
        <v>-7.1050791999999996</v>
      </c>
      <c r="R816" s="12">
        <v>-15.766263</v>
      </c>
      <c r="S816" s="12">
        <f t="shared" si="142"/>
        <v>3.0405027318505713</v>
      </c>
      <c r="T816" s="12">
        <f t="shared" si="143"/>
        <v>-27.247676159206762</v>
      </c>
      <c r="U816" s="8"/>
      <c r="V816" s="8"/>
    </row>
    <row r="817" spans="1:22" x14ac:dyDescent="0.35">
      <c r="A817" s="10">
        <v>4</v>
      </c>
      <c r="B817">
        <v>16.5</v>
      </c>
      <c r="C817" s="10">
        <v>-0.18372242</v>
      </c>
      <c r="D817" s="10">
        <v>5.0362454999999997E-3</v>
      </c>
      <c r="E817" s="10">
        <v>0.81614436000000001</v>
      </c>
      <c r="F817" s="10">
        <v>-1.6664009E-3</v>
      </c>
      <c r="G817" s="10">
        <f t="shared" si="134"/>
        <v>2.2203096365170998</v>
      </c>
      <c r="H817" s="10">
        <f t="shared" si="135"/>
        <v>2.66145890485605E-2</v>
      </c>
      <c r="I817" s="10">
        <f t="shared" si="136"/>
        <v>2.2202542555655902</v>
      </c>
      <c r="J817" s="10">
        <f t="shared" si="137"/>
        <v>2.3262856990220401E-2</v>
      </c>
      <c r="K817" s="7">
        <f t="shared" si="138"/>
        <v>5.53809515095871E-5</v>
      </c>
      <c r="L817" s="7">
        <f t="shared" si="139"/>
        <v>3.3517320583401002E-3</v>
      </c>
      <c r="M817" s="7">
        <f t="shared" si="140"/>
        <v>0.45034942740794798</v>
      </c>
      <c r="N817" s="7">
        <f t="shared" si="141"/>
        <v>-4.7185651369239202E-3</v>
      </c>
      <c r="O817" s="10">
        <v>4.9846431E-3</v>
      </c>
      <c r="P817" s="10">
        <v>-5.6838851000000004</v>
      </c>
      <c r="Q817" s="10">
        <v>-7.9151565000000002</v>
      </c>
      <c r="R817" s="10">
        <v>-15.396996</v>
      </c>
      <c r="S817" s="10">
        <f t="shared" si="142"/>
        <v>3.0458630173818739</v>
      </c>
      <c r="T817" s="10">
        <f t="shared" si="143"/>
        <v>-27.25665053189638</v>
      </c>
      <c r="U817" s="8"/>
      <c r="V817" s="8"/>
    </row>
    <row r="818" spans="1:22" x14ac:dyDescent="0.35">
      <c r="A818" s="12">
        <v>4</v>
      </c>
      <c r="B818">
        <v>16.5625</v>
      </c>
      <c r="C818" s="12">
        <v>-0.18334375</v>
      </c>
      <c r="D818" s="12">
        <v>1.4322860999999999E-2</v>
      </c>
      <c r="E818" s="12">
        <v>0.81667615000000005</v>
      </c>
      <c r="F818" s="12">
        <v>7.6943309999999996E-3</v>
      </c>
      <c r="G818" s="12">
        <f t="shared" si="134"/>
        <v>2.21745718882819</v>
      </c>
      <c r="H818" s="12">
        <f t="shared" si="135"/>
        <v>0.16483213995819901</v>
      </c>
      <c r="I818" s="12">
        <f t="shared" si="136"/>
        <v>2.2174781226331501</v>
      </c>
      <c r="J818" s="12">
        <f t="shared" si="137"/>
        <v>0.16151797731429399</v>
      </c>
      <c r="K818" s="7">
        <f t="shared" si="138"/>
        <v>-2.0933804960154801E-5</v>
      </c>
      <c r="L818" s="7">
        <f t="shared" si="139"/>
        <v>3.3141626439050199E-3</v>
      </c>
      <c r="M818" s="7">
        <f t="shared" si="140"/>
        <v>0.44858279735636503</v>
      </c>
      <c r="N818" s="7">
        <f t="shared" si="141"/>
        <v>-3.2674137953141197E-2</v>
      </c>
      <c r="O818" s="12">
        <v>-0.28116163</v>
      </c>
      <c r="P818" s="12">
        <v>-5.6586518999999997</v>
      </c>
      <c r="Q818" s="12">
        <v>-8.6700102000000001</v>
      </c>
      <c r="R818" s="12">
        <v>-14.95438</v>
      </c>
      <c r="S818" s="12">
        <f t="shared" si="142"/>
        <v>3.0510107955189709</v>
      </c>
      <c r="T818" s="12">
        <f t="shared" si="143"/>
        <v>-27.259093221902219</v>
      </c>
      <c r="U818" s="8"/>
      <c r="V818" s="8"/>
    </row>
    <row r="819" spans="1:22" x14ac:dyDescent="0.35">
      <c r="A819" s="10">
        <v>4</v>
      </c>
      <c r="B819">
        <v>16.625</v>
      </c>
      <c r="C819" s="10">
        <v>-0.18208827</v>
      </c>
      <c r="D819" s="10">
        <v>2.3307043999999999E-2</v>
      </c>
      <c r="E819" s="10">
        <v>0.81792438000000001</v>
      </c>
      <c r="F819" s="10">
        <v>1.6599537000000001E-2</v>
      </c>
      <c r="G819" s="10">
        <f t="shared" si="134"/>
        <v>2.21342284183577</v>
      </c>
      <c r="H819" s="10">
        <f t="shared" si="135"/>
        <v>0.29902586557164401</v>
      </c>
      <c r="I819" s="10">
        <f t="shared" si="136"/>
        <v>2.2134404141183901</v>
      </c>
      <c r="J819" s="10">
        <f t="shared" si="137"/>
        <v>0.29567219221673302</v>
      </c>
      <c r="K819" s="7">
        <f t="shared" si="138"/>
        <v>-1.7572282620115201E-5</v>
      </c>
      <c r="L819" s="7">
        <f t="shared" si="139"/>
        <v>3.3536733549109901E-3</v>
      </c>
      <c r="M819" s="7">
        <f t="shared" si="140"/>
        <v>0.443865167787729</v>
      </c>
      <c r="N819" s="7">
        <f t="shared" si="141"/>
        <v>-5.9291673889815502E-2</v>
      </c>
      <c r="O819" s="10">
        <v>-0.55609934999999999</v>
      </c>
      <c r="P819" s="10">
        <v>-5.6068023</v>
      </c>
      <c r="Q819" s="10">
        <v>-9.3606584000000002</v>
      </c>
      <c r="R819" s="10">
        <v>-14.452147999999999</v>
      </c>
      <c r="S819" s="10">
        <f t="shared" si="142"/>
        <v>3.0560575489169932</v>
      </c>
      <c r="T819" s="10">
        <f t="shared" si="143"/>
        <v>-27.266895247705627</v>
      </c>
      <c r="U819" s="8"/>
      <c r="V819" s="8"/>
    </row>
    <row r="820" spans="1:22" x14ac:dyDescent="0.35">
      <c r="A820" s="12">
        <v>4</v>
      </c>
      <c r="B820">
        <v>16.6875</v>
      </c>
      <c r="C820" s="12">
        <v>-0.18003453999999999</v>
      </c>
      <c r="D820" s="12">
        <v>3.1887629000000001E-2</v>
      </c>
      <c r="E820" s="12">
        <v>0.81997039000000005</v>
      </c>
      <c r="F820" s="12">
        <v>2.5101192000000001E-2</v>
      </c>
      <c r="G820" s="12">
        <f t="shared" si="134"/>
        <v>2.2094033122464101</v>
      </c>
      <c r="H820" s="12">
        <f t="shared" si="135"/>
        <v>0.43052599603627101</v>
      </c>
      <c r="I820" s="12">
        <f t="shared" si="136"/>
        <v>2.2094172909544101</v>
      </c>
      <c r="J820" s="12">
        <f t="shared" si="137"/>
        <v>0.42713283333322699</v>
      </c>
      <c r="K820" s="7">
        <f t="shared" si="138"/>
        <v>-1.39787080000175E-5</v>
      </c>
      <c r="L820" s="7">
        <f t="shared" si="139"/>
        <v>3.3931627030440201E-3</v>
      </c>
      <c r="M820" s="7">
        <f t="shared" si="140"/>
        <v>0.436301657122108</v>
      </c>
      <c r="N820" s="7">
        <f t="shared" si="141"/>
        <v>-8.4347471959018802E-2</v>
      </c>
      <c r="O820" s="12">
        <v>-0.81733922999999997</v>
      </c>
      <c r="P820" s="12">
        <v>-5.5306006999999999</v>
      </c>
      <c r="Q820" s="12">
        <v>-9.9820054000000003</v>
      </c>
      <c r="R820" s="12">
        <v>-13.901078999999999</v>
      </c>
      <c r="S820" s="12">
        <f t="shared" si="142"/>
        <v>3.0611269628070881</v>
      </c>
      <c r="T820" s="12">
        <f t="shared" si="143"/>
        <v>-27.274548081867742</v>
      </c>
      <c r="U820" s="8"/>
      <c r="V820" s="8"/>
    </row>
    <row r="821" spans="1:22" x14ac:dyDescent="0.35">
      <c r="A821" s="10">
        <v>4</v>
      </c>
      <c r="B821">
        <v>16.75</v>
      </c>
      <c r="C821" s="10">
        <v>-0.17726565</v>
      </c>
      <c r="D821" s="10">
        <v>4.0000855000000002E-2</v>
      </c>
      <c r="E821" s="10">
        <v>0.82278092000000003</v>
      </c>
      <c r="F821" s="10">
        <v>3.3098058999999999E-2</v>
      </c>
      <c r="G821" s="10">
        <f t="shared" si="134"/>
        <v>2.2059133209955499</v>
      </c>
      <c r="H821" s="10">
        <f t="shared" si="135"/>
        <v>0.55972032898136004</v>
      </c>
      <c r="I821" s="10">
        <f t="shared" si="136"/>
        <v>2.2059485166275601</v>
      </c>
      <c r="J821" s="10">
        <f t="shared" si="137"/>
        <v>0.55626913281659596</v>
      </c>
      <c r="K821" s="7">
        <f t="shared" si="138"/>
        <v>-3.5195632010154299E-5</v>
      </c>
      <c r="L821" s="7">
        <f t="shared" si="139"/>
        <v>3.4511961647640801E-3</v>
      </c>
      <c r="M821" s="7">
        <f t="shared" si="140"/>
        <v>0.42621718742033199</v>
      </c>
      <c r="N821" s="7">
        <f t="shared" si="141"/>
        <v>-0.107478240516828</v>
      </c>
      <c r="O821" s="10">
        <v>-1.0626484</v>
      </c>
      <c r="P821" s="10">
        <v>-5.4329257000000002</v>
      </c>
      <c r="Q821" s="10">
        <v>-10.533101</v>
      </c>
      <c r="R821" s="10">
        <v>-13.311214</v>
      </c>
      <c r="S821" s="10">
        <f t="shared" si="142"/>
        <v>3.0662779452162181</v>
      </c>
      <c r="T821" s="10">
        <f t="shared" si="143"/>
        <v>-27.287403068390869</v>
      </c>
      <c r="U821" s="8"/>
      <c r="V821" s="8"/>
    </row>
    <row r="822" spans="1:22" x14ac:dyDescent="0.35">
      <c r="A822" s="12">
        <v>4</v>
      </c>
      <c r="B822">
        <v>16.8125</v>
      </c>
      <c r="C822" s="12">
        <v>-0.17392033000000001</v>
      </c>
      <c r="D822" s="12">
        <v>4.7528151999999997E-2</v>
      </c>
      <c r="E822" s="12">
        <v>0.82606760999999995</v>
      </c>
      <c r="F822" s="12">
        <v>4.0590548999999997E-2</v>
      </c>
      <c r="G822" s="12">
        <f t="shared" si="134"/>
        <v>2.2014211685224998</v>
      </c>
      <c r="H822" s="12">
        <f t="shared" si="135"/>
        <v>0.68606421916332105</v>
      </c>
      <c r="I822" s="12">
        <f t="shared" si="136"/>
        <v>2.2014271711428699</v>
      </c>
      <c r="J822" s="12">
        <f t="shared" si="137"/>
        <v>0.68259541756834496</v>
      </c>
      <c r="K822" s="7">
        <f t="shared" si="138"/>
        <v>-6.0026203700935801E-6</v>
      </c>
      <c r="L822" s="7">
        <f t="shared" si="139"/>
        <v>3.4688015949760902E-3</v>
      </c>
      <c r="M822" s="7">
        <f t="shared" si="140"/>
        <v>0.41440828147807901</v>
      </c>
      <c r="N822" s="7">
        <f t="shared" si="141"/>
        <v>-0.12849536775384501</v>
      </c>
      <c r="O822" s="12">
        <v>-1.2897460000000001</v>
      </c>
      <c r="P822" s="12">
        <v>-5.3181187000000003</v>
      </c>
      <c r="Q822" s="12">
        <v>-11.008201</v>
      </c>
      <c r="R822" s="12">
        <v>-12.698549999999999</v>
      </c>
      <c r="S822" s="12">
        <f t="shared" si="142"/>
        <v>3.0710723051325397</v>
      </c>
      <c r="T822" s="12">
        <f t="shared" si="143"/>
        <v>-27.289439345638378</v>
      </c>
      <c r="U822" s="8"/>
      <c r="V822" s="8"/>
    </row>
    <row r="823" spans="1:22" x14ac:dyDescent="0.35">
      <c r="A823" s="10">
        <v>4</v>
      </c>
      <c r="B823">
        <v>16.875</v>
      </c>
      <c r="C823" s="10">
        <v>-0.17008905999999999</v>
      </c>
      <c r="D823" s="10">
        <v>5.4458434E-2</v>
      </c>
      <c r="E823" s="10">
        <v>0.82989214</v>
      </c>
      <c r="F823" s="10">
        <v>4.7445070999999998E-2</v>
      </c>
      <c r="G823" s="10">
        <f t="shared" si="134"/>
        <v>2.19744217713738</v>
      </c>
      <c r="H823" s="10">
        <f t="shared" si="135"/>
        <v>0.80975290719933701</v>
      </c>
      <c r="I823" s="10">
        <f t="shared" si="136"/>
        <v>2.1974450740597198</v>
      </c>
      <c r="J823" s="10">
        <f t="shared" si="137"/>
        <v>0.80624620289490201</v>
      </c>
      <c r="K823" s="7">
        <f t="shared" si="138"/>
        <v>-2.8969223397901102E-6</v>
      </c>
      <c r="L823" s="7">
        <f t="shared" si="139"/>
        <v>3.506704304435E-3</v>
      </c>
      <c r="M823" s="7">
        <f t="shared" si="140"/>
        <v>0.40108161626084698</v>
      </c>
      <c r="N823" s="7">
        <f t="shared" si="141"/>
        <v>-0.14715750303776201</v>
      </c>
      <c r="O823" s="10">
        <v>-1.4971867000000001</v>
      </c>
      <c r="P823" s="10">
        <v>-5.1891772999999999</v>
      </c>
      <c r="Q823" s="10">
        <v>-11.412198</v>
      </c>
      <c r="R823" s="10">
        <v>-12.072072</v>
      </c>
      <c r="S823" s="10">
        <f t="shared" si="142"/>
        <v>3.0758964600820904</v>
      </c>
      <c r="T823" s="10">
        <f t="shared" si="143"/>
        <v>-27.296532749561795</v>
      </c>
      <c r="U823" s="8"/>
      <c r="V823" s="8"/>
    </row>
    <row r="824" spans="1:22" x14ac:dyDescent="0.35">
      <c r="A824" s="12">
        <v>4</v>
      </c>
      <c r="B824">
        <v>16.9375</v>
      </c>
      <c r="C824" s="12">
        <v>-0.16587959999999999</v>
      </c>
      <c r="D824" s="12">
        <v>6.0768183000000003E-2</v>
      </c>
      <c r="E824" s="12">
        <v>0.83414425000000003</v>
      </c>
      <c r="F824" s="12">
        <v>5.3613899999999999E-2</v>
      </c>
      <c r="G824" s="12">
        <f t="shared" si="134"/>
        <v>2.1941404079397202</v>
      </c>
      <c r="H824" s="12">
        <f t="shared" si="135"/>
        <v>0.93073022193313903</v>
      </c>
      <c r="I824" s="12">
        <f t="shared" si="136"/>
        <v>2.1941651281173402</v>
      </c>
      <c r="J824" s="12">
        <f t="shared" si="137"/>
        <v>0.92715321151656305</v>
      </c>
      <c r="K824" s="7">
        <f t="shared" si="138"/>
        <v>-2.4720177620007898E-5</v>
      </c>
      <c r="L824" s="7">
        <f t="shared" si="139"/>
        <v>3.5770104165759901E-3</v>
      </c>
      <c r="M824" s="7">
        <f t="shared" si="140"/>
        <v>0.38670696219773099</v>
      </c>
      <c r="N824" s="7">
        <f t="shared" si="141"/>
        <v>-0.16340456664949099</v>
      </c>
      <c r="O824" s="12">
        <v>-1.6842824999999999</v>
      </c>
      <c r="P824" s="12">
        <v>-5.0494062</v>
      </c>
      <c r="Q824" s="12">
        <v>-11.747978</v>
      </c>
      <c r="R824" s="12">
        <v>-11.441837</v>
      </c>
      <c r="S824" s="12">
        <f t="shared" si="142"/>
        <v>3.0808564754469394</v>
      </c>
      <c r="T824" s="12">
        <f t="shared" si="143"/>
        <v>-27.309685332395034</v>
      </c>
      <c r="U824" s="8"/>
      <c r="V824" s="8"/>
    </row>
    <row r="825" spans="1:22" x14ac:dyDescent="0.35">
      <c r="A825" s="10">
        <v>4</v>
      </c>
      <c r="B825">
        <v>17</v>
      </c>
      <c r="C825" s="10">
        <v>-0.16139994999999999</v>
      </c>
      <c r="D825" s="10">
        <v>6.6454490000000005E-2</v>
      </c>
      <c r="E825" s="10">
        <v>0.83861655000000002</v>
      </c>
      <c r="F825" s="10">
        <v>5.9216505000000003E-2</v>
      </c>
      <c r="G825" s="10">
        <f t="shared" si="134"/>
        <v>2.19024730651096</v>
      </c>
      <c r="H825" s="10">
        <f t="shared" si="135"/>
        <v>1.0492220330765001</v>
      </c>
      <c r="I825" s="10">
        <f t="shared" si="136"/>
        <v>2.1902686530539399</v>
      </c>
      <c r="J825" s="10">
        <f t="shared" si="137"/>
        <v>1.0456031476852801</v>
      </c>
      <c r="K825" s="7">
        <f t="shared" si="138"/>
        <v>-2.1346542979916399E-5</v>
      </c>
      <c r="L825" s="7">
        <f t="shared" si="139"/>
        <v>3.61888539122002E-3</v>
      </c>
      <c r="M825" s="7">
        <f t="shared" si="140"/>
        <v>0.37182672675337303</v>
      </c>
      <c r="N825" s="7">
        <f t="shared" si="141"/>
        <v>-0.177504798484311</v>
      </c>
      <c r="O825" s="10">
        <v>-1.8521249</v>
      </c>
      <c r="P825" s="10">
        <v>-4.9021469</v>
      </c>
      <c r="Q825" s="10">
        <v>-12.018903999999999</v>
      </c>
      <c r="R825" s="10">
        <v>-10.816399000000001</v>
      </c>
      <c r="S825" s="10">
        <f t="shared" si="142"/>
        <v>3.0855436033222827</v>
      </c>
      <c r="T825" s="10">
        <f t="shared" si="143"/>
        <v>-27.316881923008477</v>
      </c>
      <c r="U825" s="8"/>
      <c r="V825" s="8"/>
    </row>
    <row r="826" spans="1:22" x14ac:dyDescent="0.35">
      <c r="A826" s="12">
        <v>4.125</v>
      </c>
      <c r="B826">
        <v>15</v>
      </c>
      <c r="C826" s="12">
        <v>-5.7249244999999997E-2</v>
      </c>
      <c r="D826" s="12">
        <v>-8.3089333000000001E-2</v>
      </c>
      <c r="E826" s="12">
        <v>0.94268362000000006</v>
      </c>
      <c r="F826" s="12">
        <v>-8.8293994000000001E-2</v>
      </c>
      <c r="G826" s="12">
        <f t="shared" si="134"/>
        <v>2.1958320145492198</v>
      </c>
      <c r="H826" s="12">
        <f t="shared" si="135"/>
        <v>-4.0314822678747504</v>
      </c>
      <c r="I826" s="12">
        <f t="shared" si="136"/>
        <v>2.1958052186825898</v>
      </c>
      <c r="J826" s="12">
        <f t="shared" si="137"/>
        <v>-4.0340847554654697</v>
      </c>
      <c r="K826" s="7">
        <f t="shared" si="138"/>
        <v>2.67958666300139E-5</v>
      </c>
      <c r="L826" s="7">
        <f t="shared" si="139"/>
        <v>2.6024875907193499E-3</v>
      </c>
      <c r="M826" s="7">
        <f t="shared" si="140"/>
        <v>0.104089288654937</v>
      </c>
      <c r="N826" s="7">
        <f t="shared" si="141"/>
        <v>0.191230537662196</v>
      </c>
      <c r="O826" s="12">
        <v>2.8159527</v>
      </c>
      <c r="P826" s="12">
        <v>-1.8384014</v>
      </c>
      <c r="Q826" s="12">
        <v>4.8421810000000001</v>
      </c>
      <c r="R826" s="12">
        <v>-8.4422458000000002</v>
      </c>
      <c r="S826" s="12">
        <f t="shared" si="142"/>
        <v>2.8940014736793933</v>
      </c>
      <c r="T826" s="12">
        <f t="shared" si="143"/>
        <v>-27.024298324156469</v>
      </c>
      <c r="U826" s="8"/>
      <c r="V826" s="8"/>
    </row>
    <row r="827" spans="1:22" x14ac:dyDescent="0.35">
      <c r="A827" s="10">
        <v>4.125</v>
      </c>
      <c r="B827">
        <v>15.0625</v>
      </c>
      <c r="C827" s="10">
        <v>-6.1521033000000003E-2</v>
      </c>
      <c r="D827" s="10">
        <v>-8.4809843999999995E-2</v>
      </c>
      <c r="E827" s="10">
        <v>0.93840369999999995</v>
      </c>
      <c r="F827" s="10">
        <v>-9.0067098999999998E-2</v>
      </c>
      <c r="G827" s="10">
        <f t="shared" si="134"/>
        <v>2.1917033761773901</v>
      </c>
      <c r="H827" s="10">
        <f t="shared" si="135"/>
        <v>-3.8219829333037101</v>
      </c>
      <c r="I827" s="10">
        <f t="shared" si="136"/>
        <v>2.1916726516759999</v>
      </c>
      <c r="J827" s="10">
        <f t="shared" si="137"/>
        <v>-3.8246117404982001</v>
      </c>
      <c r="K827" s="7">
        <f t="shared" si="138"/>
        <v>3.0724501390189098E-5</v>
      </c>
      <c r="L827" s="7">
        <f t="shared" si="139"/>
        <v>2.62880719448999E-3</v>
      </c>
      <c r="M827" s="7">
        <f t="shared" si="140"/>
        <v>0.112792094058965</v>
      </c>
      <c r="N827" s="7">
        <f t="shared" si="141"/>
        <v>0.19682956158777001</v>
      </c>
      <c r="O827" s="10">
        <v>2.8604902999999999</v>
      </c>
      <c r="P827" s="10">
        <v>-1.9682976000000001</v>
      </c>
      <c r="Q827" s="10">
        <v>4.8010953000000001</v>
      </c>
      <c r="R827" s="10">
        <v>-8.8660353000000001</v>
      </c>
      <c r="S827" s="10">
        <f t="shared" si="142"/>
        <v>2.9037312870885179</v>
      </c>
      <c r="T827" s="10">
        <f t="shared" si="143"/>
        <v>-27.031987654482826</v>
      </c>
      <c r="U827" s="8"/>
      <c r="V827" s="8"/>
    </row>
    <row r="828" spans="1:22" x14ac:dyDescent="0.35">
      <c r="A828" s="12">
        <v>4.125</v>
      </c>
      <c r="B828">
        <v>15.125</v>
      </c>
      <c r="C828" s="12">
        <v>-6.6090866999999998E-2</v>
      </c>
      <c r="D828" s="12">
        <v>-8.6392118000000004E-2</v>
      </c>
      <c r="E828" s="12">
        <v>0.93382615999999996</v>
      </c>
      <c r="F828" s="12">
        <v>-9.1705299000000004E-2</v>
      </c>
      <c r="G828" s="12">
        <f t="shared" si="134"/>
        <v>2.1876336454397198</v>
      </c>
      <c r="H828" s="12">
        <f t="shared" si="135"/>
        <v>-3.6176078644708798</v>
      </c>
      <c r="I828" s="12">
        <f t="shared" si="136"/>
        <v>2.1875992155202302</v>
      </c>
      <c r="J828" s="12">
        <f t="shared" si="137"/>
        <v>-3.6202646566580898</v>
      </c>
      <c r="K828" s="7">
        <f t="shared" si="138"/>
        <v>3.4429919489653598E-5</v>
      </c>
      <c r="L828" s="7">
        <f t="shared" si="139"/>
        <v>2.6567921872100398E-3</v>
      </c>
      <c r="M828" s="7">
        <f t="shared" si="140"/>
        <v>0.12226752996132299</v>
      </c>
      <c r="N828" s="7">
        <f t="shared" si="141"/>
        <v>0.20234091063641099</v>
      </c>
      <c r="O828" s="12">
        <v>2.9024169999999998</v>
      </c>
      <c r="P828" s="12">
        <v>-2.1078608999999999</v>
      </c>
      <c r="Q828" s="12">
        <v>4.7363106999999998</v>
      </c>
      <c r="R828" s="12">
        <v>-9.3082037</v>
      </c>
      <c r="S828" s="12">
        <f t="shared" si="142"/>
        <v>2.9115404379169623</v>
      </c>
      <c r="T828" s="12">
        <f t="shared" si="143"/>
        <v>-27.042780285979713</v>
      </c>
      <c r="U828" s="8"/>
      <c r="V828" s="8"/>
    </row>
    <row r="829" spans="1:22" x14ac:dyDescent="0.35">
      <c r="A829" s="10">
        <v>4.125</v>
      </c>
      <c r="B829">
        <v>15.1875</v>
      </c>
      <c r="C829" s="10">
        <v>-7.0981458999999997E-2</v>
      </c>
      <c r="D829" s="10">
        <v>-8.7807581999999995E-2</v>
      </c>
      <c r="E829" s="10">
        <v>0.92892856000000001</v>
      </c>
      <c r="F829" s="10">
        <v>-9.3178465000000002E-2</v>
      </c>
      <c r="G829" s="10">
        <f t="shared" si="134"/>
        <v>2.1835546455835799</v>
      </c>
      <c r="H829" s="10">
        <f t="shared" si="135"/>
        <v>-3.4176829803550599</v>
      </c>
      <c r="I829" s="10">
        <f t="shared" si="136"/>
        <v>2.1835168655768098</v>
      </c>
      <c r="J829" s="10">
        <f t="shared" si="137"/>
        <v>-3.4203686441404102</v>
      </c>
      <c r="K829" s="7">
        <f t="shared" si="138"/>
        <v>3.7780006770127299E-5</v>
      </c>
      <c r="L829" s="7">
        <f t="shared" si="139"/>
        <v>2.68566378535029E-3</v>
      </c>
      <c r="M829" s="7">
        <f t="shared" si="140"/>
        <v>0.13260223157357301</v>
      </c>
      <c r="N829" s="7">
        <f t="shared" si="141"/>
        <v>0.20771468366811999</v>
      </c>
      <c r="O829" s="10">
        <v>2.939737</v>
      </c>
      <c r="P829" s="10">
        <v>-2.2573210000000001</v>
      </c>
      <c r="Q829" s="10">
        <v>4.6444387999999996</v>
      </c>
      <c r="R829" s="10">
        <v>-9.7694358000000001</v>
      </c>
      <c r="S829" s="10">
        <f t="shared" si="142"/>
        <v>2.9185141747750545</v>
      </c>
      <c r="T829" s="10">
        <f t="shared" si="143"/>
        <v>-27.053955841439958</v>
      </c>
      <c r="U829" s="8"/>
      <c r="V829" s="8"/>
    </row>
    <row r="830" spans="1:22" x14ac:dyDescent="0.35">
      <c r="A830" s="12">
        <v>4.125</v>
      </c>
      <c r="B830">
        <v>15.25</v>
      </c>
      <c r="C830" s="12">
        <v>-7.6207558999999994E-2</v>
      </c>
      <c r="D830" s="12">
        <v>-8.9016867999999999E-2</v>
      </c>
      <c r="E830" s="12">
        <v>0.92369577999999997</v>
      </c>
      <c r="F830" s="12">
        <v>-9.4446568999999994E-2</v>
      </c>
      <c r="G830" s="12">
        <f t="shared" si="134"/>
        <v>2.1794886481433502</v>
      </c>
      <c r="H830" s="12">
        <f t="shared" si="135"/>
        <v>-3.2218980115912501</v>
      </c>
      <c r="I830" s="12">
        <f t="shared" si="136"/>
        <v>2.1794476867350498</v>
      </c>
      <c r="J830" s="12">
        <f t="shared" si="137"/>
        <v>-3.2246131045171502</v>
      </c>
      <c r="K830" s="7">
        <f t="shared" si="138"/>
        <v>4.0961408300343998E-5</v>
      </c>
      <c r="L830" s="7">
        <f t="shared" si="139"/>
        <v>2.7150929259001102E-3</v>
      </c>
      <c r="M830" s="7">
        <f t="shared" si="140"/>
        <v>0.143875769030921</v>
      </c>
      <c r="N830" s="7">
        <f t="shared" si="141"/>
        <v>0.21287213869061</v>
      </c>
      <c r="O830" s="12">
        <v>2.9704492</v>
      </c>
      <c r="P830" s="12">
        <v>-2.4165982000000001</v>
      </c>
      <c r="Q830" s="12">
        <v>4.5214800999999998</v>
      </c>
      <c r="R830" s="12">
        <v>-10.249140000000001</v>
      </c>
      <c r="S830" s="12">
        <f t="shared" si="142"/>
        <v>2.925386011553945</v>
      </c>
      <c r="T830" s="12">
        <f t="shared" si="143"/>
        <v>-27.065035735561374</v>
      </c>
      <c r="U830" s="8"/>
      <c r="V830" s="8"/>
    </row>
    <row r="831" spans="1:22" x14ac:dyDescent="0.35">
      <c r="A831" s="10">
        <v>4.125</v>
      </c>
      <c r="B831">
        <v>15.3125</v>
      </c>
      <c r="C831" s="10">
        <v>-8.1778442000000007E-2</v>
      </c>
      <c r="D831" s="10">
        <v>-8.9973933000000006E-2</v>
      </c>
      <c r="E831" s="10">
        <v>0.91811834000000003</v>
      </c>
      <c r="F831" s="10">
        <v>-9.5463273000000001E-2</v>
      </c>
      <c r="G831" s="10">
        <f t="shared" si="134"/>
        <v>2.1754488462774999</v>
      </c>
      <c r="H831" s="10">
        <f t="shared" si="135"/>
        <v>-3.0300546560956101</v>
      </c>
      <c r="I831" s="10">
        <f t="shared" si="136"/>
        <v>2.17540476893699</v>
      </c>
      <c r="J831" s="10">
        <f t="shared" si="137"/>
        <v>-3.0327995887365899</v>
      </c>
      <c r="K831" s="7">
        <f t="shared" si="138"/>
        <v>4.4077340509929299E-5</v>
      </c>
      <c r="L831" s="7">
        <f t="shared" si="139"/>
        <v>2.7449326409798602E-3</v>
      </c>
      <c r="M831" s="7">
        <f t="shared" si="140"/>
        <v>0.156163982970251</v>
      </c>
      <c r="N831" s="7">
        <f t="shared" si="141"/>
        <v>0.217713075787306</v>
      </c>
      <c r="O831" s="10">
        <v>2.9930880000000002</v>
      </c>
      <c r="P831" s="10">
        <v>-2.5858919</v>
      </c>
      <c r="Q831" s="10">
        <v>4.3632103999999998</v>
      </c>
      <c r="R831" s="10">
        <v>-10.746086999999999</v>
      </c>
      <c r="S831" s="10">
        <f t="shared" si="142"/>
        <v>2.9321990298006417</v>
      </c>
      <c r="T831" s="10">
        <f t="shared" si="143"/>
        <v>-27.075955199098974</v>
      </c>
      <c r="U831" s="8"/>
      <c r="V831" s="8"/>
    </row>
    <row r="832" spans="1:22" x14ac:dyDescent="0.35">
      <c r="A832" s="12">
        <v>4.125</v>
      </c>
      <c r="B832">
        <v>15.375</v>
      </c>
      <c r="C832" s="12">
        <v>-8.7697332000000003E-2</v>
      </c>
      <c r="D832" s="12">
        <v>-9.0626656999999999E-2</v>
      </c>
      <c r="E832" s="12">
        <v>0.91219295</v>
      </c>
      <c r="F832" s="12">
        <v>-9.6176321999999995E-2</v>
      </c>
      <c r="G832" s="12">
        <f t="shared" si="134"/>
        <v>2.17143940103391</v>
      </c>
      <c r="H832" s="12">
        <f t="shared" si="135"/>
        <v>-2.84200830346786</v>
      </c>
      <c r="I832" s="12">
        <f t="shared" si="136"/>
        <v>2.17139223992766</v>
      </c>
      <c r="J832" s="12">
        <f t="shared" si="137"/>
        <v>-2.84478341907209</v>
      </c>
      <c r="K832" s="7">
        <f t="shared" si="138"/>
        <v>4.7161106250026597E-5</v>
      </c>
      <c r="L832" s="7">
        <f t="shared" si="139"/>
        <v>2.7751156042299398E-3</v>
      </c>
      <c r="M832" s="7">
        <f t="shared" si="140"/>
        <v>0.16953754176338201</v>
      </c>
      <c r="N832" s="7">
        <f t="shared" si="141"/>
        <v>0.22211444751906101</v>
      </c>
      <c r="O832" s="12">
        <v>3.0064481999999999</v>
      </c>
      <c r="P832" s="12">
        <v>-2.7655911999999998</v>
      </c>
      <c r="Q832" s="12">
        <v>4.1652049</v>
      </c>
      <c r="R832" s="12">
        <v>-11.258259000000001</v>
      </c>
      <c r="S832" s="12">
        <f t="shared" si="142"/>
        <v>2.9385690240488742</v>
      </c>
      <c r="T832" s="12">
        <f t="shared" si="143"/>
        <v>-27.086562559598967</v>
      </c>
      <c r="U832" s="8"/>
      <c r="V832" s="8"/>
    </row>
    <row r="833" spans="1:22" x14ac:dyDescent="0.35">
      <c r="A833" s="10">
        <v>4.125</v>
      </c>
      <c r="B833">
        <v>15.4375</v>
      </c>
      <c r="C833" s="10">
        <v>-9.3960161E-2</v>
      </c>
      <c r="D833" s="10">
        <v>-9.0917217999999994E-2</v>
      </c>
      <c r="E833" s="10">
        <v>0.9059237</v>
      </c>
      <c r="F833" s="10">
        <v>-9.6527851999999997E-2</v>
      </c>
      <c r="G833" s="10">
        <f t="shared" si="134"/>
        <v>2.16745998896456</v>
      </c>
      <c r="H833" s="10">
        <f t="shared" si="135"/>
        <v>-2.6576427633300801</v>
      </c>
      <c r="I833" s="10">
        <f t="shared" si="136"/>
        <v>2.16740978720496</v>
      </c>
      <c r="J833" s="10">
        <f t="shared" si="137"/>
        <v>-2.6604483840829301</v>
      </c>
      <c r="K833" s="7">
        <f t="shared" si="138"/>
        <v>5.0201759600021503E-5</v>
      </c>
      <c r="L833" s="7">
        <f t="shared" si="139"/>
        <v>2.8056207528499599E-3</v>
      </c>
      <c r="M833" s="7">
        <f t="shared" si="140"/>
        <v>0.184058599040483</v>
      </c>
      <c r="N833" s="7">
        <f t="shared" si="141"/>
        <v>0.22592792802015399</v>
      </c>
      <c r="O833" s="10">
        <v>3.0080640999999999</v>
      </c>
      <c r="P833" s="10">
        <v>-2.9548366000000001</v>
      </c>
      <c r="Q833" s="10">
        <v>3.922895</v>
      </c>
      <c r="R833" s="10">
        <v>-11.782819999999999</v>
      </c>
      <c r="S833" s="10">
        <f t="shared" si="142"/>
        <v>2.9452084183523297</v>
      </c>
      <c r="T833" s="10">
        <f t="shared" si="143"/>
        <v>-27.097107726927764</v>
      </c>
      <c r="U833" s="8"/>
      <c r="V833" s="8"/>
    </row>
    <row r="834" spans="1:22" x14ac:dyDescent="0.35">
      <c r="A834" s="12">
        <v>4.125</v>
      </c>
      <c r="B834">
        <v>15.5</v>
      </c>
      <c r="C834" s="12">
        <v>-0.10055391</v>
      </c>
      <c r="D834" s="12">
        <v>-9.0782702000000007E-2</v>
      </c>
      <c r="E834" s="12">
        <v>0.89932371</v>
      </c>
      <c r="F834" s="12">
        <v>-9.6455002999999997E-2</v>
      </c>
      <c r="G834" s="12">
        <f t="shared" si="134"/>
        <v>2.16350860516655</v>
      </c>
      <c r="H834" s="12">
        <f t="shared" si="135"/>
        <v>-2.47685919198027</v>
      </c>
      <c r="I834" s="12">
        <f t="shared" si="136"/>
        <v>2.1634554565838102</v>
      </c>
      <c r="J834" s="12">
        <f t="shared" si="137"/>
        <v>-2.47969566678153</v>
      </c>
      <c r="K834" s="7">
        <f t="shared" si="138"/>
        <v>5.31485827397482E-5</v>
      </c>
      <c r="L834" s="7">
        <f t="shared" si="139"/>
        <v>2.8364748012599298E-3</v>
      </c>
      <c r="M834" s="7">
        <f t="shared" si="140"/>
        <v>0.199775559204277</v>
      </c>
      <c r="N834" s="7">
        <f t="shared" si="141"/>
        <v>0.22897748459768899</v>
      </c>
      <c r="O834" s="12">
        <v>2.9966883000000002</v>
      </c>
      <c r="P834" s="12">
        <v>-3.1537632000000002</v>
      </c>
      <c r="Q834" s="12">
        <v>3.6317157999999998</v>
      </c>
      <c r="R834" s="12">
        <v>-12.315996</v>
      </c>
      <c r="S834" s="12">
        <f t="shared" si="142"/>
        <v>2.951490167069752</v>
      </c>
      <c r="T834" s="12">
        <f t="shared" si="143"/>
        <v>-27.107428351527805</v>
      </c>
      <c r="U834" s="8"/>
      <c r="V834" s="8"/>
    </row>
    <row r="835" spans="1:22" x14ac:dyDescent="0.35">
      <c r="A835" s="10">
        <v>4.125</v>
      </c>
      <c r="B835">
        <v>15.5625</v>
      </c>
      <c r="C835" s="10">
        <v>-0.1074547</v>
      </c>
      <c r="D835" s="10">
        <v>-9.0156199000000006E-2</v>
      </c>
      <c r="E835" s="10">
        <v>0.89241689000000002</v>
      </c>
      <c r="F835" s="10">
        <v>-9.5890958999999998E-2</v>
      </c>
      <c r="G835" s="10">
        <f t="shared" si="134"/>
        <v>2.15958311416935</v>
      </c>
      <c r="H835" s="10">
        <f t="shared" si="135"/>
        <v>-2.2995692582971601</v>
      </c>
      <c r="I835" s="10">
        <f t="shared" si="136"/>
        <v>2.1595271284311099</v>
      </c>
      <c r="J835" s="10">
        <f t="shared" si="137"/>
        <v>-2.3024369829518099</v>
      </c>
      <c r="K835" s="7">
        <f t="shared" si="138"/>
        <v>5.5985738240060798E-5</v>
      </c>
      <c r="L835" s="7">
        <f t="shared" si="139"/>
        <v>2.86772465464979E-3</v>
      </c>
      <c r="M835" s="7">
        <f t="shared" si="140"/>
        <v>0.216716128370112</v>
      </c>
      <c r="N835" s="7">
        <f t="shared" si="141"/>
        <v>0.23105763395710699</v>
      </c>
      <c r="O835" s="10">
        <v>2.9698606999999999</v>
      </c>
      <c r="P835" s="10">
        <v>-3.3610707</v>
      </c>
      <c r="Q835" s="10">
        <v>3.2872460999999999</v>
      </c>
      <c r="R835" s="10">
        <v>-12.852943</v>
      </c>
      <c r="S835" s="10">
        <f t="shared" si="142"/>
        <v>2.9578846812405875</v>
      </c>
      <c r="T835" s="10">
        <f t="shared" si="143"/>
        <v>-27.117657041512917</v>
      </c>
      <c r="U835" s="8"/>
      <c r="V835" s="8"/>
    </row>
    <row r="836" spans="1:22" x14ac:dyDescent="0.35">
      <c r="A836" s="12">
        <v>4.125</v>
      </c>
      <c r="B836">
        <v>15.625</v>
      </c>
      <c r="C836" s="12">
        <v>-0.11462592000000001</v>
      </c>
      <c r="D836" s="12">
        <v>-8.8968473000000006E-2</v>
      </c>
      <c r="E836" s="12">
        <v>0.88523982000000001</v>
      </c>
      <c r="F836" s="12">
        <v>-9.4766555000000002E-2</v>
      </c>
      <c r="G836" s="12">
        <f t="shared" si="134"/>
        <v>2.1556820565433301</v>
      </c>
      <c r="H836" s="12">
        <f t="shared" si="135"/>
        <v>-2.12569061541513</v>
      </c>
      <c r="I836" s="12">
        <f t="shared" si="136"/>
        <v>2.1556233280974499</v>
      </c>
      <c r="J836" s="12">
        <f t="shared" si="137"/>
        <v>-2.1285900213084199</v>
      </c>
      <c r="K836" s="7">
        <f t="shared" si="138"/>
        <v>5.8728445880174E-5</v>
      </c>
      <c r="L836" s="7">
        <f t="shared" si="139"/>
        <v>2.8994058932898499E-3</v>
      </c>
      <c r="M836" s="7">
        <f t="shared" si="140"/>
        <v>0.23487857253598399</v>
      </c>
      <c r="N836" s="7">
        <f t="shared" si="141"/>
        <v>0.23193300016869201</v>
      </c>
      <c r="O836" s="12">
        <v>2.9257960999999999</v>
      </c>
      <c r="P836" s="12">
        <v>-3.5758288999999999</v>
      </c>
      <c r="Q836" s="12">
        <v>2.8854207000000001</v>
      </c>
      <c r="R836" s="12">
        <v>-13.387696</v>
      </c>
      <c r="S836" s="12">
        <f t="shared" si="142"/>
        <v>2.9641405914262893</v>
      </c>
      <c r="T836" s="12">
        <f t="shared" si="143"/>
        <v>-27.127756763364065</v>
      </c>
      <c r="U836" s="8"/>
      <c r="V836" s="8"/>
    </row>
    <row r="837" spans="1:22" x14ac:dyDescent="0.35">
      <c r="A837" s="10">
        <v>4.125</v>
      </c>
      <c r="B837">
        <v>15.6875</v>
      </c>
      <c r="C837" s="10">
        <v>-0.12201632</v>
      </c>
      <c r="D837" s="10">
        <v>-8.7150355999999998E-2</v>
      </c>
      <c r="E837" s="10">
        <v>0.87784361</v>
      </c>
      <c r="F837" s="10">
        <v>-9.3012598000000002E-2</v>
      </c>
      <c r="G837" s="10">
        <f t="shared" si="134"/>
        <v>2.1518047857722999</v>
      </c>
      <c r="H837" s="10">
        <f t="shared" si="135"/>
        <v>-1.9551470411796299</v>
      </c>
      <c r="I837" s="10">
        <f t="shared" si="136"/>
        <v>2.15174333906889</v>
      </c>
      <c r="J837" s="10">
        <f t="shared" si="137"/>
        <v>-1.9580785475953999</v>
      </c>
      <c r="K837" s="7">
        <f t="shared" si="138"/>
        <v>6.1446703409906406E-5</v>
      </c>
      <c r="L837" s="7">
        <f t="shared" si="139"/>
        <v>2.93150641577E-3</v>
      </c>
      <c r="M837" s="7">
        <f t="shared" si="140"/>
        <v>0.25422085189757199</v>
      </c>
      <c r="N837" s="7">
        <f t="shared" si="141"/>
        <v>0.231340042938144</v>
      </c>
      <c r="O837" s="10">
        <v>2.8624510999999999</v>
      </c>
      <c r="P837" s="10">
        <v>-3.7963737000000002</v>
      </c>
      <c r="Q837" s="10">
        <v>2.4228143000000002</v>
      </c>
      <c r="R837" s="10">
        <v>-13.913043999999999</v>
      </c>
      <c r="S837" s="10">
        <f t="shared" si="142"/>
        <v>2.970274452383173</v>
      </c>
      <c r="T837" s="10">
        <f t="shared" si="143"/>
        <v>-27.137736656665563</v>
      </c>
      <c r="U837" s="8"/>
      <c r="V837" s="8"/>
    </row>
    <row r="838" spans="1:22" x14ac:dyDescent="0.35">
      <c r="A838" s="12">
        <v>4.125</v>
      </c>
      <c r="B838">
        <v>15.75</v>
      </c>
      <c r="C838" s="12">
        <v>-0.12955866999999999</v>
      </c>
      <c r="D838" s="12">
        <v>-8.4635868000000003E-2</v>
      </c>
      <c r="E838" s="12">
        <v>0.87029542000000004</v>
      </c>
      <c r="F838" s="12">
        <v>-9.0562994999999993E-2</v>
      </c>
      <c r="G838" s="12">
        <f t="shared" si="134"/>
        <v>2.1479511683098802</v>
      </c>
      <c r="H838" s="12">
        <f t="shared" si="135"/>
        <v>-1.78786691892762</v>
      </c>
      <c r="I838" s="12">
        <f t="shared" si="136"/>
        <v>2.14788699254103</v>
      </c>
      <c r="J838" s="12">
        <f t="shared" si="137"/>
        <v>-1.79083088885301</v>
      </c>
      <c r="K838" s="7">
        <f t="shared" si="138"/>
        <v>6.41757688502054E-5</v>
      </c>
      <c r="L838" s="7">
        <f t="shared" si="139"/>
        <v>2.9639699253900501E-3</v>
      </c>
      <c r="M838" s="7">
        <f t="shared" si="140"/>
        <v>0.27464851274655799</v>
      </c>
      <c r="N838" s="7">
        <f t="shared" si="141"/>
        <v>0.228992047492313</v>
      </c>
      <c r="O838" s="12">
        <v>2.7778391</v>
      </c>
      <c r="P838" s="12">
        <v>-4.0204697999999999</v>
      </c>
      <c r="Q838" s="12">
        <v>1.8969733</v>
      </c>
      <c r="R838" s="12">
        <v>-14.420766</v>
      </c>
      <c r="S838" s="12">
        <f t="shared" si="142"/>
        <v>2.9764005645753087</v>
      </c>
      <c r="T838" s="12">
        <f t="shared" si="143"/>
        <v>-27.147605113844616</v>
      </c>
      <c r="U838" s="8"/>
      <c r="V838" s="8"/>
    </row>
    <row r="839" spans="1:22" x14ac:dyDescent="0.35">
      <c r="A839" s="10">
        <v>4.125</v>
      </c>
      <c r="B839">
        <v>15.8125</v>
      </c>
      <c r="C839" s="10">
        <v>-0.13717192</v>
      </c>
      <c r="D839" s="10">
        <v>-8.1363717000000002E-2</v>
      </c>
      <c r="E839" s="10">
        <v>0.86284563999999997</v>
      </c>
      <c r="F839" s="10">
        <v>-8.7395400999999998E-2</v>
      </c>
      <c r="G839" s="10">
        <f t="shared" si="134"/>
        <v>2.1444936491983202</v>
      </c>
      <c r="H839" s="10">
        <f t="shared" si="135"/>
        <v>-1.6253283234087601</v>
      </c>
      <c r="I839" s="10">
        <f t="shared" si="136"/>
        <v>2.1445115241019201</v>
      </c>
      <c r="J839" s="10">
        <f t="shared" si="137"/>
        <v>-1.62834408502249</v>
      </c>
      <c r="K839" s="7">
        <f t="shared" si="138"/>
        <v>-1.78749035999459E-5</v>
      </c>
      <c r="L839" s="7">
        <f t="shared" si="139"/>
        <v>3.01576161372985E-3</v>
      </c>
      <c r="M839" s="7">
        <f t="shared" si="140"/>
        <v>0.29577698159960403</v>
      </c>
      <c r="N839" s="7">
        <f t="shared" si="141"/>
        <v>0.22458573575407401</v>
      </c>
      <c r="O839" s="10">
        <v>2.6700927999999999</v>
      </c>
      <c r="P839" s="10">
        <v>-4.2453700000000003</v>
      </c>
      <c r="Q839" s="10">
        <v>1.3070073</v>
      </c>
      <c r="R839" s="10">
        <v>-14.90185</v>
      </c>
      <c r="S839" s="10">
        <f t="shared" si="142"/>
        <v>2.9827243362660525</v>
      </c>
      <c r="T839" s="10">
        <f t="shared" si="143"/>
        <v>-27.155068789119472</v>
      </c>
      <c r="U839" s="8"/>
      <c r="V839" s="8"/>
    </row>
    <row r="840" spans="1:22" x14ac:dyDescent="0.35">
      <c r="A840" s="12">
        <v>4.125</v>
      </c>
      <c r="B840">
        <v>15.875</v>
      </c>
      <c r="C840" s="12">
        <v>-0.14474946999999999</v>
      </c>
      <c r="D840" s="12">
        <v>-7.7290913000000003E-2</v>
      </c>
      <c r="E840" s="12">
        <v>0.85525746999999996</v>
      </c>
      <c r="F840" s="12">
        <v>-8.3403448000000005E-2</v>
      </c>
      <c r="G840" s="12">
        <f t="shared" si="134"/>
        <v>2.14066221129166</v>
      </c>
      <c r="H840" s="12">
        <f t="shared" si="135"/>
        <v>-1.4642828840194599</v>
      </c>
      <c r="I840" s="12">
        <f t="shared" si="136"/>
        <v>2.1406750218661501</v>
      </c>
      <c r="J840" s="12">
        <f t="shared" si="137"/>
        <v>-1.46733910176183</v>
      </c>
      <c r="K840" s="7">
        <f t="shared" si="138"/>
        <v>-1.28105744900964E-5</v>
      </c>
      <c r="L840" s="7">
        <f t="shared" si="139"/>
        <v>3.0562177423700799E-3</v>
      </c>
      <c r="M840" s="7">
        <f t="shared" si="140"/>
        <v>0.31781629190799898</v>
      </c>
      <c r="N840" s="7">
        <f t="shared" si="141"/>
        <v>0.21784916791667899</v>
      </c>
      <c r="O840" s="12">
        <v>2.5384422</v>
      </c>
      <c r="P840" s="12">
        <v>-4.4683007000000003</v>
      </c>
      <c r="Q840" s="12">
        <v>0.65278356999999998</v>
      </c>
      <c r="R840" s="12">
        <v>-15.345098</v>
      </c>
      <c r="S840" s="12">
        <f t="shared" si="142"/>
        <v>2.9887047167450995</v>
      </c>
      <c r="T840" s="12">
        <f t="shared" si="143"/>
        <v>-27.165007023806798</v>
      </c>
      <c r="U840" s="8"/>
      <c r="V840" s="8"/>
    </row>
    <row r="841" spans="1:22" x14ac:dyDescent="0.35">
      <c r="A841" s="10">
        <v>4.125</v>
      </c>
      <c r="B841">
        <v>15.9375</v>
      </c>
      <c r="C841" s="10">
        <v>-0.15217948000000001</v>
      </c>
      <c r="D841" s="10">
        <v>-7.2383699999999995E-2</v>
      </c>
      <c r="E841" s="10">
        <v>0.84781481000000003</v>
      </c>
      <c r="F841" s="10">
        <v>-7.8577516E-2</v>
      </c>
      <c r="G841" s="10">
        <f t="shared" si="134"/>
        <v>2.13685194316376</v>
      </c>
      <c r="H841" s="10">
        <f t="shared" si="135"/>
        <v>-1.30630007521615</v>
      </c>
      <c r="I841" s="10">
        <f t="shared" si="136"/>
        <v>2.1368586789849302</v>
      </c>
      <c r="J841" s="10">
        <f t="shared" si="137"/>
        <v>-1.3093969711975599</v>
      </c>
      <c r="K841" s="7">
        <f t="shared" si="138"/>
        <v>-6.7358211701673596E-6</v>
      </c>
      <c r="L841" s="7">
        <f t="shared" si="139"/>
        <v>3.09689598140994E-3</v>
      </c>
      <c r="M841" s="7">
        <f t="shared" si="140"/>
        <v>0.34022698615816899</v>
      </c>
      <c r="N841" s="7">
        <f t="shared" si="141"/>
        <v>0.208479947493207</v>
      </c>
      <c r="O841" s="10">
        <v>2.3818286999999998</v>
      </c>
      <c r="P841" s="10">
        <v>-4.6856054</v>
      </c>
      <c r="Q841" s="10">
        <v>-6.2991400000000003E-2</v>
      </c>
      <c r="R841" s="10">
        <v>-15.740263000000001</v>
      </c>
      <c r="S841" s="10">
        <f t="shared" si="142"/>
        <v>2.9946129068642002</v>
      </c>
      <c r="T841" s="10">
        <f t="shared" si="143"/>
        <v>-27.174839533602547</v>
      </c>
      <c r="U841" s="8"/>
      <c r="V841" s="8"/>
    </row>
    <row r="842" spans="1:22" x14ac:dyDescent="0.35">
      <c r="A842" s="12">
        <v>4.125</v>
      </c>
      <c r="B842">
        <v>16</v>
      </c>
      <c r="C842" s="12">
        <v>-0.15933393000000001</v>
      </c>
      <c r="D842" s="12">
        <v>-6.6631904000000006E-2</v>
      </c>
      <c r="E842" s="12">
        <v>0.84064587000000002</v>
      </c>
      <c r="F842" s="12">
        <v>-7.2907143999999993E-2</v>
      </c>
      <c r="G842" s="12">
        <f t="shared" si="134"/>
        <v>2.1330627323290501</v>
      </c>
      <c r="H842" s="12">
        <f t="shared" si="135"/>
        <v>-1.15132987094881</v>
      </c>
      <c r="I842" s="12">
        <f t="shared" si="136"/>
        <v>2.1330624770876798</v>
      </c>
      <c r="J842" s="12">
        <f t="shared" si="137"/>
        <v>-1.15446752343995</v>
      </c>
      <c r="K842" s="7">
        <f t="shared" si="138"/>
        <v>2.5524137026167198E-7</v>
      </c>
      <c r="L842" s="7">
        <f t="shared" si="139"/>
        <v>3.1376524911399502E-3</v>
      </c>
      <c r="M842" s="7">
        <f t="shared" si="140"/>
        <v>0.36259609693518902</v>
      </c>
      <c r="N842" s="7">
        <f t="shared" si="141"/>
        <v>0.19624620588201999</v>
      </c>
      <c r="O842" s="12">
        <v>2.2000651000000002</v>
      </c>
      <c r="P842" s="12">
        <v>-4.8932685999999999</v>
      </c>
      <c r="Q842" s="12">
        <v>-0.83561229000000004</v>
      </c>
      <c r="R842" s="12">
        <v>-16.076574999999998</v>
      </c>
      <c r="S842" s="12">
        <f t="shared" si="142"/>
        <v>3.0005513789527241</v>
      </c>
      <c r="T842" s="12">
        <f t="shared" si="143"/>
        <v>-27.184571316718149</v>
      </c>
      <c r="U842" s="8"/>
      <c r="V842" s="8"/>
    </row>
    <row r="843" spans="1:22" x14ac:dyDescent="0.35">
      <c r="A843" s="10">
        <v>4.125</v>
      </c>
      <c r="B843">
        <v>16.0625</v>
      </c>
      <c r="C843" s="10">
        <v>-0.16607683000000001</v>
      </c>
      <c r="D843" s="10">
        <v>-6.0051255999999997E-2</v>
      </c>
      <c r="E843" s="10">
        <v>0.83388704000000002</v>
      </c>
      <c r="F843" s="10">
        <v>-6.6407889999999997E-2</v>
      </c>
      <c r="G843" s="10">
        <f t="shared" si="134"/>
        <v>2.1292948201695698</v>
      </c>
      <c r="H843" s="10">
        <f t="shared" si="135"/>
        <v>-0.99933823391530796</v>
      </c>
      <c r="I843" s="10">
        <f t="shared" si="136"/>
        <v>2.1292868569876</v>
      </c>
      <c r="J843" s="10">
        <f t="shared" si="137"/>
        <v>-1.0025166336426199</v>
      </c>
      <c r="K843" s="7">
        <f t="shared" si="138"/>
        <v>7.9631819698278201E-6</v>
      </c>
      <c r="L843" s="7">
        <f t="shared" si="139"/>
        <v>3.17839972731193E-3</v>
      </c>
      <c r="M843" s="7">
        <f t="shared" si="140"/>
        <v>0.38442399068077299</v>
      </c>
      <c r="N843" s="7">
        <f t="shared" si="141"/>
        <v>0.18099554964331099</v>
      </c>
      <c r="O843" s="10">
        <v>1.9938998999999999</v>
      </c>
      <c r="P843" s="10">
        <v>-5.0873567</v>
      </c>
      <c r="Q843" s="10">
        <v>-1.6579159999999999</v>
      </c>
      <c r="R843" s="10">
        <v>-16.343482999999999</v>
      </c>
      <c r="S843" s="10">
        <f t="shared" si="142"/>
        <v>3.006393770134594</v>
      </c>
      <c r="T843" s="10">
        <f t="shared" si="143"/>
        <v>-27.194207121424338</v>
      </c>
      <c r="U843" s="8"/>
      <c r="V843" s="8"/>
    </row>
    <row r="844" spans="1:22" x14ac:dyDescent="0.35">
      <c r="A844" s="12">
        <v>4.125</v>
      </c>
      <c r="B844">
        <v>16.125</v>
      </c>
      <c r="C844" s="12">
        <v>-0.17227517000000001</v>
      </c>
      <c r="D844" s="12">
        <v>-5.2674856999999999E-2</v>
      </c>
      <c r="E844" s="12">
        <v>0.82773090000000005</v>
      </c>
      <c r="F844" s="12">
        <v>-5.9159879999999998E-2</v>
      </c>
      <c r="G844" s="12">
        <f t="shared" si="134"/>
        <v>2.12573736064784</v>
      </c>
      <c r="H844" s="12">
        <f t="shared" si="135"/>
        <v>-0.85066229558681605</v>
      </c>
      <c r="I844" s="12">
        <f t="shared" si="136"/>
        <v>2.1257509093131799</v>
      </c>
      <c r="J844" s="12">
        <f t="shared" si="137"/>
        <v>-0.85390475331425297</v>
      </c>
      <c r="K844" s="7">
        <f t="shared" si="138"/>
        <v>-1.3548665339868599E-5</v>
      </c>
      <c r="L844" s="7">
        <f t="shared" si="139"/>
        <v>3.24245772743692E-3</v>
      </c>
      <c r="M844" s="7">
        <f t="shared" si="140"/>
        <v>0.405061539137062</v>
      </c>
      <c r="N844" s="7">
        <f t="shared" si="141"/>
        <v>0.16271143158804</v>
      </c>
      <c r="O844" s="12">
        <v>1.763706</v>
      </c>
      <c r="P844" s="12">
        <v>-5.2648349000000003</v>
      </c>
      <c r="Q844" s="12">
        <v>-2.5224514999999998</v>
      </c>
      <c r="R844" s="12">
        <v>-16.531376000000002</v>
      </c>
      <c r="S844" s="12">
        <f t="shared" si="142"/>
        <v>3.0117991894126317</v>
      </c>
      <c r="T844" s="12">
        <f t="shared" si="143"/>
        <v>-27.196315285536517</v>
      </c>
      <c r="U844" s="8"/>
      <c r="V844" s="8"/>
    </row>
    <row r="845" spans="1:22" x14ac:dyDescent="0.35">
      <c r="A845" s="10">
        <v>4.125</v>
      </c>
      <c r="B845">
        <v>16.1875</v>
      </c>
      <c r="C845" s="10">
        <v>-0.17779070999999999</v>
      </c>
      <c r="D845" s="10">
        <v>-4.4595389999999999E-2</v>
      </c>
      <c r="E845" s="10">
        <v>0.82219556999999999</v>
      </c>
      <c r="F845" s="10">
        <v>-5.1171508999999997E-2</v>
      </c>
      <c r="G845" s="10">
        <f t="shared" si="134"/>
        <v>2.1220097553218298</v>
      </c>
      <c r="H845" s="10">
        <f t="shared" si="135"/>
        <v>-0.70450153489657796</v>
      </c>
      <c r="I845" s="10">
        <f t="shared" si="136"/>
        <v>2.1220137067156499</v>
      </c>
      <c r="J845" s="10">
        <f t="shared" si="137"/>
        <v>-0.70778960396031299</v>
      </c>
      <c r="K845" s="7">
        <f t="shared" si="138"/>
        <v>-3.9513938201452001E-6</v>
      </c>
      <c r="L845" s="7">
        <f t="shared" si="139"/>
        <v>3.2880690637350201E-3</v>
      </c>
      <c r="M845" s="7">
        <f t="shared" si="140"/>
        <v>0.42407126222747299</v>
      </c>
      <c r="N845" s="7">
        <f t="shared" si="141"/>
        <v>0.14144735719332099</v>
      </c>
      <c r="O845" s="10">
        <v>1.5140695</v>
      </c>
      <c r="P845" s="10">
        <v>-5.4198440000000003</v>
      </c>
      <c r="Q845" s="10">
        <v>-3.4136579</v>
      </c>
      <c r="R845" s="10">
        <v>-16.633497999999999</v>
      </c>
      <c r="S845" s="10">
        <f t="shared" si="142"/>
        <v>3.017434759123629</v>
      </c>
      <c r="T845" s="10">
        <f t="shared" si="143"/>
        <v>-27.205716563502222</v>
      </c>
      <c r="U845" s="8"/>
      <c r="V845" s="8"/>
    </row>
    <row r="846" spans="1:22" x14ac:dyDescent="0.35">
      <c r="A846" s="12">
        <v>4.125</v>
      </c>
      <c r="B846">
        <v>16.25</v>
      </c>
      <c r="C846" s="12">
        <v>-0.18251123</v>
      </c>
      <c r="D846" s="12">
        <v>-3.5903609000000003E-2</v>
      </c>
      <c r="E846" s="12">
        <v>0.81745137999999995</v>
      </c>
      <c r="F846" s="12">
        <v>-4.2569556000000001E-2</v>
      </c>
      <c r="G846" s="12">
        <f t="shared" si="134"/>
        <v>2.1182954616046898</v>
      </c>
      <c r="H846" s="12">
        <f t="shared" si="135"/>
        <v>-0.56116072674460704</v>
      </c>
      <c r="I846" s="12">
        <f t="shared" si="136"/>
        <v>2.1182878754671801</v>
      </c>
      <c r="J846" s="12">
        <f t="shared" si="137"/>
        <v>-0.56449378784057902</v>
      </c>
      <c r="K846" s="7">
        <f t="shared" si="138"/>
        <v>7.5861375097296999E-6</v>
      </c>
      <c r="L846" s="7">
        <f t="shared" si="139"/>
        <v>3.3330610959719799E-3</v>
      </c>
      <c r="M846" s="7">
        <f t="shared" si="140"/>
        <v>0.44077766524776402</v>
      </c>
      <c r="N846" s="7">
        <f t="shared" si="141"/>
        <v>0.11746101969089601</v>
      </c>
      <c r="O846" s="12">
        <v>1.2470976</v>
      </c>
      <c r="P846" s="12">
        <v>-5.5499920999999999</v>
      </c>
      <c r="Q846" s="12">
        <v>-4.3203082000000004</v>
      </c>
      <c r="R846" s="12">
        <v>-16.644404000000002</v>
      </c>
      <c r="S846" s="12">
        <f t="shared" si="142"/>
        <v>3.0229989261315078</v>
      </c>
      <c r="T846" s="12">
        <f t="shared" si="143"/>
        <v>-27.215042654296269</v>
      </c>
      <c r="U846" s="8"/>
      <c r="V846" s="8"/>
    </row>
    <row r="847" spans="1:22" x14ac:dyDescent="0.35">
      <c r="A847" s="10">
        <v>4.125</v>
      </c>
      <c r="B847">
        <v>16.3125</v>
      </c>
      <c r="C847" s="10">
        <v>-0.18634118999999999</v>
      </c>
      <c r="D847" s="10">
        <v>-2.6724318E-2</v>
      </c>
      <c r="E847" s="10">
        <v>0.81359439</v>
      </c>
      <c r="F847" s="10">
        <v>-3.3477856E-2</v>
      </c>
      <c r="G847" s="10">
        <f t="shared" si="134"/>
        <v>2.1145943694851801</v>
      </c>
      <c r="H847" s="10">
        <f t="shared" si="135"/>
        <v>-0.42059184829017798</v>
      </c>
      <c r="I847" s="10">
        <f t="shared" si="136"/>
        <v>2.1145735619884101</v>
      </c>
      <c r="J847" s="10">
        <f t="shared" si="137"/>
        <v>-0.42396879632378498</v>
      </c>
      <c r="K847" s="7">
        <f t="shared" si="138"/>
        <v>2.08074967700256E-5</v>
      </c>
      <c r="L847" s="7">
        <f t="shared" si="139"/>
        <v>3.3769480336069998E-3</v>
      </c>
      <c r="M847" s="7">
        <f t="shared" si="140"/>
        <v>0.45463252421996297</v>
      </c>
      <c r="N847" s="7">
        <f t="shared" si="141"/>
        <v>9.1153132493500197E-2</v>
      </c>
      <c r="O847" s="10">
        <v>0.96669145999999995</v>
      </c>
      <c r="P847" s="10">
        <v>-5.6525720000000002</v>
      </c>
      <c r="Q847" s="10">
        <v>-5.2281044000000003</v>
      </c>
      <c r="R847" s="10">
        <v>-16.561706000000001</v>
      </c>
      <c r="S847" s="10">
        <f t="shared" si="142"/>
        <v>3.0284919147477383</v>
      </c>
      <c r="T847" s="10">
        <f t="shared" si="143"/>
        <v>-27.224289472501731</v>
      </c>
      <c r="U847" s="8"/>
      <c r="V847" s="8"/>
    </row>
    <row r="848" spans="1:22" x14ac:dyDescent="0.35">
      <c r="A848" s="12">
        <v>4.125</v>
      </c>
      <c r="B848">
        <v>16.375</v>
      </c>
      <c r="C848" s="12">
        <v>-0.18921208</v>
      </c>
      <c r="D848" s="12">
        <v>-1.7201045000000002E-2</v>
      </c>
      <c r="E848" s="12">
        <v>0.81069402000000002</v>
      </c>
      <c r="F848" s="12">
        <v>-2.4039152000000001E-2</v>
      </c>
      <c r="G848" s="12">
        <f t="shared" si="134"/>
        <v>2.1109069920493302</v>
      </c>
      <c r="H848" s="12">
        <f t="shared" si="135"/>
        <v>-0.28275124222967801</v>
      </c>
      <c r="I848" s="12">
        <f t="shared" si="136"/>
        <v>2.11087173128176</v>
      </c>
      <c r="J848" s="12">
        <f t="shared" si="137"/>
        <v>-0.28617057682588798</v>
      </c>
      <c r="K848" s="7">
        <f t="shared" si="138"/>
        <v>3.5260767570211002E-5</v>
      </c>
      <c r="L848" s="7">
        <f t="shared" si="139"/>
        <v>3.4193345962099699E-3</v>
      </c>
      <c r="M848" s="7">
        <f t="shared" si="140"/>
        <v>0.46518814843217399</v>
      </c>
      <c r="N848" s="7">
        <f t="shared" si="141"/>
        <v>6.3065490335865906E-2</v>
      </c>
      <c r="O848" s="12">
        <v>0.67724108000000005</v>
      </c>
      <c r="P848" s="12">
        <v>-5.7253593</v>
      </c>
      <c r="Q848" s="12">
        <v>-6.1223897999999997</v>
      </c>
      <c r="R848" s="12">
        <v>-16.386009999999999</v>
      </c>
      <c r="S848" s="12">
        <f t="shared" si="142"/>
        <v>3.0341010102306751</v>
      </c>
      <c r="T848" s="12">
        <f t="shared" si="143"/>
        <v>-27.233510777621849</v>
      </c>
      <c r="U848" s="8"/>
      <c r="V848" s="8"/>
    </row>
    <row r="849" spans="1:22" x14ac:dyDescent="0.35">
      <c r="A849" s="10">
        <v>4.125</v>
      </c>
      <c r="B849">
        <v>16.4375</v>
      </c>
      <c r="C849" s="10">
        <v>-0.19108658000000001</v>
      </c>
      <c r="D849" s="10">
        <v>-7.488041E-3</v>
      </c>
      <c r="E849" s="10">
        <v>0.80878934999999996</v>
      </c>
      <c r="F849" s="10">
        <v>-1.4407654000000001E-2</v>
      </c>
      <c r="G849" s="10">
        <f t="shared" si="134"/>
        <v>2.1072383085239199</v>
      </c>
      <c r="H849" s="10">
        <f t="shared" si="135"/>
        <v>-0.14759545946272901</v>
      </c>
      <c r="I849" s="10">
        <f t="shared" si="136"/>
        <v>2.1071882420210302</v>
      </c>
      <c r="J849" s="10">
        <f t="shared" si="137"/>
        <v>-0.15105565383629899</v>
      </c>
      <c r="K849" s="7">
        <f t="shared" si="138"/>
        <v>5.0066502889745103E-5</v>
      </c>
      <c r="L849" s="7">
        <f t="shared" si="139"/>
        <v>3.4601943735699798E-3</v>
      </c>
      <c r="M849" s="7">
        <f t="shared" si="140"/>
        <v>0.47213978656209998</v>
      </c>
      <c r="N849" s="7">
        <f t="shared" si="141"/>
        <v>3.3845758408781297E-2</v>
      </c>
      <c r="O849" s="10">
        <v>0.38357671999999998</v>
      </c>
      <c r="P849" s="10">
        <v>-5.7686320000000002</v>
      </c>
      <c r="Q849" s="10">
        <v>-6.9889415000000001</v>
      </c>
      <c r="R849" s="10">
        <v>-16.120934999999999</v>
      </c>
      <c r="S849" s="10">
        <f t="shared" si="142"/>
        <v>3.0391945293367781</v>
      </c>
      <c r="T849" s="10">
        <f t="shared" si="143"/>
        <v>-27.242475039282198</v>
      </c>
      <c r="U849" s="8"/>
      <c r="V849" s="8"/>
    </row>
    <row r="850" spans="1:22" x14ac:dyDescent="0.35">
      <c r="A850" s="12">
        <v>4.125</v>
      </c>
      <c r="B850">
        <v>16.5</v>
      </c>
      <c r="C850" s="12">
        <v>-0.19196005999999999</v>
      </c>
      <c r="D850" s="12">
        <v>2.2534114E-3</v>
      </c>
      <c r="E850" s="12">
        <v>0.80788565999999995</v>
      </c>
      <c r="F850" s="12">
        <v>-4.7430780000000004E-3</v>
      </c>
      <c r="G850" s="12">
        <f t="shared" si="134"/>
        <v>2.10358525970548</v>
      </c>
      <c r="H850" s="12">
        <f t="shared" si="135"/>
        <v>-1.5127511531773901E-2</v>
      </c>
      <c r="I850" s="12">
        <f t="shared" si="136"/>
        <v>2.10352035415309</v>
      </c>
      <c r="J850" s="12">
        <f t="shared" si="137"/>
        <v>-1.8626253180209301E-2</v>
      </c>
      <c r="K850" s="7">
        <f t="shared" si="138"/>
        <v>6.49055523900266E-5</v>
      </c>
      <c r="L850" s="7">
        <f t="shared" si="139"/>
        <v>3.4987416484354001E-3</v>
      </c>
      <c r="M850" s="7">
        <f t="shared" si="140"/>
        <v>0.47535627439037897</v>
      </c>
      <c r="N850" s="7">
        <f t="shared" si="141"/>
        <v>4.2091849979559804E-3</v>
      </c>
      <c r="O850" s="12">
        <v>9.0421309000000005E-2</v>
      </c>
      <c r="P850" s="12">
        <v>-5.7812123</v>
      </c>
      <c r="Q850" s="12">
        <v>-7.8145293000000002</v>
      </c>
      <c r="R850" s="12">
        <v>-15.773154</v>
      </c>
      <c r="S850" s="12">
        <f t="shared" si="142"/>
        <v>3.0444595266530512</v>
      </c>
      <c r="T850" s="12">
        <f t="shared" si="143"/>
        <v>-27.251363132595568</v>
      </c>
      <c r="U850" s="8"/>
      <c r="V850" s="8"/>
    </row>
    <row r="851" spans="1:22" x14ac:dyDescent="0.35">
      <c r="A851" s="10">
        <v>4.125</v>
      </c>
      <c r="B851">
        <v>16.5625</v>
      </c>
      <c r="C851" s="10">
        <v>-0.19185050000000001</v>
      </c>
      <c r="D851" s="10">
        <v>1.1901121000000001E-2</v>
      </c>
      <c r="E851" s="10">
        <v>0.80815037000000001</v>
      </c>
      <c r="F851" s="10">
        <v>4.9772604E-3</v>
      </c>
      <c r="G851" s="10">
        <f t="shared" si="134"/>
        <v>2.1011624462154899</v>
      </c>
      <c r="H851" s="10">
        <f t="shared" si="135"/>
        <v>0.116152370547672</v>
      </c>
      <c r="I851" s="10">
        <f t="shared" si="136"/>
        <v>2.1011748660174301</v>
      </c>
      <c r="J851" s="10">
        <f t="shared" si="137"/>
        <v>0.112690484750081</v>
      </c>
      <c r="K851" s="7">
        <f t="shared" si="138"/>
        <v>-1.24198019402222E-5</v>
      </c>
      <c r="L851" s="7">
        <f t="shared" si="139"/>
        <v>3.4618857975909898E-3</v>
      </c>
      <c r="M851" s="7">
        <f t="shared" si="140"/>
        <v>0.47455919099162802</v>
      </c>
      <c r="N851" s="7">
        <f t="shared" si="141"/>
        <v>-2.5451620491166199E-2</v>
      </c>
      <c r="O851" s="10">
        <v>-0.19914514999999999</v>
      </c>
      <c r="P851" s="10">
        <v>-5.7639182</v>
      </c>
      <c r="Q851" s="10">
        <v>-8.5897249000000002</v>
      </c>
      <c r="R851" s="10">
        <v>-15.348991</v>
      </c>
      <c r="S851" s="10">
        <f t="shared" si="142"/>
        <v>3.0497600344804545</v>
      </c>
      <c r="T851" s="10">
        <f t="shared" si="143"/>
        <v>-27.253797723459414</v>
      </c>
      <c r="U851" s="8"/>
      <c r="V851" s="8"/>
    </row>
    <row r="852" spans="1:22" x14ac:dyDescent="0.35">
      <c r="A852" s="12">
        <v>4.125</v>
      </c>
      <c r="B852">
        <v>16.625</v>
      </c>
      <c r="C852" s="12">
        <v>-0.19083078000000001</v>
      </c>
      <c r="D852" s="12">
        <v>2.1260837000000001E-2</v>
      </c>
      <c r="E852" s="12">
        <v>0.80916374999999996</v>
      </c>
      <c r="F852" s="12">
        <v>1.4254189E-2</v>
      </c>
      <c r="G852" s="12">
        <f t="shared" si="134"/>
        <v>2.0975881762543902</v>
      </c>
      <c r="H852" s="12">
        <f t="shared" si="135"/>
        <v>0.24346385926195499</v>
      </c>
      <c r="I852" s="12">
        <f t="shared" si="136"/>
        <v>2.0975977144760298</v>
      </c>
      <c r="J852" s="12">
        <f t="shared" si="137"/>
        <v>0.23996055909590899</v>
      </c>
      <c r="K852" s="7">
        <f t="shared" si="138"/>
        <v>-9.5382216396267E-6</v>
      </c>
      <c r="L852" s="7">
        <f t="shared" si="139"/>
        <v>3.5033001660459999E-3</v>
      </c>
      <c r="M852" s="7">
        <f t="shared" si="140"/>
        <v>0.47057745652751398</v>
      </c>
      <c r="N852" s="7">
        <f t="shared" si="141"/>
        <v>-5.3833024696291802E-2</v>
      </c>
      <c r="O852" s="12">
        <v>-0.47813323000000002</v>
      </c>
      <c r="P852" s="12">
        <v>-5.7199572999999999</v>
      </c>
      <c r="Q852" s="12">
        <v>-9.3021198999999992</v>
      </c>
      <c r="R852" s="12">
        <v>-14.863496</v>
      </c>
      <c r="S852" s="12">
        <f t="shared" si="142"/>
        <v>3.0548123474562918</v>
      </c>
      <c r="T852" s="12">
        <f t="shared" si="143"/>
        <v>-27.261573899843128</v>
      </c>
      <c r="U852" s="8"/>
      <c r="V852" s="8"/>
    </row>
    <row r="853" spans="1:22" x14ac:dyDescent="0.35">
      <c r="A853" s="10">
        <v>4.125</v>
      </c>
      <c r="B853">
        <v>16.6875</v>
      </c>
      <c r="C853" s="10">
        <v>-0.1889721</v>
      </c>
      <c r="D853" s="10">
        <v>3.0245462000000001E-2</v>
      </c>
      <c r="E853" s="10">
        <v>0.81101721999999998</v>
      </c>
      <c r="F853" s="10">
        <v>2.3155545E-2</v>
      </c>
      <c r="G853" s="10">
        <f t="shared" si="134"/>
        <v>2.0940309525282501</v>
      </c>
      <c r="H853" s="10">
        <f t="shared" si="135"/>
        <v>0.36828198627886599</v>
      </c>
      <c r="I853" s="10">
        <f t="shared" si="136"/>
        <v>2.0940381792739</v>
      </c>
      <c r="J853" s="10">
        <f t="shared" si="137"/>
        <v>0.36473703446733802</v>
      </c>
      <c r="K853" s="7">
        <f t="shared" si="138"/>
        <v>-7.226745649902E-6</v>
      </c>
      <c r="L853" s="7">
        <f t="shared" si="139"/>
        <v>3.54495181152797E-3</v>
      </c>
      <c r="M853" s="7">
        <f t="shared" si="140"/>
        <v>0.46348489109084401</v>
      </c>
      <c r="N853" s="7">
        <f t="shared" si="141"/>
        <v>-8.0729237112337898E-2</v>
      </c>
      <c r="O853" s="10">
        <v>-0.74458626000000006</v>
      </c>
      <c r="P853" s="10">
        <v>-5.6510232</v>
      </c>
      <c r="Q853" s="10">
        <v>-9.9476274</v>
      </c>
      <c r="R853" s="10">
        <v>-14.325939</v>
      </c>
      <c r="S853" s="10">
        <f t="shared" si="142"/>
        <v>3.0598931909513034</v>
      </c>
      <c r="T853" s="10">
        <f t="shared" si="143"/>
        <v>-27.269162729850926</v>
      </c>
      <c r="U853" s="8"/>
      <c r="V853" s="8"/>
    </row>
    <row r="854" spans="1:22" x14ac:dyDescent="0.35">
      <c r="A854" s="12">
        <v>4.125</v>
      </c>
      <c r="B854">
        <v>16.75</v>
      </c>
      <c r="C854" s="12">
        <v>-0.18636727</v>
      </c>
      <c r="D854" s="12">
        <v>3.8755783000000002E-2</v>
      </c>
      <c r="E854" s="12">
        <v>0.81367818999999997</v>
      </c>
      <c r="F854" s="12">
        <v>3.1539681999999999E-2</v>
      </c>
      <c r="G854" s="12">
        <f t="shared" si="134"/>
        <v>2.0910047929595001</v>
      </c>
      <c r="H854" s="12">
        <f t="shared" si="135"/>
        <v>0.490514625061369</v>
      </c>
      <c r="I854" s="12">
        <f t="shared" si="136"/>
        <v>2.0910405394141698</v>
      </c>
      <c r="J854" s="12">
        <f t="shared" si="137"/>
        <v>0.48690678554257599</v>
      </c>
      <c r="K854" s="7">
        <f t="shared" si="138"/>
        <v>-3.5746454669638398E-5</v>
      </c>
      <c r="L854" s="7">
        <f t="shared" si="139"/>
        <v>3.6078395187930101E-3</v>
      </c>
      <c r="M854" s="7">
        <f t="shared" si="140"/>
        <v>0.453634341041602</v>
      </c>
      <c r="N854" s="7">
        <f t="shared" si="141"/>
        <v>-0.105630490966078</v>
      </c>
      <c r="O854" s="12">
        <v>-0.99517855</v>
      </c>
      <c r="P854" s="12">
        <v>-5.5602555999999996</v>
      </c>
      <c r="Q854" s="12">
        <v>-10.522722999999999</v>
      </c>
      <c r="R854" s="12">
        <v>-13.748424</v>
      </c>
      <c r="S854" s="12">
        <f t="shared" si="142"/>
        <v>3.0650357405487152</v>
      </c>
      <c r="T854" s="12">
        <f t="shared" si="143"/>
        <v>-27.282204390626433</v>
      </c>
      <c r="U854" s="8"/>
      <c r="V854" s="8"/>
    </row>
    <row r="855" spans="1:22" x14ac:dyDescent="0.35">
      <c r="A855" s="10">
        <v>4.125</v>
      </c>
      <c r="B855">
        <v>16.8125</v>
      </c>
      <c r="C855" s="10">
        <v>-0.18313267999999999</v>
      </c>
      <c r="D855" s="10">
        <v>4.6712048999999999E-2</v>
      </c>
      <c r="E855" s="10">
        <v>0.81684736999999996</v>
      </c>
      <c r="F855" s="10">
        <v>3.9454599999999999E-2</v>
      </c>
      <c r="G855" s="10">
        <f t="shared" si="134"/>
        <v>2.0869487091565202</v>
      </c>
      <c r="H855" s="10">
        <f t="shared" si="135"/>
        <v>0.61038051923038505</v>
      </c>
      <c r="I855" s="10">
        <f t="shared" si="136"/>
        <v>2.08695190191917</v>
      </c>
      <c r="J855" s="10">
        <f t="shared" si="137"/>
        <v>0.60675177011926895</v>
      </c>
      <c r="K855" s="7">
        <f t="shared" si="138"/>
        <v>-3.1927626498173801E-6</v>
      </c>
      <c r="L855" s="7">
        <f t="shared" si="139"/>
        <v>3.6287491111161E-3</v>
      </c>
      <c r="M855" s="7">
        <f t="shared" si="140"/>
        <v>0.441821711488252</v>
      </c>
      <c r="N855" s="7">
        <f t="shared" si="141"/>
        <v>-0.128453418248929</v>
      </c>
      <c r="O855" s="10">
        <v>-1.2291000999999999</v>
      </c>
      <c r="P855" s="10">
        <v>-5.4513176999999997</v>
      </c>
      <c r="Q855" s="10">
        <v>-11.024298</v>
      </c>
      <c r="R855" s="10">
        <v>-13.143003</v>
      </c>
      <c r="S855" s="10">
        <f t="shared" si="142"/>
        <v>3.0697763629365529</v>
      </c>
      <c r="T855" s="10">
        <f t="shared" si="143"/>
        <v>-27.283861438907817</v>
      </c>
      <c r="U855" s="8"/>
      <c r="V855" s="8"/>
    </row>
    <row r="856" spans="1:22" x14ac:dyDescent="0.35">
      <c r="A856" s="12">
        <v>4.125</v>
      </c>
      <c r="B856">
        <v>16.875</v>
      </c>
      <c r="C856" s="12">
        <v>-0.17936880999999999</v>
      </c>
      <c r="D856" s="12">
        <v>5.4071391000000003E-2</v>
      </c>
      <c r="E856" s="12">
        <v>0.82060683999999995</v>
      </c>
      <c r="F856" s="12">
        <v>4.6730005999999998E-2</v>
      </c>
      <c r="G856" s="12">
        <f t="shared" si="134"/>
        <v>2.0834169253155701</v>
      </c>
      <c r="H856" s="12">
        <f t="shared" si="135"/>
        <v>0.72769853555189101</v>
      </c>
      <c r="I856" s="12">
        <f t="shared" si="136"/>
        <v>2.0834182244613699</v>
      </c>
      <c r="J856" s="12">
        <f t="shared" si="137"/>
        <v>0.72402780312949</v>
      </c>
      <c r="K856" s="7">
        <f t="shared" si="138"/>
        <v>-1.29914579982682E-6</v>
      </c>
      <c r="L856" s="7">
        <f t="shared" si="139"/>
        <v>3.6707324224010099E-3</v>
      </c>
      <c r="M856" s="7">
        <f t="shared" si="140"/>
        <v>0.42825969654532903</v>
      </c>
      <c r="N856" s="7">
        <f t="shared" si="141"/>
        <v>-0.14882846066050001</v>
      </c>
      <c r="O856" s="12">
        <v>-1.4437678</v>
      </c>
      <c r="P856" s="12">
        <v>-5.3272332000000002</v>
      </c>
      <c r="Q856" s="12">
        <v>-11.454826000000001</v>
      </c>
      <c r="R856" s="12">
        <v>-12.520576999999999</v>
      </c>
      <c r="S856" s="12">
        <f t="shared" si="142"/>
        <v>3.0745882945608676</v>
      </c>
      <c r="T856" s="12">
        <f t="shared" si="143"/>
        <v>-27.290930073982487</v>
      </c>
      <c r="U856" s="8"/>
      <c r="V856" s="8"/>
    </row>
    <row r="857" spans="1:22" x14ac:dyDescent="0.35">
      <c r="A857" s="10">
        <v>4.125</v>
      </c>
      <c r="B857">
        <v>16.9375</v>
      </c>
      <c r="C857" s="10">
        <v>-0.17518850999999999</v>
      </c>
      <c r="D857" s="10">
        <v>6.0804669999999998E-2</v>
      </c>
      <c r="E857" s="10">
        <v>0.82478273999999996</v>
      </c>
      <c r="F857" s="10">
        <v>5.3379867999999997E-2</v>
      </c>
      <c r="G857" s="10">
        <f t="shared" si="134"/>
        <v>2.0798839981089401</v>
      </c>
      <c r="H857" s="10">
        <f t="shared" si="135"/>
        <v>0.84254680415169603</v>
      </c>
      <c r="I857" s="10">
        <f t="shared" si="136"/>
        <v>2.0798834052278901</v>
      </c>
      <c r="J857" s="10">
        <f t="shared" si="137"/>
        <v>0.83883434758412101</v>
      </c>
      <c r="K857" s="7">
        <f t="shared" si="138"/>
        <v>5.9288105003218995E-7</v>
      </c>
      <c r="L857" s="7">
        <f t="shared" si="139"/>
        <v>3.7124565675750198E-3</v>
      </c>
      <c r="M857" s="7">
        <f t="shared" si="140"/>
        <v>0.413532041552648</v>
      </c>
      <c r="N857" s="7">
        <f t="shared" si="141"/>
        <v>-0.16678092599279001</v>
      </c>
      <c r="O857" s="10">
        <v>-1.6389121</v>
      </c>
      <c r="P857" s="10">
        <v>-5.1913844999999998</v>
      </c>
      <c r="Q857" s="10">
        <v>-11.816255999999999</v>
      </c>
      <c r="R857" s="10">
        <v>-11.891304999999999</v>
      </c>
      <c r="S857" s="10">
        <f t="shared" si="142"/>
        <v>3.0793606450039817</v>
      </c>
      <c r="T857" s="10">
        <f t="shared" si="143"/>
        <v>-27.297797752237809</v>
      </c>
      <c r="U857" s="8"/>
      <c r="V857" s="8"/>
    </row>
    <row r="858" spans="1:22" x14ac:dyDescent="0.35">
      <c r="A858" s="12">
        <v>4.125</v>
      </c>
      <c r="B858">
        <v>17</v>
      </c>
      <c r="C858" s="12">
        <v>-0.17066933000000001</v>
      </c>
      <c r="D858" s="12">
        <v>6.6931393000000006E-2</v>
      </c>
      <c r="E858" s="12">
        <v>0.82934958000000003</v>
      </c>
      <c r="F858" s="12">
        <v>5.9338896000000002E-2</v>
      </c>
      <c r="G858" s="12">
        <f t="shared" si="134"/>
        <v>2.0770878637441501</v>
      </c>
      <c r="H858" s="12">
        <f t="shared" si="135"/>
        <v>0.955288938923474</v>
      </c>
      <c r="I858" s="12">
        <f t="shared" si="136"/>
        <v>2.07711172954098</v>
      </c>
      <c r="J858" s="12">
        <f t="shared" si="137"/>
        <v>0.95149281691630205</v>
      </c>
      <c r="K858" s="7">
        <f t="shared" si="138"/>
        <v>-2.3865796829891701E-5</v>
      </c>
      <c r="L858" s="7">
        <f t="shared" si="139"/>
        <v>3.79612200717194E-3</v>
      </c>
      <c r="M858" s="7">
        <f t="shared" si="140"/>
        <v>0.39793457631575202</v>
      </c>
      <c r="N858" s="7">
        <f t="shared" si="141"/>
        <v>-0.18228768610860599</v>
      </c>
      <c r="O858" s="12">
        <v>-1.8145789000000001</v>
      </c>
      <c r="P858" s="12">
        <v>-5.0463059000000001</v>
      </c>
      <c r="Q858" s="12">
        <v>-12.114148999999999</v>
      </c>
      <c r="R858" s="12">
        <v>-11.261236</v>
      </c>
      <c r="S858" s="12">
        <f t="shared" si="142"/>
        <v>3.0842821325693168</v>
      </c>
      <c r="T858" s="12">
        <f t="shared" si="143"/>
        <v>-27.311807693587539</v>
      </c>
      <c r="U858" s="8"/>
      <c r="V858" s="8"/>
    </row>
    <row r="859" spans="1:22" x14ac:dyDescent="0.35">
      <c r="A859" s="10">
        <v>4.25</v>
      </c>
      <c r="B859">
        <v>15</v>
      </c>
      <c r="C859" s="10">
        <v>-5.9656583999999999E-2</v>
      </c>
      <c r="D859" s="10">
        <v>-8.6832181999999994E-2</v>
      </c>
      <c r="E859" s="10">
        <v>0.94027170999999998</v>
      </c>
      <c r="F859" s="10">
        <v>-9.2230933000000001E-2</v>
      </c>
      <c r="G859" s="10">
        <f t="shared" si="134"/>
        <v>2.0776112006700802</v>
      </c>
      <c r="H859" s="10">
        <f t="shared" si="135"/>
        <v>-3.8647391002561702</v>
      </c>
      <c r="I859" s="10">
        <f t="shared" si="136"/>
        <v>2.0775826337433898</v>
      </c>
      <c r="J859" s="10">
        <f t="shared" si="137"/>
        <v>-3.8674386496559898</v>
      </c>
      <c r="K859" s="7">
        <f t="shared" si="138"/>
        <v>2.85669266903987E-5</v>
      </c>
      <c r="L859" s="7">
        <f t="shared" si="139"/>
        <v>2.6995493998196499E-3</v>
      </c>
      <c r="M859" s="7">
        <f t="shared" si="140"/>
        <v>0.10779516114422399</v>
      </c>
      <c r="N859" s="7">
        <f t="shared" si="141"/>
        <v>0.200661656332731</v>
      </c>
      <c r="O859" s="10">
        <v>2.8608080999999999</v>
      </c>
      <c r="P859" s="10">
        <v>-1.8663601999999999</v>
      </c>
      <c r="Q859" s="10">
        <v>4.9189810999999999</v>
      </c>
      <c r="R859" s="10">
        <v>-8.5688335000000002</v>
      </c>
      <c r="S859" s="10">
        <f t="shared" si="142"/>
        <v>2.8925635868697235</v>
      </c>
      <c r="T859" s="10">
        <f t="shared" si="143"/>
        <v>-27.021815157679544</v>
      </c>
      <c r="U859" s="8"/>
      <c r="V859" s="8"/>
    </row>
    <row r="860" spans="1:22" x14ac:dyDescent="0.35">
      <c r="A860" s="12">
        <v>4.25</v>
      </c>
      <c r="B860">
        <v>15.0625</v>
      </c>
      <c r="C860" s="12">
        <v>-6.4076092000000001E-2</v>
      </c>
      <c r="D860" s="12">
        <v>-8.8613663999999995E-2</v>
      </c>
      <c r="E860" s="12">
        <v>0.93584376999999996</v>
      </c>
      <c r="F860" s="12">
        <v>-9.4069789000000001E-2</v>
      </c>
      <c r="G860" s="12">
        <f t="shared" si="134"/>
        <v>2.0740956008364999</v>
      </c>
      <c r="H860" s="12">
        <f t="shared" si="135"/>
        <v>-3.6657432348107601</v>
      </c>
      <c r="I860" s="12">
        <f t="shared" si="136"/>
        <v>2.0740629733952098</v>
      </c>
      <c r="J860" s="12">
        <f t="shared" si="137"/>
        <v>-3.6684714956391402</v>
      </c>
      <c r="K860" s="7">
        <f t="shared" si="138"/>
        <v>3.2627441290067298E-5</v>
      </c>
      <c r="L860" s="7">
        <f t="shared" si="139"/>
        <v>2.72826082838007E-3</v>
      </c>
      <c r="M860" s="7">
        <f t="shared" si="140"/>
        <v>0.116786636873879</v>
      </c>
      <c r="N860" s="7">
        <f t="shared" si="141"/>
        <v>0.20656482177204699</v>
      </c>
      <c r="O860" s="12">
        <v>2.9055732999999999</v>
      </c>
      <c r="P860" s="12">
        <v>-1.9971251000000001</v>
      </c>
      <c r="Q860" s="12">
        <v>4.8778331000000001</v>
      </c>
      <c r="R860" s="12">
        <v>-8.9959316999999999</v>
      </c>
      <c r="S860" s="12">
        <f t="shared" si="142"/>
        <v>2.9024465655066884</v>
      </c>
      <c r="T860" s="12">
        <f t="shared" si="143"/>
        <v>-27.02986547117634</v>
      </c>
      <c r="U860" s="8"/>
      <c r="V860" s="8"/>
    </row>
    <row r="861" spans="1:22" x14ac:dyDescent="0.35">
      <c r="A861" s="10">
        <v>4.25</v>
      </c>
      <c r="B861">
        <v>15.125</v>
      </c>
      <c r="C861" s="10">
        <v>-6.8796956000000006E-2</v>
      </c>
      <c r="D861" s="10">
        <v>-9.0252743999999996E-2</v>
      </c>
      <c r="E861" s="10">
        <v>0.93111436999999997</v>
      </c>
      <c r="F861" s="10">
        <v>-9.5769598999999997E-2</v>
      </c>
      <c r="G861" s="10">
        <f t="shared" si="134"/>
        <v>2.0706029913278599</v>
      </c>
      <c r="H861" s="10">
        <f t="shared" si="135"/>
        <v>-3.47172638116787</v>
      </c>
      <c r="I861" s="10">
        <f t="shared" si="136"/>
        <v>2.0705662622385299</v>
      </c>
      <c r="J861" s="10">
        <f t="shared" si="137"/>
        <v>-3.4744850322927201</v>
      </c>
      <c r="K861" s="7">
        <f t="shared" si="138"/>
        <v>3.67290893299455E-5</v>
      </c>
      <c r="L861" s="7">
        <f t="shared" si="139"/>
        <v>2.7586511248500799E-3</v>
      </c>
      <c r="M861" s="7">
        <f t="shared" si="140"/>
        <v>0.126568215986504</v>
      </c>
      <c r="N861" s="7">
        <f t="shared" si="141"/>
        <v>0.21238604145595799</v>
      </c>
      <c r="O861" s="10">
        <v>2.9478577000000001</v>
      </c>
      <c r="P861" s="10">
        <v>-2.1375136000000001</v>
      </c>
      <c r="Q861" s="10">
        <v>4.8131792999999998</v>
      </c>
      <c r="R861" s="10">
        <v>-9.4410737999999998</v>
      </c>
      <c r="S861" s="10">
        <f t="shared" si="142"/>
        <v>2.9103042117312787</v>
      </c>
      <c r="T861" s="10">
        <f t="shared" si="143"/>
        <v>-27.040788288459908</v>
      </c>
      <c r="U861" s="8"/>
      <c r="V861" s="8"/>
    </row>
    <row r="862" spans="1:22" x14ac:dyDescent="0.35">
      <c r="A862" s="12">
        <v>4.25</v>
      </c>
      <c r="B862">
        <v>15.1875</v>
      </c>
      <c r="C862" s="12">
        <v>-7.3844360999999997E-2</v>
      </c>
      <c r="D862" s="12">
        <v>-9.1721153E-2</v>
      </c>
      <c r="E862" s="12">
        <v>0.92605892000000001</v>
      </c>
      <c r="F862" s="12">
        <v>-9.7300672000000005E-2</v>
      </c>
      <c r="G862" s="12">
        <f t="shared" si="134"/>
        <v>2.0670862616855898</v>
      </c>
      <c r="H862" s="12">
        <f t="shared" si="135"/>
        <v>-3.2819561285307302</v>
      </c>
      <c r="I862" s="12">
        <f t="shared" si="136"/>
        <v>2.0670456836735398</v>
      </c>
      <c r="J862" s="12">
        <f t="shared" si="137"/>
        <v>-3.2847461361570098</v>
      </c>
      <c r="K862" s="7">
        <f t="shared" si="138"/>
        <v>4.0578012050041002E-5</v>
      </c>
      <c r="L862" s="7">
        <f t="shared" si="139"/>
        <v>2.7900076262796802E-3</v>
      </c>
      <c r="M862" s="7">
        <f t="shared" si="140"/>
        <v>0.13723366276931201</v>
      </c>
      <c r="N862" s="7">
        <f t="shared" si="141"/>
        <v>0.21807826846431899</v>
      </c>
      <c r="O862" s="12">
        <v>2.9855556999999999</v>
      </c>
      <c r="P862" s="12">
        <v>-2.2877144999999999</v>
      </c>
      <c r="Q862" s="12">
        <v>4.7215968000000004</v>
      </c>
      <c r="R862" s="12">
        <v>-9.9050501000000004</v>
      </c>
      <c r="S862" s="12">
        <f t="shared" si="142"/>
        <v>2.9173235495715204</v>
      </c>
      <c r="T862" s="12">
        <f t="shared" si="143"/>
        <v>-27.051991719791786</v>
      </c>
      <c r="U862" s="8"/>
      <c r="V862" s="8"/>
    </row>
    <row r="863" spans="1:22" x14ac:dyDescent="0.35">
      <c r="A863" s="10">
        <v>4.25</v>
      </c>
      <c r="B863">
        <v>15.25</v>
      </c>
      <c r="C863" s="10">
        <v>-7.9234212999999998E-2</v>
      </c>
      <c r="D863" s="10">
        <v>-9.2979419999999993E-2</v>
      </c>
      <c r="E863" s="10">
        <v>0.92066126999999998</v>
      </c>
      <c r="F863" s="10">
        <v>-9.8622873999999999E-2</v>
      </c>
      <c r="G863" s="10">
        <f t="shared" si="134"/>
        <v>2.06357051558413</v>
      </c>
      <c r="H863" s="10">
        <f t="shared" si="135"/>
        <v>-3.0961019714834301</v>
      </c>
      <c r="I863" s="10">
        <f t="shared" si="136"/>
        <v>2.0635262176812801</v>
      </c>
      <c r="J863" s="10">
        <f t="shared" si="137"/>
        <v>-3.0989239709534799</v>
      </c>
      <c r="K863" s="7">
        <f t="shared" si="138"/>
        <v>4.4297902849876898E-5</v>
      </c>
      <c r="L863" s="7">
        <f t="shared" si="139"/>
        <v>2.8219994700497998E-3</v>
      </c>
      <c r="M863" s="7">
        <f t="shared" si="140"/>
        <v>0.14886777402534701</v>
      </c>
      <c r="N863" s="7">
        <f t="shared" si="141"/>
        <v>0.22356387308129999</v>
      </c>
      <c r="O863" s="10">
        <v>3.0167416</v>
      </c>
      <c r="P863" s="10">
        <v>-2.4477088</v>
      </c>
      <c r="Q863" s="10">
        <v>4.5991371000000001</v>
      </c>
      <c r="R863" s="10">
        <v>-10.387402</v>
      </c>
      <c r="S863" s="10">
        <f t="shared" si="142"/>
        <v>2.9241913919967746</v>
      </c>
      <c r="T863" s="10">
        <f t="shared" si="143"/>
        <v>-27.063090673485867</v>
      </c>
      <c r="U863" s="8"/>
      <c r="V863" s="8"/>
    </row>
    <row r="864" spans="1:22" x14ac:dyDescent="0.35">
      <c r="A864" s="12">
        <v>4.25</v>
      </c>
      <c r="B864">
        <v>15.3125</v>
      </c>
      <c r="C864" s="12">
        <v>-8.4976211999999995E-2</v>
      </c>
      <c r="D864" s="12">
        <v>-9.3981157999999995E-2</v>
      </c>
      <c r="E864" s="12">
        <v>0.91491157000000001</v>
      </c>
      <c r="F864" s="12">
        <v>-9.9689427999999997E-2</v>
      </c>
      <c r="G864" s="12">
        <f t="shared" si="134"/>
        <v>2.0600710911553</v>
      </c>
      <c r="H864" s="12">
        <f t="shared" si="135"/>
        <v>-2.91396905866806</v>
      </c>
      <c r="I864" s="12">
        <f t="shared" si="136"/>
        <v>2.0600231263984798</v>
      </c>
      <c r="J864" s="12">
        <f t="shared" si="137"/>
        <v>-2.9168234907252799</v>
      </c>
      <c r="K864" s="7">
        <f t="shared" si="138"/>
        <v>4.7964756820117999E-5</v>
      </c>
      <c r="L864" s="7">
        <f t="shared" si="139"/>
        <v>2.8544320572199099E-3</v>
      </c>
      <c r="M864" s="7">
        <f t="shared" si="140"/>
        <v>0.16155074403945099</v>
      </c>
      <c r="N864" s="7">
        <f t="shared" si="141"/>
        <v>0.22874258017784499</v>
      </c>
      <c r="O864" s="12">
        <v>3.0400651999999999</v>
      </c>
      <c r="P864" s="12">
        <v>-2.6177868000000002</v>
      </c>
      <c r="Q864" s="12">
        <v>4.4416526000000003</v>
      </c>
      <c r="R864" s="12">
        <v>-10.886957000000001</v>
      </c>
      <c r="S864" s="12">
        <f t="shared" si="142"/>
        <v>2.9308674526557432</v>
      </c>
      <c r="T864" s="12">
        <f t="shared" si="143"/>
        <v>-27.073962751474664</v>
      </c>
      <c r="U864" s="8"/>
      <c r="V864" s="8"/>
    </row>
    <row r="865" spans="1:22" x14ac:dyDescent="0.35">
      <c r="A865" s="10">
        <v>4.25</v>
      </c>
      <c r="B865">
        <v>15.375</v>
      </c>
      <c r="C865" s="10">
        <v>-9.1078359999999997E-2</v>
      </c>
      <c r="D865" s="10">
        <v>-9.4673319000000006E-2</v>
      </c>
      <c r="E865" s="10">
        <v>0.90896617999999996</v>
      </c>
      <c r="F865" s="10">
        <v>-0.10039786000000001</v>
      </c>
      <c r="G865" s="10">
        <f t="shared" si="134"/>
        <v>2.05710761418409</v>
      </c>
      <c r="H865" s="10">
        <f t="shared" si="135"/>
        <v>-2.7376551902793098</v>
      </c>
      <c r="I865" s="10">
        <f t="shared" si="136"/>
        <v>2.0571380756661299</v>
      </c>
      <c r="J865" s="10">
        <f t="shared" si="137"/>
        <v>-2.7405173098509099</v>
      </c>
      <c r="K865" s="7">
        <f t="shared" si="138"/>
        <v>-3.0461482039889601E-5</v>
      </c>
      <c r="L865" s="7">
        <f t="shared" si="139"/>
        <v>2.8621195716000999E-3</v>
      </c>
      <c r="M865" s="7">
        <f t="shared" si="140"/>
        <v>0.17519109986222001</v>
      </c>
      <c r="N865" s="7">
        <f t="shared" si="141"/>
        <v>0.233389409968878</v>
      </c>
      <c r="O865" s="10">
        <v>3.0535906000000002</v>
      </c>
      <c r="P865" s="10">
        <v>-2.7979847000000002</v>
      </c>
      <c r="Q865" s="10">
        <v>4.2452255000000001</v>
      </c>
      <c r="R865" s="10">
        <v>-11.402329999999999</v>
      </c>
      <c r="S865" s="10">
        <f t="shared" si="142"/>
        <v>2.9377211223219666</v>
      </c>
      <c r="T865" s="10">
        <f t="shared" si="143"/>
        <v>-27.080270653274876</v>
      </c>
      <c r="U865" s="8"/>
      <c r="V865" s="8"/>
    </row>
    <row r="866" spans="1:22" x14ac:dyDescent="0.35">
      <c r="A866" s="12">
        <v>4.25</v>
      </c>
      <c r="B866">
        <v>15.4375</v>
      </c>
      <c r="C866" s="12">
        <v>-9.7527006999999999E-2</v>
      </c>
      <c r="D866" s="12">
        <v>-9.4998422999999999E-2</v>
      </c>
      <c r="E866" s="12">
        <v>0.90251678999999996</v>
      </c>
      <c r="F866" s="12">
        <v>-0.10079819</v>
      </c>
      <c r="G866" s="12">
        <f t="shared" si="134"/>
        <v>2.0536344897934899</v>
      </c>
      <c r="H866" s="12">
        <f t="shared" si="135"/>
        <v>-2.5624975958252101</v>
      </c>
      <c r="I866" s="12">
        <f t="shared" si="136"/>
        <v>2.0536647965151298</v>
      </c>
      <c r="J866" s="12">
        <f t="shared" si="137"/>
        <v>-2.56539732793946</v>
      </c>
      <c r="K866" s="7">
        <f t="shared" si="138"/>
        <v>-3.03067216398389E-5</v>
      </c>
      <c r="L866" s="7">
        <f t="shared" si="139"/>
        <v>2.8997321142498799E-3</v>
      </c>
      <c r="M866" s="7">
        <f t="shared" si="140"/>
        <v>0.19017523356358301</v>
      </c>
      <c r="N866" s="7">
        <f t="shared" si="141"/>
        <v>0.237563129509819</v>
      </c>
      <c r="O866" s="12">
        <v>3.0560847999999998</v>
      </c>
      <c r="P866" s="12">
        <v>-2.9878596000000002</v>
      </c>
      <c r="Q866" s="12">
        <v>4.0044848999999996</v>
      </c>
      <c r="R866" s="12">
        <v>-11.929556</v>
      </c>
      <c r="S866" s="12">
        <f t="shared" si="142"/>
        <v>2.9442601804067521</v>
      </c>
      <c r="T866" s="12">
        <f t="shared" si="143"/>
        <v>-27.090988884004322</v>
      </c>
      <c r="U866" s="8"/>
      <c r="V866" s="8"/>
    </row>
    <row r="867" spans="1:22" x14ac:dyDescent="0.35">
      <c r="A867" s="10">
        <v>4.25</v>
      </c>
      <c r="B867">
        <v>15.5</v>
      </c>
      <c r="C867" s="10">
        <v>-0.10431393</v>
      </c>
      <c r="D867" s="10">
        <v>-9.4893086000000001E-2</v>
      </c>
      <c r="E867" s="10">
        <v>0.89572814000000001</v>
      </c>
      <c r="F867" s="10">
        <v>-0.10077027</v>
      </c>
      <c r="G867" s="10">
        <f t="shared" si="134"/>
        <v>2.05017747334501</v>
      </c>
      <c r="H867" s="10">
        <f t="shared" si="135"/>
        <v>-2.3907320182079399</v>
      </c>
      <c r="I867" s="10">
        <f t="shared" si="136"/>
        <v>2.05020714260601</v>
      </c>
      <c r="J867" s="10">
        <f t="shared" si="137"/>
        <v>-2.3936704612119302</v>
      </c>
      <c r="K867" s="7">
        <f t="shared" si="138"/>
        <v>-2.9669261000009301E-5</v>
      </c>
      <c r="L867" s="7">
        <f t="shared" si="139"/>
        <v>2.9384430039902701E-3</v>
      </c>
      <c r="M867" s="7">
        <f t="shared" si="140"/>
        <v>0.206403460486945</v>
      </c>
      <c r="N867" s="7">
        <f t="shared" si="141"/>
        <v>0.24098143850553799</v>
      </c>
      <c r="O867" s="10">
        <v>3.0455491000000001</v>
      </c>
      <c r="P867" s="10">
        <v>-3.1871477000000001</v>
      </c>
      <c r="Q867" s="10">
        <v>3.7154077999999999</v>
      </c>
      <c r="R867" s="10">
        <v>-12.465491</v>
      </c>
      <c r="S867" s="10">
        <f t="shared" si="142"/>
        <v>2.9506506003481721</v>
      </c>
      <c r="T867" s="10">
        <f t="shared" si="143"/>
        <v>-27.101564200860373</v>
      </c>
      <c r="U867" s="8"/>
      <c r="V867" s="8"/>
    </row>
    <row r="868" spans="1:22" x14ac:dyDescent="0.35">
      <c r="A868" s="12">
        <v>4.25</v>
      </c>
      <c r="B868">
        <v>15.5625</v>
      </c>
      <c r="C868" s="12">
        <v>-0.11141558999999999</v>
      </c>
      <c r="D868" s="12">
        <v>-9.4290105999999999E-2</v>
      </c>
      <c r="E868" s="12">
        <v>0.88862353000000005</v>
      </c>
      <c r="F868" s="12">
        <v>-0.10024688</v>
      </c>
      <c r="G868" s="12">
        <f t="shared" si="134"/>
        <v>2.0467354845671402</v>
      </c>
      <c r="H868" s="12">
        <f t="shared" si="135"/>
        <v>-2.2222750939401501</v>
      </c>
      <c r="I868" s="12">
        <f t="shared" si="136"/>
        <v>2.0467639143744698</v>
      </c>
      <c r="J868" s="12">
        <f t="shared" si="137"/>
        <v>-2.22525333801073</v>
      </c>
      <c r="K868" s="7">
        <f t="shared" si="138"/>
        <v>-2.8429807329644101E-5</v>
      </c>
      <c r="L868" s="7">
        <f t="shared" si="139"/>
        <v>2.9782440705798901E-3</v>
      </c>
      <c r="M868" s="7">
        <f t="shared" si="140"/>
        <v>0.223910408868843</v>
      </c>
      <c r="N868" s="7">
        <f t="shared" si="141"/>
        <v>0.243436666657774</v>
      </c>
      <c r="O868" s="12">
        <v>3.0200209999999998</v>
      </c>
      <c r="P868" s="12">
        <v>-3.3950583000000001</v>
      </c>
      <c r="Q868" s="12">
        <v>3.3736785999999999</v>
      </c>
      <c r="R868" s="12">
        <v>-13.005539000000001</v>
      </c>
      <c r="S868" s="12">
        <f t="shared" si="142"/>
        <v>2.9569341464239725</v>
      </c>
      <c r="T868" s="12">
        <f t="shared" si="143"/>
        <v>-27.112008677372504</v>
      </c>
      <c r="U868" s="8"/>
      <c r="V868" s="8"/>
    </row>
    <row r="869" spans="1:22" x14ac:dyDescent="0.35">
      <c r="A869" s="10">
        <v>4.25</v>
      </c>
      <c r="B869">
        <v>15.625</v>
      </c>
      <c r="C869" s="10">
        <v>-0.11879584999999999</v>
      </c>
      <c r="D869" s="10">
        <v>-9.3119881000000002E-2</v>
      </c>
      <c r="E869" s="10">
        <v>0.88123879999999999</v>
      </c>
      <c r="F869" s="10">
        <v>-9.9158309E-2</v>
      </c>
      <c r="G869" s="10">
        <f t="shared" ref="G869:G932" si="144">IMREAL(IMDIV(IMSUM(IMPRODUCT(COMPLEX(1 + C869,D869),COMPLEX(1 - C869, - D869)),IMPRODUCT(COMPLEX(E869,F869),COMPLEX(E869,F869))),IMSUB(IMPRODUCT(COMPLEX(1 - C869, - D869),COMPLEX(1 - C869, - D869)),IMPRODUCT(COMPLEX(E869,F869),COMPLEX(E869,F869)))))</f>
        <v>2.04330829839915</v>
      </c>
      <c r="H869" s="10">
        <f t="shared" ref="H869:H932" si="145">IMAGINARY(IMDIV(IMSUM(IMPRODUCT(COMPLEX(1 + C869,D869),COMPLEX(1 - C869, - D869)),IMPRODUCT(COMPLEX(E869,F869),COMPLEX(E869,F869))),IMSUB(IMPRODUCT(COMPLEX(1 - C869, - D869),COMPLEX(1 - C869, - D869)),IMPRODUCT(COMPLEX(E869,F869),COMPLEX(E869,F869)))))</f>
        <v>-2.0570496898964898</v>
      </c>
      <c r="I869" s="10">
        <f t="shared" ref="I869:I932" si="146">IMREAL(IMDIV(IMPRODUCT(COMPLEX(2,0),COMPLEX(E869,F869)),IMSUB(IMPRODUCT(COMPLEX(1 - C869, - D869),COMPLEX(1 - C869, - D869)),IMPRODUCT(COMPLEX(E869,F869),COMPLEX(E869,F869)))))</f>
        <v>2.04333473819533</v>
      </c>
      <c r="J869" s="10">
        <f t="shared" ref="J869:J932" si="147">IMAGINARY(IMDIV(IMPRODUCT(COMPLEX(2,0),COMPLEX(E869,F869)),IMSUB(IMPRODUCT(COMPLEX(1 - C869, - D869),COMPLEX(1 - C869, - D869)),IMPRODUCT(COMPLEX(E869,F869),COMPLEX(E869,F869)))))</f>
        <v>-2.0600687717635</v>
      </c>
      <c r="K869" s="7">
        <f t="shared" ref="K869:K932" si="148">IMREAL(IMSUB(COMPLEX(G869,H869),COMPLEX(I869,J869)))</f>
        <v>-2.643979618E-5</v>
      </c>
      <c r="L869" s="7">
        <f t="shared" ref="L869:L932" si="149">IMAGINARY(IMSUB(COMPLEX(G869,H869),COMPLEX(I869,J869)))</f>
        <v>3.0190818670101601E-3</v>
      </c>
      <c r="M869" s="7">
        <f t="shared" ref="M869:M932" si="150">IMREAL(IMDIV(IMSUB(IMPRODUCT(COMPLEX(1 - C869, - D869),COMPLEX(1 - C869, - D869)),IMPRODUCT(COMPLEX(E869,F869),COMPLEX(E869,F869))),IMPRODUCT(COMPLEX(2,0),COMPLEX(E869,F869))))</f>
        <v>0.242702271080417</v>
      </c>
      <c r="N869" s="7">
        <f t="shared" ref="N869:N932" si="151">IMAGINARY(IMDIV(IMSUB(IMPRODUCT(COMPLEX(1 - C869, - D869),COMPLEX(1 - C869, - D869)),IMPRODUCT(COMPLEX(E869,F869),COMPLEX(E869,F869))),IMPRODUCT(COMPLEX(2,0),COMPLEX(E869,F869))))</f>
        <v>0.24468989840129199</v>
      </c>
      <c r="O869" s="10">
        <v>2.9773983999999998</v>
      </c>
      <c r="P869" s="10">
        <v>-3.6103154000000002</v>
      </c>
      <c r="Q869" s="10">
        <v>2.9752603999999998</v>
      </c>
      <c r="R869" s="10">
        <v>-13.543812000000001</v>
      </c>
      <c r="S869" s="10">
        <f t="shared" ref="S869:S932" si="152">IMABS(COMPLEX(Q869,R869))/IMABS(COMPLEX(O869,P869))</f>
        <v>2.9631939520871806</v>
      </c>
      <c r="T869" s="10">
        <f t="shared" ref="T869:T932" si="153">IMARGUMENT(IMDIV(COMPLEX(Q869,R869),COMPLEX(O869/B869,P869/B869)))/PI()*180</f>
        <v>-27.122380312704816</v>
      </c>
      <c r="U869" s="8"/>
      <c r="V869" s="8"/>
    </row>
    <row r="870" spans="1:22" x14ac:dyDescent="0.35">
      <c r="A870" s="12">
        <v>4.25</v>
      </c>
      <c r="B870">
        <v>15.6875</v>
      </c>
      <c r="C870" s="12">
        <v>-0.12640423000000001</v>
      </c>
      <c r="D870" s="12">
        <v>-9.1312704999999994E-2</v>
      </c>
      <c r="E870" s="12">
        <v>0.87362412</v>
      </c>
      <c r="F870" s="12">
        <v>-9.7434629999999994E-2</v>
      </c>
      <c r="G870" s="12">
        <f t="shared" si="144"/>
        <v>2.0398960404538302</v>
      </c>
      <c r="H870" s="12">
        <f t="shared" si="145"/>
        <v>-1.8949828374605999</v>
      </c>
      <c r="I870" s="12">
        <f t="shared" si="146"/>
        <v>2.0399195842581199</v>
      </c>
      <c r="J870" s="12">
        <f t="shared" si="147"/>
        <v>-1.8980436845063899</v>
      </c>
      <c r="K870" s="7">
        <f t="shared" si="148"/>
        <v>-2.3543804289705201E-5</v>
      </c>
      <c r="L870" s="7">
        <f t="shared" si="149"/>
        <v>3.06084704579002E-3</v>
      </c>
      <c r="M870" s="7">
        <f t="shared" si="150"/>
        <v>0.26274615750258701</v>
      </c>
      <c r="N870" s="7">
        <f t="shared" si="151"/>
        <v>0.24447222759394899</v>
      </c>
      <c r="O870" s="12">
        <v>2.9157438</v>
      </c>
      <c r="P870" s="12">
        <v>-3.8313801000000001</v>
      </c>
      <c r="Q870" s="12">
        <v>2.5167579</v>
      </c>
      <c r="R870" s="12">
        <v>-14.07339</v>
      </c>
      <c r="S870" s="12">
        <f t="shared" si="152"/>
        <v>2.9693955713503337</v>
      </c>
      <c r="T870" s="12">
        <f t="shared" si="153"/>
        <v>-27.13265480226363</v>
      </c>
      <c r="U870" s="8"/>
      <c r="V870" s="8"/>
    </row>
    <row r="871" spans="1:22" x14ac:dyDescent="0.35">
      <c r="A871" s="10">
        <v>4.25</v>
      </c>
      <c r="B871">
        <v>15.75</v>
      </c>
      <c r="C871" s="10">
        <v>-0.13417451</v>
      </c>
      <c r="D871" s="10">
        <v>-8.8801755999999996E-2</v>
      </c>
      <c r="E871" s="10">
        <v>0.86584545999999996</v>
      </c>
      <c r="F871" s="10">
        <v>-9.5008691000000006E-2</v>
      </c>
      <c r="G871" s="10">
        <f t="shared" si="144"/>
        <v>2.0364990260551901</v>
      </c>
      <c r="H871" s="10">
        <f t="shared" si="145"/>
        <v>-1.73600457979435</v>
      </c>
      <c r="I871" s="10">
        <f t="shared" si="146"/>
        <v>2.0365186420847401</v>
      </c>
      <c r="J871" s="10">
        <f t="shared" si="147"/>
        <v>-1.73910795542944</v>
      </c>
      <c r="K871" s="7">
        <f t="shared" si="148"/>
        <v>-1.9616029550029199E-5</v>
      </c>
      <c r="L871" s="7">
        <f t="shared" si="149"/>
        <v>3.1033756350899999E-3</v>
      </c>
      <c r="M871" s="7">
        <f t="shared" si="150"/>
        <v>0.283957852003697</v>
      </c>
      <c r="N871" s="7">
        <f t="shared" si="151"/>
        <v>0.24248899529873999</v>
      </c>
      <c r="O871" s="10">
        <v>2.8332139000000001</v>
      </c>
      <c r="P871" s="10">
        <v>-4.0562543</v>
      </c>
      <c r="Q871" s="10">
        <v>1.9956495999999999</v>
      </c>
      <c r="R871" s="10">
        <v>-14.58619</v>
      </c>
      <c r="S871" s="10">
        <f t="shared" si="152"/>
        <v>2.9755052600028415</v>
      </c>
      <c r="T871" s="10">
        <f t="shared" si="153"/>
        <v>-27.142834426020379</v>
      </c>
      <c r="U871" s="8"/>
      <c r="V871" s="8"/>
    </row>
    <row r="872" spans="1:22" x14ac:dyDescent="0.35">
      <c r="A872" s="12">
        <v>4.25</v>
      </c>
      <c r="B872">
        <v>15.8125</v>
      </c>
      <c r="C872" s="12">
        <v>-0.14202418999999999</v>
      </c>
      <c r="D872" s="12">
        <v>-8.5526687000000004E-2</v>
      </c>
      <c r="E872" s="12">
        <v>0.85798512999999998</v>
      </c>
      <c r="F872" s="12">
        <v>-9.1819695000000007E-2</v>
      </c>
      <c r="G872" s="12">
        <f t="shared" si="144"/>
        <v>2.0331171771118499</v>
      </c>
      <c r="H872" s="12">
        <f t="shared" si="145"/>
        <v>-1.5800418478163401</v>
      </c>
      <c r="I872" s="12">
        <f t="shared" si="146"/>
        <v>2.0331317373411402</v>
      </c>
      <c r="J872" s="12">
        <f t="shared" si="147"/>
        <v>-1.5831882913401001</v>
      </c>
      <c r="K872" s="7">
        <f t="shared" si="148"/>
        <v>-1.4560229290250199E-5</v>
      </c>
      <c r="L872" s="7">
        <f t="shared" si="149"/>
        <v>3.1464435237600302E-3</v>
      </c>
      <c r="M872" s="7">
        <f t="shared" si="150"/>
        <v>0.30618947430757898</v>
      </c>
      <c r="N872" s="7">
        <f t="shared" si="151"/>
        <v>0.23842802792960599</v>
      </c>
      <c r="O872" s="12">
        <v>2.7281347</v>
      </c>
      <c r="P872" s="12">
        <v>-4.2824135999999999</v>
      </c>
      <c r="Q872" s="12">
        <v>1.4106282999999999</v>
      </c>
      <c r="R872" s="12">
        <v>-15.073212</v>
      </c>
      <c r="S872" s="12">
        <f t="shared" si="152"/>
        <v>2.9815551579981023</v>
      </c>
      <c r="T872" s="12">
        <f t="shared" si="153"/>
        <v>-27.15293418390079</v>
      </c>
      <c r="U872" s="8"/>
      <c r="V872" s="8"/>
    </row>
    <row r="873" spans="1:22" x14ac:dyDescent="0.35">
      <c r="A873" s="10">
        <v>4.25</v>
      </c>
      <c r="B873">
        <v>15.875</v>
      </c>
      <c r="C873" s="10">
        <v>-0.14986224000000001</v>
      </c>
      <c r="D873" s="10">
        <v>-8.1428322999999997E-2</v>
      </c>
      <c r="E873" s="10">
        <v>0.85017670000000001</v>
      </c>
      <c r="F873" s="10">
        <v>-8.7815615E-2</v>
      </c>
      <c r="G873" s="10">
        <f t="shared" si="144"/>
        <v>2.0299392277894501</v>
      </c>
      <c r="H873" s="10">
        <f t="shared" si="145"/>
        <v>-1.4271655120656099</v>
      </c>
      <c r="I873" s="10">
        <f t="shared" si="146"/>
        <v>2.0299688960853999</v>
      </c>
      <c r="J873" s="10">
        <f t="shared" si="147"/>
        <v>-1.43035900113834</v>
      </c>
      <c r="K873" s="7">
        <f t="shared" si="148"/>
        <v>-2.96682959497474E-5</v>
      </c>
      <c r="L873" s="7">
        <f t="shared" si="149"/>
        <v>3.1934890727300901E-3</v>
      </c>
      <c r="M873" s="7">
        <f t="shared" si="150"/>
        <v>0.32918233438775402</v>
      </c>
      <c r="N873" s="7">
        <f t="shared" si="151"/>
        <v>0.231948832277796</v>
      </c>
      <c r="O873" s="10">
        <v>2.5979657</v>
      </c>
      <c r="P873" s="10">
        <v>-4.5078658999999996</v>
      </c>
      <c r="Q873" s="10">
        <v>0.75952154000000005</v>
      </c>
      <c r="R873" s="10">
        <v>-15.524464999999999</v>
      </c>
      <c r="S873" s="10">
        <f t="shared" si="152"/>
        <v>2.9873726428992815</v>
      </c>
      <c r="T873" s="10">
        <f t="shared" si="153"/>
        <v>-27.154720355594119</v>
      </c>
      <c r="U873" s="8"/>
      <c r="V873" s="8"/>
    </row>
    <row r="874" spans="1:22" x14ac:dyDescent="0.35">
      <c r="A874" s="12">
        <v>4.25</v>
      </c>
      <c r="B874">
        <v>15.9375</v>
      </c>
      <c r="C874" s="12">
        <v>-0.15755678000000001</v>
      </c>
      <c r="D874" s="12">
        <v>-7.6491274999999997E-2</v>
      </c>
      <c r="E874" s="12">
        <v>0.84247472000000001</v>
      </c>
      <c r="F874" s="12">
        <v>-8.2972084000000002E-2</v>
      </c>
      <c r="G874" s="12">
        <f t="shared" si="144"/>
        <v>2.0266007592025201</v>
      </c>
      <c r="H874" s="12">
        <f t="shared" si="145"/>
        <v>-1.2771017861129501</v>
      </c>
      <c r="I874" s="12">
        <f t="shared" si="146"/>
        <v>2.02662700856943</v>
      </c>
      <c r="J874" s="12">
        <f t="shared" si="147"/>
        <v>-1.28034205452016</v>
      </c>
      <c r="K874" s="7">
        <f t="shared" si="148"/>
        <v>-2.6249366909869599E-5</v>
      </c>
      <c r="L874" s="7">
        <f t="shared" si="149"/>
        <v>3.24026840720992E-3</v>
      </c>
      <c r="M874" s="7">
        <f t="shared" si="150"/>
        <v>0.35267198204691003</v>
      </c>
      <c r="N874" s="7">
        <f t="shared" si="151"/>
        <v>0.222804081933347</v>
      </c>
      <c r="O874" s="12">
        <v>2.4442974999999998</v>
      </c>
      <c r="P874" s="12">
        <v>-4.7273290000000001</v>
      </c>
      <c r="Q874" s="12">
        <v>4.9241008000000003E-2</v>
      </c>
      <c r="R874" s="12">
        <v>-15.929235</v>
      </c>
      <c r="S874" s="12">
        <f t="shared" si="152"/>
        <v>2.9931830256100813</v>
      </c>
      <c r="T874" s="12">
        <f t="shared" si="153"/>
        <v>-27.164416566168757</v>
      </c>
      <c r="U874" s="8"/>
      <c r="V874" s="8"/>
    </row>
    <row r="875" spans="1:22" x14ac:dyDescent="0.35">
      <c r="A875" s="10">
        <v>4.25</v>
      </c>
      <c r="B875">
        <v>16</v>
      </c>
      <c r="C875" s="10">
        <v>-0.16498779999999999</v>
      </c>
      <c r="D875" s="10">
        <v>-7.0694835999999997E-2</v>
      </c>
      <c r="E875" s="10">
        <v>0.83503340999999998</v>
      </c>
      <c r="F875" s="10">
        <v>-7.7270161000000004E-2</v>
      </c>
      <c r="G875" s="10">
        <f t="shared" si="144"/>
        <v>2.0232797340206301</v>
      </c>
      <c r="H875" s="10">
        <f t="shared" si="145"/>
        <v>-1.1299025010752</v>
      </c>
      <c r="I875" s="10">
        <f t="shared" si="146"/>
        <v>2.02330114717219</v>
      </c>
      <c r="J875" s="10">
        <f t="shared" si="147"/>
        <v>-1.13319005831144</v>
      </c>
      <c r="K875" s="7">
        <f t="shared" si="148"/>
        <v>-2.1413151559901398E-5</v>
      </c>
      <c r="L875" s="7">
        <f t="shared" si="149"/>
        <v>3.28755723624008E-3</v>
      </c>
      <c r="M875" s="7">
        <f t="shared" si="150"/>
        <v>0.376227425617916</v>
      </c>
      <c r="N875" s="7">
        <f t="shared" si="151"/>
        <v>0.210713654252699</v>
      </c>
      <c r="O875" s="10">
        <v>2.2656589999999999</v>
      </c>
      <c r="P875" s="10">
        <v>-4.9376908999999998</v>
      </c>
      <c r="Q875" s="10">
        <v>-0.71806826000000001</v>
      </c>
      <c r="R875" s="10">
        <v>-16.276873999999999</v>
      </c>
      <c r="S875" s="10">
        <f t="shared" si="152"/>
        <v>2.999018554287646</v>
      </c>
      <c r="T875" s="10">
        <f t="shared" si="153"/>
        <v>-27.174033832008359</v>
      </c>
      <c r="U875" s="8"/>
      <c r="V875" s="8"/>
    </row>
    <row r="876" spans="1:22" x14ac:dyDescent="0.35">
      <c r="A876" s="12">
        <v>4.25</v>
      </c>
      <c r="B876">
        <v>16.0625</v>
      </c>
      <c r="C876" s="12">
        <v>-0.17202012</v>
      </c>
      <c r="D876" s="12">
        <v>-6.4050820999999994E-2</v>
      </c>
      <c r="E876" s="12">
        <v>0.82798780999999999</v>
      </c>
      <c r="F876" s="12">
        <v>-7.0721272000000002E-2</v>
      </c>
      <c r="G876" s="12">
        <f t="shared" si="144"/>
        <v>2.0199741921144301</v>
      </c>
      <c r="H876" s="12">
        <f t="shared" si="145"/>
        <v>-0.98551648010424997</v>
      </c>
      <c r="I876" s="12">
        <f t="shared" si="146"/>
        <v>2.0199892805717901</v>
      </c>
      <c r="J876" s="12">
        <f t="shared" si="147"/>
        <v>-0.988851642056923</v>
      </c>
      <c r="K876" s="7">
        <f t="shared" si="148"/>
        <v>-1.5088457359979701E-5</v>
      </c>
      <c r="L876" s="7">
        <f t="shared" si="149"/>
        <v>3.33516195267303E-3</v>
      </c>
      <c r="M876" s="7">
        <f t="shared" si="150"/>
        <v>0.39935067116845202</v>
      </c>
      <c r="N876" s="7">
        <f t="shared" si="151"/>
        <v>0.19549537749511001</v>
      </c>
      <c r="O876" s="12">
        <v>2.0625081999999999</v>
      </c>
      <c r="P876" s="12">
        <v>-5.1347253999999998</v>
      </c>
      <c r="Q876" s="12">
        <v>-1.5357803000000001</v>
      </c>
      <c r="R876" s="12">
        <v>-16.55724</v>
      </c>
      <c r="S876" s="12">
        <f t="shared" si="152"/>
        <v>3.0050400309621788</v>
      </c>
      <c r="T876" s="12">
        <f t="shared" si="153"/>
        <v>-27.183615302031036</v>
      </c>
      <c r="U876" s="8"/>
      <c r="V876" s="8"/>
    </row>
    <row r="877" spans="1:22" x14ac:dyDescent="0.35">
      <c r="A877" s="10">
        <v>4.25</v>
      </c>
      <c r="B877">
        <v>16.125</v>
      </c>
      <c r="C877" s="10">
        <v>-0.17852125999999999</v>
      </c>
      <c r="D877" s="10">
        <v>-5.6590285999999997E-2</v>
      </c>
      <c r="E877" s="10">
        <v>0.82146936999999998</v>
      </c>
      <c r="F877" s="10">
        <v>-6.3355740999999993E-2</v>
      </c>
      <c r="G877" s="10">
        <f t="shared" si="144"/>
        <v>2.0166956014300701</v>
      </c>
      <c r="H877" s="10">
        <f t="shared" si="145"/>
        <v>-0.84375450435770905</v>
      </c>
      <c r="I877" s="10">
        <f t="shared" si="146"/>
        <v>2.0167023592833502</v>
      </c>
      <c r="J877" s="10">
        <f t="shared" si="147"/>
        <v>-0.84713722484577902</v>
      </c>
      <c r="K877" s="7">
        <f t="shared" si="148"/>
        <v>-6.7578532800815998E-6</v>
      </c>
      <c r="L877" s="7">
        <f t="shared" si="149"/>
        <v>3.3827204880699799E-3</v>
      </c>
      <c r="M877" s="7">
        <f t="shared" si="150"/>
        <v>0.421487191193615</v>
      </c>
      <c r="N877" s="7">
        <f t="shared" si="151"/>
        <v>0.17705016697788001</v>
      </c>
      <c r="O877" s="10">
        <v>1.8364012000000001</v>
      </c>
      <c r="P877" s="10">
        <v>-5.3157448</v>
      </c>
      <c r="Q877" s="10">
        <v>-2.3958929000000002</v>
      </c>
      <c r="R877" s="10">
        <v>-16.761182999999999</v>
      </c>
      <c r="S877" s="10">
        <f t="shared" si="152"/>
        <v>3.0105829777830637</v>
      </c>
      <c r="T877" s="10">
        <f t="shared" si="153"/>
        <v>-27.193135038954644</v>
      </c>
      <c r="U877" s="8"/>
      <c r="V877" s="8"/>
    </row>
    <row r="878" spans="1:22" x14ac:dyDescent="0.35">
      <c r="A878" s="12">
        <v>4.25</v>
      </c>
      <c r="B878">
        <v>16.1875</v>
      </c>
      <c r="C878" s="12">
        <v>-0.18434866999999999</v>
      </c>
      <c r="D878" s="12">
        <v>-4.8397444999999997E-2</v>
      </c>
      <c r="E878" s="12">
        <v>0.81562027999999998</v>
      </c>
      <c r="F878" s="12">
        <v>-5.5257133999999999E-2</v>
      </c>
      <c r="G878" s="12">
        <f t="shared" si="144"/>
        <v>2.01340393241765</v>
      </c>
      <c r="H878" s="12">
        <f t="shared" si="145"/>
        <v>-0.70483663824645504</v>
      </c>
      <c r="I878" s="12">
        <f t="shared" si="146"/>
        <v>2.0134001714194398</v>
      </c>
      <c r="J878" s="12">
        <f t="shared" si="147"/>
        <v>-0.70826654889545804</v>
      </c>
      <c r="K878" s="7">
        <f t="shared" si="148"/>
        <v>3.7609982102004801E-6</v>
      </c>
      <c r="L878" s="7">
        <f t="shared" si="149"/>
        <v>3.4299106490030002E-3</v>
      </c>
      <c r="M878" s="7">
        <f t="shared" si="150"/>
        <v>0.44197887262704699</v>
      </c>
      <c r="N878" s="7">
        <f t="shared" si="151"/>
        <v>0.15547771140774899</v>
      </c>
      <c r="O878" s="12">
        <v>1.5895835</v>
      </c>
      <c r="P878" s="12">
        <v>-5.4755770000000004</v>
      </c>
      <c r="Q878" s="12">
        <v>-3.2856287000000002</v>
      </c>
      <c r="R878" s="12">
        <v>-16.880755000000001</v>
      </c>
      <c r="S878" s="12">
        <f t="shared" si="152"/>
        <v>3.016242800889136</v>
      </c>
      <c r="T878" s="12">
        <f t="shared" si="153"/>
        <v>-27.202441012023762</v>
      </c>
      <c r="U878" s="8"/>
      <c r="V878" s="8"/>
    </row>
    <row r="879" spans="1:22" x14ac:dyDescent="0.35">
      <c r="A879" s="10">
        <v>4.25</v>
      </c>
      <c r="B879">
        <v>16.25</v>
      </c>
      <c r="C879" s="10">
        <v>-0.18938688000000001</v>
      </c>
      <c r="D879" s="10">
        <v>-3.9562751E-2</v>
      </c>
      <c r="E879" s="10">
        <v>0.81055716</v>
      </c>
      <c r="F879" s="10">
        <v>-4.6515137999999998E-2</v>
      </c>
      <c r="G879" s="10">
        <f t="shared" si="144"/>
        <v>2.01012129893514</v>
      </c>
      <c r="H879" s="10">
        <f t="shared" si="145"/>
        <v>-0.56861110792397296</v>
      </c>
      <c r="I879" s="10">
        <f t="shared" si="146"/>
        <v>2.0101054029418299</v>
      </c>
      <c r="J879" s="10">
        <f t="shared" si="147"/>
        <v>-0.57208745394968297</v>
      </c>
      <c r="K879" s="7">
        <f t="shared" si="148"/>
        <v>1.58959933100888E-5</v>
      </c>
      <c r="L879" s="7">
        <f t="shared" si="149"/>
        <v>3.47634602571001E-3</v>
      </c>
      <c r="M879" s="7">
        <f t="shared" si="150"/>
        <v>0.46020921740869702</v>
      </c>
      <c r="N879" s="7">
        <f t="shared" si="151"/>
        <v>0.13097816616293001</v>
      </c>
      <c r="O879" s="10">
        <v>1.3250485999999999</v>
      </c>
      <c r="P879" s="10">
        <v>-5.6114176000000002</v>
      </c>
      <c r="Q879" s="10">
        <v>-4.1929905999999999</v>
      </c>
      <c r="R879" s="10">
        <v>-16.910751000000001</v>
      </c>
      <c r="S879" s="10">
        <f t="shared" si="152"/>
        <v>3.0217837508040071</v>
      </c>
      <c r="T879" s="10">
        <f t="shared" si="153"/>
        <v>-27.211676130439955</v>
      </c>
      <c r="U879" s="8"/>
      <c r="V879" s="8"/>
    </row>
    <row r="880" spans="1:22" x14ac:dyDescent="0.35">
      <c r="A880" s="12">
        <v>4.25</v>
      </c>
      <c r="B880">
        <v>16.3125</v>
      </c>
      <c r="C880" s="12">
        <v>-0.19353651999999999</v>
      </c>
      <c r="D880" s="12">
        <v>-3.0206608999999999E-2</v>
      </c>
      <c r="E880" s="12">
        <v>0.80637987</v>
      </c>
      <c r="F880" s="12">
        <v>-3.7249392999999999E-2</v>
      </c>
      <c r="G880" s="12">
        <f t="shared" si="144"/>
        <v>2.00684704133401</v>
      </c>
      <c r="H880" s="12">
        <f t="shared" si="145"/>
        <v>-0.43501557715369599</v>
      </c>
      <c r="I880" s="12">
        <f t="shared" si="146"/>
        <v>2.0068176361894001</v>
      </c>
      <c r="J880" s="12">
        <f t="shared" si="147"/>
        <v>-0.43853721992301198</v>
      </c>
      <c r="K880" s="7">
        <f t="shared" si="148"/>
        <v>2.94051446099175E-5</v>
      </c>
      <c r="L880" s="7">
        <f t="shared" si="149"/>
        <v>3.52164276931599E-3</v>
      </c>
      <c r="M880" s="7">
        <f t="shared" si="150"/>
        <v>0.47559068542064598</v>
      </c>
      <c r="N880" s="7">
        <f t="shared" si="151"/>
        <v>0.103927837410119</v>
      </c>
      <c r="O880" s="12">
        <v>1.0464564000000001</v>
      </c>
      <c r="P880" s="12">
        <v>-5.7205443000000002</v>
      </c>
      <c r="Q880" s="12">
        <v>-5.1042350000000001</v>
      </c>
      <c r="R880" s="12">
        <v>-16.848274</v>
      </c>
      <c r="S880" s="12">
        <f t="shared" si="152"/>
        <v>3.0271798446894724</v>
      </c>
      <c r="T880" s="12">
        <f t="shared" si="153"/>
        <v>-27.220813132728345</v>
      </c>
      <c r="U880" s="8"/>
      <c r="V880" s="8"/>
    </row>
    <row r="881" spans="1:22" x14ac:dyDescent="0.35">
      <c r="A881" s="10">
        <v>4.25</v>
      </c>
      <c r="B881">
        <v>16.375</v>
      </c>
      <c r="C881" s="10">
        <v>-0.19672027</v>
      </c>
      <c r="D881" s="10">
        <v>-2.0460557000000001E-2</v>
      </c>
      <c r="E881" s="10">
        <v>0.80328012999999998</v>
      </c>
      <c r="F881" s="10">
        <v>-2.7422961999999999E-2</v>
      </c>
      <c r="G881" s="10">
        <f t="shared" si="144"/>
        <v>2.0045785462471502</v>
      </c>
      <c r="H881" s="10">
        <f t="shared" si="145"/>
        <v>-0.30307918126787697</v>
      </c>
      <c r="I881" s="10">
        <f t="shared" si="146"/>
        <v>2.00459086486382</v>
      </c>
      <c r="J881" s="10">
        <f t="shared" si="147"/>
        <v>-0.30656034018804601</v>
      </c>
      <c r="K881" s="7">
        <f t="shared" si="148"/>
        <v>-1.23186166698375E-5</v>
      </c>
      <c r="L881" s="7">
        <f t="shared" si="149"/>
        <v>3.4811589201690402E-3</v>
      </c>
      <c r="M881" s="7">
        <f t="shared" si="150"/>
        <v>0.487454654607128</v>
      </c>
      <c r="N881" s="7">
        <f t="shared" si="151"/>
        <v>7.4546017026152295E-2</v>
      </c>
      <c r="O881" s="10">
        <v>0.75722370000000006</v>
      </c>
      <c r="P881" s="10">
        <v>-5.8004189999999998</v>
      </c>
      <c r="Q881" s="10">
        <v>-6.0055445000000001</v>
      </c>
      <c r="R881" s="10">
        <v>-16.692426000000001</v>
      </c>
      <c r="S881" s="10">
        <f t="shared" si="152"/>
        <v>3.0326479930715911</v>
      </c>
      <c r="T881" s="10">
        <f t="shared" si="153"/>
        <v>-27.225239853053129</v>
      </c>
      <c r="U881" s="8"/>
      <c r="V881" s="8"/>
    </row>
    <row r="882" spans="1:22" x14ac:dyDescent="0.35">
      <c r="A882" s="12">
        <v>4.25</v>
      </c>
      <c r="B882">
        <v>16.4375</v>
      </c>
      <c r="C882" s="12">
        <v>-0.19889966000000001</v>
      </c>
      <c r="D882" s="12">
        <v>-1.0493971E-2</v>
      </c>
      <c r="E882" s="12">
        <v>0.80109439000000005</v>
      </c>
      <c r="F882" s="12">
        <v>-1.7545511E-2</v>
      </c>
      <c r="G882" s="12">
        <f t="shared" si="144"/>
        <v>2.0013607336171999</v>
      </c>
      <c r="H882" s="12">
        <f t="shared" si="145"/>
        <v>-0.174546987369219</v>
      </c>
      <c r="I882" s="12">
        <f t="shared" si="146"/>
        <v>2.0013701896188598</v>
      </c>
      <c r="J882" s="12">
        <f t="shared" si="147"/>
        <v>-0.17807273451863001</v>
      </c>
      <c r="K882" s="7">
        <f t="shared" si="148"/>
        <v>-9.4560016599132302E-6</v>
      </c>
      <c r="L882" s="7">
        <f t="shared" si="149"/>
        <v>3.5257471494110101E-3</v>
      </c>
      <c r="M882" s="7">
        <f t="shared" si="150"/>
        <v>0.49573315427238501</v>
      </c>
      <c r="N882" s="7">
        <f t="shared" si="151"/>
        <v>4.4108060982781298E-2</v>
      </c>
      <c r="O882" s="12">
        <v>0.46336469000000002</v>
      </c>
      <c r="P882" s="12">
        <v>-5.8505804000000001</v>
      </c>
      <c r="Q882" s="12">
        <v>-6.8820959999999998</v>
      </c>
      <c r="R882" s="12">
        <v>-16.447935000000001</v>
      </c>
      <c r="S882" s="12">
        <f t="shared" si="152"/>
        <v>3.0379945613879547</v>
      </c>
      <c r="T882" s="12">
        <f t="shared" si="153"/>
        <v>-27.233625150198929</v>
      </c>
      <c r="U882" s="8"/>
      <c r="V882" s="8"/>
    </row>
    <row r="883" spans="1:22" x14ac:dyDescent="0.35">
      <c r="A883" s="10">
        <v>4.25</v>
      </c>
      <c r="B883">
        <v>16.5</v>
      </c>
      <c r="C883" s="10">
        <v>-0.20005936999999999</v>
      </c>
      <c r="D883" s="10">
        <v>-4.6850144E-4</v>
      </c>
      <c r="E883" s="10">
        <v>0.79992828000000005</v>
      </c>
      <c r="F883" s="10">
        <v>-7.6096089000000002E-3</v>
      </c>
      <c r="G883" s="10">
        <f t="shared" si="144"/>
        <v>1.9981594628733499</v>
      </c>
      <c r="H883" s="10">
        <f t="shared" si="145"/>
        <v>-4.8649281032649497E-2</v>
      </c>
      <c r="I883" s="10">
        <f t="shared" si="146"/>
        <v>1.9981660367628</v>
      </c>
      <c r="J883" s="10">
        <f t="shared" si="147"/>
        <v>-5.2219833338384501E-2</v>
      </c>
      <c r="K883" s="7">
        <f t="shared" si="148"/>
        <v>-6.5738894501343703E-6</v>
      </c>
      <c r="L883" s="7">
        <f t="shared" si="149"/>
        <v>3.5705523057350001E-3</v>
      </c>
      <c r="M883" s="7">
        <f t="shared" si="150"/>
        <v>0.50011734161392396</v>
      </c>
      <c r="N883" s="7">
        <f t="shared" si="151"/>
        <v>1.3070007070596201E-2</v>
      </c>
      <c r="O883" s="10">
        <v>0.16921847000000001</v>
      </c>
      <c r="P883" s="10">
        <v>-5.8707777999999999</v>
      </c>
      <c r="Q883" s="10">
        <v>-7.7203159000000001</v>
      </c>
      <c r="R883" s="10">
        <v>-16.120148</v>
      </c>
      <c r="S883" s="10">
        <f t="shared" si="152"/>
        <v>3.0432240741625765</v>
      </c>
      <c r="T883" s="10">
        <f t="shared" si="153"/>
        <v>-27.241878742928947</v>
      </c>
      <c r="U883" s="8"/>
      <c r="V883" s="8"/>
    </row>
    <row r="884" spans="1:22" x14ac:dyDescent="0.35">
      <c r="A884" s="12">
        <v>4.25</v>
      </c>
      <c r="B884">
        <v>16.5625</v>
      </c>
      <c r="C884" s="12">
        <v>-0.20022276</v>
      </c>
      <c r="D884" s="12">
        <v>9.4743812999999993E-3</v>
      </c>
      <c r="E884" s="12">
        <v>0.79975889</v>
      </c>
      <c r="F884" s="12">
        <v>2.2461934000000002E-3</v>
      </c>
      <c r="G884" s="12">
        <f t="shared" si="144"/>
        <v>1.99496507271567</v>
      </c>
      <c r="H884" s="12">
        <f t="shared" si="145"/>
        <v>7.4828493611857505E-2</v>
      </c>
      <c r="I884" s="12">
        <f t="shared" si="146"/>
        <v>1.99496895949549</v>
      </c>
      <c r="J884" s="12">
        <f t="shared" si="147"/>
        <v>7.1214380549557602E-2</v>
      </c>
      <c r="K884" s="7">
        <f t="shared" si="148"/>
        <v>-3.8867798199948601E-6</v>
      </c>
      <c r="L884" s="7">
        <f t="shared" si="149"/>
        <v>3.6141130622999E-3</v>
      </c>
      <c r="M884" s="7">
        <f t="shared" si="150"/>
        <v>0.50062300071986299</v>
      </c>
      <c r="N884" s="7">
        <f t="shared" si="151"/>
        <v>-1.7870732632422399E-2</v>
      </c>
      <c r="O884" s="12">
        <v>-0.12113176</v>
      </c>
      <c r="P884" s="12">
        <v>-5.8615994999999996</v>
      </c>
      <c r="Q884" s="12">
        <v>-8.5099836</v>
      </c>
      <c r="R884" s="12">
        <v>-15.716737999999999</v>
      </c>
      <c r="S884" s="12">
        <f t="shared" si="152"/>
        <v>3.0484765072624596</v>
      </c>
      <c r="T884" s="12">
        <f t="shared" si="153"/>
        <v>-27.249902551657609</v>
      </c>
      <c r="U884" s="8"/>
      <c r="V884" s="8"/>
    </row>
    <row r="885" spans="1:22" x14ac:dyDescent="0.35">
      <c r="A885" s="10">
        <v>4.25</v>
      </c>
      <c r="B885">
        <v>16.625</v>
      </c>
      <c r="C885" s="10">
        <v>-0.19943875</v>
      </c>
      <c r="D885" s="10">
        <v>1.9185952999999999E-2</v>
      </c>
      <c r="E885" s="10">
        <v>0.80053750999999995</v>
      </c>
      <c r="F885" s="10">
        <v>1.186982E-2</v>
      </c>
      <c r="G885" s="10">
        <f t="shared" si="144"/>
        <v>1.9917823773265899</v>
      </c>
      <c r="H885" s="10">
        <f t="shared" si="145"/>
        <v>0.19582256133562101</v>
      </c>
      <c r="I885" s="10">
        <f t="shared" si="146"/>
        <v>1.9917838889336601</v>
      </c>
      <c r="J885" s="10">
        <f t="shared" si="147"/>
        <v>0.192164456943482</v>
      </c>
      <c r="K885" s="7">
        <f t="shared" si="148"/>
        <v>-1.5116070701815E-6</v>
      </c>
      <c r="L885" s="7">
        <f t="shared" si="149"/>
        <v>3.6581043921390102E-3</v>
      </c>
      <c r="M885" s="7">
        <f t="shared" si="150"/>
        <v>0.497432343650828</v>
      </c>
      <c r="N885" s="7">
        <f t="shared" si="151"/>
        <v>-4.7991560085848303E-2</v>
      </c>
      <c r="O885" s="10">
        <v>-0.40333762000000001</v>
      </c>
      <c r="P885" s="10">
        <v>-5.8250109999999999</v>
      </c>
      <c r="Q885" s="10">
        <v>-9.2412945000000004</v>
      </c>
      <c r="R885" s="10">
        <v>-15.247966999999999</v>
      </c>
      <c r="S885" s="10">
        <f t="shared" si="152"/>
        <v>3.0535938266980676</v>
      </c>
      <c r="T885" s="10">
        <f t="shared" si="153"/>
        <v>-27.257710263830155</v>
      </c>
      <c r="U885" s="8"/>
      <c r="V885" s="8"/>
    </row>
    <row r="886" spans="1:22" x14ac:dyDescent="0.35">
      <c r="A886" s="12">
        <v>4.25</v>
      </c>
      <c r="B886">
        <v>16.6875</v>
      </c>
      <c r="C886" s="12">
        <v>-0.19778146999999999</v>
      </c>
      <c r="D886" s="12">
        <v>2.8543727000000001E-2</v>
      </c>
      <c r="E886" s="12">
        <v>0.80219004000000005</v>
      </c>
      <c r="F886" s="12">
        <v>2.1139082E-2</v>
      </c>
      <c r="G886" s="12">
        <f t="shared" si="144"/>
        <v>1.98860770746603</v>
      </c>
      <c r="H886" s="12">
        <f t="shared" si="145"/>
        <v>0.314398424663698</v>
      </c>
      <c r="I886" s="12">
        <f t="shared" si="146"/>
        <v>1.9886071698529</v>
      </c>
      <c r="J886" s="12">
        <f t="shared" si="147"/>
        <v>0.31069604743291701</v>
      </c>
      <c r="K886" s="7">
        <f t="shared" si="148"/>
        <v>5.37613130013881E-7</v>
      </c>
      <c r="L886" s="7">
        <f t="shared" si="149"/>
        <v>3.70237723078098E-3</v>
      </c>
      <c r="M886" s="7">
        <f t="shared" si="150"/>
        <v>0.490881940307825</v>
      </c>
      <c r="N886" s="7">
        <f t="shared" si="151"/>
        <v>-7.6694422569704601E-2</v>
      </c>
      <c r="O886" s="12">
        <v>-0.67392187999999997</v>
      </c>
      <c r="P886" s="12">
        <v>-5.7632697999999998</v>
      </c>
      <c r="Q886" s="12">
        <v>-9.9076809000000008</v>
      </c>
      <c r="R886" s="12">
        <v>-14.724824</v>
      </c>
      <c r="S886" s="12">
        <f t="shared" si="152"/>
        <v>3.0586181550394547</v>
      </c>
      <c r="T886" s="12">
        <f t="shared" si="153"/>
        <v>-27.265327663115631</v>
      </c>
      <c r="U886" s="8"/>
      <c r="V886" s="8"/>
    </row>
    <row r="887" spans="1:22" x14ac:dyDescent="0.35">
      <c r="A887" s="10">
        <v>4.25</v>
      </c>
      <c r="B887">
        <v>16.75</v>
      </c>
      <c r="C887" s="10">
        <v>-0.19534235</v>
      </c>
      <c r="D887" s="10">
        <v>3.7445697999999999E-2</v>
      </c>
      <c r="E887" s="10">
        <v>0.80462517</v>
      </c>
      <c r="F887" s="10">
        <v>2.9952042000000002E-2</v>
      </c>
      <c r="G887" s="10">
        <f t="shared" si="144"/>
        <v>1.9854418718148901</v>
      </c>
      <c r="H887" s="10">
        <f t="shared" si="145"/>
        <v>0.43060578862242699</v>
      </c>
      <c r="I887" s="10">
        <f t="shared" si="146"/>
        <v>1.9854396707581099</v>
      </c>
      <c r="J887" s="10">
        <f t="shared" si="147"/>
        <v>0.426858891525838</v>
      </c>
      <c r="K887" s="7">
        <f t="shared" si="148"/>
        <v>2.2010567801711302E-6</v>
      </c>
      <c r="L887" s="7">
        <f t="shared" si="149"/>
        <v>3.7468970965889902E-3</v>
      </c>
      <c r="M887" s="7">
        <f t="shared" si="150"/>
        <v>0.481414500854219</v>
      </c>
      <c r="N887" s="7">
        <f t="shared" si="151"/>
        <v>-0.103501538337164</v>
      </c>
      <c r="O887" s="10">
        <v>-0.93000574999999996</v>
      </c>
      <c r="P887" s="10">
        <v>-5.6791270999999997</v>
      </c>
      <c r="Q887" s="10">
        <v>-10.504918999999999</v>
      </c>
      <c r="R887" s="10">
        <v>-14.158879000000001</v>
      </c>
      <c r="S887" s="10">
        <f t="shared" si="152"/>
        <v>3.0635953839470687</v>
      </c>
      <c r="T887" s="10">
        <f t="shared" si="153"/>
        <v>-27.272757549737072</v>
      </c>
      <c r="U887" s="8"/>
      <c r="V887" s="8"/>
    </row>
    <row r="888" spans="1:22" x14ac:dyDescent="0.35">
      <c r="A888" s="12">
        <v>4.25</v>
      </c>
      <c r="B888">
        <v>16.8125</v>
      </c>
      <c r="C888" s="12">
        <v>-0.19220805999999999</v>
      </c>
      <c r="D888" s="12">
        <v>4.5847981000000003E-2</v>
      </c>
      <c r="E888" s="12">
        <v>0.80775657000000001</v>
      </c>
      <c r="F888" s="12">
        <v>3.8255073000000001E-2</v>
      </c>
      <c r="G888" s="12">
        <f t="shared" si="144"/>
        <v>1.98231532660385</v>
      </c>
      <c r="H888" s="12">
        <f t="shared" si="145"/>
        <v>0.54493208979677998</v>
      </c>
      <c r="I888" s="12">
        <f t="shared" si="146"/>
        <v>1.98231205491103</v>
      </c>
      <c r="J888" s="12">
        <f t="shared" si="147"/>
        <v>0.54113555623425302</v>
      </c>
      <c r="K888" s="7">
        <f t="shared" si="148"/>
        <v>3.2716928199949502E-6</v>
      </c>
      <c r="L888" s="7">
        <f t="shared" si="149"/>
        <v>3.7965335625269598E-3</v>
      </c>
      <c r="M888" s="7">
        <f t="shared" si="150"/>
        <v>0.46947644126513399</v>
      </c>
      <c r="N888" s="7">
        <f t="shared" si="151"/>
        <v>-0.12815862898754801</v>
      </c>
      <c r="O888" s="12">
        <v>-1.1703648</v>
      </c>
      <c r="P888" s="12">
        <v>-5.5753684999999997</v>
      </c>
      <c r="Q888" s="12">
        <v>-11.033053000000001</v>
      </c>
      <c r="R888" s="12">
        <v>-13.559094</v>
      </c>
      <c r="S888" s="12">
        <f t="shared" si="152"/>
        <v>3.0684790157498125</v>
      </c>
      <c r="T888" s="12">
        <f t="shared" si="153"/>
        <v>-27.280069573717238</v>
      </c>
      <c r="U888" s="8"/>
      <c r="V888" s="8"/>
    </row>
    <row r="889" spans="1:22" x14ac:dyDescent="0.35">
      <c r="A889" s="10">
        <v>4.25</v>
      </c>
      <c r="B889">
        <v>16.875</v>
      </c>
      <c r="C889" s="10">
        <v>-0.18851751</v>
      </c>
      <c r="D889" s="10">
        <v>5.3624350000000001E-2</v>
      </c>
      <c r="E889" s="10">
        <v>0.81144355999999995</v>
      </c>
      <c r="F889" s="10">
        <v>4.5939898E-2</v>
      </c>
      <c r="G889" s="10">
        <f t="shared" si="144"/>
        <v>1.9791568289036101</v>
      </c>
      <c r="H889" s="10">
        <f t="shared" si="145"/>
        <v>0.65652790504592795</v>
      </c>
      <c r="I889" s="10">
        <f t="shared" si="146"/>
        <v>1.9791521268695</v>
      </c>
      <c r="J889" s="10">
        <f t="shared" si="147"/>
        <v>0.65268558618891603</v>
      </c>
      <c r="K889" s="7">
        <f t="shared" si="148"/>
        <v>4.7020341100712002E-6</v>
      </c>
      <c r="L889" s="7">
        <f t="shared" si="149"/>
        <v>3.8423188570119201E-3</v>
      </c>
      <c r="M889" s="7">
        <f t="shared" si="150"/>
        <v>0.45570646150614202</v>
      </c>
      <c r="N889" s="7">
        <f t="shared" si="151"/>
        <v>-0.15028306056931301</v>
      </c>
      <c r="O889" s="10">
        <v>-1.3915556</v>
      </c>
      <c r="P889" s="10">
        <v>-5.4559344999999997</v>
      </c>
      <c r="Q889" s="10">
        <v>-11.488085999999999</v>
      </c>
      <c r="R889" s="10">
        <v>-12.941402</v>
      </c>
      <c r="S889" s="10">
        <f t="shared" si="152"/>
        <v>3.0733490921469144</v>
      </c>
      <c r="T889" s="10">
        <f t="shared" si="153"/>
        <v>-27.287039070120471</v>
      </c>
      <c r="U889" s="8"/>
      <c r="V889" s="8"/>
    </row>
    <row r="890" spans="1:22" x14ac:dyDescent="0.35">
      <c r="A890" s="12">
        <v>4.25</v>
      </c>
      <c r="B890">
        <v>16.9375</v>
      </c>
      <c r="C890" s="12">
        <v>-0.18437011</v>
      </c>
      <c r="D890" s="12">
        <v>6.0770596000000003E-2</v>
      </c>
      <c r="E890" s="12">
        <v>0.81558808999999999</v>
      </c>
      <c r="F890" s="12">
        <v>5.2995604000000002E-2</v>
      </c>
      <c r="G890" s="12">
        <f t="shared" si="144"/>
        <v>1.97599842131374</v>
      </c>
      <c r="H890" s="12">
        <f t="shared" si="145"/>
        <v>0.76576792126453497</v>
      </c>
      <c r="I890" s="12">
        <f t="shared" si="146"/>
        <v>1.9759926342212599</v>
      </c>
      <c r="J890" s="12">
        <f t="shared" si="147"/>
        <v>0.76188032151639995</v>
      </c>
      <c r="K890" s="7">
        <f t="shared" si="148"/>
        <v>5.7870924801140003E-6</v>
      </c>
      <c r="L890" s="7">
        <f t="shared" si="149"/>
        <v>3.8875997481350199E-3</v>
      </c>
      <c r="M890" s="7">
        <f t="shared" si="150"/>
        <v>0.44057723139121002</v>
      </c>
      <c r="N890" s="7">
        <f t="shared" si="151"/>
        <v>-0.169872658881356</v>
      </c>
      <c r="O890" s="12">
        <v>-1.5936143</v>
      </c>
      <c r="P890" s="12">
        <v>-5.3240480999999997</v>
      </c>
      <c r="Q890" s="12">
        <v>-11.873846</v>
      </c>
      <c r="R890" s="12">
        <v>-12.313995</v>
      </c>
      <c r="S890" s="12">
        <f t="shared" si="152"/>
        <v>3.078077368104311</v>
      </c>
      <c r="T890" s="12">
        <f t="shared" si="153"/>
        <v>-27.293803864241251</v>
      </c>
      <c r="U890" s="8"/>
      <c r="V890" s="8"/>
    </row>
    <row r="891" spans="1:22" x14ac:dyDescent="0.35">
      <c r="A891" s="10">
        <v>4.25</v>
      </c>
      <c r="B891">
        <v>17</v>
      </c>
      <c r="C891" s="10">
        <v>-0.17986613000000001</v>
      </c>
      <c r="D891" s="10">
        <v>6.7276167999999997E-2</v>
      </c>
      <c r="E891" s="10">
        <v>0.82015008</v>
      </c>
      <c r="F891" s="10">
        <v>5.9327655999999999E-2</v>
      </c>
      <c r="G891" s="10">
        <f t="shared" si="144"/>
        <v>1.97355253889433</v>
      </c>
      <c r="H891" s="10">
        <f t="shared" si="145"/>
        <v>0.87257019001716396</v>
      </c>
      <c r="I891" s="10">
        <f t="shared" si="146"/>
        <v>1.9735764379059</v>
      </c>
      <c r="J891" s="10">
        <f t="shared" si="147"/>
        <v>0.86859606120826705</v>
      </c>
      <c r="K891" s="7">
        <f t="shared" si="148"/>
        <v>-2.38990115699611E-5</v>
      </c>
      <c r="L891" s="7">
        <f t="shared" si="149"/>
        <v>3.9741288088969203E-3</v>
      </c>
      <c r="M891" s="7">
        <f t="shared" si="150"/>
        <v>0.42447405357953799</v>
      </c>
      <c r="N891" s="7">
        <f t="shared" si="151"/>
        <v>-0.18681642319134401</v>
      </c>
      <c r="O891" s="10">
        <v>-1.7756258</v>
      </c>
      <c r="P891" s="10">
        <v>-5.182601</v>
      </c>
      <c r="Q891" s="10">
        <v>-12.194393</v>
      </c>
      <c r="R891" s="10">
        <v>-11.685608</v>
      </c>
      <c r="S891" s="10">
        <f t="shared" si="152"/>
        <v>3.0829677084268776</v>
      </c>
      <c r="T891" s="10">
        <f t="shared" si="153"/>
        <v>-27.308433878645499</v>
      </c>
      <c r="U891" s="8"/>
      <c r="V891" s="8"/>
    </row>
    <row r="892" spans="1:22" x14ac:dyDescent="0.35">
      <c r="A892" s="12">
        <v>4.375</v>
      </c>
      <c r="B892">
        <v>15</v>
      </c>
      <c r="C892" s="12">
        <v>-6.2053359000000002E-2</v>
      </c>
      <c r="D892" s="12">
        <v>-9.0547163999999999E-2</v>
      </c>
      <c r="E892" s="12">
        <v>0.93800008000000001</v>
      </c>
      <c r="F892" s="12">
        <v>-9.6057700999999995E-2</v>
      </c>
      <c r="G892" s="12">
        <f t="shared" si="144"/>
        <v>1.97064241856195</v>
      </c>
      <c r="H892" s="12">
        <f t="shared" si="145"/>
        <v>-3.7150667056053801</v>
      </c>
      <c r="I892" s="12">
        <f t="shared" si="146"/>
        <v>1.9706767281864299</v>
      </c>
      <c r="J892" s="12">
        <f t="shared" si="147"/>
        <v>-3.7178218059582502</v>
      </c>
      <c r="K892" s="7">
        <f t="shared" si="148"/>
        <v>-3.4309624479922403E-5</v>
      </c>
      <c r="L892" s="7">
        <f t="shared" si="149"/>
        <v>2.7551003528700799E-3</v>
      </c>
      <c r="M892" s="7">
        <f t="shared" si="150"/>
        <v>0.111301411994736</v>
      </c>
      <c r="N892" s="7">
        <f t="shared" si="151"/>
        <v>0.20997802969377999</v>
      </c>
      <c r="O892" s="12">
        <v>2.9029562000000002</v>
      </c>
      <c r="P892" s="12">
        <v>-1.8929682999999999</v>
      </c>
      <c r="Q892" s="12">
        <v>4.9918434999999999</v>
      </c>
      <c r="R892" s="12">
        <v>-8.6893194999999999</v>
      </c>
      <c r="S892" s="12">
        <f t="shared" si="152"/>
        <v>2.891584313373825</v>
      </c>
      <c r="T892" s="12">
        <f t="shared" si="153"/>
        <v>-27.015791947590465</v>
      </c>
      <c r="U892" s="8"/>
      <c r="V892" s="8"/>
    </row>
    <row r="893" spans="1:22" x14ac:dyDescent="0.35">
      <c r="A893" s="10">
        <v>4.375</v>
      </c>
      <c r="B893">
        <v>15.0625</v>
      </c>
      <c r="C893" s="10">
        <v>-6.6617510000000005E-2</v>
      </c>
      <c r="D893" s="10">
        <v>-9.2389750000000007E-2</v>
      </c>
      <c r="E893" s="10">
        <v>0.93343074999999998</v>
      </c>
      <c r="F893" s="10">
        <v>-9.7966563000000007E-2</v>
      </c>
      <c r="G893" s="10">
        <f t="shared" si="144"/>
        <v>1.96758271395298</v>
      </c>
      <c r="H893" s="10">
        <f t="shared" si="145"/>
        <v>-3.5254052655538</v>
      </c>
      <c r="I893" s="10">
        <f t="shared" si="146"/>
        <v>1.9676146179582901</v>
      </c>
      <c r="J893" s="10">
        <f t="shared" si="147"/>
        <v>-3.5281935158119899</v>
      </c>
      <c r="K893" s="7">
        <f t="shared" si="148"/>
        <v>-3.1904005310057202E-5</v>
      </c>
      <c r="L893" s="7">
        <f t="shared" si="149"/>
        <v>2.7882502581899598E-3</v>
      </c>
      <c r="M893" s="7">
        <f t="shared" si="150"/>
        <v>0.12056715687776599</v>
      </c>
      <c r="N893" s="7">
        <f t="shared" si="151"/>
        <v>0.21619287498352899</v>
      </c>
      <c r="O893" s="10">
        <v>2.9482287999999999</v>
      </c>
      <c r="P893" s="10">
        <v>-2.0246978000000002</v>
      </c>
      <c r="Q893" s="10">
        <v>4.9506417999999996</v>
      </c>
      <c r="R893" s="10">
        <v>-9.1195409000000005</v>
      </c>
      <c r="S893" s="10">
        <f t="shared" si="152"/>
        <v>2.9013307330239329</v>
      </c>
      <c r="T893" s="10">
        <f t="shared" si="153"/>
        <v>-27.024841927852616</v>
      </c>
      <c r="U893" s="8"/>
      <c r="V893" s="8"/>
    </row>
    <row r="894" spans="1:22" x14ac:dyDescent="0.35">
      <c r="A894" s="12">
        <v>4.375</v>
      </c>
      <c r="B894">
        <v>15.125</v>
      </c>
      <c r="C894" s="12">
        <v>-7.1486775000000002E-2</v>
      </c>
      <c r="D894" s="12">
        <v>-9.4084955999999997E-2</v>
      </c>
      <c r="E894" s="12">
        <v>0.92856000000000005</v>
      </c>
      <c r="F894" s="12">
        <v>-9.9730005999999996E-2</v>
      </c>
      <c r="G894" s="12">
        <f t="shared" si="144"/>
        <v>1.96456615284673</v>
      </c>
      <c r="H894" s="12">
        <f t="shared" si="145"/>
        <v>-3.3406696361971502</v>
      </c>
      <c r="I894" s="12">
        <f t="shared" si="146"/>
        <v>1.96459750582475</v>
      </c>
      <c r="J894" s="12">
        <f t="shared" si="147"/>
        <v>-3.3434920066943898</v>
      </c>
      <c r="K894" s="7">
        <f t="shared" si="148"/>
        <v>-3.1352978020038302E-5</v>
      </c>
      <c r="L894" s="7">
        <f t="shared" si="149"/>
        <v>2.8223704972396599E-3</v>
      </c>
      <c r="M894" s="7">
        <f t="shared" si="150"/>
        <v>0.13063714950583399</v>
      </c>
      <c r="N894" s="7">
        <f t="shared" si="151"/>
        <v>0.22232760850764299</v>
      </c>
      <c r="O894" s="12">
        <v>2.9907876999999998</v>
      </c>
      <c r="P894" s="12">
        <v>-2.1657966000000002</v>
      </c>
      <c r="Q894" s="12">
        <v>4.8860875999999998</v>
      </c>
      <c r="R894" s="12">
        <v>-9.5673841999999993</v>
      </c>
      <c r="S894" s="12">
        <f t="shared" si="152"/>
        <v>2.9092694719535985</v>
      </c>
      <c r="T894" s="12">
        <f t="shared" si="153"/>
        <v>-27.036083663355488</v>
      </c>
      <c r="U894" s="8"/>
      <c r="V894" s="8"/>
    </row>
    <row r="895" spans="1:22" x14ac:dyDescent="0.35">
      <c r="A895" s="10">
        <v>4.375</v>
      </c>
      <c r="B895">
        <v>15.1875</v>
      </c>
      <c r="C895" s="10">
        <v>-7.6688249E-2</v>
      </c>
      <c r="D895" s="10">
        <v>-9.5605247000000004E-2</v>
      </c>
      <c r="E895" s="10">
        <v>0.92335831000000002</v>
      </c>
      <c r="F895" s="10">
        <v>-0.10132138</v>
      </c>
      <c r="G895" s="10">
        <f t="shared" si="144"/>
        <v>1.96152752378425</v>
      </c>
      <c r="H895" s="10">
        <f t="shared" si="145"/>
        <v>-3.1600110875867</v>
      </c>
      <c r="I895" s="10">
        <f t="shared" si="146"/>
        <v>1.96155897064927</v>
      </c>
      <c r="J895" s="10">
        <f t="shared" si="147"/>
        <v>-3.1628689976787401</v>
      </c>
      <c r="K895" s="7">
        <f t="shared" si="148"/>
        <v>-3.1446865019990597E-5</v>
      </c>
      <c r="L895" s="7">
        <f t="shared" si="149"/>
        <v>2.85791009204006E-3</v>
      </c>
      <c r="M895" s="7">
        <f t="shared" si="150"/>
        <v>0.141613940743709</v>
      </c>
      <c r="N895" s="7">
        <f t="shared" si="151"/>
        <v>0.22834202260518099</v>
      </c>
      <c r="O895" s="10">
        <v>3.0288865999999999</v>
      </c>
      <c r="P895" s="10">
        <v>-2.3167094000000001</v>
      </c>
      <c r="Q895" s="10">
        <v>4.7947344000000003</v>
      </c>
      <c r="R895" s="10">
        <v>-10.033797</v>
      </c>
      <c r="S895" s="10">
        <f t="shared" si="152"/>
        <v>2.9162488186247968</v>
      </c>
      <c r="T895" s="10">
        <f t="shared" si="153"/>
        <v>-27.047455676431905</v>
      </c>
      <c r="U895" s="8"/>
      <c r="V895" s="8"/>
    </row>
    <row r="896" spans="1:22" x14ac:dyDescent="0.35">
      <c r="A896" s="12">
        <v>4.375</v>
      </c>
      <c r="B896">
        <v>15.25</v>
      </c>
      <c r="C896" s="12">
        <v>-8.2238845000000005E-2</v>
      </c>
      <c r="D896" s="12">
        <v>-9.6911345999999995E-2</v>
      </c>
      <c r="E896" s="12">
        <v>0.91780766000000003</v>
      </c>
      <c r="F896" s="12">
        <v>-0.10270123</v>
      </c>
      <c r="G896" s="12">
        <f t="shared" si="144"/>
        <v>1.9584816908643801</v>
      </c>
      <c r="H896" s="12">
        <f t="shared" si="145"/>
        <v>-2.98306567653264</v>
      </c>
      <c r="I896" s="12">
        <f t="shared" si="146"/>
        <v>1.95851332285808</v>
      </c>
      <c r="J896" s="12">
        <f t="shared" si="147"/>
        <v>-2.98596045964891</v>
      </c>
      <c r="K896" s="7">
        <f t="shared" si="148"/>
        <v>-3.1631993699932102E-5</v>
      </c>
      <c r="L896" s="7">
        <f t="shared" si="149"/>
        <v>2.8947831162700098E-3</v>
      </c>
      <c r="M896" s="7">
        <f t="shared" si="150"/>
        <v>0.15358799645704399</v>
      </c>
      <c r="N896" s="7">
        <f t="shared" si="151"/>
        <v>0.234161125760523</v>
      </c>
      <c r="O896" s="12">
        <v>3.0604632999999999</v>
      </c>
      <c r="P896" s="12">
        <v>-2.4773101999999998</v>
      </c>
      <c r="Q896" s="12">
        <v>4.6727584999999996</v>
      </c>
      <c r="R896" s="12">
        <v>-10.518552</v>
      </c>
      <c r="S896" s="12">
        <f t="shared" si="152"/>
        <v>2.9231521764777777</v>
      </c>
      <c r="T896" s="12">
        <f t="shared" si="153"/>
        <v>-27.058662398073018</v>
      </c>
      <c r="U896" s="8"/>
      <c r="V896" s="8"/>
    </row>
    <row r="897" spans="1:22" x14ac:dyDescent="0.35">
      <c r="A897" s="10">
        <v>4.375</v>
      </c>
      <c r="B897">
        <v>15.3125</v>
      </c>
      <c r="C897" s="10">
        <v>-8.8149203999999995E-2</v>
      </c>
      <c r="D897" s="10">
        <v>-9.795674E-2</v>
      </c>
      <c r="E897" s="10">
        <v>0.91189695999999998</v>
      </c>
      <c r="F897" s="10">
        <v>-0.10382292</v>
      </c>
      <c r="G897" s="10">
        <f t="shared" si="144"/>
        <v>1.9554387011722101</v>
      </c>
      <c r="H897" s="10">
        <f t="shared" si="145"/>
        <v>-2.8096227538327798</v>
      </c>
      <c r="I897" s="10">
        <f t="shared" si="146"/>
        <v>1.9554703849866899</v>
      </c>
      <c r="J897" s="10">
        <f t="shared" si="147"/>
        <v>-2.8125556832034202</v>
      </c>
      <c r="K897" s="7">
        <f t="shared" si="148"/>
        <v>-3.1683814479821499E-5</v>
      </c>
      <c r="L897" s="7">
        <f t="shared" si="149"/>
        <v>2.9329293706403799E-3</v>
      </c>
      <c r="M897" s="7">
        <f t="shared" si="150"/>
        <v>0.166645197080452</v>
      </c>
      <c r="N897" s="7">
        <f t="shared" si="151"/>
        <v>0.23968601095964401</v>
      </c>
      <c r="O897" s="10">
        <v>3.084279</v>
      </c>
      <c r="P897" s="10">
        <v>-2.6479734000000001</v>
      </c>
      <c r="Q897" s="10">
        <v>4.5159935000000004</v>
      </c>
      <c r="R897" s="10">
        <v>-11.020454000000001</v>
      </c>
      <c r="S897" s="10">
        <f t="shared" si="152"/>
        <v>2.9298252577905246</v>
      </c>
      <c r="T897" s="10">
        <f t="shared" si="153"/>
        <v>-27.069648794197882</v>
      </c>
      <c r="U897" s="8"/>
      <c r="V897" s="8"/>
    </row>
    <row r="898" spans="1:22" x14ac:dyDescent="0.35">
      <c r="A898" s="12">
        <v>4.375</v>
      </c>
      <c r="B898">
        <v>15.375</v>
      </c>
      <c r="C898" s="12">
        <v>-9.4423218000000003E-2</v>
      </c>
      <c r="D898" s="12">
        <v>-9.8688501999999997E-2</v>
      </c>
      <c r="E898" s="12">
        <v>0.90562198000000005</v>
      </c>
      <c r="F898" s="12">
        <v>-0.10463347000000001</v>
      </c>
      <c r="G898" s="12">
        <f t="shared" si="144"/>
        <v>1.9524028504885</v>
      </c>
      <c r="H898" s="12">
        <f t="shared" si="145"/>
        <v>-2.63954831741875</v>
      </c>
      <c r="I898" s="12">
        <f t="shared" si="146"/>
        <v>1.95243428396186</v>
      </c>
      <c r="J898" s="12">
        <f t="shared" si="147"/>
        <v>-2.6425206408117199</v>
      </c>
      <c r="K898" s="7">
        <f t="shared" si="148"/>
        <v>-3.1433473359987501E-5</v>
      </c>
      <c r="L898" s="7">
        <f t="shared" si="149"/>
        <v>2.9723233929699298E-3</v>
      </c>
      <c r="M898" s="7">
        <f t="shared" si="150"/>
        <v>0.18086611050967699</v>
      </c>
      <c r="N898" s="7">
        <f t="shared" si="151"/>
        <v>0.244793094533926</v>
      </c>
      <c r="O898" s="12">
        <v>3.0986755000000001</v>
      </c>
      <c r="P898" s="12">
        <v>-2.8286500999999999</v>
      </c>
      <c r="Q898" s="12">
        <v>4.3201631999999996</v>
      </c>
      <c r="R898" s="12">
        <v>-11.537668999999999</v>
      </c>
      <c r="S898" s="12">
        <f t="shared" si="152"/>
        <v>2.9364026655390556</v>
      </c>
      <c r="T898" s="12">
        <f t="shared" si="153"/>
        <v>-27.080461316720537</v>
      </c>
      <c r="U898" s="8"/>
      <c r="V898" s="8"/>
    </row>
    <row r="899" spans="1:22" x14ac:dyDescent="0.35">
      <c r="A899" s="10">
        <v>4.375</v>
      </c>
      <c r="B899">
        <v>15.4375</v>
      </c>
      <c r="C899" s="10">
        <v>-0.10105686999999999</v>
      </c>
      <c r="D899" s="10">
        <v>-9.9047855000000004E-2</v>
      </c>
      <c r="E899" s="10">
        <v>0.89898646000000004</v>
      </c>
      <c r="F899" s="10">
        <v>-0.10507397</v>
      </c>
      <c r="G899" s="10">
        <f t="shared" si="144"/>
        <v>1.94937726267064</v>
      </c>
      <c r="H899" s="10">
        <f t="shared" si="145"/>
        <v>-2.4727523719881401</v>
      </c>
      <c r="I899" s="10">
        <f t="shared" si="146"/>
        <v>1.9494080050443301</v>
      </c>
      <c r="J899" s="10">
        <f t="shared" si="147"/>
        <v>-2.4757652715851202</v>
      </c>
      <c r="K899" s="7">
        <f t="shared" si="148"/>
        <v>-3.0742373690051401E-5</v>
      </c>
      <c r="L899" s="7">
        <f t="shared" si="149"/>
        <v>3.01289959698003E-3</v>
      </c>
      <c r="M899" s="7">
        <f t="shared" si="150"/>
        <v>0.19632281001515001</v>
      </c>
      <c r="N899" s="7">
        <f t="shared" si="151"/>
        <v>0.249331691363636</v>
      </c>
      <c r="O899" s="10">
        <v>3.1019752999999999</v>
      </c>
      <c r="P899" s="10">
        <v>-3.0191574999999999</v>
      </c>
      <c r="Q899" s="10">
        <v>4.0808600000000004</v>
      </c>
      <c r="R899" s="10">
        <v>-12.067474000000001</v>
      </c>
      <c r="S899" s="10">
        <f t="shared" si="152"/>
        <v>2.9428789545945548</v>
      </c>
      <c r="T899" s="10">
        <f t="shared" si="153"/>
        <v>-27.091149764124978</v>
      </c>
      <c r="U899" s="8"/>
      <c r="V899" s="8"/>
    </row>
    <row r="900" spans="1:22" x14ac:dyDescent="0.35">
      <c r="A900" s="12">
        <v>4.375</v>
      </c>
      <c r="B900">
        <v>15.5</v>
      </c>
      <c r="C900" s="12">
        <v>-0.10803669</v>
      </c>
      <c r="D900" s="12">
        <v>-9.8971035999999998E-2</v>
      </c>
      <c r="E900" s="12">
        <v>0.89200376999999997</v>
      </c>
      <c r="F900" s="12">
        <v>-0.10508065</v>
      </c>
      <c r="G900" s="12">
        <f t="shared" si="144"/>
        <v>1.9463615440305799</v>
      </c>
      <c r="H900" s="12">
        <f t="shared" si="145"/>
        <v>-2.3091724195544301</v>
      </c>
      <c r="I900" s="12">
        <f t="shared" si="146"/>
        <v>1.9463911048137399</v>
      </c>
      <c r="J900" s="12">
        <f t="shared" si="147"/>
        <v>-2.3122270744562701</v>
      </c>
      <c r="K900" s="7">
        <f t="shared" si="148"/>
        <v>-2.9560783159965401E-5</v>
      </c>
      <c r="L900" s="7">
        <f t="shared" si="149"/>
        <v>3.0546549018399798E-3</v>
      </c>
      <c r="M900" s="7">
        <f t="shared" si="150"/>
        <v>0.21307354361185701</v>
      </c>
      <c r="N900" s="7">
        <f t="shared" si="151"/>
        <v>0.253122003677068</v>
      </c>
      <c r="O900" s="12">
        <v>3.0923326000000002</v>
      </c>
      <c r="P900" s="12">
        <v>-3.2189936000000001</v>
      </c>
      <c r="Q900" s="12">
        <v>3.7936713000000002</v>
      </c>
      <c r="R900" s="12">
        <v>-12.606151000000001</v>
      </c>
      <c r="S900" s="12">
        <f t="shared" si="152"/>
        <v>2.9492729242489508</v>
      </c>
      <c r="T900" s="12">
        <f t="shared" si="153"/>
        <v>-27.101751097189137</v>
      </c>
      <c r="U900" s="8"/>
      <c r="V900" s="8"/>
    </row>
    <row r="901" spans="1:22" x14ac:dyDescent="0.35">
      <c r="A901" s="10">
        <v>4.375</v>
      </c>
      <c r="B901">
        <v>15.5625</v>
      </c>
      <c r="C901" s="10">
        <v>-0.11534896</v>
      </c>
      <c r="D901" s="10">
        <v>-9.8384909000000006E-2</v>
      </c>
      <c r="E901" s="10">
        <v>0.88469184999999995</v>
      </c>
      <c r="F901" s="10">
        <v>-0.10456939</v>
      </c>
      <c r="G901" s="10">
        <f t="shared" si="144"/>
        <v>1.9435639240432501</v>
      </c>
      <c r="H901" s="10">
        <f t="shared" si="145"/>
        <v>-2.14854958709167</v>
      </c>
      <c r="I901" s="10">
        <f t="shared" si="146"/>
        <v>1.94359388990147</v>
      </c>
      <c r="J901" s="10">
        <f t="shared" si="147"/>
        <v>-2.1516416718360398</v>
      </c>
      <c r="K901" s="7">
        <f t="shared" si="148"/>
        <v>-2.99658582199047E-5</v>
      </c>
      <c r="L901" s="7">
        <f t="shared" si="149"/>
        <v>3.0920847443698398E-3</v>
      </c>
      <c r="M901" s="7">
        <f t="shared" si="150"/>
        <v>0.231184293744083</v>
      </c>
      <c r="N901" s="7">
        <f t="shared" si="151"/>
        <v>0.25593091379751698</v>
      </c>
      <c r="O901" s="10">
        <v>3.0669173999999999</v>
      </c>
      <c r="P901" s="10">
        <v>-3.4285074</v>
      </c>
      <c r="Q901" s="10">
        <v>3.4521321999999999</v>
      </c>
      <c r="R901" s="10">
        <v>-13.149697</v>
      </c>
      <c r="S901" s="10">
        <f t="shared" si="152"/>
        <v>2.9554514619354895</v>
      </c>
      <c r="T901" s="10">
        <f t="shared" si="153"/>
        <v>-27.10404693905264</v>
      </c>
      <c r="U901" s="8"/>
      <c r="V901" s="8"/>
    </row>
    <row r="902" spans="1:22" x14ac:dyDescent="0.35">
      <c r="A902" s="12">
        <v>4.375</v>
      </c>
      <c r="B902">
        <v>15.625</v>
      </c>
      <c r="C902" s="12">
        <v>-0.12293796</v>
      </c>
      <c r="D902" s="12">
        <v>-9.7229461000000003E-2</v>
      </c>
      <c r="E902" s="12">
        <v>0.87710374000000002</v>
      </c>
      <c r="F902" s="12">
        <v>-0.10350181999999999</v>
      </c>
      <c r="G902" s="12">
        <f t="shared" si="144"/>
        <v>1.9405713238667699</v>
      </c>
      <c r="H902" s="12">
        <f t="shared" si="145"/>
        <v>-1.99124685580261</v>
      </c>
      <c r="I902" s="12">
        <f t="shared" si="146"/>
        <v>1.9406020083419999</v>
      </c>
      <c r="J902" s="12">
        <f t="shared" si="147"/>
        <v>-1.9943828736846201</v>
      </c>
      <c r="K902" s="7">
        <f t="shared" si="148"/>
        <v>-3.0684475230025003E-5</v>
      </c>
      <c r="L902" s="7">
        <f t="shared" si="149"/>
        <v>3.1360178820101199E-3</v>
      </c>
      <c r="M902" s="7">
        <f t="shared" si="150"/>
        <v>0.25061047438787398</v>
      </c>
      <c r="N902" s="7">
        <f t="shared" si="151"/>
        <v>0.25755576668303198</v>
      </c>
      <c r="O902" s="12">
        <v>3.0255133000000001</v>
      </c>
      <c r="P902" s="12">
        <v>-3.6443599999999998</v>
      </c>
      <c r="Q902" s="12">
        <v>3.0565834999999999</v>
      </c>
      <c r="R902" s="12">
        <v>-13.691298</v>
      </c>
      <c r="S902" s="12">
        <f t="shared" si="152"/>
        <v>2.961709050720124</v>
      </c>
      <c r="T902" s="12">
        <f t="shared" si="153"/>
        <v>-27.114221052312452</v>
      </c>
      <c r="U902" s="8"/>
      <c r="V902" s="8"/>
    </row>
    <row r="903" spans="1:22" x14ac:dyDescent="0.35">
      <c r="A903" s="10">
        <v>4.375</v>
      </c>
      <c r="B903">
        <v>15.6875</v>
      </c>
      <c r="C903" s="10">
        <v>-0.13076305999999999</v>
      </c>
      <c r="D903" s="10">
        <v>-9.5430127000000003E-2</v>
      </c>
      <c r="E903" s="10">
        <v>0.86927840999999995</v>
      </c>
      <c r="F903" s="10">
        <v>-0.10179341</v>
      </c>
      <c r="G903" s="10">
        <f t="shared" si="144"/>
        <v>1.9375847361273999</v>
      </c>
      <c r="H903" s="10">
        <f t="shared" si="145"/>
        <v>-1.8369574370101101</v>
      </c>
      <c r="I903" s="10">
        <f t="shared" si="146"/>
        <v>1.9376155928079799</v>
      </c>
      <c r="J903" s="10">
        <f t="shared" si="147"/>
        <v>-1.8401389143672799</v>
      </c>
      <c r="K903" s="7">
        <f t="shared" si="148"/>
        <v>-3.0856680580004798E-5</v>
      </c>
      <c r="L903" s="7">
        <f t="shared" si="149"/>
        <v>3.1814773571698898E-3</v>
      </c>
      <c r="M903" s="7">
        <f t="shared" si="150"/>
        <v>0.27135704490442403</v>
      </c>
      <c r="N903" s="7">
        <f t="shared" si="151"/>
        <v>0.25770573888327802</v>
      </c>
      <c r="O903" s="10">
        <v>2.9653632999999999</v>
      </c>
      <c r="P903" s="10">
        <v>-3.8661131000000002</v>
      </c>
      <c r="Q903" s="10">
        <v>2.6016045000000001</v>
      </c>
      <c r="R903" s="10">
        <v>-14.224734</v>
      </c>
      <c r="S903" s="10">
        <f t="shared" si="152"/>
        <v>2.9678816601950788</v>
      </c>
      <c r="T903" s="10">
        <f t="shared" si="153"/>
        <v>-27.124267191394541</v>
      </c>
      <c r="U903" s="8"/>
      <c r="V903" s="8"/>
    </row>
    <row r="904" spans="1:22" x14ac:dyDescent="0.35">
      <c r="A904" s="12">
        <v>4.375</v>
      </c>
      <c r="B904">
        <v>15.75</v>
      </c>
      <c r="C904" s="12">
        <v>-0.13875953999999999</v>
      </c>
      <c r="D904" s="12">
        <v>-9.2919151000000005E-2</v>
      </c>
      <c r="E904" s="12">
        <v>0.86127995999999996</v>
      </c>
      <c r="F904" s="12">
        <v>-9.9376128999999994E-2</v>
      </c>
      <c r="G904" s="12">
        <f t="shared" si="144"/>
        <v>1.9346059223247301</v>
      </c>
      <c r="H904" s="12">
        <f t="shared" si="145"/>
        <v>-1.6855951380884999</v>
      </c>
      <c r="I904" s="12">
        <f t="shared" si="146"/>
        <v>1.9346360943497201</v>
      </c>
      <c r="J904" s="12">
        <f t="shared" si="147"/>
        <v>-1.68882346591897</v>
      </c>
      <c r="K904" s="7">
        <f t="shared" si="148"/>
        <v>-3.0172024990005001E-5</v>
      </c>
      <c r="L904" s="7">
        <f t="shared" si="149"/>
        <v>3.2283278304701098E-3</v>
      </c>
      <c r="M904" s="7">
        <f t="shared" si="150"/>
        <v>0.29335151638271401</v>
      </c>
      <c r="N904" s="7">
        <f t="shared" si="151"/>
        <v>0.25607861141273902</v>
      </c>
      <c r="O904" s="12">
        <v>2.8845847999999998</v>
      </c>
      <c r="P904" s="12">
        <v>-4.0917786999999999</v>
      </c>
      <c r="Q904" s="12">
        <v>2.0845946</v>
      </c>
      <c r="R904" s="12">
        <v>-14.742232</v>
      </c>
      <c r="S904" s="12">
        <f t="shared" si="152"/>
        <v>2.9740037413023637</v>
      </c>
      <c r="T904" s="12">
        <f t="shared" si="153"/>
        <v>-27.134290636531873</v>
      </c>
      <c r="U904" s="8"/>
      <c r="V904" s="8"/>
    </row>
    <row r="905" spans="1:22" x14ac:dyDescent="0.35">
      <c r="A905" s="10">
        <v>4.375</v>
      </c>
      <c r="B905">
        <v>15.8125</v>
      </c>
      <c r="C905" s="10">
        <v>-0.14684564</v>
      </c>
      <c r="D905" s="10">
        <v>-8.9635021999999995E-2</v>
      </c>
      <c r="E905" s="10">
        <v>0.85318963999999997</v>
      </c>
      <c r="F905" s="10">
        <v>-9.6187814999999996E-2</v>
      </c>
      <c r="G905" s="10">
        <f t="shared" si="144"/>
        <v>1.9316381717909501</v>
      </c>
      <c r="H905" s="10">
        <f t="shared" si="145"/>
        <v>-1.53708929930872</v>
      </c>
      <c r="I905" s="10">
        <f t="shared" si="146"/>
        <v>1.93166654557052</v>
      </c>
      <c r="J905" s="10">
        <f t="shared" si="147"/>
        <v>-1.54036554505199</v>
      </c>
      <c r="K905" s="7">
        <f t="shared" si="148"/>
        <v>-2.83737795698791E-5</v>
      </c>
      <c r="L905" s="7">
        <f t="shared" si="149"/>
        <v>3.2762457432700099E-3</v>
      </c>
      <c r="M905" s="7">
        <f t="shared" si="150"/>
        <v>0.31645593615187201</v>
      </c>
      <c r="N905" s="7">
        <f t="shared" si="151"/>
        <v>0.25235091516871699</v>
      </c>
      <c r="O905" s="10">
        <v>2.7815493</v>
      </c>
      <c r="P905" s="10">
        <v>-4.3189653000000003</v>
      </c>
      <c r="Q905" s="10">
        <v>1.5041675999999999</v>
      </c>
      <c r="R905" s="10">
        <v>-15.235001</v>
      </c>
      <c r="S905" s="10">
        <f t="shared" si="152"/>
        <v>2.9800621585034603</v>
      </c>
      <c r="T905" s="10">
        <f t="shared" si="153"/>
        <v>-27.144208852068314</v>
      </c>
      <c r="U905" s="8"/>
      <c r="V905" s="8"/>
    </row>
    <row r="906" spans="1:22" x14ac:dyDescent="0.35">
      <c r="A906" s="12">
        <v>4.375</v>
      </c>
      <c r="B906">
        <v>15.875</v>
      </c>
      <c r="C906" s="12">
        <v>-0.15492164999999999</v>
      </c>
      <c r="D906" s="12">
        <v>-8.5527364999999994E-2</v>
      </c>
      <c r="E906" s="12">
        <v>0.84510680000000005</v>
      </c>
      <c r="F906" s="12">
        <v>-9.2177577999999996E-2</v>
      </c>
      <c r="G906" s="12">
        <f t="shared" si="144"/>
        <v>1.92868315494875</v>
      </c>
      <c r="H906" s="12">
        <f t="shared" si="145"/>
        <v>-1.3913993616381199</v>
      </c>
      <c r="I906" s="12">
        <f t="shared" si="146"/>
        <v>1.9287084354855999</v>
      </c>
      <c r="J906" s="12">
        <f t="shared" si="147"/>
        <v>-1.3947243367798701</v>
      </c>
      <c r="K906" s="7">
        <f t="shared" si="148"/>
        <v>-2.5280536849914301E-5</v>
      </c>
      <c r="L906" s="7">
        <f t="shared" si="149"/>
        <v>3.3249751417501199E-3</v>
      </c>
      <c r="M906" s="7">
        <f t="shared" si="150"/>
        <v>0.34045009856521102</v>
      </c>
      <c r="N906" s="7">
        <f t="shared" si="151"/>
        <v>0.24619275220230699</v>
      </c>
      <c r="O906" s="12">
        <v>2.6549054000000001</v>
      </c>
      <c r="P906" s="12">
        <v>-4.5446698999999997</v>
      </c>
      <c r="Q906" s="12">
        <v>0.86051169999999999</v>
      </c>
      <c r="R906" s="12">
        <v>-15.693239999999999</v>
      </c>
      <c r="S906" s="12">
        <f t="shared" si="152"/>
        <v>2.9861022814991243</v>
      </c>
      <c r="T906" s="12">
        <f t="shared" si="153"/>
        <v>-27.154047408395289</v>
      </c>
      <c r="U906" s="8"/>
      <c r="V906" s="8"/>
    </row>
    <row r="907" spans="1:22" x14ac:dyDescent="0.35">
      <c r="A907" s="10">
        <v>4.375</v>
      </c>
      <c r="B907">
        <v>15.9375</v>
      </c>
      <c r="C907" s="10">
        <v>-0.16288077000000001</v>
      </c>
      <c r="D907" s="10">
        <v>-8.0548686999999994E-2</v>
      </c>
      <c r="E907" s="10">
        <v>0.83711963</v>
      </c>
      <c r="F907" s="10">
        <v>-8.7136123999999995E-2</v>
      </c>
      <c r="G907" s="10">
        <f t="shared" si="144"/>
        <v>1.9267282425335499</v>
      </c>
      <c r="H907" s="10">
        <f t="shared" si="145"/>
        <v>-1.24750888431548</v>
      </c>
      <c r="I907" s="10">
        <f t="shared" si="146"/>
        <v>1.92673929099087</v>
      </c>
      <c r="J907" s="10">
        <f t="shared" si="147"/>
        <v>-1.25080256576624</v>
      </c>
      <c r="K907" s="7">
        <f t="shared" si="148"/>
        <v>-1.1048457320139701E-5</v>
      </c>
      <c r="L907" s="7">
        <f t="shared" si="149"/>
        <v>3.2936814507600301E-3</v>
      </c>
      <c r="M907" s="7">
        <f t="shared" si="150"/>
        <v>0.36513186830185801</v>
      </c>
      <c r="N907" s="7">
        <f t="shared" si="151"/>
        <v>0.237036676342502</v>
      </c>
      <c r="O907" s="10">
        <v>2.5034206000000001</v>
      </c>
      <c r="P907" s="10">
        <v>-4.7661727000000003</v>
      </c>
      <c r="Q907" s="10">
        <v>0.15426112</v>
      </c>
      <c r="R907" s="10">
        <v>-16.106373999999999</v>
      </c>
      <c r="S907" s="10">
        <f t="shared" si="152"/>
        <v>2.9918661252000716</v>
      </c>
      <c r="T907" s="10">
        <f t="shared" si="153"/>
        <v>-27.161849406115323</v>
      </c>
      <c r="U907" s="8"/>
      <c r="V907" s="8"/>
    </row>
    <row r="908" spans="1:22" x14ac:dyDescent="0.35">
      <c r="A908" s="12">
        <v>4.375</v>
      </c>
      <c r="B908">
        <v>16</v>
      </c>
      <c r="C908" s="12">
        <v>-0.17057907999999999</v>
      </c>
      <c r="D908" s="12">
        <v>-7.4708090000000005E-2</v>
      </c>
      <c r="E908" s="12">
        <v>0.82942316999999999</v>
      </c>
      <c r="F908" s="12">
        <v>-8.1389133000000002E-2</v>
      </c>
      <c r="G908" s="12">
        <f t="shared" si="144"/>
        <v>1.9237732326041701</v>
      </c>
      <c r="H908" s="12">
        <f t="shared" si="145"/>
        <v>-1.10733950893222</v>
      </c>
      <c r="I908" s="12">
        <f t="shared" si="146"/>
        <v>1.9237855165246101</v>
      </c>
      <c r="J908" s="12">
        <f t="shared" si="147"/>
        <v>-1.11067998563949</v>
      </c>
      <c r="K908" s="7">
        <f t="shared" si="148"/>
        <v>-1.22839204399483E-5</v>
      </c>
      <c r="L908" s="7">
        <f t="shared" si="149"/>
        <v>3.3404767072700002E-3</v>
      </c>
      <c r="M908" s="7">
        <f t="shared" si="150"/>
        <v>0.389859526773216</v>
      </c>
      <c r="N908" s="7">
        <f t="shared" si="151"/>
        <v>0.22508183468401399</v>
      </c>
      <c r="O908" s="12">
        <v>2.3276916999999999</v>
      </c>
      <c r="P908" s="12">
        <v>-4.9788224999999997</v>
      </c>
      <c r="Q908" s="12">
        <v>-0.60777983000000002</v>
      </c>
      <c r="R908" s="12">
        <v>-16.464248999999999</v>
      </c>
      <c r="S908" s="12">
        <f t="shared" si="152"/>
        <v>2.997678943151227</v>
      </c>
      <c r="T908" s="12">
        <f t="shared" si="153"/>
        <v>-27.171080334484024</v>
      </c>
      <c r="U908" s="8"/>
      <c r="V908" s="8"/>
    </row>
    <row r="909" spans="1:22" x14ac:dyDescent="0.35">
      <c r="A909" s="10">
        <v>4.375</v>
      </c>
      <c r="B909">
        <v>16.0625</v>
      </c>
      <c r="C909" s="10">
        <v>-0.17789039000000001</v>
      </c>
      <c r="D909" s="10">
        <v>-6.8002805E-2</v>
      </c>
      <c r="E909" s="10">
        <v>0.82211182999999999</v>
      </c>
      <c r="F909" s="10">
        <v>-7.4778683999999998E-2</v>
      </c>
      <c r="G909" s="10">
        <f t="shared" si="144"/>
        <v>1.92083344098483</v>
      </c>
      <c r="H909" s="10">
        <f t="shared" si="145"/>
        <v>-0.969840431435677</v>
      </c>
      <c r="I909" s="10">
        <f t="shared" si="146"/>
        <v>1.9208460289476901</v>
      </c>
      <c r="J909" s="10">
        <f t="shared" si="147"/>
        <v>-0.97322832452786101</v>
      </c>
      <c r="K909" s="7">
        <f t="shared" si="148"/>
        <v>-1.25879628600778E-5</v>
      </c>
      <c r="L909" s="7">
        <f t="shared" si="149"/>
        <v>3.3878930921840099E-3</v>
      </c>
      <c r="M909" s="7">
        <f t="shared" si="150"/>
        <v>0.41425909417166001</v>
      </c>
      <c r="N909" s="7">
        <f t="shared" si="151"/>
        <v>0.209891203180916</v>
      </c>
      <c r="O909" s="10">
        <v>2.1276589000000001</v>
      </c>
      <c r="P909" s="10">
        <v>-5.1790311000000004</v>
      </c>
      <c r="Q909" s="10">
        <v>-1.4207372</v>
      </c>
      <c r="R909" s="10">
        <v>-16.756744000000001</v>
      </c>
      <c r="S909" s="10">
        <f t="shared" si="152"/>
        <v>3.0035243456361282</v>
      </c>
      <c r="T909" s="10">
        <f t="shared" si="153"/>
        <v>-27.180216380407487</v>
      </c>
      <c r="U909" s="8"/>
      <c r="V909" s="8"/>
    </row>
    <row r="910" spans="1:22" x14ac:dyDescent="0.35">
      <c r="A910" s="12">
        <v>4.375</v>
      </c>
      <c r="B910">
        <v>16.125</v>
      </c>
      <c r="C910" s="12">
        <v>-0.1846778</v>
      </c>
      <c r="D910" s="12">
        <v>-6.0467567999999999E-2</v>
      </c>
      <c r="E910" s="12">
        <v>0.81532236000000002</v>
      </c>
      <c r="F910" s="12">
        <v>-6.7338862999999999E-2</v>
      </c>
      <c r="G910" s="12">
        <f t="shared" si="144"/>
        <v>1.9179075009072299</v>
      </c>
      <c r="H910" s="12">
        <f t="shared" si="145"/>
        <v>-0.83494210243295097</v>
      </c>
      <c r="I910" s="12">
        <f t="shared" si="146"/>
        <v>1.91791938443881</v>
      </c>
      <c r="J910" s="12">
        <f t="shared" si="147"/>
        <v>-0.83837770883047702</v>
      </c>
      <c r="K910" s="7">
        <f t="shared" si="148"/>
        <v>-1.1883531580103599E-5</v>
      </c>
      <c r="L910" s="7">
        <f t="shared" si="149"/>
        <v>3.4356063975260502E-3</v>
      </c>
      <c r="M910" s="7">
        <f t="shared" si="150"/>
        <v>0.43775201635929001</v>
      </c>
      <c r="N910" s="7">
        <f t="shared" si="151"/>
        <v>0.191353993024378</v>
      </c>
      <c r="O910" s="12">
        <v>1.9046711999999999</v>
      </c>
      <c r="P910" s="12">
        <v>-5.3633458999999997</v>
      </c>
      <c r="Q910" s="12">
        <v>-2.2763254000000002</v>
      </c>
      <c r="R910" s="12">
        <v>-16.974685999999998</v>
      </c>
      <c r="S910" s="12">
        <f t="shared" si="152"/>
        <v>3.0091564423829316</v>
      </c>
      <c r="T910" s="12">
        <f t="shared" si="153"/>
        <v>-27.189210531767948</v>
      </c>
      <c r="U910" s="8"/>
      <c r="V910" s="8"/>
    </row>
    <row r="911" spans="1:22" x14ac:dyDescent="0.35">
      <c r="A911" s="10">
        <v>4.375</v>
      </c>
      <c r="B911">
        <v>16.1875</v>
      </c>
      <c r="C911" s="10">
        <v>-0.19080709000000001</v>
      </c>
      <c r="D911" s="10">
        <v>-5.2166439000000002E-2</v>
      </c>
      <c r="E911" s="10">
        <v>0.80918924000000003</v>
      </c>
      <c r="F911" s="10">
        <v>-5.9133105999999998E-2</v>
      </c>
      <c r="G911" s="10">
        <f t="shared" si="144"/>
        <v>1.91499548510998</v>
      </c>
      <c r="H911" s="10">
        <f t="shared" si="145"/>
        <v>-0.70259770680358402</v>
      </c>
      <c r="I911" s="10">
        <f t="shared" si="146"/>
        <v>1.91500578363846</v>
      </c>
      <c r="J911" s="10">
        <f t="shared" si="147"/>
        <v>-0.70608101082223795</v>
      </c>
      <c r="K911" s="7">
        <f t="shared" si="148"/>
        <v>-1.0298528480001701E-5</v>
      </c>
      <c r="L911" s="7">
        <f t="shared" si="149"/>
        <v>3.48330401865393E-3</v>
      </c>
      <c r="M911" s="7">
        <f t="shared" si="150"/>
        <v>0.45969727593681398</v>
      </c>
      <c r="N911" s="7">
        <f t="shared" si="151"/>
        <v>0.16949479737288001</v>
      </c>
      <c r="O911" s="10">
        <v>1.6605603</v>
      </c>
      <c r="P911" s="10">
        <v>-5.5275071999999996</v>
      </c>
      <c r="Q911" s="10">
        <v>-3.1640830000000002</v>
      </c>
      <c r="R911" s="10">
        <v>-17.110313999999999</v>
      </c>
      <c r="S911" s="10">
        <f t="shared" si="152"/>
        <v>3.0148587698859357</v>
      </c>
      <c r="T911" s="10">
        <f t="shared" si="153"/>
        <v>-27.198119141796649</v>
      </c>
      <c r="U911" s="8"/>
      <c r="V911" s="8"/>
    </row>
    <row r="912" spans="1:22" x14ac:dyDescent="0.35">
      <c r="A912" s="12">
        <v>4.375</v>
      </c>
      <c r="B912">
        <v>16.25</v>
      </c>
      <c r="C912" s="12">
        <v>-0.19615098</v>
      </c>
      <c r="D912" s="12">
        <v>-4.3198676999999998E-2</v>
      </c>
      <c r="E912" s="12">
        <v>0.80384076999999998</v>
      </c>
      <c r="F912" s="12">
        <v>-5.0260855E-2</v>
      </c>
      <c r="G912" s="12">
        <f t="shared" si="144"/>
        <v>1.91210491566509</v>
      </c>
      <c r="H912" s="12">
        <f t="shared" si="145"/>
        <v>-0.57286795629026399</v>
      </c>
      <c r="I912" s="12">
        <f t="shared" si="146"/>
        <v>1.9121132592364301</v>
      </c>
      <c r="J912" s="12">
        <f t="shared" si="147"/>
        <v>-0.57639903039405205</v>
      </c>
      <c r="K912" s="7">
        <f t="shared" si="148"/>
        <v>-8.3435713400525896E-6</v>
      </c>
      <c r="L912" s="7">
        <f t="shared" si="149"/>
        <v>3.5310741037880601E-3</v>
      </c>
      <c r="M912" s="7">
        <f t="shared" si="150"/>
        <v>0.47941707119759802</v>
      </c>
      <c r="N912" s="7">
        <f t="shared" si="151"/>
        <v>0.14451839275619099</v>
      </c>
      <c r="O912" s="12">
        <v>1.3985193</v>
      </c>
      <c r="P912" s="12">
        <v>-5.6685214999999998</v>
      </c>
      <c r="Q912" s="12">
        <v>-4.0710611999999999</v>
      </c>
      <c r="R912" s="12">
        <v>-17.157827000000001</v>
      </c>
      <c r="S912" s="12">
        <f t="shared" si="152"/>
        <v>3.0203324011841786</v>
      </c>
      <c r="T912" s="12">
        <f t="shared" si="153"/>
        <v>-27.206875360300526</v>
      </c>
      <c r="U912" s="8"/>
      <c r="V912" s="8"/>
    </row>
    <row r="913" spans="1:22" x14ac:dyDescent="0.35">
      <c r="A913" s="10">
        <v>4.375</v>
      </c>
      <c r="B913">
        <v>16.3125</v>
      </c>
      <c r="C913" s="10">
        <v>-0.20061118</v>
      </c>
      <c r="D913" s="10">
        <v>-3.3674794000000001E-2</v>
      </c>
      <c r="E913" s="10">
        <v>0.79937342</v>
      </c>
      <c r="F913" s="10">
        <v>-4.0831724E-2</v>
      </c>
      <c r="G913" s="10">
        <f t="shared" si="144"/>
        <v>1.90921220439879</v>
      </c>
      <c r="H913" s="10">
        <f t="shared" si="145"/>
        <v>-0.44558192420805598</v>
      </c>
      <c r="I913" s="10">
        <f t="shared" si="146"/>
        <v>1.90921730988308</v>
      </c>
      <c r="J913" s="10">
        <f t="shared" si="147"/>
        <v>-0.44916039849251199</v>
      </c>
      <c r="K913" s="7">
        <f t="shared" si="148"/>
        <v>-5.1054842900022396E-6</v>
      </c>
      <c r="L913" s="7">
        <f t="shared" si="149"/>
        <v>3.5784742844560099E-3</v>
      </c>
      <c r="M913" s="7">
        <f t="shared" si="150"/>
        <v>0.49630592077749702</v>
      </c>
      <c r="N913" s="7">
        <f t="shared" si="151"/>
        <v>0.116760393904173</v>
      </c>
      <c r="O913" s="10">
        <v>1.1217082</v>
      </c>
      <c r="P913" s="10">
        <v>-5.7832828000000003</v>
      </c>
      <c r="Q913" s="10">
        <v>-4.9847238000000003</v>
      </c>
      <c r="R913" s="10">
        <v>-17.114218999999999</v>
      </c>
      <c r="S913" s="10">
        <f t="shared" si="152"/>
        <v>3.0258347067303917</v>
      </c>
      <c r="T913" s="10">
        <f t="shared" si="153"/>
        <v>-27.215468600113507</v>
      </c>
      <c r="U913" s="8"/>
      <c r="V913" s="8"/>
    </row>
    <row r="914" spans="1:22" x14ac:dyDescent="0.35">
      <c r="A914" s="12">
        <v>4.375</v>
      </c>
      <c r="B914">
        <v>16.375</v>
      </c>
      <c r="C914" s="12">
        <v>-0.20410613999999999</v>
      </c>
      <c r="D914" s="12">
        <v>-2.3735475999999998E-2</v>
      </c>
      <c r="E914" s="12">
        <v>0.79587092999999998</v>
      </c>
      <c r="F914" s="12">
        <v>-3.0986626E-2</v>
      </c>
      <c r="G914" s="12">
        <f t="shared" si="144"/>
        <v>1.9063299501907001</v>
      </c>
      <c r="H914" s="12">
        <f t="shared" si="145"/>
        <v>-0.32074506267543001</v>
      </c>
      <c r="I914" s="12">
        <f t="shared" si="146"/>
        <v>1.90633163013266</v>
      </c>
      <c r="J914" s="12">
        <f t="shared" si="147"/>
        <v>-0.324370673152299</v>
      </c>
      <c r="K914" s="7">
        <f t="shared" si="148"/>
        <v>-1.67994195998666E-6</v>
      </c>
      <c r="L914" s="7">
        <f t="shared" si="149"/>
        <v>3.6256104768689901E-3</v>
      </c>
      <c r="M914" s="7">
        <f t="shared" si="150"/>
        <v>0.50980749293516403</v>
      </c>
      <c r="N914" s="7">
        <f t="shared" si="151"/>
        <v>8.6745976957827306E-2</v>
      </c>
      <c r="O914" s="12">
        <v>0.83434112000000005</v>
      </c>
      <c r="P914" s="12">
        <v>-5.8699206000000004</v>
      </c>
      <c r="Q914" s="12">
        <v>-5.8908122000000001</v>
      </c>
      <c r="R914" s="12">
        <v>-16.978902999999999</v>
      </c>
      <c r="S914" s="12">
        <f t="shared" si="152"/>
        <v>3.0312060468008681</v>
      </c>
      <c r="T914" s="12">
        <f t="shared" si="153"/>
        <v>-27.223903386138886</v>
      </c>
      <c r="U914" s="8"/>
      <c r="V914" s="8"/>
    </row>
    <row r="915" spans="1:22" x14ac:dyDescent="0.35">
      <c r="A915" s="10">
        <v>4.375</v>
      </c>
      <c r="B915">
        <v>16.4375</v>
      </c>
      <c r="C915" s="10">
        <v>-0.20658512000000001</v>
      </c>
      <c r="D915" s="10">
        <v>-1.3536919999999999E-2</v>
      </c>
      <c r="E915" s="10">
        <v>0.79338447000000001</v>
      </c>
      <c r="F915" s="10">
        <v>-2.0881256000000001E-2</v>
      </c>
      <c r="G915" s="10">
        <f t="shared" si="144"/>
        <v>1.9034566587099999</v>
      </c>
      <c r="H915" s="10">
        <f t="shared" si="145"/>
        <v>-0.19836338772850501</v>
      </c>
      <c r="I915" s="10">
        <f t="shared" si="146"/>
        <v>1.90345493872991</v>
      </c>
      <c r="J915" s="10">
        <f t="shared" si="147"/>
        <v>-0.202035617880821</v>
      </c>
      <c r="K915" s="7">
        <f t="shared" si="148"/>
        <v>1.7199800899092599E-6</v>
      </c>
      <c r="L915" s="7">
        <f t="shared" si="149"/>
        <v>3.67223015231599E-3</v>
      </c>
      <c r="M915" s="7">
        <f t="shared" si="150"/>
        <v>0.51950769360390703</v>
      </c>
      <c r="N915" s="7">
        <f t="shared" si="151"/>
        <v>5.51413410086505E-2</v>
      </c>
      <c r="O915" s="10">
        <v>0.54091871000000002</v>
      </c>
      <c r="P915" s="10">
        <v>-5.9269892999999998</v>
      </c>
      <c r="Q915" s="10">
        <v>-6.7751948000000004</v>
      </c>
      <c r="R915" s="10">
        <v>-16.754376000000001</v>
      </c>
      <c r="S915" s="10">
        <f t="shared" si="152"/>
        <v>3.0365541979032882</v>
      </c>
      <c r="T915" s="10">
        <f t="shared" si="153"/>
        <v>-27.232177003875975</v>
      </c>
      <c r="U915" s="8"/>
      <c r="V915" s="8"/>
    </row>
    <row r="916" spans="1:22" x14ac:dyDescent="0.35">
      <c r="A916" s="12">
        <v>4.375</v>
      </c>
      <c r="B916">
        <v>16.5</v>
      </c>
      <c r="C916" s="12">
        <v>-0.20803176000000001</v>
      </c>
      <c r="D916" s="12">
        <v>-3.1944576000000001E-3</v>
      </c>
      <c r="E916" s="12">
        <v>0.79193316999999996</v>
      </c>
      <c r="F916" s="12">
        <v>-1.0637824000000001E-2</v>
      </c>
      <c r="G916" s="12">
        <f t="shared" si="144"/>
        <v>1.90062554076044</v>
      </c>
      <c r="H916" s="12">
        <f t="shared" si="145"/>
        <v>-7.7942568904366002E-2</v>
      </c>
      <c r="I916" s="12">
        <f t="shared" si="146"/>
        <v>1.9006218569155999</v>
      </c>
      <c r="J916" s="12">
        <f t="shared" si="147"/>
        <v>-8.1664331075569405E-2</v>
      </c>
      <c r="K916" s="7">
        <f t="shared" si="148"/>
        <v>3.6838448400633401E-6</v>
      </c>
      <c r="L916" s="7">
        <f t="shared" si="149"/>
        <v>3.7217621712034E-3</v>
      </c>
      <c r="M916" s="7">
        <f t="shared" si="150"/>
        <v>0.52517402200395202</v>
      </c>
      <c r="N916" s="7">
        <f t="shared" si="151"/>
        <v>2.2565238345106299E-2</v>
      </c>
      <c r="O916" s="12">
        <v>0.24484589000000001</v>
      </c>
      <c r="P916" s="12">
        <v>-5.9543524999999997</v>
      </c>
      <c r="Q916" s="12">
        <v>-7.6281518000000004</v>
      </c>
      <c r="R916" s="12">
        <v>-16.444312</v>
      </c>
      <c r="S916" s="12">
        <f t="shared" si="152"/>
        <v>3.0418310061166869</v>
      </c>
      <c r="T916" s="12">
        <f t="shared" si="153"/>
        <v>-27.240244100166862</v>
      </c>
      <c r="U916" s="8"/>
      <c r="V916" s="8"/>
    </row>
    <row r="917" spans="1:22" x14ac:dyDescent="0.35">
      <c r="A917" s="10">
        <v>4.375</v>
      </c>
      <c r="B917">
        <v>16.5625</v>
      </c>
      <c r="C917" s="10">
        <v>-0.20845453</v>
      </c>
      <c r="D917" s="10">
        <v>7.0627713000000003E-3</v>
      </c>
      <c r="E917" s="10">
        <v>0.79150368000000004</v>
      </c>
      <c r="F917" s="10">
        <v>-4.7497604E-4</v>
      </c>
      <c r="G917" s="10">
        <f t="shared" si="144"/>
        <v>1.89776899174034</v>
      </c>
      <c r="H917" s="10">
        <f t="shared" si="145"/>
        <v>3.97690240370824E-2</v>
      </c>
      <c r="I917" s="10">
        <f t="shared" si="146"/>
        <v>1.89776230140113</v>
      </c>
      <c r="J917" s="10">
        <f t="shared" si="147"/>
        <v>3.60000463992513E-2</v>
      </c>
      <c r="K917" s="7">
        <f t="shared" si="148"/>
        <v>6.6903392099693102E-6</v>
      </c>
      <c r="L917" s="7">
        <f t="shared" si="149"/>
        <v>3.7689776378311002E-3</v>
      </c>
      <c r="M917" s="7">
        <f t="shared" si="150"/>
        <v>0.52674683119852805</v>
      </c>
      <c r="N917" s="7">
        <f t="shared" si="151"/>
        <v>-9.9922473693387307E-3</v>
      </c>
      <c r="O917" s="10">
        <v>-4.7402806999999998E-2</v>
      </c>
      <c r="P917" s="10">
        <v>-5.9524325999999999</v>
      </c>
      <c r="Q917" s="10">
        <v>-8.4324359999999992</v>
      </c>
      <c r="R917" s="10">
        <v>-16.05847</v>
      </c>
      <c r="S917" s="10">
        <f t="shared" si="152"/>
        <v>3.0470303379097499</v>
      </c>
      <c r="T917" s="10">
        <f t="shared" si="153"/>
        <v>-27.248066140404852</v>
      </c>
      <c r="U917" s="8"/>
      <c r="V917" s="8"/>
    </row>
    <row r="918" spans="1:22" x14ac:dyDescent="0.35">
      <c r="A918" s="12">
        <v>4.375</v>
      </c>
      <c r="B918">
        <v>16.625</v>
      </c>
      <c r="C918" s="12">
        <v>-0.20790074</v>
      </c>
      <c r="D918" s="12">
        <v>1.7119547999999998E-2</v>
      </c>
      <c r="E918" s="12">
        <v>0.79205161999999996</v>
      </c>
      <c r="F918" s="12">
        <v>9.4882770999999994E-3</v>
      </c>
      <c r="G918" s="12">
        <f t="shared" si="144"/>
        <v>1.8949181957271199</v>
      </c>
      <c r="H918" s="12">
        <f t="shared" si="145"/>
        <v>0.155144807918177</v>
      </c>
      <c r="I918" s="12">
        <f t="shared" si="146"/>
        <v>1.89490893506206</v>
      </c>
      <c r="J918" s="12">
        <f t="shared" si="147"/>
        <v>0.151329046241412</v>
      </c>
      <c r="K918" s="7">
        <f t="shared" si="148"/>
        <v>9.2606650599069695E-6</v>
      </c>
      <c r="L918" s="7">
        <f t="shared" si="149"/>
        <v>3.8157616767650099E-3</v>
      </c>
      <c r="M918" s="7">
        <f t="shared" si="150"/>
        <v>0.52438544331690495</v>
      </c>
      <c r="N918" s="7">
        <f t="shared" si="151"/>
        <v>-4.1877869448870703E-2</v>
      </c>
      <c r="O918" s="12">
        <v>-0.33257759999999997</v>
      </c>
      <c r="P918" s="12">
        <v>-5.9227838000000004</v>
      </c>
      <c r="Q918" s="12">
        <v>-9.1811109000000002</v>
      </c>
      <c r="R918" s="12">
        <v>-15.605347</v>
      </c>
      <c r="S918" s="12">
        <f t="shared" si="152"/>
        <v>3.0521650051007532</v>
      </c>
      <c r="T918" s="12">
        <f t="shared" si="153"/>
        <v>-27.255711200748205</v>
      </c>
      <c r="U918" s="8"/>
      <c r="V918" s="8"/>
    </row>
    <row r="919" spans="1:22" x14ac:dyDescent="0.35">
      <c r="A919" s="10">
        <v>4.375</v>
      </c>
      <c r="B919">
        <v>16.6875</v>
      </c>
      <c r="C919" s="10">
        <v>-0.20643576999999999</v>
      </c>
      <c r="D919" s="10">
        <v>2.6846859000000001E-2</v>
      </c>
      <c r="E919" s="10">
        <v>0.79360120000000001</v>
      </c>
      <c r="F919" s="10">
        <v>1.9067652000000001E-2</v>
      </c>
      <c r="G919" s="10">
        <f t="shared" si="144"/>
        <v>1.8926649777504201</v>
      </c>
      <c r="H919" s="10">
        <f t="shared" si="145"/>
        <v>0.268053263224029</v>
      </c>
      <c r="I919" s="10">
        <f t="shared" si="146"/>
        <v>1.8926985903563101</v>
      </c>
      <c r="J919" s="10">
        <f t="shared" si="147"/>
        <v>0.26416386235931399</v>
      </c>
      <c r="K919" s="7">
        <f t="shared" si="148"/>
        <v>-3.3612605889965501E-5</v>
      </c>
      <c r="L919" s="7">
        <f t="shared" si="149"/>
        <v>3.88940086471501E-3</v>
      </c>
      <c r="M919" s="7">
        <f t="shared" si="150"/>
        <v>0.51825073620096895</v>
      </c>
      <c r="N919" s="7">
        <f t="shared" si="151"/>
        <v>-7.2332233374587496E-2</v>
      </c>
      <c r="O919" s="10">
        <v>-0.60636095999999995</v>
      </c>
      <c r="P919" s="10">
        <v>-5.8673804000000001</v>
      </c>
      <c r="Q919" s="10">
        <v>-9.8674336999999994</v>
      </c>
      <c r="R919" s="10">
        <v>-15.095630999999999</v>
      </c>
      <c r="S919" s="10">
        <f t="shared" si="152"/>
        <v>3.0574105972828165</v>
      </c>
      <c r="T919" s="10">
        <f t="shared" si="153"/>
        <v>-27.270849083987514</v>
      </c>
      <c r="U919" s="8"/>
      <c r="V919" s="8"/>
    </row>
    <row r="920" spans="1:22" x14ac:dyDescent="0.35">
      <c r="A920" s="12">
        <v>4.375</v>
      </c>
      <c r="B920">
        <v>16.75</v>
      </c>
      <c r="C920" s="12">
        <v>-0.20415841000000001</v>
      </c>
      <c r="D920" s="12">
        <v>3.6124765000000003E-2</v>
      </c>
      <c r="E920" s="12">
        <v>0.79587321</v>
      </c>
      <c r="F920" s="12">
        <v>2.8242419000000001E-2</v>
      </c>
      <c r="G920" s="12">
        <f t="shared" si="144"/>
        <v>1.8898540668694901</v>
      </c>
      <c r="H920" s="12">
        <f t="shared" si="145"/>
        <v>0.37873944122551001</v>
      </c>
      <c r="I920" s="12">
        <f t="shared" si="146"/>
        <v>1.88988540848621</v>
      </c>
      <c r="J920" s="12">
        <f t="shared" si="147"/>
        <v>0.37479845405525097</v>
      </c>
      <c r="K920" s="7">
        <f t="shared" si="148"/>
        <v>-3.1341616719915401E-5</v>
      </c>
      <c r="L920" s="7">
        <f t="shared" si="149"/>
        <v>3.9409871702590403E-3</v>
      </c>
      <c r="M920" s="7">
        <f t="shared" si="150"/>
        <v>0.50910930960968903</v>
      </c>
      <c r="N920" s="7">
        <f t="shared" si="151"/>
        <v>-0.10096558306129701</v>
      </c>
      <c r="O920" s="12">
        <v>-0.86681121000000005</v>
      </c>
      <c r="P920" s="12">
        <v>-5.7894228999999999</v>
      </c>
      <c r="Q920" s="12">
        <v>-10.485022000000001</v>
      </c>
      <c r="R920" s="12">
        <v>-14.541162999999999</v>
      </c>
      <c r="S920" s="12">
        <f t="shared" si="152"/>
        <v>3.0623925184496685</v>
      </c>
      <c r="T920" s="12">
        <f t="shared" si="153"/>
        <v>-27.278533088422108</v>
      </c>
      <c r="U920" s="8"/>
      <c r="V920" s="8"/>
    </row>
    <row r="921" spans="1:22" x14ac:dyDescent="0.35">
      <c r="A921" s="10">
        <v>4.375</v>
      </c>
      <c r="B921">
        <v>16.8125</v>
      </c>
      <c r="C921" s="10">
        <v>-0.20116598999999999</v>
      </c>
      <c r="D921" s="10">
        <v>4.4876916000000003E-2</v>
      </c>
      <c r="E921" s="10">
        <v>0.79886038000000004</v>
      </c>
      <c r="F921" s="10">
        <v>3.6890442000000002E-2</v>
      </c>
      <c r="G921" s="10">
        <f t="shared" si="144"/>
        <v>1.88705000860692</v>
      </c>
      <c r="H921" s="10">
        <f t="shared" si="145"/>
        <v>0.487159948848367</v>
      </c>
      <c r="I921" s="10">
        <f t="shared" si="146"/>
        <v>1.88707913848984</v>
      </c>
      <c r="J921" s="10">
        <f t="shared" si="147"/>
        <v>0.48316688081949499</v>
      </c>
      <c r="K921" s="7">
        <f t="shared" si="148"/>
        <v>-2.9129882920031501E-5</v>
      </c>
      <c r="L921" s="7">
        <f t="shared" si="149"/>
        <v>3.9930680288720001E-3</v>
      </c>
      <c r="M921" s="7">
        <f t="shared" si="150"/>
        <v>0.49731723065360101</v>
      </c>
      <c r="N921" s="7">
        <f t="shared" si="151"/>
        <v>-0.12733287661956899</v>
      </c>
      <c r="O921" s="10">
        <v>-1.1112053</v>
      </c>
      <c r="P921" s="10">
        <v>-5.6917112999999997</v>
      </c>
      <c r="Q921" s="10">
        <v>-11.032508</v>
      </c>
      <c r="R921" s="10">
        <v>-13.952985999999999</v>
      </c>
      <c r="S921" s="10">
        <f t="shared" si="152"/>
        <v>3.0672835175769273</v>
      </c>
      <c r="T921" s="10">
        <f t="shared" si="153"/>
        <v>-27.286098887675667</v>
      </c>
      <c r="U921" s="8"/>
      <c r="V921" s="8"/>
    </row>
    <row r="922" spans="1:22" x14ac:dyDescent="0.35">
      <c r="A922" s="12">
        <v>4.375</v>
      </c>
      <c r="B922">
        <v>16.875</v>
      </c>
      <c r="C922" s="12">
        <v>-0.19756836</v>
      </c>
      <c r="D922" s="12">
        <v>5.3039996999999998E-2</v>
      </c>
      <c r="E922" s="12">
        <v>0.80245288000000004</v>
      </c>
      <c r="F922" s="12">
        <v>4.4948255999999999E-2</v>
      </c>
      <c r="G922" s="12">
        <f t="shared" si="144"/>
        <v>1.88425147672361</v>
      </c>
      <c r="H922" s="12">
        <f t="shared" si="145"/>
        <v>0.59331824243159903</v>
      </c>
      <c r="I922" s="12">
        <f t="shared" si="146"/>
        <v>1.8842784648894999</v>
      </c>
      <c r="J922" s="12">
        <f t="shared" si="147"/>
        <v>0.58927252408775299</v>
      </c>
      <c r="K922" s="7">
        <f t="shared" si="148"/>
        <v>-2.6988165889863E-5</v>
      </c>
      <c r="L922" s="7">
        <f t="shared" si="149"/>
        <v>4.0457183438460404E-3</v>
      </c>
      <c r="M922" s="7">
        <f t="shared" si="150"/>
        <v>0.48342754205201299</v>
      </c>
      <c r="N922" s="7">
        <f t="shared" si="151"/>
        <v>-0.151182839068977</v>
      </c>
      <c r="O922" s="12">
        <v>-1.3378703999999999</v>
      </c>
      <c r="P922" s="12">
        <v>-5.5774423000000004</v>
      </c>
      <c r="Q922" s="12">
        <v>-11.509494</v>
      </c>
      <c r="R922" s="12">
        <v>-13.342219999999999</v>
      </c>
      <c r="S922" s="12">
        <f t="shared" si="152"/>
        <v>3.0721042614573864</v>
      </c>
      <c r="T922" s="12">
        <f t="shared" si="153"/>
        <v>-27.293493190734683</v>
      </c>
      <c r="U922" s="8"/>
      <c r="V922" s="8"/>
    </row>
    <row r="923" spans="1:22" x14ac:dyDescent="0.35">
      <c r="A923" s="10">
        <v>4.375</v>
      </c>
      <c r="B923">
        <v>16.9375</v>
      </c>
      <c r="C923" s="10">
        <v>-0.1934748</v>
      </c>
      <c r="D923" s="10">
        <v>6.0577302999999999E-2</v>
      </c>
      <c r="E923" s="10">
        <v>0.80654137999999997</v>
      </c>
      <c r="F923" s="10">
        <v>5.2379509999999997E-2</v>
      </c>
      <c r="G923" s="10">
        <f t="shared" si="144"/>
        <v>1.88145756730698</v>
      </c>
      <c r="H923" s="10">
        <f t="shared" si="145"/>
        <v>0.69726785741018704</v>
      </c>
      <c r="I923" s="10">
        <f t="shared" si="146"/>
        <v>1.8814824575040401</v>
      </c>
      <c r="J923" s="10">
        <f t="shared" si="147"/>
        <v>0.69316909609150801</v>
      </c>
      <c r="K923" s="7">
        <f t="shared" si="148"/>
        <v>-2.4890197060090099E-5</v>
      </c>
      <c r="L923" s="7">
        <f t="shared" si="149"/>
        <v>4.0987613186790296E-3</v>
      </c>
      <c r="M923" s="7">
        <f t="shared" si="150"/>
        <v>0.46797695510892201</v>
      </c>
      <c r="N923" s="7">
        <f t="shared" si="151"/>
        <v>-0.17241041056254999</v>
      </c>
      <c r="O923" s="10">
        <v>-1.5459244000000001</v>
      </c>
      <c r="P923" s="10">
        <v>-5.4498471000000004</v>
      </c>
      <c r="Q923" s="10">
        <v>-11.917655999999999</v>
      </c>
      <c r="R923" s="10">
        <v>-12.718814999999999</v>
      </c>
      <c r="S923" s="10">
        <f t="shared" si="152"/>
        <v>3.076828652039683</v>
      </c>
      <c r="T923" s="10">
        <f t="shared" si="153"/>
        <v>-27.300721563976438</v>
      </c>
      <c r="U923" s="8"/>
      <c r="V923" s="8"/>
    </row>
    <row r="924" spans="1:22" x14ac:dyDescent="0.35">
      <c r="A924" s="12">
        <v>4.375</v>
      </c>
      <c r="B924">
        <v>17</v>
      </c>
      <c r="C924" s="12">
        <v>-0.18899213000000001</v>
      </c>
      <c r="D924" s="12">
        <v>6.7472158000000004E-2</v>
      </c>
      <c r="E924" s="12">
        <v>0.81093325000000005</v>
      </c>
      <c r="F924" s="12">
        <v>5.9184609999999999E-2</v>
      </c>
      <c r="G924" s="12">
        <f t="shared" si="144"/>
        <v>1.8781808010192</v>
      </c>
      <c r="H924" s="12">
        <f t="shared" si="145"/>
        <v>0.79880350619582796</v>
      </c>
      <c r="I924" s="12">
        <f t="shared" si="146"/>
        <v>1.87816066211727</v>
      </c>
      <c r="J924" s="12">
        <f t="shared" si="147"/>
        <v>0.79465949413167902</v>
      </c>
      <c r="K924" s="7">
        <f t="shared" si="148"/>
        <v>2.0138901930089001E-5</v>
      </c>
      <c r="L924" s="7">
        <f t="shared" si="149"/>
        <v>4.1440120641489404E-3</v>
      </c>
      <c r="M924" s="7">
        <f t="shared" si="150"/>
        <v>0.45159261242057502</v>
      </c>
      <c r="N924" s="7">
        <f t="shared" si="151"/>
        <v>-0.191071170948277</v>
      </c>
      <c r="O924" s="12">
        <v>-1.7350407999999999</v>
      </c>
      <c r="P924" s="12">
        <v>-5.3123765000000001</v>
      </c>
      <c r="Q924" s="12">
        <v>-12.260247</v>
      </c>
      <c r="R924" s="12">
        <v>-12.091340000000001</v>
      </c>
      <c r="S924" s="12">
        <f t="shared" si="152"/>
        <v>3.0812350703386624</v>
      </c>
      <c r="T924" s="12">
        <f t="shared" si="153"/>
        <v>-27.310187988889485</v>
      </c>
      <c r="U924" s="8"/>
      <c r="V924" s="8"/>
    </row>
    <row r="925" spans="1:22" x14ac:dyDescent="0.35">
      <c r="A925" s="10">
        <v>4.5</v>
      </c>
      <c r="B925">
        <v>15</v>
      </c>
      <c r="C925" s="10">
        <v>-6.4420095999999996E-2</v>
      </c>
      <c r="D925" s="10">
        <v>-9.4227955000000002E-2</v>
      </c>
      <c r="E925" s="10">
        <v>0.93562478000000004</v>
      </c>
      <c r="F925" s="10">
        <v>-9.9918472999999994E-2</v>
      </c>
      <c r="G925" s="10">
        <f t="shared" si="144"/>
        <v>1.87273307023365</v>
      </c>
      <c r="H925" s="10">
        <f t="shared" si="145"/>
        <v>-3.5752650799001202</v>
      </c>
      <c r="I925" s="10">
        <f t="shared" si="146"/>
        <v>1.8727636026185299</v>
      </c>
      <c r="J925" s="10">
        <f t="shared" si="147"/>
        <v>-3.5781101881890298</v>
      </c>
      <c r="K925" s="7">
        <f t="shared" si="148"/>
        <v>-3.0532384879933302E-5</v>
      </c>
      <c r="L925" s="7">
        <f t="shared" si="149"/>
        <v>2.8451082889096001E-3</v>
      </c>
      <c r="M925" s="7">
        <f t="shared" si="150"/>
        <v>0.114822212126552</v>
      </c>
      <c r="N925" s="7">
        <f t="shared" si="151"/>
        <v>0.219379811987998</v>
      </c>
      <c r="O925" s="10">
        <v>2.9427162</v>
      </c>
      <c r="P925" s="10">
        <v>-1.9186981999999999</v>
      </c>
      <c r="Q925" s="10">
        <v>5.0585021000000001</v>
      </c>
      <c r="R925" s="10">
        <v>-8.8023146000000008</v>
      </c>
      <c r="S925" s="10">
        <f t="shared" si="152"/>
        <v>2.8899449731613132</v>
      </c>
      <c r="T925" s="10">
        <f t="shared" si="153"/>
        <v>-27.009942243908775</v>
      </c>
      <c r="U925" s="8"/>
      <c r="V925" s="8"/>
    </row>
    <row r="926" spans="1:22" x14ac:dyDescent="0.35">
      <c r="A926" s="12">
        <v>4.5</v>
      </c>
      <c r="B926">
        <v>15.0625</v>
      </c>
      <c r="C926" s="12">
        <v>-6.9127034000000004E-2</v>
      </c>
      <c r="D926" s="12">
        <v>-9.6129290000000006E-2</v>
      </c>
      <c r="E926" s="12">
        <v>0.93091093000000003</v>
      </c>
      <c r="F926" s="12">
        <v>-0.10189034</v>
      </c>
      <c r="G926" s="12">
        <f t="shared" si="144"/>
        <v>1.8701312847208</v>
      </c>
      <c r="H926" s="12">
        <f t="shared" si="145"/>
        <v>-3.3942221568524702</v>
      </c>
      <c r="I926" s="12">
        <f t="shared" si="146"/>
        <v>1.8701585632434401</v>
      </c>
      <c r="J926" s="12">
        <f t="shared" si="147"/>
        <v>-3.3971025486004001</v>
      </c>
      <c r="K926" s="7">
        <f t="shared" si="148"/>
        <v>-2.7278522640061798E-5</v>
      </c>
      <c r="L926" s="7">
        <f t="shared" si="149"/>
        <v>2.8803917479298699E-3</v>
      </c>
      <c r="M926" s="7">
        <f t="shared" si="150"/>
        <v>0.12436385078223899</v>
      </c>
      <c r="N926" s="7">
        <f t="shared" si="151"/>
        <v>0.225904242960767</v>
      </c>
      <c r="O926" s="12">
        <v>2.9882867000000002</v>
      </c>
      <c r="P926" s="12">
        <v>-2.0512318999999999</v>
      </c>
      <c r="Q926" s="12">
        <v>5.0170950000000003</v>
      </c>
      <c r="R926" s="12">
        <v>-9.2352661999999999</v>
      </c>
      <c r="S926" s="12">
        <f t="shared" si="152"/>
        <v>2.8996819695672622</v>
      </c>
      <c r="T926" s="12">
        <f t="shared" si="153"/>
        <v>-27.020161994639817</v>
      </c>
      <c r="U926" s="8"/>
      <c r="V926" s="8"/>
    </row>
    <row r="927" spans="1:22" x14ac:dyDescent="0.35">
      <c r="A927" s="10">
        <v>4.5</v>
      </c>
      <c r="B927">
        <v>15.125</v>
      </c>
      <c r="C927" s="10">
        <v>-7.4144610999999999E-2</v>
      </c>
      <c r="D927" s="10">
        <v>-9.7879752E-2</v>
      </c>
      <c r="E927" s="10">
        <v>0.92589041000000005</v>
      </c>
      <c r="F927" s="10">
        <v>-0.10371356</v>
      </c>
      <c r="G927" s="10">
        <f t="shared" si="144"/>
        <v>1.86753988754859</v>
      </c>
      <c r="H927" s="10">
        <f t="shared" si="145"/>
        <v>-3.2178961156480801</v>
      </c>
      <c r="I927" s="10">
        <f t="shared" si="146"/>
        <v>1.8675659055516001</v>
      </c>
      <c r="J927" s="10">
        <f t="shared" si="147"/>
        <v>-3.22081289268184</v>
      </c>
      <c r="K927" s="7">
        <f t="shared" si="148"/>
        <v>-2.6018003010053199E-5</v>
      </c>
      <c r="L927" s="7">
        <f t="shared" si="149"/>
        <v>2.9167770337599199E-3</v>
      </c>
      <c r="M927" s="7">
        <f t="shared" si="150"/>
        <v>0.13473103525845201</v>
      </c>
      <c r="N927" s="7">
        <f t="shared" si="151"/>
        <v>0.23235777335345301</v>
      </c>
      <c r="O927" s="10">
        <v>3.0312424999999998</v>
      </c>
      <c r="P927" s="10">
        <v>-2.1932005999999999</v>
      </c>
      <c r="Q927" s="10">
        <v>4.952464</v>
      </c>
      <c r="R927" s="10">
        <v>-9.6856902999999992</v>
      </c>
      <c r="S927" s="10">
        <f t="shared" si="152"/>
        <v>2.9075231219303879</v>
      </c>
      <c r="T927" s="10">
        <f t="shared" si="153"/>
        <v>-27.031602280103812</v>
      </c>
      <c r="U927" s="8"/>
      <c r="V927" s="8"/>
    </row>
    <row r="928" spans="1:22" x14ac:dyDescent="0.35">
      <c r="A928" s="12">
        <v>4.5</v>
      </c>
      <c r="B928">
        <v>15.1875</v>
      </c>
      <c r="C928" s="12">
        <v>-7.9500029999999999E-2</v>
      </c>
      <c r="D928" s="12">
        <v>-9.9451318999999996E-2</v>
      </c>
      <c r="E928" s="12">
        <v>0.92053370000000001</v>
      </c>
      <c r="F928" s="12">
        <v>-0.10536062</v>
      </c>
      <c r="G928" s="12">
        <f t="shared" si="144"/>
        <v>1.86491622844339</v>
      </c>
      <c r="H928" s="12">
        <f t="shared" si="145"/>
        <v>-3.0454931199109398</v>
      </c>
      <c r="I928" s="12">
        <f t="shared" si="146"/>
        <v>1.86494182260066</v>
      </c>
      <c r="J928" s="12">
        <f t="shared" si="147"/>
        <v>-3.04844764496108</v>
      </c>
      <c r="K928" s="7">
        <f t="shared" si="148"/>
        <v>-2.5594157269992499E-5</v>
      </c>
      <c r="L928" s="7">
        <f t="shared" si="149"/>
        <v>2.9545250501401602E-3</v>
      </c>
      <c r="M928" s="7">
        <f t="shared" si="150"/>
        <v>0.14602895847873901</v>
      </c>
      <c r="N928" s="7">
        <f t="shared" si="151"/>
        <v>0.23870001153701101</v>
      </c>
      <c r="O928" s="12">
        <v>3.0694708999999998</v>
      </c>
      <c r="P928" s="12">
        <v>-2.3447138000000001</v>
      </c>
      <c r="Q928" s="12">
        <v>4.8612472000000002</v>
      </c>
      <c r="R928" s="12">
        <v>-10.154597000000001</v>
      </c>
      <c r="S928" s="12">
        <f t="shared" si="152"/>
        <v>2.9147082305039511</v>
      </c>
      <c r="T928" s="12">
        <f t="shared" si="153"/>
        <v>-27.042891636755872</v>
      </c>
      <c r="U928" s="8"/>
      <c r="V928" s="8"/>
    </row>
    <row r="929" spans="1:22" x14ac:dyDescent="0.35">
      <c r="A929" s="10">
        <v>4.5</v>
      </c>
      <c r="B929">
        <v>15.25</v>
      </c>
      <c r="C929" s="10">
        <v>-8.5210106999999993E-2</v>
      </c>
      <c r="D929" s="10">
        <v>-0.10080438999999999</v>
      </c>
      <c r="E929" s="10">
        <v>0.91482337000000002</v>
      </c>
      <c r="F929" s="10">
        <v>-0.10679154</v>
      </c>
      <c r="G929" s="10">
        <f t="shared" si="144"/>
        <v>1.8622794829384699</v>
      </c>
      <c r="H929" s="10">
        <f t="shared" si="145"/>
        <v>-2.8766749127187601</v>
      </c>
      <c r="I929" s="10">
        <f t="shared" si="146"/>
        <v>1.86230518211929</v>
      </c>
      <c r="J929" s="10">
        <f t="shared" si="147"/>
        <v>-2.87966836068051</v>
      </c>
      <c r="K929" s="7">
        <f t="shared" si="148"/>
        <v>-2.5699180820071301E-5</v>
      </c>
      <c r="L929" s="7">
        <f t="shared" si="149"/>
        <v>2.9934479617499399E-3</v>
      </c>
      <c r="M929" s="7">
        <f t="shared" si="150"/>
        <v>0.15835025635953001</v>
      </c>
      <c r="N929" s="7">
        <f t="shared" si="151"/>
        <v>0.24485579888966799</v>
      </c>
      <c r="O929" s="10">
        <v>3.101499</v>
      </c>
      <c r="P929" s="10">
        <v>-2.5060560000000001</v>
      </c>
      <c r="Q929" s="10">
        <v>4.7395521</v>
      </c>
      <c r="R929" s="10">
        <v>-10.641529</v>
      </c>
      <c r="S929" s="10">
        <f t="shared" si="152"/>
        <v>2.9214969782029008</v>
      </c>
      <c r="T929" s="10">
        <f t="shared" si="153"/>
        <v>-27.053927552507059</v>
      </c>
      <c r="U929" s="8"/>
      <c r="V929" s="8"/>
    </row>
    <row r="930" spans="1:22" x14ac:dyDescent="0.35">
      <c r="A930" s="12">
        <v>4.5</v>
      </c>
      <c r="B930">
        <v>15.3125</v>
      </c>
      <c r="C930" s="12">
        <v>-9.1285525000000006E-2</v>
      </c>
      <c r="D930" s="12">
        <v>-0.10189226</v>
      </c>
      <c r="E930" s="12">
        <v>0.90874845999999998</v>
      </c>
      <c r="F930" s="12">
        <v>-0.10795958</v>
      </c>
      <c r="G930" s="12">
        <f t="shared" si="144"/>
        <v>1.8596403089457101</v>
      </c>
      <c r="H930" s="12">
        <f t="shared" si="145"/>
        <v>-2.7112342544775299</v>
      </c>
      <c r="I930" s="12">
        <f t="shared" si="146"/>
        <v>1.8596665036961399</v>
      </c>
      <c r="J930" s="12">
        <f t="shared" si="147"/>
        <v>-2.7142677834643201</v>
      </c>
      <c r="K930" s="7">
        <f t="shared" si="148"/>
        <v>-2.61947504298643E-5</v>
      </c>
      <c r="L930" s="7">
        <f t="shared" si="149"/>
        <v>3.0335289867902101E-3</v>
      </c>
      <c r="M930" s="7">
        <f t="shared" si="150"/>
        <v>0.17178400638740501</v>
      </c>
      <c r="N930" s="7">
        <f t="shared" si="151"/>
        <v>0.25072656485721601</v>
      </c>
      <c r="O930" s="12">
        <v>3.1256791000000002</v>
      </c>
      <c r="P930" s="12">
        <v>-2.6772518000000001</v>
      </c>
      <c r="Q930" s="12">
        <v>4.5833972000000003</v>
      </c>
      <c r="R930" s="12">
        <v>-11.145495</v>
      </c>
      <c r="S930" s="12">
        <f t="shared" si="152"/>
        <v>2.9282105198756563</v>
      </c>
      <c r="T930" s="12">
        <f t="shared" si="153"/>
        <v>-27.064716702460849</v>
      </c>
      <c r="U930" s="8"/>
      <c r="V930" s="8"/>
    </row>
    <row r="931" spans="1:22" x14ac:dyDescent="0.35">
      <c r="A931" s="10">
        <v>4.5</v>
      </c>
      <c r="B931">
        <v>15.375</v>
      </c>
      <c r="C931" s="10">
        <v>-9.7730531999999995E-2</v>
      </c>
      <c r="D931" s="10">
        <v>-0.1026619</v>
      </c>
      <c r="E931" s="10">
        <v>0.90230451</v>
      </c>
      <c r="F931" s="10">
        <v>-0.10881186</v>
      </c>
      <c r="G931" s="10">
        <f t="shared" si="144"/>
        <v>1.85700223612005</v>
      </c>
      <c r="H931" s="10">
        <f t="shared" si="145"/>
        <v>-2.5490286310607702</v>
      </c>
      <c r="I931" s="10">
        <f t="shared" si="146"/>
        <v>1.85702921172868</v>
      </c>
      <c r="J931" s="10">
        <f t="shared" si="147"/>
        <v>-2.5521034742369801</v>
      </c>
      <c r="K931" s="7">
        <f t="shared" si="148"/>
        <v>-2.6975608629964402E-5</v>
      </c>
      <c r="L931" s="7">
        <f t="shared" si="149"/>
        <v>3.07484317620998E-3</v>
      </c>
      <c r="M931" s="7">
        <f t="shared" si="150"/>
        <v>0.186415220508</v>
      </c>
      <c r="N931" s="7">
        <f t="shared" si="151"/>
        <v>0.25618925588480701</v>
      </c>
      <c r="O931" s="10">
        <v>3.1406043000000001</v>
      </c>
      <c r="P931" s="10">
        <v>-2.8584428000000002</v>
      </c>
      <c r="Q931" s="10">
        <v>4.3885506000000003</v>
      </c>
      <c r="R931" s="10">
        <v>-11.664662999999999</v>
      </c>
      <c r="S931" s="10">
        <f t="shared" si="152"/>
        <v>2.9347546195783232</v>
      </c>
      <c r="T931" s="10">
        <f t="shared" si="153"/>
        <v>-27.075277806247986</v>
      </c>
      <c r="U931" s="8"/>
      <c r="V931" s="8"/>
    </row>
    <row r="932" spans="1:22" x14ac:dyDescent="0.35">
      <c r="A932" s="12">
        <v>4.5</v>
      </c>
      <c r="B932">
        <v>15.4375</v>
      </c>
      <c r="C932" s="12">
        <v>-0.10454761999999999</v>
      </c>
      <c r="D932" s="12">
        <v>-0.10304951</v>
      </c>
      <c r="E932" s="12">
        <v>0.89539762000000001</v>
      </c>
      <c r="F932" s="12">
        <v>-0.10917486999999999</v>
      </c>
      <c r="G932" s="12">
        <f t="shared" si="144"/>
        <v>1.8557551687365399</v>
      </c>
      <c r="H932" s="12">
        <f t="shared" si="145"/>
        <v>-2.3888428199645402</v>
      </c>
      <c r="I932" s="12">
        <f t="shared" si="146"/>
        <v>1.8557371686781601</v>
      </c>
      <c r="J932" s="12">
        <f t="shared" si="147"/>
        <v>-2.3919056389529501</v>
      </c>
      <c r="K932" s="7">
        <f t="shared" si="148"/>
        <v>1.8000058379818998E-5</v>
      </c>
      <c r="L932" s="7">
        <f t="shared" si="149"/>
        <v>3.0628189884098801E-3</v>
      </c>
      <c r="M932" s="7">
        <f t="shared" si="150"/>
        <v>0.20248146542741999</v>
      </c>
      <c r="N932" s="7">
        <f t="shared" si="151"/>
        <v>0.26098338014336397</v>
      </c>
      <c r="O932" s="12">
        <v>3.1442847</v>
      </c>
      <c r="P932" s="12">
        <v>-3.0494355999999998</v>
      </c>
      <c r="Q932" s="12">
        <v>4.1499275000000004</v>
      </c>
      <c r="R932" s="12">
        <v>-12.196351999999999</v>
      </c>
      <c r="S932" s="12">
        <f t="shared" si="152"/>
        <v>2.9412441928992932</v>
      </c>
      <c r="T932" s="12">
        <f t="shared" si="153"/>
        <v>-27.085972987567391</v>
      </c>
      <c r="U932" s="8"/>
      <c r="V932" s="8"/>
    </row>
    <row r="933" spans="1:22" x14ac:dyDescent="0.35">
      <c r="A933" s="10">
        <v>4.5</v>
      </c>
      <c r="B933">
        <v>15.5</v>
      </c>
      <c r="C933" s="10">
        <v>-0.11171329000000001</v>
      </c>
      <c r="D933" s="10">
        <v>-0.10300035</v>
      </c>
      <c r="E933" s="10">
        <v>0.88823775000000005</v>
      </c>
      <c r="F933" s="10">
        <v>-0.10920551000000001</v>
      </c>
      <c r="G933" s="10">
        <f t="shared" ref="G933:G996" si="154">IMREAL(IMDIV(IMSUM(IMPRODUCT(COMPLEX(1 + C933,D933),COMPLEX(1 - C933, - D933)),IMPRODUCT(COMPLEX(E933,F933),COMPLEX(E933,F933))),IMSUB(IMPRODUCT(COMPLEX(1 - C933, - D933),COMPLEX(1 - C933, - D933)),IMPRODUCT(COMPLEX(E933,F933),COMPLEX(E933,F933)))))</f>
        <v>1.85305911214723</v>
      </c>
      <c r="H933" s="10">
        <f t="shared" ref="H933:H996" si="155">IMAGINARY(IMDIV(IMSUM(IMPRODUCT(COMPLEX(1 + C933,D933),COMPLEX(1 - C933, - D933)),IMPRODUCT(COMPLEX(E933,F933),COMPLEX(E933,F933))),IMSUB(IMPRODUCT(COMPLEX(1 - C933, - D933),COMPLEX(1 - C933, - D933)),IMPRODUCT(COMPLEX(E933,F933),COMPLEX(E933,F933)))))</f>
        <v>-2.23283795383642</v>
      </c>
      <c r="I933" s="10">
        <f t="shared" ref="I933:I996" si="156">IMREAL(IMDIV(IMPRODUCT(COMPLEX(2,0),COMPLEX(E933,F933)),IMSUB(IMPRODUCT(COMPLEX(1 - C933, - D933),COMPLEX(1 - C933, - D933)),IMPRODUCT(COMPLEX(E933,F933),COMPLEX(E933,F933)))))</f>
        <v>1.8530442581649</v>
      </c>
      <c r="J933" s="10">
        <f t="shared" ref="J933:J996" si="157">IMAGINARY(IMDIV(IMPRODUCT(COMPLEX(2,0),COMPLEX(E933,F933)),IMSUB(IMPRODUCT(COMPLEX(1 - C933, - D933),COMPLEX(1 - C933, - D933)),IMPRODUCT(COMPLEX(E933,F933),COMPLEX(E933,F933)))))</f>
        <v>-2.2359406558762398</v>
      </c>
      <c r="K933" s="7">
        <f t="shared" ref="K933:K996" si="158">IMREAL(IMSUB(COMPLEX(G933,H933),COMPLEX(I933,J933)))</f>
        <v>1.4853982329920999E-5</v>
      </c>
      <c r="L933" s="7">
        <f t="shared" ref="L933:L996" si="159">IMAGINARY(IMSUB(COMPLEX(G933,H933),COMPLEX(I933,J933)))</f>
        <v>3.10270203981977E-3</v>
      </c>
      <c r="M933" s="7">
        <f t="shared" ref="M933:M996" si="160">IMREAL(IMDIV(IMSUB(IMPRODUCT(COMPLEX(1 - C933, - D933),COMPLEX(1 - C933, - D933)),IMPRODUCT(COMPLEX(E933,F933),COMPLEX(E933,F933))),IMPRODUCT(COMPLEX(2,0),COMPLEX(E933,F933))))</f>
        <v>0.21973194736167001</v>
      </c>
      <c r="N933" s="7">
        <f t="shared" ref="N933:N996" si="161">IMAGINARY(IMDIV(IMSUB(IMPRODUCT(COMPLEX(1 - C933, - D933),COMPLEX(1 - C933, - D933)),IMPRODUCT(COMPLEX(E933,F933),COMPLEX(E933,F933))),IMPRODUCT(COMPLEX(2,0),COMPLEX(E933,F933))))</f>
        <v>0.26513538051560898</v>
      </c>
      <c r="O933" s="10">
        <v>3.1354212000000001</v>
      </c>
      <c r="P933" s="10">
        <v>-3.2497337000000002</v>
      </c>
      <c r="Q933" s="10">
        <v>3.8646028000000001</v>
      </c>
      <c r="R933" s="10">
        <v>-12.73718</v>
      </c>
      <c r="S933" s="10">
        <f t="shared" ref="S933:S996" si="162">IMABS(COMPLEX(Q933,R933))/IMABS(COMPLEX(O933,P933))</f>
        <v>2.9476110780937219</v>
      </c>
      <c r="T933" s="10">
        <f t="shared" ref="T933:T996" si="163">IMARGUMENT(IMDIV(COMPLEX(Q933,R933),COMPLEX(O933/B933,P933/B933)))/PI()*180</f>
        <v>-27.095967693415886</v>
      </c>
      <c r="U933" s="8"/>
      <c r="V933" s="8"/>
    </row>
    <row r="934" spans="1:22" x14ac:dyDescent="0.35">
      <c r="A934" s="12">
        <v>4.5</v>
      </c>
      <c r="B934">
        <v>15.5625</v>
      </c>
      <c r="C934" s="12">
        <v>-0.11921101000000001</v>
      </c>
      <c r="D934" s="12">
        <v>-0.10244167</v>
      </c>
      <c r="E934" s="12">
        <v>0.88074655999999996</v>
      </c>
      <c r="F934" s="12">
        <v>-0.10872931</v>
      </c>
      <c r="G934" s="12">
        <f t="shared" si="154"/>
        <v>1.8503706399550199</v>
      </c>
      <c r="H934" s="12">
        <f t="shared" si="155"/>
        <v>-2.0797817793237598</v>
      </c>
      <c r="I934" s="12">
        <f t="shared" si="156"/>
        <v>1.8503593086404899</v>
      </c>
      <c r="J934" s="12">
        <f t="shared" si="157"/>
        <v>-2.0829257016456801</v>
      </c>
      <c r="K934" s="7">
        <f t="shared" si="158"/>
        <v>1.13313145300165E-5</v>
      </c>
      <c r="L934" s="7">
        <f t="shared" si="159"/>
        <v>3.1439223219202899E-3</v>
      </c>
      <c r="M934" s="7">
        <f t="shared" si="160"/>
        <v>0.238374362495653</v>
      </c>
      <c r="N934" s="7">
        <f t="shared" si="161"/>
        <v>0.26833495739830299</v>
      </c>
      <c r="O934" s="12">
        <v>3.1118882000000001</v>
      </c>
      <c r="P934" s="12">
        <v>-3.4586451999999999</v>
      </c>
      <c r="Q934" s="12">
        <v>3.5275940000000001</v>
      </c>
      <c r="R934" s="12">
        <v>-13.282673000000001</v>
      </c>
      <c r="S934" s="12">
        <f t="shared" si="162"/>
        <v>2.953899610470454</v>
      </c>
      <c r="T934" s="12">
        <f t="shared" si="163"/>
        <v>-27.105843182965867</v>
      </c>
      <c r="U934" s="8"/>
      <c r="V934" s="8"/>
    </row>
    <row r="935" spans="1:22" x14ac:dyDescent="0.35">
      <c r="A935" s="10">
        <v>4.5</v>
      </c>
      <c r="B935">
        <v>15.625</v>
      </c>
      <c r="C935" s="10">
        <v>-0.1270067</v>
      </c>
      <c r="D935" s="10">
        <v>-0.10130235999999999</v>
      </c>
      <c r="E935" s="10">
        <v>0.87295789999999995</v>
      </c>
      <c r="F935" s="10">
        <v>-0.10767504</v>
      </c>
      <c r="G935" s="10">
        <f t="shared" si="154"/>
        <v>1.8476915211685701</v>
      </c>
      <c r="H935" s="10">
        <f t="shared" si="155"/>
        <v>-1.9295856873253701</v>
      </c>
      <c r="I935" s="10">
        <f t="shared" si="156"/>
        <v>1.8476839740539099</v>
      </c>
      <c r="J935" s="10">
        <f t="shared" si="157"/>
        <v>-1.93277210777268</v>
      </c>
      <c r="K935" s="7">
        <f t="shared" si="158"/>
        <v>7.5471146601113801E-6</v>
      </c>
      <c r="L935" s="7">
        <f t="shared" si="159"/>
        <v>3.18642044730999E-3</v>
      </c>
      <c r="M935" s="7">
        <f t="shared" si="160"/>
        <v>0.25843381776055702</v>
      </c>
      <c r="N935" s="7">
        <f t="shared" si="161"/>
        <v>0.27033501490890799</v>
      </c>
      <c r="O935" s="10">
        <v>3.0717132</v>
      </c>
      <c r="P935" s="10">
        <v>-3.6750916999999999</v>
      </c>
      <c r="Q935" s="10">
        <v>3.1348942000000002</v>
      </c>
      <c r="R935" s="10">
        <v>-13.82742</v>
      </c>
      <c r="S935" s="10">
        <f t="shared" si="162"/>
        <v>2.9601393252799975</v>
      </c>
      <c r="T935" s="10">
        <f t="shared" si="163"/>
        <v>-27.115615807088275</v>
      </c>
      <c r="U935" s="8"/>
      <c r="V935" s="8"/>
    </row>
    <row r="936" spans="1:22" x14ac:dyDescent="0.35">
      <c r="A936" s="12">
        <v>4.5</v>
      </c>
      <c r="B936">
        <v>15.6875</v>
      </c>
      <c r="C936" s="12">
        <v>-0.13505175</v>
      </c>
      <c r="D936" s="12">
        <v>-9.9510540999999994E-2</v>
      </c>
      <c r="E936" s="12">
        <v>0.86491991000000001</v>
      </c>
      <c r="F936" s="12">
        <v>-0.10597073</v>
      </c>
      <c r="G936" s="12">
        <f t="shared" si="154"/>
        <v>1.8450232590206801</v>
      </c>
      <c r="H936" s="12">
        <f t="shared" si="155"/>
        <v>-1.7821730767281301</v>
      </c>
      <c r="I936" s="12">
        <f t="shared" si="156"/>
        <v>1.8450195226650501</v>
      </c>
      <c r="J936" s="12">
        <f t="shared" si="157"/>
        <v>-1.7854032290681801</v>
      </c>
      <c r="K936" s="7">
        <f t="shared" si="158"/>
        <v>3.73635563000185E-6</v>
      </c>
      <c r="L936" s="7">
        <f t="shared" si="159"/>
        <v>3.23015234004997E-3</v>
      </c>
      <c r="M936" s="7">
        <f t="shared" si="160"/>
        <v>0.279897787330665</v>
      </c>
      <c r="N936" s="7">
        <f t="shared" si="161"/>
        <v>0.27085372657052897</v>
      </c>
      <c r="O936" s="12">
        <v>3.0129812</v>
      </c>
      <c r="P936" s="12">
        <v>-3.8976548000000002</v>
      </c>
      <c r="Q936" s="12">
        <v>2.6830272000000002</v>
      </c>
      <c r="R936" s="12">
        <v>-14.364917999999999</v>
      </c>
      <c r="S936" s="12">
        <f t="shared" si="162"/>
        <v>2.9663095186668995</v>
      </c>
      <c r="T936" s="12">
        <f t="shared" si="163"/>
        <v>-27.125291465777206</v>
      </c>
      <c r="U936" s="8"/>
      <c r="V936" s="8"/>
    </row>
    <row r="937" spans="1:22" x14ac:dyDescent="0.35">
      <c r="A937" s="10">
        <v>4.5</v>
      </c>
      <c r="B937">
        <v>15.75</v>
      </c>
      <c r="C937" s="10">
        <v>-0.14328523000000001</v>
      </c>
      <c r="D937" s="10">
        <v>-9.6992681999999997E-2</v>
      </c>
      <c r="E937" s="10">
        <v>0.85678029</v>
      </c>
      <c r="F937" s="10">
        <v>-0.10354119000000001</v>
      </c>
      <c r="G937" s="10">
        <f t="shared" si="154"/>
        <v>1.8426396102515801</v>
      </c>
      <c r="H937" s="10">
        <f t="shared" si="155"/>
        <v>-1.6380657938577301</v>
      </c>
      <c r="I937" s="10">
        <f t="shared" si="156"/>
        <v>1.8426830887491701</v>
      </c>
      <c r="J937" s="10">
        <f t="shared" si="157"/>
        <v>-1.6413397982417</v>
      </c>
      <c r="K937" s="7">
        <f t="shared" si="158"/>
        <v>-4.34784975900104E-5</v>
      </c>
      <c r="L937" s="7">
        <f t="shared" si="159"/>
        <v>3.2740043839698499E-3</v>
      </c>
      <c r="M937" s="7">
        <f t="shared" si="160"/>
        <v>0.30260119191114498</v>
      </c>
      <c r="N937" s="7">
        <f t="shared" si="161"/>
        <v>0.26953705838603098</v>
      </c>
      <c r="O937" s="10">
        <v>2.9341558999999999</v>
      </c>
      <c r="P937" s="10">
        <v>-4.1241371999999998</v>
      </c>
      <c r="Q937" s="10">
        <v>2.1687337000000002</v>
      </c>
      <c r="R937" s="10">
        <v>-14.888007</v>
      </c>
      <c r="S937" s="10">
        <f t="shared" si="162"/>
        <v>2.9725243724955286</v>
      </c>
      <c r="T937" s="10">
        <f t="shared" si="163"/>
        <v>-27.142331275139725</v>
      </c>
      <c r="U937" s="8"/>
      <c r="V937" s="8"/>
    </row>
    <row r="938" spans="1:22" x14ac:dyDescent="0.35">
      <c r="A938" s="12">
        <v>4.5</v>
      </c>
      <c r="B938">
        <v>15.8125</v>
      </c>
      <c r="C938" s="12">
        <v>-0.15162038</v>
      </c>
      <c r="D938" s="12">
        <v>-9.3690187999999994E-2</v>
      </c>
      <c r="E938" s="12">
        <v>0.84844962000000002</v>
      </c>
      <c r="F938" s="12">
        <v>-0.10033312</v>
      </c>
      <c r="G938" s="12">
        <f t="shared" si="154"/>
        <v>1.8400239464522199</v>
      </c>
      <c r="H938" s="12">
        <f t="shared" si="155"/>
        <v>-1.4959233120325299</v>
      </c>
      <c r="I938" s="12">
        <f t="shared" si="156"/>
        <v>1.8400699760836701</v>
      </c>
      <c r="J938" s="12">
        <f t="shared" si="157"/>
        <v>-1.4992445089047799</v>
      </c>
      <c r="K938" s="7">
        <f t="shared" si="158"/>
        <v>-4.6029631450172901E-5</v>
      </c>
      <c r="L938" s="7">
        <f t="shared" si="159"/>
        <v>3.32119687224997E-3</v>
      </c>
      <c r="M938" s="7">
        <f t="shared" si="160"/>
        <v>0.32662466540731799</v>
      </c>
      <c r="N938" s="7">
        <f t="shared" si="161"/>
        <v>0.26612587697725398</v>
      </c>
      <c r="O938" s="12">
        <v>2.8328182000000002</v>
      </c>
      <c r="P938" s="12">
        <v>-4.3527525000000002</v>
      </c>
      <c r="Q938" s="12">
        <v>1.5913003999999999</v>
      </c>
      <c r="R938" s="12">
        <v>-15.387053999999999</v>
      </c>
      <c r="S938" s="12">
        <f t="shared" si="162"/>
        <v>2.9786162632464008</v>
      </c>
      <c r="T938" s="12">
        <f t="shared" si="163"/>
        <v>-27.152079433489146</v>
      </c>
      <c r="U938" s="8"/>
      <c r="V938" s="8"/>
    </row>
    <row r="939" spans="1:22" x14ac:dyDescent="0.35">
      <c r="A939" s="10">
        <v>4.5</v>
      </c>
      <c r="B939">
        <v>15.875</v>
      </c>
      <c r="C939" s="10">
        <v>-0.15994417</v>
      </c>
      <c r="D939" s="10">
        <v>-8.9557215999999995E-2</v>
      </c>
      <c r="E939" s="10">
        <v>0.84012944000000001</v>
      </c>
      <c r="F939" s="10">
        <v>-9.6298703999999999E-2</v>
      </c>
      <c r="G939" s="10">
        <f t="shared" si="154"/>
        <v>1.8373947911774</v>
      </c>
      <c r="H939" s="10">
        <f t="shared" si="155"/>
        <v>-1.3566735157018901</v>
      </c>
      <c r="I939" s="10">
        <f t="shared" si="156"/>
        <v>1.83744295535445</v>
      </c>
      <c r="J939" s="10">
        <f t="shared" si="157"/>
        <v>-1.36004397330308</v>
      </c>
      <c r="K939" s="7">
        <f t="shared" si="158"/>
        <v>-4.8164177050002997E-5</v>
      </c>
      <c r="L939" s="7">
        <f t="shared" si="159"/>
        <v>3.3704576011899202E-3</v>
      </c>
      <c r="M939" s="7">
        <f t="shared" si="160"/>
        <v>0.35160206876105299</v>
      </c>
      <c r="N939" s="7">
        <f t="shared" si="161"/>
        <v>0.26024986148596901</v>
      </c>
      <c r="O939" s="10">
        <v>2.7083533000000002</v>
      </c>
      <c r="P939" s="10">
        <v>-4.5800168000000001</v>
      </c>
      <c r="Q939" s="10">
        <v>0.95174782000000002</v>
      </c>
      <c r="R939" s="10">
        <v>-15.851921000000001</v>
      </c>
      <c r="S939" s="10">
        <f t="shared" si="162"/>
        <v>2.9845581620830095</v>
      </c>
      <c r="T939" s="10">
        <f t="shared" si="163"/>
        <v>-27.161671613689062</v>
      </c>
      <c r="U939" s="8"/>
      <c r="V939" s="8"/>
    </row>
    <row r="940" spans="1:22" x14ac:dyDescent="0.35">
      <c r="A940" s="12">
        <v>4.5</v>
      </c>
      <c r="B940">
        <v>15.9375</v>
      </c>
      <c r="C940" s="12">
        <v>-0.16814841999999999</v>
      </c>
      <c r="D940" s="12">
        <v>-8.4555578000000006E-2</v>
      </c>
      <c r="E940" s="12">
        <v>0.83192812000000005</v>
      </c>
      <c r="F940" s="12">
        <v>-9.1397450000000005E-2</v>
      </c>
      <c r="G940" s="12">
        <f t="shared" si="154"/>
        <v>1.8347805172098099</v>
      </c>
      <c r="H940" s="12">
        <f t="shared" si="155"/>
        <v>-1.2201555187850801</v>
      </c>
      <c r="I940" s="12">
        <f t="shared" si="156"/>
        <v>1.8348304870679699</v>
      </c>
      <c r="J940" s="12">
        <f t="shared" si="157"/>
        <v>-1.2235761529337299</v>
      </c>
      <c r="K940" s="7">
        <f t="shared" si="158"/>
        <v>-4.9969858159970598E-5</v>
      </c>
      <c r="L940" s="7">
        <f t="shared" si="159"/>
        <v>3.42063414864979E-3</v>
      </c>
      <c r="M940" s="7">
        <f t="shared" si="160"/>
        <v>0.377246710205205</v>
      </c>
      <c r="N940" s="7">
        <f t="shared" si="161"/>
        <v>0.25157096616451202</v>
      </c>
      <c r="O940" s="12">
        <v>2.5597446000000001</v>
      </c>
      <c r="P940" s="12">
        <v>-4.8027196999999999</v>
      </c>
      <c r="Q940" s="12">
        <v>0.25151519999999999</v>
      </c>
      <c r="R940" s="12">
        <v>-16.272988999999999</v>
      </c>
      <c r="S940" s="12">
        <f t="shared" si="162"/>
        <v>2.9904623291181389</v>
      </c>
      <c r="T940" s="12">
        <f t="shared" si="163"/>
        <v>-27.171147569897798</v>
      </c>
      <c r="U940" s="8"/>
      <c r="V940" s="8"/>
    </row>
    <row r="941" spans="1:22" x14ac:dyDescent="0.35">
      <c r="A941" s="10">
        <v>4.5</v>
      </c>
      <c r="B941">
        <v>16</v>
      </c>
      <c r="C941" s="10">
        <v>-0.17611028000000001</v>
      </c>
      <c r="D941" s="10">
        <v>-7.8666723999999993E-2</v>
      </c>
      <c r="E941" s="10">
        <v>0.82396855000000002</v>
      </c>
      <c r="F941" s="10">
        <v>-8.5609974000000005E-2</v>
      </c>
      <c r="G941" s="10">
        <f t="shared" si="154"/>
        <v>1.8321834022137999</v>
      </c>
      <c r="H941" s="10">
        <f t="shared" si="155"/>
        <v>-1.08625699984443</v>
      </c>
      <c r="I941" s="10">
        <f t="shared" si="156"/>
        <v>1.8322348662702299</v>
      </c>
      <c r="J941" s="10">
        <f t="shared" si="157"/>
        <v>-1.0897283093588599</v>
      </c>
      <c r="K941" s="7">
        <f t="shared" si="158"/>
        <v>-5.1464056429972898E-5</v>
      </c>
      <c r="L941" s="7">
        <f t="shared" si="159"/>
        <v>3.4713095144298699E-3</v>
      </c>
      <c r="M941" s="7">
        <f t="shared" si="160"/>
        <v>0.40316814087296299</v>
      </c>
      <c r="N941" s="7">
        <f t="shared" si="161"/>
        <v>0.239785709042418</v>
      </c>
      <c r="O941" s="10">
        <v>2.386638</v>
      </c>
      <c r="P941" s="10">
        <v>-5.0174054999999997</v>
      </c>
      <c r="Q941" s="10">
        <v>-0.50591231000000003</v>
      </c>
      <c r="R941" s="10">
        <v>-16.640252</v>
      </c>
      <c r="S941" s="10">
        <f t="shared" si="162"/>
        <v>2.9963283471619864</v>
      </c>
      <c r="T941" s="10">
        <f t="shared" si="163"/>
        <v>-27.180535320352806</v>
      </c>
      <c r="U941" s="8"/>
      <c r="V941" s="8"/>
    </row>
    <row r="942" spans="1:22" x14ac:dyDescent="0.35">
      <c r="A942" s="12">
        <v>4.5</v>
      </c>
      <c r="B942">
        <v>16.0625</v>
      </c>
      <c r="C942" s="12">
        <v>-0.18371591000000001</v>
      </c>
      <c r="D942" s="12">
        <v>-7.1871570999999995E-2</v>
      </c>
      <c r="E942" s="12">
        <v>0.81636682000000005</v>
      </c>
      <c r="F942" s="12">
        <v>-7.8921768000000003E-2</v>
      </c>
      <c r="G942" s="12">
        <f t="shared" si="154"/>
        <v>1.8296268751017899</v>
      </c>
      <c r="H942" s="12">
        <f t="shared" si="155"/>
        <v>-0.954538532525812</v>
      </c>
      <c r="I942" s="12">
        <f t="shared" si="156"/>
        <v>1.82968066301393</v>
      </c>
      <c r="J942" s="12">
        <f t="shared" si="157"/>
        <v>-0.95806329561629699</v>
      </c>
      <c r="K942" s="7">
        <f t="shared" si="158"/>
        <v>-5.3787912140057501E-5</v>
      </c>
      <c r="L942" s="7">
        <f t="shared" si="159"/>
        <v>3.5247630904849899E-3</v>
      </c>
      <c r="M942" s="7">
        <f t="shared" si="160"/>
        <v>0.42893697009835702</v>
      </c>
      <c r="N942" s="7">
        <f t="shared" si="161"/>
        <v>0.224601361041423</v>
      </c>
      <c r="O942" s="12">
        <v>2.1887542</v>
      </c>
      <c r="P942" s="12">
        <v>-5.2209782999999996</v>
      </c>
      <c r="Q942" s="12">
        <v>-1.3172759000000001</v>
      </c>
      <c r="R942" s="12">
        <v>-16.944488</v>
      </c>
      <c r="S942" s="12">
        <f t="shared" si="162"/>
        <v>3.0021186724820268</v>
      </c>
      <c r="T942" s="12">
        <f t="shared" si="163"/>
        <v>-27.189823776579694</v>
      </c>
      <c r="U942" s="8"/>
      <c r="V942" s="8"/>
    </row>
    <row r="943" spans="1:22" x14ac:dyDescent="0.35">
      <c r="A943" s="10">
        <v>4.5</v>
      </c>
      <c r="B943">
        <v>16.125</v>
      </c>
      <c r="C943" s="10">
        <v>-0.19078671</v>
      </c>
      <c r="D943" s="10">
        <v>-6.4246596000000003E-2</v>
      </c>
      <c r="E943" s="10">
        <v>0.80929346999999996</v>
      </c>
      <c r="F943" s="10">
        <v>-7.1400586000000002E-2</v>
      </c>
      <c r="G943" s="10">
        <f t="shared" si="154"/>
        <v>1.8270422373175099</v>
      </c>
      <c r="H943" s="10">
        <f t="shared" si="155"/>
        <v>-0.82564522567144805</v>
      </c>
      <c r="I943" s="10">
        <f t="shared" si="156"/>
        <v>1.8270951189011999</v>
      </c>
      <c r="J943" s="10">
        <f t="shared" si="157"/>
        <v>-0.82922188812589004</v>
      </c>
      <c r="K943" s="7">
        <f t="shared" si="158"/>
        <v>-5.28815836899899E-5</v>
      </c>
      <c r="L943" s="7">
        <f t="shared" si="159"/>
        <v>3.5766624544419901E-3</v>
      </c>
      <c r="M943" s="7">
        <f t="shared" si="160"/>
        <v>0.45383682990573798</v>
      </c>
      <c r="N943" s="7">
        <f t="shared" si="161"/>
        <v>0.20597254576533799</v>
      </c>
      <c r="O943" s="10">
        <v>1.9683489000000001</v>
      </c>
      <c r="P943" s="10">
        <v>-5.4085115999999998</v>
      </c>
      <c r="Q943" s="10">
        <v>-2.1699044000000001</v>
      </c>
      <c r="R943" s="10">
        <v>-17.175024000000001</v>
      </c>
      <c r="S943" s="10">
        <f t="shared" si="162"/>
        <v>3.0078002395133225</v>
      </c>
      <c r="T943" s="10">
        <f t="shared" si="163"/>
        <v>-27.198876204417179</v>
      </c>
      <c r="U943" s="8"/>
      <c r="V943" s="8"/>
    </row>
    <row r="944" spans="1:22" x14ac:dyDescent="0.35">
      <c r="A944" s="12">
        <v>4.5</v>
      </c>
      <c r="B944">
        <v>16.1875</v>
      </c>
      <c r="C944" s="12">
        <v>-0.1972033</v>
      </c>
      <c r="D944" s="12">
        <v>-5.5835880999999997E-2</v>
      </c>
      <c r="E944" s="12">
        <v>0.80287562999999995</v>
      </c>
      <c r="F944" s="12">
        <v>-6.3094833000000003E-2</v>
      </c>
      <c r="G944" s="12">
        <f t="shared" si="154"/>
        <v>1.8244867622863701</v>
      </c>
      <c r="H944" s="12">
        <f t="shared" si="155"/>
        <v>-0.69926734983300498</v>
      </c>
      <c r="I944" s="12">
        <f t="shared" si="156"/>
        <v>1.8245393970919701</v>
      </c>
      <c r="J944" s="12">
        <f t="shared" si="157"/>
        <v>-0.70289649157216005</v>
      </c>
      <c r="K944" s="7">
        <f t="shared" si="158"/>
        <v>-5.2634805600027E-5</v>
      </c>
      <c r="L944" s="7">
        <f t="shared" si="159"/>
        <v>3.6291417391550698E-3</v>
      </c>
      <c r="M944" s="7">
        <f t="shared" si="160"/>
        <v>0.47725237320313102</v>
      </c>
      <c r="N944" s="7">
        <f t="shared" si="161"/>
        <v>0.183859564366567</v>
      </c>
      <c r="O944" s="12">
        <v>1.7268604999999999</v>
      </c>
      <c r="P944" s="12">
        <v>-5.5766818000000002</v>
      </c>
      <c r="Q944" s="12">
        <v>-3.0555393</v>
      </c>
      <c r="R944" s="12">
        <v>-17.324795000000002</v>
      </c>
      <c r="S944" s="12">
        <f t="shared" si="162"/>
        <v>3.0134279063397251</v>
      </c>
      <c r="T944" s="12">
        <f t="shared" si="163"/>
        <v>-27.2078021269914</v>
      </c>
      <c r="U944" s="8"/>
      <c r="V944" s="8"/>
    </row>
    <row r="945" spans="1:22" x14ac:dyDescent="0.35">
      <c r="A945" s="10">
        <v>4.5</v>
      </c>
      <c r="B945">
        <v>16.25</v>
      </c>
      <c r="C945" s="10">
        <v>-0.20284366000000001</v>
      </c>
      <c r="D945" s="10">
        <v>-4.6727708999999999E-2</v>
      </c>
      <c r="E945" s="10">
        <v>0.79723078000000003</v>
      </c>
      <c r="F945" s="10">
        <v>-5.4091338000000003E-2</v>
      </c>
      <c r="G945" s="10">
        <f t="shared" si="154"/>
        <v>1.82192491160312</v>
      </c>
      <c r="H945" s="10">
        <f t="shared" si="155"/>
        <v>-0.57530270298513198</v>
      </c>
      <c r="I945" s="10">
        <f t="shared" si="156"/>
        <v>1.8219756842786099</v>
      </c>
      <c r="J945" s="10">
        <f t="shared" si="157"/>
        <v>-0.57898419352448205</v>
      </c>
      <c r="K945" s="7">
        <f t="shared" si="158"/>
        <v>-5.0772675489918498E-5</v>
      </c>
      <c r="L945" s="7">
        <f t="shared" si="159"/>
        <v>3.6814905393500702E-3</v>
      </c>
      <c r="M945" s="7">
        <f t="shared" si="160"/>
        <v>0.49851337034736798</v>
      </c>
      <c r="N945" s="7">
        <f t="shared" si="161"/>
        <v>0.15841669248512599</v>
      </c>
      <c r="O945" s="10">
        <v>1.4669106999999999</v>
      </c>
      <c r="P945" s="10">
        <v>-5.7222039000000002</v>
      </c>
      <c r="Q945" s="10">
        <v>-3.9626473999999998</v>
      </c>
      <c r="R945" s="10">
        <v>-17.388054</v>
      </c>
      <c r="S945" s="10">
        <f t="shared" si="162"/>
        <v>3.0189872714818002</v>
      </c>
      <c r="T945" s="10">
        <f t="shared" si="163"/>
        <v>-27.216532070627508</v>
      </c>
      <c r="U945" s="8"/>
      <c r="V945" s="8"/>
    </row>
    <row r="946" spans="1:22" x14ac:dyDescent="0.35">
      <c r="A946" s="12">
        <v>4.5</v>
      </c>
      <c r="B946">
        <v>16.3125</v>
      </c>
      <c r="C946" s="12">
        <v>-0.20760007</v>
      </c>
      <c r="D946" s="12">
        <v>-3.7035739999999998E-2</v>
      </c>
      <c r="E946" s="12">
        <v>0.79246855000000005</v>
      </c>
      <c r="F946" s="12">
        <v>-4.4503974000000002E-2</v>
      </c>
      <c r="G946" s="12">
        <f t="shared" si="154"/>
        <v>1.81936790061311</v>
      </c>
      <c r="H946" s="12">
        <f t="shared" si="155"/>
        <v>-0.453705735501651</v>
      </c>
      <c r="I946" s="12">
        <f t="shared" si="156"/>
        <v>1.8194161514362399</v>
      </c>
      <c r="J946" s="12">
        <f t="shared" si="157"/>
        <v>-0.45743954422045602</v>
      </c>
      <c r="K946" s="7">
        <f t="shared" si="158"/>
        <v>-4.8250823129869502E-5</v>
      </c>
      <c r="L946" s="7">
        <f t="shared" si="159"/>
        <v>3.7338087188050202E-3</v>
      </c>
      <c r="M946" s="7">
        <f t="shared" si="160"/>
        <v>0.51694919029141795</v>
      </c>
      <c r="N946" s="7">
        <f t="shared" si="161"/>
        <v>0.12997191533414101</v>
      </c>
      <c r="O946" s="12">
        <v>1.1918139000000001</v>
      </c>
      <c r="P946" s="12">
        <v>-5.8421526999999998</v>
      </c>
      <c r="Q946" s="12">
        <v>-4.8783440000000002</v>
      </c>
      <c r="R946" s="12">
        <v>-17.361243999999999</v>
      </c>
      <c r="S946" s="12">
        <f t="shared" si="162"/>
        <v>3.0245146718010774</v>
      </c>
      <c r="T946" s="12">
        <f t="shared" si="163"/>
        <v>-27.225125858461627</v>
      </c>
      <c r="U946" s="8"/>
      <c r="V946" s="8"/>
    </row>
    <row r="947" spans="1:22" x14ac:dyDescent="0.35">
      <c r="A947" s="10">
        <v>4.5</v>
      </c>
      <c r="B947">
        <v>16.375</v>
      </c>
      <c r="C947" s="10">
        <v>-0.21138779999999999</v>
      </c>
      <c r="D947" s="10">
        <v>-2.6897335000000001E-2</v>
      </c>
      <c r="E947" s="10">
        <v>0.78867412000000003</v>
      </c>
      <c r="F947" s="10">
        <v>-3.4470112999999997E-2</v>
      </c>
      <c r="G947" s="10">
        <f t="shared" si="154"/>
        <v>1.81681565919447</v>
      </c>
      <c r="H947" s="10">
        <f t="shared" si="155"/>
        <v>-0.33445389346305898</v>
      </c>
      <c r="I947" s="10">
        <f t="shared" si="156"/>
        <v>1.8168609534406199</v>
      </c>
      <c r="J947" s="10">
        <f t="shared" si="157"/>
        <v>-0.33823999374375902</v>
      </c>
      <c r="K947" s="7">
        <f t="shared" si="158"/>
        <v>-4.5294246149962802E-5</v>
      </c>
      <c r="L947" s="7">
        <f t="shared" si="159"/>
        <v>3.7861002807000302E-3</v>
      </c>
      <c r="M947" s="7">
        <f t="shared" si="160"/>
        <v>0.53196295126724702</v>
      </c>
      <c r="N947" s="7">
        <f t="shared" si="161"/>
        <v>9.90340757600668E-2</v>
      </c>
      <c r="O947" s="10">
        <v>0.90555947000000003</v>
      </c>
      <c r="P947" s="10">
        <v>-5.9344859999999997</v>
      </c>
      <c r="Q947" s="10">
        <v>-5.7888782000000001</v>
      </c>
      <c r="R947" s="10">
        <v>-17.243501999999999</v>
      </c>
      <c r="S947" s="10">
        <f t="shared" si="162"/>
        <v>3.0299391461513667</v>
      </c>
      <c r="T947" s="10">
        <f t="shared" si="163"/>
        <v>-27.233596700894577</v>
      </c>
      <c r="U947" s="8"/>
      <c r="V947" s="8"/>
    </row>
    <row r="948" spans="1:22" x14ac:dyDescent="0.35">
      <c r="A948" s="12">
        <v>4.5</v>
      </c>
      <c r="B948">
        <v>16.4375</v>
      </c>
      <c r="C948" s="12">
        <v>-0.21415094000000001</v>
      </c>
      <c r="D948" s="12">
        <v>-1.6467221000000001E-2</v>
      </c>
      <c r="E948" s="12">
        <v>0.78590459000000001</v>
      </c>
      <c r="F948" s="12">
        <v>-2.4145686999999999E-2</v>
      </c>
      <c r="G948" s="12">
        <f t="shared" si="154"/>
        <v>1.8142691474218899</v>
      </c>
      <c r="H948" s="12">
        <f t="shared" si="155"/>
        <v>-0.21755714216831401</v>
      </c>
      <c r="I948" s="12">
        <f t="shared" si="156"/>
        <v>1.81431164991615</v>
      </c>
      <c r="J948" s="12">
        <f t="shared" si="157"/>
        <v>-0.221396105402521</v>
      </c>
      <c r="K948" s="7">
        <f t="shared" si="158"/>
        <v>-4.2502494260077101E-5</v>
      </c>
      <c r="L948" s="7">
        <f t="shared" si="159"/>
        <v>3.8389632342069901E-3</v>
      </c>
      <c r="M948" s="7">
        <f t="shared" si="160"/>
        <v>0.54308626875098398</v>
      </c>
      <c r="N948" s="7">
        <f t="shared" si="161"/>
        <v>6.6271516695939198E-2</v>
      </c>
      <c r="O948" s="12">
        <v>0.61253550999999995</v>
      </c>
      <c r="P948" s="12">
        <v>-5.9977847000000004</v>
      </c>
      <c r="Q948" s="12">
        <v>-6.6802869999999999</v>
      </c>
      <c r="R948" s="12">
        <v>-17.036736000000001</v>
      </c>
      <c r="S948" s="12">
        <f t="shared" si="162"/>
        <v>3.0352777338513963</v>
      </c>
      <c r="T948" s="12">
        <f t="shared" si="163"/>
        <v>-27.241905284683288</v>
      </c>
      <c r="U948" s="8"/>
      <c r="V948" s="8"/>
    </row>
    <row r="949" spans="1:22" x14ac:dyDescent="0.35">
      <c r="A949" s="10">
        <v>4.5</v>
      </c>
      <c r="B949">
        <v>16.5</v>
      </c>
      <c r="C949" s="10">
        <v>-0.2158677</v>
      </c>
      <c r="D949" s="10">
        <v>-5.9000357000000003E-3</v>
      </c>
      <c r="E949" s="10">
        <v>0.78406240999999999</v>
      </c>
      <c r="F949" s="10">
        <v>-1.3712656E-2</v>
      </c>
      <c r="G949" s="10">
        <f t="shared" si="154"/>
        <v>1.8111006835721499</v>
      </c>
      <c r="H949" s="10">
        <f t="shared" si="155"/>
        <v>-0.103016994954185</v>
      </c>
      <c r="I949" s="10">
        <f t="shared" si="156"/>
        <v>1.81108099797689</v>
      </c>
      <c r="J949" s="10">
        <f t="shared" si="157"/>
        <v>-0.106923518515691</v>
      </c>
      <c r="K949" s="7">
        <f t="shared" si="158"/>
        <v>1.96855952598884E-5</v>
      </c>
      <c r="L949" s="7">
        <f t="shared" si="159"/>
        <v>3.906523561506E-3</v>
      </c>
      <c r="M949" s="7">
        <f t="shared" si="160"/>
        <v>0.55023853853563598</v>
      </c>
      <c r="N949" s="7">
        <f t="shared" si="161"/>
        <v>3.2485261912020197E-2</v>
      </c>
      <c r="O949" s="10">
        <v>0.31722989000000001</v>
      </c>
      <c r="P949" s="10">
        <v>-6.0319967999999999</v>
      </c>
      <c r="Q949" s="10">
        <v>-7.5401968999999998</v>
      </c>
      <c r="R949" s="10">
        <v>-16.745217</v>
      </c>
      <c r="S949" s="10">
        <f t="shared" si="162"/>
        <v>3.0403216401824285</v>
      </c>
      <c r="T949" s="10">
        <f t="shared" si="163"/>
        <v>-27.252021765449378</v>
      </c>
      <c r="U949" s="8"/>
      <c r="V949" s="8"/>
    </row>
    <row r="950" spans="1:22" x14ac:dyDescent="0.35">
      <c r="A950" s="12">
        <v>4.5</v>
      </c>
      <c r="B950">
        <v>16.5625</v>
      </c>
      <c r="C950" s="12">
        <v>-0.21654422000000001</v>
      </c>
      <c r="D950" s="12">
        <v>4.6409941000000003E-3</v>
      </c>
      <c r="E950" s="12">
        <v>0.78337939000000001</v>
      </c>
      <c r="F950" s="12">
        <v>-3.2710578999999998E-3</v>
      </c>
      <c r="G950" s="12">
        <f t="shared" si="154"/>
        <v>1.8085781934991001</v>
      </c>
      <c r="H950" s="12">
        <f t="shared" si="155"/>
        <v>9.2792554381808806E-3</v>
      </c>
      <c r="I950" s="12">
        <f t="shared" si="156"/>
        <v>1.80855564873033</v>
      </c>
      <c r="J950" s="12">
        <f t="shared" si="157"/>
        <v>5.3229891408982204E-3</v>
      </c>
      <c r="K950" s="7">
        <f t="shared" si="158"/>
        <v>2.2544768770060801E-5</v>
      </c>
      <c r="L950" s="7">
        <f t="shared" si="159"/>
        <v>3.9562662972826602E-3</v>
      </c>
      <c r="M950" s="7">
        <f t="shared" si="160"/>
        <v>0.55292262540779102</v>
      </c>
      <c r="N950" s="7">
        <f t="shared" si="161"/>
        <v>-1.6273765935092099E-3</v>
      </c>
      <c r="O950" s="12">
        <v>2.3912480999999999E-2</v>
      </c>
      <c r="P950" s="12">
        <v>-6.0367949000000003</v>
      </c>
      <c r="Q950" s="12">
        <v>-8.3562475000000003</v>
      </c>
      <c r="R950" s="12">
        <v>-16.3766</v>
      </c>
      <c r="S950" s="12">
        <f t="shared" si="162"/>
        <v>3.0455189510613025</v>
      </c>
      <c r="T950" s="12">
        <f t="shared" si="163"/>
        <v>-27.260144609474345</v>
      </c>
      <c r="U950" s="8"/>
      <c r="V950" s="8"/>
    </row>
    <row r="951" spans="1:22" x14ac:dyDescent="0.35">
      <c r="A951" s="10">
        <v>4.5</v>
      </c>
      <c r="B951">
        <v>16.625</v>
      </c>
      <c r="C951" s="10">
        <v>-0.21622040000000001</v>
      </c>
      <c r="D951" s="10">
        <v>1.5009254E-2</v>
      </c>
      <c r="E951" s="10">
        <v>0.78369778999999995</v>
      </c>
      <c r="F951" s="10">
        <v>6.9967034999999997E-3</v>
      </c>
      <c r="G951" s="10">
        <f t="shared" si="154"/>
        <v>1.8060608802454501</v>
      </c>
      <c r="H951" s="10">
        <f t="shared" si="155"/>
        <v>0.11933078721040399</v>
      </c>
      <c r="I951" s="10">
        <f t="shared" si="156"/>
        <v>1.80603602552565</v>
      </c>
      <c r="J951" s="10">
        <f t="shared" si="157"/>
        <v>0.115324248498089</v>
      </c>
      <c r="K951" s="7">
        <f t="shared" si="158"/>
        <v>2.4854719800071499E-5</v>
      </c>
      <c r="L951" s="7">
        <f t="shared" si="159"/>
        <v>4.0065387123149896E-3</v>
      </c>
      <c r="M951" s="7">
        <f t="shared" si="160"/>
        <v>0.551450301007961</v>
      </c>
      <c r="N951" s="7">
        <f t="shared" si="161"/>
        <v>-3.5212803426375998E-2</v>
      </c>
      <c r="O951" s="10">
        <v>-0.26321946000000002</v>
      </c>
      <c r="P951" s="10">
        <v>-6.0138639999999999</v>
      </c>
      <c r="Q951" s="10">
        <v>-9.1191128999999993</v>
      </c>
      <c r="R951" s="10">
        <v>-15.939438000000001</v>
      </c>
      <c r="S951" s="10">
        <f t="shared" si="162"/>
        <v>3.0506331202285661</v>
      </c>
      <c r="T951" s="10">
        <f t="shared" si="163"/>
        <v>-27.26814129992853</v>
      </c>
      <c r="U951" s="8"/>
      <c r="V951" s="8"/>
    </row>
    <row r="952" spans="1:22" x14ac:dyDescent="0.35">
      <c r="A952" s="12">
        <v>4.5</v>
      </c>
      <c r="B952">
        <v>16.6875</v>
      </c>
      <c r="C952" s="12">
        <v>-0.21496030999999999</v>
      </c>
      <c r="D952" s="12">
        <v>2.5072832E-2</v>
      </c>
      <c r="E952" s="12">
        <v>0.78495398000000005</v>
      </c>
      <c r="F952" s="12">
        <v>1.6959231000000002E-2</v>
      </c>
      <c r="G952" s="12">
        <f t="shared" si="154"/>
        <v>1.80355101765168</v>
      </c>
      <c r="H952" s="12">
        <f t="shared" si="155"/>
        <v>0.227193706853977</v>
      </c>
      <c r="I952" s="12">
        <f t="shared" si="156"/>
        <v>1.8035246202905</v>
      </c>
      <c r="J952" s="12">
        <f t="shared" si="157"/>
        <v>0.22313662539892301</v>
      </c>
      <c r="K952" s="7">
        <f t="shared" si="158"/>
        <v>2.63973611800417E-5</v>
      </c>
      <c r="L952" s="7">
        <f t="shared" si="159"/>
        <v>4.0570814550539803E-3</v>
      </c>
      <c r="M952" s="7">
        <f t="shared" si="160"/>
        <v>0.54611038002955004</v>
      </c>
      <c r="N952" s="7">
        <f t="shared" si="161"/>
        <v>-6.75661568043852E-2</v>
      </c>
      <c r="O952" s="12">
        <v>-0.54057175999999996</v>
      </c>
      <c r="P952" s="12">
        <v>-5.9651717</v>
      </c>
      <c r="Q952" s="12">
        <v>-9.8214103999999995</v>
      </c>
      <c r="R952" s="12">
        <v>-15.44384</v>
      </c>
      <c r="S952" s="12">
        <f t="shared" si="162"/>
        <v>3.0556634319516842</v>
      </c>
      <c r="T952" s="12">
        <f t="shared" si="163"/>
        <v>-27.275981522252291</v>
      </c>
      <c r="U952" s="8"/>
      <c r="V952" s="8"/>
    </row>
    <row r="953" spans="1:22" x14ac:dyDescent="0.35">
      <c r="A953" s="10">
        <v>4.5</v>
      </c>
      <c r="B953">
        <v>16.75</v>
      </c>
      <c r="C953" s="10">
        <v>-0.21284929999999999</v>
      </c>
      <c r="D953" s="10">
        <v>3.4715000000000003E-2</v>
      </c>
      <c r="E953" s="10">
        <v>0.78706220000000005</v>
      </c>
      <c r="F953" s="10">
        <v>2.6498977999999999E-2</v>
      </c>
      <c r="G953" s="10">
        <f t="shared" si="154"/>
        <v>1.8010456001702499</v>
      </c>
      <c r="H953" s="10">
        <f t="shared" si="155"/>
        <v>0.33286576458248002</v>
      </c>
      <c r="I953" s="10">
        <f t="shared" si="156"/>
        <v>1.8010182259220699</v>
      </c>
      <c r="J953" s="10">
        <f t="shared" si="157"/>
        <v>0.32875745933625999</v>
      </c>
      <c r="K953" s="7">
        <f t="shared" si="158"/>
        <v>2.7374248180001001E-5</v>
      </c>
      <c r="L953" s="7">
        <f t="shared" si="159"/>
        <v>4.1083052462200197E-3</v>
      </c>
      <c r="M953" s="7">
        <f t="shared" si="160"/>
        <v>0.53733698445134803</v>
      </c>
      <c r="N953" s="7">
        <f t="shared" si="161"/>
        <v>-9.8085371526537707E-2</v>
      </c>
      <c r="O953" s="10">
        <v>-0.80499768999999999</v>
      </c>
      <c r="P953" s="10">
        <v>-5.8932875999999998</v>
      </c>
      <c r="Q953" s="10">
        <v>-10.457746</v>
      </c>
      <c r="R953" s="10">
        <v>-14.900931999999999</v>
      </c>
      <c r="S953" s="10">
        <f t="shared" si="162"/>
        <v>3.0605944971665813</v>
      </c>
      <c r="T953" s="10">
        <f t="shared" si="163"/>
        <v>-27.28365997118734</v>
      </c>
      <c r="U953" s="8"/>
      <c r="V953" s="8"/>
    </row>
    <row r="954" spans="1:22" x14ac:dyDescent="0.35">
      <c r="A954" s="12">
        <v>4.5</v>
      </c>
      <c r="B954">
        <v>16.8125</v>
      </c>
      <c r="C954" s="12">
        <v>-0.2099829</v>
      </c>
      <c r="D954" s="12">
        <v>4.3849934E-2</v>
      </c>
      <c r="E954" s="12">
        <v>0.78994226999999995</v>
      </c>
      <c r="F954" s="12">
        <v>3.5654004000000003E-2</v>
      </c>
      <c r="G954" s="12">
        <f t="shared" si="154"/>
        <v>1.7983912792071799</v>
      </c>
      <c r="H954" s="12">
        <f t="shared" si="155"/>
        <v>0.437079250806929</v>
      </c>
      <c r="I954" s="12">
        <f t="shared" si="156"/>
        <v>1.7983706577274401</v>
      </c>
      <c r="J954" s="12">
        <f t="shared" si="157"/>
        <v>0.432981047966568</v>
      </c>
      <c r="K954" s="7">
        <f t="shared" si="158"/>
        <v>2.0621479739801901E-5</v>
      </c>
      <c r="L954" s="7">
        <f t="shared" si="159"/>
        <v>4.098202840361E-3</v>
      </c>
      <c r="M954" s="7">
        <f t="shared" si="160"/>
        <v>0.525592005652188</v>
      </c>
      <c r="N954" s="7">
        <f t="shared" si="161"/>
        <v>-0.12654308856312799</v>
      </c>
      <c r="O954" s="12">
        <v>-1.0546439999999999</v>
      </c>
      <c r="P954" s="12">
        <v>-5.8011293999999998</v>
      </c>
      <c r="Q954" s="12">
        <v>-11.025237000000001</v>
      </c>
      <c r="R954" s="12">
        <v>-14.321062</v>
      </c>
      <c r="S954" s="12">
        <f t="shared" si="162"/>
        <v>3.0652576038152946</v>
      </c>
      <c r="T954" s="12">
        <f t="shared" si="163"/>
        <v>-27.287470498843138</v>
      </c>
      <c r="U954" s="8"/>
      <c r="V954" s="8"/>
    </row>
    <row r="955" spans="1:22" x14ac:dyDescent="0.35">
      <c r="A955" s="10">
        <v>4.5</v>
      </c>
      <c r="B955">
        <v>16.875</v>
      </c>
      <c r="C955" s="10">
        <v>-0.20647768</v>
      </c>
      <c r="D955" s="10">
        <v>5.2397257000000003E-2</v>
      </c>
      <c r="E955" s="10">
        <v>0.79345264000000004</v>
      </c>
      <c r="F955" s="10">
        <v>4.4094781999999999E-2</v>
      </c>
      <c r="G955" s="10">
        <f t="shared" si="154"/>
        <v>1.79586276653161</v>
      </c>
      <c r="H955" s="10">
        <f t="shared" si="155"/>
        <v>0.53843940702203197</v>
      </c>
      <c r="I955" s="10">
        <f t="shared" si="156"/>
        <v>1.7958451595948</v>
      </c>
      <c r="J955" s="10">
        <f t="shared" si="157"/>
        <v>0.53428795179475697</v>
      </c>
      <c r="K955" s="7">
        <f t="shared" si="158"/>
        <v>1.76069368100773E-5</v>
      </c>
      <c r="L955" s="7">
        <f t="shared" si="159"/>
        <v>4.1514552272750001E-3</v>
      </c>
      <c r="M955" s="7">
        <f t="shared" si="160"/>
        <v>0.51156050765800698</v>
      </c>
      <c r="N955" s="7">
        <f t="shared" si="161"/>
        <v>-0.15219609240551199</v>
      </c>
      <c r="O955" s="10">
        <v>-1.2866078000000001</v>
      </c>
      <c r="P955" s="10">
        <v>-5.6917112999999997</v>
      </c>
      <c r="Q955" s="10">
        <v>-11.522952999999999</v>
      </c>
      <c r="R955" s="10">
        <v>-13.716846</v>
      </c>
      <c r="S955" s="10">
        <f t="shared" si="162"/>
        <v>3.0700173740427998</v>
      </c>
      <c r="T955" s="10">
        <f t="shared" si="163"/>
        <v>-27.294625808187529</v>
      </c>
      <c r="U955" s="8"/>
      <c r="V955" s="8"/>
    </row>
    <row r="956" spans="1:22" x14ac:dyDescent="0.35">
      <c r="A956" s="12">
        <v>4.5</v>
      </c>
      <c r="B956">
        <v>16.9375</v>
      </c>
      <c r="C956" s="12">
        <v>-0.20244000000000001</v>
      </c>
      <c r="D956" s="12">
        <v>6.0319525999999998E-2</v>
      </c>
      <c r="E956" s="12">
        <v>0.79749486999999997</v>
      </c>
      <c r="F956" s="12">
        <v>5.1909994000000001E-2</v>
      </c>
      <c r="G956" s="12">
        <f t="shared" si="154"/>
        <v>1.7933263314721699</v>
      </c>
      <c r="H956" s="12">
        <f t="shared" si="155"/>
        <v>0.63769002060629099</v>
      </c>
      <c r="I956" s="12">
        <f t="shared" si="156"/>
        <v>1.7933114468835101</v>
      </c>
      <c r="J956" s="12">
        <f t="shared" si="157"/>
        <v>0.633485055085377</v>
      </c>
      <c r="K956" s="7">
        <f t="shared" si="158"/>
        <v>1.48845886598359E-5</v>
      </c>
      <c r="L956" s="7">
        <f t="shared" si="159"/>
        <v>4.2049655209139801E-3</v>
      </c>
      <c r="M956" s="7">
        <f t="shared" si="160"/>
        <v>0.49576388090496298</v>
      </c>
      <c r="N956" s="7">
        <f t="shared" si="161"/>
        <v>-0.17512797899673599</v>
      </c>
      <c r="O956" s="12">
        <v>-1.5003469</v>
      </c>
      <c r="P956" s="12">
        <v>-5.5681482000000004</v>
      </c>
      <c r="Q956" s="12">
        <v>-11.95208</v>
      </c>
      <c r="R956" s="12">
        <v>-13.097502</v>
      </c>
      <c r="S956" s="12">
        <f t="shared" si="162"/>
        <v>3.0747407735975432</v>
      </c>
      <c r="T956" s="12">
        <f t="shared" si="163"/>
        <v>-27.301616442132548</v>
      </c>
      <c r="U956" s="8"/>
      <c r="V956" s="8"/>
    </row>
    <row r="957" spans="1:22" x14ac:dyDescent="0.35">
      <c r="A957" s="10">
        <v>4.5</v>
      </c>
      <c r="B957">
        <v>17</v>
      </c>
      <c r="C957" s="10">
        <v>-0.19797867</v>
      </c>
      <c r="D957" s="10">
        <v>6.7592574000000002E-2</v>
      </c>
      <c r="E957" s="10">
        <v>0.80196073999999995</v>
      </c>
      <c r="F957" s="10">
        <v>5.9075777000000003E-2</v>
      </c>
      <c r="G957" s="10">
        <f t="shared" si="154"/>
        <v>1.7907812936443099</v>
      </c>
      <c r="H957" s="10">
        <f t="shared" si="155"/>
        <v>0.73484540374898999</v>
      </c>
      <c r="I957" s="10">
        <f t="shared" si="156"/>
        <v>1.7907691330036</v>
      </c>
      <c r="J957" s="10">
        <f t="shared" si="157"/>
        <v>0.73058682445047596</v>
      </c>
      <c r="K957" s="7">
        <f t="shared" si="158"/>
        <v>1.2160640709968399E-5</v>
      </c>
      <c r="L957" s="7">
        <f t="shared" si="159"/>
        <v>4.2585792985140297E-3</v>
      </c>
      <c r="M957" s="7">
        <f t="shared" si="160"/>
        <v>0.478737040359688</v>
      </c>
      <c r="N957" s="7">
        <f t="shared" si="161"/>
        <v>-0.19531215253669501</v>
      </c>
      <c r="O957" s="10">
        <v>-1.6953758999999999</v>
      </c>
      <c r="P957" s="10">
        <v>-5.4336783999999998</v>
      </c>
      <c r="Q957" s="10">
        <v>-12.315156</v>
      </c>
      <c r="R957" s="10">
        <v>-12.472224000000001</v>
      </c>
      <c r="S957" s="10">
        <f t="shared" si="162"/>
        <v>3.0793387547839073</v>
      </c>
      <c r="T957" s="10">
        <f t="shared" si="163"/>
        <v>-27.308366260227704</v>
      </c>
      <c r="U957" s="8"/>
      <c r="V957" s="8"/>
    </row>
    <row r="958" spans="1:22" x14ac:dyDescent="0.35">
      <c r="A958" s="12">
        <v>4.625</v>
      </c>
      <c r="B958">
        <v>15</v>
      </c>
      <c r="C958" s="12">
        <v>-6.6750193999999999E-2</v>
      </c>
      <c r="D958" s="12">
        <v>-9.7859935999999995E-2</v>
      </c>
      <c r="E958" s="12">
        <v>0.93317947000000001</v>
      </c>
      <c r="F958" s="12">
        <v>-0.10365438</v>
      </c>
      <c r="G958" s="12">
        <f t="shared" si="154"/>
        <v>1.7852597258581999</v>
      </c>
      <c r="H958" s="12">
        <f t="shared" si="155"/>
        <v>-3.44623683261324</v>
      </c>
      <c r="I958" s="12">
        <f t="shared" si="156"/>
        <v>1.7852329513318601</v>
      </c>
      <c r="J958" s="12">
        <f t="shared" si="157"/>
        <v>-3.4491342340807898</v>
      </c>
      <c r="K958" s="7">
        <f t="shared" si="158"/>
        <v>2.6774526339812299E-5</v>
      </c>
      <c r="L958" s="7">
        <f t="shared" si="159"/>
        <v>2.8974014675498001E-3</v>
      </c>
      <c r="M958" s="7">
        <f t="shared" si="160"/>
        <v>0.118356021495791</v>
      </c>
      <c r="N958" s="7">
        <f t="shared" si="161"/>
        <v>0.228668087963636</v>
      </c>
      <c r="O958" s="12">
        <v>2.9804932000000002</v>
      </c>
      <c r="P958" s="12">
        <v>-1.9420525</v>
      </c>
      <c r="Q958" s="12">
        <v>5.1207406000000004</v>
      </c>
      <c r="R958" s="12">
        <v>-8.9069892999999993</v>
      </c>
      <c r="S958" s="12">
        <f t="shared" si="162"/>
        <v>2.888104366702664</v>
      </c>
      <c r="T958" s="12">
        <f t="shared" si="163"/>
        <v>-27.017092516342494</v>
      </c>
      <c r="U958" s="8"/>
      <c r="V958" s="8"/>
    </row>
    <row r="959" spans="1:22" x14ac:dyDescent="0.35">
      <c r="A959" s="10">
        <v>4.625</v>
      </c>
      <c r="B959">
        <v>15.0625</v>
      </c>
      <c r="C959" s="10">
        <v>-7.1602412000000004E-2</v>
      </c>
      <c r="D959" s="10">
        <v>-9.9821997999999995E-2</v>
      </c>
      <c r="E959" s="10">
        <v>0.92832608000000005</v>
      </c>
      <c r="F959" s="10">
        <v>-0.10568942000000001</v>
      </c>
      <c r="G959" s="10">
        <f t="shared" si="154"/>
        <v>1.7828269720974399</v>
      </c>
      <c r="H959" s="10">
        <f t="shared" si="155"/>
        <v>-3.2729344271617</v>
      </c>
      <c r="I959" s="10">
        <f t="shared" si="156"/>
        <v>1.78279982432842</v>
      </c>
      <c r="J959" s="10">
        <f t="shared" si="157"/>
        <v>-3.27586832270392</v>
      </c>
      <c r="K959" s="7">
        <f t="shared" si="158"/>
        <v>2.7147769019908499E-5</v>
      </c>
      <c r="L959" s="7">
        <f t="shared" si="159"/>
        <v>2.9338955422200099E-3</v>
      </c>
      <c r="M959" s="7">
        <f t="shared" si="160"/>
        <v>0.12816964425354099</v>
      </c>
      <c r="N959" s="7">
        <f t="shared" si="161"/>
        <v>0.235509826629341</v>
      </c>
      <c r="O959" s="10">
        <v>3.0262337000000001</v>
      </c>
      <c r="P959" s="10">
        <v>-2.0753691000000001</v>
      </c>
      <c r="Q959" s="10">
        <v>5.0790888000000001</v>
      </c>
      <c r="R959" s="10">
        <v>-9.3428518</v>
      </c>
      <c r="S959" s="10">
        <f t="shared" si="162"/>
        <v>2.897992772588402</v>
      </c>
      <c r="T959" s="10">
        <f t="shared" si="163"/>
        <v>-27.027961308943624</v>
      </c>
      <c r="U959" s="8"/>
      <c r="V959" s="8"/>
    </row>
    <row r="960" spans="1:22" x14ac:dyDescent="0.35">
      <c r="A960" s="12">
        <v>4.625</v>
      </c>
      <c r="B960">
        <v>15.125</v>
      </c>
      <c r="C960" s="12">
        <v>-7.6768617999999997E-2</v>
      </c>
      <c r="D960" s="12">
        <v>-0.10162855</v>
      </c>
      <c r="E960" s="12">
        <v>0.92315683000000004</v>
      </c>
      <c r="F960" s="12">
        <v>-0.10756702999999999</v>
      </c>
      <c r="G960" s="12">
        <f t="shared" si="154"/>
        <v>1.78049552317211</v>
      </c>
      <c r="H960" s="12">
        <f t="shared" si="155"/>
        <v>-3.1041793268471198</v>
      </c>
      <c r="I960" s="12">
        <f t="shared" si="156"/>
        <v>1.7804670630769801</v>
      </c>
      <c r="J960" s="12">
        <f t="shared" si="157"/>
        <v>-3.1071487620406399</v>
      </c>
      <c r="K960" s="7">
        <f t="shared" si="158"/>
        <v>2.8460095129911901E-5</v>
      </c>
      <c r="L960" s="7">
        <f t="shared" si="159"/>
        <v>2.96943519352011E-3</v>
      </c>
      <c r="M960" s="7">
        <f t="shared" si="160"/>
        <v>0.13883394237632601</v>
      </c>
      <c r="N960" s="7">
        <f t="shared" si="161"/>
        <v>0.24228345535262</v>
      </c>
      <c r="O960" s="12">
        <v>3.0694474</v>
      </c>
      <c r="P960" s="12">
        <v>-2.2180776999999998</v>
      </c>
      <c r="Q960" s="12">
        <v>5.0144777999999999</v>
      </c>
      <c r="R960" s="12">
        <v>-9.7959466000000006</v>
      </c>
      <c r="S960" s="12">
        <f t="shared" si="162"/>
        <v>2.9059398791564788</v>
      </c>
      <c r="T960" s="12">
        <f t="shared" si="163"/>
        <v>-27.039364394312376</v>
      </c>
      <c r="U960" s="8"/>
      <c r="V960" s="8"/>
    </row>
    <row r="961" spans="1:22" x14ac:dyDescent="0.35">
      <c r="A961" s="10">
        <v>4.625</v>
      </c>
      <c r="B961">
        <v>15.1875</v>
      </c>
      <c r="C961" s="10">
        <v>-8.2277998000000005E-2</v>
      </c>
      <c r="D961" s="10">
        <v>-0.10325181</v>
      </c>
      <c r="E961" s="10">
        <v>0.91764639999999997</v>
      </c>
      <c r="F961" s="10">
        <v>-0.10926167000000001</v>
      </c>
      <c r="G961" s="10">
        <f t="shared" si="154"/>
        <v>1.77816235097358</v>
      </c>
      <c r="H961" s="10">
        <f t="shared" si="155"/>
        <v>-2.9392278772781602</v>
      </c>
      <c r="I961" s="10">
        <f t="shared" si="156"/>
        <v>1.7781335790914301</v>
      </c>
      <c r="J961" s="10">
        <f t="shared" si="157"/>
        <v>-2.94223300733257</v>
      </c>
      <c r="K961" s="7">
        <f t="shared" si="158"/>
        <v>2.8771882149891701E-5</v>
      </c>
      <c r="L961" s="7">
        <f t="shared" si="159"/>
        <v>3.0051300544098299E-3</v>
      </c>
      <c r="M961" s="7">
        <f t="shared" si="160"/>
        <v>0.150453481202351</v>
      </c>
      <c r="N961" s="7">
        <f t="shared" si="161"/>
        <v>0.24895159939999401</v>
      </c>
      <c r="O961" s="10">
        <v>3.1082168000000001</v>
      </c>
      <c r="P961" s="10">
        <v>-2.3704659000000001</v>
      </c>
      <c r="Q961" s="10">
        <v>4.9233666999999999</v>
      </c>
      <c r="R961" s="10">
        <v>-10.267239999999999</v>
      </c>
      <c r="S961" s="10">
        <f t="shared" si="162"/>
        <v>2.9129465531069574</v>
      </c>
      <c r="T961" s="10">
        <f t="shared" si="163"/>
        <v>-27.050488282308784</v>
      </c>
      <c r="U961" s="8"/>
      <c r="V961" s="8"/>
    </row>
    <row r="962" spans="1:22" x14ac:dyDescent="0.35">
      <c r="A962" s="12">
        <v>4.625</v>
      </c>
      <c r="B962">
        <v>15.25</v>
      </c>
      <c r="C962" s="12">
        <v>-8.8153585000000007E-2</v>
      </c>
      <c r="D962" s="12">
        <v>-0.10465107</v>
      </c>
      <c r="E962" s="12">
        <v>0.91185775999999996</v>
      </c>
      <c r="F962" s="12">
        <v>-0.11070417</v>
      </c>
      <c r="G962" s="12">
        <f t="shared" si="154"/>
        <v>1.77600801838668</v>
      </c>
      <c r="H962" s="12">
        <f t="shared" si="155"/>
        <v>-2.7787672881468102</v>
      </c>
      <c r="I962" s="12">
        <f t="shared" si="156"/>
        <v>1.7760228506196201</v>
      </c>
      <c r="J962" s="12">
        <f t="shared" si="157"/>
        <v>-2.78179377608856</v>
      </c>
      <c r="K962" s="7">
        <f t="shared" si="158"/>
        <v>-1.48322329400763E-5</v>
      </c>
      <c r="L962" s="7">
        <f t="shared" si="159"/>
        <v>3.0264879417498699E-3</v>
      </c>
      <c r="M962" s="7">
        <f t="shared" si="160"/>
        <v>0.163048064106179</v>
      </c>
      <c r="N962" s="7">
        <f t="shared" si="161"/>
        <v>0.255383026054882</v>
      </c>
      <c r="O962" s="12">
        <v>3.1407752000000002</v>
      </c>
      <c r="P962" s="12">
        <v>-2.5322106999999998</v>
      </c>
      <c r="Q962" s="12">
        <v>4.8017361999999997</v>
      </c>
      <c r="R962" s="12">
        <v>-10.757134000000001</v>
      </c>
      <c r="S962" s="12">
        <f t="shared" si="162"/>
        <v>2.9199173332606643</v>
      </c>
      <c r="T962" s="12">
        <f t="shared" si="163"/>
        <v>-27.068057062699037</v>
      </c>
      <c r="U962" s="8"/>
      <c r="V962" s="8"/>
    </row>
    <row r="963" spans="1:22" x14ac:dyDescent="0.35">
      <c r="A963" s="10">
        <v>4.625</v>
      </c>
      <c r="B963">
        <v>15.3125</v>
      </c>
      <c r="C963" s="10">
        <v>-9.4395971999999995E-2</v>
      </c>
      <c r="D963" s="10">
        <v>-0.10578126</v>
      </c>
      <c r="E963" s="10">
        <v>0.90562310999999995</v>
      </c>
      <c r="F963" s="10">
        <v>-0.11191326</v>
      </c>
      <c r="G963" s="10">
        <f t="shared" si="154"/>
        <v>1.77364746106686</v>
      </c>
      <c r="H963" s="10">
        <f t="shared" si="155"/>
        <v>-2.6204681571065702</v>
      </c>
      <c r="I963" s="10">
        <f t="shared" si="156"/>
        <v>1.7736664019744199</v>
      </c>
      <c r="J963" s="10">
        <f t="shared" si="157"/>
        <v>-2.6235340697818801</v>
      </c>
      <c r="K963" s="7">
        <f t="shared" si="158"/>
        <v>-1.8940907559938901E-5</v>
      </c>
      <c r="L963" s="7">
        <f t="shared" si="159"/>
        <v>3.0659126753098702E-3</v>
      </c>
      <c r="M963" s="7">
        <f t="shared" si="160"/>
        <v>0.17685687641186801</v>
      </c>
      <c r="N963" s="7">
        <f t="shared" si="161"/>
        <v>0.26159938544544498</v>
      </c>
      <c r="O963" s="10">
        <v>3.1655318000000001</v>
      </c>
      <c r="P963" s="10">
        <v>-2.7041251000000002</v>
      </c>
      <c r="Q963" s="10">
        <v>4.6460356999999997</v>
      </c>
      <c r="R963" s="10">
        <v>-11.263296</v>
      </c>
      <c r="S963" s="10">
        <f t="shared" si="162"/>
        <v>2.9265166845250947</v>
      </c>
      <c r="T963" s="10">
        <f t="shared" si="163"/>
        <v>-27.078883485747109</v>
      </c>
      <c r="U963" s="8"/>
      <c r="V963" s="8"/>
    </row>
    <row r="964" spans="1:22" x14ac:dyDescent="0.35">
      <c r="A964" s="12">
        <v>4.625</v>
      </c>
      <c r="B964">
        <v>15.375</v>
      </c>
      <c r="C964" s="12">
        <v>-0.10101574000000001</v>
      </c>
      <c r="D964" s="12">
        <v>-0.10658826</v>
      </c>
      <c r="E964" s="12">
        <v>0.89901217</v>
      </c>
      <c r="F964" s="12">
        <v>-0.11280235</v>
      </c>
      <c r="G964" s="12">
        <f t="shared" si="154"/>
        <v>1.7712815931819701</v>
      </c>
      <c r="H964" s="12">
        <f t="shared" si="155"/>
        <v>-2.4652368203067798</v>
      </c>
      <c r="I964" s="12">
        <f t="shared" si="156"/>
        <v>1.77130520121853</v>
      </c>
      <c r="J964" s="12">
        <f t="shared" si="157"/>
        <v>-2.4683437485983601</v>
      </c>
      <c r="K964" s="7">
        <f t="shared" si="158"/>
        <v>-2.3608036559874501E-5</v>
      </c>
      <c r="L964" s="7">
        <f t="shared" si="159"/>
        <v>3.1069282915803199E-3</v>
      </c>
      <c r="M964" s="7">
        <f t="shared" si="160"/>
        <v>0.19190233730699</v>
      </c>
      <c r="N964" s="7">
        <f t="shared" si="161"/>
        <v>0.26741915188148502</v>
      </c>
      <c r="O964" s="12">
        <v>3.1809642999999999</v>
      </c>
      <c r="P964" s="12">
        <v>-2.8858883</v>
      </c>
      <c r="Q964" s="12">
        <v>4.4518867000000002</v>
      </c>
      <c r="R964" s="12">
        <v>-11.78468</v>
      </c>
      <c r="S964" s="12">
        <f t="shared" si="162"/>
        <v>2.9330817961356246</v>
      </c>
      <c r="T964" s="12">
        <f t="shared" si="163"/>
        <v>-27.089513761045637</v>
      </c>
      <c r="U964" s="8"/>
      <c r="V964" s="8"/>
    </row>
    <row r="965" spans="1:22" x14ac:dyDescent="0.35">
      <c r="A965" s="10">
        <v>4.625</v>
      </c>
      <c r="B965">
        <v>15.4375</v>
      </c>
      <c r="C965" s="10">
        <v>-0.10801073</v>
      </c>
      <c r="D965" s="10">
        <v>-0.10701267</v>
      </c>
      <c r="E965" s="10">
        <v>0.89202638000000001</v>
      </c>
      <c r="F965" s="10">
        <v>-0.11331216</v>
      </c>
      <c r="G965" s="10">
        <f t="shared" si="154"/>
        <v>1.76891316220419</v>
      </c>
      <c r="H965" s="10">
        <f t="shared" si="155"/>
        <v>-2.3129495808126102</v>
      </c>
      <c r="I965" s="10">
        <f t="shared" si="156"/>
        <v>1.7689416371028399</v>
      </c>
      <c r="J965" s="10">
        <f t="shared" si="157"/>
        <v>-2.3160991776831699</v>
      </c>
      <c r="K965" s="7">
        <f t="shared" si="158"/>
        <v>-2.84748986498773E-5</v>
      </c>
      <c r="L965" s="7">
        <f t="shared" si="159"/>
        <v>3.14959687055971E-3</v>
      </c>
      <c r="M965" s="7">
        <f t="shared" si="160"/>
        <v>0.20827078385237399</v>
      </c>
      <c r="N965" s="7">
        <f t="shared" si="161"/>
        <v>0.27269175030892701</v>
      </c>
      <c r="O965" s="10">
        <v>3.1855001000000001</v>
      </c>
      <c r="P965" s="10">
        <v>-3.0774149999999998</v>
      </c>
      <c r="Q965" s="10">
        <v>4.2149641000000004</v>
      </c>
      <c r="R965" s="10">
        <v>-12.318801000000001</v>
      </c>
      <c r="S965" s="10">
        <f t="shared" si="162"/>
        <v>2.9395626335738503</v>
      </c>
      <c r="T965" s="10">
        <f t="shared" si="163"/>
        <v>-27.099968278784459</v>
      </c>
      <c r="U965" s="8"/>
      <c r="V965" s="8"/>
    </row>
    <row r="966" spans="1:22" x14ac:dyDescent="0.35">
      <c r="A966" s="12">
        <v>4.625</v>
      </c>
      <c r="B966">
        <v>15.5</v>
      </c>
      <c r="C966" s="12">
        <v>-0.11536983000000001</v>
      </c>
      <c r="D966" s="12">
        <v>-0.10698964</v>
      </c>
      <c r="E966" s="12">
        <v>0.88467642999999996</v>
      </c>
      <c r="F966" s="12">
        <v>-0.1133777</v>
      </c>
      <c r="G966" s="12">
        <f t="shared" si="154"/>
        <v>1.7665451244147701</v>
      </c>
      <c r="H966" s="12">
        <f t="shared" si="155"/>
        <v>-2.1635113640549499</v>
      </c>
      <c r="I966" s="12">
        <f t="shared" si="156"/>
        <v>1.7665784548954799</v>
      </c>
      <c r="J966" s="12">
        <f t="shared" si="157"/>
        <v>-2.1667052137226399</v>
      </c>
      <c r="K966" s="7">
        <f t="shared" si="158"/>
        <v>-3.3330480709858903E-5</v>
      </c>
      <c r="L966" s="7">
        <f t="shared" si="159"/>
        <v>3.19384966768999E-3</v>
      </c>
      <c r="M966" s="7">
        <f t="shared" si="160"/>
        <v>0.226037821027123</v>
      </c>
      <c r="N966" s="7">
        <f t="shared" si="161"/>
        <v>0.27723497021079102</v>
      </c>
      <c r="O966" s="12">
        <v>3.1774179999999999</v>
      </c>
      <c r="P966" s="12">
        <v>-3.2783631</v>
      </c>
      <c r="Q966" s="12">
        <v>3.9308974999999999</v>
      </c>
      <c r="R966" s="12">
        <v>-12.862285999999999</v>
      </c>
      <c r="S966" s="12">
        <f t="shared" si="162"/>
        <v>2.9459191499814046</v>
      </c>
      <c r="T966" s="12">
        <f t="shared" si="163"/>
        <v>-27.110276515614885</v>
      </c>
      <c r="U966" s="8"/>
      <c r="V966" s="8"/>
    </row>
    <row r="967" spans="1:22" x14ac:dyDescent="0.35">
      <c r="A967" s="10">
        <v>4.625</v>
      </c>
      <c r="B967">
        <v>15.5625</v>
      </c>
      <c r="C967" s="10">
        <v>-0.12307247</v>
      </c>
      <c r="D967" s="10">
        <v>-0.10644974</v>
      </c>
      <c r="E967" s="10">
        <v>0.87698235000000002</v>
      </c>
      <c r="F967" s="10">
        <v>-0.11292927</v>
      </c>
      <c r="G967" s="10">
        <f t="shared" si="154"/>
        <v>1.7641800252769499</v>
      </c>
      <c r="H967" s="10">
        <f t="shared" si="155"/>
        <v>-2.0168185503502798</v>
      </c>
      <c r="I967" s="10">
        <f t="shared" si="156"/>
        <v>1.76421792962971</v>
      </c>
      <c r="J967" s="10">
        <f t="shared" si="157"/>
        <v>-2.0200581037529202</v>
      </c>
      <c r="K967" s="7">
        <f t="shared" si="158"/>
        <v>-3.79043527600764E-5</v>
      </c>
      <c r="L967" s="7">
        <f t="shared" si="159"/>
        <v>3.2395534026403699E-3</v>
      </c>
      <c r="M967" s="7">
        <f t="shared" si="160"/>
        <v>0.245265326008442</v>
      </c>
      <c r="N967" s="7">
        <f t="shared" si="161"/>
        <v>0.28083277074332003</v>
      </c>
      <c r="O967" s="10">
        <v>3.1547947999999999</v>
      </c>
      <c r="P967" s="10">
        <v>-3.4880412999999999</v>
      </c>
      <c r="Q967" s="10">
        <v>3.5953699000000001</v>
      </c>
      <c r="R967" s="10">
        <v>-13.410932000000001</v>
      </c>
      <c r="S967" s="10">
        <f t="shared" si="162"/>
        <v>2.952204270836948</v>
      </c>
      <c r="T967" s="10">
        <f t="shared" si="163"/>
        <v>-27.120431326616714</v>
      </c>
      <c r="U967" s="8"/>
      <c r="V967" s="8"/>
    </row>
    <row r="968" spans="1:22" x14ac:dyDescent="0.35">
      <c r="A968" s="12">
        <v>4.625</v>
      </c>
      <c r="B968">
        <v>15.625</v>
      </c>
      <c r="C968" s="12">
        <v>-0.13107906999999999</v>
      </c>
      <c r="D968" s="12">
        <v>-0.10532031</v>
      </c>
      <c r="E968" s="12">
        <v>0.86898328999999996</v>
      </c>
      <c r="F968" s="12">
        <v>-0.11189394</v>
      </c>
      <c r="G968" s="12">
        <f t="shared" si="154"/>
        <v>1.7618387873779799</v>
      </c>
      <c r="H968" s="12">
        <f t="shared" si="155"/>
        <v>-1.87289347659037</v>
      </c>
      <c r="I968" s="12">
        <f t="shared" si="156"/>
        <v>1.7618807684315101</v>
      </c>
      <c r="J968" s="12">
        <f t="shared" si="157"/>
        <v>-1.87618005113102</v>
      </c>
      <c r="K968" s="7">
        <f t="shared" si="158"/>
        <v>-4.1981053530148999E-5</v>
      </c>
      <c r="L968" s="7">
        <f t="shared" si="159"/>
        <v>3.2865745406500699E-3</v>
      </c>
      <c r="M968" s="7">
        <f t="shared" si="160"/>
        <v>0.265973356331414</v>
      </c>
      <c r="N968" s="7">
        <f t="shared" si="161"/>
        <v>0.28322796537792999</v>
      </c>
      <c r="O968" s="12">
        <v>3.1155612000000001</v>
      </c>
      <c r="P968" s="12">
        <v>-3.7050964</v>
      </c>
      <c r="Q968" s="12">
        <v>3.2046073000000002</v>
      </c>
      <c r="R968" s="12">
        <v>-13.959001000000001</v>
      </c>
      <c r="S968" s="12">
        <f t="shared" si="162"/>
        <v>2.9585568956007071</v>
      </c>
      <c r="T968" s="12">
        <f t="shared" si="163"/>
        <v>-27.130470148525937</v>
      </c>
      <c r="U968" s="8"/>
      <c r="V968" s="8"/>
    </row>
    <row r="969" spans="1:22" x14ac:dyDescent="0.35">
      <c r="A969" s="10">
        <v>4.625</v>
      </c>
      <c r="B969">
        <v>15.6875</v>
      </c>
      <c r="C969" s="10">
        <v>-0.13933923000000001</v>
      </c>
      <c r="D969" s="10">
        <v>-0.10353045</v>
      </c>
      <c r="E969" s="10">
        <v>0.86067660999999995</v>
      </c>
      <c r="F969" s="10">
        <v>-0.11035950999999999</v>
      </c>
      <c r="G969" s="10">
        <f t="shared" si="154"/>
        <v>1.7581638029893201</v>
      </c>
      <c r="H969" s="10">
        <f t="shared" si="155"/>
        <v>-1.7315739063451101</v>
      </c>
      <c r="I969" s="10">
        <f t="shared" si="156"/>
        <v>1.75818338152877</v>
      </c>
      <c r="J969" s="10">
        <f t="shared" si="157"/>
        <v>-1.73498834245126</v>
      </c>
      <c r="K969" s="7">
        <f t="shared" si="158"/>
        <v>-1.9578539449893699E-5</v>
      </c>
      <c r="L969" s="7">
        <f t="shared" si="159"/>
        <v>3.41443610614989E-3</v>
      </c>
      <c r="M969" s="7">
        <f t="shared" si="160"/>
        <v>0.28816096262489199</v>
      </c>
      <c r="N969" s="7">
        <f t="shared" si="161"/>
        <v>0.284359365556624</v>
      </c>
      <c r="O969" s="10">
        <v>3.0582910000000001</v>
      </c>
      <c r="P969" s="10">
        <v>-3.9283766</v>
      </c>
      <c r="Q969" s="10">
        <v>2.7552113</v>
      </c>
      <c r="R969" s="10">
        <v>-14.499643000000001</v>
      </c>
      <c r="S969" s="10">
        <f t="shared" si="162"/>
        <v>2.9645768121622935</v>
      </c>
      <c r="T969" s="10">
        <f t="shared" si="163"/>
        <v>-27.142178483045765</v>
      </c>
      <c r="U969" s="8"/>
      <c r="V969" s="8"/>
    </row>
    <row r="970" spans="1:22" x14ac:dyDescent="0.35">
      <c r="A970" s="12">
        <v>4.625</v>
      </c>
      <c r="B970">
        <v>15.75</v>
      </c>
      <c r="C970" s="12">
        <v>-0.14778935000000001</v>
      </c>
      <c r="D970" s="12">
        <v>-0.10100971</v>
      </c>
      <c r="E970" s="12">
        <v>0.85222184000000001</v>
      </c>
      <c r="F970" s="12">
        <v>-0.10793699</v>
      </c>
      <c r="G970" s="12">
        <f t="shared" si="154"/>
        <v>1.75590667312766</v>
      </c>
      <c r="H970" s="12">
        <f t="shared" si="155"/>
        <v>-1.5930513974162599</v>
      </c>
      <c r="I970" s="12">
        <f t="shared" si="156"/>
        <v>1.7559242645531199</v>
      </c>
      <c r="J970" s="12">
        <f t="shared" si="157"/>
        <v>-1.5965149571072801</v>
      </c>
      <c r="K970" s="7">
        <f t="shared" si="158"/>
        <v>-1.7591425459872999E-5</v>
      </c>
      <c r="L970" s="7">
        <f t="shared" si="159"/>
        <v>3.46355969102019E-3</v>
      </c>
      <c r="M970" s="7">
        <f t="shared" si="160"/>
        <v>0.31176912728449702</v>
      </c>
      <c r="N970" s="7">
        <f t="shared" si="161"/>
        <v>0.28346557133582201</v>
      </c>
      <c r="O970" s="12">
        <v>2.9806526999999998</v>
      </c>
      <c r="P970" s="12">
        <v>-4.1558609999999998</v>
      </c>
      <c r="Q970" s="12">
        <v>2.2447596000000001</v>
      </c>
      <c r="R970" s="12">
        <v>-15.026011</v>
      </c>
      <c r="S970" s="12">
        <f t="shared" si="162"/>
        <v>2.9706767652482533</v>
      </c>
      <c r="T970" s="12">
        <f t="shared" si="163"/>
        <v>-27.152050692278191</v>
      </c>
      <c r="U970" s="8"/>
      <c r="V970" s="8"/>
    </row>
    <row r="971" spans="1:22" x14ac:dyDescent="0.35">
      <c r="A971" s="10">
        <v>4.625</v>
      </c>
      <c r="B971">
        <v>15.8125</v>
      </c>
      <c r="C971" s="10">
        <v>-0.15634058000000001</v>
      </c>
      <c r="D971" s="10">
        <v>-9.7700020999999998E-2</v>
      </c>
      <c r="E971" s="10">
        <v>0.84366443999999996</v>
      </c>
      <c r="F971" s="10">
        <v>-0.10472505</v>
      </c>
      <c r="G971" s="10">
        <f t="shared" si="154"/>
        <v>1.7536397322881001</v>
      </c>
      <c r="H971" s="10">
        <f t="shared" si="155"/>
        <v>-1.4572444042725201</v>
      </c>
      <c r="I971" s="10">
        <f t="shared" si="156"/>
        <v>1.75365457979479</v>
      </c>
      <c r="J971" s="10">
        <f t="shared" si="157"/>
        <v>-1.4607568578041701</v>
      </c>
      <c r="K971" s="7">
        <f t="shared" si="158"/>
        <v>-1.48475066898968E-5</v>
      </c>
      <c r="L971" s="7">
        <f t="shared" si="159"/>
        <v>3.5124535316499702E-3</v>
      </c>
      <c r="M971" s="7">
        <f t="shared" si="160"/>
        <v>0.33665115582319599</v>
      </c>
      <c r="N971" s="7">
        <f t="shared" si="161"/>
        <v>0.28042323170278</v>
      </c>
      <c r="O971" s="10">
        <v>2.8813460000000002</v>
      </c>
      <c r="P971" s="10">
        <v>-4.3851066999999997</v>
      </c>
      <c r="Q971" s="10">
        <v>1.6722375</v>
      </c>
      <c r="R971" s="10">
        <v>-15.528962999999999</v>
      </c>
      <c r="S971" s="10">
        <f t="shared" si="162"/>
        <v>2.9766826830197886</v>
      </c>
      <c r="T971" s="10">
        <f t="shared" si="163"/>
        <v>-27.161717944299415</v>
      </c>
      <c r="U971" s="8"/>
      <c r="V971" s="8"/>
    </row>
    <row r="972" spans="1:22" x14ac:dyDescent="0.35">
      <c r="A972" s="12">
        <v>4.625</v>
      </c>
      <c r="B972">
        <v>15.875</v>
      </c>
      <c r="C972" s="12">
        <v>-0.16489592</v>
      </c>
      <c r="D972" s="12">
        <v>-9.3547118999999998E-2</v>
      </c>
      <c r="E972" s="12">
        <v>0.83510313999999997</v>
      </c>
      <c r="F972" s="12">
        <v>-0.10067010999999999</v>
      </c>
      <c r="G972" s="12">
        <f t="shared" si="154"/>
        <v>1.7513910321488499</v>
      </c>
      <c r="H972" s="12">
        <f t="shared" si="155"/>
        <v>-1.32408248264412</v>
      </c>
      <c r="I972" s="12">
        <f t="shared" si="156"/>
        <v>1.75140324625582</v>
      </c>
      <c r="J972" s="12">
        <f t="shared" si="157"/>
        <v>-1.3276439363175201</v>
      </c>
      <c r="K972" s="7">
        <f t="shared" si="158"/>
        <v>-1.22141069700543E-5</v>
      </c>
      <c r="L972" s="7">
        <f t="shared" si="159"/>
        <v>3.56145367340011E-3</v>
      </c>
      <c r="M972" s="7">
        <f t="shared" si="160"/>
        <v>0.36260548249818603</v>
      </c>
      <c r="N972" s="7">
        <f t="shared" si="161"/>
        <v>0.27487157577409599</v>
      </c>
      <c r="O972" s="12">
        <v>2.7589629000000002</v>
      </c>
      <c r="P972" s="12">
        <v>-4.6132694000000001</v>
      </c>
      <c r="Q972" s="12">
        <v>1.0374943999999999</v>
      </c>
      <c r="R972" s="12">
        <v>-15.999275000000001</v>
      </c>
      <c r="S972" s="12">
        <f t="shared" si="162"/>
        <v>2.9826801620810195</v>
      </c>
      <c r="T972" s="12">
        <f t="shared" si="163"/>
        <v>-27.171280847127463</v>
      </c>
      <c r="U972" s="8"/>
      <c r="V972" s="8"/>
    </row>
    <row r="973" spans="1:22" x14ac:dyDescent="0.35">
      <c r="A973" s="10">
        <v>4.625</v>
      </c>
      <c r="B973">
        <v>15.9375</v>
      </c>
      <c r="C973" s="10">
        <v>-0.17334893000000001</v>
      </c>
      <c r="D973" s="10">
        <v>-8.8510206999999994E-2</v>
      </c>
      <c r="E973" s="10">
        <v>0.82664263999999998</v>
      </c>
      <c r="F973" s="10">
        <v>-9.5732544000000003E-2</v>
      </c>
      <c r="G973" s="10">
        <f t="shared" si="154"/>
        <v>1.7491350241841901</v>
      </c>
      <c r="H973" s="10">
        <f t="shared" si="155"/>
        <v>-1.19340676719294</v>
      </c>
      <c r="I973" s="10">
        <f t="shared" si="156"/>
        <v>1.7491438496992</v>
      </c>
      <c r="J973" s="10">
        <f t="shared" si="157"/>
        <v>-1.19701791904352</v>
      </c>
      <c r="K973" s="7">
        <f t="shared" si="158"/>
        <v>-8.8255150099136904E-6</v>
      </c>
      <c r="L973" s="7">
        <f t="shared" si="159"/>
        <v>3.6111518505799198E-3</v>
      </c>
      <c r="M973" s="7">
        <f t="shared" si="160"/>
        <v>0.38936001702458001</v>
      </c>
      <c r="N973" s="7">
        <f t="shared" si="161"/>
        <v>0.26645659670453398</v>
      </c>
      <c r="O973" s="10">
        <v>2.6126203000000001</v>
      </c>
      <c r="P973" s="10">
        <v>-4.8375452000000001</v>
      </c>
      <c r="Q973" s="10">
        <v>0.34167121</v>
      </c>
      <c r="R973" s="10">
        <v>-16.427482000000001</v>
      </c>
      <c r="S973" s="10">
        <f t="shared" si="162"/>
        <v>2.9885661820859135</v>
      </c>
      <c r="T973" s="10">
        <f t="shared" si="163"/>
        <v>-27.180708812574835</v>
      </c>
      <c r="U973" s="8"/>
      <c r="V973" s="8"/>
    </row>
    <row r="974" spans="1:22" x14ac:dyDescent="0.35">
      <c r="A974" s="12">
        <v>4.625</v>
      </c>
      <c r="B974">
        <v>16</v>
      </c>
      <c r="C974" s="12">
        <v>-0.18156977999999999</v>
      </c>
      <c r="D974" s="12">
        <v>-8.2570710000000005E-2</v>
      </c>
      <c r="E974" s="12">
        <v>0.81841255999999996</v>
      </c>
      <c r="F974" s="12">
        <v>-8.9893698999999994E-2</v>
      </c>
      <c r="G974" s="12">
        <f t="shared" si="154"/>
        <v>1.7468803990441499</v>
      </c>
      <c r="H974" s="12">
        <f t="shared" si="155"/>
        <v>-1.0652203000640901</v>
      </c>
      <c r="I974" s="12">
        <f t="shared" si="156"/>
        <v>1.74688497568356</v>
      </c>
      <c r="J974" s="12">
        <f t="shared" si="157"/>
        <v>-1.0688818101378801</v>
      </c>
      <c r="K974" s="7">
        <f t="shared" si="158"/>
        <v>-4.5766394101143198E-6</v>
      </c>
      <c r="L974" s="7">
        <f t="shared" si="159"/>
        <v>3.6615100737900099E-3</v>
      </c>
      <c r="M974" s="7">
        <f t="shared" si="160"/>
        <v>0.41650855817176702</v>
      </c>
      <c r="N974" s="7">
        <f t="shared" si="161"/>
        <v>0.25485273947264497</v>
      </c>
      <c r="O974" s="12">
        <v>2.4419461999999998</v>
      </c>
      <c r="P974" s="12">
        <v>-5.0542980000000002</v>
      </c>
      <c r="Q974" s="12">
        <v>-0.41150175</v>
      </c>
      <c r="R974" s="12">
        <v>-16.803334</v>
      </c>
      <c r="S974" s="12">
        <f t="shared" si="162"/>
        <v>2.9943884305058637</v>
      </c>
      <c r="T974" s="12">
        <f t="shared" si="163"/>
        <v>-27.190015397526029</v>
      </c>
      <c r="U974" s="8"/>
      <c r="V974" s="8"/>
    </row>
    <row r="975" spans="1:22" x14ac:dyDescent="0.35">
      <c r="A975" s="10">
        <v>4.625</v>
      </c>
      <c r="B975">
        <v>16.0625</v>
      </c>
      <c r="C975" s="10">
        <v>-0.18942579000000001</v>
      </c>
      <c r="D975" s="10">
        <v>-7.5730570999999997E-2</v>
      </c>
      <c r="E975" s="10">
        <v>0.81054740999999997</v>
      </c>
      <c r="F975" s="10">
        <v>-8.3154007000000002E-2</v>
      </c>
      <c r="G975" s="10">
        <f t="shared" si="154"/>
        <v>1.7446312525088199</v>
      </c>
      <c r="H975" s="10">
        <f t="shared" si="155"/>
        <v>-0.93944174187087504</v>
      </c>
      <c r="I975" s="10">
        <f t="shared" si="156"/>
        <v>1.74463162954381</v>
      </c>
      <c r="J975" s="10">
        <f t="shared" si="157"/>
        <v>-0.94315350820909805</v>
      </c>
      <c r="K975" s="7">
        <f t="shared" si="158"/>
        <v>-3.7703499011776397E-7</v>
      </c>
      <c r="L975" s="7">
        <f t="shared" si="159"/>
        <v>3.71176633822301E-3</v>
      </c>
      <c r="M975" s="7">
        <f t="shared" si="160"/>
        <v>0.44355664706778097</v>
      </c>
      <c r="N975" s="7">
        <f t="shared" si="161"/>
        <v>0.23978815968207101</v>
      </c>
      <c r="O975" s="10">
        <v>2.2471447000000002</v>
      </c>
      <c r="P975" s="10">
        <v>-5.2598661</v>
      </c>
      <c r="Q975" s="10">
        <v>-1.2166937</v>
      </c>
      <c r="R975" s="10">
        <v>-17.117101000000002</v>
      </c>
      <c r="S975" s="10">
        <f t="shared" si="162"/>
        <v>3.0001672637463868</v>
      </c>
      <c r="T975" s="10">
        <f t="shared" si="163"/>
        <v>-27.199149952474176</v>
      </c>
      <c r="U975" s="8"/>
      <c r="V975" s="8"/>
    </row>
    <row r="976" spans="1:22" x14ac:dyDescent="0.35">
      <c r="A976" s="12">
        <v>4.625</v>
      </c>
      <c r="B976">
        <v>16.125</v>
      </c>
      <c r="C976" s="12">
        <v>-0.19675697</v>
      </c>
      <c r="D976" s="12">
        <v>-6.8040468000000007E-2</v>
      </c>
      <c r="E976" s="12">
        <v>0.80320937000000003</v>
      </c>
      <c r="F976" s="12">
        <v>-7.5564326000000001E-2</v>
      </c>
      <c r="G976" s="12">
        <f t="shared" si="154"/>
        <v>1.7424116085102099</v>
      </c>
      <c r="H976" s="12">
        <f t="shared" si="155"/>
        <v>-0.81637037383925104</v>
      </c>
      <c r="I976" s="12">
        <f t="shared" si="156"/>
        <v>1.74240893085102</v>
      </c>
      <c r="J976" s="12">
        <f t="shared" si="157"/>
        <v>-0.82013237622691604</v>
      </c>
      <c r="K976" s="7">
        <f t="shared" si="158"/>
        <v>2.6776591899313499E-6</v>
      </c>
      <c r="L976" s="7">
        <f t="shared" si="159"/>
        <v>3.7620023876649999E-3</v>
      </c>
      <c r="M976" s="7">
        <f t="shared" si="160"/>
        <v>0.469828537281481</v>
      </c>
      <c r="N976" s="7">
        <f t="shared" si="161"/>
        <v>0.221143032429063</v>
      </c>
      <c r="O976" s="12">
        <v>2.0298504999999998</v>
      </c>
      <c r="P976" s="12">
        <v>-5.4500162000000003</v>
      </c>
      <c r="Q976" s="12">
        <v>-2.0638930000000002</v>
      </c>
      <c r="R976" s="12">
        <v>-17.358996999999999</v>
      </c>
      <c r="S976" s="12">
        <f t="shared" si="162"/>
        <v>3.0058468560373615</v>
      </c>
      <c r="T976" s="12">
        <f t="shared" si="163"/>
        <v>-27.208108486422514</v>
      </c>
      <c r="U976" s="8"/>
      <c r="V976" s="8"/>
    </row>
    <row r="977" spans="1:22" x14ac:dyDescent="0.35">
      <c r="A977" s="10">
        <v>4.625</v>
      </c>
      <c r="B977">
        <v>16.1875</v>
      </c>
      <c r="C977" s="10">
        <v>-0.20346391</v>
      </c>
      <c r="D977" s="10">
        <v>-5.9521365999999999E-2</v>
      </c>
      <c r="E977" s="10">
        <v>0.79649217000000005</v>
      </c>
      <c r="F977" s="10">
        <v>-6.7145584999999994E-2</v>
      </c>
      <c r="G977" s="10">
        <f t="shared" si="154"/>
        <v>1.74016768898103</v>
      </c>
      <c r="H977" s="10">
        <f t="shared" si="155"/>
        <v>-0.69532839617820696</v>
      </c>
      <c r="I977" s="10">
        <f t="shared" si="156"/>
        <v>1.7401602614238401</v>
      </c>
      <c r="J977" s="10">
        <f t="shared" si="157"/>
        <v>-0.69914061770925495</v>
      </c>
      <c r="K977" s="7">
        <f t="shared" si="158"/>
        <v>7.42755718996513E-6</v>
      </c>
      <c r="L977" s="7">
        <f t="shared" si="159"/>
        <v>3.8122215310479901E-3</v>
      </c>
      <c r="M977" s="7">
        <f t="shared" si="160"/>
        <v>0.49479168593384798</v>
      </c>
      <c r="N977" s="7">
        <f t="shared" si="161"/>
        <v>0.198791440426382</v>
      </c>
      <c r="O977" s="10">
        <v>1.7907346</v>
      </c>
      <c r="P977" s="10">
        <v>-5.6220393</v>
      </c>
      <c r="Q977" s="10">
        <v>-2.9477253000000001</v>
      </c>
      <c r="R977" s="10">
        <v>-17.522555000000001</v>
      </c>
      <c r="S977" s="10">
        <f t="shared" si="162"/>
        <v>3.0114796715557692</v>
      </c>
      <c r="T977" s="10">
        <f t="shared" si="163"/>
        <v>-27.21689428655494</v>
      </c>
      <c r="U977" s="8"/>
      <c r="V977" s="8"/>
    </row>
    <row r="978" spans="1:22" x14ac:dyDescent="0.35">
      <c r="A978" s="12">
        <v>4.625</v>
      </c>
      <c r="B978">
        <v>16.25</v>
      </c>
      <c r="C978" s="12">
        <v>-0.20940021</v>
      </c>
      <c r="D978" s="12">
        <v>-5.0275519999999997E-2</v>
      </c>
      <c r="E978" s="12">
        <v>0.79054544999999998</v>
      </c>
      <c r="F978" s="12">
        <v>-5.7999832000000001E-2</v>
      </c>
      <c r="G978" s="12">
        <f t="shared" si="154"/>
        <v>1.7379221102659901</v>
      </c>
      <c r="H978" s="12">
        <f t="shared" si="155"/>
        <v>-0.57657758923737101</v>
      </c>
      <c r="I978" s="12">
        <f t="shared" si="156"/>
        <v>1.7379098567700999</v>
      </c>
      <c r="J978" s="12">
        <f t="shared" si="157"/>
        <v>-0.58043989750119995</v>
      </c>
      <c r="K978" s="7">
        <f t="shared" si="158"/>
        <v>1.2253495890179899E-5</v>
      </c>
      <c r="L978" s="7">
        <f t="shared" si="159"/>
        <v>3.8623082638289401E-3</v>
      </c>
      <c r="M978" s="7">
        <f t="shared" si="160"/>
        <v>0.51766012084826296</v>
      </c>
      <c r="N978" s="7">
        <f t="shared" si="161"/>
        <v>0.172891928954271</v>
      </c>
      <c r="O978" s="12">
        <v>1.5327898</v>
      </c>
      <c r="P978" s="12">
        <v>-5.7720754000000003</v>
      </c>
      <c r="Q978" s="12">
        <v>-3.8549098000000002</v>
      </c>
      <c r="R978" s="12">
        <v>-17.600967000000001</v>
      </c>
      <c r="S978" s="12">
        <f t="shared" si="162"/>
        <v>3.0170437145450055</v>
      </c>
      <c r="T978" s="12">
        <f t="shared" si="163"/>
        <v>-27.225490829494642</v>
      </c>
      <c r="U978" s="8"/>
      <c r="V978" s="8"/>
    </row>
    <row r="979" spans="1:22" x14ac:dyDescent="0.35">
      <c r="A979" s="10">
        <v>4.625</v>
      </c>
      <c r="B979">
        <v>16.3125</v>
      </c>
      <c r="C979" s="10">
        <v>-0.21445326000000001</v>
      </c>
      <c r="D979" s="10">
        <v>-4.0409791E-2</v>
      </c>
      <c r="E979" s="10">
        <v>0.78541771999999999</v>
      </c>
      <c r="F979" s="10">
        <v>-4.8124414999999997E-2</v>
      </c>
      <c r="G979" s="10">
        <f t="shared" si="154"/>
        <v>1.7356351891084001</v>
      </c>
      <c r="H979" s="10">
        <f t="shared" si="155"/>
        <v>-0.45940350968739402</v>
      </c>
      <c r="I979" s="10">
        <f t="shared" si="156"/>
        <v>1.73558555646089</v>
      </c>
      <c r="J979" s="10">
        <f t="shared" si="157"/>
        <v>-0.46326126199960299</v>
      </c>
      <c r="K979" s="7">
        <f t="shared" si="158"/>
        <v>4.9632647510122799E-5</v>
      </c>
      <c r="L979" s="7">
        <f t="shared" si="159"/>
        <v>3.8577523122089699E-3</v>
      </c>
      <c r="M979" s="7">
        <f t="shared" si="160"/>
        <v>0.53785448855520601</v>
      </c>
      <c r="N979" s="7">
        <f t="shared" si="161"/>
        <v>0.14356373744451001</v>
      </c>
      <c r="O979" s="10">
        <v>1.2589642999999999</v>
      </c>
      <c r="P979" s="10">
        <v>-5.8974583000000003</v>
      </c>
      <c r="Q979" s="10">
        <v>-4.7729756999999999</v>
      </c>
      <c r="R979" s="10">
        <v>-17.589841</v>
      </c>
      <c r="S979" s="10">
        <f t="shared" si="162"/>
        <v>3.0223683857255366</v>
      </c>
      <c r="T979" s="10">
        <f t="shared" si="163"/>
        <v>-27.231939646650254</v>
      </c>
      <c r="U979" s="8"/>
      <c r="V979" s="8"/>
    </row>
    <row r="980" spans="1:22" x14ac:dyDescent="0.35">
      <c r="A980" s="12">
        <v>4.625</v>
      </c>
      <c r="B980">
        <v>16.375</v>
      </c>
      <c r="C980" s="12">
        <v>-0.21853286999999999</v>
      </c>
      <c r="D980" s="12">
        <v>-3.0072191000000002E-2</v>
      </c>
      <c r="E980" s="12">
        <v>0.78133677000000001</v>
      </c>
      <c r="F980" s="12">
        <v>-3.787886E-2</v>
      </c>
      <c r="G980" s="12">
        <f t="shared" si="154"/>
        <v>1.7333773878968799</v>
      </c>
      <c r="H980" s="12">
        <f t="shared" si="155"/>
        <v>-0.34516612640081201</v>
      </c>
      <c r="I980" s="12">
        <f t="shared" si="156"/>
        <v>1.73332744241582</v>
      </c>
      <c r="J980" s="12">
        <f t="shared" si="157"/>
        <v>-0.34906991030336598</v>
      </c>
      <c r="K980" s="7">
        <f t="shared" si="158"/>
        <v>4.9945481059854302E-5</v>
      </c>
      <c r="L980" s="7">
        <f t="shared" si="159"/>
        <v>3.90378390255397E-3</v>
      </c>
      <c r="M980" s="7">
        <f t="shared" si="160"/>
        <v>0.55443877903599403</v>
      </c>
      <c r="N980" s="7">
        <f t="shared" si="161"/>
        <v>0.111656857285465</v>
      </c>
      <c r="O980" s="12">
        <v>0.97360979000000003</v>
      </c>
      <c r="P980" s="12">
        <v>-5.9953722000000003</v>
      </c>
      <c r="Q980" s="12">
        <v>-5.6878601</v>
      </c>
      <c r="R980" s="12">
        <v>-17.488755999999999</v>
      </c>
      <c r="S980" s="12">
        <f t="shared" si="162"/>
        <v>3.0277755578211285</v>
      </c>
      <c r="T980" s="12">
        <f t="shared" si="163"/>
        <v>-27.240000191705704</v>
      </c>
      <c r="U980" s="8"/>
      <c r="V980" s="8"/>
    </row>
    <row r="981" spans="1:22" x14ac:dyDescent="0.35">
      <c r="A981" s="10">
        <v>4.625</v>
      </c>
      <c r="B981">
        <v>16.4375</v>
      </c>
      <c r="C981" s="10">
        <v>-0.22157861000000001</v>
      </c>
      <c r="D981" s="10">
        <v>-1.9409223E-2</v>
      </c>
      <c r="E981" s="10">
        <v>0.77829230000000005</v>
      </c>
      <c r="F981" s="10">
        <v>-2.7310850000000001E-2</v>
      </c>
      <c r="G981" s="10">
        <f t="shared" si="154"/>
        <v>1.7311196929149999</v>
      </c>
      <c r="H981" s="10">
        <f t="shared" si="155"/>
        <v>-0.23317020910308001</v>
      </c>
      <c r="I981" s="10">
        <f t="shared" si="156"/>
        <v>1.7310707554550899</v>
      </c>
      <c r="J981" s="10">
        <f t="shared" si="157"/>
        <v>-0.23712147098005501</v>
      </c>
      <c r="K981" s="7">
        <f t="shared" si="158"/>
        <v>4.8937459909970102E-5</v>
      </c>
      <c r="L981" s="7">
        <f t="shared" si="159"/>
        <v>3.9512618769749997E-3</v>
      </c>
      <c r="M981" s="7">
        <f t="shared" si="160"/>
        <v>0.56703757109080899</v>
      </c>
      <c r="N981" s="7">
        <f t="shared" si="161"/>
        <v>7.7672609588197702E-2</v>
      </c>
      <c r="O981" s="10">
        <v>0.68074153999999998</v>
      </c>
      <c r="P981" s="10">
        <v>-6.0646190999999998</v>
      </c>
      <c r="Q981" s="10">
        <v>-6.5861922000000002</v>
      </c>
      <c r="R981" s="10">
        <v>-17.298769</v>
      </c>
      <c r="S981" s="10">
        <f t="shared" si="162"/>
        <v>3.0331041845358078</v>
      </c>
      <c r="T981" s="10">
        <f t="shared" si="163"/>
        <v>-27.247952592103815</v>
      </c>
      <c r="U981" s="8"/>
      <c r="V981" s="8"/>
    </row>
    <row r="982" spans="1:22" x14ac:dyDescent="0.35">
      <c r="A982" s="12">
        <v>4.625</v>
      </c>
      <c r="B982">
        <v>16.5</v>
      </c>
      <c r="C982" s="12">
        <v>-0.22356134</v>
      </c>
      <c r="D982" s="12">
        <v>-8.5826545999999997E-3</v>
      </c>
      <c r="E982" s="12">
        <v>0.77631366999999996</v>
      </c>
      <c r="F982" s="12">
        <v>-1.6581497000000001E-2</v>
      </c>
      <c r="G982" s="12">
        <f t="shared" si="154"/>
        <v>1.7288650457379799</v>
      </c>
      <c r="H982" s="12">
        <f t="shared" si="155"/>
        <v>-0.123404666223653</v>
      </c>
      <c r="I982" s="12">
        <f t="shared" si="156"/>
        <v>1.7288185449453899</v>
      </c>
      <c r="J982" s="12">
        <f t="shared" si="157"/>
        <v>-0.12740452337098199</v>
      </c>
      <c r="K982" s="7">
        <f t="shared" si="158"/>
        <v>4.6500792590053998E-5</v>
      </c>
      <c r="L982" s="7">
        <f t="shared" si="159"/>
        <v>3.99985714732899E-3</v>
      </c>
      <c r="M982" s="7">
        <f t="shared" si="160"/>
        <v>0.57530528570962602</v>
      </c>
      <c r="N982" s="7">
        <f t="shared" si="161"/>
        <v>4.2396870355735798E-2</v>
      </c>
      <c r="O982" s="12">
        <v>0.38480877000000002</v>
      </c>
      <c r="P982" s="12">
        <v>-6.1046151999999996</v>
      </c>
      <c r="Q982" s="12">
        <v>-7.4549199000000002</v>
      </c>
      <c r="R982" s="12">
        <v>-17.024049999999999</v>
      </c>
      <c r="S982" s="12">
        <f t="shared" si="162"/>
        <v>3.0383517050922078</v>
      </c>
      <c r="T982" s="12">
        <f t="shared" si="163"/>
        <v>-27.255768915880243</v>
      </c>
      <c r="U982" s="8"/>
      <c r="V982" s="8"/>
    </row>
    <row r="983" spans="1:22" x14ac:dyDescent="0.35">
      <c r="A983" s="10">
        <v>4.625</v>
      </c>
      <c r="B983">
        <v>16.5625</v>
      </c>
      <c r="C983" s="10">
        <v>-0.22448483</v>
      </c>
      <c r="D983" s="10">
        <v>2.2423805000000002E-3</v>
      </c>
      <c r="E983" s="10">
        <v>0.77539458000000006</v>
      </c>
      <c r="F983" s="10">
        <v>-5.8556232E-3</v>
      </c>
      <c r="G983" s="10">
        <f t="shared" si="154"/>
        <v>1.72660173288587</v>
      </c>
      <c r="H983" s="10">
        <f t="shared" si="155"/>
        <v>-1.5889667561722401E-2</v>
      </c>
      <c r="I983" s="10">
        <f t="shared" si="156"/>
        <v>1.72655783136316</v>
      </c>
      <c r="J983" s="10">
        <f t="shared" si="157"/>
        <v>-1.99390913290752E-2</v>
      </c>
      <c r="K983" s="7">
        <f t="shared" si="158"/>
        <v>4.3901522710054797E-5</v>
      </c>
      <c r="L983" s="7">
        <f t="shared" si="159"/>
        <v>4.0494237673528001E-3</v>
      </c>
      <c r="M983" s="7">
        <f t="shared" si="160"/>
        <v>0.57910985232928303</v>
      </c>
      <c r="N983" s="7">
        <f t="shared" si="161"/>
        <v>6.6878294056586804E-3</v>
      </c>
      <c r="O983" s="10">
        <v>9.0316990999999999E-2</v>
      </c>
      <c r="P983" s="10">
        <v>-6.1156601999999998</v>
      </c>
      <c r="Q983" s="10">
        <v>-8.2820207999999997</v>
      </c>
      <c r="R983" s="10">
        <v>-16.671330999999999</v>
      </c>
      <c r="S983" s="10">
        <f t="shared" si="162"/>
        <v>3.0435236175110223</v>
      </c>
      <c r="T983" s="10">
        <f t="shared" si="163"/>
        <v>-27.263460377390789</v>
      </c>
      <c r="U983" s="8"/>
      <c r="V983" s="8"/>
    </row>
    <row r="984" spans="1:22" x14ac:dyDescent="0.35">
      <c r="A984" s="12">
        <v>4.625</v>
      </c>
      <c r="B984">
        <v>16.625</v>
      </c>
      <c r="C984" s="12">
        <v>-0.22438422999999999</v>
      </c>
      <c r="D984" s="12">
        <v>1.2919475999999999E-2</v>
      </c>
      <c r="E984" s="12">
        <v>0.775501</v>
      </c>
      <c r="F984" s="12">
        <v>4.7194013999999999E-3</v>
      </c>
      <c r="G984" s="12">
        <f t="shared" si="154"/>
        <v>1.7243365795580501</v>
      </c>
      <c r="H984" s="12">
        <f t="shared" si="155"/>
        <v>8.9454782069859795E-2</v>
      </c>
      <c r="I984" s="12">
        <f t="shared" si="156"/>
        <v>1.7242960041823301</v>
      </c>
      <c r="J984" s="12">
        <f t="shared" si="157"/>
        <v>8.5354343105615793E-2</v>
      </c>
      <c r="K984" s="7">
        <f t="shared" si="158"/>
        <v>4.0575375719997801E-5</v>
      </c>
      <c r="L984" s="7">
        <f t="shared" si="159"/>
        <v>4.1004389642440003E-3</v>
      </c>
      <c r="M984" s="7">
        <f t="shared" si="160"/>
        <v>0.57852923165242998</v>
      </c>
      <c r="N984" s="7">
        <f t="shared" si="161"/>
        <v>-2.8637764290653799E-2</v>
      </c>
      <c r="O984" s="12">
        <v>-0.19877594000000001</v>
      </c>
      <c r="P984" s="12">
        <v>-6.0989190000000004</v>
      </c>
      <c r="Q984" s="12">
        <v>-9.0580795999999992</v>
      </c>
      <c r="R984" s="12">
        <v>-16.248964999999998</v>
      </c>
      <c r="S984" s="12">
        <f t="shared" si="162"/>
        <v>3.0486206264562878</v>
      </c>
      <c r="T984" s="12">
        <f t="shared" si="163"/>
        <v>-27.271011172256326</v>
      </c>
      <c r="U984" s="8"/>
      <c r="V984" s="8"/>
    </row>
    <row r="985" spans="1:22" x14ac:dyDescent="0.35">
      <c r="A985" s="10">
        <v>4.625</v>
      </c>
      <c r="B985">
        <v>16.6875</v>
      </c>
      <c r="C985" s="10">
        <v>-0.22332005999999999</v>
      </c>
      <c r="D985" s="10">
        <v>2.3311537E-2</v>
      </c>
      <c r="E985" s="10">
        <v>0.77657107000000003</v>
      </c>
      <c r="F985" s="10">
        <v>1.5006765E-2</v>
      </c>
      <c r="G985" s="10">
        <f t="shared" si="154"/>
        <v>1.7220650018221999</v>
      </c>
      <c r="H985" s="10">
        <f t="shared" si="155"/>
        <v>0.19266449227670299</v>
      </c>
      <c r="I985" s="10">
        <f t="shared" si="156"/>
        <v>1.72202780868705</v>
      </c>
      <c r="J985" s="10">
        <f t="shared" si="157"/>
        <v>0.18851172578060499</v>
      </c>
      <c r="K985" s="7">
        <f t="shared" si="158"/>
        <v>3.7193135149937697E-5</v>
      </c>
      <c r="L985" s="7">
        <f t="shared" si="159"/>
        <v>4.1527664960979999E-3</v>
      </c>
      <c r="M985" s="7">
        <f t="shared" si="160"/>
        <v>0.57383397387089496</v>
      </c>
      <c r="N985" s="7">
        <f t="shared" si="161"/>
        <v>-6.2818052170958899E-2</v>
      </c>
      <c r="O985" s="10">
        <v>-0.47881036999999999</v>
      </c>
      <c r="P985" s="10">
        <v>-6.0562338999999996</v>
      </c>
      <c r="Q985" s="10">
        <v>-9.7753788000000004</v>
      </c>
      <c r="R985" s="10">
        <v>-15.766764</v>
      </c>
      <c r="S985" s="10">
        <f t="shared" si="162"/>
        <v>3.0536373745400991</v>
      </c>
      <c r="T985" s="10">
        <f t="shared" si="163"/>
        <v>-27.27842954583738</v>
      </c>
      <c r="U985" s="8"/>
      <c r="V985" s="8"/>
    </row>
    <row r="986" spans="1:22" x14ac:dyDescent="0.35">
      <c r="A986" s="12">
        <v>4.625</v>
      </c>
      <c r="B986">
        <v>16.75</v>
      </c>
      <c r="C986" s="12">
        <v>-0.22136426000000001</v>
      </c>
      <c r="D986" s="12">
        <v>3.3312397000000001E-2</v>
      </c>
      <c r="E986" s="12">
        <v>0.77874038999999995</v>
      </c>
      <c r="F986" s="12">
        <v>2.4839843E-2</v>
      </c>
      <c r="G986" s="12">
        <f t="shared" si="154"/>
        <v>1.72088438312892</v>
      </c>
      <c r="H986" s="12">
        <f t="shared" si="155"/>
        <v>0.29390387018990199</v>
      </c>
      <c r="I986" s="12">
        <f t="shared" si="156"/>
        <v>1.72095464829522</v>
      </c>
      <c r="J986" s="12">
        <f t="shared" si="157"/>
        <v>0.289668112488631</v>
      </c>
      <c r="K986" s="7">
        <f t="shared" si="158"/>
        <v>-7.0265166300043105E-5</v>
      </c>
      <c r="L986" s="7">
        <f t="shared" si="159"/>
        <v>4.2357577012709898E-3</v>
      </c>
      <c r="M986" s="7">
        <f t="shared" si="160"/>
        <v>0.56506398631990495</v>
      </c>
      <c r="N986" s="7">
        <f t="shared" si="161"/>
        <v>-9.51105937130481E-2</v>
      </c>
      <c r="O986" s="12">
        <v>-0.74734078999999998</v>
      </c>
      <c r="P986" s="12">
        <v>-5.9893359000000004</v>
      </c>
      <c r="Q986" s="12">
        <v>-10.428372</v>
      </c>
      <c r="R986" s="12">
        <v>-15.233938999999999</v>
      </c>
      <c r="S986" s="12">
        <f t="shared" si="162"/>
        <v>3.0586617104566352</v>
      </c>
      <c r="T986" s="12">
        <f t="shared" si="163"/>
        <v>-27.28101290456889</v>
      </c>
      <c r="U986" s="8"/>
      <c r="V986" s="8"/>
    </row>
    <row r="987" spans="1:22" x14ac:dyDescent="0.35">
      <c r="A987" s="10">
        <v>4.625</v>
      </c>
      <c r="B987">
        <v>16.8125</v>
      </c>
      <c r="C987" s="10">
        <v>-0.21863463</v>
      </c>
      <c r="D987" s="10">
        <v>4.2795929000000003E-2</v>
      </c>
      <c r="E987" s="10">
        <v>0.78147411</v>
      </c>
      <c r="F987" s="10">
        <v>3.4199846999999998E-2</v>
      </c>
      <c r="G987" s="10">
        <f t="shared" si="154"/>
        <v>1.7186282689616299</v>
      </c>
      <c r="H987" s="10">
        <f t="shared" si="155"/>
        <v>0.39291552839250199</v>
      </c>
      <c r="I987" s="10">
        <f t="shared" si="156"/>
        <v>1.7187011058081301</v>
      </c>
      <c r="J987" s="10">
        <f t="shared" si="157"/>
        <v>0.38861803410301798</v>
      </c>
      <c r="K987" s="7">
        <f t="shared" si="158"/>
        <v>-7.2836846500168306E-5</v>
      </c>
      <c r="L987" s="7">
        <f t="shared" si="159"/>
        <v>4.2974942894840103E-3</v>
      </c>
      <c r="M987" s="7">
        <f t="shared" si="160"/>
        <v>0.553534508532877</v>
      </c>
      <c r="N987" s="7">
        <f t="shared" si="161"/>
        <v>-0.125160501606287</v>
      </c>
      <c r="O987" s="10">
        <v>-1.0003504000000001</v>
      </c>
      <c r="P987" s="10">
        <v>-5.9022727000000001</v>
      </c>
      <c r="Q987" s="10">
        <v>-11.013356999999999</v>
      </c>
      <c r="R987" s="10">
        <v>-14.664607</v>
      </c>
      <c r="S987" s="10">
        <f t="shared" si="162"/>
        <v>3.0635383137964283</v>
      </c>
      <c r="T987" s="10">
        <f t="shared" si="163"/>
        <v>-27.287742373399745</v>
      </c>
      <c r="U987" s="8"/>
      <c r="V987" s="8"/>
    </row>
    <row r="988" spans="1:22" x14ac:dyDescent="0.35">
      <c r="A988" s="12">
        <v>4.625</v>
      </c>
      <c r="B988">
        <v>16.875</v>
      </c>
      <c r="C988" s="12">
        <v>-0.21523007999999999</v>
      </c>
      <c r="D988" s="12">
        <v>5.1703012999999999E-2</v>
      </c>
      <c r="E988" s="12">
        <v>0.78488142000000005</v>
      </c>
      <c r="F988" s="12">
        <v>4.2982509000000002E-2</v>
      </c>
      <c r="G988" s="12">
        <f t="shared" si="154"/>
        <v>1.7163659745628399</v>
      </c>
      <c r="H988" s="12">
        <f t="shared" si="155"/>
        <v>0.48983398769599801</v>
      </c>
      <c r="I988" s="12">
        <f t="shared" si="156"/>
        <v>1.7164407297117501</v>
      </c>
      <c r="J988" s="12">
        <f t="shared" si="157"/>
        <v>0.485474304699613</v>
      </c>
      <c r="K988" s="7">
        <f t="shared" si="158"/>
        <v>-7.4755148910199396E-5</v>
      </c>
      <c r="L988" s="7">
        <f t="shared" si="159"/>
        <v>4.3596829963850102E-3</v>
      </c>
      <c r="M988" s="7">
        <f t="shared" si="160"/>
        <v>0.539446714720904</v>
      </c>
      <c r="N988" s="7">
        <f t="shared" si="161"/>
        <v>-0.15257591725617101</v>
      </c>
      <c r="O988" s="12">
        <v>-1.2367172</v>
      </c>
      <c r="P988" s="12">
        <v>-5.7975202000000001</v>
      </c>
      <c r="Q988" s="12">
        <v>-11.529388000000001</v>
      </c>
      <c r="R988" s="12">
        <v>-14.068101</v>
      </c>
      <c r="S988" s="12">
        <f t="shared" si="162"/>
        <v>3.0683337304111165</v>
      </c>
      <c r="T988" s="12">
        <f t="shared" si="163"/>
        <v>-27.2942781346087</v>
      </c>
      <c r="U988" s="8"/>
      <c r="V988" s="8"/>
    </row>
    <row r="989" spans="1:22" x14ac:dyDescent="0.35">
      <c r="A989" s="10">
        <v>4.625</v>
      </c>
      <c r="B989">
        <v>16.9375</v>
      </c>
      <c r="C989" s="10">
        <v>-0.21125907999999999</v>
      </c>
      <c r="D989" s="10">
        <v>5.9989008000000003E-2</v>
      </c>
      <c r="E989" s="10">
        <v>0.78885486999999999</v>
      </c>
      <c r="F989" s="10">
        <v>5.1143633000000001E-2</v>
      </c>
      <c r="G989" s="10">
        <f t="shared" si="154"/>
        <v>1.71410133394686</v>
      </c>
      <c r="H989" s="10">
        <f t="shared" si="155"/>
        <v>0.58474118259222196</v>
      </c>
      <c r="I989" s="10">
        <f t="shared" si="156"/>
        <v>1.71417786214019</v>
      </c>
      <c r="J989" s="10">
        <f t="shared" si="157"/>
        <v>0.58031908550148603</v>
      </c>
      <c r="K989" s="7">
        <f t="shared" si="158"/>
        <v>-7.6528193329927801E-5</v>
      </c>
      <c r="L989" s="7">
        <f t="shared" si="159"/>
        <v>4.4220970907359299E-3</v>
      </c>
      <c r="M989" s="7">
        <f t="shared" si="160"/>
        <v>0.52338496327794704</v>
      </c>
      <c r="N989" s="7">
        <f t="shared" si="161"/>
        <v>-0.17718714607332101</v>
      </c>
      <c r="O989" s="10">
        <v>-1.4553536</v>
      </c>
      <c r="P989" s="10">
        <v>-5.6781123999999998</v>
      </c>
      <c r="Q989" s="10">
        <v>-11.977416</v>
      </c>
      <c r="R989" s="10">
        <v>-13.454195</v>
      </c>
      <c r="S989" s="10">
        <f t="shared" si="162"/>
        <v>3.0730491486623759</v>
      </c>
      <c r="T989" s="10">
        <f t="shared" si="163"/>
        <v>-27.300671745378231</v>
      </c>
      <c r="U989" s="8"/>
      <c r="V989" s="8"/>
    </row>
    <row r="990" spans="1:22" x14ac:dyDescent="0.35">
      <c r="A990" s="12">
        <v>4.625</v>
      </c>
      <c r="B990">
        <v>17</v>
      </c>
      <c r="C990" s="12">
        <v>-0.20682717</v>
      </c>
      <c r="D990" s="12">
        <v>6.7629622E-2</v>
      </c>
      <c r="E990" s="12">
        <v>0.79328712000000001</v>
      </c>
      <c r="F990" s="12">
        <v>5.8660677000000001E-2</v>
      </c>
      <c r="G990" s="12">
        <f t="shared" si="154"/>
        <v>1.7118240609653901</v>
      </c>
      <c r="H990" s="12">
        <f t="shared" si="155"/>
        <v>0.677718953064403</v>
      </c>
      <c r="I990" s="12">
        <f t="shared" si="156"/>
        <v>1.7119013093420701</v>
      </c>
      <c r="J990" s="12">
        <f t="shared" si="157"/>
        <v>0.673235083213367</v>
      </c>
      <c r="K990" s="7">
        <f t="shared" si="158"/>
        <v>-7.7248376679994694E-5</v>
      </c>
      <c r="L990" s="7">
        <f t="shared" si="159"/>
        <v>4.4838698510359896E-3</v>
      </c>
      <c r="M990" s="7">
        <f t="shared" si="160"/>
        <v>0.50590319162335695</v>
      </c>
      <c r="N990" s="7">
        <f t="shared" si="161"/>
        <v>-0.19895526421517601</v>
      </c>
      <c r="O990" s="12">
        <v>-1.6557469</v>
      </c>
      <c r="P990" s="12">
        <v>-5.5469657000000003</v>
      </c>
      <c r="Q990" s="12">
        <v>-12.35984</v>
      </c>
      <c r="R990" s="12">
        <v>-12.831585</v>
      </c>
      <c r="S990" s="12">
        <f t="shared" si="162"/>
        <v>3.0776876680806784</v>
      </c>
      <c r="T990" s="12">
        <f t="shared" si="163"/>
        <v>-27.307028791789961</v>
      </c>
      <c r="U990" s="8"/>
      <c r="V990" s="8"/>
    </row>
    <row r="991" spans="1:22" x14ac:dyDescent="0.35">
      <c r="A991" s="10">
        <v>4.75</v>
      </c>
      <c r="B991">
        <v>15</v>
      </c>
      <c r="C991" s="10">
        <v>-6.9010531999999999E-2</v>
      </c>
      <c r="D991" s="10">
        <v>-0.1014332</v>
      </c>
      <c r="E991" s="10">
        <v>0.93102815000000005</v>
      </c>
      <c r="F991" s="10">
        <v>-0.10750808000000001</v>
      </c>
      <c r="G991" s="10">
        <f t="shared" si="154"/>
        <v>1.7008162425025499</v>
      </c>
      <c r="H991" s="10">
        <f t="shared" si="155"/>
        <v>-3.3311122321570799</v>
      </c>
      <c r="I991" s="10">
        <f t="shared" si="156"/>
        <v>1.70084480854981</v>
      </c>
      <c r="J991" s="10">
        <f t="shared" si="157"/>
        <v>-3.3341495266451</v>
      </c>
      <c r="K991" s="7">
        <f t="shared" si="158"/>
        <v>-2.8566047260092399E-5</v>
      </c>
      <c r="L991" s="7">
        <f t="shared" si="159"/>
        <v>3.0372944880201502E-3</v>
      </c>
      <c r="M991" s="7">
        <f t="shared" si="160"/>
        <v>0.121407172064918</v>
      </c>
      <c r="N991" s="7">
        <f t="shared" si="161"/>
        <v>0.23799329794039401</v>
      </c>
      <c r="O991" s="10">
        <v>3.0162005000000001</v>
      </c>
      <c r="P991" s="10">
        <v>-1.9628840999999999</v>
      </c>
      <c r="Q991" s="10">
        <v>5.1790086999999998</v>
      </c>
      <c r="R991" s="10">
        <v>-9.0021319000000002</v>
      </c>
      <c r="S991" s="10">
        <f t="shared" si="162"/>
        <v>2.8859578757628377</v>
      </c>
      <c r="T991" s="10">
        <f t="shared" si="163"/>
        <v>-27.032500311130224</v>
      </c>
      <c r="U991" s="8"/>
      <c r="V991" s="8"/>
    </row>
    <row r="992" spans="1:22" x14ac:dyDescent="0.35">
      <c r="A992" s="12">
        <v>4.75</v>
      </c>
      <c r="B992">
        <v>15.0625</v>
      </c>
      <c r="C992" s="12">
        <v>-7.3989998000000001E-2</v>
      </c>
      <c r="D992" s="12">
        <v>-0.10345266</v>
      </c>
      <c r="E992" s="12">
        <v>0.92605061</v>
      </c>
      <c r="F992" s="12">
        <v>-0.10961412</v>
      </c>
      <c r="G992" s="12">
        <f t="shared" si="154"/>
        <v>1.69873151854389</v>
      </c>
      <c r="H992" s="12">
        <f t="shared" si="155"/>
        <v>-3.1651607855622501</v>
      </c>
      <c r="I992" s="12">
        <f t="shared" si="156"/>
        <v>1.6987613123608201</v>
      </c>
      <c r="J992" s="12">
        <f t="shared" si="157"/>
        <v>-3.16824136122752</v>
      </c>
      <c r="K992" s="7">
        <f t="shared" si="158"/>
        <v>-2.9793816930023799E-5</v>
      </c>
      <c r="L992" s="7">
        <f t="shared" si="159"/>
        <v>3.0805756652698699E-3</v>
      </c>
      <c r="M992" s="7">
        <f t="shared" si="160"/>
        <v>0.131447024270436</v>
      </c>
      <c r="N992" s="7">
        <f t="shared" si="161"/>
        <v>0.24515268629770701</v>
      </c>
      <c r="O992" s="12">
        <v>3.0623558000000002</v>
      </c>
      <c r="P992" s="12">
        <v>-2.0966586</v>
      </c>
      <c r="Q992" s="12">
        <v>5.1369946999999998</v>
      </c>
      <c r="R992" s="12">
        <v>-9.4391733999999996</v>
      </c>
      <c r="S992" s="12">
        <f t="shared" si="162"/>
        <v>2.8955826003030163</v>
      </c>
      <c r="T992" s="12">
        <f t="shared" si="163"/>
        <v>-27.046342386335223</v>
      </c>
      <c r="U992" s="8"/>
      <c r="V992" s="8"/>
    </row>
    <row r="993" spans="1:22" x14ac:dyDescent="0.35">
      <c r="A993" s="10">
        <v>4.75</v>
      </c>
      <c r="B993">
        <v>15.125</v>
      </c>
      <c r="C993" s="10">
        <v>-7.9301666000000007E-2</v>
      </c>
      <c r="D993" s="10">
        <v>-0.1053171</v>
      </c>
      <c r="E993" s="10">
        <v>0.92073548999999999</v>
      </c>
      <c r="F993" s="10">
        <v>-0.11155967</v>
      </c>
      <c r="G993" s="10">
        <f t="shared" si="154"/>
        <v>1.69683937221041</v>
      </c>
      <c r="H993" s="10">
        <f t="shared" si="155"/>
        <v>-3.0031565159253701</v>
      </c>
      <c r="I993" s="10">
        <f t="shared" si="156"/>
        <v>1.6968676916474701</v>
      </c>
      <c r="J993" s="10">
        <f t="shared" si="157"/>
        <v>-3.00627765454783</v>
      </c>
      <c r="K993" s="7">
        <f t="shared" si="158"/>
        <v>-2.8319437060053701E-5</v>
      </c>
      <c r="L993" s="7">
        <f t="shared" si="159"/>
        <v>3.1211386224598799E-3</v>
      </c>
      <c r="M993" s="7">
        <f t="shared" si="160"/>
        <v>0.14238972843110301</v>
      </c>
      <c r="N993" s="7">
        <f t="shared" si="161"/>
        <v>0.25226660919211502</v>
      </c>
      <c r="O993" s="10">
        <v>3.1058409</v>
      </c>
      <c r="P993" s="10">
        <v>-2.239954</v>
      </c>
      <c r="Q993" s="10">
        <v>5.0724105000000002</v>
      </c>
      <c r="R993" s="10">
        <v>-9.8945732999999993</v>
      </c>
      <c r="S993" s="10">
        <f t="shared" si="162"/>
        <v>2.9036509207887899</v>
      </c>
      <c r="T993" s="10">
        <f t="shared" si="163"/>
        <v>-27.058845005466608</v>
      </c>
      <c r="U993" s="8"/>
      <c r="V993" s="8"/>
    </row>
    <row r="994" spans="1:22" x14ac:dyDescent="0.35">
      <c r="A994" s="12">
        <v>4.75</v>
      </c>
      <c r="B994">
        <v>15.1875</v>
      </c>
      <c r="C994" s="12">
        <v>-8.4964703000000003E-2</v>
      </c>
      <c r="D994" s="12">
        <v>-0.10699495000000001</v>
      </c>
      <c r="E994" s="12">
        <v>0.91507000999999999</v>
      </c>
      <c r="F994" s="12">
        <v>-0.11332079</v>
      </c>
      <c r="G994" s="12">
        <f t="shared" si="154"/>
        <v>1.69491653959375</v>
      </c>
      <c r="H994" s="12">
        <f t="shared" si="155"/>
        <v>-2.84475634498826</v>
      </c>
      <c r="I994" s="12">
        <f t="shared" si="156"/>
        <v>1.6949438992344701</v>
      </c>
      <c r="J994" s="12">
        <f t="shared" si="157"/>
        <v>-2.8479191235571402</v>
      </c>
      <c r="K994" s="7">
        <f t="shared" si="158"/>
        <v>-2.7359640720092701E-5</v>
      </c>
      <c r="L994" s="7">
        <f t="shared" si="159"/>
        <v>3.1627785688801398E-3</v>
      </c>
      <c r="M994" s="7">
        <f t="shared" si="160"/>
        <v>0.15431759185754099</v>
      </c>
      <c r="N994" s="7">
        <f t="shared" si="161"/>
        <v>0.25929119019860802</v>
      </c>
      <c r="O994" s="12">
        <v>3.1449862</v>
      </c>
      <c r="P994" s="12">
        <v>-2.392989</v>
      </c>
      <c r="Q994" s="12">
        <v>4.9815002000000002</v>
      </c>
      <c r="R994" s="12">
        <v>-10.368299</v>
      </c>
      <c r="S994" s="12">
        <f t="shared" si="162"/>
        <v>2.9107460317710583</v>
      </c>
      <c r="T994" s="12">
        <f t="shared" si="163"/>
        <v>-27.070665445607382</v>
      </c>
      <c r="U994" s="8"/>
      <c r="V994" s="8"/>
    </row>
    <row r="995" spans="1:22" x14ac:dyDescent="0.35">
      <c r="A995" s="10">
        <v>4.75</v>
      </c>
      <c r="B995">
        <v>15.25</v>
      </c>
      <c r="C995" s="10">
        <v>-9.0995609000000005E-2</v>
      </c>
      <c r="D995" s="10">
        <v>-0.10844554000000001</v>
      </c>
      <c r="E995" s="10">
        <v>0.90903741999999998</v>
      </c>
      <c r="F995" s="10">
        <v>-0.11485720000000001</v>
      </c>
      <c r="G995" s="10">
        <f t="shared" si="154"/>
        <v>1.6929700636395699</v>
      </c>
      <c r="H995" s="10">
        <f t="shared" si="155"/>
        <v>-2.6896704512474598</v>
      </c>
      <c r="I995" s="10">
        <f t="shared" si="156"/>
        <v>1.69299685459806</v>
      </c>
      <c r="J995" s="10">
        <f t="shared" si="157"/>
        <v>-2.6928761424198102</v>
      </c>
      <c r="K995" s="7">
        <f t="shared" si="158"/>
        <v>-2.6790958490119399E-5</v>
      </c>
      <c r="L995" s="7">
        <f t="shared" si="159"/>
        <v>3.2056911723503702E-3</v>
      </c>
      <c r="M995" s="7">
        <f t="shared" si="160"/>
        <v>0.16732821988714799</v>
      </c>
      <c r="N995" s="7">
        <f t="shared" si="161"/>
        <v>0.2661518065222</v>
      </c>
      <c r="O995" s="10">
        <v>3.1779587999999999</v>
      </c>
      <c r="P995" s="10">
        <v>-2.5557454000000002</v>
      </c>
      <c r="Q995" s="10">
        <v>4.8604795000000003</v>
      </c>
      <c r="R995" s="10">
        <v>-10.859947</v>
      </c>
      <c r="S995" s="10">
        <f t="shared" si="162"/>
        <v>2.917506957946745</v>
      </c>
      <c r="T995" s="10">
        <f t="shared" si="163"/>
        <v>-27.082033178119723</v>
      </c>
      <c r="U995" s="8"/>
      <c r="V995" s="8"/>
    </row>
    <row r="996" spans="1:22" x14ac:dyDescent="0.35">
      <c r="A996" s="12">
        <v>4.75</v>
      </c>
      <c r="B996">
        <v>15.3125</v>
      </c>
      <c r="C996" s="12">
        <v>-9.7405723999999999E-2</v>
      </c>
      <c r="D996" s="12">
        <v>-0.10962142</v>
      </c>
      <c r="E996" s="12">
        <v>0.90262606999999995</v>
      </c>
      <c r="F996" s="12">
        <v>-0.11612169</v>
      </c>
      <c r="G996" s="12">
        <f t="shared" si="154"/>
        <v>1.6910070389993499</v>
      </c>
      <c r="H996" s="12">
        <f t="shared" si="155"/>
        <v>-2.5376942751068898</v>
      </c>
      <c r="I996" s="12">
        <f t="shared" si="156"/>
        <v>1.69103349850882</v>
      </c>
      <c r="J996" s="12">
        <f t="shared" si="157"/>
        <v>-2.5409442724446998</v>
      </c>
      <c r="K996" s="7">
        <f t="shared" si="158"/>
        <v>-2.6459509470111401E-5</v>
      </c>
      <c r="L996" s="7">
        <f t="shared" si="159"/>
        <v>3.2499973378099498E-3</v>
      </c>
      <c r="M996" s="7">
        <f t="shared" si="160"/>
        <v>0.18151942191440701</v>
      </c>
      <c r="N996" s="7">
        <f t="shared" si="161"/>
        <v>0.27275079757888099</v>
      </c>
      <c r="O996" s="12">
        <v>3.2032056</v>
      </c>
      <c r="P996" s="12">
        <v>-2.7283010000000001</v>
      </c>
      <c r="Q996" s="12">
        <v>4.7053647999999999</v>
      </c>
      <c r="R996" s="12">
        <v>-11.368434000000001</v>
      </c>
      <c r="S996" s="12">
        <f t="shared" si="162"/>
        <v>2.9241469210538686</v>
      </c>
      <c r="T996" s="12">
        <f t="shared" si="163"/>
        <v>-27.09307331054416</v>
      </c>
      <c r="U996" s="8"/>
      <c r="V996" s="8"/>
    </row>
    <row r="997" spans="1:22" x14ac:dyDescent="0.35">
      <c r="A997" s="10">
        <v>4.75</v>
      </c>
      <c r="B997">
        <v>15.375</v>
      </c>
      <c r="C997" s="10">
        <v>-0.10420136000000001</v>
      </c>
      <c r="D997" s="10">
        <v>-0.11046895</v>
      </c>
      <c r="E997" s="10">
        <v>0.89582903000000003</v>
      </c>
      <c r="F997" s="10">
        <v>-0.11706047</v>
      </c>
      <c r="G997" s="10">
        <f t="shared" ref="G997:G1060" si="164">IMREAL(IMDIV(IMSUM(IMPRODUCT(COMPLEX(1 + C997,D997),COMPLEX(1 - C997, - D997)),IMPRODUCT(COMPLEX(E997,F997),COMPLEX(E997,F997))),IMSUB(IMPRODUCT(COMPLEX(1 - C997, - D997),COMPLEX(1 - C997, - D997)),IMPRODUCT(COMPLEX(E997,F997),COMPLEX(E997,F997)))))</f>
        <v>1.68903259275985</v>
      </c>
      <c r="H997" s="10">
        <f t="shared" ref="H997:H1060" si="165">IMAGINARY(IMDIV(IMSUM(IMPRODUCT(COMPLEX(1 + C997,D997),COMPLEX(1 - C997, - D997)),IMPRODUCT(COMPLEX(E997,F997),COMPLEX(E997,F997))),IMSUB(IMPRODUCT(COMPLEX(1 - C997, - D997),COMPLEX(1 - C997, - D997)),IMPRODUCT(COMPLEX(E997,F997),COMPLEX(E997,F997)))))</f>
        <v>-2.38865170839042</v>
      </c>
      <c r="I997" s="10">
        <f t="shared" ref="I997:I1060" si="166">IMREAL(IMDIV(IMPRODUCT(COMPLEX(2,0),COMPLEX(E997,F997)),IMSUB(IMPRODUCT(COMPLEX(1 - C997, - D997),COMPLEX(1 - C997, - D997)),IMPRODUCT(COMPLEX(E997,F997),COMPLEX(E997,F997)))))</f>
        <v>1.68905864894984</v>
      </c>
      <c r="J997" s="10">
        <f t="shared" ref="J997:J1060" si="167">IMAGINARY(IMDIV(IMPRODUCT(COMPLEX(2,0),COMPLEX(E997,F997)),IMSUB(IMPRODUCT(COMPLEX(1 - C997, - D997),COMPLEX(1 - C997, - D997)),IMPRODUCT(COMPLEX(E997,F997),COMPLEX(E997,F997)))))</f>
        <v>-2.3919473324384599</v>
      </c>
      <c r="K997" s="7">
        <f t="shared" ref="K997:K1060" si="168">IMREAL(IMSUB(COMPLEX(G997,H997),COMPLEX(I997,J997)))</f>
        <v>-2.6056189990075798E-5</v>
      </c>
      <c r="L997" s="7">
        <f t="shared" ref="L997:L1060" si="169">IMAGINARY(IMSUB(COMPLEX(G997,H997),COMPLEX(I997,J997)))</f>
        <v>3.2956240480399601E-3</v>
      </c>
      <c r="M997" s="7">
        <f t="shared" ref="M997:M1060" si="170">IMREAL(IMDIV(IMSUB(IMPRODUCT(COMPLEX(1 - C997, - D997),COMPLEX(1 - C997, - D997)),IMPRODUCT(COMPLEX(E997,F997),COMPLEX(E997,F997))),IMPRODUCT(COMPLEX(2,0),COMPLEX(E997,F997))))</f>
        <v>0.19699013454033101</v>
      </c>
      <c r="N997" s="7">
        <f t="shared" ref="N997:N1060" si="171">IMAGINARY(IMDIV(IMSUB(IMPRODUCT(COMPLEX(1 - C997, - D997),COMPLEX(1 - C997, - D997)),IMPRODUCT(COMPLEX(E997,F997),COMPLEX(E997,F997))),IMPRODUCT(COMPLEX(2,0),COMPLEX(E997,F997))))</f>
        <v>0.27896605433055699</v>
      </c>
      <c r="O997" s="10">
        <v>3.2191778000000002</v>
      </c>
      <c r="P997" s="10">
        <v>-2.9106809999999999</v>
      </c>
      <c r="Q997" s="10">
        <v>4.5120072999999996</v>
      </c>
      <c r="R997" s="10">
        <v>-11.892198</v>
      </c>
      <c r="S997" s="10">
        <f t="shared" ref="S997:S1060" si="172">IMABS(COMPLEX(Q997,R997))/IMABS(COMPLEX(O997,P997))</f>
        <v>2.9307658017311282</v>
      </c>
      <c r="T997" s="10">
        <f t="shared" ref="T997:T1060" si="173">IMARGUMENT(IMDIV(COMPLEX(Q997,R997),COMPLEX(O997/B997,P997/B997)))/PI()*180</f>
        <v>-27.103890745490727</v>
      </c>
      <c r="U997" s="8"/>
      <c r="V997" s="8"/>
    </row>
    <row r="998" spans="1:22" x14ac:dyDescent="0.35">
      <c r="A998" s="12">
        <v>4.75</v>
      </c>
      <c r="B998">
        <v>15.4375</v>
      </c>
      <c r="C998" s="12">
        <v>-0.11138244999999999</v>
      </c>
      <c r="D998" s="12">
        <v>-0.11092823</v>
      </c>
      <c r="E998" s="12">
        <v>0.88864553999999996</v>
      </c>
      <c r="F998" s="12">
        <v>-0.11761365999999999</v>
      </c>
      <c r="G998" s="12">
        <f t="shared" si="164"/>
        <v>1.6870462536789601</v>
      </c>
      <c r="H998" s="12">
        <f t="shared" si="165"/>
        <v>-2.2423867776253199</v>
      </c>
      <c r="I998" s="12">
        <f t="shared" si="166"/>
        <v>1.6870714216327201</v>
      </c>
      <c r="J998" s="12">
        <f t="shared" si="167"/>
        <v>-2.2457293617165499</v>
      </c>
      <c r="K998" s="7">
        <f t="shared" si="168"/>
        <v>-2.51679537599525E-5</v>
      </c>
      <c r="L998" s="7">
        <f t="shared" si="169"/>
        <v>3.3425840912300101E-3</v>
      </c>
      <c r="M998" s="7">
        <f t="shared" si="170"/>
        <v>0.21383727852140999</v>
      </c>
      <c r="N998" s="7">
        <f t="shared" si="171"/>
        <v>0.284647495563847</v>
      </c>
      <c r="O998" s="12">
        <v>3.2244975</v>
      </c>
      <c r="P998" s="12">
        <v>-3.1030280000000001</v>
      </c>
      <c r="Q998" s="12">
        <v>4.2760568000000001</v>
      </c>
      <c r="R998" s="12">
        <v>-12.428941999999999</v>
      </c>
      <c r="S998" s="12">
        <f t="shared" si="172"/>
        <v>2.9371544258296898</v>
      </c>
      <c r="T998" s="12">
        <f t="shared" si="173"/>
        <v>-27.114490758999001</v>
      </c>
      <c r="U998" s="8"/>
      <c r="V998" s="8"/>
    </row>
    <row r="999" spans="1:22" x14ac:dyDescent="0.35">
      <c r="A999" s="10">
        <v>4.75</v>
      </c>
      <c r="B999">
        <v>15.5</v>
      </c>
      <c r="C999" s="10">
        <v>-0.11894188</v>
      </c>
      <c r="D999" s="10">
        <v>-0.11093321</v>
      </c>
      <c r="E999" s="10">
        <v>0.88108162999999995</v>
      </c>
      <c r="F999" s="10">
        <v>-0.11771447</v>
      </c>
      <c r="G999" s="10">
        <f t="shared" si="164"/>
        <v>1.6850539346587801</v>
      </c>
      <c r="H999" s="10">
        <f t="shared" si="165"/>
        <v>-2.09874048736408</v>
      </c>
      <c r="I999" s="10">
        <f t="shared" si="166"/>
        <v>1.6850771853548301</v>
      </c>
      <c r="J999" s="10">
        <f t="shared" si="167"/>
        <v>-2.1021309986741099</v>
      </c>
      <c r="K999" s="7">
        <f t="shared" si="168"/>
        <v>-2.32506960500256E-5</v>
      </c>
      <c r="L999" s="7">
        <f t="shared" si="169"/>
        <v>3.3905113100298799E-3</v>
      </c>
      <c r="M999" s="7">
        <f t="shared" si="170"/>
        <v>0.23215418447227401</v>
      </c>
      <c r="N999" s="7">
        <f t="shared" si="171"/>
        <v>0.28961196074131901</v>
      </c>
      <c r="O999" s="10">
        <v>3.2171384999999999</v>
      </c>
      <c r="P999" s="10">
        <v>-3.3048324999999998</v>
      </c>
      <c r="Q999" s="10">
        <v>3.9929947000000001</v>
      </c>
      <c r="R999" s="10">
        <v>-12.975635</v>
      </c>
      <c r="S999" s="10">
        <f t="shared" si="172"/>
        <v>2.9435582668653089</v>
      </c>
      <c r="T999" s="10">
        <f t="shared" si="173"/>
        <v>-27.124939046341709</v>
      </c>
      <c r="U999" s="8"/>
      <c r="V999" s="8"/>
    </row>
    <row r="1000" spans="1:22" x14ac:dyDescent="0.35">
      <c r="A1000" s="12">
        <v>4.75</v>
      </c>
      <c r="B1000">
        <v>15.5625</v>
      </c>
      <c r="C1000" s="12">
        <v>-0.12683230000000001</v>
      </c>
      <c r="D1000" s="12">
        <v>-0.11041405999999999</v>
      </c>
      <c r="E1000" s="12">
        <v>0.87318872999999997</v>
      </c>
      <c r="F1000" s="12">
        <v>-0.11728787</v>
      </c>
      <c r="G1000" s="12">
        <f t="shared" si="164"/>
        <v>1.6831229346663601</v>
      </c>
      <c r="H1000" s="12">
        <f t="shared" si="165"/>
        <v>-1.9581335629919301</v>
      </c>
      <c r="I1000" s="12">
        <f t="shared" si="166"/>
        <v>1.68314526135964</v>
      </c>
      <c r="J1000" s="12">
        <f t="shared" si="167"/>
        <v>-1.96157035511934</v>
      </c>
      <c r="K1000" s="7">
        <f t="shared" si="168"/>
        <v>-2.2326693279950401E-5</v>
      </c>
      <c r="L1000" s="7">
        <f t="shared" si="169"/>
        <v>3.4367921274098801E-3</v>
      </c>
      <c r="M1000" s="7">
        <f t="shared" si="170"/>
        <v>0.25194008619490499</v>
      </c>
      <c r="N1000" s="7">
        <f t="shared" si="171"/>
        <v>0.29361589619836198</v>
      </c>
      <c r="O1000" s="12">
        <v>3.1953136</v>
      </c>
      <c r="P1000" s="12">
        <v>-3.5147214999999998</v>
      </c>
      <c r="Q1000" s="12">
        <v>3.6596272000000001</v>
      </c>
      <c r="R1000" s="12">
        <v>-13.526159</v>
      </c>
      <c r="S1000" s="12">
        <f t="shared" si="172"/>
        <v>2.9499456374680886</v>
      </c>
      <c r="T1000" s="12">
        <f t="shared" si="173"/>
        <v>-27.135255274403466</v>
      </c>
      <c r="U1000" s="8"/>
      <c r="V1000" s="8"/>
    </row>
    <row r="1001" spans="1:22" x14ac:dyDescent="0.35">
      <c r="A1001" s="10">
        <v>4.75</v>
      </c>
      <c r="B1001">
        <v>15.625</v>
      </c>
      <c r="C1001" s="10">
        <v>-0.13504795999999999</v>
      </c>
      <c r="D1001" s="10">
        <v>-0.10929678</v>
      </c>
      <c r="E1001" s="10">
        <v>0.86491101999999997</v>
      </c>
      <c r="F1001" s="10">
        <v>-0.11624652000000001</v>
      </c>
      <c r="G1001" s="10">
        <f t="shared" si="164"/>
        <v>1.6812765673835</v>
      </c>
      <c r="H1001" s="10">
        <f t="shared" si="165"/>
        <v>-1.8194549957518</v>
      </c>
      <c r="I1001" s="10">
        <f t="shared" si="166"/>
        <v>1.6812681322815199</v>
      </c>
      <c r="J1001" s="10">
        <f t="shared" si="167"/>
        <v>-1.8229299663343299</v>
      </c>
      <c r="K1001" s="7">
        <f t="shared" si="168"/>
        <v>8.4351019800088506E-6</v>
      </c>
      <c r="L1001" s="7">
        <f t="shared" si="169"/>
        <v>3.4749705825298802E-3</v>
      </c>
      <c r="M1001" s="7">
        <f t="shared" si="170"/>
        <v>0.27338865912772398</v>
      </c>
      <c r="N1001" s="7">
        <f t="shared" si="171"/>
        <v>0.296424091797655</v>
      </c>
      <c r="O1001" s="10">
        <v>3.1572627999999998</v>
      </c>
      <c r="P1001" s="10">
        <v>-3.7326682</v>
      </c>
      <c r="Q1001" s="10">
        <v>3.2709424999999999</v>
      </c>
      <c r="R1001" s="10">
        <v>-14.077146000000001</v>
      </c>
      <c r="S1001" s="10">
        <f t="shared" si="172"/>
        <v>2.9561319472383576</v>
      </c>
      <c r="T1001" s="10">
        <f t="shared" si="173"/>
        <v>-27.145047732002659</v>
      </c>
      <c r="U1001" s="8"/>
      <c r="V1001" s="8"/>
    </row>
    <row r="1002" spans="1:22" x14ac:dyDescent="0.35">
      <c r="A1002" s="12">
        <v>4.75</v>
      </c>
      <c r="B1002">
        <v>15.6875</v>
      </c>
      <c r="C1002" s="12">
        <v>-0.14351969000000001</v>
      </c>
      <c r="D1002" s="12">
        <v>-0.10751092</v>
      </c>
      <c r="E1002" s="12">
        <v>0.85642832000000002</v>
      </c>
      <c r="F1002" s="12">
        <v>-0.11455823</v>
      </c>
      <c r="G1002" s="12">
        <f t="shared" si="164"/>
        <v>1.6792973152191699</v>
      </c>
      <c r="H1002" s="12">
        <f t="shared" si="165"/>
        <v>-1.68394950079177</v>
      </c>
      <c r="I1002" s="12">
        <f t="shared" si="166"/>
        <v>1.67928373650212</v>
      </c>
      <c r="J1002" s="12">
        <f t="shared" si="167"/>
        <v>-1.6874732952395199</v>
      </c>
      <c r="K1002" s="7">
        <f t="shared" si="168"/>
        <v>1.3578717049878E-5</v>
      </c>
      <c r="L1002" s="7">
        <f t="shared" si="169"/>
        <v>3.5237944477499701E-3</v>
      </c>
      <c r="M1002" s="7">
        <f t="shared" si="170"/>
        <v>0.29629747890032698</v>
      </c>
      <c r="N1002" s="7">
        <f t="shared" si="171"/>
        <v>0.29774246735251902</v>
      </c>
      <c r="O1002" s="12">
        <v>3.1010211000000001</v>
      </c>
      <c r="P1002" s="12">
        <v>-3.9565350000000001</v>
      </c>
      <c r="Q1002" s="12">
        <v>2.8244277000000002</v>
      </c>
      <c r="R1002" s="12">
        <v>-14.621181999999999</v>
      </c>
      <c r="S1002" s="12">
        <f t="shared" si="172"/>
        <v>2.9623141327134284</v>
      </c>
      <c r="T1002" s="12">
        <f t="shared" si="173"/>
        <v>-27.154984494286186</v>
      </c>
      <c r="U1002" s="8"/>
      <c r="V1002" s="8"/>
    </row>
    <row r="1003" spans="1:22" x14ac:dyDescent="0.35">
      <c r="A1003" s="10">
        <v>4.75</v>
      </c>
      <c r="B1003">
        <v>15.75</v>
      </c>
      <c r="C1003" s="10">
        <v>-0.15219889</v>
      </c>
      <c r="D1003" s="10">
        <v>-0.10497848</v>
      </c>
      <c r="E1003" s="10">
        <v>0.84784402000000003</v>
      </c>
      <c r="F1003" s="10">
        <v>-0.11195682999999999</v>
      </c>
      <c r="G1003" s="10">
        <f t="shared" si="164"/>
        <v>1.67872708673736</v>
      </c>
      <c r="H1003" s="10">
        <f t="shared" si="165"/>
        <v>-1.5512008697507</v>
      </c>
      <c r="I1003" s="10">
        <f t="shared" si="166"/>
        <v>1.6787607146874699</v>
      </c>
      <c r="J1003" s="10">
        <f t="shared" si="167"/>
        <v>-1.55468985256078</v>
      </c>
      <c r="K1003" s="7">
        <f t="shared" si="168"/>
        <v>-3.3627950109860201E-5</v>
      </c>
      <c r="L1003" s="7">
        <f t="shared" si="169"/>
        <v>3.4889828100799201E-3</v>
      </c>
      <c r="M1003" s="7">
        <f t="shared" si="170"/>
        <v>0.32066191660746701</v>
      </c>
      <c r="N1003" s="7">
        <f t="shared" si="171"/>
        <v>0.29696300579986401</v>
      </c>
      <c r="O1003" s="10">
        <v>3.0246507999999999</v>
      </c>
      <c r="P1003" s="10">
        <v>-4.1853064</v>
      </c>
      <c r="Q1003" s="10">
        <v>2.3165059000000001</v>
      </c>
      <c r="R1003" s="10">
        <v>-15.151536</v>
      </c>
      <c r="S1003" s="10">
        <f t="shared" si="172"/>
        <v>2.9682524219609525</v>
      </c>
      <c r="T1003" s="10">
        <f t="shared" si="173"/>
        <v>-27.162417082244406</v>
      </c>
      <c r="U1003" s="8"/>
      <c r="V1003" s="8"/>
    </row>
    <row r="1004" spans="1:22" x14ac:dyDescent="0.35">
      <c r="A1004" s="12">
        <v>4.75</v>
      </c>
      <c r="B1004">
        <v>15.8125</v>
      </c>
      <c r="C1004" s="12">
        <v>-0.16097563000000001</v>
      </c>
      <c r="D1004" s="12">
        <v>-0.10165485</v>
      </c>
      <c r="E1004" s="12">
        <v>0.83907047999999995</v>
      </c>
      <c r="F1004" s="12">
        <v>-0.10873272</v>
      </c>
      <c r="G1004" s="12">
        <f t="shared" si="164"/>
        <v>1.67669579585137</v>
      </c>
      <c r="H1004" s="12">
        <f t="shared" si="165"/>
        <v>-1.4208654765116</v>
      </c>
      <c r="I1004" s="12">
        <f t="shared" si="166"/>
        <v>1.67673137335776</v>
      </c>
      <c r="J1004" s="12">
        <f t="shared" si="167"/>
        <v>-1.42440420401975</v>
      </c>
      <c r="K1004" s="7">
        <f t="shared" si="168"/>
        <v>-3.5577506390049903E-5</v>
      </c>
      <c r="L1004" s="7">
        <f t="shared" si="169"/>
        <v>3.5387275081499902E-3</v>
      </c>
      <c r="M1004" s="7">
        <f t="shared" si="170"/>
        <v>0.34640666288511601</v>
      </c>
      <c r="N1004" s="7">
        <f t="shared" si="171"/>
        <v>0.29427677847161599</v>
      </c>
      <c r="O1004" s="12">
        <v>2.9269281</v>
      </c>
      <c r="P1004" s="12">
        <v>-4.4153688000000004</v>
      </c>
      <c r="Q1004" s="12">
        <v>1.7477033</v>
      </c>
      <c r="R1004" s="12">
        <v>-15.658785</v>
      </c>
      <c r="S1004" s="12">
        <f t="shared" si="172"/>
        <v>2.9742951620260101</v>
      </c>
      <c r="T1004" s="12">
        <f t="shared" si="173"/>
        <v>-27.171697804630742</v>
      </c>
      <c r="U1004" s="8"/>
      <c r="V1004" s="8"/>
    </row>
    <row r="1005" spans="1:22" x14ac:dyDescent="0.35">
      <c r="A1005" s="10">
        <v>4.75</v>
      </c>
      <c r="B1005">
        <v>15.875</v>
      </c>
      <c r="C1005" s="10">
        <v>-0.16977750999999999</v>
      </c>
      <c r="D1005" s="10">
        <v>-9.7471136999999999E-2</v>
      </c>
      <c r="E1005" s="10">
        <v>0.83027088999999998</v>
      </c>
      <c r="F1005" s="10">
        <v>-0.10465032000000001</v>
      </c>
      <c r="G1005" s="10">
        <f t="shared" si="164"/>
        <v>1.6746633858245501</v>
      </c>
      <c r="H1005" s="10">
        <f t="shared" si="165"/>
        <v>-1.2928778001858501</v>
      </c>
      <c r="I1005" s="10">
        <f t="shared" si="166"/>
        <v>1.6747004693046399</v>
      </c>
      <c r="J1005" s="10">
        <f t="shared" si="167"/>
        <v>-1.2964671717085099</v>
      </c>
      <c r="K1005" s="7">
        <f t="shared" si="168"/>
        <v>-3.7083480089794603E-5</v>
      </c>
      <c r="L1005" s="7">
        <f t="shared" si="169"/>
        <v>3.58937152265981E-3</v>
      </c>
      <c r="M1005" s="7">
        <f t="shared" si="170"/>
        <v>0.37336296723180301</v>
      </c>
      <c r="N1005" s="7">
        <f t="shared" si="171"/>
        <v>0.289038451364797</v>
      </c>
      <c r="O1005" s="10">
        <v>2.8062154000000001</v>
      </c>
      <c r="P1005" s="10">
        <v>-4.6450015999999996</v>
      </c>
      <c r="Q1005" s="10">
        <v>1.1160846</v>
      </c>
      <c r="R1005" s="10">
        <v>-16.135054</v>
      </c>
      <c r="S1005" s="10">
        <f t="shared" si="172"/>
        <v>2.9802847034923516</v>
      </c>
      <c r="T1005" s="10">
        <f t="shared" si="173"/>
        <v>-27.180782137475266</v>
      </c>
      <c r="U1005" s="8"/>
      <c r="V1005" s="8"/>
    </row>
    <row r="1006" spans="1:22" x14ac:dyDescent="0.35">
      <c r="A1006" s="12">
        <v>4.75</v>
      </c>
      <c r="B1006">
        <v>15.9375</v>
      </c>
      <c r="C1006" s="12">
        <v>-0.1784809</v>
      </c>
      <c r="D1006" s="12">
        <v>-9.2391539999999994E-2</v>
      </c>
      <c r="E1006" s="12">
        <v>0.82157044000000001</v>
      </c>
      <c r="F1006" s="12">
        <v>-9.9673591000000006E-2</v>
      </c>
      <c r="G1006" s="12">
        <f t="shared" si="164"/>
        <v>1.6726327056081201</v>
      </c>
      <c r="H1006" s="12">
        <f t="shared" si="165"/>
        <v>-1.1673544261848401</v>
      </c>
      <c r="I1006" s="12">
        <f t="shared" si="166"/>
        <v>1.6726716308192799</v>
      </c>
      <c r="J1006" s="12">
        <f t="shared" si="167"/>
        <v>-1.1709952164980699</v>
      </c>
      <c r="K1006" s="7">
        <f t="shared" si="168"/>
        <v>-3.8925211159890298E-5</v>
      </c>
      <c r="L1006" s="7">
        <f t="shared" si="169"/>
        <v>3.6407903132298402E-3</v>
      </c>
      <c r="M1006" s="7">
        <f t="shared" si="170"/>
        <v>0.40121071847270201</v>
      </c>
      <c r="N1006" s="7">
        <f t="shared" si="171"/>
        <v>0.28087750367905201</v>
      </c>
      <c r="O1006" s="12">
        <v>2.6617245999999999</v>
      </c>
      <c r="P1006" s="12">
        <v>-4.8708532</v>
      </c>
      <c r="Q1006" s="12">
        <v>0.42381529000000001</v>
      </c>
      <c r="R1006" s="12">
        <v>-16.570008999999999</v>
      </c>
      <c r="S1006" s="12">
        <f t="shared" si="172"/>
        <v>2.9862006444987657</v>
      </c>
      <c r="T1006" s="12">
        <f t="shared" si="173"/>
        <v>-27.189673861331247</v>
      </c>
      <c r="U1006" s="8"/>
      <c r="V1006" s="8"/>
    </row>
    <row r="1007" spans="1:22" x14ac:dyDescent="0.35">
      <c r="A1007" s="10">
        <v>4.75</v>
      </c>
      <c r="B1007">
        <v>16</v>
      </c>
      <c r="C1007" s="10">
        <v>-0.18696286000000001</v>
      </c>
      <c r="D1007" s="10">
        <v>-8.6392347999999994E-2</v>
      </c>
      <c r="E1007" s="10">
        <v>0.81309144</v>
      </c>
      <c r="F1007" s="10">
        <v>-9.3778905999999995E-2</v>
      </c>
      <c r="G1007" s="10">
        <f t="shared" si="164"/>
        <v>1.6706027005173201</v>
      </c>
      <c r="H1007" s="10">
        <f t="shared" si="165"/>
        <v>-1.0441919473197201</v>
      </c>
      <c r="I1007" s="10">
        <f t="shared" si="166"/>
        <v>1.6706434887930199</v>
      </c>
      <c r="J1007" s="10">
        <f t="shared" si="167"/>
        <v>-1.04788497541153</v>
      </c>
      <c r="K1007" s="7">
        <f t="shared" si="168"/>
        <v>-4.0788275699865698E-5</v>
      </c>
      <c r="L1007" s="7">
        <f t="shared" si="169"/>
        <v>3.69302809180994E-3</v>
      </c>
      <c r="M1007" s="7">
        <f t="shared" si="170"/>
        <v>0.42956932998080799</v>
      </c>
      <c r="N1007" s="7">
        <f t="shared" si="171"/>
        <v>0.26944063757713799</v>
      </c>
      <c r="O1007" s="10">
        <v>2.4929692999999999</v>
      </c>
      <c r="P1007" s="10">
        <v>-5.0896039000000002</v>
      </c>
      <c r="Q1007" s="10">
        <v>-0.32614141000000002</v>
      </c>
      <c r="R1007" s="10">
        <v>-16.953907999999998</v>
      </c>
      <c r="S1007" s="10">
        <f t="shared" si="172"/>
        <v>2.9920538249048114</v>
      </c>
      <c r="T1007" s="10">
        <f t="shared" si="173"/>
        <v>-27.19841087557127</v>
      </c>
      <c r="U1007" s="8"/>
      <c r="V1007" s="8"/>
    </row>
    <row r="1008" spans="1:22" x14ac:dyDescent="0.35">
      <c r="A1008" s="12">
        <v>4.75</v>
      </c>
      <c r="B1008">
        <v>16.0625</v>
      </c>
      <c r="C1008" s="12">
        <v>-0.19508473000000001</v>
      </c>
      <c r="D1008" s="12">
        <v>-7.9476630000000006E-2</v>
      </c>
      <c r="E1008" s="12">
        <v>0.80497315000000003</v>
      </c>
      <c r="F1008" s="12">
        <v>-8.6968771E-2</v>
      </c>
      <c r="G1008" s="12">
        <f t="shared" si="164"/>
        <v>1.6685768750163801</v>
      </c>
      <c r="H1008" s="12">
        <f t="shared" si="165"/>
        <v>-0.92338346764569101</v>
      </c>
      <c r="I1008" s="12">
        <f t="shared" si="166"/>
        <v>1.6686198458079</v>
      </c>
      <c r="J1008" s="12">
        <f t="shared" si="167"/>
        <v>-0.92712926877058999</v>
      </c>
      <c r="K1008" s="7">
        <f t="shared" si="168"/>
        <v>-4.29707915199362E-5</v>
      </c>
      <c r="L1008" s="7">
        <f t="shared" si="169"/>
        <v>3.7458011248989701E-3</v>
      </c>
      <c r="M1008" s="7">
        <f t="shared" si="170"/>
        <v>0.45792633279807399</v>
      </c>
      <c r="N1008" s="7">
        <f t="shared" si="171"/>
        <v>0.25443596823116899</v>
      </c>
      <c r="O1008" s="12">
        <v>2.3002205999999998</v>
      </c>
      <c r="P1008" s="12">
        <v>-5.2975745999999999</v>
      </c>
      <c r="Q1008" s="12">
        <v>-1.1282608999999999</v>
      </c>
      <c r="R1008" s="12">
        <v>-17.276866999999999</v>
      </c>
      <c r="S1008" s="12">
        <f t="shared" si="172"/>
        <v>2.99782715992237</v>
      </c>
      <c r="T1008" s="12">
        <f t="shared" si="173"/>
        <v>-27.206989562822809</v>
      </c>
      <c r="U1008" s="8"/>
      <c r="V1008" s="8"/>
    </row>
    <row r="1009" spans="1:22" x14ac:dyDescent="0.35">
      <c r="A1009" s="10">
        <v>4.75</v>
      </c>
      <c r="B1009">
        <v>16.125</v>
      </c>
      <c r="C1009" s="10">
        <v>-0.20270556000000001</v>
      </c>
      <c r="D1009" s="10">
        <v>-7.1672466000000004E-2</v>
      </c>
      <c r="E1009" s="10">
        <v>0.79735652999999995</v>
      </c>
      <c r="F1009" s="10">
        <v>-7.9271806E-2</v>
      </c>
      <c r="G1009" s="10">
        <f t="shared" si="164"/>
        <v>1.6665531141152401</v>
      </c>
      <c r="H1009" s="10">
        <f t="shared" si="165"/>
        <v>-0.80489196603160595</v>
      </c>
      <c r="I1009" s="10">
        <f t="shared" si="166"/>
        <v>1.6665985940906201</v>
      </c>
      <c r="J1009" s="10">
        <f t="shared" si="167"/>
        <v>-0.80869134527097897</v>
      </c>
      <c r="K1009" s="7">
        <f t="shared" si="168"/>
        <v>-4.5479975379958397E-5</v>
      </c>
      <c r="L1009" s="7">
        <f t="shared" si="169"/>
        <v>3.79937923937301E-3</v>
      </c>
      <c r="M1009" s="7">
        <f t="shared" si="170"/>
        <v>0.485671798871805</v>
      </c>
      <c r="N1009" s="7">
        <f t="shared" si="171"/>
        <v>0.23566477361882401</v>
      </c>
      <c r="O1009" s="10">
        <v>2.0844024000000001</v>
      </c>
      <c r="P1009" s="10">
        <v>-5.4910262999999997</v>
      </c>
      <c r="Q1009" s="10">
        <v>-1.9751327000000001</v>
      </c>
      <c r="R1009" s="10">
        <v>-17.529810999999999</v>
      </c>
      <c r="S1009" s="10">
        <f t="shared" si="172"/>
        <v>3.0035272822538848</v>
      </c>
      <c r="T1009" s="10">
        <f t="shared" si="173"/>
        <v>-27.21540517884954</v>
      </c>
      <c r="U1009" s="8"/>
      <c r="V1009" s="8"/>
    </row>
    <row r="1010" spans="1:22" x14ac:dyDescent="0.35">
      <c r="A1010" s="12">
        <v>4.75</v>
      </c>
      <c r="B1010">
        <v>16.1875</v>
      </c>
      <c r="C1010" s="12">
        <v>-0.20968611000000001</v>
      </c>
      <c r="D1010" s="12">
        <v>-6.3036549999999997E-2</v>
      </c>
      <c r="E1010" s="12">
        <v>0.79038112999999999</v>
      </c>
      <c r="F1010" s="12">
        <v>-7.0744734000000004E-2</v>
      </c>
      <c r="G1010" s="12">
        <f t="shared" si="164"/>
        <v>1.66453159123596</v>
      </c>
      <c r="H1010" s="12">
        <f t="shared" si="165"/>
        <v>-0.68868512877379995</v>
      </c>
      <c r="I1010" s="12">
        <f t="shared" si="166"/>
        <v>1.6645800624121501</v>
      </c>
      <c r="J1010" s="12">
        <f t="shared" si="167"/>
        <v>-0.69253890439749</v>
      </c>
      <c r="K1010" s="7">
        <f t="shared" si="168"/>
        <v>-4.8471176190112397E-5</v>
      </c>
      <c r="L1010" s="7">
        <f t="shared" si="169"/>
        <v>3.8537756236900499E-3</v>
      </c>
      <c r="M1010" s="7">
        <f t="shared" si="170"/>
        <v>0.51210963456902603</v>
      </c>
      <c r="N1010" s="7">
        <f t="shared" si="171"/>
        <v>0.21306025060873199</v>
      </c>
      <c r="O1010" s="12">
        <v>1.8472054</v>
      </c>
      <c r="P1010" s="12">
        <v>-5.6663100999999996</v>
      </c>
      <c r="Q1010" s="12">
        <v>-2.8573533000000002</v>
      </c>
      <c r="R1010" s="12">
        <v>-17.704881</v>
      </c>
      <c r="S1010" s="12">
        <f t="shared" si="172"/>
        <v>3.0091554158875153</v>
      </c>
      <c r="T1010" s="12">
        <f t="shared" si="173"/>
        <v>-27.223656711401986</v>
      </c>
      <c r="U1010" s="8"/>
      <c r="V1010" s="8"/>
    </row>
    <row r="1011" spans="1:22" x14ac:dyDescent="0.35">
      <c r="A1011" s="10">
        <v>4.75</v>
      </c>
      <c r="B1011">
        <v>16.25</v>
      </c>
      <c r="C1011" s="10">
        <v>-0.21589658</v>
      </c>
      <c r="D1011" s="10">
        <v>-5.3653076000000001E-2</v>
      </c>
      <c r="E1011" s="10">
        <v>0.78417683000000005</v>
      </c>
      <c r="F1011" s="10">
        <v>-6.1472777999999999E-2</v>
      </c>
      <c r="G1011" s="10">
        <f t="shared" si="164"/>
        <v>1.6625095998205801</v>
      </c>
      <c r="H1011" s="10">
        <f t="shared" si="165"/>
        <v>-0.57472434834730102</v>
      </c>
      <c r="I1011" s="10">
        <f t="shared" si="166"/>
        <v>1.66256158849137</v>
      </c>
      <c r="J1011" s="10">
        <f t="shared" si="167"/>
        <v>-0.57863385258098998</v>
      </c>
      <c r="K1011" s="7">
        <f t="shared" si="168"/>
        <v>-5.1988670789926403E-5</v>
      </c>
      <c r="L1011" s="7">
        <f t="shared" si="169"/>
        <v>3.9095042336889704E-3</v>
      </c>
      <c r="M1011" s="7">
        <f t="shared" si="170"/>
        <v>0.53649568393172298</v>
      </c>
      <c r="N1011" s="7">
        <f t="shared" si="171"/>
        <v>0.18672064038733099</v>
      </c>
      <c r="O1011" s="10">
        <v>1.5910445</v>
      </c>
      <c r="P1011" s="10">
        <v>-5.8200664</v>
      </c>
      <c r="Q1011" s="10">
        <v>-3.7638976999999998</v>
      </c>
      <c r="R1011" s="10">
        <v>-17.795947999999999</v>
      </c>
      <c r="S1011" s="10">
        <f t="shared" si="172"/>
        <v>3.0147117523008129</v>
      </c>
      <c r="T1011" s="10">
        <f t="shared" si="173"/>
        <v>-27.231744252600041</v>
      </c>
      <c r="U1011" s="8"/>
      <c r="V1011" s="8"/>
    </row>
    <row r="1012" spans="1:22" x14ac:dyDescent="0.35">
      <c r="A1012" s="12">
        <v>4.75</v>
      </c>
      <c r="B1012">
        <v>16.3125</v>
      </c>
      <c r="C1012" s="12">
        <v>-0.22122228999999999</v>
      </c>
      <c r="D1012" s="12">
        <v>-4.3633406E-2</v>
      </c>
      <c r="E1012" s="12">
        <v>0.77885846000000003</v>
      </c>
      <c r="F1012" s="12">
        <v>-5.1566397999999999E-2</v>
      </c>
      <c r="G1012" s="12">
        <f t="shared" si="164"/>
        <v>1.66049213037611</v>
      </c>
      <c r="H1012" s="12">
        <f t="shared" si="165"/>
        <v>-0.46297606513919098</v>
      </c>
      <c r="I1012" s="12">
        <f t="shared" si="166"/>
        <v>1.66054823468357</v>
      </c>
      <c r="J1012" s="12">
        <f t="shared" si="167"/>
        <v>-0.46694217846985497</v>
      </c>
      <c r="K1012" s="7">
        <f t="shared" si="168"/>
        <v>-5.6104307460058698E-5</v>
      </c>
      <c r="L1012" s="7">
        <f t="shared" si="169"/>
        <v>3.9661133306639904E-3</v>
      </c>
      <c r="M1012" s="7">
        <f t="shared" si="170"/>
        <v>0.55808203800293099</v>
      </c>
      <c r="N1012" s="7">
        <f t="shared" si="171"/>
        <v>0.15693132975426199</v>
      </c>
      <c r="O1012" s="12">
        <v>1.3190419</v>
      </c>
      <c r="P1012" s="12">
        <v>-5.9493767000000002</v>
      </c>
      <c r="Q1012" s="12">
        <v>-4.6823598000000004</v>
      </c>
      <c r="R1012" s="12">
        <v>-17.799014</v>
      </c>
      <c r="S1012" s="12">
        <f t="shared" si="172"/>
        <v>3.0201950592704123</v>
      </c>
      <c r="T1012" s="12">
        <f t="shared" si="173"/>
        <v>-27.239661103059902</v>
      </c>
      <c r="U1012" s="8"/>
      <c r="V1012" s="8"/>
    </row>
    <row r="1013" spans="1:22" x14ac:dyDescent="0.35">
      <c r="A1013" s="10">
        <v>4.75</v>
      </c>
      <c r="B1013">
        <v>16.375</v>
      </c>
      <c r="C1013" s="10">
        <v>-0.22556933000000001</v>
      </c>
      <c r="D1013" s="10">
        <v>-3.3117479999999998E-2</v>
      </c>
      <c r="E1013" s="10">
        <v>0.77451970999999997</v>
      </c>
      <c r="F1013" s="10">
        <v>-4.1166871000000001E-2</v>
      </c>
      <c r="G1013" s="10">
        <f t="shared" si="164"/>
        <v>1.6584743757738301</v>
      </c>
      <c r="H1013" s="10">
        <f t="shared" si="165"/>
        <v>-0.35347674169651699</v>
      </c>
      <c r="I1013" s="10">
        <f t="shared" si="166"/>
        <v>1.65853508954021</v>
      </c>
      <c r="J1013" s="10">
        <f t="shared" si="167"/>
        <v>-0.357501013681507</v>
      </c>
      <c r="K1013" s="7">
        <f t="shared" si="168"/>
        <v>-6.0713766379949498E-5</v>
      </c>
      <c r="L1013" s="7">
        <f t="shared" si="169"/>
        <v>4.0242719849900004E-3</v>
      </c>
      <c r="M1013" s="7">
        <f t="shared" si="170"/>
        <v>0.57617120227587104</v>
      </c>
      <c r="N1013" s="7">
        <f t="shared" si="171"/>
        <v>0.124195014122264</v>
      </c>
      <c r="O1013" s="10">
        <v>1.0350611999999999</v>
      </c>
      <c r="P1013" s="10">
        <v>-6.0519040999999998</v>
      </c>
      <c r="Q1013" s="10">
        <v>-5.5990367000000001</v>
      </c>
      <c r="R1013" s="10">
        <v>-17.712657</v>
      </c>
      <c r="S1013" s="10">
        <f t="shared" si="172"/>
        <v>3.0256018743473847</v>
      </c>
      <c r="T1013" s="10">
        <f t="shared" si="173"/>
        <v>-27.247368736968234</v>
      </c>
      <c r="U1013" s="8"/>
      <c r="V1013" s="8"/>
    </row>
    <row r="1014" spans="1:22" x14ac:dyDescent="0.35">
      <c r="A1014" s="12">
        <v>4.75</v>
      </c>
      <c r="B1014">
        <v>16.4375</v>
      </c>
      <c r="C1014" s="12">
        <v>-0.22887648999999999</v>
      </c>
      <c r="D1014" s="12">
        <v>-2.2250375999999999E-2</v>
      </c>
      <c r="E1014" s="12">
        <v>0.77122069999999998</v>
      </c>
      <c r="F1014" s="12">
        <v>-3.0418264E-2</v>
      </c>
      <c r="G1014" s="12">
        <f t="shared" si="164"/>
        <v>1.6564546671274101</v>
      </c>
      <c r="H1014" s="12">
        <f t="shared" si="165"/>
        <v>-0.24613441345370701</v>
      </c>
      <c r="I1014" s="12">
        <f t="shared" si="166"/>
        <v>1.65651993565528</v>
      </c>
      <c r="J1014" s="12">
        <f t="shared" si="167"/>
        <v>-0.25021789246403098</v>
      </c>
      <c r="K1014" s="7">
        <f t="shared" si="168"/>
        <v>-6.5268527869921696E-5</v>
      </c>
      <c r="L1014" s="7">
        <f t="shared" si="169"/>
        <v>4.0834790103239597E-3</v>
      </c>
      <c r="M1014" s="7">
        <f t="shared" si="170"/>
        <v>0.59020887192685401</v>
      </c>
      <c r="N1014" s="7">
        <f t="shared" si="171"/>
        <v>8.9151248269578598E-2</v>
      </c>
      <c r="O1014" s="12">
        <v>0.74305253999999998</v>
      </c>
      <c r="P1014" s="12">
        <v>-6.1262042000000001</v>
      </c>
      <c r="Q1014" s="12">
        <v>-6.5011631000000003</v>
      </c>
      <c r="R1014" s="12">
        <v>-17.538032000000001</v>
      </c>
      <c r="S1014" s="12">
        <f t="shared" si="172"/>
        <v>3.0309358904679491</v>
      </c>
      <c r="T1014" s="12">
        <f t="shared" si="173"/>
        <v>-27.254883634376913</v>
      </c>
      <c r="U1014" s="8"/>
      <c r="V1014" s="8"/>
    </row>
    <row r="1015" spans="1:22" x14ac:dyDescent="0.35">
      <c r="A1015" s="10">
        <v>4.75</v>
      </c>
      <c r="B1015">
        <v>16.5</v>
      </c>
      <c r="C1015" s="10">
        <v>-0.2311107</v>
      </c>
      <c r="D1015" s="10">
        <v>-1.1190469E-2</v>
      </c>
      <c r="E1015" s="10">
        <v>0.76899351999999999</v>
      </c>
      <c r="F1015" s="10">
        <v>-1.9479680999999999E-2</v>
      </c>
      <c r="G1015" s="10">
        <f t="shared" si="164"/>
        <v>1.65442865620017</v>
      </c>
      <c r="H1015" s="10">
        <f t="shared" si="165"/>
        <v>-0.14091703303867101</v>
      </c>
      <c r="I1015" s="10">
        <f t="shared" si="166"/>
        <v>1.65449793826364</v>
      </c>
      <c r="J1015" s="10">
        <f t="shared" si="167"/>
        <v>-0.145061135942613</v>
      </c>
      <c r="K1015" s="7">
        <f t="shared" si="168"/>
        <v>-6.9282063470010896E-5</v>
      </c>
      <c r="L1015" s="7">
        <f t="shared" si="169"/>
        <v>4.14410290394199E-3</v>
      </c>
      <c r="M1015" s="7">
        <f t="shared" si="170"/>
        <v>0.59980214724290504</v>
      </c>
      <c r="N1015" s="7">
        <f t="shared" si="171"/>
        <v>5.2588751431861501E-2</v>
      </c>
      <c r="O1015" s="10">
        <v>0.44729002000000001</v>
      </c>
      <c r="P1015" s="10">
        <v>-6.1715986000000003</v>
      </c>
      <c r="Q1015" s="10">
        <v>-7.3760909999999997</v>
      </c>
      <c r="R1015" s="10">
        <v>-17.278822000000002</v>
      </c>
      <c r="S1015" s="10">
        <f t="shared" si="172"/>
        <v>3.0361984912346265</v>
      </c>
      <c r="T1015" s="10">
        <f t="shared" si="173"/>
        <v>-27.262263549581132</v>
      </c>
      <c r="U1015" s="8"/>
      <c r="V1015" s="8"/>
    </row>
    <row r="1016" spans="1:22" x14ac:dyDescent="0.35">
      <c r="A1016" s="12">
        <v>4.75</v>
      </c>
      <c r="B1016">
        <v>16.5625</v>
      </c>
      <c r="C1016" s="12">
        <v>-0.23227065</v>
      </c>
      <c r="D1016" s="12">
        <v>-9.2847820000000004E-5</v>
      </c>
      <c r="E1016" s="12">
        <v>0.76784045999999995</v>
      </c>
      <c r="F1016" s="12">
        <v>-8.5031871999999998E-3</v>
      </c>
      <c r="G1016" s="12">
        <f t="shared" si="164"/>
        <v>1.6524021443883901</v>
      </c>
      <c r="H1016" s="12">
        <f t="shared" si="165"/>
        <v>-3.7736695881527102E-2</v>
      </c>
      <c r="I1016" s="12">
        <f t="shared" si="166"/>
        <v>1.6524753764948299</v>
      </c>
      <c r="J1016" s="12">
        <f t="shared" si="167"/>
        <v>-4.1941324029975899E-2</v>
      </c>
      <c r="K1016" s="7">
        <f t="shared" si="168"/>
        <v>-7.3232106439835603E-5</v>
      </c>
      <c r="L1016" s="7">
        <f t="shared" si="169"/>
        <v>4.2046281484488003E-3</v>
      </c>
      <c r="M1016" s="7">
        <f t="shared" si="170"/>
        <v>0.60476315622222498</v>
      </c>
      <c r="N1016" s="7">
        <f t="shared" si="171"/>
        <v>1.5349437490747801E-2</v>
      </c>
      <c r="O1016" s="12">
        <v>0.1519047</v>
      </c>
      <c r="P1016" s="12">
        <v>-6.1882605999999996</v>
      </c>
      <c r="Q1016" s="12">
        <v>-8.2126123</v>
      </c>
      <c r="R1016" s="12">
        <v>-16.940829000000001</v>
      </c>
      <c r="S1016" s="12">
        <f t="shared" si="172"/>
        <v>3.0413833172671811</v>
      </c>
      <c r="T1016" s="12">
        <f t="shared" si="173"/>
        <v>-27.269452279958962</v>
      </c>
      <c r="U1016" s="8"/>
      <c r="V1016" s="8"/>
    </row>
    <row r="1017" spans="1:22" x14ac:dyDescent="0.35">
      <c r="A1017" s="10">
        <v>4.75</v>
      </c>
      <c r="B1017">
        <v>16.625</v>
      </c>
      <c r="C1017" s="10">
        <v>-0.23238269</v>
      </c>
      <c r="D1017" s="10">
        <v>1.0906749E-2</v>
      </c>
      <c r="E1017" s="10">
        <v>0.76763194999999995</v>
      </c>
      <c r="F1017" s="10">
        <v>2.5032700000000001E-3</v>
      </c>
      <c r="G1017" s="10">
        <f t="shared" si="164"/>
        <v>1.64988861212644</v>
      </c>
      <c r="H1017" s="10">
        <f t="shared" si="165"/>
        <v>6.4134516120536694E-2</v>
      </c>
      <c r="I1017" s="10">
        <f t="shared" si="166"/>
        <v>1.6499135859883201</v>
      </c>
      <c r="J1017" s="10">
        <f t="shared" si="167"/>
        <v>5.9932912309938698E-2</v>
      </c>
      <c r="K1017" s="7">
        <f t="shared" si="168"/>
        <v>-2.4973861880051001E-5</v>
      </c>
      <c r="L1017" s="7">
        <f t="shared" si="169"/>
        <v>4.2016038105980001E-3</v>
      </c>
      <c r="M1017" s="7">
        <f t="shared" si="170"/>
        <v>0.60529366530658602</v>
      </c>
      <c r="N1017" s="7">
        <f t="shared" si="171"/>
        <v>-2.19872194960141E-2</v>
      </c>
      <c r="O1017" s="10">
        <v>-0.13935458000000001</v>
      </c>
      <c r="P1017" s="10">
        <v>-6.1774601999999996</v>
      </c>
      <c r="Q1017" s="10">
        <v>-9.0021790999999993</v>
      </c>
      <c r="R1017" s="10">
        <v>-16.531593000000001</v>
      </c>
      <c r="S1017" s="10">
        <f t="shared" si="172"/>
        <v>3.0463881949092046</v>
      </c>
      <c r="T1017" s="10">
        <f t="shared" si="173"/>
        <v>-27.277943840048874</v>
      </c>
      <c r="U1017" s="8"/>
      <c r="V1017" s="8"/>
    </row>
    <row r="1018" spans="1:22" x14ac:dyDescent="0.35">
      <c r="A1018" s="12">
        <v>4.75</v>
      </c>
      <c r="B1018">
        <v>16.6875</v>
      </c>
      <c r="C1018" s="12">
        <v>-0.2315033</v>
      </c>
      <c r="D1018" s="12">
        <v>2.1620283000000001E-2</v>
      </c>
      <c r="E1018" s="12">
        <v>0.76852750999999997</v>
      </c>
      <c r="F1018" s="12">
        <v>1.3101412E-2</v>
      </c>
      <c r="G1018" s="12">
        <f t="shared" si="164"/>
        <v>1.6478427093794299</v>
      </c>
      <c r="H1018" s="12">
        <f t="shared" si="165"/>
        <v>0.16321216569189601</v>
      </c>
      <c r="I1018" s="12">
        <f t="shared" si="166"/>
        <v>1.6478762557653199</v>
      </c>
      <c r="J1018" s="12">
        <f t="shared" si="167"/>
        <v>0.15895293869395399</v>
      </c>
      <c r="K1018" s="7">
        <f t="shared" si="168"/>
        <v>-3.3546385890037603E-5</v>
      </c>
      <c r="L1018" s="7">
        <f t="shared" si="169"/>
        <v>4.2592269979420099E-3</v>
      </c>
      <c r="M1018" s="7">
        <f t="shared" si="170"/>
        <v>0.60124744173564504</v>
      </c>
      <c r="N1018" s="7">
        <f t="shared" si="171"/>
        <v>-5.7995888594023999E-2</v>
      </c>
      <c r="O1018" s="12">
        <v>-0.42186426999999999</v>
      </c>
      <c r="P1018" s="12">
        <v>-6.1401754999999998</v>
      </c>
      <c r="Q1018" s="12">
        <v>-9.7329909000000008</v>
      </c>
      <c r="R1018" s="12">
        <v>-16.061444000000002</v>
      </c>
      <c r="S1018" s="12">
        <f t="shared" si="172"/>
        <v>3.0514060116661095</v>
      </c>
      <c r="T1018" s="12">
        <f t="shared" si="173"/>
        <v>-27.284863296067677</v>
      </c>
      <c r="U1018" s="8"/>
      <c r="V1018" s="8"/>
    </row>
    <row r="1019" spans="1:22" x14ac:dyDescent="0.35">
      <c r="A1019" s="10">
        <v>4.75</v>
      </c>
      <c r="B1019">
        <v>16.75</v>
      </c>
      <c r="C1019" s="10">
        <v>-0.22971</v>
      </c>
      <c r="D1019" s="10">
        <v>3.1953097E-2</v>
      </c>
      <c r="E1019" s="10">
        <v>0.77033867</v>
      </c>
      <c r="F1019" s="10">
        <v>2.3306271999999999E-2</v>
      </c>
      <c r="G1019" s="10">
        <f t="shared" si="164"/>
        <v>1.6458152584055801</v>
      </c>
      <c r="H1019" s="10">
        <f t="shared" si="165"/>
        <v>0.26029170107948302</v>
      </c>
      <c r="I1019" s="10">
        <f t="shared" si="166"/>
        <v>1.64585828299517</v>
      </c>
      <c r="J1019" s="10">
        <f t="shared" si="167"/>
        <v>0.25596857979568899</v>
      </c>
      <c r="K1019" s="7">
        <f t="shared" si="168"/>
        <v>-4.3024589589935E-5</v>
      </c>
      <c r="L1019" s="7">
        <f t="shared" si="169"/>
        <v>4.32312128379403E-3</v>
      </c>
      <c r="M1019" s="7">
        <f t="shared" si="170"/>
        <v>0.59323689270713797</v>
      </c>
      <c r="N1019" s="7">
        <f t="shared" si="171"/>
        <v>-9.2261895497049204E-2</v>
      </c>
      <c r="O1019" s="10">
        <v>-0.69301075999999995</v>
      </c>
      <c r="P1019" s="10">
        <v>-6.0789483999999998</v>
      </c>
      <c r="Q1019" s="10">
        <v>-10.401414000000001</v>
      </c>
      <c r="R1019" s="10">
        <v>-15.540094</v>
      </c>
      <c r="S1019" s="10">
        <f t="shared" si="172"/>
        <v>3.0563665106898905</v>
      </c>
      <c r="T1019" s="10">
        <f t="shared" si="173"/>
        <v>-27.291746710545649</v>
      </c>
      <c r="U1019" s="8"/>
      <c r="V1019" s="8"/>
    </row>
    <row r="1020" spans="1:22" x14ac:dyDescent="0.35">
      <c r="A1020" s="12">
        <v>4.75</v>
      </c>
      <c r="B1020">
        <v>16.8125</v>
      </c>
      <c r="C1020" s="12">
        <v>-0.22710184999999999</v>
      </c>
      <c r="D1020" s="12">
        <v>4.1790877999999997E-2</v>
      </c>
      <c r="E1020" s="12">
        <v>0.77296220999999998</v>
      </c>
      <c r="F1020" s="12">
        <v>3.3017018000000002E-2</v>
      </c>
      <c r="G1020" s="12">
        <f t="shared" si="164"/>
        <v>1.64377020558257</v>
      </c>
      <c r="H1020" s="12">
        <f t="shared" si="165"/>
        <v>0.35532884287914701</v>
      </c>
      <c r="I1020" s="12">
        <f t="shared" si="166"/>
        <v>1.6438214774920501</v>
      </c>
      <c r="J1020" s="12">
        <f t="shared" si="167"/>
        <v>0.35094227830708802</v>
      </c>
      <c r="K1020" s="7">
        <f t="shared" si="168"/>
        <v>-5.12719094800662E-5</v>
      </c>
      <c r="L1020" s="7">
        <f t="shared" si="169"/>
        <v>4.3865645720589904E-3</v>
      </c>
      <c r="M1020" s="7">
        <f t="shared" si="170"/>
        <v>0.58181995938626296</v>
      </c>
      <c r="N1020" s="7">
        <f t="shared" si="171"/>
        <v>-0.12421374517084099</v>
      </c>
      <c r="O1020" s="12">
        <v>-0.94986625000000002</v>
      </c>
      <c r="P1020" s="12">
        <v>-5.9965998999999996</v>
      </c>
      <c r="Q1020" s="12">
        <v>-11.002916000000001</v>
      </c>
      <c r="R1020" s="12">
        <v>-14.979018</v>
      </c>
      <c r="S1020" s="12">
        <f t="shared" si="172"/>
        <v>3.0612374214946918</v>
      </c>
      <c r="T1020" s="12">
        <f t="shared" si="173"/>
        <v>-27.298422942391813</v>
      </c>
      <c r="U1020" s="8"/>
      <c r="V1020" s="8"/>
    </row>
    <row r="1021" spans="1:22" x14ac:dyDescent="0.35">
      <c r="A1021" s="10">
        <v>4.75</v>
      </c>
      <c r="B1021">
        <v>16.875</v>
      </c>
      <c r="C1021" s="10">
        <v>-0.22378376999999999</v>
      </c>
      <c r="D1021" s="10">
        <v>5.1061416999999998E-2</v>
      </c>
      <c r="E1021" s="10">
        <v>0.77629366</v>
      </c>
      <c r="F1021" s="10">
        <v>4.2159555000000001E-2</v>
      </c>
      <c r="G1021" s="10">
        <f t="shared" si="164"/>
        <v>1.6417117231603799</v>
      </c>
      <c r="H1021" s="10">
        <f t="shared" si="165"/>
        <v>0.44839192818484702</v>
      </c>
      <c r="I1021" s="10">
        <f t="shared" si="166"/>
        <v>1.64177024475522</v>
      </c>
      <c r="J1021" s="10">
        <f t="shared" si="167"/>
        <v>0.44394142996146702</v>
      </c>
      <c r="K1021" s="7">
        <f t="shared" si="168"/>
        <v>-5.85215948400997E-5</v>
      </c>
      <c r="L1021" s="7">
        <f t="shared" si="169"/>
        <v>4.4504982233800096E-3</v>
      </c>
      <c r="M1021" s="7">
        <f t="shared" si="170"/>
        <v>0.56759685988608699</v>
      </c>
      <c r="N1021" s="7">
        <f t="shared" si="171"/>
        <v>-0.153480526538009</v>
      </c>
      <c r="O1021" s="10">
        <v>-1.1906431</v>
      </c>
      <c r="P1021" s="10">
        <v>-5.8960198000000004</v>
      </c>
      <c r="Q1021" s="10">
        <v>-11.536346</v>
      </c>
      <c r="R1021" s="10">
        <v>-14.388522</v>
      </c>
      <c r="S1021" s="10">
        <f t="shared" si="172"/>
        <v>3.0660250950207391</v>
      </c>
      <c r="T1021" s="10">
        <f t="shared" si="173"/>
        <v>-27.304960370184784</v>
      </c>
      <c r="U1021" s="8"/>
      <c r="V1021" s="8"/>
    </row>
    <row r="1022" spans="1:22" x14ac:dyDescent="0.35">
      <c r="A1022" s="12">
        <v>4.75</v>
      </c>
      <c r="B1022">
        <v>16.9375</v>
      </c>
      <c r="C1022" s="12">
        <v>-0.21981418</v>
      </c>
      <c r="D1022" s="12">
        <v>5.9791666E-2</v>
      </c>
      <c r="E1022" s="12">
        <v>0.78029585000000001</v>
      </c>
      <c r="F1022" s="12">
        <v>5.0639248999999997E-2</v>
      </c>
      <c r="G1022" s="12">
        <f t="shared" si="164"/>
        <v>1.64007714486356</v>
      </c>
      <c r="H1022" s="12">
        <f t="shared" si="165"/>
        <v>0.54000114838977797</v>
      </c>
      <c r="I1022" s="12">
        <f t="shared" si="166"/>
        <v>1.64015309462695</v>
      </c>
      <c r="J1022" s="12">
        <f t="shared" si="167"/>
        <v>0.53542553917887203</v>
      </c>
      <c r="K1022" s="7">
        <f t="shared" si="168"/>
        <v>-7.5949763389981898E-5</v>
      </c>
      <c r="L1022" s="7">
        <f t="shared" si="169"/>
        <v>4.5756092109059399E-3</v>
      </c>
      <c r="M1022" s="7">
        <f t="shared" si="170"/>
        <v>0.55098180483384296</v>
      </c>
      <c r="N1022" s="7">
        <f t="shared" si="171"/>
        <v>-0.179867190994148</v>
      </c>
      <c r="O1022" s="12">
        <v>-1.4162428</v>
      </c>
      <c r="P1022" s="12">
        <v>-5.7782989999999996</v>
      </c>
      <c r="Q1022" s="12">
        <v>-12.006855</v>
      </c>
      <c r="R1022" s="12">
        <v>-13.771430000000001</v>
      </c>
      <c r="S1022" s="12">
        <f t="shared" si="172"/>
        <v>3.0710461413168306</v>
      </c>
      <c r="T1022" s="12">
        <f t="shared" si="173"/>
        <v>-27.3125635958808</v>
      </c>
      <c r="U1022" s="8"/>
      <c r="V1022" s="8"/>
    </row>
    <row r="1023" spans="1:22" x14ac:dyDescent="0.35">
      <c r="A1023" s="10">
        <v>4.75</v>
      </c>
      <c r="B1023">
        <v>17</v>
      </c>
      <c r="C1023" s="10">
        <v>-0.21542960999999999</v>
      </c>
      <c r="D1023" s="10">
        <v>6.7737530000000004E-2</v>
      </c>
      <c r="E1023" s="10">
        <v>0.78467967000000005</v>
      </c>
      <c r="F1023" s="10">
        <v>5.8449923000000001E-2</v>
      </c>
      <c r="G1023" s="10">
        <f t="shared" si="164"/>
        <v>1.63800994611916</v>
      </c>
      <c r="H1023" s="10">
        <f t="shared" si="165"/>
        <v>0.628659090210135</v>
      </c>
      <c r="I1023" s="10">
        <f t="shared" si="166"/>
        <v>1.6380861440453001</v>
      </c>
      <c r="J1023" s="10">
        <f t="shared" si="167"/>
        <v>0.62401589426255799</v>
      </c>
      <c r="K1023" s="7">
        <f t="shared" si="168"/>
        <v>-7.6197926140109104E-5</v>
      </c>
      <c r="L1023" s="7">
        <f t="shared" si="169"/>
        <v>4.64319594757701E-3</v>
      </c>
      <c r="M1023" s="7">
        <f t="shared" si="170"/>
        <v>0.53310586396494797</v>
      </c>
      <c r="N1023" s="7">
        <f t="shared" si="171"/>
        <v>-0.20308244083987601</v>
      </c>
      <c r="O1023" s="10">
        <v>-1.6201615</v>
      </c>
      <c r="P1023" s="10">
        <v>-5.6509543000000004</v>
      </c>
      <c r="Q1023" s="10">
        <v>-12.403973000000001</v>
      </c>
      <c r="R1023" s="10">
        <v>-13.153988</v>
      </c>
      <c r="S1023" s="10">
        <f t="shared" si="172"/>
        <v>3.075548068378319</v>
      </c>
      <c r="T1023" s="10">
        <f t="shared" si="173"/>
        <v>-27.321195071648667</v>
      </c>
      <c r="U1023" s="8"/>
      <c r="V1023" s="8"/>
    </row>
    <row r="1024" spans="1:22" x14ac:dyDescent="0.35">
      <c r="A1024" s="12">
        <v>4.875</v>
      </c>
      <c r="B1024">
        <v>15</v>
      </c>
      <c r="C1024" s="12">
        <v>-7.1089860000000005E-2</v>
      </c>
      <c r="D1024" s="12">
        <v>-0.10489001000000001</v>
      </c>
      <c r="E1024" s="12">
        <v>0.92891458000000005</v>
      </c>
      <c r="F1024" s="12">
        <v>-0.11103866</v>
      </c>
      <c r="G1024" s="12">
        <f t="shared" si="164"/>
        <v>1.6271247072862101</v>
      </c>
      <c r="H1024" s="12">
        <f t="shared" si="165"/>
        <v>-3.2290418248620898</v>
      </c>
      <c r="I1024" s="12">
        <f t="shared" si="166"/>
        <v>1.62713637860322</v>
      </c>
      <c r="J1024" s="12">
        <f t="shared" si="167"/>
        <v>-3.2321161071557598</v>
      </c>
      <c r="K1024" s="7">
        <f t="shared" si="168"/>
        <v>-1.16713170099647E-5</v>
      </c>
      <c r="L1024" s="7">
        <f t="shared" si="169"/>
        <v>3.07428229367002E-3</v>
      </c>
      <c r="M1024" s="7">
        <f t="shared" si="170"/>
        <v>0.12426440135835901</v>
      </c>
      <c r="N1024" s="7">
        <f t="shared" si="171"/>
        <v>0.24683669940512301</v>
      </c>
      <c r="O1024" s="12">
        <v>3.0493947000000001</v>
      </c>
      <c r="P1024" s="12">
        <v>-1.9794434000000001</v>
      </c>
      <c r="Q1024" s="12">
        <v>5.2285262000000001</v>
      </c>
      <c r="R1024" s="12">
        <v>-9.0677024999999993</v>
      </c>
      <c r="S1024" s="12">
        <f t="shared" si="172"/>
        <v>2.8791276109809063</v>
      </c>
      <c r="T1024" s="12">
        <f t="shared" si="173"/>
        <v>-27.043152192544749</v>
      </c>
      <c r="U1024" s="8"/>
      <c r="V1024" s="8"/>
    </row>
    <row r="1025" spans="1:22" x14ac:dyDescent="0.35">
      <c r="A1025" s="10">
        <v>4.875</v>
      </c>
      <c r="B1025">
        <v>15.0625</v>
      </c>
      <c r="C1025" s="10">
        <v>-7.6196108999999998E-2</v>
      </c>
      <c r="D1025" s="10">
        <v>-0.10697237</v>
      </c>
      <c r="E1025" s="10">
        <v>0.92384378</v>
      </c>
      <c r="F1025" s="10">
        <v>-0.11331743</v>
      </c>
      <c r="G1025" s="10">
        <f t="shared" si="164"/>
        <v>1.62369307636184</v>
      </c>
      <c r="H1025" s="10">
        <f t="shared" si="165"/>
        <v>-3.06913305686385</v>
      </c>
      <c r="I1025" s="10">
        <f t="shared" si="166"/>
        <v>1.62372308470718</v>
      </c>
      <c r="J1025" s="10">
        <f t="shared" si="167"/>
        <v>-3.0723054283901101</v>
      </c>
      <c r="K1025" s="7">
        <f t="shared" si="168"/>
        <v>-3.0008345339949099E-5</v>
      </c>
      <c r="L1025" s="7">
        <f t="shared" si="169"/>
        <v>3.1723715262601498E-3</v>
      </c>
      <c r="M1025" s="7">
        <f t="shared" si="170"/>
        <v>0.13446383744396401</v>
      </c>
      <c r="N1025" s="7">
        <f t="shared" si="171"/>
        <v>0.25442391106717399</v>
      </c>
      <c r="O1025" s="10">
        <v>3.0955845000000002</v>
      </c>
      <c r="P1025" s="10">
        <v>-2.1133826</v>
      </c>
      <c r="Q1025" s="10">
        <v>5.1873665000000004</v>
      </c>
      <c r="R1025" s="10">
        <v>-9.5056417999999994</v>
      </c>
      <c r="S1025" s="10">
        <f t="shared" si="172"/>
        <v>2.8891020986692197</v>
      </c>
      <c r="T1025" s="10">
        <f t="shared" si="173"/>
        <v>-27.056367756785029</v>
      </c>
      <c r="U1025" s="8"/>
      <c r="V1025" s="8"/>
    </row>
    <row r="1026" spans="1:22" x14ac:dyDescent="0.35">
      <c r="A1026" s="12">
        <v>4.875</v>
      </c>
      <c r="B1026">
        <v>15.125</v>
      </c>
      <c r="C1026" s="12">
        <v>-8.1651136999999999E-2</v>
      </c>
      <c r="D1026" s="12">
        <v>-0.10890126999999999</v>
      </c>
      <c r="E1026" s="12">
        <v>0.91838288999999995</v>
      </c>
      <c r="F1026" s="12">
        <v>-0.11533358</v>
      </c>
      <c r="G1026" s="12">
        <f t="shared" si="164"/>
        <v>1.62206768561285</v>
      </c>
      <c r="H1026" s="12">
        <f t="shared" si="165"/>
        <v>-2.9128876476371701</v>
      </c>
      <c r="I1026" s="12">
        <f t="shared" si="166"/>
        <v>1.6220950418414699</v>
      </c>
      <c r="J1026" s="12">
        <f t="shared" si="167"/>
        <v>-2.9161036599396701</v>
      </c>
      <c r="K1026" s="7">
        <f t="shared" si="168"/>
        <v>-2.7356228619934701E-5</v>
      </c>
      <c r="L1026" s="7">
        <f t="shared" si="169"/>
        <v>3.2160123025000201E-3</v>
      </c>
      <c r="M1026" s="7">
        <f t="shared" si="170"/>
        <v>0.145677276501263</v>
      </c>
      <c r="N1026" s="7">
        <f t="shared" si="171"/>
        <v>0.26188973408926502</v>
      </c>
      <c r="O1026" s="12">
        <v>3.1395426</v>
      </c>
      <c r="P1026" s="12">
        <v>-2.2572703000000001</v>
      </c>
      <c r="Q1026" s="12">
        <v>5.1238336999999996</v>
      </c>
      <c r="R1026" s="12">
        <v>-9.9630407000000005</v>
      </c>
      <c r="S1026" s="12">
        <f t="shared" si="172"/>
        <v>2.8973415129669271</v>
      </c>
      <c r="T1026" s="12">
        <f t="shared" si="173"/>
        <v>-27.068557078696006</v>
      </c>
      <c r="U1026" s="8"/>
      <c r="V1026" s="8"/>
    </row>
    <row r="1027" spans="1:22" x14ac:dyDescent="0.35">
      <c r="A1027" s="10">
        <v>4.875</v>
      </c>
      <c r="B1027">
        <v>15.1875</v>
      </c>
      <c r="C1027" s="10">
        <v>-8.7463933999999993E-2</v>
      </c>
      <c r="D1027" s="10">
        <v>-0.11063998</v>
      </c>
      <c r="E1027" s="10">
        <v>0.91254141</v>
      </c>
      <c r="F1027" s="10">
        <v>-0.11702725</v>
      </c>
      <c r="G1027" s="10">
        <f t="shared" si="164"/>
        <v>1.6220605132461099</v>
      </c>
      <c r="H1027" s="10">
        <f t="shared" si="165"/>
        <v>-2.7603408529726599</v>
      </c>
      <c r="I1027" s="10">
        <f t="shared" si="166"/>
        <v>1.6220733843577</v>
      </c>
      <c r="J1027" s="10">
        <f t="shared" si="167"/>
        <v>-2.7635344383337599</v>
      </c>
      <c r="K1027" s="7">
        <f t="shared" si="168"/>
        <v>-1.28711115900959E-5</v>
      </c>
      <c r="L1027" s="7">
        <f t="shared" si="169"/>
        <v>3.1935853611000401E-3</v>
      </c>
      <c r="M1027" s="7">
        <f t="shared" si="170"/>
        <v>0.15796988080083799</v>
      </c>
      <c r="N1027" s="7">
        <f t="shared" si="171"/>
        <v>0.26913406632675901</v>
      </c>
      <c r="O1027" s="10">
        <v>3.1788145999999999</v>
      </c>
      <c r="P1027" s="10">
        <v>-2.4106519</v>
      </c>
      <c r="Q1027" s="10">
        <v>5.0342590999999999</v>
      </c>
      <c r="R1027" s="10">
        <v>-10.438959000000001</v>
      </c>
      <c r="S1027" s="10">
        <f t="shared" si="172"/>
        <v>2.904991597574365</v>
      </c>
      <c r="T1027" s="10">
        <f t="shared" si="173"/>
        <v>-27.079157709661647</v>
      </c>
      <c r="U1027" s="8"/>
      <c r="V1027" s="8"/>
    </row>
    <row r="1028" spans="1:22" x14ac:dyDescent="0.35">
      <c r="A1028" s="12">
        <v>4.875</v>
      </c>
      <c r="B1028">
        <v>15.25</v>
      </c>
      <c r="C1028" s="12">
        <v>-9.3656729999999994E-2</v>
      </c>
      <c r="D1028" s="12">
        <v>-0.11214855999999999</v>
      </c>
      <c r="E1028" s="12">
        <v>0.90635220000000005</v>
      </c>
      <c r="F1028" s="12">
        <v>-0.1186252</v>
      </c>
      <c r="G1028" s="12">
        <f t="shared" si="164"/>
        <v>1.62027277985957</v>
      </c>
      <c r="H1028" s="12">
        <f t="shared" si="165"/>
        <v>-2.6107311805020199</v>
      </c>
      <c r="I1028" s="12">
        <f t="shared" si="166"/>
        <v>1.6202877313056201</v>
      </c>
      <c r="J1028" s="12">
        <f t="shared" si="167"/>
        <v>-2.6139694376256402</v>
      </c>
      <c r="K1028" s="7">
        <f t="shared" si="168"/>
        <v>-1.49514460501265E-5</v>
      </c>
      <c r="L1028" s="7">
        <f t="shared" si="169"/>
        <v>3.2382571236202499E-3</v>
      </c>
      <c r="M1028" s="7">
        <f t="shared" si="170"/>
        <v>0.171310938498906</v>
      </c>
      <c r="N1028" s="7">
        <f t="shared" si="171"/>
        <v>0.276371627652991</v>
      </c>
      <c r="O1028" s="12">
        <v>3.2122573999999999</v>
      </c>
      <c r="P1028" s="12">
        <v>-2.5740143999999998</v>
      </c>
      <c r="Q1028" s="12">
        <v>4.9143758000000002</v>
      </c>
      <c r="R1028" s="12">
        <v>-10.932982000000001</v>
      </c>
      <c r="S1028" s="12">
        <f t="shared" si="172"/>
        <v>2.9119913847273211</v>
      </c>
      <c r="T1028" s="12">
        <f t="shared" si="173"/>
        <v>-27.090530683183946</v>
      </c>
      <c r="U1028" s="8"/>
      <c r="V1028" s="8"/>
    </row>
    <row r="1029" spans="1:22" x14ac:dyDescent="0.35">
      <c r="A1029" s="10">
        <v>4.875</v>
      </c>
      <c r="B1029">
        <v>15.3125</v>
      </c>
      <c r="C1029" s="10">
        <v>-0.10023277</v>
      </c>
      <c r="D1029" s="10">
        <v>-0.11337786</v>
      </c>
      <c r="E1029" s="10">
        <v>0.89977910999999999</v>
      </c>
      <c r="F1029" s="10">
        <v>-0.11994496</v>
      </c>
      <c r="G1029" s="10">
        <f t="shared" si="164"/>
        <v>1.6184771664044</v>
      </c>
      <c r="H1029" s="10">
        <f t="shared" si="165"/>
        <v>-2.4642200344873899</v>
      </c>
      <c r="I1029" s="10">
        <f t="shared" si="166"/>
        <v>1.6184938877613499</v>
      </c>
      <c r="J1029" s="10">
        <f t="shared" si="167"/>
        <v>-2.4675035100781302</v>
      </c>
      <c r="K1029" s="7">
        <f t="shared" si="168"/>
        <v>-1.67213569499669E-5</v>
      </c>
      <c r="L1029" s="7">
        <f t="shared" si="169"/>
        <v>3.2834755907402702E-3</v>
      </c>
      <c r="M1029" s="7">
        <f t="shared" si="170"/>
        <v>0.18586082203162499</v>
      </c>
      <c r="N1029" s="7">
        <f t="shared" si="171"/>
        <v>0.28335740667107501</v>
      </c>
      <c r="O1029" s="10">
        <v>3.2381769999999999</v>
      </c>
      <c r="P1029" s="10">
        <v>-2.7472078</v>
      </c>
      <c r="Q1029" s="10">
        <v>4.7606701999999999</v>
      </c>
      <c r="R1029" s="10">
        <v>-11.443588999999999</v>
      </c>
      <c r="S1029" s="10">
        <f t="shared" si="172"/>
        <v>2.9187049170578541</v>
      </c>
      <c r="T1029" s="10">
        <f t="shared" si="173"/>
        <v>-27.101463920334869</v>
      </c>
      <c r="U1029" s="8"/>
      <c r="V1029" s="8"/>
    </row>
    <row r="1030" spans="1:22" x14ac:dyDescent="0.35">
      <c r="A1030" s="12">
        <v>4.875</v>
      </c>
      <c r="B1030">
        <v>15.375</v>
      </c>
      <c r="C1030" s="12">
        <v>-0.10720144</v>
      </c>
      <c r="D1030" s="12">
        <v>-0.11427376</v>
      </c>
      <c r="E1030" s="12">
        <v>0.89281421999999999</v>
      </c>
      <c r="F1030" s="12">
        <v>-0.12093333000000001</v>
      </c>
      <c r="G1030" s="12">
        <f t="shared" si="164"/>
        <v>1.6166790573437799</v>
      </c>
      <c r="H1030" s="12">
        <f t="shared" si="165"/>
        <v>-2.3205824681289302</v>
      </c>
      <c r="I1030" s="12">
        <f t="shared" si="166"/>
        <v>1.61669797436725</v>
      </c>
      <c r="J1030" s="12">
        <f t="shared" si="167"/>
        <v>-2.3239121640678002</v>
      </c>
      <c r="K1030" s="7">
        <f t="shared" si="168"/>
        <v>-1.8917023470121898E-5</v>
      </c>
      <c r="L1030" s="7">
        <f t="shared" si="169"/>
        <v>3.3296959388700001E-3</v>
      </c>
      <c r="M1030" s="7">
        <f t="shared" si="170"/>
        <v>0.20172716162806201</v>
      </c>
      <c r="N1030" s="7">
        <f t="shared" si="171"/>
        <v>0.28997141838679102</v>
      </c>
      <c r="O1030" s="12">
        <v>3.2548968</v>
      </c>
      <c r="P1030" s="12">
        <v>-2.9302022000000001</v>
      </c>
      <c r="Q1030" s="12">
        <v>4.5689817000000001</v>
      </c>
      <c r="R1030" s="12">
        <v>-11.969434</v>
      </c>
      <c r="S1030" s="12">
        <f t="shared" si="172"/>
        <v>2.9253770357686517</v>
      </c>
      <c r="T1030" s="12">
        <f t="shared" si="173"/>
        <v>-27.112161215802022</v>
      </c>
      <c r="U1030" s="8"/>
      <c r="V1030" s="8"/>
    </row>
    <row r="1031" spans="1:22" x14ac:dyDescent="0.35">
      <c r="A1031" s="10">
        <v>4.875</v>
      </c>
      <c r="B1031">
        <v>15.4375</v>
      </c>
      <c r="C1031" s="10">
        <v>-0.11456022</v>
      </c>
      <c r="D1031" s="10">
        <v>-0.11477552000000001</v>
      </c>
      <c r="E1031" s="10">
        <v>0.88545969000000002</v>
      </c>
      <c r="F1031" s="10">
        <v>-0.12152958</v>
      </c>
      <c r="G1031" s="10">
        <f t="shared" si="164"/>
        <v>1.61488409423338</v>
      </c>
      <c r="H1031" s="10">
        <f t="shared" si="165"/>
        <v>-2.1797138286859399</v>
      </c>
      <c r="I1031" s="10">
        <f t="shared" si="166"/>
        <v>1.61490545299526</v>
      </c>
      <c r="J1031" s="10">
        <f t="shared" si="167"/>
        <v>-2.1830907529394898</v>
      </c>
      <c r="K1031" s="7">
        <f t="shared" si="168"/>
        <v>-2.1358761880030399E-5</v>
      </c>
      <c r="L1031" s="7">
        <f t="shared" si="169"/>
        <v>3.37692425354996E-3</v>
      </c>
      <c r="M1031" s="7">
        <f t="shared" si="170"/>
        <v>0.219005721491596</v>
      </c>
      <c r="N1031" s="7">
        <f t="shared" si="171"/>
        <v>0.29606028299821902</v>
      </c>
      <c r="O1031" s="10">
        <v>3.2609241999999998</v>
      </c>
      <c r="P1031" s="10">
        <v>-3.1229453999999999</v>
      </c>
      <c r="Q1031" s="10">
        <v>4.3350681</v>
      </c>
      <c r="R1031" s="10">
        <v>-12.508018</v>
      </c>
      <c r="S1031" s="10">
        <f t="shared" si="172"/>
        <v>2.9319078884682157</v>
      </c>
      <c r="T1031" s="10">
        <f t="shared" si="173"/>
        <v>-27.122725123909767</v>
      </c>
      <c r="U1031" s="8"/>
      <c r="V1031" s="8"/>
    </row>
    <row r="1032" spans="1:22" x14ac:dyDescent="0.35">
      <c r="A1032" s="12">
        <v>4.875</v>
      </c>
      <c r="B1032">
        <v>15.5</v>
      </c>
      <c r="C1032" s="12">
        <v>-0.12229569</v>
      </c>
      <c r="D1032" s="12">
        <v>-0.11481740999999999</v>
      </c>
      <c r="E1032" s="12">
        <v>0.87772846000000004</v>
      </c>
      <c r="F1032" s="12">
        <v>-0.12166804000000001</v>
      </c>
      <c r="G1032" s="12">
        <f t="shared" si="164"/>
        <v>1.6130899088866699</v>
      </c>
      <c r="H1032" s="12">
        <f t="shared" si="165"/>
        <v>-2.0415612841325399</v>
      </c>
      <c r="I1032" s="12">
        <f t="shared" si="166"/>
        <v>1.61311371596106</v>
      </c>
      <c r="J1032" s="12">
        <f t="shared" si="167"/>
        <v>-2.0449864762266201</v>
      </c>
      <c r="K1032" s="7">
        <f t="shared" si="168"/>
        <v>-2.3807074390092001E-5</v>
      </c>
      <c r="L1032" s="7">
        <f t="shared" si="169"/>
        <v>3.4251920940802098E-3</v>
      </c>
      <c r="M1032" s="7">
        <f t="shared" si="170"/>
        <v>0.23777839310013901</v>
      </c>
      <c r="N1032" s="7">
        <f t="shared" si="171"/>
        <v>0.30143789208250699</v>
      </c>
      <c r="O1032" s="12">
        <v>3.2545142999999999</v>
      </c>
      <c r="P1032" s="12">
        <v>-3.3249773</v>
      </c>
      <c r="Q1032" s="12">
        <v>4.0548219999999997</v>
      </c>
      <c r="R1032" s="12">
        <v>-13.055967000000001</v>
      </c>
      <c r="S1032" s="12">
        <f t="shared" si="172"/>
        <v>2.9383413057196774</v>
      </c>
      <c r="T1032" s="12">
        <f t="shared" si="173"/>
        <v>-27.133066831467644</v>
      </c>
      <c r="U1032" s="8"/>
      <c r="V1032" s="8"/>
    </row>
    <row r="1033" spans="1:22" x14ac:dyDescent="0.35">
      <c r="A1033" s="10">
        <v>4.875</v>
      </c>
      <c r="B1033">
        <v>15.5625</v>
      </c>
      <c r="C1033" s="10">
        <v>-0.13038649999999999</v>
      </c>
      <c r="D1033" s="10">
        <v>-0.1143294</v>
      </c>
      <c r="E1033" s="10">
        <v>0.86964185999999999</v>
      </c>
      <c r="F1033" s="10">
        <v>-0.12127874</v>
      </c>
      <c r="G1033" s="10">
        <f t="shared" si="164"/>
        <v>1.61129723482867</v>
      </c>
      <c r="H1033" s="10">
        <f t="shared" si="165"/>
        <v>-1.90603697418144</v>
      </c>
      <c r="I1033" s="10">
        <f t="shared" si="166"/>
        <v>1.6113234872998801</v>
      </c>
      <c r="J1033" s="10">
        <f t="shared" si="167"/>
        <v>-1.9095115036939401</v>
      </c>
      <c r="K1033" s="7">
        <f t="shared" si="168"/>
        <v>-2.62524712100198E-5</v>
      </c>
      <c r="L1033" s="7">
        <f t="shared" si="169"/>
        <v>3.4745295125000498E-3</v>
      </c>
      <c r="M1033" s="7">
        <f t="shared" si="170"/>
        <v>0.25811746967809102</v>
      </c>
      <c r="N1033" s="7">
        <f t="shared" si="171"/>
        <v>0.305884126644621</v>
      </c>
      <c r="O1033" s="10">
        <v>3.2338358</v>
      </c>
      <c r="P1033" s="10">
        <v>-3.5356217999999999</v>
      </c>
      <c r="Q1033" s="10">
        <v>3.7241224000000002</v>
      </c>
      <c r="R1033" s="10">
        <v>-13.609166999999999</v>
      </c>
      <c r="S1033" s="10">
        <f t="shared" si="172"/>
        <v>2.9447076556264209</v>
      </c>
      <c r="T1033" s="10">
        <f t="shared" si="173"/>
        <v>-27.143200969647165</v>
      </c>
      <c r="U1033" s="8"/>
      <c r="V1033" s="8"/>
    </row>
    <row r="1034" spans="1:22" x14ac:dyDescent="0.35">
      <c r="A1034" s="12">
        <v>4.875</v>
      </c>
      <c r="B1034">
        <v>15.625</v>
      </c>
      <c r="C1034" s="12">
        <v>-0.13882140000000001</v>
      </c>
      <c r="D1034" s="12">
        <v>-0.11323185</v>
      </c>
      <c r="E1034" s="12">
        <v>0.86121261999999998</v>
      </c>
      <c r="F1034" s="12">
        <v>-0.12028405</v>
      </c>
      <c r="G1034" s="12">
        <f t="shared" si="164"/>
        <v>1.6095336347020499</v>
      </c>
      <c r="H1034" s="12">
        <f t="shared" si="165"/>
        <v>-1.7727237138760801</v>
      </c>
      <c r="I1034" s="12">
        <f t="shared" si="166"/>
        <v>1.6095630770048901</v>
      </c>
      <c r="J1034" s="12">
        <f t="shared" si="167"/>
        <v>-1.77624965008339</v>
      </c>
      <c r="K1034" s="7">
        <f t="shared" si="168"/>
        <v>-2.9442302840187999E-5</v>
      </c>
      <c r="L1034" s="7">
        <f t="shared" si="169"/>
        <v>3.5259362073099001E-3</v>
      </c>
      <c r="M1034" s="7">
        <f t="shared" si="170"/>
        <v>0.28013076849614799</v>
      </c>
      <c r="N1034" s="7">
        <f t="shared" si="171"/>
        <v>0.30914114931412701</v>
      </c>
      <c r="O1034" s="12">
        <v>3.1969145999999999</v>
      </c>
      <c r="P1034" s="12">
        <v>-3.7545462999999999</v>
      </c>
      <c r="Q1034" s="12">
        <v>3.3378909000000001</v>
      </c>
      <c r="R1034" s="12">
        <v>-14.163921999999999</v>
      </c>
      <c r="S1034" s="12">
        <f t="shared" si="172"/>
        <v>2.9509794612337203</v>
      </c>
      <c r="T1034" s="12">
        <f t="shared" si="173"/>
        <v>-27.153210019979774</v>
      </c>
      <c r="U1034" s="8"/>
      <c r="V1034" s="8"/>
    </row>
    <row r="1035" spans="1:22" x14ac:dyDescent="0.35">
      <c r="A1035" s="10">
        <v>4.875</v>
      </c>
      <c r="B1035">
        <v>15.6875</v>
      </c>
      <c r="C1035" s="10">
        <v>-0.14751022999999999</v>
      </c>
      <c r="D1035" s="10">
        <v>-0.11146127</v>
      </c>
      <c r="E1035" s="10">
        <v>0.85247751999999999</v>
      </c>
      <c r="F1035" s="10">
        <v>-0.11874832</v>
      </c>
      <c r="G1035" s="10">
        <f t="shared" si="164"/>
        <v>1.6067596265483</v>
      </c>
      <c r="H1035" s="10">
        <f t="shared" si="165"/>
        <v>-1.6420539062069299</v>
      </c>
      <c r="I1035" s="10">
        <f t="shared" si="166"/>
        <v>1.6067667768529099</v>
      </c>
      <c r="J1035" s="10">
        <f t="shared" si="167"/>
        <v>-1.64569742747118</v>
      </c>
      <c r="K1035" s="7">
        <f t="shared" si="168"/>
        <v>-7.1503046099596901E-6</v>
      </c>
      <c r="L1035" s="7">
        <f t="shared" si="169"/>
        <v>3.6435212642500501E-3</v>
      </c>
      <c r="M1035" s="7">
        <f t="shared" si="170"/>
        <v>0.30373551127087101</v>
      </c>
      <c r="N1035" s="7">
        <f t="shared" si="171"/>
        <v>0.31109477537814201</v>
      </c>
      <c r="O1035" s="10">
        <v>3.1422138999999998</v>
      </c>
      <c r="P1035" s="10">
        <v>-3.9792127000000002</v>
      </c>
      <c r="Q1035" s="10">
        <v>2.8947123000000001</v>
      </c>
      <c r="R1035" s="10">
        <v>-14.711124999999999</v>
      </c>
      <c r="S1035" s="10">
        <f t="shared" si="172"/>
        <v>2.957084315572279</v>
      </c>
      <c r="T1035" s="10">
        <f t="shared" si="173"/>
        <v>-27.164748714177257</v>
      </c>
      <c r="U1035" s="8"/>
      <c r="V1035" s="8"/>
    </row>
    <row r="1036" spans="1:22" x14ac:dyDescent="0.35">
      <c r="A1036" s="12">
        <v>4.875</v>
      </c>
      <c r="B1036">
        <v>15.75</v>
      </c>
      <c r="C1036" s="12">
        <v>-0.15640128</v>
      </c>
      <c r="D1036" s="12">
        <v>-0.10894404000000001</v>
      </c>
      <c r="E1036" s="12">
        <v>0.84358045999999998</v>
      </c>
      <c r="F1036" s="12">
        <v>-0.11633294</v>
      </c>
      <c r="G1036" s="12">
        <f t="shared" si="164"/>
        <v>1.60502440471799</v>
      </c>
      <c r="H1036" s="12">
        <f t="shared" si="165"/>
        <v>-1.5140814369009801</v>
      </c>
      <c r="I1036" s="12">
        <f t="shared" si="166"/>
        <v>1.60502892378299</v>
      </c>
      <c r="J1036" s="12">
        <f t="shared" si="167"/>
        <v>-1.5177759039359999</v>
      </c>
      <c r="K1036" s="7">
        <f t="shared" si="168"/>
        <v>-4.519064999986E-6</v>
      </c>
      <c r="L1036" s="7">
        <f t="shared" si="169"/>
        <v>3.6944670350198502E-3</v>
      </c>
      <c r="M1036" s="7">
        <f t="shared" si="170"/>
        <v>0.32891544194938599</v>
      </c>
      <c r="N1036" s="7">
        <f t="shared" si="171"/>
        <v>0.31103485103969197</v>
      </c>
      <c r="O1036" s="12">
        <v>3.0676209000000001</v>
      </c>
      <c r="P1036" s="12">
        <v>-4.2082468999999998</v>
      </c>
      <c r="Q1036" s="12">
        <v>2.3916232000000002</v>
      </c>
      <c r="R1036" s="12">
        <v>-15.244935999999999</v>
      </c>
      <c r="S1036" s="12">
        <f t="shared" si="172"/>
        <v>2.9632153404956503</v>
      </c>
      <c r="T1036" s="12">
        <f t="shared" si="173"/>
        <v>-27.174466870556515</v>
      </c>
      <c r="U1036" s="8"/>
      <c r="V1036" s="8"/>
    </row>
    <row r="1037" spans="1:22" x14ac:dyDescent="0.35">
      <c r="A1037" s="10">
        <v>4.875</v>
      </c>
      <c r="B1037">
        <v>15.8125</v>
      </c>
      <c r="C1037" s="10">
        <v>-0.16541834999999999</v>
      </c>
      <c r="D1037" s="10">
        <v>-0.10561319</v>
      </c>
      <c r="E1037" s="10">
        <v>0.83455674000000002</v>
      </c>
      <c r="F1037" s="10">
        <v>-0.11310526</v>
      </c>
      <c r="G1037" s="10">
        <f t="shared" si="164"/>
        <v>1.60328299520753</v>
      </c>
      <c r="H1037" s="10">
        <f t="shared" si="165"/>
        <v>-1.38851785452017</v>
      </c>
      <c r="I1037" s="10">
        <f t="shared" si="166"/>
        <v>1.6032845731580501</v>
      </c>
      <c r="J1037" s="10">
        <f t="shared" si="167"/>
        <v>-1.3922639302664801</v>
      </c>
      <c r="K1037" s="7">
        <f t="shared" si="168"/>
        <v>-1.5779505200264099E-6</v>
      </c>
      <c r="L1037" s="7">
        <f t="shared" si="169"/>
        <v>3.7460757463101402E-3</v>
      </c>
      <c r="M1037" s="7">
        <f t="shared" si="170"/>
        <v>0.35558059928142799</v>
      </c>
      <c r="N1037" s="7">
        <f t="shared" si="171"/>
        <v>0.30877989532883099</v>
      </c>
      <c r="O1037" s="10">
        <v>2.9716577000000002</v>
      </c>
      <c r="P1037" s="10">
        <v>-4.4395834000000001</v>
      </c>
      <c r="Q1037" s="10">
        <v>1.8266640999999999</v>
      </c>
      <c r="R1037" s="10">
        <v>-15.757246</v>
      </c>
      <c r="S1037" s="10">
        <f t="shared" si="172"/>
        <v>2.9692524425095725</v>
      </c>
      <c r="T1037" s="10">
        <f t="shared" si="173"/>
        <v>-27.18405771001138</v>
      </c>
      <c r="U1037" s="8"/>
      <c r="V1037" s="8"/>
    </row>
    <row r="1038" spans="1:22" x14ac:dyDescent="0.35">
      <c r="A1038" s="12">
        <v>4.875</v>
      </c>
      <c r="B1038">
        <v>15.875</v>
      </c>
      <c r="C1038" s="12">
        <v>-0.17446396</v>
      </c>
      <c r="D1038" s="12">
        <v>-0.10141221</v>
      </c>
      <c r="E1038" s="12">
        <v>0.82550398999999997</v>
      </c>
      <c r="F1038" s="12">
        <v>-0.10900867</v>
      </c>
      <c r="G1038" s="12">
        <f t="shared" si="164"/>
        <v>1.60153620678037</v>
      </c>
      <c r="H1038" s="12">
        <f t="shared" si="165"/>
        <v>-1.2653147667348299</v>
      </c>
      <c r="I1038" s="12">
        <f t="shared" si="166"/>
        <v>1.6015346085601401</v>
      </c>
      <c r="J1038" s="12">
        <f t="shared" si="167"/>
        <v>-1.26911306367295</v>
      </c>
      <c r="K1038" s="7">
        <f t="shared" si="168"/>
        <v>1.59822022993694E-6</v>
      </c>
      <c r="L1038" s="7">
        <f t="shared" si="169"/>
        <v>3.79829693812006E-3</v>
      </c>
      <c r="M1038" s="7">
        <f t="shared" si="170"/>
        <v>0.383549559305771</v>
      </c>
      <c r="N1038" s="7">
        <f t="shared" si="171"/>
        <v>0.30393833119759101</v>
      </c>
      <c r="O1038" s="12">
        <v>2.8529678000000001</v>
      </c>
      <c r="P1038" s="12">
        <v>-4.6706083999999999</v>
      </c>
      <c r="Q1038" s="12">
        <v>1.1995074999999999</v>
      </c>
      <c r="R1038" s="12">
        <v>-16.239097000000001</v>
      </c>
      <c r="S1038" s="12">
        <f t="shared" si="172"/>
        <v>2.9751985988606764</v>
      </c>
      <c r="T1038" s="12">
        <f t="shared" si="173"/>
        <v>-27.193512411336012</v>
      </c>
      <c r="U1038" s="8"/>
      <c r="V1038" s="8"/>
    </row>
    <row r="1039" spans="1:22" x14ac:dyDescent="0.35">
      <c r="A1039" s="10">
        <v>4.875</v>
      </c>
      <c r="B1039">
        <v>15.9375</v>
      </c>
      <c r="C1039" s="10">
        <v>-0.18342433</v>
      </c>
      <c r="D1039" s="10">
        <v>-9.6298734999999996E-2</v>
      </c>
      <c r="E1039" s="10">
        <v>0.81653631000000004</v>
      </c>
      <c r="F1039" s="10">
        <v>-0.10400069000000001</v>
      </c>
      <c r="G1039" s="10">
        <f t="shared" si="164"/>
        <v>1.59978491006012</v>
      </c>
      <c r="H1039" s="10">
        <f t="shared" si="165"/>
        <v>-1.1444330298061201</v>
      </c>
      <c r="I1039" s="10">
        <f t="shared" si="166"/>
        <v>1.59978006035617</v>
      </c>
      <c r="J1039" s="10">
        <f t="shared" si="167"/>
        <v>-1.1482841017713099</v>
      </c>
      <c r="K1039" s="7">
        <f t="shared" si="168"/>
        <v>4.8497039499828498E-6</v>
      </c>
      <c r="L1039" s="7">
        <f t="shared" si="169"/>
        <v>3.8510719651898601E-3</v>
      </c>
      <c r="M1039" s="7">
        <f t="shared" si="170"/>
        <v>0.412542769714627</v>
      </c>
      <c r="N1039" s="7">
        <f t="shared" si="171"/>
        <v>0.29611339427405098</v>
      </c>
      <c r="O1039" s="10">
        <v>2.7105329999999999</v>
      </c>
      <c r="P1039" s="10">
        <v>-4.8982115000000004</v>
      </c>
      <c r="Q1039" s="10">
        <v>0.5114204</v>
      </c>
      <c r="R1039" s="10">
        <v>-16.680907999999999</v>
      </c>
      <c r="S1039" s="10">
        <f t="shared" si="172"/>
        <v>2.9811094069418185</v>
      </c>
      <c r="T1039" s="10">
        <f t="shared" si="173"/>
        <v>-27.202830115891373</v>
      </c>
      <c r="U1039" s="8"/>
      <c r="V1039" s="8"/>
    </row>
    <row r="1040" spans="1:22" x14ac:dyDescent="0.35">
      <c r="A1040" s="12">
        <v>4.875</v>
      </c>
      <c r="B1040">
        <v>16</v>
      </c>
      <c r="C1040" s="12">
        <v>-0.19217122</v>
      </c>
      <c r="D1040" s="12">
        <v>-9.0249807000000001E-2</v>
      </c>
      <c r="E1040" s="12">
        <v>0.80778236000000003</v>
      </c>
      <c r="F1040" s="12">
        <v>-9.8057543999999996E-2</v>
      </c>
      <c r="G1040" s="12">
        <f t="shared" si="164"/>
        <v>1.59803092166075</v>
      </c>
      <c r="H1040" s="12">
        <f t="shared" si="165"/>
        <v>-1.02584546711013</v>
      </c>
      <c r="I1040" s="12">
        <f t="shared" si="166"/>
        <v>1.59802295214023</v>
      </c>
      <c r="J1040" s="12">
        <f t="shared" si="167"/>
        <v>-1.0297494573337</v>
      </c>
      <c r="K1040" s="7">
        <f t="shared" si="168"/>
        <v>7.9695205199570296E-6</v>
      </c>
      <c r="L1040" s="7">
        <f t="shared" si="169"/>
        <v>3.9039902235700201E-3</v>
      </c>
      <c r="M1040" s="7">
        <f t="shared" si="170"/>
        <v>0.44216819231677401</v>
      </c>
      <c r="N1040" s="7">
        <f t="shared" si="171"/>
        <v>0.284928608490016</v>
      </c>
      <c r="O1040" s="12">
        <v>2.5439284</v>
      </c>
      <c r="P1040" s="12">
        <v>-5.1190329999999999</v>
      </c>
      <c r="Q1040" s="12">
        <v>-0.23442794</v>
      </c>
      <c r="R1040" s="12">
        <v>-17.072814000000001</v>
      </c>
      <c r="S1040" s="12">
        <f t="shared" si="172"/>
        <v>2.9869718786746065</v>
      </c>
      <c r="T1040" s="12">
        <f t="shared" si="173"/>
        <v>-27.211985649000724</v>
      </c>
      <c r="U1040" s="8"/>
      <c r="V1040" s="8"/>
    </row>
    <row r="1041" spans="1:22" x14ac:dyDescent="0.35">
      <c r="A1041" s="10">
        <v>4.875</v>
      </c>
      <c r="B1041">
        <v>16.0625</v>
      </c>
      <c r="C1041" s="10">
        <v>-0.20056723000000001</v>
      </c>
      <c r="D1041" s="10">
        <v>-8.3264484999999999E-2</v>
      </c>
      <c r="E1041" s="10">
        <v>0.79937959999999997</v>
      </c>
      <c r="F1041" s="10">
        <v>-9.1178600999999998E-2</v>
      </c>
      <c r="G1041" s="10">
        <f t="shared" si="164"/>
        <v>1.59627277013382</v>
      </c>
      <c r="H1041" s="10">
        <f t="shared" si="165"/>
        <v>-0.90951345375875103</v>
      </c>
      <c r="I1041" s="10">
        <f t="shared" si="166"/>
        <v>1.5962618437387399</v>
      </c>
      <c r="J1041" s="10">
        <f t="shared" si="167"/>
        <v>-0.91347066019746603</v>
      </c>
      <c r="K1041" s="7">
        <f t="shared" si="168"/>
        <v>1.09263950800464E-5</v>
      </c>
      <c r="L1041" s="7">
        <f t="shared" si="169"/>
        <v>3.9572064387149997E-3</v>
      </c>
      <c r="M1041" s="7">
        <f t="shared" si="170"/>
        <v>0.47192048377349</v>
      </c>
      <c r="N1041" s="7">
        <f t="shared" si="171"/>
        <v>0.27005940006909901</v>
      </c>
      <c r="O1041" s="10">
        <v>2.3533529</v>
      </c>
      <c r="P1041" s="10">
        <v>-5.3295839000000003</v>
      </c>
      <c r="Q1041" s="10">
        <v>-1.0329748999999999</v>
      </c>
      <c r="R1041" s="10">
        <v>-17.405080999999999</v>
      </c>
      <c r="S1041" s="10">
        <f t="shared" si="172"/>
        <v>2.9927204514505883</v>
      </c>
      <c r="T1041" s="10">
        <f t="shared" si="173"/>
        <v>-27.220997344025314</v>
      </c>
      <c r="U1041" s="8"/>
      <c r="V1041" s="8"/>
    </row>
    <row r="1042" spans="1:22" x14ac:dyDescent="0.35">
      <c r="A1042" s="12">
        <v>4.875</v>
      </c>
      <c r="B1042">
        <v>16.125</v>
      </c>
      <c r="C1042" s="12">
        <v>-0.20846844</v>
      </c>
      <c r="D1042" s="12">
        <v>-7.5369884999999998E-2</v>
      </c>
      <c r="E1042" s="12">
        <v>0.79147226000000004</v>
      </c>
      <c r="F1042" s="12">
        <v>-8.3390541999999998E-2</v>
      </c>
      <c r="G1042" s="12">
        <f t="shared" si="164"/>
        <v>1.5945104773658401</v>
      </c>
      <c r="H1042" s="12">
        <f t="shared" si="165"/>
        <v>-0.795422439659076</v>
      </c>
      <c r="I1042" s="12">
        <f t="shared" si="166"/>
        <v>1.59449691039333</v>
      </c>
      <c r="J1042" s="12">
        <f t="shared" si="167"/>
        <v>-0.79943294147847299</v>
      </c>
      <c r="K1042" s="7">
        <f t="shared" si="168"/>
        <v>1.3566972510092899E-5</v>
      </c>
      <c r="L1042" s="7">
        <f t="shared" si="169"/>
        <v>4.01050181939699E-3</v>
      </c>
      <c r="M1042" s="7">
        <f t="shared" si="170"/>
        <v>0.50117560333906996</v>
      </c>
      <c r="N1042" s="7">
        <f t="shared" si="171"/>
        <v>0.25127442026574198</v>
      </c>
      <c r="O1042" s="12">
        <v>2.139634</v>
      </c>
      <c r="P1042" s="12">
        <v>-5.5260185000000002</v>
      </c>
      <c r="Q1042" s="12">
        <v>-1.8769435000000001</v>
      </c>
      <c r="R1042" s="12">
        <v>-17.668593999999999</v>
      </c>
      <c r="S1042" s="12">
        <f t="shared" si="172"/>
        <v>2.9984233503744617</v>
      </c>
      <c r="T1042" s="12">
        <f t="shared" si="173"/>
        <v>-27.229856764346273</v>
      </c>
      <c r="U1042" s="8"/>
      <c r="V1042" s="8"/>
    </row>
    <row r="1043" spans="1:22" x14ac:dyDescent="0.35">
      <c r="A1043" s="10">
        <v>4.875</v>
      </c>
      <c r="B1043">
        <v>16.1875</v>
      </c>
      <c r="C1043" s="10">
        <v>-0.2157337</v>
      </c>
      <c r="D1043" s="10">
        <v>-6.6620213999999997E-2</v>
      </c>
      <c r="E1043" s="10">
        <v>0.78420146999999996</v>
      </c>
      <c r="F1043" s="10">
        <v>-7.4747840999999995E-2</v>
      </c>
      <c r="G1043" s="10">
        <f t="shared" si="164"/>
        <v>1.59274210146505</v>
      </c>
      <c r="H1043" s="10">
        <f t="shared" si="165"/>
        <v>-0.68353847173434801</v>
      </c>
      <c r="I1043" s="10">
        <f t="shared" si="166"/>
        <v>1.5927262013277399</v>
      </c>
      <c r="J1043" s="10">
        <f t="shared" si="167"/>
        <v>-0.68760248158441795</v>
      </c>
      <c r="K1043" s="7">
        <f t="shared" si="168"/>
        <v>1.5900137310120898E-5</v>
      </c>
      <c r="L1043" s="7">
        <f t="shared" si="169"/>
        <v>4.0640098500699402E-3</v>
      </c>
      <c r="M1043" s="7">
        <f t="shared" si="170"/>
        <v>0.52921983010835005</v>
      </c>
      <c r="N1043" s="7">
        <f t="shared" si="171"/>
        <v>0.228471703537516</v>
      </c>
      <c r="O1043" s="10">
        <v>1.9044201999999999</v>
      </c>
      <c r="P1043" s="10">
        <v>-5.7048569000000002</v>
      </c>
      <c r="Q1043" s="10">
        <v>-2.7572500999999998</v>
      </c>
      <c r="R1043" s="10">
        <v>-17.855461999999999</v>
      </c>
      <c r="S1043" s="10">
        <f t="shared" si="172"/>
        <v>3.0040062702015309</v>
      </c>
      <c r="T1043" s="10">
        <f t="shared" si="173"/>
        <v>-27.238573954260708</v>
      </c>
      <c r="U1043" s="8"/>
      <c r="V1043" s="8"/>
    </row>
    <row r="1044" spans="1:22" x14ac:dyDescent="0.35">
      <c r="A1044" s="12">
        <v>4.875</v>
      </c>
      <c r="B1044">
        <v>16.25</v>
      </c>
      <c r="C1044" s="12">
        <v>-0.22223196000000001</v>
      </c>
      <c r="D1044" s="12">
        <v>-5.7092130999999997E-2</v>
      </c>
      <c r="E1044" s="12">
        <v>0.77763919999999997</v>
      </c>
      <c r="F1044" s="12">
        <v>-6.5267753999999997E-2</v>
      </c>
      <c r="G1044" s="12">
        <f t="shared" si="164"/>
        <v>1.59090006665019</v>
      </c>
      <c r="H1044" s="12">
        <f t="shared" si="165"/>
        <v>-0.57340242145768505</v>
      </c>
      <c r="I1044" s="12">
        <f t="shared" si="166"/>
        <v>1.59085235565337</v>
      </c>
      <c r="J1044" s="12">
        <f t="shared" si="167"/>
        <v>-0.57749069135759501</v>
      </c>
      <c r="K1044" s="7">
        <f t="shared" si="168"/>
        <v>4.7710996819994002E-5</v>
      </c>
      <c r="L1044" s="7">
        <f t="shared" si="169"/>
        <v>4.0882698999099602E-3</v>
      </c>
      <c r="M1044" s="7">
        <f t="shared" si="170"/>
        <v>0.55540572757640705</v>
      </c>
      <c r="N1044" s="7">
        <f t="shared" si="171"/>
        <v>0.20161621941989499</v>
      </c>
      <c r="O1044" s="12">
        <v>1.6497891</v>
      </c>
      <c r="P1044" s="12">
        <v>-5.8628242000000004</v>
      </c>
      <c r="Q1044" s="12">
        <v>-3.6635502</v>
      </c>
      <c r="R1044" s="12">
        <v>-17.959153000000001</v>
      </c>
      <c r="S1044" s="12">
        <f t="shared" si="172"/>
        <v>3.0094302928237155</v>
      </c>
      <c r="T1044" s="12">
        <f t="shared" si="173"/>
        <v>-27.246286680714455</v>
      </c>
      <c r="U1044" s="8"/>
      <c r="V1044" s="8"/>
    </row>
    <row r="1045" spans="1:22" x14ac:dyDescent="0.35">
      <c r="A1045" s="10">
        <v>4.875</v>
      </c>
      <c r="B1045">
        <v>16.3125</v>
      </c>
      <c r="C1045" s="10">
        <v>-0.22784197</v>
      </c>
      <c r="D1045" s="10">
        <v>-4.6904911000000001E-2</v>
      </c>
      <c r="E1045" s="10">
        <v>0.77202744999999995</v>
      </c>
      <c r="F1045" s="10">
        <v>-5.518108E-2</v>
      </c>
      <c r="G1045" s="10">
        <f t="shared" si="164"/>
        <v>1.58911069540641</v>
      </c>
      <c r="H1045" s="10">
        <f t="shared" si="165"/>
        <v>-0.46581067783709201</v>
      </c>
      <c r="I1045" s="10">
        <f t="shared" si="166"/>
        <v>1.5890625279478301</v>
      </c>
      <c r="J1045" s="10">
        <f t="shared" si="167"/>
        <v>-0.46994923186429899</v>
      </c>
      <c r="K1045" s="7">
        <f t="shared" si="168"/>
        <v>4.8167458579939601E-5</v>
      </c>
      <c r="L1045" s="7">
        <f t="shared" si="169"/>
        <v>4.1385540272069797E-3</v>
      </c>
      <c r="M1045" s="7">
        <f t="shared" si="170"/>
        <v>0.57868854050806895</v>
      </c>
      <c r="N1045" s="7">
        <f t="shared" si="171"/>
        <v>0.171141305214497</v>
      </c>
      <c r="O1045" s="10">
        <v>1.3790598000000001</v>
      </c>
      <c r="P1045" s="10">
        <v>-5.9964952</v>
      </c>
      <c r="Q1045" s="10">
        <v>-4.5830247000000002</v>
      </c>
      <c r="R1045" s="10">
        <v>-17.975911</v>
      </c>
      <c r="S1045" s="10">
        <f t="shared" si="172"/>
        <v>3.0149288157916208</v>
      </c>
      <c r="T1045" s="10">
        <f t="shared" si="173"/>
        <v>-27.254607642253713</v>
      </c>
      <c r="U1045" s="8"/>
      <c r="V1045" s="8"/>
    </row>
    <row r="1046" spans="1:22" x14ac:dyDescent="0.35">
      <c r="A1046" s="12">
        <v>4.875</v>
      </c>
      <c r="B1046">
        <v>16.375</v>
      </c>
      <c r="C1046" s="12">
        <v>-0.23246876999999999</v>
      </c>
      <c r="D1046" s="12">
        <v>-3.6188699999999997E-2</v>
      </c>
      <c r="E1046" s="12">
        <v>0.76740067999999995</v>
      </c>
      <c r="F1046" s="12">
        <v>-4.4566243999999998E-2</v>
      </c>
      <c r="G1046" s="12">
        <f t="shared" si="164"/>
        <v>1.5873123104088001</v>
      </c>
      <c r="H1046" s="12">
        <f t="shared" si="165"/>
        <v>-0.36034448059659802</v>
      </c>
      <c r="I1046" s="12">
        <f t="shared" si="166"/>
        <v>1.58726458008697</v>
      </c>
      <c r="J1046" s="12">
        <f t="shared" si="167"/>
        <v>-0.36453372598102701</v>
      </c>
      <c r="K1046" s="7">
        <f t="shared" si="168"/>
        <v>4.7730321830030702E-5</v>
      </c>
      <c r="L1046" s="7">
        <f t="shared" si="169"/>
        <v>4.1892453844290002E-3</v>
      </c>
      <c r="M1046" s="7">
        <f t="shared" si="170"/>
        <v>0.59844978303771301</v>
      </c>
      <c r="N1046" s="7">
        <f t="shared" si="171"/>
        <v>0.137440935783574</v>
      </c>
      <c r="O1046" s="12">
        <v>1.0957760999999999</v>
      </c>
      <c r="P1046" s="12">
        <v>-6.1039161999999996</v>
      </c>
      <c r="Q1046" s="12">
        <v>-5.5029209000000003</v>
      </c>
      <c r="R1046" s="12">
        <v>-17.903731000000001</v>
      </c>
      <c r="S1046" s="12">
        <f t="shared" si="172"/>
        <v>3.0202955323868359</v>
      </c>
      <c r="T1046" s="12">
        <f t="shared" si="173"/>
        <v>-27.262764625890867</v>
      </c>
      <c r="U1046" s="8"/>
      <c r="V1046" s="8"/>
    </row>
    <row r="1047" spans="1:22" x14ac:dyDescent="0.35">
      <c r="A1047" s="10">
        <v>4.875</v>
      </c>
      <c r="B1047">
        <v>16.4375</v>
      </c>
      <c r="C1047" s="10">
        <v>-0.23604499000000001</v>
      </c>
      <c r="D1047" s="10">
        <v>-2.5088907000000001E-2</v>
      </c>
      <c r="E1047" s="10">
        <v>0.76382607000000002</v>
      </c>
      <c r="F1047" s="10">
        <v>-3.3569329000000002E-2</v>
      </c>
      <c r="G1047" s="10">
        <f t="shared" si="164"/>
        <v>1.58550572566638</v>
      </c>
      <c r="H1047" s="10">
        <f t="shared" si="165"/>
        <v>-0.256934767567503</v>
      </c>
      <c r="I1047" s="10">
        <f t="shared" si="166"/>
        <v>1.5854592340535401</v>
      </c>
      <c r="J1047" s="10">
        <f t="shared" si="167"/>
        <v>-0.26117544909849</v>
      </c>
      <c r="K1047" s="7">
        <f t="shared" si="168"/>
        <v>4.6491612839982801E-5</v>
      </c>
      <c r="L1047" s="7">
        <f t="shared" si="169"/>
        <v>4.2406815309869996E-3</v>
      </c>
      <c r="M1047" s="7">
        <f t="shared" si="170"/>
        <v>0.61406838579498502</v>
      </c>
      <c r="N1047" s="7">
        <f t="shared" si="171"/>
        <v>0.10115655009756799</v>
      </c>
      <c r="O1047" s="10">
        <v>0.80380079999999998</v>
      </c>
      <c r="P1047" s="10">
        <v>-6.1833926000000003</v>
      </c>
      <c r="Q1047" s="10">
        <v>-6.4104752999999999</v>
      </c>
      <c r="R1047" s="10">
        <v>-17.743373999999999</v>
      </c>
      <c r="S1047" s="10">
        <f t="shared" si="172"/>
        <v>3.0256001712709586</v>
      </c>
      <c r="T1047" s="10">
        <f t="shared" si="173"/>
        <v>-27.270745719308074</v>
      </c>
      <c r="U1047" s="8"/>
      <c r="V1047" s="8"/>
    </row>
    <row r="1048" spans="1:22" x14ac:dyDescent="0.35">
      <c r="A1048" s="12">
        <v>4.875</v>
      </c>
      <c r="B1048">
        <v>16.5</v>
      </c>
      <c r="C1048" s="12">
        <v>-0.23852739000000001</v>
      </c>
      <c r="D1048" s="12">
        <v>-1.3761693E-2</v>
      </c>
      <c r="E1048" s="12">
        <v>0.76153552999999996</v>
      </c>
      <c r="F1048" s="12">
        <v>-2.2348858999999999E-2</v>
      </c>
      <c r="G1048" s="12">
        <f t="shared" si="164"/>
        <v>1.5845000387196</v>
      </c>
      <c r="H1048" s="12">
        <f t="shared" si="165"/>
        <v>-0.15566183683576101</v>
      </c>
      <c r="I1048" s="12">
        <f t="shared" si="166"/>
        <v>1.5845499305053199</v>
      </c>
      <c r="J1048" s="12">
        <f t="shared" si="167"/>
        <v>-0.159955070556105</v>
      </c>
      <c r="K1048" s="7">
        <f t="shared" si="168"/>
        <v>-4.98917857199022E-5</v>
      </c>
      <c r="L1048" s="7">
        <f t="shared" si="169"/>
        <v>4.2932337203439898E-3</v>
      </c>
      <c r="M1048" s="7">
        <f t="shared" si="170"/>
        <v>0.62472790545369095</v>
      </c>
      <c r="N1048" s="7">
        <f t="shared" si="171"/>
        <v>6.3064214179319206E-2</v>
      </c>
      <c r="O1048" s="12">
        <v>0.50691253000000003</v>
      </c>
      <c r="P1048" s="12">
        <v>-6.2338304000000004</v>
      </c>
      <c r="Q1048" s="12">
        <v>-7.2926652000000001</v>
      </c>
      <c r="R1048" s="12">
        <v>-17.496963999999998</v>
      </c>
      <c r="S1048" s="12">
        <f t="shared" si="172"/>
        <v>3.0308095214585222</v>
      </c>
      <c r="T1048" s="12">
        <f t="shared" si="173"/>
        <v>-27.275037206889962</v>
      </c>
      <c r="U1048" s="8"/>
      <c r="V1048" s="8"/>
    </row>
    <row r="1049" spans="1:22" x14ac:dyDescent="0.35">
      <c r="A1049" s="10">
        <v>4.875</v>
      </c>
      <c r="B1049">
        <v>16.5625</v>
      </c>
      <c r="C1049" s="10">
        <v>-0.23991745</v>
      </c>
      <c r="D1049" s="10">
        <v>-2.3827215000000001E-3</v>
      </c>
      <c r="E1049" s="10">
        <v>0.76015178000000005</v>
      </c>
      <c r="F1049" s="10">
        <v>-1.1090163E-2</v>
      </c>
      <c r="G1049" s="10">
        <f t="shared" si="164"/>
        <v>1.5826816573945499</v>
      </c>
      <c r="H1049" s="10">
        <f t="shared" si="165"/>
        <v>-5.6310405624963998E-2</v>
      </c>
      <c r="I1049" s="10">
        <f t="shared" si="166"/>
        <v>1.5827352237532999</v>
      </c>
      <c r="J1049" s="10">
        <f t="shared" si="167"/>
        <v>-6.0663742471241303E-2</v>
      </c>
      <c r="K1049" s="7">
        <f t="shared" si="168"/>
        <v>-5.35663587499791E-5</v>
      </c>
      <c r="L1049" s="7">
        <f t="shared" si="169"/>
        <v>4.3533368462773002E-3</v>
      </c>
      <c r="M1049" s="7">
        <f t="shared" si="170"/>
        <v>0.63089079722816599</v>
      </c>
      <c r="N1049" s="7">
        <f t="shared" si="171"/>
        <v>2.41810482739916E-2</v>
      </c>
      <c r="O1049" s="10">
        <v>0.21039682000000001</v>
      </c>
      <c r="P1049" s="10">
        <v>-6.2557821999999996</v>
      </c>
      <c r="Q1049" s="10">
        <v>-8.1380207000000002</v>
      </c>
      <c r="R1049" s="10">
        <v>-17.172422000000001</v>
      </c>
      <c r="S1049" s="10">
        <f t="shared" si="172"/>
        <v>3.0359760464260677</v>
      </c>
      <c r="T1049" s="10">
        <f t="shared" si="173"/>
        <v>-27.282567304483482</v>
      </c>
      <c r="U1049" s="8"/>
      <c r="V1049" s="8"/>
    </row>
    <row r="1050" spans="1:22" x14ac:dyDescent="0.35">
      <c r="A1050" s="12">
        <v>4.875</v>
      </c>
      <c r="B1050">
        <v>16.625</v>
      </c>
      <c r="C1050" s="12">
        <v>-0.24023649</v>
      </c>
      <c r="D1050" s="12">
        <v>8.8988369000000001E-3</v>
      </c>
      <c r="E1050" s="12">
        <v>0.75983917000000001</v>
      </c>
      <c r="F1050" s="12">
        <v>6.8735494000000003E-5</v>
      </c>
      <c r="G1050" s="12">
        <f t="shared" si="164"/>
        <v>1.5808565230299001</v>
      </c>
      <c r="H1050" s="12">
        <f t="shared" si="165"/>
        <v>4.1051180049789797E-2</v>
      </c>
      <c r="I1050" s="12">
        <f t="shared" si="166"/>
        <v>1.58091384167962</v>
      </c>
      <c r="J1050" s="12">
        <f t="shared" si="167"/>
        <v>3.6636549417011402E-2</v>
      </c>
      <c r="K1050" s="7">
        <f t="shared" si="168"/>
        <v>-5.7318649719917403E-5</v>
      </c>
      <c r="L1050" s="7">
        <f t="shared" si="169"/>
        <v>4.4146306327783897E-3</v>
      </c>
      <c r="M1050" s="7">
        <f t="shared" si="170"/>
        <v>0.63220601552482003</v>
      </c>
      <c r="N1050" s="7">
        <f t="shared" si="171"/>
        <v>-1.46509229781295E-2</v>
      </c>
      <c r="O1050" s="12">
        <v>-8.2209848000000002E-2</v>
      </c>
      <c r="P1050" s="12">
        <v>-6.2498664000000002</v>
      </c>
      <c r="Q1050" s="12">
        <v>-8.9364349000000001</v>
      </c>
      <c r="R1050" s="12">
        <v>-16.776204</v>
      </c>
      <c r="S1050" s="12">
        <f t="shared" si="172"/>
        <v>3.041068572775695</v>
      </c>
      <c r="T1050" s="12">
        <f t="shared" si="173"/>
        <v>-27.289948749577952</v>
      </c>
      <c r="U1050" s="8"/>
      <c r="V1050" s="8"/>
    </row>
    <row r="1051" spans="1:22" x14ac:dyDescent="0.35">
      <c r="A1051" s="10">
        <v>4.875</v>
      </c>
      <c r="B1051">
        <v>16.6875</v>
      </c>
      <c r="C1051" s="10">
        <v>-0.23953741000000001</v>
      </c>
      <c r="D1051" s="10">
        <v>1.9934364999999999E-2</v>
      </c>
      <c r="E1051" s="10">
        <v>0.76054431</v>
      </c>
      <c r="F1051" s="10">
        <v>1.0979920000000001E-2</v>
      </c>
      <c r="G1051" s="10">
        <f t="shared" si="164"/>
        <v>1.5790221460570599</v>
      </c>
      <c r="H1051" s="10">
        <f t="shared" si="165"/>
        <v>0.13642074328508899</v>
      </c>
      <c r="I1051" s="10">
        <f t="shared" si="166"/>
        <v>1.5790830470502</v>
      </c>
      <c r="J1051" s="10">
        <f t="shared" si="167"/>
        <v>0.131943976373083</v>
      </c>
      <c r="K1051" s="7">
        <f t="shared" si="168"/>
        <v>-6.0900993140044998E-5</v>
      </c>
      <c r="L1051" s="7">
        <f t="shared" si="169"/>
        <v>4.4767669120059899E-3</v>
      </c>
      <c r="M1051" s="7">
        <f t="shared" si="170"/>
        <v>0.62888812657933901</v>
      </c>
      <c r="N1051" s="7">
        <f t="shared" si="171"/>
        <v>-5.2548217948196703E-2</v>
      </c>
      <c r="O1051" s="10">
        <v>-0.36709532</v>
      </c>
      <c r="P1051" s="10">
        <v>-6.2176581999999998</v>
      </c>
      <c r="Q1051" s="10">
        <v>-9.6794395000000009</v>
      </c>
      <c r="R1051" s="10">
        <v>-16.317572999999999</v>
      </c>
      <c r="S1051" s="10">
        <f t="shared" si="172"/>
        <v>3.0460812583985852</v>
      </c>
      <c r="T1051" s="10">
        <f t="shared" si="173"/>
        <v>-27.297177434033788</v>
      </c>
      <c r="U1051" s="8"/>
      <c r="V1051" s="8"/>
    </row>
    <row r="1052" spans="1:22" x14ac:dyDescent="0.35">
      <c r="A1052" s="12">
        <v>4.875</v>
      </c>
      <c r="B1052">
        <v>16.75</v>
      </c>
      <c r="C1052" s="12">
        <v>-0.23789661000000001</v>
      </c>
      <c r="D1052" s="12">
        <v>3.059688E-2</v>
      </c>
      <c r="E1052" s="12">
        <v>0.76219137000000003</v>
      </c>
      <c r="F1052" s="12">
        <v>2.1515854000000001E-2</v>
      </c>
      <c r="G1052" s="12">
        <f t="shared" si="164"/>
        <v>1.57718145238505</v>
      </c>
      <c r="H1052" s="12">
        <f t="shared" si="165"/>
        <v>0.229825392322138</v>
      </c>
      <c r="I1052" s="12">
        <f t="shared" si="166"/>
        <v>1.5772460535629</v>
      </c>
      <c r="J1052" s="12">
        <f t="shared" si="167"/>
        <v>0.22528537236010401</v>
      </c>
      <c r="K1052" s="7">
        <f t="shared" si="168"/>
        <v>-6.4601177850010002E-5</v>
      </c>
      <c r="L1052" s="7">
        <f t="shared" si="169"/>
        <v>4.54001996203399E-3</v>
      </c>
      <c r="M1052" s="7">
        <f t="shared" si="170"/>
        <v>0.62134007062753904</v>
      </c>
      <c r="N1052" s="7">
        <f t="shared" si="171"/>
        <v>-8.8748885348214901E-2</v>
      </c>
      <c r="O1052" s="12">
        <v>-0.64103845999999998</v>
      </c>
      <c r="P1052" s="12">
        <v>-6.1613107999999999</v>
      </c>
      <c r="Q1052" s="12">
        <v>-10.360946999999999</v>
      </c>
      <c r="R1052" s="12">
        <v>-15.806642</v>
      </c>
      <c r="S1052" s="12">
        <f t="shared" si="172"/>
        <v>3.0510135663360765</v>
      </c>
      <c r="T1052" s="12">
        <f t="shared" si="173"/>
        <v>-27.304235733364482</v>
      </c>
      <c r="U1052" s="8"/>
      <c r="V1052" s="8"/>
    </row>
    <row r="1053" spans="1:22" x14ac:dyDescent="0.35">
      <c r="A1053" s="10">
        <v>4.875</v>
      </c>
      <c r="B1053">
        <v>16.8125</v>
      </c>
      <c r="C1053" s="10">
        <v>-0.23540886</v>
      </c>
      <c r="D1053" s="10">
        <v>4.0777260000000003E-2</v>
      </c>
      <c r="E1053" s="10">
        <v>0.76468513000000005</v>
      </c>
      <c r="F1053" s="10">
        <v>3.1568181000000001E-2</v>
      </c>
      <c r="G1053" s="10">
        <f t="shared" si="164"/>
        <v>1.5753329106441101</v>
      </c>
      <c r="H1053" s="10">
        <f t="shared" si="165"/>
        <v>0.32126476708609197</v>
      </c>
      <c r="I1053" s="10">
        <f t="shared" si="166"/>
        <v>1.57540110178143</v>
      </c>
      <c r="J1053" s="10">
        <f t="shared" si="167"/>
        <v>0.31666075794028598</v>
      </c>
      <c r="K1053" s="7">
        <f t="shared" si="168"/>
        <v>-6.8191137319928403E-5</v>
      </c>
      <c r="L1053" s="7">
        <f t="shared" si="169"/>
        <v>4.6040091458060001E-3</v>
      </c>
      <c r="M1053" s="7">
        <f t="shared" si="170"/>
        <v>0.61010916231026402</v>
      </c>
      <c r="N1053" s="7">
        <f t="shared" si="171"/>
        <v>-0.122633930841497</v>
      </c>
      <c r="O1053" s="10">
        <v>-0.90130991000000005</v>
      </c>
      <c r="P1053" s="10">
        <v>-6.0834368999999997</v>
      </c>
      <c r="Q1053" s="10">
        <v>-10.976829</v>
      </c>
      <c r="R1053" s="10">
        <v>-15.254151</v>
      </c>
      <c r="S1053" s="10">
        <f t="shared" si="172"/>
        <v>3.0558637540193492</v>
      </c>
      <c r="T1053" s="10">
        <f t="shared" si="173"/>
        <v>-27.311125015764432</v>
      </c>
      <c r="U1053" s="8"/>
      <c r="V1053" s="8"/>
    </row>
    <row r="1054" spans="1:22" x14ac:dyDescent="0.35">
      <c r="A1054" s="12">
        <v>4.875</v>
      </c>
      <c r="B1054">
        <v>16.875</v>
      </c>
      <c r="C1054" s="12">
        <v>-0.23217851</v>
      </c>
      <c r="D1054" s="12">
        <v>5.0397201000000003E-2</v>
      </c>
      <c r="E1054" s="12">
        <v>0.76792115000000005</v>
      </c>
      <c r="F1054" s="12">
        <v>4.1057422000000003E-2</v>
      </c>
      <c r="G1054" s="12">
        <f t="shared" si="164"/>
        <v>1.57347805728562</v>
      </c>
      <c r="H1054" s="12">
        <f t="shared" si="165"/>
        <v>0.41079868540210301</v>
      </c>
      <c r="I1054" s="12">
        <f t="shared" si="166"/>
        <v>1.5735496889354701</v>
      </c>
      <c r="J1054" s="12">
        <f t="shared" si="167"/>
        <v>0.40612936308632402</v>
      </c>
      <c r="K1054" s="7">
        <f t="shared" si="168"/>
        <v>-7.1631649850134593E-5</v>
      </c>
      <c r="L1054" s="7">
        <f t="shared" si="169"/>
        <v>4.6693223157789898E-3</v>
      </c>
      <c r="M1054" s="7">
        <f t="shared" si="170"/>
        <v>0.59581593250423504</v>
      </c>
      <c r="N1054" s="7">
        <f t="shared" si="171"/>
        <v>-0.15377864892740101</v>
      </c>
      <c r="O1054" s="12">
        <v>-1.1459846</v>
      </c>
      <c r="P1054" s="12">
        <v>-5.9868563999999997</v>
      </c>
      <c r="Q1054" s="12">
        <v>-11.525461</v>
      </c>
      <c r="R1054" s="12">
        <v>-14.670396999999999</v>
      </c>
      <c r="S1054" s="12">
        <f t="shared" si="172"/>
        <v>3.0606393702807035</v>
      </c>
      <c r="T1054" s="12">
        <f t="shared" si="173"/>
        <v>-27.317844484738984</v>
      </c>
      <c r="U1054" s="8"/>
      <c r="V1054" s="8"/>
    </row>
    <row r="1055" spans="1:22" x14ac:dyDescent="0.35">
      <c r="A1055" s="10">
        <v>4.875</v>
      </c>
      <c r="B1055">
        <v>16.9375</v>
      </c>
      <c r="C1055" s="10">
        <v>-0.22831538000000001</v>
      </c>
      <c r="D1055" s="10">
        <v>5.9399075000000003E-2</v>
      </c>
      <c r="E1055" s="10">
        <v>0.77178928999999996</v>
      </c>
      <c r="F1055" s="10">
        <v>4.9926052999999998E-2</v>
      </c>
      <c r="G1055" s="10">
        <f t="shared" si="164"/>
        <v>1.5716153865826601</v>
      </c>
      <c r="H1055" s="10">
        <f t="shared" si="165"/>
        <v>0.49847038763136298</v>
      </c>
      <c r="I1055" s="10">
        <f t="shared" si="166"/>
        <v>1.57169014935517</v>
      </c>
      <c r="J1055" s="10">
        <f t="shared" si="167"/>
        <v>0.49373447859985498</v>
      </c>
      <c r="K1055" s="7">
        <f t="shared" si="168"/>
        <v>-7.4762772509950906E-5</v>
      </c>
      <c r="L1055" s="7">
        <f t="shared" si="169"/>
        <v>4.7359090315080002E-3</v>
      </c>
      <c r="M1055" s="7">
        <f t="shared" si="170"/>
        <v>0.57910818402339603</v>
      </c>
      <c r="N1055" s="7">
        <f t="shared" si="171"/>
        <v>-0.18192242116489099</v>
      </c>
      <c r="O1055" s="10">
        <v>-1.3736907</v>
      </c>
      <c r="P1055" s="10">
        <v>-5.8745238000000004</v>
      </c>
      <c r="Q1055" s="10">
        <v>-12.006883</v>
      </c>
      <c r="R1055" s="10">
        <v>-14.065263</v>
      </c>
      <c r="S1055" s="10">
        <f t="shared" si="172"/>
        <v>3.0653349185420105</v>
      </c>
      <c r="T1055" s="10">
        <f t="shared" si="173"/>
        <v>-27.324419784839456</v>
      </c>
      <c r="U1055" s="8"/>
      <c r="V1055" s="8"/>
    </row>
    <row r="1056" spans="1:22" x14ac:dyDescent="0.35">
      <c r="A1056" s="12">
        <v>4.875</v>
      </c>
      <c r="B1056">
        <v>17</v>
      </c>
      <c r="C1056" s="12">
        <v>-0.22393318000000001</v>
      </c>
      <c r="D1056" s="12">
        <v>6.7740110000000006E-2</v>
      </c>
      <c r="E1056" s="12">
        <v>0.77617627</v>
      </c>
      <c r="F1056" s="12">
        <v>5.8132549999999998E-2</v>
      </c>
      <c r="G1056" s="12">
        <f t="shared" si="164"/>
        <v>1.56974589324573</v>
      </c>
      <c r="H1056" s="12">
        <f t="shared" si="165"/>
        <v>0.58425594706751605</v>
      </c>
      <c r="I1056" s="12">
        <f t="shared" si="166"/>
        <v>1.5698236872328599</v>
      </c>
      <c r="J1056" s="12">
        <f t="shared" si="167"/>
        <v>0.57945280362474005</v>
      </c>
      <c r="K1056" s="7">
        <f t="shared" si="168"/>
        <v>-7.7793987129925996E-5</v>
      </c>
      <c r="L1056" s="7">
        <f t="shared" si="169"/>
        <v>4.8031434427759897E-3</v>
      </c>
      <c r="M1056" s="7">
        <f t="shared" si="170"/>
        <v>0.56062889959655005</v>
      </c>
      <c r="N1056" s="7">
        <f t="shared" si="171"/>
        <v>-0.20693915520978201</v>
      </c>
      <c r="O1056" s="12">
        <v>-1.5834626999999999</v>
      </c>
      <c r="P1056" s="12">
        <v>-5.7494565</v>
      </c>
      <c r="Q1056" s="12">
        <v>-12.42235</v>
      </c>
      <c r="R1056" s="12">
        <v>-13.448321</v>
      </c>
      <c r="S1056" s="12">
        <f t="shared" si="172"/>
        <v>3.0699482700758765</v>
      </c>
      <c r="T1056" s="12">
        <f t="shared" si="173"/>
        <v>-27.330838066852515</v>
      </c>
      <c r="U1056" s="8"/>
      <c r="V1056" s="8"/>
    </row>
    <row r="1057" spans="1:22" x14ac:dyDescent="0.35">
      <c r="A1057" s="10">
        <v>5</v>
      </c>
      <c r="B1057">
        <v>15</v>
      </c>
      <c r="C1057" s="10">
        <v>-7.3227599000000004E-2</v>
      </c>
      <c r="D1057" s="10">
        <v>-0.10834412</v>
      </c>
      <c r="E1057" s="10">
        <v>0.92678205999999996</v>
      </c>
      <c r="F1057" s="10">
        <v>-0.11467547</v>
      </c>
      <c r="G1057" s="10">
        <f t="shared" si="164"/>
        <v>1.5572732873282</v>
      </c>
      <c r="H1057" s="10">
        <f t="shared" si="165"/>
        <v>-3.1314173805640602</v>
      </c>
      <c r="I1057" s="10">
        <f t="shared" si="166"/>
        <v>1.5572881380574599</v>
      </c>
      <c r="J1057" s="10">
        <f t="shared" si="167"/>
        <v>-3.1345829932631499</v>
      </c>
      <c r="K1057" s="7">
        <f t="shared" si="168"/>
        <v>-1.48507292598854E-5</v>
      </c>
      <c r="L1057" s="7">
        <f t="shared" si="169"/>
        <v>3.16561269908977E-3</v>
      </c>
      <c r="M1057" s="7">
        <f t="shared" si="170"/>
        <v>0.12711770811175199</v>
      </c>
      <c r="N1057" s="7">
        <f t="shared" si="171"/>
        <v>0.25586851671953398</v>
      </c>
      <c r="O1057" s="10">
        <v>3.0772162999999999</v>
      </c>
      <c r="P1057" s="10">
        <v>-1.9946136000000001</v>
      </c>
      <c r="Q1057" s="10">
        <v>5.2723898</v>
      </c>
      <c r="R1057" s="10">
        <v>-9.1416959000000002</v>
      </c>
      <c r="S1057" s="10">
        <f t="shared" si="172"/>
        <v>2.8777751753076255</v>
      </c>
      <c r="T1057" s="10">
        <f t="shared" si="173"/>
        <v>-27.075384370974501</v>
      </c>
      <c r="U1057" s="8"/>
      <c r="V1057" s="8"/>
    </row>
    <row r="1058" spans="1:22" x14ac:dyDescent="0.35">
      <c r="A1058" s="12">
        <v>5</v>
      </c>
      <c r="B1058">
        <v>15.0625</v>
      </c>
      <c r="C1058" s="12">
        <v>-7.8413940000000001E-2</v>
      </c>
      <c r="D1058" s="12">
        <v>-0.11046584</v>
      </c>
      <c r="E1058" s="12">
        <v>0.92159374000000005</v>
      </c>
      <c r="F1058" s="12">
        <v>-0.11688303</v>
      </c>
      <c r="G1058" s="12">
        <f t="shared" si="164"/>
        <v>1.55584017539919</v>
      </c>
      <c r="H1058" s="12">
        <f t="shared" si="165"/>
        <v>-2.9788443441294001</v>
      </c>
      <c r="I1058" s="12">
        <f t="shared" si="166"/>
        <v>1.5558543102417399</v>
      </c>
      <c r="J1058" s="12">
        <f t="shared" si="167"/>
        <v>-2.9820528814556302</v>
      </c>
      <c r="K1058" s="7">
        <f t="shared" si="168"/>
        <v>-1.4134842549973199E-5</v>
      </c>
      <c r="L1058" s="7">
        <f t="shared" si="169"/>
        <v>3.2085373262300499E-3</v>
      </c>
      <c r="M1058" s="7">
        <f t="shared" si="170"/>
        <v>0.13752408948919201</v>
      </c>
      <c r="N1058" s="7">
        <f t="shared" si="171"/>
        <v>0.26358773095347798</v>
      </c>
      <c r="O1058" s="12">
        <v>3.1226978999999999</v>
      </c>
      <c r="P1058" s="12">
        <v>-2.1271144999999998</v>
      </c>
      <c r="Q1058" s="12">
        <v>5.2320302999999999</v>
      </c>
      <c r="R1058" s="12">
        <v>-9.5766532000000009</v>
      </c>
      <c r="S1058" s="12">
        <f t="shared" si="172"/>
        <v>2.888218329183784</v>
      </c>
      <c r="T1058" s="12">
        <f t="shared" si="173"/>
        <v>-27.08896889100733</v>
      </c>
      <c r="U1058" s="8"/>
      <c r="V1058" s="8"/>
    </row>
    <row r="1059" spans="1:22" x14ac:dyDescent="0.35">
      <c r="A1059" s="10">
        <v>5</v>
      </c>
      <c r="B1059">
        <v>15.125</v>
      </c>
      <c r="C1059" s="10">
        <v>-8.3962837999999998E-2</v>
      </c>
      <c r="D1059" s="10">
        <v>-0.11244086</v>
      </c>
      <c r="E1059" s="10">
        <v>0.91604532999999999</v>
      </c>
      <c r="F1059" s="10">
        <v>-0.11894535000000001</v>
      </c>
      <c r="G1059" s="10">
        <f t="shared" si="164"/>
        <v>1.55438461260954</v>
      </c>
      <c r="H1059" s="10">
        <f t="shared" si="165"/>
        <v>-2.8292756478527301</v>
      </c>
      <c r="I1059" s="10">
        <f t="shared" si="166"/>
        <v>1.55439927344893</v>
      </c>
      <c r="J1059" s="10">
        <f t="shared" si="167"/>
        <v>-2.8325278318901499</v>
      </c>
      <c r="K1059" s="7">
        <f t="shared" si="168"/>
        <v>-1.46608393900571E-5</v>
      </c>
      <c r="L1059" s="7">
        <f t="shared" si="169"/>
        <v>3.2521840374197799E-3</v>
      </c>
      <c r="M1059" s="7">
        <f t="shared" si="170"/>
        <v>0.14889778996369099</v>
      </c>
      <c r="N1059" s="7">
        <f t="shared" si="171"/>
        <v>0.27133127336278601</v>
      </c>
      <c r="O1059" s="10">
        <v>3.1665619</v>
      </c>
      <c r="P1059" s="10">
        <v>-2.2700520000000002</v>
      </c>
      <c r="Q1059" s="10">
        <v>5.1695570000000002</v>
      </c>
      <c r="R1059" s="10">
        <v>-10.031914</v>
      </c>
      <c r="S1059" s="10">
        <f t="shared" si="172"/>
        <v>2.8965646549407738</v>
      </c>
      <c r="T1059" s="10">
        <f t="shared" si="173"/>
        <v>-27.101377695758991</v>
      </c>
      <c r="U1059" s="8"/>
      <c r="V1059" s="8"/>
    </row>
    <row r="1060" spans="1:22" x14ac:dyDescent="0.35">
      <c r="A1060" s="12">
        <v>5</v>
      </c>
      <c r="B1060">
        <v>15.1875</v>
      </c>
      <c r="C1060" s="12">
        <v>-8.9892099000000003E-2</v>
      </c>
      <c r="D1060" s="12">
        <v>-0.11423152</v>
      </c>
      <c r="E1060" s="12">
        <v>0.91011792999999996</v>
      </c>
      <c r="F1060" s="12">
        <v>-0.12082556</v>
      </c>
      <c r="G1060" s="12">
        <f t="shared" si="164"/>
        <v>1.55289799328506</v>
      </c>
      <c r="H1060" s="12">
        <f t="shared" si="165"/>
        <v>-2.6825529167307298</v>
      </c>
      <c r="I1060" s="12">
        <f t="shared" si="166"/>
        <v>1.5529138778191101</v>
      </c>
      <c r="J1060" s="12">
        <f t="shared" si="167"/>
        <v>-2.6858498678265499</v>
      </c>
      <c r="K1060" s="7">
        <f t="shared" si="168"/>
        <v>-1.58845340501035E-5</v>
      </c>
      <c r="L1060" s="7">
        <f t="shared" si="169"/>
        <v>3.29695109582007E-3</v>
      </c>
      <c r="M1060" s="7">
        <f t="shared" si="170"/>
        <v>0.16133615289470499</v>
      </c>
      <c r="N1060" s="7">
        <f t="shared" si="171"/>
        <v>0.27903974014092903</v>
      </c>
      <c r="O1060" s="12">
        <v>3.2061701</v>
      </c>
      <c r="P1060" s="12">
        <v>-2.4229550999999998</v>
      </c>
      <c r="Q1060" s="12">
        <v>5.0811441000000004</v>
      </c>
      <c r="R1060" s="12">
        <v>-10.507059999999999</v>
      </c>
      <c r="S1060" s="12">
        <f t="shared" si="172"/>
        <v>2.9041907029393759</v>
      </c>
      <c r="T1060" s="12">
        <f t="shared" si="173"/>
        <v>-27.112962246505862</v>
      </c>
      <c r="U1060" s="8"/>
      <c r="V1060" s="8"/>
    </row>
    <row r="1061" spans="1:22" x14ac:dyDescent="0.35">
      <c r="A1061" s="10">
        <v>5</v>
      </c>
      <c r="B1061">
        <v>15.25</v>
      </c>
      <c r="C1061" s="10">
        <v>-9.6215493999999999E-2</v>
      </c>
      <c r="D1061" s="10">
        <v>-0.11579312</v>
      </c>
      <c r="E1061" s="10">
        <v>0.90379728000000004</v>
      </c>
      <c r="F1061" s="10">
        <v>-0.12247921000000001</v>
      </c>
      <c r="G1061" s="10">
        <f t="shared" ref="G1061:G1089" si="174">IMREAL(IMDIV(IMSUM(IMPRODUCT(COMPLEX(1 + C1061,D1061),COMPLEX(1 - C1061, - D1061)),IMPRODUCT(COMPLEX(E1061,F1061),COMPLEX(E1061,F1061))),IMSUB(IMPRODUCT(COMPLEX(1 - C1061, - D1061),COMPLEX(1 - C1061, - D1061)),IMPRODUCT(COMPLEX(E1061,F1061),COMPLEX(E1061,F1061)))))</f>
        <v>1.5513915159209</v>
      </c>
      <c r="H1061" s="10">
        <f t="shared" ref="H1061:H1089" si="175">IMAGINARY(IMDIV(IMSUM(IMPRODUCT(COMPLEX(1 + C1061,D1061),COMPLEX(1 - C1061, - D1061)),IMPRODUCT(COMPLEX(E1061,F1061),COMPLEX(E1061,F1061))),IMSUB(IMPRODUCT(COMPLEX(1 - C1061, - D1061),COMPLEX(1 - C1061, - D1061)),IMPRODUCT(COMPLEX(E1061,F1061),COMPLEX(E1061,F1061)))))</f>
        <v>-2.53858662728633</v>
      </c>
      <c r="I1061" s="10">
        <f t="shared" ref="I1061:I1089" si="176">IMREAL(IMDIV(IMPRODUCT(COMPLEX(2,0),COMPLEX(E1061,F1061)),IMSUB(IMPRODUCT(COMPLEX(1 - C1061, - D1061),COMPLEX(1 - C1061, - D1061)),IMPRODUCT(COMPLEX(E1061,F1061),COMPLEX(E1061,F1061)))))</f>
        <v>1.55140907849095</v>
      </c>
      <c r="J1061" s="10">
        <f t="shared" ref="J1061:J1089" si="177">IMAGINARY(IMDIV(IMPRODUCT(COMPLEX(2,0),COMPLEX(E1061,F1061)),IMSUB(IMPRODUCT(COMPLEX(1 - C1061, - D1061),COMPLEX(1 - C1061, - D1061)),IMPRODUCT(COMPLEX(E1061,F1061),COMPLEX(E1061,F1061)))))</f>
        <v>-2.5419295922223601</v>
      </c>
      <c r="K1061" s="7">
        <f t="shared" ref="K1061:K1089" si="178">IMREAL(IMSUB(COMPLEX(G1061,H1061),COMPLEX(I1061,J1061)))</f>
        <v>-1.7562570050033699E-5</v>
      </c>
      <c r="L1061" s="7">
        <f t="shared" ref="L1061:L1089" si="179">IMAGINARY(IMSUB(COMPLEX(G1061,H1061),COMPLEX(I1061,J1061)))</f>
        <v>3.34296493603015E-3</v>
      </c>
      <c r="M1061" s="7">
        <f t="shared" ref="M1061:M1089" si="180">IMREAL(IMDIV(IMSUB(IMPRODUCT(COMPLEX(1 - C1061, - D1061),COMPLEX(1 - C1061, - D1061)),IMPRODUCT(COMPLEX(E1061,F1061),COMPLEX(E1061,F1061))),IMPRODUCT(COMPLEX(2,0),COMPLEX(E1061,F1061))))</f>
        <v>0.174939193016766</v>
      </c>
      <c r="N1061" s="7">
        <f t="shared" ref="N1061:N1089" si="181">IMAGINARY(IMDIV(IMSUB(IMPRODUCT(COMPLEX(1 - C1061, - D1061),COMPLEX(1 - C1061, - D1061)),IMPRODUCT(COMPLEX(E1061,F1061),COMPLEX(E1061,F1061))),IMPRODUCT(COMPLEX(2,0),COMPLEX(E1061,F1061))))</f>
        <v>0.28663175801533902</v>
      </c>
      <c r="O1061" s="10">
        <v>3.2399445999999998</v>
      </c>
      <c r="P1061" s="10">
        <v>-2.5859206000000001</v>
      </c>
      <c r="Q1061" s="10">
        <v>4.9628101999999998</v>
      </c>
      <c r="R1061" s="10">
        <v>-11.001052</v>
      </c>
      <c r="S1061" s="10">
        <f t="shared" ref="S1061:S1089" si="182">IMABS(COMPLEX(Q1061,R1061))/IMABS(COMPLEX(O1061,P1061))</f>
        <v>2.911348352556729</v>
      </c>
      <c r="T1061" s="10">
        <f t="shared" ref="T1061:T1089" si="183">IMARGUMENT(IMDIV(COMPLEX(Q1061,R1061),COMPLEX(O1061/B1061,P1061/B1061)))/PI()*180</f>
        <v>-27.124171976612853</v>
      </c>
      <c r="U1061" s="8"/>
      <c r="V1061" s="8"/>
    </row>
    <row r="1062" spans="1:22" x14ac:dyDescent="0.35">
      <c r="A1062" s="12">
        <v>5</v>
      </c>
      <c r="B1062">
        <v>15.3125</v>
      </c>
      <c r="C1062" s="12">
        <v>-0.10294194</v>
      </c>
      <c r="D1062" s="12">
        <v>-0.11707498</v>
      </c>
      <c r="E1062" s="12">
        <v>0.89707408</v>
      </c>
      <c r="F1062" s="12">
        <v>-0.12385573</v>
      </c>
      <c r="G1062" s="12">
        <f t="shared" si="174"/>
        <v>1.5498711117839901</v>
      </c>
      <c r="H1062" s="12">
        <f t="shared" si="175"/>
        <v>-2.3973158166914099</v>
      </c>
      <c r="I1062" s="12">
        <f t="shared" si="176"/>
        <v>1.5498906159541399</v>
      </c>
      <c r="J1062" s="12">
        <f t="shared" si="177"/>
        <v>-2.4007060984087998</v>
      </c>
      <c r="K1062" s="7">
        <f t="shared" si="178"/>
        <v>-1.9504170149842198E-5</v>
      </c>
      <c r="L1062" s="7">
        <f t="shared" si="179"/>
        <v>3.39028171738986E-3</v>
      </c>
      <c r="M1062" s="7">
        <f t="shared" si="180"/>
        <v>0.189808461712729</v>
      </c>
      <c r="N1062" s="7">
        <f t="shared" si="181"/>
        <v>0.29400418769734898</v>
      </c>
      <c r="O1062" s="12">
        <v>3.2664857</v>
      </c>
      <c r="P1062" s="12">
        <v>-2.7591057000000001</v>
      </c>
      <c r="Q1062" s="12">
        <v>4.8107490999999998</v>
      </c>
      <c r="R1062" s="12">
        <v>-11.51275</v>
      </c>
      <c r="S1062" s="12">
        <f t="shared" si="182"/>
        <v>2.9181451293501888</v>
      </c>
      <c r="T1062" s="12">
        <f t="shared" si="183"/>
        <v>-27.134958146967076</v>
      </c>
      <c r="U1062" s="8"/>
      <c r="V1062" s="8"/>
    </row>
    <row r="1063" spans="1:22" x14ac:dyDescent="0.35">
      <c r="A1063" s="10">
        <v>5</v>
      </c>
      <c r="B1063">
        <v>15.375</v>
      </c>
      <c r="C1063" s="10">
        <v>-0.11007467999999999</v>
      </c>
      <c r="D1063" s="10">
        <v>-0.11802052</v>
      </c>
      <c r="E1063" s="10">
        <v>0.88994479000000004</v>
      </c>
      <c r="F1063" s="10">
        <v>-0.12489863</v>
      </c>
      <c r="G1063" s="10">
        <f t="shared" si="174"/>
        <v>1.54834017249659</v>
      </c>
      <c r="H1063" s="10">
        <f t="shared" si="175"/>
        <v>-2.2586899258137501</v>
      </c>
      <c r="I1063" s="10">
        <f t="shared" si="176"/>
        <v>1.54836173401583</v>
      </c>
      <c r="J1063" s="10">
        <f t="shared" si="177"/>
        <v>-2.2621288731843401</v>
      </c>
      <c r="K1063" s="7">
        <f t="shared" si="178"/>
        <v>-2.1561519240043098E-5</v>
      </c>
      <c r="L1063" s="7">
        <f t="shared" si="179"/>
        <v>3.4389473705900299E-3</v>
      </c>
      <c r="M1063" s="7">
        <f t="shared" si="180"/>
        <v>0.20604572504698301</v>
      </c>
      <c r="N1063" s="7">
        <f t="shared" si="181"/>
        <v>0.30102912877864701</v>
      </c>
      <c r="O1063" s="10">
        <v>3.2840324999999999</v>
      </c>
      <c r="P1063" s="10">
        <v>-2.9422988000000001</v>
      </c>
      <c r="Q1063" s="10">
        <v>4.6207959000000001</v>
      </c>
      <c r="R1063" s="10">
        <v>-12.040113</v>
      </c>
      <c r="S1063" s="10">
        <f t="shared" si="182"/>
        <v>2.9248037985915336</v>
      </c>
      <c r="T1063" s="10">
        <f t="shared" si="183"/>
        <v>-27.145565907346622</v>
      </c>
      <c r="U1063" s="8"/>
      <c r="V1063" s="8"/>
    </row>
    <row r="1064" spans="1:22" x14ac:dyDescent="0.35">
      <c r="A1064" s="12">
        <v>5</v>
      </c>
      <c r="B1064">
        <v>15.4375</v>
      </c>
      <c r="C1064" s="12">
        <v>-0.1176101</v>
      </c>
      <c r="D1064" s="12">
        <v>-0.11856754999999999</v>
      </c>
      <c r="E1064" s="12">
        <v>0.88241281999999999</v>
      </c>
      <c r="F1064" s="12">
        <v>-0.12554568999999999</v>
      </c>
      <c r="G1064" s="12">
        <f t="shared" si="174"/>
        <v>1.54680096114494</v>
      </c>
      <c r="H1064" s="12">
        <f t="shared" si="175"/>
        <v>-2.12265976598637</v>
      </c>
      <c r="I1064" s="12">
        <f t="shared" si="176"/>
        <v>1.5468245940563701</v>
      </c>
      <c r="J1064" s="12">
        <f t="shared" si="177"/>
        <v>-2.1261487135461499</v>
      </c>
      <c r="K1064" s="7">
        <f t="shared" si="178"/>
        <v>-2.3632911430038199E-5</v>
      </c>
      <c r="L1064" s="7">
        <f t="shared" si="179"/>
        <v>3.48894755977991E-3</v>
      </c>
      <c r="M1064" s="7">
        <f t="shared" si="180"/>
        <v>0.22375025460109901</v>
      </c>
      <c r="N1064" s="7">
        <f t="shared" si="181"/>
        <v>0.30755026639976901</v>
      </c>
      <c r="O1064" s="12">
        <v>3.2910221000000002</v>
      </c>
      <c r="P1064" s="12">
        <v>-3.1353639000000002</v>
      </c>
      <c r="Q1064" s="12">
        <v>4.3888185999999996</v>
      </c>
      <c r="R1064" s="12">
        <v>-12.580662</v>
      </c>
      <c r="S1064" s="12">
        <f t="shared" si="182"/>
        <v>2.9313154570657547</v>
      </c>
      <c r="T1064" s="12">
        <f t="shared" si="183"/>
        <v>-27.155984056878371</v>
      </c>
      <c r="U1064" s="8"/>
      <c r="V1064" s="8"/>
    </row>
    <row r="1065" spans="1:22" x14ac:dyDescent="0.35">
      <c r="A1065" s="10">
        <v>5</v>
      </c>
      <c r="B1065">
        <v>15.5</v>
      </c>
      <c r="C1065" s="10">
        <v>-0.12553610000000001</v>
      </c>
      <c r="D1065" s="10">
        <v>-0.11864868000000001</v>
      </c>
      <c r="E1065" s="10">
        <v>0.87448988000000005</v>
      </c>
      <c r="F1065" s="10">
        <v>-0.12572939999999999</v>
      </c>
      <c r="G1065" s="10">
        <f t="shared" si="174"/>
        <v>1.54525609362937</v>
      </c>
      <c r="H1065" s="10">
        <f t="shared" si="175"/>
        <v>-1.98917353170453</v>
      </c>
      <c r="I1065" s="10">
        <f t="shared" si="176"/>
        <v>1.54528161696403</v>
      </c>
      <c r="J1065" s="10">
        <f t="shared" si="177"/>
        <v>-1.9927137553552201</v>
      </c>
      <c r="K1065" s="7">
        <f t="shared" si="178"/>
        <v>-2.55233346599937E-5</v>
      </c>
      <c r="L1065" s="7">
        <f t="shared" si="179"/>
        <v>3.5402236506900699E-3</v>
      </c>
      <c r="M1065" s="7">
        <f t="shared" si="180"/>
        <v>0.243014530098944</v>
      </c>
      <c r="N1065" s="7">
        <f t="shared" si="181"/>
        <v>0.31337873405286498</v>
      </c>
      <c r="O1065" s="10">
        <v>3.2856839</v>
      </c>
      <c r="P1065" s="10">
        <v>-3.3378625</v>
      </c>
      <c r="Q1065" s="10">
        <v>4.1106518000000003</v>
      </c>
      <c r="R1065" s="10">
        <v>-13.131178999999999</v>
      </c>
      <c r="S1065" s="10">
        <f t="shared" si="182"/>
        <v>2.9377530732318933</v>
      </c>
      <c r="T1065" s="10">
        <f t="shared" si="183"/>
        <v>-27.16617215877487</v>
      </c>
      <c r="U1065" s="8"/>
      <c r="V1065" s="8"/>
    </row>
    <row r="1066" spans="1:22" x14ac:dyDescent="0.35">
      <c r="A1066" s="12">
        <v>5</v>
      </c>
      <c r="B1066">
        <v>15.5625</v>
      </c>
      <c r="C1066" s="12">
        <v>-0.13382946000000001</v>
      </c>
      <c r="D1066" s="12">
        <v>-0.11819257</v>
      </c>
      <c r="E1066" s="12">
        <v>0.86619928000000002</v>
      </c>
      <c r="F1066" s="12">
        <v>-0.12537788</v>
      </c>
      <c r="G1066" s="12">
        <f t="shared" si="174"/>
        <v>1.54370623183068</v>
      </c>
      <c r="H1066" s="12">
        <f t="shared" si="175"/>
        <v>-1.85819490524918</v>
      </c>
      <c r="I1066" s="12">
        <f t="shared" si="176"/>
        <v>1.5437335080711401</v>
      </c>
      <c r="J1066" s="12">
        <f t="shared" si="177"/>
        <v>-1.8617874106307499</v>
      </c>
      <c r="K1066" s="7">
        <f t="shared" si="178"/>
        <v>-2.7276240460061301E-5</v>
      </c>
      <c r="L1066" s="7">
        <f t="shared" si="179"/>
        <v>3.5925053815699698E-3</v>
      </c>
      <c r="M1066" s="7">
        <f t="shared" si="180"/>
        <v>0.26391469406415702</v>
      </c>
      <c r="N1066" s="7">
        <f t="shared" si="181"/>
        <v>0.31828877997410798</v>
      </c>
      <c r="O1066" s="12">
        <v>3.2661311999999998</v>
      </c>
      <c r="P1066" s="12">
        <v>-3.5490230999999999</v>
      </c>
      <c r="Q1066" s="12">
        <v>3.7821501999999998</v>
      </c>
      <c r="R1066" s="12">
        <v>-13.687334999999999</v>
      </c>
      <c r="S1066" s="12">
        <f t="shared" si="182"/>
        <v>2.9441655177142976</v>
      </c>
      <c r="T1066" s="12">
        <f t="shared" si="183"/>
        <v>-27.176263699203115</v>
      </c>
      <c r="U1066" s="8"/>
      <c r="V1066" s="8"/>
    </row>
    <row r="1067" spans="1:22" x14ac:dyDescent="0.35">
      <c r="A1067" s="10">
        <v>5</v>
      </c>
      <c r="B1067">
        <v>15.625</v>
      </c>
      <c r="C1067" s="10">
        <v>-0.14245447999999999</v>
      </c>
      <c r="D1067" s="10">
        <v>-0.11712511</v>
      </c>
      <c r="E1067" s="10">
        <v>0.85757686</v>
      </c>
      <c r="F1067" s="10">
        <v>-0.12441637999999999</v>
      </c>
      <c r="G1067" s="10">
        <f t="shared" si="174"/>
        <v>1.54215486634745</v>
      </c>
      <c r="H1067" s="10">
        <f t="shared" si="175"/>
        <v>-1.7296878918235199</v>
      </c>
      <c r="I1067" s="10">
        <f t="shared" si="176"/>
        <v>1.54218382595506</v>
      </c>
      <c r="J1067" s="10">
        <f t="shared" si="177"/>
        <v>-1.7333333641227999</v>
      </c>
      <c r="K1067" s="7">
        <f t="shared" si="178"/>
        <v>-2.8959607609957399E-5</v>
      </c>
      <c r="L1067" s="7">
        <f t="shared" si="179"/>
        <v>3.6454722992800299E-3</v>
      </c>
      <c r="M1067" s="7">
        <f t="shared" si="180"/>
        <v>0.28650346363997498</v>
      </c>
      <c r="N1067" s="7">
        <f t="shared" si="181"/>
        <v>0.32201479752672801</v>
      </c>
      <c r="O1067" s="10">
        <v>3.2306384000000001</v>
      </c>
      <c r="P1067" s="10">
        <v>-3.7679795</v>
      </c>
      <c r="Q1067" s="10">
        <v>3.3995323000000002</v>
      </c>
      <c r="R1067" s="10">
        <v>-14.243981</v>
      </c>
      <c r="S1067" s="10">
        <f t="shared" si="182"/>
        <v>2.9504429838846216</v>
      </c>
      <c r="T1067" s="10">
        <f t="shared" si="183"/>
        <v>-27.186189108208826</v>
      </c>
      <c r="U1067" s="8"/>
      <c r="V1067" s="8"/>
    </row>
    <row r="1068" spans="1:22" x14ac:dyDescent="0.35">
      <c r="A1068" s="12">
        <v>5</v>
      </c>
      <c r="B1068">
        <v>15.6875</v>
      </c>
      <c r="C1068" s="12">
        <v>-0.15136195</v>
      </c>
      <c r="D1068" s="12">
        <v>-0.11537138</v>
      </c>
      <c r="E1068" s="12">
        <v>0.84867135000000005</v>
      </c>
      <c r="F1068" s="12">
        <v>-0.12277026000000001</v>
      </c>
      <c r="G1068" s="12">
        <f t="shared" si="174"/>
        <v>1.54059965411973</v>
      </c>
      <c r="H1068" s="12">
        <f t="shared" si="175"/>
        <v>-1.6036027998339499</v>
      </c>
      <c r="I1068" s="12">
        <f t="shared" si="176"/>
        <v>1.54062998882795</v>
      </c>
      <c r="J1068" s="12">
        <f t="shared" si="177"/>
        <v>-1.6073020660197399</v>
      </c>
      <c r="K1068" s="7">
        <f t="shared" si="178"/>
        <v>-3.0334708220003399E-5</v>
      </c>
      <c r="L1068" s="7">
        <f t="shared" si="179"/>
        <v>3.6992661857899699E-3</v>
      </c>
      <c r="M1068" s="7">
        <f t="shared" si="180"/>
        <v>0.31080133250230602</v>
      </c>
      <c r="N1068" s="7">
        <f t="shared" si="181"/>
        <v>0.32425152533391899</v>
      </c>
      <c r="O1068" s="12">
        <v>3.1773601</v>
      </c>
      <c r="P1068" s="12">
        <v>-3.9934069000000001</v>
      </c>
      <c r="Q1068" s="12">
        <v>2.9594513999999998</v>
      </c>
      <c r="R1068" s="12">
        <v>-14.795029</v>
      </c>
      <c r="S1068" s="12">
        <f t="shared" si="182"/>
        <v>2.9565838615372897</v>
      </c>
      <c r="T1068" s="12">
        <f t="shared" si="183"/>
        <v>-27.195971980354614</v>
      </c>
      <c r="U1068" s="8"/>
      <c r="V1068" s="8"/>
    </row>
    <row r="1069" spans="1:22" x14ac:dyDescent="0.35">
      <c r="A1069" s="10">
        <v>5</v>
      </c>
      <c r="B1069">
        <v>15.75</v>
      </c>
      <c r="C1069" s="10">
        <v>-0.16048652999999999</v>
      </c>
      <c r="D1069" s="10">
        <v>-0.11285865</v>
      </c>
      <c r="E1069" s="10">
        <v>0.83954781999999994</v>
      </c>
      <c r="F1069" s="10">
        <v>-0.12036698</v>
      </c>
      <c r="G1069" s="10">
        <f t="shared" si="174"/>
        <v>1.5390388258432</v>
      </c>
      <c r="H1069" s="10">
        <f t="shared" si="175"/>
        <v>-1.4799005133832901</v>
      </c>
      <c r="I1069" s="10">
        <f t="shared" si="176"/>
        <v>1.5390700933783099</v>
      </c>
      <c r="J1069" s="10">
        <f t="shared" si="177"/>
        <v>-1.4836544965251499</v>
      </c>
      <c r="K1069" s="7">
        <f t="shared" si="178"/>
        <v>-3.12675351099578E-5</v>
      </c>
      <c r="L1069" s="7">
        <f t="shared" si="179"/>
        <v>3.7539831418598201E-3</v>
      </c>
      <c r="M1069" s="7">
        <f t="shared" si="180"/>
        <v>0.336779226810556</v>
      </c>
      <c r="N1069" s="7">
        <f t="shared" si="181"/>
        <v>0.32465318918449398</v>
      </c>
      <c r="O1069" s="10">
        <v>3.1042746999999999</v>
      </c>
      <c r="P1069" s="10">
        <v>-4.2232333000000004</v>
      </c>
      <c r="Q1069" s="10">
        <v>2.4592874999999998</v>
      </c>
      <c r="R1069" s="10">
        <v>-15.333287</v>
      </c>
      <c r="S1069" s="10">
        <f t="shared" si="182"/>
        <v>2.9628097027625961</v>
      </c>
      <c r="T1069" s="10">
        <f t="shared" si="183"/>
        <v>-27.205636262815553</v>
      </c>
      <c r="U1069" s="8"/>
      <c r="V1069" s="8"/>
    </row>
    <row r="1070" spans="1:22" x14ac:dyDescent="0.35">
      <c r="A1070" s="12">
        <v>5</v>
      </c>
      <c r="B1070">
        <v>15.8125</v>
      </c>
      <c r="C1070" s="12">
        <v>-0.16975409999999999</v>
      </c>
      <c r="D1070" s="12">
        <v>-0.10951553999999999</v>
      </c>
      <c r="E1070" s="12">
        <v>0.83019966999999995</v>
      </c>
      <c r="F1070" s="12">
        <v>-0.11724953</v>
      </c>
      <c r="G1070" s="12">
        <f t="shared" si="174"/>
        <v>1.5366837144871499</v>
      </c>
      <c r="H1070" s="12">
        <f t="shared" si="175"/>
        <v>-1.35822481121823</v>
      </c>
      <c r="I1070" s="12">
        <f t="shared" si="176"/>
        <v>1.5366755534165399</v>
      </c>
      <c r="J1070" s="12">
        <f t="shared" si="177"/>
        <v>-1.3620919271654399</v>
      </c>
      <c r="K1070" s="7">
        <f t="shared" si="178"/>
        <v>8.1610706099688508E-6</v>
      </c>
      <c r="L1070" s="7">
        <f t="shared" si="179"/>
        <v>3.8671159472098999E-3</v>
      </c>
      <c r="M1070" s="7">
        <f t="shared" si="180"/>
        <v>0.36442902753440198</v>
      </c>
      <c r="N1070" s="7">
        <f t="shared" si="181"/>
        <v>0.32302579118001201</v>
      </c>
      <c r="O1070" s="12">
        <v>3.0101703</v>
      </c>
      <c r="P1070" s="12">
        <v>-4.4559924999999998</v>
      </c>
      <c r="Q1070" s="12">
        <v>1.8968449999999999</v>
      </c>
      <c r="R1070" s="12">
        <v>-15.850731</v>
      </c>
      <c r="S1070" s="12">
        <f t="shared" si="182"/>
        <v>2.9686593832715764</v>
      </c>
      <c r="T1070" s="12">
        <f t="shared" si="183"/>
        <v>-27.216236573631139</v>
      </c>
      <c r="U1070" s="8"/>
      <c r="V1070" s="8"/>
    </row>
    <row r="1071" spans="1:22" x14ac:dyDescent="0.35">
      <c r="A1071" s="10">
        <v>5</v>
      </c>
      <c r="B1071">
        <v>15.875</v>
      </c>
      <c r="C1071" s="10">
        <v>-0.17905366</v>
      </c>
      <c r="D1071" s="10">
        <v>-0.10529035</v>
      </c>
      <c r="E1071" s="10">
        <v>0.82089299000000004</v>
      </c>
      <c r="F1071" s="10">
        <v>-0.11313380000000001</v>
      </c>
      <c r="G1071" s="10">
        <f t="shared" si="174"/>
        <v>1.53514619209113</v>
      </c>
      <c r="H1071" s="10">
        <f t="shared" si="175"/>
        <v>-1.2391687594060401</v>
      </c>
      <c r="I1071" s="10">
        <f t="shared" si="176"/>
        <v>1.5351348973008001</v>
      </c>
      <c r="J1071" s="10">
        <f t="shared" si="177"/>
        <v>-1.2430906333170899</v>
      </c>
      <c r="K1071" s="7">
        <f t="shared" si="178"/>
        <v>1.12947903299077E-5</v>
      </c>
      <c r="L1071" s="7">
        <f t="shared" si="179"/>
        <v>3.9218739110498096E-3</v>
      </c>
      <c r="M1071" s="7">
        <f t="shared" si="180"/>
        <v>0.393431301570278</v>
      </c>
      <c r="N1071" s="7">
        <f t="shared" si="181"/>
        <v>0.31858487921529799</v>
      </c>
      <c r="O1071" s="10">
        <v>2.8932832999999998</v>
      </c>
      <c r="P1071" s="10">
        <v>-4.6883600000000003</v>
      </c>
      <c r="Q1071" s="10">
        <v>1.2726462999999999</v>
      </c>
      <c r="R1071" s="10">
        <v>-16.338521</v>
      </c>
      <c r="S1071" s="10">
        <f t="shared" si="182"/>
        <v>2.974636889315978</v>
      </c>
      <c r="T1071" s="10">
        <f t="shared" si="183"/>
        <v>-27.225676524396992</v>
      </c>
      <c r="U1071" s="8"/>
      <c r="V1071" s="8"/>
    </row>
    <row r="1072" spans="1:22" x14ac:dyDescent="0.35">
      <c r="A1072" s="12">
        <v>5</v>
      </c>
      <c r="B1072">
        <v>15.9375</v>
      </c>
      <c r="C1072" s="12">
        <v>-0.18827678</v>
      </c>
      <c r="D1072" s="12">
        <v>-0.100136</v>
      </c>
      <c r="E1072" s="12">
        <v>0.81166207000000001</v>
      </c>
      <c r="F1072" s="12">
        <v>-0.10809009999999999</v>
      </c>
      <c r="G1072" s="12">
        <f t="shared" si="174"/>
        <v>1.53359983142182</v>
      </c>
      <c r="H1072" s="12">
        <f t="shared" si="175"/>
        <v>-1.1223621181975101</v>
      </c>
      <c r="I1072" s="12">
        <f t="shared" si="176"/>
        <v>1.5335850736143499</v>
      </c>
      <c r="J1072" s="12">
        <f t="shared" si="177"/>
        <v>-1.12633934849387</v>
      </c>
      <c r="K1072" s="7">
        <f t="shared" si="178"/>
        <v>1.4757807470067201E-5</v>
      </c>
      <c r="L1072" s="7">
        <f t="shared" si="179"/>
        <v>3.9772302963598802E-3</v>
      </c>
      <c r="M1072" s="7">
        <f t="shared" si="180"/>
        <v>0.42358102939589998</v>
      </c>
      <c r="N1072" s="7">
        <f t="shared" si="181"/>
        <v>0.31109847695617099</v>
      </c>
      <c r="O1072" s="12">
        <v>2.7527531999999999</v>
      </c>
      <c r="P1072" s="12">
        <v>-4.9176124999999997</v>
      </c>
      <c r="Q1072" s="12">
        <v>0.58739089</v>
      </c>
      <c r="R1072" s="12">
        <v>-16.787118</v>
      </c>
      <c r="S1072" s="12">
        <f t="shared" si="182"/>
        <v>2.9805591664587152</v>
      </c>
      <c r="T1072" s="12">
        <f t="shared" si="183"/>
        <v>-27.234987274363807</v>
      </c>
      <c r="U1072" s="8"/>
      <c r="V1072" s="8"/>
    </row>
    <row r="1073" spans="1:22" x14ac:dyDescent="0.35">
      <c r="A1073" s="10">
        <v>5</v>
      </c>
      <c r="B1073">
        <v>16</v>
      </c>
      <c r="C1073" s="10">
        <v>-0.19729488000000001</v>
      </c>
      <c r="D1073" s="10">
        <v>-9.4026724000000006E-2</v>
      </c>
      <c r="E1073" s="10">
        <v>0.80263594000000005</v>
      </c>
      <c r="F1073" s="10">
        <v>-0.10209239000000001</v>
      </c>
      <c r="G1073" s="10">
        <f t="shared" si="174"/>
        <v>1.53204613200955</v>
      </c>
      <c r="H1073" s="10">
        <f t="shared" si="175"/>
        <v>-1.00777002812601</v>
      </c>
      <c r="I1073" s="10">
        <f t="shared" si="176"/>
        <v>1.5320278059782999</v>
      </c>
      <c r="J1073" s="10">
        <f t="shared" si="177"/>
        <v>-1.01180307453491</v>
      </c>
      <c r="K1073" s="7">
        <f t="shared" si="178"/>
        <v>1.8326031250070999E-5</v>
      </c>
      <c r="L1073" s="7">
        <f t="shared" si="179"/>
        <v>4.0330464089000104E-3</v>
      </c>
      <c r="M1073" s="7">
        <f t="shared" si="180"/>
        <v>0.45449239452245499</v>
      </c>
      <c r="N1073" s="7">
        <f t="shared" si="181"/>
        <v>0.300162177433133</v>
      </c>
      <c r="O1073" s="10">
        <v>2.5881069999999999</v>
      </c>
      <c r="P1073" s="10">
        <v>-5.1404822000000001</v>
      </c>
      <c r="Q1073" s="10">
        <v>-0.15599238000000001</v>
      </c>
      <c r="R1073" s="10">
        <v>-17.186738999999999</v>
      </c>
      <c r="S1073" s="10">
        <f t="shared" si="182"/>
        <v>2.9863966326731921</v>
      </c>
      <c r="T1073" s="10">
        <f t="shared" si="183"/>
        <v>-27.244156839134533</v>
      </c>
      <c r="U1073" s="8"/>
      <c r="V1073" s="8"/>
    </row>
    <row r="1074" spans="1:22" x14ac:dyDescent="0.35">
      <c r="A1074" s="12">
        <v>5</v>
      </c>
      <c r="B1074">
        <v>16.0625</v>
      </c>
      <c r="C1074" s="12">
        <v>-0.20596980000000001</v>
      </c>
      <c r="D1074" s="12">
        <v>-8.6958277E-2</v>
      </c>
      <c r="E1074" s="12">
        <v>0.79395557999999999</v>
      </c>
      <c r="F1074" s="12">
        <v>-9.5135476999999996E-2</v>
      </c>
      <c r="G1074" s="12">
        <f t="shared" si="174"/>
        <v>1.5304986760563699</v>
      </c>
      <c r="H1074" s="12">
        <f t="shared" si="175"/>
        <v>-0.89534997610187805</v>
      </c>
      <c r="I1074" s="12">
        <f t="shared" si="176"/>
        <v>1.5304780829059801</v>
      </c>
      <c r="J1074" s="12">
        <f t="shared" si="177"/>
        <v>-0.899438812853531</v>
      </c>
      <c r="K1074" s="7">
        <f t="shared" si="178"/>
        <v>2.0593150389824899E-5</v>
      </c>
      <c r="L1074" s="7">
        <f t="shared" si="179"/>
        <v>4.0888367516529502E-3</v>
      </c>
      <c r="M1074" s="7">
        <f t="shared" si="180"/>
        <v>0.48565740417707198</v>
      </c>
      <c r="N1074" s="7">
        <f t="shared" si="181"/>
        <v>0.28541350833142798</v>
      </c>
      <c r="O1074" s="12">
        <v>2.3993907999999999</v>
      </c>
      <c r="P1074" s="12">
        <v>-5.3534173000000003</v>
      </c>
      <c r="Q1074" s="12">
        <v>-0.95274124999999998</v>
      </c>
      <c r="R1074" s="12">
        <v>-17.527733999999999</v>
      </c>
      <c r="S1074" s="12">
        <f t="shared" si="182"/>
        <v>2.9921630030495927</v>
      </c>
      <c r="T1074" s="12">
        <f t="shared" si="183"/>
        <v>-27.253145821668394</v>
      </c>
      <c r="U1074" s="8"/>
      <c r="V1074" s="8"/>
    </row>
    <row r="1075" spans="1:22" x14ac:dyDescent="0.35">
      <c r="A1075" s="10">
        <v>5</v>
      </c>
      <c r="B1075">
        <v>16.125</v>
      </c>
      <c r="C1075" s="10">
        <v>-0.21420454999999999</v>
      </c>
      <c r="D1075" s="10">
        <v>-7.8891536999999998E-2</v>
      </c>
      <c r="E1075" s="10">
        <v>0.78571687000000001</v>
      </c>
      <c r="F1075" s="10">
        <v>-8.7177557000000003E-2</v>
      </c>
      <c r="G1075" s="10">
        <f t="shared" si="174"/>
        <v>1.5290213371232</v>
      </c>
      <c r="H1075" s="10">
        <f t="shared" si="175"/>
        <v>-0.78431246637723695</v>
      </c>
      <c r="I1075" s="10">
        <f t="shared" si="176"/>
        <v>1.52899921183997</v>
      </c>
      <c r="J1075" s="10">
        <f t="shared" si="177"/>
        <v>-0.788455730831366</v>
      </c>
      <c r="K1075" s="7">
        <f t="shared" si="178"/>
        <v>2.2125283229979E-5</v>
      </c>
      <c r="L1075" s="7">
        <f t="shared" si="179"/>
        <v>4.1432644541290501E-3</v>
      </c>
      <c r="M1075" s="7">
        <f t="shared" si="180"/>
        <v>0.51664087854964602</v>
      </c>
      <c r="N1075" s="7">
        <f t="shared" si="181"/>
        <v>0.26641508924260698</v>
      </c>
      <c r="O1075" s="10">
        <v>2.1857839000000001</v>
      </c>
      <c r="P1075" s="10">
        <v>-5.5537888999999998</v>
      </c>
      <c r="Q1075" s="10">
        <v>-1.8016799999999999</v>
      </c>
      <c r="R1075" s="10">
        <v>-17.802392000000001</v>
      </c>
      <c r="S1075" s="10">
        <f t="shared" si="182"/>
        <v>2.9979931377816214</v>
      </c>
      <c r="T1075" s="10">
        <f t="shared" si="183"/>
        <v>-27.26183227534008</v>
      </c>
      <c r="U1075" s="8"/>
      <c r="V1075" s="8"/>
    </row>
    <row r="1076" spans="1:22" x14ac:dyDescent="0.35">
      <c r="A1076" s="12">
        <v>5</v>
      </c>
      <c r="B1076">
        <v>16.1875</v>
      </c>
      <c r="C1076" s="12">
        <v>-0.22174463999999999</v>
      </c>
      <c r="D1076" s="12">
        <v>-7.0010621999999995E-2</v>
      </c>
      <c r="E1076" s="12">
        <v>0.77816801999999996</v>
      </c>
      <c r="F1076" s="12">
        <v>-7.8407721E-2</v>
      </c>
      <c r="G1076" s="12">
        <f t="shared" si="174"/>
        <v>1.52743760193255</v>
      </c>
      <c r="H1076" s="12">
        <f t="shared" si="175"/>
        <v>-0.67626590133792897</v>
      </c>
      <c r="I1076" s="12">
        <f t="shared" si="176"/>
        <v>1.5274115598421301</v>
      </c>
      <c r="J1076" s="12">
        <f t="shared" si="177"/>
        <v>-0.68046474354037501</v>
      </c>
      <c r="K1076" s="7">
        <f t="shared" si="178"/>
        <v>2.60420904198977E-5</v>
      </c>
      <c r="L1076" s="7">
        <f t="shared" si="179"/>
        <v>4.1988422024460403E-3</v>
      </c>
      <c r="M1076" s="7">
        <f t="shared" si="180"/>
        <v>0.54628095166784196</v>
      </c>
      <c r="N1076" s="7">
        <f t="shared" si="181"/>
        <v>0.243369198879228</v>
      </c>
      <c r="O1076" s="12">
        <v>1.9521786999999999</v>
      </c>
      <c r="P1076" s="12">
        <v>-5.7355349999999996</v>
      </c>
      <c r="Q1076" s="12">
        <v>-2.6815023999999998</v>
      </c>
      <c r="R1076" s="12">
        <v>-17.999231000000002</v>
      </c>
      <c r="S1076" s="12">
        <f t="shared" si="182"/>
        <v>3.0036142679837488</v>
      </c>
      <c r="T1076" s="12">
        <f t="shared" si="183"/>
        <v>-27.270336527461517</v>
      </c>
      <c r="U1076" s="8"/>
      <c r="V1076" s="8"/>
    </row>
    <row r="1077" spans="1:22" x14ac:dyDescent="0.35">
      <c r="A1077" s="10">
        <v>5</v>
      </c>
      <c r="B1077">
        <v>16.25</v>
      </c>
      <c r="C1077" s="10">
        <v>-0.22851666000000001</v>
      </c>
      <c r="D1077" s="10">
        <v>-6.0327125000000002E-2</v>
      </c>
      <c r="E1077" s="10">
        <v>0.77138879999999999</v>
      </c>
      <c r="F1077" s="10">
        <v>-6.8837535000000005E-2</v>
      </c>
      <c r="G1077" s="10">
        <f t="shared" si="174"/>
        <v>1.5258470487131499</v>
      </c>
      <c r="H1077" s="10">
        <f t="shared" si="175"/>
        <v>-0.57028530510224795</v>
      </c>
      <c r="I1077" s="10">
        <f t="shared" si="176"/>
        <v>1.5258178854882201</v>
      </c>
      <c r="J1077" s="10">
        <f t="shared" si="177"/>
        <v>-0.574540835356664</v>
      </c>
      <c r="K1077" s="7">
        <f t="shared" si="178"/>
        <v>2.9163224929851198E-5</v>
      </c>
      <c r="L1077" s="7">
        <f t="shared" si="179"/>
        <v>4.2555302544160503E-3</v>
      </c>
      <c r="M1077" s="7">
        <f t="shared" si="180"/>
        <v>0.57400041492383103</v>
      </c>
      <c r="N1077" s="7">
        <f t="shared" si="181"/>
        <v>0.21613764068566199</v>
      </c>
      <c r="O1077" s="10">
        <v>1.6990432</v>
      </c>
      <c r="P1077" s="10">
        <v>-5.8967196</v>
      </c>
      <c r="Q1077" s="10">
        <v>-3.5884087999999998</v>
      </c>
      <c r="R1077" s="10">
        <v>-18.113904999999999</v>
      </c>
      <c r="S1077" s="10">
        <f t="shared" si="182"/>
        <v>3.0091376620946302</v>
      </c>
      <c r="T1077" s="10">
        <f t="shared" si="183"/>
        <v>-27.278824029290373</v>
      </c>
      <c r="U1077" s="8"/>
      <c r="V1077" s="8"/>
    </row>
    <row r="1078" spans="1:22" x14ac:dyDescent="0.35">
      <c r="A1078" s="12">
        <v>5</v>
      </c>
      <c r="B1078">
        <v>16.3125</v>
      </c>
      <c r="C1078" s="12">
        <v>-0.23439852999999999</v>
      </c>
      <c r="D1078" s="12">
        <v>-4.9948153000000002E-2</v>
      </c>
      <c r="E1078" s="12">
        <v>0.76550052999999996</v>
      </c>
      <c r="F1078" s="12">
        <v>-5.8573671000000001E-2</v>
      </c>
      <c r="G1078" s="12">
        <f t="shared" si="174"/>
        <v>1.52424880673247</v>
      </c>
      <c r="H1078" s="12">
        <f t="shared" si="175"/>
        <v>-0.46633220473549603</v>
      </c>
      <c r="I1078" s="12">
        <f t="shared" si="176"/>
        <v>1.5242169365457601</v>
      </c>
      <c r="J1078" s="12">
        <f t="shared" si="177"/>
        <v>-0.470645318866799</v>
      </c>
      <c r="K1078" s="7">
        <f t="shared" si="178"/>
        <v>3.1870186709914698E-5</v>
      </c>
      <c r="L1078" s="7">
        <f t="shared" si="179"/>
        <v>4.3131141313029796E-3</v>
      </c>
      <c r="M1078" s="7">
        <f t="shared" si="180"/>
        <v>0.59896664078846895</v>
      </c>
      <c r="N1078" s="7">
        <f t="shared" si="181"/>
        <v>0.184947981409601</v>
      </c>
      <c r="O1078" s="12">
        <v>1.4292354</v>
      </c>
      <c r="P1078" s="12">
        <v>-6.0342675999999997</v>
      </c>
      <c r="Q1078" s="12">
        <v>-4.5105405000000003</v>
      </c>
      <c r="R1078" s="12">
        <v>-18.141916999999999</v>
      </c>
      <c r="S1078" s="12">
        <f t="shared" si="182"/>
        <v>3.0146059113844927</v>
      </c>
      <c r="T1078" s="12">
        <f t="shared" si="183"/>
        <v>-27.287222490352743</v>
      </c>
      <c r="U1078" s="8"/>
      <c r="V1078" s="8"/>
    </row>
    <row r="1079" spans="1:22" x14ac:dyDescent="0.35">
      <c r="A1079" s="10">
        <v>5</v>
      </c>
      <c r="B1079">
        <v>16.375</v>
      </c>
      <c r="C1079" s="10">
        <v>-0.23928798000000001</v>
      </c>
      <c r="D1079" s="10">
        <v>-3.9008173E-2</v>
      </c>
      <c r="E1079" s="10">
        <v>0.7606058</v>
      </c>
      <c r="F1079" s="10">
        <v>-4.7750494999999997E-2</v>
      </c>
      <c r="G1079" s="10">
        <f t="shared" si="174"/>
        <v>1.5226431510018801</v>
      </c>
      <c r="H1079" s="10">
        <f t="shared" si="175"/>
        <v>-0.36440475182927601</v>
      </c>
      <c r="I1079" s="10">
        <f t="shared" si="176"/>
        <v>1.52260914790903</v>
      </c>
      <c r="J1079" s="10">
        <f t="shared" si="177"/>
        <v>-0.36877629363485498</v>
      </c>
      <c r="K1079" s="7">
        <f t="shared" si="178"/>
        <v>3.4003092850065601E-5</v>
      </c>
      <c r="L1079" s="7">
        <f t="shared" si="179"/>
        <v>4.3715418055789703E-3</v>
      </c>
      <c r="M1079" s="7">
        <f t="shared" si="180"/>
        <v>0.62037554506735504</v>
      </c>
      <c r="N1079" s="7">
        <f t="shared" si="181"/>
        <v>0.150255102884296</v>
      </c>
      <c r="O1079" s="10">
        <v>1.1463251999999999</v>
      </c>
      <c r="P1079" s="10">
        <v>-6.1457686000000002</v>
      </c>
      <c r="Q1079" s="10">
        <v>-5.4349147999999996</v>
      </c>
      <c r="R1079" s="10">
        <v>-18.081175000000002</v>
      </c>
      <c r="S1079" s="10">
        <f t="shared" si="182"/>
        <v>3.020002593005803</v>
      </c>
      <c r="T1079" s="10">
        <f t="shared" si="183"/>
        <v>-27.295496525051352</v>
      </c>
      <c r="U1079" s="8"/>
      <c r="V1079" s="8"/>
    </row>
    <row r="1080" spans="1:22" x14ac:dyDescent="0.35">
      <c r="A1080" s="12">
        <v>5</v>
      </c>
      <c r="B1080">
        <v>16.4375</v>
      </c>
      <c r="C1080" s="12">
        <v>-0.24310372</v>
      </c>
      <c r="D1080" s="12">
        <v>-2.768023E-2</v>
      </c>
      <c r="E1080" s="12">
        <v>0.75676027000000001</v>
      </c>
      <c r="F1080" s="12">
        <v>-3.6452150000000003E-2</v>
      </c>
      <c r="G1080" s="12">
        <f t="shared" si="174"/>
        <v>1.52104151287649</v>
      </c>
      <c r="H1080" s="12">
        <f t="shared" si="175"/>
        <v>-0.26431110039151601</v>
      </c>
      <c r="I1080" s="12">
        <f t="shared" si="176"/>
        <v>1.52099274345156</v>
      </c>
      <c r="J1080" s="12">
        <f t="shared" si="177"/>
        <v>-0.26869757259430599</v>
      </c>
      <c r="K1080" s="7">
        <f t="shared" si="178"/>
        <v>4.8769424930039703E-5</v>
      </c>
      <c r="L1080" s="7">
        <f t="shared" si="179"/>
        <v>4.3864722027899799E-3</v>
      </c>
      <c r="M1080" s="7">
        <f t="shared" si="180"/>
        <v>0.63756778438119299</v>
      </c>
      <c r="N1080" s="7">
        <f t="shared" si="181"/>
        <v>0.112632303319738</v>
      </c>
      <c r="O1080" s="12">
        <v>0.85462009999999999</v>
      </c>
      <c r="P1080" s="12">
        <v>-6.2294640000000001</v>
      </c>
      <c r="Q1080" s="12">
        <v>-6.3465556999999997</v>
      </c>
      <c r="R1080" s="12">
        <v>-17.932383000000002</v>
      </c>
      <c r="S1080" s="12">
        <f t="shared" si="182"/>
        <v>3.025269867295922</v>
      </c>
      <c r="T1080" s="12">
        <f t="shared" si="183"/>
        <v>-27.301324708629835</v>
      </c>
      <c r="U1080" s="8"/>
      <c r="V1080" s="8"/>
    </row>
    <row r="1081" spans="1:22" x14ac:dyDescent="0.35">
      <c r="A1081" s="10">
        <v>5</v>
      </c>
      <c r="B1081">
        <v>16.5</v>
      </c>
      <c r="C1081" s="10">
        <v>-0.24582013999999999</v>
      </c>
      <c r="D1081" s="10">
        <v>-1.6080881000000002E-2</v>
      </c>
      <c r="E1081" s="10">
        <v>0.75404693</v>
      </c>
      <c r="F1081" s="10">
        <v>-2.4969023999999999E-2</v>
      </c>
      <c r="G1081" s="10">
        <f t="shared" si="174"/>
        <v>1.51941036702037</v>
      </c>
      <c r="H1081" s="10">
        <f t="shared" si="175"/>
        <v>-0.16634249665110401</v>
      </c>
      <c r="I1081" s="10">
        <f t="shared" si="176"/>
        <v>1.5193636509223301</v>
      </c>
      <c r="J1081" s="10">
        <f t="shared" si="177"/>
        <v>-0.17078707116943001</v>
      </c>
      <c r="K1081" s="7">
        <f t="shared" si="178"/>
        <v>4.6716098039967202E-5</v>
      </c>
      <c r="L1081" s="7">
        <f t="shared" si="179"/>
        <v>4.4445745183259999E-3</v>
      </c>
      <c r="M1081" s="7">
        <f t="shared" si="180"/>
        <v>0.64995784973309201</v>
      </c>
      <c r="N1081" s="7">
        <f t="shared" si="181"/>
        <v>7.3059795442723494E-2</v>
      </c>
      <c r="O1081" s="10">
        <v>0.55753772000000001</v>
      </c>
      <c r="P1081" s="10">
        <v>-6.2846804000000001</v>
      </c>
      <c r="Q1081" s="10">
        <v>-7.2366894999999998</v>
      </c>
      <c r="R1081" s="10">
        <v>-17.698332000000001</v>
      </c>
      <c r="S1081" s="10">
        <f t="shared" si="182"/>
        <v>3.0305257812851494</v>
      </c>
      <c r="T1081" s="10">
        <f t="shared" si="183"/>
        <v>-27.308866442406639</v>
      </c>
      <c r="U1081" s="8"/>
      <c r="V1081" s="8"/>
    </row>
    <row r="1082" spans="1:22" x14ac:dyDescent="0.35">
      <c r="A1082" s="12">
        <v>5</v>
      </c>
      <c r="B1082">
        <v>16.5625</v>
      </c>
      <c r="C1082" s="12">
        <v>-0.24741541</v>
      </c>
      <c r="D1082" s="12">
        <v>-4.4136688000000002E-3</v>
      </c>
      <c r="E1082" s="12">
        <v>0.75245952999999999</v>
      </c>
      <c r="F1082" s="12">
        <v>-1.3420704E-2</v>
      </c>
      <c r="G1082" s="12">
        <f t="shared" si="174"/>
        <v>1.51778351688561</v>
      </c>
      <c r="H1082" s="12">
        <f t="shared" si="175"/>
        <v>-7.0452519293324301E-2</v>
      </c>
      <c r="I1082" s="12">
        <f t="shared" si="176"/>
        <v>1.5177412680397899</v>
      </c>
      <c r="J1082" s="12">
        <f t="shared" si="177"/>
        <v>-7.4956508796208798E-2</v>
      </c>
      <c r="K1082" s="7">
        <f t="shared" si="178"/>
        <v>4.22488458200476E-5</v>
      </c>
      <c r="L1082" s="7">
        <f t="shared" si="179"/>
        <v>4.5039895028844996E-3</v>
      </c>
      <c r="M1082" s="7">
        <f t="shared" si="180"/>
        <v>0.65727070315557301</v>
      </c>
      <c r="N1082" s="7">
        <f t="shared" si="181"/>
        <v>3.2460550608998301E-2</v>
      </c>
      <c r="O1082" s="12">
        <v>0.26009145</v>
      </c>
      <c r="P1082" s="12">
        <v>-6.3110796999999996</v>
      </c>
      <c r="Q1082" s="12">
        <v>-8.0904535000000006</v>
      </c>
      <c r="R1082" s="12">
        <v>-17.384674</v>
      </c>
      <c r="S1082" s="12">
        <f t="shared" si="182"/>
        <v>3.0357375281564458</v>
      </c>
      <c r="T1082" s="12">
        <f t="shared" si="183"/>
        <v>-27.316187264250008</v>
      </c>
      <c r="U1082" s="8"/>
      <c r="V1082" s="8"/>
    </row>
    <row r="1083" spans="1:22" x14ac:dyDescent="0.35">
      <c r="A1083" s="10">
        <v>5</v>
      </c>
      <c r="B1083">
        <v>16.625</v>
      </c>
      <c r="C1083" s="10">
        <v>-0.24791427999999999</v>
      </c>
      <c r="D1083" s="10">
        <v>7.1804928000000004E-3</v>
      </c>
      <c r="E1083" s="10">
        <v>0.75196640999999997</v>
      </c>
      <c r="F1083" s="10">
        <v>-1.9487775E-3</v>
      </c>
      <c r="G1083" s="10">
        <f t="shared" si="174"/>
        <v>1.5161360080494699</v>
      </c>
      <c r="H1083" s="10">
        <f t="shared" si="175"/>
        <v>2.3550398684159399E-2</v>
      </c>
      <c r="I1083" s="10">
        <f t="shared" si="176"/>
        <v>1.5160971886796799</v>
      </c>
      <c r="J1083" s="10">
        <f t="shared" si="177"/>
        <v>1.8985314007773101E-2</v>
      </c>
      <c r="K1083" s="7">
        <f t="shared" si="178"/>
        <v>3.8819369789999703E-5</v>
      </c>
      <c r="L1083" s="7">
        <f t="shared" si="179"/>
        <v>4.5650846763862999E-3</v>
      </c>
      <c r="M1083" s="7">
        <f t="shared" si="180"/>
        <v>0.65948490588934505</v>
      </c>
      <c r="N1083" s="7">
        <f t="shared" si="181"/>
        <v>-8.2583940628500607E-3</v>
      </c>
      <c r="O1083" s="10">
        <v>-3.4116291E-2</v>
      </c>
      <c r="P1083" s="10">
        <v>-6.309564</v>
      </c>
      <c r="Q1083" s="10">
        <v>-8.8990542999999995</v>
      </c>
      <c r="R1083" s="10">
        <v>-16.998351</v>
      </c>
      <c r="S1083" s="10">
        <f t="shared" si="182"/>
        <v>3.0408787060495377</v>
      </c>
      <c r="T1083" s="10">
        <f t="shared" si="183"/>
        <v>-27.323362516497848</v>
      </c>
      <c r="U1083" s="8"/>
      <c r="V1083" s="8"/>
    </row>
    <row r="1084" spans="1:22" x14ac:dyDescent="0.35">
      <c r="A1084" s="12">
        <v>5</v>
      </c>
      <c r="B1084">
        <v>16.6875</v>
      </c>
      <c r="C1084" s="12">
        <v>-0.24735894</v>
      </c>
      <c r="D1084" s="12">
        <v>1.8552399000000001E-2</v>
      </c>
      <c r="E1084" s="12">
        <v>0.75271082</v>
      </c>
      <c r="F1084" s="12">
        <v>9.2576719000000002E-3</v>
      </c>
      <c r="G1084" s="12">
        <f t="shared" si="174"/>
        <v>1.51524082873539</v>
      </c>
      <c r="H1084" s="12">
        <f t="shared" si="175"/>
        <v>0.115625781461921</v>
      </c>
      <c r="I1084" s="12">
        <f t="shared" si="176"/>
        <v>1.5152973027805401</v>
      </c>
      <c r="J1084" s="12">
        <f t="shared" si="177"/>
        <v>0.110978842452573</v>
      </c>
      <c r="K1084" s="7">
        <f t="shared" si="178"/>
        <v>-5.6474045150078902E-5</v>
      </c>
      <c r="L1084" s="7">
        <f t="shared" si="179"/>
        <v>4.6469390093479999E-3</v>
      </c>
      <c r="M1084" s="7">
        <f t="shared" si="180"/>
        <v>0.65641552130733305</v>
      </c>
      <c r="N1084" s="7">
        <f t="shared" si="181"/>
        <v>-4.8075209128211699E-2</v>
      </c>
      <c r="O1084" s="12">
        <v>-0.32180414000000002</v>
      </c>
      <c r="P1084" s="12">
        <v>-6.2810715999999998</v>
      </c>
      <c r="Q1084" s="12">
        <v>-9.6533485999999993</v>
      </c>
      <c r="R1084" s="12">
        <v>-16.546990000000001</v>
      </c>
      <c r="S1084" s="12">
        <f t="shared" si="182"/>
        <v>3.0459595691765013</v>
      </c>
      <c r="T1084" s="12">
        <f t="shared" si="183"/>
        <v>-27.325934869413857</v>
      </c>
      <c r="U1084" s="8"/>
      <c r="V1084" s="8"/>
    </row>
    <row r="1085" spans="1:22" x14ac:dyDescent="0.35">
      <c r="A1085" s="10">
        <v>5</v>
      </c>
      <c r="B1085">
        <v>16.75</v>
      </c>
      <c r="C1085" s="10">
        <v>-0.2458398</v>
      </c>
      <c r="D1085" s="10">
        <v>2.9542359000000001E-2</v>
      </c>
      <c r="E1085" s="10">
        <v>0.75423496000000001</v>
      </c>
      <c r="F1085" s="10">
        <v>2.0114390999999999E-2</v>
      </c>
      <c r="G1085" s="10">
        <f t="shared" si="174"/>
        <v>1.51357961321739</v>
      </c>
      <c r="H1085" s="10">
        <f t="shared" si="175"/>
        <v>0.205750406103936</v>
      </c>
      <c r="I1085" s="10">
        <f t="shared" si="176"/>
        <v>1.5136392104798799</v>
      </c>
      <c r="J1085" s="10">
        <f t="shared" si="177"/>
        <v>0.20103687923611199</v>
      </c>
      <c r="K1085" s="7">
        <f t="shared" si="178"/>
        <v>-5.9597262489941003E-5</v>
      </c>
      <c r="L1085" s="7">
        <f t="shared" si="179"/>
        <v>4.7135268678240002E-3</v>
      </c>
      <c r="M1085" s="7">
        <f t="shared" si="180"/>
        <v>0.64920718842976999</v>
      </c>
      <c r="N1085" s="7">
        <f t="shared" si="181"/>
        <v>-8.6225691192416395E-2</v>
      </c>
      <c r="O1085" s="10">
        <v>-0.59810220999999997</v>
      </c>
      <c r="P1085" s="10">
        <v>-6.2286763000000001</v>
      </c>
      <c r="Q1085" s="10">
        <v>-10.346309</v>
      </c>
      <c r="R1085" s="10">
        <v>-16.042915000000001</v>
      </c>
      <c r="S1085" s="10">
        <f t="shared" si="182"/>
        <v>3.0507949615578482</v>
      </c>
      <c r="T1085" s="10">
        <f t="shared" si="183"/>
        <v>-27.333606520024663</v>
      </c>
      <c r="U1085" s="8"/>
      <c r="V1085" s="8"/>
    </row>
    <row r="1086" spans="1:22" x14ac:dyDescent="0.35">
      <c r="A1086" s="12">
        <v>5</v>
      </c>
      <c r="B1086">
        <v>16.8125</v>
      </c>
      <c r="C1086" s="12">
        <v>-0.24344298</v>
      </c>
      <c r="D1086" s="12">
        <v>4.0057676E-2</v>
      </c>
      <c r="E1086" s="12">
        <v>0.75663758999999997</v>
      </c>
      <c r="F1086" s="12">
        <v>3.0494360000000002E-2</v>
      </c>
      <c r="G1086" s="12">
        <f t="shared" si="174"/>
        <v>1.5119177991627499</v>
      </c>
      <c r="H1086" s="12">
        <f t="shared" si="175"/>
        <v>0.29397963844870101</v>
      </c>
      <c r="I1086" s="12">
        <f t="shared" si="176"/>
        <v>1.51198094350746</v>
      </c>
      <c r="J1086" s="12">
        <f t="shared" si="177"/>
        <v>0.28919847499253198</v>
      </c>
      <c r="K1086" s="7">
        <f t="shared" si="178"/>
        <v>-6.3144344710108796E-5</v>
      </c>
      <c r="L1086" s="7">
        <f t="shared" si="179"/>
        <v>4.7811634561690198E-3</v>
      </c>
      <c r="M1086" s="7">
        <f t="shared" si="180"/>
        <v>0.63804144942976604</v>
      </c>
      <c r="N1086" s="7">
        <f t="shared" si="181"/>
        <v>-0.122038981343948</v>
      </c>
      <c r="O1086" s="12">
        <v>-0.86119635000000005</v>
      </c>
      <c r="P1086" s="12">
        <v>-6.1544394000000002</v>
      </c>
      <c r="Q1086" s="12">
        <v>-10.974563</v>
      </c>
      <c r="R1086" s="12">
        <v>-15.496346000000001</v>
      </c>
      <c r="S1086" s="12">
        <f t="shared" si="182"/>
        <v>3.0556258903265108</v>
      </c>
      <c r="T1086" s="12">
        <f t="shared" si="183"/>
        <v>-27.340522753997028</v>
      </c>
      <c r="U1086" s="8"/>
      <c r="V1086" s="8"/>
    </row>
    <row r="1087" spans="1:22" x14ac:dyDescent="0.35">
      <c r="A1087" s="10">
        <v>5</v>
      </c>
      <c r="B1087">
        <v>16.875</v>
      </c>
      <c r="C1087" s="10">
        <v>-0.24027448000000001</v>
      </c>
      <c r="D1087" s="10">
        <v>5.0011629000000002E-2</v>
      </c>
      <c r="E1087" s="10">
        <v>0.75980811999999998</v>
      </c>
      <c r="F1087" s="10">
        <v>4.0312309999999997E-2</v>
      </c>
      <c r="G1087" s="10">
        <f t="shared" si="174"/>
        <v>1.5102337889974999</v>
      </c>
      <c r="H1087" s="10">
        <f t="shared" si="175"/>
        <v>0.38033898307223202</v>
      </c>
      <c r="I1087" s="10">
        <f t="shared" si="176"/>
        <v>1.51029860302233</v>
      </c>
      <c r="J1087" s="10">
        <f t="shared" si="177"/>
        <v>0.37548983816786802</v>
      </c>
      <c r="K1087" s="7">
        <f t="shared" si="178"/>
        <v>-6.4814024830051094E-5</v>
      </c>
      <c r="L1087" s="7">
        <f t="shared" si="179"/>
        <v>4.849144904364E-3</v>
      </c>
      <c r="M1087" s="7">
        <f t="shared" si="180"/>
        <v>0.62357639952109001</v>
      </c>
      <c r="N1087" s="7">
        <f t="shared" si="181"/>
        <v>-0.15503331650636101</v>
      </c>
      <c r="O1087" s="10">
        <v>-1.1089756</v>
      </c>
      <c r="P1087" s="10">
        <v>-6.0611823999999999</v>
      </c>
      <c r="Q1087" s="10">
        <v>-11.535985999999999</v>
      </c>
      <c r="R1087" s="10">
        <v>-14.917443</v>
      </c>
      <c r="S1087" s="10">
        <f t="shared" si="182"/>
        <v>3.0604052481466271</v>
      </c>
      <c r="T1087" s="10">
        <f t="shared" si="183"/>
        <v>-27.347208154737256</v>
      </c>
      <c r="U1087" s="8"/>
      <c r="V1087" s="8"/>
    </row>
    <row r="1088" spans="1:22" x14ac:dyDescent="0.35">
      <c r="A1088" s="12">
        <v>5</v>
      </c>
      <c r="B1088">
        <v>16.9375</v>
      </c>
      <c r="C1088" s="12">
        <v>-0.23644229999999999</v>
      </c>
      <c r="D1088" s="12">
        <v>5.9350886999999998E-2</v>
      </c>
      <c r="E1088" s="12">
        <v>0.76360623000000005</v>
      </c>
      <c r="F1088" s="12">
        <v>4.9612139E-2</v>
      </c>
      <c r="G1088" s="12">
        <f t="shared" si="174"/>
        <v>1.5082253887683601</v>
      </c>
      <c r="H1088" s="12">
        <f t="shared" si="175"/>
        <v>0.46522688838384701</v>
      </c>
      <c r="I1088" s="12">
        <f t="shared" si="176"/>
        <v>1.50827336169466</v>
      </c>
      <c r="J1088" s="12">
        <f t="shared" si="177"/>
        <v>0.46035786612879098</v>
      </c>
      <c r="K1088" s="7">
        <f t="shared" si="178"/>
        <v>-4.7972926299877399E-5</v>
      </c>
      <c r="L1088" s="7">
        <f t="shared" si="179"/>
        <v>4.8690222550560299E-3</v>
      </c>
      <c r="M1088" s="7">
        <f t="shared" si="180"/>
        <v>0.60650736131574901</v>
      </c>
      <c r="N1088" s="7">
        <f t="shared" si="181"/>
        <v>-0.18511925075240199</v>
      </c>
      <c r="O1088" s="12">
        <v>-1.3401898000000001</v>
      </c>
      <c r="P1088" s="12">
        <v>-5.9520580000000001</v>
      </c>
      <c r="Q1088" s="12">
        <v>-12.030866</v>
      </c>
      <c r="R1088" s="12">
        <v>-14.315763</v>
      </c>
      <c r="S1088" s="12">
        <f t="shared" si="182"/>
        <v>3.0650026336054355</v>
      </c>
      <c r="T1088" s="12">
        <f t="shared" si="183"/>
        <v>-27.354123763203617</v>
      </c>
      <c r="U1088" s="8"/>
      <c r="V1088" s="8"/>
    </row>
    <row r="1089" spans="1:22" x14ac:dyDescent="0.35">
      <c r="A1089" s="10">
        <v>5</v>
      </c>
      <c r="B1089">
        <v>17</v>
      </c>
      <c r="C1089" s="10">
        <v>-0.23210926000000001</v>
      </c>
      <c r="D1089" s="10">
        <v>6.7947988000000001E-2</v>
      </c>
      <c r="E1089" s="10">
        <v>0.76783385000000004</v>
      </c>
      <c r="F1089" s="10">
        <v>5.8038435999999999E-2</v>
      </c>
      <c r="G1089" s="10">
        <f t="shared" si="174"/>
        <v>1.5061678497673201</v>
      </c>
      <c r="H1089" s="10">
        <f t="shared" si="175"/>
        <v>0.546873450685743</v>
      </c>
      <c r="I1089" s="10">
        <f t="shared" si="176"/>
        <v>1.5061639552557</v>
      </c>
      <c r="J1089" s="10">
        <f t="shared" si="177"/>
        <v>0.54191851444614803</v>
      </c>
      <c r="K1089" s="7">
        <f t="shared" si="178"/>
        <v>3.8945116200839197E-6</v>
      </c>
      <c r="L1089" s="7">
        <f t="shared" si="179"/>
        <v>4.9549362395949802E-3</v>
      </c>
      <c r="M1089" s="7">
        <f t="shared" si="180"/>
        <v>0.58783884971439404</v>
      </c>
      <c r="N1089" s="7">
        <f t="shared" si="181"/>
        <v>-0.21150470044071401</v>
      </c>
      <c r="O1089" s="10">
        <v>-1.5513976</v>
      </c>
      <c r="P1089" s="10">
        <v>-5.8307969999999996</v>
      </c>
      <c r="Q1089" s="10">
        <v>-12.456789000000001</v>
      </c>
      <c r="R1089" s="10">
        <v>-13.706892</v>
      </c>
      <c r="S1089" s="10">
        <f t="shared" si="182"/>
        <v>3.069716935994379</v>
      </c>
      <c r="T1089" s="10">
        <f t="shared" si="183"/>
        <v>-27.36501084792706</v>
      </c>
      <c r="U1089" s="8"/>
      <c r="V1089" s="8"/>
    </row>
    <row r="1090" spans="1:22" x14ac:dyDescent="0.35">
      <c r="B1090"/>
    </row>
    <row r="1091" spans="1:22" x14ac:dyDescent="0.35">
      <c r="B1091"/>
    </row>
    <row r="1092" spans="1:22" x14ac:dyDescent="0.35">
      <c r="B1092"/>
    </row>
    <row r="1093" spans="1:22" x14ac:dyDescent="0.35">
      <c r="B1093"/>
    </row>
    <row r="1094" spans="1:22" x14ac:dyDescent="0.35">
      <c r="B1094"/>
    </row>
    <row r="1095" spans="1:22" x14ac:dyDescent="0.35">
      <c r="B1095"/>
    </row>
    <row r="1096" spans="1:22" x14ac:dyDescent="0.35">
      <c r="B1096"/>
    </row>
    <row r="1097" spans="1:22" x14ac:dyDescent="0.35">
      <c r="B1097"/>
    </row>
    <row r="1098" spans="1:22" x14ac:dyDescent="0.35">
      <c r="B1098"/>
    </row>
    <row r="1099" spans="1:22" x14ac:dyDescent="0.35">
      <c r="B1099"/>
    </row>
    <row r="1100" spans="1:22" x14ac:dyDescent="0.35">
      <c r="B1100"/>
    </row>
    <row r="1101" spans="1:22" x14ac:dyDescent="0.35">
      <c r="B1101"/>
    </row>
    <row r="1102" spans="1:22" x14ac:dyDescent="0.35">
      <c r="B1102"/>
    </row>
    <row r="1103" spans="1:22" x14ac:dyDescent="0.35">
      <c r="B1103"/>
    </row>
    <row r="1104" spans="1:22" x14ac:dyDescent="0.35">
      <c r="B1104"/>
    </row>
    <row r="1105" spans="2:2" x14ac:dyDescent="0.35">
      <c r="B1105"/>
    </row>
    <row r="1106" spans="2:2" x14ac:dyDescent="0.35">
      <c r="B1106"/>
    </row>
    <row r="1107" spans="2:2" x14ac:dyDescent="0.35">
      <c r="B1107"/>
    </row>
    <row r="1108" spans="2:2" x14ac:dyDescent="0.35">
      <c r="B1108"/>
    </row>
    <row r="1109" spans="2:2" x14ac:dyDescent="0.35">
      <c r="B1109"/>
    </row>
    <row r="1110" spans="2:2" x14ac:dyDescent="0.35">
      <c r="B1110"/>
    </row>
    <row r="1111" spans="2:2" x14ac:dyDescent="0.35">
      <c r="B1111"/>
    </row>
    <row r="1112" spans="2:2" x14ac:dyDescent="0.35">
      <c r="B1112"/>
    </row>
    <row r="1113" spans="2:2" x14ac:dyDescent="0.35">
      <c r="B1113"/>
    </row>
    <row r="1114" spans="2:2" x14ac:dyDescent="0.35">
      <c r="B1114"/>
    </row>
    <row r="1115" spans="2:2" x14ac:dyDescent="0.35">
      <c r="B1115"/>
    </row>
    <row r="1116" spans="2:2" x14ac:dyDescent="0.35">
      <c r="B1116"/>
    </row>
    <row r="1117" spans="2:2" x14ac:dyDescent="0.35">
      <c r="B1117"/>
    </row>
    <row r="1118" spans="2:2" x14ac:dyDescent="0.35">
      <c r="B1118"/>
    </row>
    <row r="1119" spans="2:2" x14ac:dyDescent="0.35">
      <c r="B1119"/>
    </row>
    <row r="1120" spans="2:2" x14ac:dyDescent="0.35">
      <c r="B1120"/>
    </row>
    <row r="1121" spans="2:2" x14ac:dyDescent="0.35">
      <c r="B1121"/>
    </row>
    <row r="1122" spans="2:2" x14ac:dyDescent="0.35">
      <c r="B1122"/>
    </row>
    <row r="1123" spans="2:2" x14ac:dyDescent="0.35">
      <c r="B1123"/>
    </row>
    <row r="1124" spans="2:2" x14ac:dyDescent="0.35">
      <c r="B1124"/>
    </row>
    <row r="1125" spans="2:2" x14ac:dyDescent="0.35">
      <c r="B1125"/>
    </row>
    <row r="1126" spans="2:2" x14ac:dyDescent="0.35">
      <c r="B1126"/>
    </row>
    <row r="1127" spans="2:2" x14ac:dyDescent="0.35">
      <c r="B1127"/>
    </row>
    <row r="1128" spans="2:2" x14ac:dyDescent="0.35">
      <c r="B1128"/>
    </row>
    <row r="1129" spans="2:2" x14ac:dyDescent="0.35">
      <c r="B1129"/>
    </row>
    <row r="1130" spans="2:2" x14ac:dyDescent="0.35">
      <c r="B1130"/>
    </row>
    <row r="1131" spans="2:2" x14ac:dyDescent="0.35">
      <c r="B1131"/>
    </row>
    <row r="1132" spans="2:2" x14ac:dyDescent="0.35">
      <c r="B1132"/>
    </row>
    <row r="1133" spans="2:2" x14ac:dyDescent="0.35">
      <c r="B1133"/>
    </row>
    <row r="1134" spans="2:2" x14ac:dyDescent="0.35">
      <c r="B1134"/>
    </row>
    <row r="1135" spans="2:2" x14ac:dyDescent="0.35">
      <c r="B1135"/>
    </row>
    <row r="1136" spans="2:2" x14ac:dyDescent="0.35">
      <c r="B1136"/>
    </row>
    <row r="1137" spans="2:2" x14ac:dyDescent="0.35">
      <c r="B1137"/>
    </row>
    <row r="1138" spans="2:2" x14ac:dyDescent="0.35">
      <c r="B1138"/>
    </row>
    <row r="1139" spans="2:2" x14ac:dyDescent="0.35">
      <c r="B1139"/>
    </row>
    <row r="1140" spans="2:2" x14ac:dyDescent="0.35">
      <c r="B1140"/>
    </row>
    <row r="1141" spans="2:2" x14ac:dyDescent="0.35">
      <c r="B1141"/>
    </row>
    <row r="1142" spans="2:2" x14ac:dyDescent="0.35">
      <c r="B1142"/>
    </row>
    <row r="1143" spans="2:2" x14ac:dyDescent="0.35">
      <c r="B1143"/>
    </row>
    <row r="1144" spans="2:2" x14ac:dyDescent="0.35">
      <c r="B1144"/>
    </row>
    <row r="1145" spans="2:2" x14ac:dyDescent="0.35">
      <c r="B1145"/>
    </row>
    <row r="1146" spans="2:2" x14ac:dyDescent="0.35">
      <c r="B1146"/>
    </row>
    <row r="1147" spans="2:2" x14ac:dyDescent="0.35">
      <c r="B1147"/>
    </row>
    <row r="1148" spans="2:2" x14ac:dyDescent="0.35">
      <c r="B1148"/>
    </row>
    <row r="1149" spans="2:2" x14ac:dyDescent="0.35">
      <c r="B1149"/>
    </row>
    <row r="1150" spans="2:2" x14ac:dyDescent="0.35">
      <c r="B1150"/>
    </row>
    <row r="1151" spans="2:2" x14ac:dyDescent="0.35">
      <c r="B1151"/>
    </row>
    <row r="1152" spans="2:2" x14ac:dyDescent="0.35">
      <c r="B1152"/>
    </row>
    <row r="1153" spans="2:2" x14ac:dyDescent="0.35">
      <c r="B1153"/>
    </row>
    <row r="1154" spans="2:2" x14ac:dyDescent="0.35">
      <c r="B1154"/>
    </row>
    <row r="1155" spans="2:2" x14ac:dyDescent="0.35">
      <c r="B1155"/>
    </row>
    <row r="1156" spans="2:2" x14ac:dyDescent="0.35">
      <c r="B1156"/>
    </row>
    <row r="1157" spans="2:2" x14ac:dyDescent="0.35">
      <c r="B1157"/>
    </row>
    <row r="1158" spans="2:2" x14ac:dyDescent="0.35">
      <c r="B1158"/>
    </row>
    <row r="1159" spans="2:2" x14ac:dyDescent="0.35">
      <c r="B1159"/>
    </row>
    <row r="1160" spans="2:2" x14ac:dyDescent="0.35">
      <c r="B1160"/>
    </row>
    <row r="1161" spans="2:2" x14ac:dyDescent="0.35">
      <c r="B1161"/>
    </row>
    <row r="1162" spans="2:2" x14ac:dyDescent="0.35">
      <c r="B1162"/>
    </row>
    <row r="1163" spans="2:2" x14ac:dyDescent="0.35">
      <c r="B1163"/>
    </row>
    <row r="1164" spans="2:2" x14ac:dyDescent="0.35">
      <c r="B1164"/>
    </row>
    <row r="1165" spans="2:2" x14ac:dyDescent="0.35">
      <c r="B1165"/>
    </row>
    <row r="1166" spans="2:2" x14ac:dyDescent="0.35">
      <c r="B1166"/>
    </row>
    <row r="1167" spans="2:2" x14ac:dyDescent="0.35">
      <c r="B1167"/>
    </row>
    <row r="1168" spans="2:2" x14ac:dyDescent="0.35">
      <c r="B1168"/>
    </row>
    <row r="1169" spans="2:2" x14ac:dyDescent="0.35">
      <c r="B1169"/>
    </row>
    <row r="1170" spans="2:2" x14ac:dyDescent="0.35">
      <c r="B1170"/>
    </row>
    <row r="1171" spans="2:2" x14ac:dyDescent="0.35">
      <c r="B1171"/>
    </row>
    <row r="1172" spans="2:2" x14ac:dyDescent="0.35">
      <c r="B1172"/>
    </row>
    <row r="1173" spans="2:2" x14ac:dyDescent="0.35">
      <c r="B1173"/>
    </row>
    <row r="1174" spans="2:2" x14ac:dyDescent="0.35">
      <c r="B1174"/>
    </row>
    <row r="1175" spans="2:2" x14ac:dyDescent="0.35">
      <c r="B1175"/>
    </row>
    <row r="1176" spans="2:2" x14ac:dyDescent="0.35">
      <c r="B1176"/>
    </row>
    <row r="1177" spans="2:2" x14ac:dyDescent="0.35">
      <c r="B1177"/>
    </row>
    <row r="1178" spans="2:2" x14ac:dyDescent="0.35">
      <c r="B1178"/>
    </row>
    <row r="1179" spans="2:2" x14ac:dyDescent="0.35">
      <c r="B1179"/>
    </row>
    <row r="1180" spans="2:2" x14ac:dyDescent="0.35">
      <c r="B1180"/>
    </row>
    <row r="1181" spans="2:2" x14ac:dyDescent="0.35">
      <c r="B1181"/>
    </row>
    <row r="1182" spans="2:2" x14ac:dyDescent="0.35">
      <c r="B1182"/>
    </row>
    <row r="1183" spans="2:2" x14ac:dyDescent="0.35">
      <c r="B1183"/>
    </row>
    <row r="1184" spans="2:2" x14ac:dyDescent="0.35">
      <c r="B1184"/>
    </row>
    <row r="1185" spans="2:2" x14ac:dyDescent="0.35">
      <c r="B1185"/>
    </row>
    <row r="1186" spans="2:2" x14ac:dyDescent="0.35">
      <c r="B1186"/>
    </row>
    <row r="1187" spans="2:2" x14ac:dyDescent="0.35">
      <c r="B1187"/>
    </row>
    <row r="1188" spans="2:2" x14ac:dyDescent="0.35">
      <c r="B1188"/>
    </row>
    <row r="1189" spans="2:2" x14ac:dyDescent="0.35">
      <c r="B1189"/>
    </row>
    <row r="1190" spans="2:2" x14ac:dyDescent="0.35">
      <c r="B1190"/>
    </row>
    <row r="1191" spans="2:2" x14ac:dyDescent="0.35">
      <c r="B1191"/>
    </row>
    <row r="1192" spans="2:2" x14ac:dyDescent="0.35">
      <c r="B1192"/>
    </row>
    <row r="1193" spans="2:2" x14ac:dyDescent="0.35">
      <c r="B1193"/>
    </row>
    <row r="1194" spans="2:2" x14ac:dyDescent="0.35">
      <c r="B1194"/>
    </row>
    <row r="1195" spans="2:2" x14ac:dyDescent="0.35">
      <c r="B1195"/>
    </row>
    <row r="1196" spans="2:2" x14ac:dyDescent="0.35">
      <c r="B1196"/>
    </row>
    <row r="1197" spans="2:2" x14ac:dyDescent="0.35">
      <c r="B1197"/>
    </row>
    <row r="1198" spans="2:2" x14ac:dyDescent="0.35">
      <c r="B1198"/>
    </row>
    <row r="1199" spans="2:2" x14ac:dyDescent="0.35">
      <c r="B1199"/>
    </row>
    <row r="1200" spans="2:2" x14ac:dyDescent="0.35">
      <c r="B1200"/>
    </row>
    <row r="1201" spans="2:2" x14ac:dyDescent="0.35">
      <c r="B1201"/>
    </row>
    <row r="1202" spans="2:2" x14ac:dyDescent="0.35">
      <c r="B1202"/>
    </row>
    <row r="1203" spans="2:2" x14ac:dyDescent="0.35">
      <c r="B1203"/>
    </row>
    <row r="1204" spans="2:2" x14ac:dyDescent="0.35">
      <c r="B1204"/>
    </row>
    <row r="1205" spans="2:2" x14ac:dyDescent="0.35">
      <c r="B1205"/>
    </row>
    <row r="1206" spans="2:2" x14ac:dyDescent="0.35">
      <c r="B1206"/>
    </row>
    <row r="1207" spans="2:2" x14ac:dyDescent="0.35">
      <c r="B1207"/>
    </row>
    <row r="1208" spans="2:2" x14ac:dyDescent="0.35">
      <c r="B1208"/>
    </row>
    <row r="1209" spans="2:2" x14ac:dyDescent="0.35">
      <c r="B1209"/>
    </row>
    <row r="1210" spans="2:2" x14ac:dyDescent="0.35">
      <c r="B1210"/>
    </row>
    <row r="1211" spans="2:2" x14ac:dyDescent="0.35">
      <c r="B1211"/>
    </row>
    <row r="1212" spans="2:2" x14ac:dyDescent="0.35">
      <c r="B1212"/>
    </row>
    <row r="1213" spans="2:2" x14ac:dyDescent="0.35">
      <c r="B1213"/>
    </row>
    <row r="1214" spans="2:2" x14ac:dyDescent="0.35">
      <c r="B1214"/>
    </row>
    <row r="1215" spans="2:2" x14ac:dyDescent="0.35">
      <c r="B1215"/>
    </row>
    <row r="1216" spans="2:2" x14ac:dyDescent="0.35">
      <c r="B1216"/>
    </row>
    <row r="1217" spans="2:2" x14ac:dyDescent="0.35">
      <c r="B1217"/>
    </row>
    <row r="1218" spans="2:2" x14ac:dyDescent="0.35">
      <c r="B1218"/>
    </row>
    <row r="1219" spans="2:2" x14ac:dyDescent="0.35">
      <c r="B1219"/>
    </row>
    <row r="1220" spans="2:2" x14ac:dyDescent="0.35">
      <c r="B1220"/>
    </row>
    <row r="1221" spans="2:2" x14ac:dyDescent="0.35">
      <c r="B1221"/>
    </row>
    <row r="1222" spans="2:2" x14ac:dyDescent="0.35">
      <c r="B1222"/>
    </row>
    <row r="1223" spans="2:2" x14ac:dyDescent="0.35">
      <c r="B1223"/>
    </row>
    <row r="1224" spans="2:2" x14ac:dyDescent="0.35">
      <c r="B1224"/>
    </row>
    <row r="1225" spans="2:2" x14ac:dyDescent="0.35">
      <c r="B1225"/>
    </row>
    <row r="1226" spans="2:2" x14ac:dyDescent="0.35">
      <c r="B1226"/>
    </row>
    <row r="1227" spans="2:2" x14ac:dyDescent="0.35">
      <c r="B1227"/>
    </row>
    <row r="1228" spans="2:2" x14ac:dyDescent="0.35">
      <c r="B1228"/>
    </row>
    <row r="1229" spans="2:2" x14ac:dyDescent="0.35">
      <c r="B1229"/>
    </row>
    <row r="1230" spans="2:2" x14ac:dyDescent="0.35">
      <c r="B1230"/>
    </row>
    <row r="1231" spans="2:2" x14ac:dyDescent="0.35">
      <c r="B1231"/>
    </row>
    <row r="1232" spans="2:2" x14ac:dyDescent="0.35">
      <c r="B1232"/>
    </row>
    <row r="1233" spans="2:2" x14ac:dyDescent="0.35">
      <c r="B1233"/>
    </row>
    <row r="1234" spans="2:2" x14ac:dyDescent="0.35">
      <c r="B1234"/>
    </row>
    <row r="1235" spans="2:2" x14ac:dyDescent="0.35">
      <c r="B1235"/>
    </row>
    <row r="1236" spans="2:2" x14ac:dyDescent="0.35">
      <c r="B1236"/>
    </row>
    <row r="1237" spans="2:2" x14ac:dyDescent="0.35">
      <c r="B1237"/>
    </row>
    <row r="1238" spans="2:2" x14ac:dyDescent="0.35">
      <c r="B1238"/>
    </row>
    <row r="1239" spans="2:2" x14ac:dyDescent="0.35">
      <c r="B1239"/>
    </row>
    <row r="1240" spans="2:2" x14ac:dyDescent="0.35">
      <c r="B1240"/>
    </row>
    <row r="1241" spans="2:2" x14ac:dyDescent="0.35">
      <c r="B1241"/>
    </row>
    <row r="1242" spans="2:2" x14ac:dyDescent="0.35">
      <c r="B1242"/>
    </row>
    <row r="1243" spans="2:2" x14ac:dyDescent="0.35">
      <c r="B1243"/>
    </row>
    <row r="1244" spans="2:2" x14ac:dyDescent="0.35">
      <c r="B1244"/>
    </row>
    <row r="1245" spans="2:2" x14ac:dyDescent="0.35">
      <c r="B1245"/>
    </row>
    <row r="1246" spans="2:2" x14ac:dyDescent="0.35">
      <c r="B1246"/>
    </row>
    <row r="1247" spans="2:2" x14ac:dyDescent="0.35">
      <c r="B1247"/>
    </row>
    <row r="1248" spans="2:2" x14ac:dyDescent="0.35">
      <c r="B1248"/>
    </row>
    <row r="1249" spans="2:2" x14ac:dyDescent="0.35">
      <c r="B1249"/>
    </row>
    <row r="1250" spans="2:2" x14ac:dyDescent="0.35">
      <c r="B1250"/>
    </row>
    <row r="1251" spans="2:2" x14ac:dyDescent="0.35">
      <c r="B1251"/>
    </row>
    <row r="1252" spans="2:2" x14ac:dyDescent="0.35">
      <c r="B1252"/>
    </row>
    <row r="1253" spans="2:2" x14ac:dyDescent="0.35">
      <c r="B1253"/>
    </row>
    <row r="1254" spans="2:2" x14ac:dyDescent="0.35">
      <c r="B1254"/>
    </row>
    <row r="1255" spans="2:2" x14ac:dyDescent="0.35">
      <c r="B1255"/>
    </row>
    <row r="1256" spans="2:2" x14ac:dyDescent="0.35">
      <c r="B1256"/>
    </row>
    <row r="1257" spans="2:2" x14ac:dyDescent="0.35">
      <c r="B1257"/>
    </row>
    <row r="1258" spans="2:2" x14ac:dyDescent="0.35">
      <c r="B1258"/>
    </row>
    <row r="1259" spans="2:2" x14ac:dyDescent="0.35">
      <c r="B1259"/>
    </row>
    <row r="1260" spans="2:2" x14ac:dyDescent="0.35">
      <c r="B1260"/>
    </row>
    <row r="1261" spans="2:2" x14ac:dyDescent="0.35">
      <c r="B1261"/>
    </row>
    <row r="1262" spans="2:2" x14ac:dyDescent="0.35">
      <c r="B1262"/>
    </row>
    <row r="1263" spans="2:2" x14ac:dyDescent="0.35">
      <c r="B1263"/>
    </row>
    <row r="1264" spans="2:2" x14ac:dyDescent="0.35">
      <c r="B1264"/>
    </row>
    <row r="1265" spans="2:2" x14ac:dyDescent="0.35">
      <c r="B1265"/>
    </row>
    <row r="1266" spans="2:2" x14ac:dyDescent="0.35">
      <c r="B1266"/>
    </row>
    <row r="1267" spans="2:2" x14ac:dyDescent="0.35">
      <c r="B1267"/>
    </row>
    <row r="1268" spans="2:2" x14ac:dyDescent="0.35">
      <c r="B1268"/>
    </row>
    <row r="1269" spans="2:2" x14ac:dyDescent="0.35">
      <c r="B1269"/>
    </row>
    <row r="1270" spans="2:2" x14ac:dyDescent="0.35">
      <c r="B1270"/>
    </row>
    <row r="1271" spans="2:2" x14ac:dyDescent="0.35">
      <c r="B1271"/>
    </row>
    <row r="1272" spans="2:2" x14ac:dyDescent="0.35">
      <c r="B1272"/>
    </row>
    <row r="1273" spans="2:2" x14ac:dyDescent="0.35">
      <c r="B1273"/>
    </row>
    <row r="1274" spans="2:2" x14ac:dyDescent="0.35">
      <c r="B1274"/>
    </row>
    <row r="1275" spans="2:2" x14ac:dyDescent="0.35">
      <c r="B1275"/>
    </row>
    <row r="1276" spans="2:2" x14ac:dyDescent="0.35">
      <c r="B1276"/>
    </row>
    <row r="1277" spans="2:2" x14ac:dyDescent="0.35">
      <c r="B1277"/>
    </row>
    <row r="1278" spans="2:2" x14ac:dyDescent="0.35">
      <c r="B1278"/>
    </row>
    <row r="1279" spans="2:2" x14ac:dyDescent="0.35">
      <c r="B1279"/>
    </row>
    <row r="1280" spans="2:2" x14ac:dyDescent="0.35">
      <c r="B1280"/>
    </row>
    <row r="1281" spans="2:2" x14ac:dyDescent="0.35">
      <c r="B1281"/>
    </row>
    <row r="1282" spans="2:2" x14ac:dyDescent="0.35">
      <c r="B1282"/>
    </row>
    <row r="1283" spans="2:2" x14ac:dyDescent="0.35">
      <c r="B1283"/>
    </row>
    <row r="1284" spans="2:2" x14ac:dyDescent="0.35">
      <c r="B1284"/>
    </row>
    <row r="1285" spans="2:2" x14ac:dyDescent="0.35">
      <c r="B1285"/>
    </row>
    <row r="1286" spans="2:2" x14ac:dyDescent="0.35">
      <c r="B1286"/>
    </row>
    <row r="1287" spans="2:2" x14ac:dyDescent="0.35">
      <c r="B1287"/>
    </row>
    <row r="1288" spans="2:2" x14ac:dyDescent="0.35">
      <c r="B1288"/>
    </row>
    <row r="1289" spans="2:2" x14ac:dyDescent="0.35">
      <c r="B1289"/>
    </row>
    <row r="1290" spans="2:2" x14ac:dyDescent="0.35">
      <c r="B1290"/>
    </row>
    <row r="1291" spans="2:2" x14ac:dyDescent="0.35">
      <c r="B1291"/>
    </row>
    <row r="1292" spans="2:2" x14ac:dyDescent="0.35">
      <c r="B1292"/>
    </row>
    <row r="1293" spans="2:2" x14ac:dyDescent="0.35">
      <c r="B1293"/>
    </row>
    <row r="1294" spans="2:2" x14ac:dyDescent="0.35">
      <c r="B1294"/>
    </row>
    <row r="1295" spans="2:2" x14ac:dyDescent="0.35">
      <c r="B1295"/>
    </row>
    <row r="1296" spans="2:2" x14ac:dyDescent="0.35">
      <c r="B1296"/>
    </row>
    <row r="1297" spans="2:2" x14ac:dyDescent="0.35">
      <c r="B1297"/>
    </row>
    <row r="1298" spans="2:2" x14ac:dyDescent="0.35">
      <c r="B1298"/>
    </row>
    <row r="1299" spans="2:2" x14ac:dyDescent="0.35">
      <c r="B1299"/>
    </row>
    <row r="1300" spans="2:2" x14ac:dyDescent="0.35">
      <c r="B1300"/>
    </row>
    <row r="1301" spans="2:2" x14ac:dyDescent="0.35">
      <c r="B1301"/>
    </row>
    <row r="1302" spans="2:2" x14ac:dyDescent="0.35">
      <c r="B1302"/>
    </row>
    <row r="1303" spans="2:2" x14ac:dyDescent="0.35">
      <c r="B1303"/>
    </row>
    <row r="1304" spans="2:2" x14ac:dyDescent="0.35">
      <c r="B1304"/>
    </row>
    <row r="1305" spans="2:2" x14ac:dyDescent="0.35">
      <c r="B1305"/>
    </row>
    <row r="1306" spans="2:2" x14ac:dyDescent="0.35">
      <c r="B1306"/>
    </row>
    <row r="1307" spans="2:2" x14ac:dyDescent="0.35">
      <c r="B1307"/>
    </row>
    <row r="1308" spans="2:2" x14ac:dyDescent="0.35">
      <c r="B1308"/>
    </row>
    <row r="1309" spans="2:2" x14ac:dyDescent="0.35">
      <c r="B1309"/>
    </row>
    <row r="1310" spans="2:2" x14ac:dyDescent="0.35">
      <c r="B1310"/>
    </row>
    <row r="1311" spans="2:2" x14ac:dyDescent="0.35">
      <c r="B1311"/>
    </row>
    <row r="1312" spans="2:2" x14ac:dyDescent="0.35">
      <c r="B1312"/>
    </row>
    <row r="1313" spans="2:2" x14ac:dyDescent="0.35">
      <c r="B1313"/>
    </row>
    <row r="1314" spans="2:2" x14ac:dyDescent="0.35">
      <c r="B1314"/>
    </row>
    <row r="1315" spans="2:2" x14ac:dyDescent="0.35">
      <c r="B1315"/>
    </row>
    <row r="1316" spans="2:2" x14ac:dyDescent="0.35">
      <c r="B1316"/>
    </row>
    <row r="1317" spans="2:2" x14ac:dyDescent="0.35">
      <c r="B1317"/>
    </row>
    <row r="1318" spans="2:2" x14ac:dyDescent="0.35">
      <c r="B1318"/>
    </row>
    <row r="1319" spans="2:2" x14ac:dyDescent="0.35">
      <c r="B1319"/>
    </row>
    <row r="1320" spans="2:2" x14ac:dyDescent="0.35">
      <c r="B1320"/>
    </row>
    <row r="1321" spans="2:2" x14ac:dyDescent="0.35">
      <c r="B1321"/>
    </row>
    <row r="1322" spans="2:2" x14ac:dyDescent="0.35">
      <c r="B1322"/>
    </row>
    <row r="1323" spans="2:2" x14ac:dyDescent="0.35">
      <c r="B1323"/>
    </row>
    <row r="1324" spans="2:2" x14ac:dyDescent="0.35">
      <c r="B1324"/>
    </row>
    <row r="1325" spans="2:2" x14ac:dyDescent="0.35">
      <c r="B1325"/>
    </row>
    <row r="1326" spans="2:2" x14ac:dyDescent="0.35">
      <c r="B1326"/>
    </row>
    <row r="1327" spans="2:2" x14ac:dyDescent="0.35">
      <c r="B1327"/>
    </row>
    <row r="1328" spans="2:2" x14ac:dyDescent="0.35">
      <c r="B1328"/>
    </row>
    <row r="1329" spans="2:2" x14ac:dyDescent="0.35">
      <c r="B1329"/>
    </row>
    <row r="1330" spans="2:2" x14ac:dyDescent="0.35">
      <c r="B1330"/>
    </row>
    <row r="1331" spans="2:2" x14ac:dyDescent="0.35">
      <c r="B1331"/>
    </row>
    <row r="1332" spans="2:2" x14ac:dyDescent="0.35">
      <c r="B1332"/>
    </row>
    <row r="1333" spans="2:2" x14ac:dyDescent="0.35">
      <c r="B1333"/>
    </row>
    <row r="1334" spans="2:2" x14ac:dyDescent="0.35">
      <c r="B1334"/>
    </row>
    <row r="1335" spans="2:2" x14ac:dyDescent="0.35">
      <c r="B1335"/>
    </row>
    <row r="1336" spans="2:2" x14ac:dyDescent="0.35">
      <c r="B1336"/>
    </row>
    <row r="1337" spans="2:2" x14ac:dyDescent="0.35">
      <c r="B1337"/>
    </row>
    <row r="1338" spans="2:2" x14ac:dyDescent="0.35">
      <c r="B1338"/>
    </row>
    <row r="1339" spans="2:2" x14ac:dyDescent="0.35">
      <c r="B1339"/>
    </row>
    <row r="1340" spans="2:2" x14ac:dyDescent="0.35">
      <c r="B1340"/>
    </row>
    <row r="1341" spans="2:2" x14ac:dyDescent="0.35">
      <c r="B1341"/>
    </row>
    <row r="1342" spans="2:2" x14ac:dyDescent="0.35">
      <c r="B1342"/>
    </row>
    <row r="1343" spans="2:2" x14ac:dyDescent="0.35">
      <c r="B1343"/>
    </row>
    <row r="1344" spans="2:2" x14ac:dyDescent="0.35">
      <c r="B1344"/>
    </row>
    <row r="1345" spans="2:2" x14ac:dyDescent="0.35">
      <c r="B1345"/>
    </row>
    <row r="1346" spans="2:2" x14ac:dyDescent="0.35">
      <c r="B1346"/>
    </row>
    <row r="1347" spans="2:2" x14ac:dyDescent="0.35">
      <c r="B1347"/>
    </row>
    <row r="1348" spans="2:2" x14ac:dyDescent="0.35">
      <c r="B1348"/>
    </row>
    <row r="1349" spans="2:2" x14ac:dyDescent="0.35">
      <c r="B1349"/>
    </row>
    <row r="1350" spans="2:2" x14ac:dyDescent="0.35">
      <c r="B1350"/>
    </row>
    <row r="1351" spans="2:2" x14ac:dyDescent="0.35">
      <c r="B1351"/>
    </row>
    <row r="1352" spans="2:2" x14ac:dyDescent="0.35">
      <c r="B1352"/>
    </row>
    <row r="1353" spans="2:2" x14ac:dyDescent="0.35">
      <c r="B1353"/>
    </row>
    <row r="1354" spans="2:2" x14ac:dyDescent="0.35">
      <c r="B1354"/>
    </row>
    <row r="1355" spans="2:2" x14ac:dyDescent="0.35">
      <c r="B1355"/>
    </row>
    <row r="1356" spans="2:2" x14ac:dyDescent="0.35">
      <c r="B1356"/>
    </row>
    <row r="1357" spans="2:2" x14ac:dyDescent="0.35">
      <c r="B1357"/>
    </row>
    <row r="1358" spans="2:2" x14ac:dyDescent="0.35">
      <c r="B1358"/>
    </row>
    <row r="1359" spans="2:2" x14ac:dyDescent="0.35">
      <c r="B1359"/>
    </row>
    <row r="1360" spans="2:2" x14ac:dyDescent="0.35">
      <c r="B1360"/>
    </row>
    <row r="1361" spans="2:2" x14ac:dyDescent="0.35">
      <c r="B1361"/>
    </row>
    <row r="1362" spans="2:2" x14ac:dyDescent="0.35">
      <c r="B1362"/>
    </row>
    <row r="1363" spans="2:2" x14ac:dyDescent="0.35">
      <c r="B1363"/>
    </row>
    <row r="1364" spans="2:2" x14ac:dyDescent="0.35">
      <c r="B1364"/>
    </row>
    <row r="1365" spans="2:2" x14ac:dyDescent="0.35">
      <c r="B1365"/>
    </row>
    <row r="1366" spans="2:2" x14ac:dyDescent="0.35">
      <c r="B1366"/>
    </row>
    <row r="1367" spans="2:2" x14ac:dyDescent="0.35">
      <c r="B1367"/>
    </row>
    <row r="1368" spans="2:2" x14ac:dyDescent="0.35">
      <c r="B1368"/>
    </row>
    <row r="1369" spans="2:2" x14ac:dyDescent="0.35">
      <c r="B1369"/>
    </row>
    <row r="1370" spans="2:2" x14ac:dyDescent="0.35">
      <c r="B1370"/>
    </row>
    <row r="1371" spans="2:2" x14ac:dyDescent="0.35">
      <c r="B1371"/>
    </row>
    <row r="1372" spans="2:2" x14ac:dyDescent="0.35">
      <c r="B1372"/>
    </row>
    <row r="1373" spans="2:2" x14ac:dyDescent="0.35">
      <c r="B1373"/>
    </row>
    <row r="1374" spans="2:2" x14ac:dyDescent="0.35">
      <c r="B1374"/>
    </row>
    <row r="1375" spans="2:2" x14ac:dyDescent="0.35">
      <c r="B1375"/>
    </row>
    <row r="1376" spans="2:2" x14ac:dyDescent="0.35">
      <c r="B1376"/>
    </row>
    <row r="1377" spans="2:2" x14ac:dyDescent="0.35">
      <c r="B1377"/>
    </row>
    <row r="1378" spans="2:2" x14ac:dyDescent="0.35">
      <c r="B1378"/>
    </row>
    <row r="1379" spans="2:2" x14ac:dyDescent="0.35">
      <c r="B1379"/>
    </row>
    <row r="1380" spans="2:2" x14ac:dyDescent="0.35">
      <c r="B1380"/>
    </row>
    <row r="1381" spans="2:2" x14ac:dyDescent="0.35">
      <c r="B1381"/>
    </row>
    <row r="1382" spans="2:2" x14ac:dyDescent="0.35">
      <c r="B1382"/>
    </row>
    <row r="1383" spans="2:2" x14ac:dyDescent="0.35">
      <c r="B1383"/>
    </row>
    <row r="1384" spans="2:2" x14ac:dyDescent="0.35">
      <c r="B1384"/>
    </row>
    <row r="1385" spans="2:2" x14ac:dyDescent="0.35">
      <c r="B1385"/>
    </row>
    <row r="1386" spans="2:2" x14ac:dyDescent="0.35">
      <c r="B1386"/>
    </row>
    <row r="1387" spans="2:2" x14ac:dyDescent="0.35">
      <c r="B1387"/>
    </row>
    <row r="1388" spans="2:2" x14ac:dyDescent="0.35">
      <c r="B1388"/>
    </row>
    <row r="1389" spans="2:2" x14ac:dyDescent="0.35">
      <c r="B1389"/>
    </row>
    <row r="1390" spans="2:2" x14ac:dyDescent="0.35">
      <c r="B1390"/>
    </row>
    <row r="1391" spans="2:2" x14ac:dyDescent="0.35">
      <c r="B1391"/>
    </row>
    <row r="1392" spans="2:2" x14ac:dyDescent="0.35">
      <c r="B1392"/>
    </row>
    <row r="1393" spans="2:2" x14ac:dyDescent="0.35">
      <c r="B1393"/>
    </row>
    <row r="1394" spans="2:2" x14ac:dyDescent="0.35">
      <c r="B1394"/>
    </row>
    <row r="1395" spans="2:2" x14ac:dyDescent="0.35">
      <c r="B1395"/>
    </row>
    <row r="1396" spans="2:2" x14ac:dyDescent="0.35">
      <c r="B1396"/>
    </row>
    <row r="1397" spans="2:2" x14ac:dyDescent="0.35">
      <c r="B1397"/>
    </row>
    <row r="1398" spans="2:2" x14ac:dyDescent="0.35">
      <c r="B1398"/>
    </row>
    <row r="1399" spans="2:2" x14ac:dyDescent="0.35">
      <c r="B1399"/>
    </row>
    <row r="1400" spans="2:2" x14ac:dyDescent="0.35">
      <c r="B1400"/>
    </row>
    <row r="1401" spans="2:2" x14ac:dyDescent="0.35">
      <c r="B1401"/>
    </row>
    <row r="1402" spans="2:2" x14ac:dyDescent="0.35">
      <c r="B1402"/>
    </row>
    <row r="1403" spans="2:2" x14ac:dyDescent="0.35">
      <c r="B1403"/>
    </row>
    <row r="1404" spans="2:2" x14ac:dyDescent="0.35">
      <c r="B1404"/>
    </row>
    <row r="1405" spans="2:2" x14ac:dyDescent="0.35">
      <c r="B1405"/>
    </row>
    <row r="1406" spans="2:2" x14ac:dyDescent="0.35">
      <c r="B1406"/>
    </row>
    <row r="1407" spans="2:2" x14ac:dyDescent="0.35">
      <c r="B1407"/>
    </row>
    <row r="1408" spans="2:2" x14ac:dyDescent="0.35">
      <c r="B1408"/>
    </row>
    <row r="1409" spans="2:2" x14ac:dyDescent="0.35">
      <c r="B1409"/>
    </row>
    <row r="1410" spans="2:2" x14ac:dyDescent="0.35">
      <c r="B1410"/>
    </row>
    <row r="1411" spans="2:2" x14ac:dyDescent="0.35">
      <c r="B1411"/>
    </row>
    <row r="1412" spans="2:2" x14ac:dyDescent="0.35">
      <c r="B1412"/>
    </row>
    <row r="1413" spans="2:2" x14ac:dyDescent="0.35">
      <c r="B1413"/>
    </row>
    <row r="1414" spans="2:2" x14ac:dyDescent="0.35">
      <c r="B1414"/>
    </row>
    <row r="1415" spans="2:2" x14ac:dyDescent="0.35">
      <c r="B1415"/>
    </row>
    <row r="1416" spans="2:2" x14ac:dyDescent="0.35">
      <c r="B1416"/>
    </row>
    <row r="1417" spans="2:2" x14ac:dyDescent="0.35">
      <c r="B1417"/>
    </row>
    <row r="1418" spans="2:2" x14ac:dyDescent="0.35">
      <c r="B1418"/>
    </row>
    <row r="1419" spans="2:2" x14ac:dyDescent="0.35">
      <c r="B1419"/>
    </row>
    <row r="1420" spans="2:2" x14ac:dyDescent="0.35">
      <c r="B1420"/>
    </row>
    <row r="1421" spans="2:2" x14ac:dyDescent="0.35">
      <c r="B1421"/>
    </row>
    <row r="1422" spans="2:2" x14ac:dyDescent="0.35">
      <c r="B1422"/>
    </row>
    <row r="1423" spans="2:2" x14ac:dyDescent="0.35">
      <c r="B1423"/>
    </row>
    <row r="1424" spans="2:2" x14ac:dyDescent="0.35">
      <c r="B1424"/>
    </row>
    <row r="1425" spans="2:2" x14ac:dyDescent="0.35">
      <c r="B1425"/>
    </row>
    <row r="1426" spans="2:2" x14ac:dyDescent="0.35">
      <c r="B1426"/>
    </row>
    <row r="1427" spans="2:2" x14ac:dyDescent="0.35">
      <c r="B1427"/>
    </row>
    <row r="1428" spans="2:2" x14ac:dyDescent="0.35">
      <c r="B1428"/>
    </row>
    <row r="1429" spans="2:2" x14ac:dyDescent="0.35">
      <c r="B1429"/>
    </row>
    <row r="1430" spans="2:2" x14ac:dyDescent="0.35">
      <c r="B1430"/>
    </row>
    <row r="1431" spans="2:2" x14ac:dyDescent="0.35">
      <c r="B1431"/>
    </row>
    <row r="1432" spans="2:2" x14ac:dyDescent="0.35">
      <c r="B1432"/>
    </row>
    <row r="1433" spans="2:2" x14ac:dyDescent="0.35">
      <c r="B1433"/>
    </row>
    <row r="1434" spans="2:2" x14ac:dyDescent="0.35">
      <c r="B1434"/>
    </row>
    <row r="1435" spans="2:2" x14ac:dyDescent="0.35">
      <c r="B1435"/>
    </row>
    <row r="1436" spans="2:2" x14ac:dyDescent="0.35">
      <c r="B1436"/>
    </row>
    <row r="1437" spans="2:2" x14ac:dyDescent="0.35">
      <c r="B1437"/>
    </row>
    <row r="1438" spans="2:2" x14ac:dyDescent="0.35">
      <c r="B1438"/>
    </row>
    <row r="1439" spans="2:2" x14ac:dyDescent="0.35">
      <c r="B1439"/>
    </row>
    <row r="1440" spans="2:2" x14ac:dyDescent="0.35">
      <c r="B1440"/>
    </row>
    <row r="1441" spans="2:2" x14ac:dyDescent="0.35">
      <c r="B1441"/>
    </row>
    <row r="1442" spans="2:2" x14ac:dyDescent="0.35">
      <c r="B1442"/>
    </row>
    <row r="1443" spans="2:2" x14ac:dyDescent="0.35">
      <c r="B1443"/>
    </row>
    <row r="1444" spans="2:2" x14ac:dyDescent="0.35">
      <c r="B1444"/>
    </row>
    <row r="1445" spans="2:2" x14ac:dyDescent="0.35">
      <c r="B1445"/>
    </row>
    <row r="1446" spans="2:2" x14ac:dyDescent="0.35">
      <c r="B1446"/>
    </row>
    <row r="1447" spans="2:2" x14ac:dyDescent="0.35">
      <c r="B1447"/>
    </row>
    <row r="1448" spans="2:2" x14ac:dyDescent="0.35">
      <c r="B1448"/>
    </row>
    <row r="1449" spans="2:2" x14ac:dyDescent="0.35">
      <c r="B1449"/>
    </row>
    <row r="1450" spans="2:2" x14ac:dyDescent="0.35">
      <c r="B1450"/>
    </row>
    <row r="1451" spans="2:2" x14ac:dyDescent="0.35">
      <c r="B1451"/>
    </row>
    <row r="1452" spans="2:2" x14ac:dyDescent="0.35">
      <c r="B1452"/>
    </row>
    <row r="1453" spans="2:2" x14ac:dyDescent="0.35">
      <c r="B1453"/>
    </row>
    <row r="1454" spans="2:2" x14ac:dyDescent="0.35">
      <c r="B1454"/>
    </row>
    <row r="1455" spans="2:2" x14ac:dyDescent="0.35">
      <c r="B1455"/>
    </row>
    <row r="1456" spans="2:2" x14ac:dyDescent="0.35">
      <c r="B1456"/>
    </row>
    <row r="1457" spans="2:2" x14ac:dyDescent="0.35">
      <c r="B1457"/>
    </row>
    <row r="1458" spans="2:2" x14ac:dyDescent="0.35">
      <c r="B1458"/>
    </row>
    <row r="1459" spans="2:2" x14ac:dyDescent="0.35">
      <c r="B1459"/>
    </row>
    <row r="1460" spans="2:2" x14ac:dyDescent="0.35">
      <c r="B1460"/>
    </row>
    <row r="1461" spans="2:2" x14ac:dyDescent="0.35">
      <c r="B1461"/>
    </row>
    <row r="1462" spans="2:2" x14ac:dyDescent="0.35">
      <c r="B1462"/>
    </row>
    <row r="1463" spans="2:2" x14ac:dyDescent="0.35">
      <c r="B1463"/>
    </row>
    <row r="1464" spans="2:2" x14ac:dyDescent="0.35">
      <c r="B1464"/>
    </row>
    <row r="1465" spans="2:2" x14ac:dyDescent="0.35">
      <c r="B1465"/>
    </row>
    <row r="1466" spans="2:2" x14ac:dyDescent="0.35">
      <c r="B1466"/>
    </row>
    <row r="1467" spans="2:2" x14ac:dyDescent="0.35">
      <c r="B1467"/>
    </row>
    <row r="1468" spans="2:2" x14ac:dyDescent="0.35">
      <c r="B1468"/>
    </row>
    <row r="1469" spans="2:2" x14ac:dyDescent="0.35">
      <c r="B1469"/>
    </row>
    <row r="1470" spans="2:2" x14ac:dyDescent="0.35">
      <c r="B1470"/>
    </row>
    <row r="1471" spans="2:2" x14ac:dyDescent="0.35">
      <c r="B1471"/>
    </row>
    <row r="1472" spans="2:2" x14ac:dyDescent="0.35">
      <c r="B1472"/>
    </row>
    <row r="1473" spans="2:2" x14ac:dyDescent="0.35">
      <c r="B1473"/>
    </row>
    <row r="1474" spans="2:2" x14ac:dyDescent="0.35">
      <c r="B1474"/>
    </row>
    <row r="1475" spans="2:2" x14ac:dyDescent="0.35">
      <c r="B1475"/>
    </row>
    <row r="1476" spans="2:2" x14ac:dyDescent="0.35">
      <c r="B1476"/>
    </row>
    <row r="1477" spans="2:2" x14ac:dyDescent="0.35">
      <c r="B1477"/>
    </row>
    <row r="1478" spans="2:2" x14ac:dyDescent="0.35">
      <c r="B1478"/>
    </row>
    <row r="1479" spans="2:2" x14ac:dyDescent="0.35">
      <c r="B1479"/>
    </row>
    <row r="1480" spans="2:2" x14ac:dyDescent="0.35">
      <c r="B1480"/>
    </row>
    <row r="1481" spans="2:2" x14ac:dyDescent="0.35">
      <c r="B1481"/>
    </row>
    <row r="1482" spans="2:2" x14ac:dyDescent="0.35">
      <c r="B1482"/>
    </row>
    <row r="1483" spans="2:2" x14ac:dyDescent="0.35">
      <c r="B1483"/>
    </row>
    <row r="1484" spans="2:2" x14ac:dyDescent="0.35">
      <c r="B1484"/>
    </row>
    <row r="1485" spans="2:2" x14ac:dyDescent="0.35">
      <c r="B1485"/>
    </row>
    <row r="1486" spans="2:2" x14ac:dyDescent="0.35">
      <c r="B1486"/>
    </row>
    <row r="1487" spans="2:2" x14ac:dyDescent="0.35">
      <c r="B1487"/>
    </row>
    <row r="1488" spans="2:2" x14ac:dyDescent="0.35">
      <c r="B1488"/>
    </row>
    <row r="1489" spans="2:2" x14ac:dyDescent="0.35">
      <c r="B1489"/>
    </row>
    <row r="1490" spans="2:2" x14ac:dyDescent="0.35">
      <c r="B1490"/>
    </row>
    <row r="1491" spans="2:2" x14ac:dyDescent="0.35">
      <c r="B1491"/>
    </row>
    <row r="1492" spans="2:2" x14ac:dyDescent="0.35">
      <c r="B1492"/>
    </row>
    <row r="1493" spans="2:2" x14ac:dyDescent="0.35">
      <c r="B1493"/>
    </row>
    <row r="1494" spans="2:2" x14ac:dyDescent="0.35">
      <c r="B1494"/>
    </row>
    <row r="1495" spans="2:2" x14ac:dyDescent="0.35">
      <c r="B1495"/>
    </row>
    <row r="1496" spans="2:2" x14ac:dyDescent="0.35">
      <c r="B1496"/>
    </row>
    <row r="1497" spans="2:2" x14ac:dyDescent="0.35">
      <c r="B1497"/>
    </row>
    <row r="1498" spans="2:2" x14ac:dyDescent="0.35">
      <c r="B1498"/>
    </row>
    <row r="1499" spans="2:2" x14ac:dyDescent="0.35">
      <c r="B1499"/>
    </row>
    <row r="1500" spans="2:2" x14ac:dyDescent="0.35">
      <c r="B1500"/>
    </row>
    <row r="1501" spans="2:2" x14ac:dyDescent="0.35">
      <c r="B1501"/>
    </row>
    <row r="1502" spans="2:2" x14ac:dyDescent="0.35">
      <c r="B1502"/>
    </row>
    <row r="1503" spans="2:2" x14ac:dyDescent="0.35">
      <c r="B1503"/>
    </row>
    <row r="1504" spans="2:2" x14ac:dyDescent="0.35">
      <c r="B1504"/>
    </row>
    <row r="1505" spans="2:2" x14ac:dyDescent="0.35">
      <c r="B1505"/>
    </row>
    <row r="1506" spans="2:2" x14ac:dyDescent="0.35">
      <c r="B1506"/>
    </row>
    <row r="1507" spans="2:2" x14ac:dyDescent="0.35">
      <c r="B1507"/>
    </row>
    <row r="1508" spans="2:2" x14ac:dyDescent="0.35">
      <c r="B1508"/>
    </row>
    <row r="1509" spans="2:2" x14ac:dyDescent="0.35">
      <c r="B1509"/>
    </row>
    <row r="1510" spans="2:2" x14ac:dyDescent="0.35">
      <c r="B1510"/>
    </row>
    <row r="1511" spans="2:2" x14ac:dyDescent="0.35">
      <c r="B1511"/>
    </row>
    <row r="1512" spans="2:2" x14ac:dyDescent="0.35">
      <c r="B1512"/>
    </row>
    <row r="1513" spans="2:2" x14ac:dyDescent="0.35">
      <c r="B1513"/>
    </row>
    <row r="1514" spans="2:2" x14ac:dyDescent="0.35">
      <c r="B1514"/>
    </row>
    <row r="1515" spans="2:2" x14ac:dyDescent="0.35">
      <c r="B1515"/>
    </row>
    <row r="1516" spans="2:2" x14ac:dyDescent="0.35">
      <c r="B1516"/>
    </row>
    <row r="1517" spans="2:2" x14ac:dyDescent="0.35">
      <c r="B1517"/>
    </row>
    <row r="1518" spans="2:2" x14ac:dyDescent="0.35">
      <c r="B1518"/>
    </row>
    <row r="1519" spans="2:2" x14ac:dyDescent="0.35">
      <c r="B1519"/>
    </row>
    <row r="1520" spans="2:2" x14ac:dyDescent="0.35">
      <c r="B1520"/>
    </row>
    <row r="1521" spans="2:2" x14ac:dyDescent="0.35">
      <c r="B1521"/>
    </row>
    <row r="1522" spans="2:2" x14ac:dyDescent="0.35">
      <c r="B1522"/>
    </row>
    <row r="1523" spans="2:2" x14ac:dyDescent="0.35">
      <c r="B1523"/>
    </row>
    <row r="1524" spans="2:2" x14ac:dyDescent="0.35">
      <c r="B1524"/>
    </row>
    <row r="1525" spans="2:2" x14ac:dyDescent="0.35">
      <c r="B1525"/>
    </row>
    <row r="1526" spans="2:2" x14ac:dyDescent="0.35">
      <c r="B1526"/>
    </row>
    <row r="1527" spans="2:2" x14ac:dyDescent="0.35">
      <c r="B1527"/>
    </row>
    <row r="1528" spans="2:2" x14ac:dyDescent="0.35">
      <c r="B1528"/>
    </row>
    <row r="1529" spans="2:2" x14ac:dyDescent="0.35">
      <c r="B1529"/>
    </row>
    <row r="1530" spans="2:2" x14ac:dyDescent="0.35">
      <c r="B1530"/>
    </row>
    <row r="1531" spans="2:2" x14ac:dyDescent="0.35">
      <c r="B1531"/>
    </row>
    <row r="1532" spans="2:2" x14ac:dyDescent="0.35">
      <c r="B1532"/>
    </row>
    <row r="1533" spans="2:2" x14ac:dyDescent="0.35">
      <c r="B1533"/>
    </row>
    <row r="1534" spans="2:2" x14ac:dyDescent="0.35">
      <c r="B1534"/>
    </row>
    <row r="1535" spans="2:2" x14ac:dyDescent="0.35">
      <c r="B1535"/>
    </row>
    <row r="1536" spans="2:2" x14ac:dyDescent="0.35">
      <c r="B1536"/>
    </row>
    <row r="1537" spans="2:2" x14ac:dyDescent="0.35">
      <c r="B1537"/>
    </row>
    <row r="1538" spans="2:2" x14ac:dyDescent="0.35">
      <c r="B1538"/>
    </row>
    <row r="1539" spans="2:2" x14ac:dyDescent="0.35">
      <c r="B1539"/>
    </row>
    <row r="1540" spans="2:2" x14ac:dyDescent="0.35">
      <c r="B1540"/>
    </row>
    <row r="1541" spans="2:2" x14ac:dyDescent="0.35">
      <c r="B1541"/>
    </row>
    <row r="1542" spans="2:2" x14ac:dyDescent="0.35">
      <c r="B1542"/>
    </row>
    <row r="1543" spans="2:2" x14ac:dyDescent="0.35">
      <c r="B1543"/>
    </row>
    <row r="1544" spans="2:2" x14ac:dyDescent="0.35">
      <c r="B1544"/>
    </row>
    <row r="1545" spans="2:2" x14ac:dyDescent="0.35">
      <c r="B1545"/>
    </row>
    <row r="1546" spans="2:2" x14ac:dyDescent="0.35">
      <c r="B1546"/>
    </row>
    <row r="1547" spans="2:2" x14ac:dyDescent="0.35">
      <c r="B1547"/>
    </row>
    <row r="1548" spans="2:2" x14ac:dyDescent="0.35">
      <c r="B1548"/>
    </row>
    <row r="1549" spans="2:2" x14ac:dyDescent="0.35">
      <c r="B1549"/>
    </row>
    <row r="1550" spans="2:2" x14ac:dyDescent="0.35">
      <c r="B1550"/>
    </row>
    <row r="1551" spans="2:2" x14ac:dyDescent="0.35">
      <c r="B1551"/>
    </row>
    <row r="1552" spans="2:2" x14ac:dyDescent="0.35">
      <c r="B1552"/>
    </row>
    <row r="1553" spans="2:2" x14ac:dyDescent="0.35">
      <c r="B1553"/>
    </row>
    <row r="1554" spans="2:2" x14ac:dyDescent="0.35">
      <c r="B1554"/>
    </row>
    <row r="1555" spans="2:2" x14ac:dyDescent="0.35">
      <c r="B1555"/>
    </row>
    <row r="1556" spans="2:2" x14ac:dyDescent="0.35">
      <c r="B1556"/>
    </row>
    <row r="1557" spans="2:2" x14ac:dyDescent="0.35">
      <c r="B1557"/>
    </row>
    <row r="1558" spans="2:2" x14ac:dyDescent="0.35">
      <c r="B1558"/>
    </row>
    <row r="1559" spans="2:2" x14ac:dyDescent="0.35">
      <c r="B1559"/>
    </row>
    <row r="1560" spans="2:2" x14ac:dyDescent="0.35">
      <c r="B1560"/>
    </row>
    <row r="1561" spans="2:2" x14ac:dyDescent="0.35">
      <c r="B1561"/>
    </row>
    <row r="1562" spans="2:2" x14ac:dyDescent="0.35">
      <c r="B1562"/>
    </row>
    <row r="1563" spans="2:2" x14ac:dyDescent="0.35">
      <c r="B1563"/>
    </row>
    <row r="1564" spans="2:2" x14ac:dyDescent="0.35">
      <c r="B1564"/>
    </row>
    <row r="1565" spans="2:2" x14ac:dyDescent="0.35">
      <c r="B1565"/>
    </row>
    <row r="1566" spans="2:2" x14ac:dyDescent="0.35">
      <c r="B1566"/>
    </row>
    <row r="1567" spans="2:2" x14ac:dyDescent="0.35">
      <c r="B1567"/>
    </row>
    <row r="1568" spans="2:2" x14ac:dyDescent="0.35">
      <c r="B1568"/>
    </row>
    <row r="1569" spans="2:2" x14ac:dyDescent="0.35">
      <c r="B1569"/>
    </row>
    <row r="1570" spans="2:2" x14ac:dyDescent="0.35">
      <c r="B1570"/>
    </row>
    <row r="1571" spans="2:2" x14ac:dyDescent="0.35">
      <c r="B1571"/>
    </row>
    <row r="1572" spans="2:2" x14ac:dyDescent="0.35">
      <c r="B1572"/>
    </row>
    <row r="1573" spans="2:2" x14ac:dyDescent="0.35">
      <c r="B1573"/>
    </row>
    <row r="1574" spans="2:2" x14ac:dyDescent="0.35">
      <c r="B1574"/>
    </row>
    <row r="1575" spans="2:2" x14ac:dyDescent="0.35">
      <c r="B1575"/>
    </row>
    <row r="1576" spans="2:2" x14ac:dyDescent="0.35">
      <c r="B1576"/>
    </row>
    <row r="1577" spans="2:2" x14ac:dyDescent="0.35">
      <c r="B1577"/>
    </row>
    <row r="1578" spans="2:2" x14ac:dyDescent="0.35">
      <c r="B1578"/>
    </row>
    <row r="1579" spans="2:2" x14ac:dyDescent="0.35">
      <c r="B1579"/>
    </row>
    <row r="1580" spans="2:2" x14ac:dyDescent="0.35">
      <c r="B1580"/>
    </row>
    <row r="1581" spans="2:2" x14ac:dyDescent="0.35">
      <c r="B1581"/>
    </row>
    <row r="1582" spans="2:2" x14ac:dyDescent="0.35">
      <c r="B1582"/>
    </row>
    <row r="1583" spans="2:2" x14ac:dyDescent="0.35">
      <c r="B1583"/>
    </row>
    <row r="1584" spans="2:2" x14ac:dyDescent="0.35">
      <c r="B1584"/>
    </row>
    <row r="1585" spans="2:2" x14ac:dyDescent="0.35">
      <c r="B1585"/>
    </row>
    <row r="1586" spans="2:2" x14ac:dyDescent="0.35">
      <c r="B1586"/>
    </row>
    <row r="1587" spans="2:2" x14ac:dyDescent="0.35">
      <c r="B1587"/>
    </row>
    <row r="1588" spans="2:2" x14ac:dyDescent="0.35">
      <c r="B1588"/>
    </row>
    <row r="1589" spans="2:2" x14ac:dyDescent="0.35">
      <c r="B1589"/>
    </row>
    <row r="1590" spans="2:2" x14ac:dyDescent="0.35">
      <c r="B1590"/>
    </row>
    <row r="1591" spans="2:2" x14ac:dyDescent="0.35">
      <c r="B1591"/>
    </row>
    <row r="1592" spans="2:2" x14ac:dyDescent="0.35">
      <c r="B1592"/>
    </row>
    <row r="1593" spans="2:2" x14ac:dyDescent="0.35">
      <c r="B1593"/>
    </row>
    <row r="1594" spans="2:2" x14ac:dyDescent="0.35">
      <c r="B1594"/>
    </row>
    <row r="1595" spans="2:2" x14ac:dyDescent="0.35">
      <c r="B1595"/>
    </row>
    <row r="1596" spans="2:2" x14ac:dyDescent="0.35">
      <c r="B1596"/>
    </row>
    <row r="1597" spans="2:2" x14ac:dyDescent="0.35">
      <c r="B1597"/>
    </row>
    <row r="1598" spans="2:2" x14ac:dyDescent="0.35">
      <c r="B1598"/>
    </row>
    <row r="1599" spans="2:2" x14ac:dyDescent="0.35">
      <c r="B1599"/>
    </row>
    <row r="1600" spans="2:2" x14ac:dyDescent="0.35">
      <c r="B1600"/>
    </row>
    <row r="1601" spans="2:2" x14ac:dyDescent="0.35">
      <c r="B1601"/>
    </row>
    <row r="1602" spans="2:2" x14ac:dyDescent="0.35">
      <c r="B1602"/>
    </row>
    <row r="1603" spans="2:2" x14ac:dyDescent="0.35">
      <c r="B1603"/>
    </row>
    <row r="1604" spans="2:2" x14ac:dyDescent="0.35">
      <c r="B1604"/>
    </row>
    <row r="1605" spans="2:2" x14ac:dyDescent="0.35">
      <c r="B1605"/>
    </row>
    <row r="1606" spans="2:2" x14ac:dyDescent="0.35">
      <c r="B1606"/>
    </row>
    <row r="1607" spans="2:2" x14ac:dyDescent="0.35">
      <c r="B1607"/>
    </row>
    <row r="1608" spans="2:2" x14ac:dyDescent="0.35">
      <c r="B1608"/>
    </row>
    <row r="1609" spans="2:2" x14ac:dyDescent="0.35">
      <c r="B1609"/>
    </row>
    <row r="1610" spans="2:2" x14ac:dyDescent="0.35">
      <c r="B1610"/>
    </row>
    <row r="1611" spans="2:2" x14ac:dyDescent="0.35">
      <c r="B1611"/>
    </row>
    <row r="1612" spans="2:2" x14ac:dyDescent="0.35">
      <c r="B1612"/>
    </row>
    <row r="1613" spans="2:2" x14ac:dyDescent="0.35">
      <c r="B1613"/>
    </row>
    <row r="1614" spans="2:2" x14ac:dyDescent="0.35">
      <c r="B1614"/>
    </row>
    <row r="1615" spans="2:2" x14ac:dyDescent="0.35">
      <c r="B1615"/>
    </row>
    <row r="1616" spans="2:2" x14ac:dyDescent="0.35">
      <c r="B1616"/>
    </row>
    <row r="1617" spans="2:2" x14ac:dyDescent="0.35">
      <c r="B1617"/>
    </row>
    <row r="1618" spans="2:2" x14ac:dyDescent="0.35">
      <c r="B1618"/>
    </row>
    <row r="1619" spans="2:2" x14ac:dyDescent="0.35">
      <c r="B1619"/>
    </row>
    <row r="1620" spans="2:2" x14ac:dyDescent="0.35">
      <c r="B1620"/>
    </row>
    <row r="1621" spans="2:2" x14ac:dyDescent="0.35">
      <c r="B1621"/>
    </row>
    <row r="1622" spans="2:2" x14ac:dyDescent="0.35">
      <c r="B1622"/>
    </row>
    <row r="1623" spans="2:2" x14ac:dyDescent="0.35">
      <c r="B1623"/>
    </row>
    <row r="1624" spans="2:2" x14ac:dyDescent="0.35">
      <c r="B1624"/>
    </row>
    <row r="1625" spans="2:2" x14ac:dyDescent="0.35">
      <c r="B1625"/>
    </row>
    <row r="1626" spans="2:2" x14ac:dyDescent="0.35">
      <c r="B1626"/>
    </row>
    <row r="1627" spans="2:2" x14ac:dyDescent="0.35">
      <c r="B1627"/>
    </row>
    <row r="1628" spans="2:2" x14ac:dyDescent="0.35">
      <c r="B1628"/>
    </row>
    <row r="1629" spans="2:2" x14ac:dyDescent="0.35">
      <c r="B1629"/>
    </row>
    <row r="1630" spans="2:2" x14ac:dyDescent="0.35">
      <c r="B1630"/>
    </row>
    <row r="1631" spans="2:2" x14ac:dyDescent="0.35">
      <c r="B1631"/>
    </row>
    <row r="1632" spans="2:2" x14ac:dyDescent="0.35">
      <c r="B1632"/>
    </row>
    <row r="1633" spans="2:2" x14ac:dyDescent="0.35">
      <c r="B1633"/>
    </row>
    <row r="1634" spans="2:2" x14ac:dyDescent="0.35">
      <c r="B1634"/>
    </row>
    <row r="1635" spans="2:2" x14ac:dyDescent="0.35">
      <c r="B1635"/>
    </row>
    <row r="1636" spans="2:2" x14ac:dyDescent="0.35">
      <c r="B1636"/>
    </row>
    <row r="1637" spans="2:2" x14ac:dyDescent="0.35">
      <c r="B1637"/>
    </row>
    <row r="1638" spans="2:2" x14ac:dyDescent="0.35">
      <c r="B1638"/>
    </row>
    <row r="1639" spans="2:2" x14ac:dyDescent="0.35">
      <c r="B1639"/>
    </row>
    <row r="1640" spans="2:2" x14ac:dyDescent="0.35">
      <c r="B1640"/>
    </row>
    <row r="1641" spans="2:2" x14ac:dyDescent="0.35">
      <c r="B1641"/>
    </row>
    <row r="1642" spans="2:2" x14ac:dyDescent="0.35">
      <c r="B1642"/>
    </row>
    <row r="1643" spans="2:2" x14ac:dyDescent="0.35">
      <c r="B1643"/>
    </row>
    <row r="1644" spans="2:2" x14ac:dyDescent="0.35">
      <c r="B1644"/>
    </row>
    <row r="1645" spans="2:2" x14ac:dyDescent="0.35">
      <c r="B1645"/>
    </row>
    <row r="1646" spans="2:2" x14ac:dyDescent="0.35">
      <c r="B1646"/>
    </row>
    <row r="1647" spans="2:2" x14ac:dyDescent="0.35">
      <c r="B1647"/>
    </row>
    <row r="1648" spans="2:2" x14ac:dyDescent="0.35">
      <c r="B1648"/>
    </row>
    <row r="1649" spans="2:2" x14ac:dyDescent="0.35">
      <c r="B1649"/>
    </row>
    <row r="1650" spans="2:2" x14ac:dyDescent="0.35">
      <c r="B1650"/>
    </row>
    <row r="1651" spans="2:2" x14ac:dyDescent="0.35">
      <c r="B1651"/>
    </row>
    <row r="1652" spans="2:2" x14ac:dyDescent="0.35">
      <c r="B1652"/>
    </row>
    <row r="1653" spans="2:2" x14ac:dyDescent="0.35">
      <c r="B1653"/>
    </row>
    <row r="1654" spans="2:2" x14ac:dyDescent="0.35">
      <c r="B1654"/>
    </row>
    <row r="1655" spans="2:2" x14ac:dyDescent="0.35">
      <c r="B1655"/>
    </row>
    <row r="1656" spans="2:2" x14ac:dyDescent="0.35">
      <c r="B1656"/>
    </row>
    <row r="1657" spans="2:2" x14ac:dyDescent="0.35">
      <c r="B1657"/>
    </row>
    <row r="1658" spans="2:2" x14ac:dyDescent="0.35">
      <c r="B1658"/>
    </row>
    <row r="1659" spans="2:2" x14ac:dyDescent="0.35">
      <c r="B1659"/>
    </row>
    <row r="1660" spans="2:2" x14ac:dyDescent="0.35">
      <c r="B1660"/>
    </row>
    <row r="1661" spans="2:2" x14ac:dyDescent="0.35">
      <c r="B1661"/>
    </row>
    <row r="1662" spans="2:2" x14ac:dyDescent="0.35">
      <c r="B1662"/>
    </row>
    <row r="1663" spans="2:2" x14ac:dyDescent="0.35">
      <c r="B1663"/>
    </row>
    <row r="1664" spans="2:2" x14ac:dyDescent="0.35">
      <c r="B1664"/>
    </row>
    <row r="1665" spans="2:2" x14ac:dyDescent="0.35">
      <c r="B1665"/>
    </row>
    <row r="1666" spans="2:2" x14ac:dyDescent="0.35">
      <c r="B1666"/>
    </row>
    <row r="1667" spans="2:2" x14ac:dyDescent="0.35">
      <c r="B1667"/>
    </row>
    <row r="1668" spans="2:2" x14ac:dyDescent="0.35">
      <c r="B1668"/>
    </row>
    <row r="1669" spans="2:2" x14ac:dyDescent="0.35">
      <c r="B1669"/>
    </row>
    <row r="1670" spans="2:2" x14ac:dyDescent="0.35">
      <c r="B1670"/>
    </row>
    <row r="1671" spans="2:2" x14ac:dyDescent="0.35">
      <c r="B1671"/>
    </row>
    <row r="1672" spans="2:2" x14ac:dyDescent="0.35">
      <c r="B1672"/>
    </row>
    <row r="1673" spans="2:2" x14ac:dyDescent="0.35">
      <c r="B1673"/>
    </row>
    <row r="1674" spans="2:2" x14ac:dyDescent="0.35">
      <c r="B1674"/>
    </row>
    <row r="1675" spans="2:2" x14ac:dyDescent="0.35">
      <c r="B1675"/>
    </row>
    <row r="1676" spans="2:2" x14ac:dyDescent="0.35">
      <c r="B1676"/>
    </row>
    <row r="1677" spans="2:2" x14ac:dyDescent="0.35">
      <c r="B1677"/>
    </row>
    <row r="1678" spans="2:2" x14ac:dyDescent="0.35">
      <c r="B1678"/>
    </row>
    <row r="1679" spans="2:2" x14ac:dyDescent="0.35">
      <c r="B1679"/>
    </row>
    <row r="1680" spans="2:2" x14ac:dyDescent="0.35">
      <c r="B1680"/>
    </row>
    <row r="1681" spans="2:2" x14ac:dyDescent="0.35">
      <c r="B1681"/>
    </row>
    <row r="1682" spans="2:2" x14ac:dyDescent="0.35">
      <c r="B1682"/>
    </row>
    <row r="1683" spans="2:2" x14ac:dyDescent="0.35">
      <c r="B1683"/>
    </row>
    <row r="1684" spans="2:2" x14ac:dyDescent="0.35">
      <c r="B1684"/>
    </row>
    <row r="1685" spans="2:2" x14ac:dyDescent="0.35">
      <c r="B1685"/>
    </row>
    <row r="1686" spans="2:2" x14ac:dyDescent="0.35">
      <c r="B1686"/>
    </row>
    <row r="1687" spans="2:2" x14ac:dyDescent="0.35">
      <c r="B1687"/>
    </row>
    <row r="1688" spans="2:2" x14ac:dyDescent="0.35">
      <c r="B1688"/>
    </row>
    <row r="1689" spans="2:2" x14ac:dyDescent="0.35">
      <c r="B1689"/>
    </row>
    <row r="1690" spans="2:2" x14ac:dyDescent="0.35">
      <c r="B1690"/>
    </row>
    <row r="1691" spans="2:2" x14ac:dyDescent="0.35">
      <c r="B1691"/>
    </row>
    <row r="1692" spans="2:2" x14ac:dyDescent="0.35">
      <c r="B1692"/>
    </row>
    <row r="1693" spans="2:2" x14ac:dyDescent="0.35">
      <c r="B1693"/>
    </row>
    <row r="1694" spans="2:2" x14ac:dyDescent="0.35">
      <c r="B1694"/>
    </row>
    <row r="1695" spans="2:2" x14ac:dyDescent="0.35">
      <c r="B1695"/>
    </row>
    <row r="1696" spans="2:2" x14ac:dyDescent="0.35">
      <c r="B1696"/>
    </row>
    <row r="1697" spans="2:2" x14ac:dyDescent="0.35">
      <c r="B1697"/>
    </row>
    <row r="1698" spans="2:2" x14ac:dyDescent="0.35">
      <c r="B1698"/>
    </row>
    <row r="1699" spans="2:2" x14ac:dyDescent="0.35">
      <c r="B1699"/>
    </row>
    <row r="1700" spans="2:2" x14ac:dyDescent="0.35">
      <c r="B1700"/>
    </row>
    <row r="1701" spans="2:2" x14ac:dyDescent="0.35">
      <c r="B1701"/>
    </row>
    <row r="1702" spans="2:2" x14ac:dyDescent="0.35">
      <c r="B1702"/>
    </row>
    <row r="1703" spans="2:2" x14ac:dyDescent="0.35">
      <c r="B1703"/>
    </row>
    <row r="1704" spans="2:2" x14ac:dyDescent="0.35">
      <c r="B1704"/>
    </row>
    <row r="1705" spans="2:2" x14ac:dyDescent="0.35">
      <c r="B1705"/>
    </row>
    <row r="1706" spans="2:2" x14ac:dyDescent="0.35">
      <c r="B1706"/>
    </row>
    <row r="1707" spans="2:2" x14ac:dyDescent="0.35">
      <c r="B1707"/>
    </row>
    <row r="1708" spans="2:2" x14ac:dyDescent="0.35">
      <c r="B1708"/>
    </row>
    <row r="1709" spans="2:2" x14ac:dyDescent="0.35">
      <c r="B1709"/>
    </row>
    <row r="1710" spans="2:2" x14ac:dyDescent="0.35">
      <c r="B1710"/>
    </row>
    <row r="1711" spans="2:2" x14ac:dyDescent="0.35">
      <c r="B1711"/>
    </row>
    <row r="1712" spans="2:2" x14ac:dyDescent="0.35">
      <c r="B1712"/>
    </row>
    <row r="1713" spans="2:2" x14ac:dyDescent="0.35">
      <c r="B1713"/>
    </row>
    <row r="1714" spans="2:2" x14ac:dyDescent="0.35">
      <c r="B1714"/>
    </row>
    <row r="1715" spans="2:2" x14ac:dyDescent="0.35">
      <c r="B1715"/>
    </row>
    <row r="1716" spans="2:2" x14ac:dyDescent="0.35">
      <c r="B1716"/>
    </row>
    <row r="1717" spans="2:2" x14ac:dyDescent="0.35">
      <c r="B1717"/>
    </row>
    <row r="1718" spans="2:2" x14ac:dyDescent="0.35">
      <c r="B1718"/>
    </row>
    <row r="1719" spans="2:2" x14ac:dyDescent="0.35">
      <c r="B1719"/>
    </row>
    <row r="1720" spans="2:2" x14ac:dyDescent="0.35">
      <c r="B1720"/>
    </row>
    <row r="1721" spans="2:2" x14ac:dyDescent="0.35">
      <c r="B1721"/>
    </row>
    <row r="1722" spans="2:2" x14ac:dyDescent="0.35">
      <c r="B1722"/>
    </row>
    <row r="1723" spans="2:2" x14ac:dyDescent="0.35">
      <c r="B1723"/>
    </row>
    <row r="1724" spans="2:2" x14ac:dyDescent="0.35">
      <c r="B1724"/>
    </row>
    <row r="1725" spans="2:2" x14ac:dyDescent="0.35">
      <c r="B1725"/>
    </row>
    <row r="1726" spans="2:2" x14ac:dyDescent="0.35">
      <c r="B1726"/>
    </row>
    <row r="1727" spans="2:2" x14ac:dyDescent="0.35">
      <c r="B1727"/>
    </row>
    <row r="1728" spans="2:2" x14ac:dyDescent="0.35">
      <c r="B1728"/>
    </row>
    <row r="1729" spans="2:2" x14ac:dyDescent="0.35">
      <c r="B1729"/>
    </row>
    <row r="1730" spans="2:2" x14ac:dyDescent="0.35">
      <c r="B1730"/>
    </row>
    <row r="1731" spans="2:2" x14ac:dyDescent="0.35">
      <c r="B1731"/>
    </row>
    <row r="1732" spans="2:2" x14ac:dyDescent="0.35">
      <c r="B1732"/>
    </row>
    <row r="1733" spans="2:2" x14ac:dyDescent="0.35">
      <c r="B1733"/>
    </row>
    <row r="1734" spans="2:2" x14ac:dyDescent="0.35">
      <c r="B1734"/>
    </row>
    <row r="1735" spans="2:2" x14ac:dyDescent="0.35">
      <c r="B1735"/>
    </row>
    <row r="1736" spans="2:2" x14ac:dyDescent="0.35">
      <c r="B1736"/>
    </row>
    <row r="1737" spans="2:2" x14ac:dyDescent="0.35">
      <c r="B1737"/>
    </row>
    <row r="1738" spans="2:2" x14ac:dyDescent="0.35">
      <c r="B1738"/>
    </row>
    <row r="1739" spans="2:2" x14ac:dyDescent="0.35">
      <c r="B1739"/>
    </row>
    <row r="1740" spans="2:2" x14ac:dyDescent="0.35">
      <c r="B1740"/>
    </row>
    <row r="1741" spans="2:2" x14ac:dyDescent="0.35">
      <c r="B1741"/>
    </row>
    <row r="1742" spans="2:2" x14ac:dyDescent="0.35">
      <c r="B1742"/>
    </row>
    <row r="1743" spans="2:2" x14ac:dyDescent="0.35">
      <c r="B1743"/>
    </row>
    <row r="1744" spans="2:2" x14ac:dyDescent="0.35">
      <c r="B1744"/>
    </row>
    <row r="1745" spans="2:2" x14ac:dyDescent="0.35">
      <c r="B1745"/>
    </row>
    <row r="1746" spans="2:2" x14ac:dyDescent="0.35">
      <c r="B1746"/>
    </row>
    <row r="1747" spans="2:2" x14ac:dyDescent="0.35">
      <c r="B1747"/>
    </row>
    <row r="1748" spans="2:2" x14ac:dyDescent="0.35">
      <c r="B1748"/>
    </row>
    <row r="1749" spans="2:2" x14ac:dyDescent="0.35">
      <c r="B1749"/>
    </row>
    <row r="1750" spans="2:2" x14ac:dyDescent="0.35">
      <c r="B1750"/>
    </row>
    <row r="1751" spans="2:2" x14ac:dyDescent="0.35">
      <c r="B1751"/>
    </row>
    <row r="1752" spans="2:2" x14ac:dyDescent="0.35">
      <c r="B1752"/>
    </row>
    <row r="1753" spans="2:2" x14ac:dyDescent="0.35">
      <c r="B1753"/>
    </row>
    <row r="1754" spans="2:2" x14ac:dyDescent="0.35">
      <c r="B1754"/>
    </row>
    <row r="1755" spans="2:2" x14ac:dyDescent="0.35">
      <c r="B1755"/>
    </row>
    <row r="1756" spans="2:2" x14ac:dyDescent="0.35">
      <c r="B1756"/>
    </row>
    <row r="1757" spans="2:2" x14ac:dyDescent="0.35">
      <c r="B1757"/>
    </row>
    <row r="1758" spans="2:2" x14ac:dyDescent="0.35">
      <c r="B1758"/>
    </row>
    <row r="1759" spans="2:2" x14ac:dyDescent="0.35">
      <c r="B1759"/>
    </row>
    <row r="1760" spans="2:2" x14ac:dyDescent="0.35">
      <c r="B1760"/>
    </row>
    <row r="1761" spans="2:2" x14ac:dyDescent="0.35">
      <c r="B1761"/>
    </row>
    <row r="1762" spans="2:2" x14ac:dyDescent="0.35">
      <c r="B1762"/>
    </row>
    <row r="1763" spans="2:2" x14ac:dyDescent="0.35">
      <c r="B1763"/>
    </row>
    <row r="1764" spans="2:2" x14ac:dyDescent="0.35">
      <c r="B1764"/>
    </row>
    <row r="1765" spans="2:2" x14ac:dyDescent="0.35">
      <c r="B1765"/>
    </row>
    <row r="1766" spans="2:2" x14ac:dyDescent="0.35">
      <c r="B1766"/>
    </row>
    <row r="1767" spans="2:2" x14ac:dyDescent="0.35">
      <c r="B1767"/>
    </row>
    <row r="1768" spans="2:2" x14ac:dyDescent="0.35">
      <c r="B1768"/>
    </row>
    <row r="1769" spans="2:2" x14ac:dyDescent="0.35">
      <c r="B1769"/>
    </row>
    <row r="1770" spans="2:2" x14ac:dyDescent="0.35">
      <c r="B1770"/>
    </row>
    <row r="1771" spans="2:2" x14ac:dyDescent="0.35">
      <c r="B1771"/>
    </row>
    <row r="1772" spans="2:2" x14ac:dyDescent="0.35">
      <c r="B1772"/>
    </row>
    <row r="1773" spans="2:2" x14ac:dyDescent="0.35">
      <c r="B1773"/>
    </row>
    <row r="1774" spans="2:2" x14ac:dyDescent="0.35">
      <c r="B1774"/>
    </row>
    <row r="1775" spans="2:2" x14ac:dyDescent="0.35">
      <c r="B1775"/>
    </row>
    <row r="1776" spans="2:2" x14ac:dyDescent="0.35">
      <c r="B1776"/>
    </row>
    <row r="1777" spans="2:2" x14ac:dyDescent="0.35">
      <c r="B1777"/>
    </row>
    <row r="1778" spans="2:2" x14ac:dyDescent="0.35">
      <c r="B1778"/>
    </row>
    <row r="1779" spans="2:2" x14ac:dyDescent="0.35">
      <c r="B1779"/>
    </row>
    <row r="1780" spans="2:2" x14ac:dyDescent="0.35">
      <c r="B1780"/>
    </row>
    <row r="1781" spans="2:2" x14ac:dyDescent="0.35">
      <c r="B1781"/>
    </row>
    <row r="1782" spans="2:2" x14ac:dyDescent="0.35">
      <c r="B1782"/>
    </row>
    <row r="1783" spans="2:2" x14ac:dyDescent="0.35">
      <c r="B1783"/>
    </row>
    <row r="1784" spans="2:2" x14ac:dyDescent="0.35">
      <c r="B1784"/>
    </row>
    <row r="1785" spans="2:2" x14ac:dyDescent="0.35">
      <c r="B1785"/>
    </row>
    <row r="1786" spans="2:2" x14ac:dyDescent="0.35">
      <c r="B1786"/>
    </row>
    <row r="1787" spans="2:2" x14ac:dyDescent="0.35">
      <c r="B1787"/>
    </row>
    <row r="1788" spans="2:2" x14ac:dyDescent="0.35">
      <c r="B1788"/>
    </row>
    <row r="1789" spans="2:2" x14ac:dyDescent="0.35">
      <c r="B1789"/>
    </row>
    <row r="1790" spans="2:2" x14ac:dyDescent="0.35">
      <c r="B1790"/>
    </row>
    <row r="1791" spans="2:2" x14ac:dyDescent="0.35">
      <c r="B1791"/>
    </row>
    <row r="1792" spans="2:2" x14ac:dyDescent="0.35">
      <c r="B1792"/>
    </row>
    <row r="1793" spans="2:2" x14ac:dyDescent="0.35">
      <c r="B1793"/>
    </row>
    <row r="1794" spans="2:2" x14ac:dyDescent="0.35">
      <c r="B1794"/>
    </row>
    <row r="1795" spans="2:2" x14ac:dyDescent="0.35">
      <c r="B1795"/>
    </row>
    <row r="1796" spans="2:2" x14ac:dyDescent="0.35">
      <c r="B1796"/>
    </row>
    <row r="1797" spans="2:2" x14ac:dyDescent="0.35">
      <c r="B1797"/>
    </row>
    <row r="1798" spans="2:2" x14ac:dyDescent="0.35">
      <c r="B1798"/>
    </row>
    <row r="1799" spans="2:2" x14ac:dyDescent="0.35">
      <c r="B1799"/>
    </row>
    <row r="1800" spans="2:2" x14ac:dyDescent="0.35">
      <c r="B1800"/>
    </row>
    <row r="1801" spans="2:2" x14ac:dyDescent="0.35">
      <c r="B1801"/>
    </row>
    <row r="1802" spans="2:2" x14ac:dyDescent="0.35">
      <c r="B1802"/>
    </row>
    <row r="1803" spans="2:2" x14ac:dyDescent="0.35">
      <c r="B1803"/>
    </row>
    <row r="1804" spans="2:2" x14ac:dyDescent="0.35">
      <c r="B1804"/>
    </row>
    <row r="1805" spans="2:2" x14ac:dyDescent="0.35">
      <c r="B1805"/>
    </row>
    <row r="1806" spans="2:2" x14ac:dyDescent="0.35">
      <c r="B1806"/>
    </row>
    <row r="1807" spans="2:2" x14ac:dyDescent="0.35">
      <c r="B1807"/>
    </row>
    <row r="1808" spans="2:2" x14ac:dyDescent="0.35">
      <c r="B1808"/>
    </row>
    <row r="1809" spans="2:2" x14ac:dyDescent="0.35">
      <c r="B1809"/>
    </row>
    <row r="1810" spans="2:2" x14ac:dyDescent="0.35">
      <c r="B1810"/>
    </row>
    <row r="1811" spans="2:2" x14ac:dyDescent="0.35">
      <c r="B1811"/>
    </row>
    <row r="1812" spans="2:2" x14ac:dyDescent="0.35">
      <c r="B1812"/>
    </row>
    <row r="1813" spans="2:2" x14ac:dyDescent="0.35">
      <c r="B1813"/>
    </row>
    <row r="1814" spans="2:2" x14ac:dyDescent="0.35">
      <c r="B1814"/>
    </row>
    <row r="1815" spans="2:2" x14ac:dyDescent="0.35">
      <c r="B1815"/>
    </row>
    <row r="1816" spans="2:2" x14ac:dyDescent="0.35">
      <c r="B1816"/>
    </row>
    <row r="1817" spans="2:2" x14ac:dyDescent="0.35">
      <c r="B1817"/>
    </row>
    <row r="1818" spans="2:2" x14ac:dyDescent="0.35">
      <c r="B1818"/>
    </row>
    <row r="1819" spans="2:2" x14ac:dyDescent="0.35">
      <c r="B1819"/>
    </row>
    <row r="1820" spans="2:2" x14ac:dyDescent="0.35">
      <c r="B1820"/>
    </row>
    <row r="1821" spans="2:2" x14ac:dyDescent="0.35">
      <c r="B1821"/>
    </row>
    <row r="1822" spans="2:2" x14ac:dyDescent="0.35">
      <c r="B1822"/>
    </row>
    <row r="1823" spans="2:2" x14ac:dyDescent="0.35">
      <c r="B1823"/>
    </row>
    <row r="1824" spans="2:2" x14ac:dyDescent="0.35">
      <c r="B1824"/>
    </row>
    <row r="1825" spans="2:2" x14ac:dyDescent="0.35">
      <c r="B1825"/>
    </row>
    <row r="1826" spans="2:2" x14ac:dyDescent="0.35">
      <c r="B1826"/>
    </row>
    <row r="1827" spans="2:2" x14ac:dyDescent="0.35">
      <c r="B1827"/>
    </row>
    <row r="1828" spans="2:2" x14ac:dyDescent="0.35">
      <c r="B1828"/>
    </row>
    <row r="1829" spans="2:2" x14ac:dyDescent="0.35">
      <c r="B1829"/>
    </row>
    <row r="1830" spans="2:2" x14ac:dyDescent="0.35">
      <c r="B1830"/>
    </row>
    <row r="1831" spans="2:2" x14ac:dyDescent="0.35">
      <c r="B1831"/>
    </row>
    <row r="1832" spans="2:2" x14ac:dyDescent="0.35">
      <c r="B1832"/>
    </row>
    <row r="1833" spans="2:2" x14ac:dyDescent="0.35">
      <c r="B1833"/>
    </row>
    <row r="1834" spans="2:2" x14ac:dyDescent="0.35">
      <c r="B1834"/>
    </row>
    <row r="1835" spans="2:2" x14ac:dyDescent="0.35">
      <c r="B1835"/>
    </row>
    <row r="1836" spans="2:2" x14ac:dyDescent="0.35">
      <c r="B1836"/>
    </row>
    <row r="1837" spans="2:2" x14ac:dyDescent="0.35">
      <c r="B1837"/>
    </row>
    <row r="1838" spans="2:2" x14ac:dyDescent="0.35">
      <c r="B1838"/>
    </row>
    <row r="1839" spans="2:2" x14ac:dyDescent="0.35">
      <c r="B1839"/>
    </row>
    <row r="1840" spans="2:2" x14ac:dyDescent="0.35">
      <c r="B1840"/>
    </row>
    <row r="1841" spans="2:2" x14ac:dyDescent="0.35">
      <c r="B1841"/>
    </row>
    <row r="1842" spans="2:2" x14ac:dyDescent="0.35">
      <c r="B1842"/>
    </row>
    <row r="1843" spans="2:2" x14ac:dyDescent="0.35">
      <c r="B1843"/>
    </row>
    <row r="1844" spans="2:2" x14ac:dyDescent="0.35">
      <c r="B1844"/>
    </row>
    <row r="1845" spans="2:2" x14ac:dyDescent="0.35">
      <c r="B1845"/>
    </row>
    <row r="1846" spans="2:2" x14ac:dyDescent="0.35">
      <c r="B1846"/>
    </row>
    <row r="1847" spans="2:2" x14ac:dyDescent="0.35">
      <c r="B1847"/>
    </row>
    <row r="1848" spans="2:2" x14ac:dyDescent="0.35">
      <c r="B1848"/>
    </row>
    <row r="1849" spans="2:2" x14ac:dyDescent="0.35">
      <c r="B1849"/>
    </row>
    <row r="1850" spans="2:2" x14ac:dyDescent="0.35">
      <c r="B1850"/>
    </row>
    <row r="1851" spans="2:2" x14ac:dyDescent="0.35">
      <c r="B1851"/>
    </row>
    <row r="1852" spans="2:2" x14ac:dyDescent="0.35">
      <c r="B1852"/>
    </row>
    <row r="1853" spans="2:2" x14ac:dyDescent="0.35">
      <c r="B1853"/>
    </row>
    <row r="1854" spans="2:2" x14ac:dyDescent="0.35">
      <c r="B1854"/>
    </row>
    <row r="1855" spans="2:2" x14ac:dyDescent="0.35">
      <c r="B1855"/>
    </row>
    <row r="1856" spans="2:2" x14ac:dyDescent="0.35">
      <c r="B1856"/>
    </row>
    <row r="1857" spans="2:2" x14ac:dyDescent="0.35">
      <c r="B1857"/>
    </row>
    <row r="1858" spans="2:2" x14ac:dyDescent="0.35">
      <c r="B1858"/>
    </row>
    <row r="1859" spans="2:2" x14ac:dyDescent="0.35">
      <c r="B1859"/>
    </row>
    <row r="1860" spans="2:2" x14ac:dyDescent="0.35">
      <c r="B1860"/>
    </row>
    <row r="1861" spans="2:2" x14ac:dyDescent="0.35">
      <c r="B1861"/>
    </row>
    <row r="1862" spans="2:2" x14ac:dyDescent="0.35">
      <c r="B1862"/>
    </row>
    <row r="1863" spans="2:2" x14ac:dyDescent="0.35">
      <c r="B1863"/>
    </row>
    <row r="1864" spans="2:2" x14ac:dyDescent="0.35">
      <c r="B1864"/>
    </row>
    <row r="1865" spans="2:2" x14ac:dyDescent="0.35">
      <c r="B1865"/>
    </row>
    <row r="1866" spans="2:2" x14ac:dyDescent="0.35">
      <c r="B1866"/>
    </row>
    <row r="1867" spans="2:2" x14ac:dyDescent="0.35">
      <c r="B1867"/>
    </row>
    <row r="1868" spans="2:2" x14ac:dyDescent="0.35">
      <c r="B1868"/>
    </row>
    <row r="1869" spans="2:2" x14ac:dyDescent="0.35">
      <c r="B1869"/>
    </row>
    <row r="1870" spans="2:2" x14ac:dyDescent="0.35">
      <c r="B1870"/>
    </row>
    <row r="1871" spans="2:2" x14ac:dyDescent="0.35">
      <c r="B1871"/>
    </row>
    <row r="1872" spans="2:2" x14ac:dyDescent="0.35">
      <c r="B1872"/>
    </row>
    <row r="1873" spans="2:2" x14ac:dyDescent="0.35">
      <c r="B1873"/>
    </row>
    <row r="1874" spans="2:2" x14ac:dyDescent="0.35">
      <c r="B1874"/>
    </row>
    <row r="1875" spans="2:2" x14ac:dyDescent="0.35">
      <c r="B1875"/>
    </row>
    <row r="1876" spans="2:2" x14ac:dyDescent="0.35">
      <c r="B1876"/>
    </row>
    <row r="1877" spans="2:2" x14ac:dyDescent="0.35">
      <c r="B1877"/>
    </row>
    <row r="1878" spans="2:2" x14ac:dyDescent="0.35">
      <c r="B1878"/>
    </row>
    <row r="1879" spans="2:2" x14ac:dyDescent="0.35">
      <c r="B1879"/>
    </row>
    <row r="1880" spans="2:2" x14ac:dyDescent="0.35">
      <c r="B1880"/>
    </row>
    <row r="1881" spans="2:2" x14ac:dyDescent="0.35">
      <c r="B1881"/>
    </row>
    <row r="1882" spans="2:2" x14ac:dyDescent="0.35">
      <c r="B1882"/>
    </row>
    <row r="1883" spans="2:2" x14ac:dyDescent="0.35">
      <c r="B1883"/>
    </row>
    <row r="1884" spans="2:2" x14ac:dyDescent="0.35">
      <c r="B1884"/>
    </row>
    <row r="1885" spans="2:2" x14ac:dyDescent="0.35">
      <c r="B1885"/>
    </row>
    <row r="1886" spans="2:2" x14ac:dyDescent="0.35">
      <c r="B1886"/>
    </row>
    <row r="1887" spans="2:2" x14ac:dyDescent="0.35">
      <c r="B1887"/>
    </row>
    <row r="1888" spans="2:2" x14ac:dyDescent="0.35">
      <c r="B1888"/>
    </row>
    <row r="1889" spans="2:2" x14ac:dyDescent="0.35">
      <c r="B1889"/>
    </row>
    <row r="1890" spans="2:2" x14ac:dyDescent="0.35">
      <c r="B1890"/>
    </row>
    <row r="1891" spans="2:2" x14ac:dyDescent="0.35">
      <c r="B1891"/>
    </row>
    <row r="1892" spans="2:2" x14ac:dyDescent="0.35">
      <c r="B1892"/>
    </row>
    <row r="1893" spans="2:2" x14ac:dyDescent="0.35">
      <c r="B1893"/>
    </row>
    <row r="1894" spans="2:2" x14ac:dyDescent="0.35">
      <c r="B1894"/>
    </row>
    <row r="1895" spans="2:2" x14ac:dyDescent="0.35">
      <c r="B1895"/>
    </row>
    <row r="1896" spans="2:2" x14ac:dyDescent="0.35">
      <c r="B1896"/>
    </row>
    <row r="1897" spans="2:2" x14ac:dyDescent="0.35">
      <c r="B1897"/>
    </row>
    <row r="1898" spans="2:2" x14ac:dyDescent="0.35">
      <c r="B1898"/>
    </row>
    <row r="1899" spans="2:2" x14ac:dyDescent="0.35">
      <c r="B1899"/>
    </row>
    <row r="1900" spans="2:2" x14ac:dyDescent="0.35">
      <c r="B1900"/>
    </row>
    <row r="1901" spans="2:2" x14ac:dyDescent="0.35">
      <c r="B1901"/>
    </row>
    <row r="1902" spans="2:2" x14ac:dyDescent="0.35">
      <c r="B1902"/>
    </row>
    <row r="1903" spans="2:2" x14ac:dyDescent="0.35">
      <c r="B1903"/>
    </row>
    <row r="1904" spans="2:2" x14ac:dyDescent="0.35">
      <c r="B1904"/>
    </row>
    <row r="1905" spans="2:2" x14ac:dyDescent="0.35">
      <c r="B1905"/>
    </row>
    <row r="1906" spans="2:2" x14ac:dyDescent="0.35">
      <c r="B1906"/>
    </row>
    <row r="1907" spans="2:2" x14ac:dyDescent="0.35">
      <c r="B1907"/>
    </row>
    <row r="1908" spans="2:2" x14ac:dyDescent="0.35">
      <c r="B1908"/>
    </row>
    <row r="1909" spans="2:2" x14ac:dyDescent="0.35">
      <c r="B1909"/>
    </row>
    <row r="1910" spans="2:2" x14ac:dyDescent="0.35">
      <c r="B1910"/>
    </row>
    <row r="1911" spans="2:2" x14ac:dyDescent="0.35">
      <c r="B1911"/>
    </row>
    <row r="1912" spans="2:2" x14ac:dyDescent="0.35">
      <c r="B1912"/>
    </row>
    <row r="1913" spans="2:2" x14ac:dyDescent="0.35">
      <c r="B1913"/>
    </row>
    <row r="1914" spans="2:2" x14ac:dyDescent="0.35">
      <c r="B1914"/>
    </row>
    <row r="1915" spans="2:2" x14ac:dyDescent="0.35">
      <c r="B1915"/>
    </row>
    <row r="1916" spans="2:2" x14ac:dyDescent="0.35">
      <c r="B1916"/>
    </row>
    <row r="1917" spans="2:2" x14ac:dyDescent="0.35">
      <c r="B1917"/>
    </row>
    <row r="1918" spans="2:2" x14ac:dyDescent="0.35">
      <c r="B1918"/>
    </row>
    <row r="1919" spans="2:2" x14ac:dyDescent="0.35">
      <c r="B1919"/>
    </row>
    <row r="1920" spans="2:2" x14ac:dyDescent="0.35">
      <c r="B1920"/>
    </row>
    <row r="1921" spans="2:2" x14ac:dyDescent="0.35">
      <c r="B1921"/>
    </row>
    <row r="1922" spans="2:2" x14ac:dyDescent="0.35">
      <c r="B1922"/>
    </row>
    <row r="1923" spans="2:2" x14ac:dyDescent="0.35">
      <c r="B1923"/>
    </row>
    <row r="1924" spans="2:2" x14ac:dyDescent="0.35">
      <c r="B1924"/>
    </row>
    <row r="1925" spans="2:2" x14ac:dyDescent="0.35">
      <c r="B1925"/>
    </row>
    <row r="1926" spans="2:2" x14ac:dyDescent="0.35">
      <c r="B1926"/>
    </row>
    <row r="1927" spans="2:2" x14ac:dyDescent="0.35">
      <c r="B1927"/>
    </row>
    <row r="1928" spans="2:2" x14ac:dyDescent="0.35">
      <c r="B1928"/>
    </row>
    <row r="1929" spans="2:2" x14ac:dyDescent="0.35">
      <c r="B1929"/>
    </row>
    <row r="1930" spans="2:2" x14ac:dyDescent="0.35">
      <c r="B1930"/>
    </row>
    <row r="1931" spans="2:2" x14ac:dyDescent="0.35">
      <c r="B1931"/>
    </row>
    <row r="1932" spans="2:2" x14ac:dyDescent="0.35">
      <c r="B1932"/>
    </row>
    <row r="1933" spans="2:2" x14ac:dyDescent="0.35">
      <c r="B1933"/>
    </row>
    <row r="1934" spans="2:2" x14ac:dyDescent="0.35">
      <c r="B1934"/>
    </row>
    <row r="1935" spans="2:2" x14ac:dyDescent="0.35">
      <c r="B1935"/>
    </row>
    <row r="1936" spans="2:2" x14ac:dyDescent="0.35">
      <c r="B1936"/>
    </row>
    <row r="1937" spans="2:2" x14ac:dyDescent="0.35">
      <c r="B1937"/>
    </row>
    <row r="1938" spans="2:2" x14ac:dyDescent="0.35">
      <c r="B1938"/>
    </row>
    <row r="1939" spans="2:2" x14ac:dyDescent="0.35">
      <c r="B1939"/>
    </row>
    <row r="1940" spans="2:2" x14ac:dyDescent="0.35">
      <c r="B1940"/>
    </row>
    <row r="1941" spans="2:2" x14ac:dyDescent="0.35">
      <c r="B1941"/>
    </row>
    <row r="1942" spans="2:2" x14ac:dyDescent="0.35">
      <c r="B1942"/>
    </row>
    <row r="1943" spans="2:2" x14ac:dyDescent="0.35">
      <c r="B1943"/>
    </row>
    <row r="1944" spans="2:2" x14ac:dyDescent="0.35">
      <c r="B1944"/>
    </row>
    <row r="1945" spans="2:2" x14ac:dyDescent="0.35">
      <c r="B1945"/>
    </row>
    <row r="1946" spans="2:2" x14ac:dyDescent="0.35">
      <c r="B1946"/>
    </row>
    <row r="1947" spans="2:2" x14ac:dyDescent="0.35">
      <c r="B1947"/>
    </row>
    <row r="1948" spans="2:2" x14ac:dyDescent="0.35">
      <c r="B1948"/>
    </row>
    <row r="1949" spans="2:2" x14ac:dyDescent="0.35">
      <c r="B1949"/>
    </row>
    <row r="1950" spans="2:2" x14ac:dyDescent="0.35">
      <c r="B1950"/>
    </row>
    <row r="1951" spans="2:2" x14ac:dyDescent="0.35">
      <c r="B1951"/>
    </row>
    <row r="1952" spans="2:2" x14ac:dyDescent="0.35">
      <c r="B1952"/>
    </row>
    <row r="1953" spans="2:2" x14ac:dyDescent="0.35">
      <c r="B1953"/>
    </row>
    <row r="1954" spans="2:2" x14ac:dyDescent="0.35">
      <c r="B1954"/>
    </row>
    <row r="1955" spans="2:2" x14ac:dyDescent="0.35">
      <c r="B1955"/>
    </row>
    <row r="1956" spans="2:2" x14ac:dyDescent="0.35">
      <c r="B1956"/>
    </row>
    <row r="1957" spans="2:2" x14ac:dyDescent="0.35">
      <c r="B1957"/>
    </row>
    <row r="1958" spans="2:2" x14ac:dyDescent="0.35">
      <c r="B1958"/>
    </row>
    <row r="1959" spans="2:2" x14ac:dyDescent="0.35">
      <c r="B1959"/>
    </row>
    <row r="1960" spans="2:2" x14ac:dyDescent="0.35">
      <c r="B1960"/>
    </row>
    <row r="1961" spans="2:2" x14ac:dyDescent="0.35">
      <c r="B1961"/>
    </row>
    <row r="1962" spans="2:2" x14ac:dyDescent="0.35">
      <c r="B1962"/>
    </row>
    <row r="1963" spans="2:2" x14ac:dyDescent="0.35">
      <c r="B1963"/>
    </row>
    <row r="1964" spans="2:2" x14ac:dyDescent="0.35">
      <c r="B1964"/>
    </row>
    <row r="1965" spans="2:2" x14ac:dyDescent="0.35">
      <c r="B1965"/>
    </row>
    <row r="1966" spans="2:2" x14ac:dyDescent="0.35">
      <c r="B1966"/>
    </row>
    <row r="1967" spans="2:2" x14ac:dyDescent="0.35">
      <c r="B1967"/>
    </row>
    <row r="1968" spans="2:2" x14ac:dyDescent="0.35">
      <c r="B1968"/>
    </row>
    <row r="1969" spans="2:2" x14ac:dyDescent="0.35">
      <c r="B1969"/>
    </row>
    <row r="1970" spans="2:2" x14ac:dyDescent="0.35">
      <c r="B1970"/>
    </row>
    <row r="1971" spans="2:2" x14ac:dyDescent="0.35">
      <c r="B1971"/>
    </row>
    <row r="1972" spans="2:2" x14ac:dyDescent="0.35">
      <c r="B1972"/>
    </row>
    <row r="1973" spans="2:2" x14ac:dyDescent="0.35">
      <c r="B1973"/>
    </row>
    <row r="1974" spans="2:2" x14ac:dyDescent="0.35">
      <c r="B1974"/>
    </row>
    <row r="1975" spans="2:2" x14ac:dyDescent="0.35">
      <c r="B1975"/>
    </row>
    <row r="1976" spans="2:2" x14ac:dyDescent="0.35">
      <c r="B1976"/>
    </row>
    <row r="1977" spans="2:2" x14ac:dyDescent="0.35">
      <c r="B1977"/>
    </row>
    <row r="1978" spans="2:2" x14ac:dyDescent="0.35">
      <c r="B1978"/>
    </row>
    <row r="1979" spans="2:2" x14ac:dyDescent="0.35">
      <c r="B1979"/>
    </row>
    <row r="1980" spans="2:2" x14ac:dyDescent="0.35">
      <c r="B1980"/>
    </row>
    <row r="1981" spans="2:2" x14ac:dyDescent="0.35">
      <c r="B1981"/>
    </row>
    <row r="1982" spans="2:2" x14ac:dyDescent="0.35">
      <c r="B1982"/>
    </row>
    <row r="1983" spans="2:2" x14ac:dyDescent="0.35">
      <c r="B1983"/>
    </row>
    <row r="1984" spans="2:2" x14ac:dyDescent="0.35">
      <c r="B1984"/>
    </row>
    <row r="1985" spans="2:2" x14ac:dyDescent="0.35">
      <c r="B1985"/>
    </row>
    <row r="1986" spans="2:2" x14ac:dyDescent="0.35">
      <c r="B1986"/>
    </row>
    <row r="1987" spans="2:2" x14ac:dyDescent="0.35">
      <c r="B1987"/>
    </row>
    <row r="1988" spans="2:2" x14ac:dyDescent="0.35">
      <c r="B1988"/>
    </row>
    <row r="1989" spans="2:2" x14ac:dyDescent="0.35">
      <c r="B1989"/>
    </row>
    <row r="1990" spans="2:2" x14ac:dyDescent="0.35">
      <c r="B1990"/>
    </row>
    <row r="1991" spans="2:2" x14ac:dyDescent="0.35">
      <c r="B1991"/>
    </row>
    <row r="1992" spans="2:2" x14ac:dyDescent="0.35">
      <c r="B1992"/>
    </row>
    <row r="1993" spans="2:2" x14ac:dyDescent="0.35">
      <c r="B1993"/>
    </row>
    <row r="1994" spans="2:2" x14ac:dyDescent="0.35">
      <c r="B1994"/>
    </row>
    <row r="1995" spans="2:2" x14ac:dyDescent="0.35">
      <c r="B1995"/>
    </row>
    <row r="1996" spans="2:2" x14ac:dyDescent="0.35">
      <c r="B1996"/>
    </row>
    <row r="1997" spans="2:2" x14ac:dyDescent="0.35">
      <c r="B1997"/>
    </row>
    <row r="1998" spans="2:2" x14ac:dyDescent="0.35">
      <c r="B1998"/>
    </row>
    <row r="1999" spans="2:2" x14ac:dyDescent="0.35">
      <c r="B1999"/>
    </row>
    <row r="2000" spans="2:2" x14ac:dyDescent="0.35">
      <c r="B2000"/>
    </row>
    <row r="2001" spans="2:2" x14ac:dyDescent="0.35">
      <c r="B2001"/>
    </row>
    <row r="2002" spans="2:2" x14ac:dyDescent="0.35">
      <c r="B2002"/>
    </row>
    <row r="2003" spans="2:2" x14ac:dyDescent="0.35">
      <c r="B2003"/>
    </row>
    <row r="2004" spans="2:2" x14ac:dyDescent="0.35">
      <c r="B2004"/>
    </row>
    <row r="2005" spans="2:2" x14ac:dyDescent="0.35">
      <c r="B2005"/>
    </row>
    <row r="2006" spans="2:2" x14ac:dyDescent="0.35">
      <c r="B2006"/>
    </row>
    <row r="2007" spans="2:2" x14ac:dyDescent="0.35">
      <c r="B2007"/>
    </row>
    <row r="2008" spans="2:2" x14ac:dyDescent="0.35">
      <c r="B2008"/>
    </row>
    <row r="2009" spans="2:2" x14ac:dyDescent="0.35">
      <c r="B2009"/>
    </row>
    <row r="2010" spans="2:2" x14ac:dyDescent="0.35">
      <c r="B2010"/>
    </row>
    <row r="2011" spans="2:2" x14ac:dyDescent="0.35">
      <c r="B2011"/>
    </row>
    <row r="2012" spans="2:2" x14ac:dyDescent="0.35">
      <c r="B2012"/>
    </row>
    <row r="2013" spans="2:2" x14ac:dyDescent="0.35">
      <c r="B2013"/>
    </row>
    <row r="2014" spans="2:2" x14ac:dyDescent="0.35">
      <c r="B2014"/>
    </row>
    <row r="2015" spans="2:2" x14ac:dyDescent="0.35">
      <c r="B2015"/>
    </row>
    <row r="2016" spans="2:2" x14ac:dyDescent="0.35">
      <c r="B2016"/>
    </row>
    <row r="2017" spans="2:2" x14ac:dyDescent="0.35">
      <c r="B2017"/>
    </row>
    <row r="2018" spans="2:2" x14ac:dyDescent="0.35">
      <c r="B2018"/>
    </row>
    <row r="2019" spans="2:2" x14ac:dyDescent="0.35">
      <c r="B2019"/>
    </row>
    <row r="2020" spans="2:2" x14ac:dyDescent="0.35">
      <c r="B2020"/>
    </row>
    <row r="2021" spans="2:2" x14ac:dyDescent="0.35">
      <c r="B2021"/>
    </row>
    <row r="2022" spans="2:2" x14ac:dyDescent="0.35">
      <c r="B2022"/>
    </row>
    <row r="2023" spans="2:2" x14ac:dyDescent="0.35">
      <c r="B2023"/>
    </row>
    <row r="2024" spans="2:2" x14ac:dyDescent="0.35">
      <c r="B2024"/>
    </row>
    <row r="2025" spans="2:2" x14ac:dyDescent="0.35">
      <c r="B2025"/>
    </row>
    <row r="2026" spans="2:2" x14ac:dyDescent="0.35">
      <c r="B2026"/>
    </row>
    <row r="2027" spans="2:2" x14ac:dyDescent="0.35">
      <c r="B2027"/>
    </row>
    <row r="2028" spans="2:2" x14ac:dyDescent="0.35">
      <c r="B2028"/>
    </row>
    <row r="2029" spans="2:2" x14ac:dyDescent="0.35">
      <c r="B2029"/>
    </row>
    <row r="2030" spans="2:2" x14ac:dyDescent="0.35">
      <c r="B2030"/>
    </row>
    <row r="2031" spans="2:2" x14ac:dyDescent="0.35">
      <c r="B2031"/>
    </row>
    <row r="2032" spans="2:2" x14ac:dyDescent="0.35">
      <c r="B2032"/>
    </row>
    <row r="2033" spans="2:2" x14ac:dyDescent="0.35">
      <c r="B2033"/>
    </row>
    <row r="2034" spans="2:2" x14ac:dyDescent="0.35">
      <c r="B2034"/>
    </row>
    <row r="2035" spans="2:2" x14ac:dyDescent="0.35">
      <c r="B2035"/>
    </row>
    <row r="2036" spans="2:2" x14ac:dyDescent="0.35">
      <c r="B2036"/>
    </row>
    <row r="2037" spans="2:2" x14ac:dyDescent="0.35">
      <c r="B2037"/>
    </row>
    <row r="2038" spans="2:2" x14ac:dyDescent="0.35">
      <c r="B2038"/>
    </row>
    <row r="2039" spans="2:2" x14ac:dyDescent="0.35">
      <c r="B2039"/>
    </row>
    <row r="2040" spans="2:2" x14ac:dyDescent="0.35">
      <c r="B2040"/>
    </row>
    <row r="2041" spans="2:2" x14ac:dyDescent="0.35">
      <c r="B2041"/>
    </row>
    <row r="2042" spans="2:2" x14ac:dyDescent="0.35">
      <c r="B2042"/>
    </row>
    <row r="2043" spans="2:2" x14ac:dyDescent="0.35">
      <c r="B2043"/>
    </row>
    <row r="2044" spans="2:2" x14ac:dyDescent="0.35">
      <c r="B2044"/>
    </row>
    <row r="2045" spans="2:2" x14ac:dyDescent="0.35">
      <c r="B2045"/>
    </row>
    <row r="2046" spans="2:2" x14ac:dyDescent="0.35">
      <c r="B2046"/>
    </row>
    <row r="2047" spans="2:2" x14ac:dyDescent="0.35">
      <c r="B2047"/>
    </row>
    <row r="2048" spans="2:2" x14ac:dyDescent="0.35">
      <c r="B2048"/>
    </row>
    <row r="2049" spans="2:2" x14ac:dyDescent="0.35">
      <c r="B2049"/>
    </row>
    <row r="2050" spans="2:2" x14ac:dyDescent="0.35">
      <c r="B2050"/>
    </row>
    <row r="2051" spans="2:2" x14ac:dyDescent="0.35">
      <c r="B2051"/>
    </row>
    <row r="2052" spans="2:2" x14ac:dyDescent="0.35">
      <c r="B2052"/>
    </row>
    <row r="2053" spans="2:2" x14ac:dyDescent="0.35">
      <c r="B2053"/>
    </row>
    <row r="2054" spans="2:2" x14ac:dyDescent="0.35">
      <c r="B2054"/>
    </row>
    <row r="2055" spans="2:2" x14ac:dyDescent="0.35">
      <c r="B2055"/>
    </row>
    <row r="2056" spans="2:2" x14ac:dyDescent="0.35">
      <c r="B2056"/>
    </row>
    <row r="2057" spans="2:2" x14ac:dyDescent="0.35">
      <c r="B2057"/>
    </row>
    <row r="2058" spans="2:2" x14ac:dyDescent="0.35">
      <c r="B2058"/>
    </row>
    <row r="2059" spans="2:2" x14ac:dyDescent="0.35">
      <c r="B2059"/>
    </row>
    <row r="2060" spans="2:2" x14ac:dyDescent="0.35">
      <c r="B2060"/>
    </row>
    <row r="2061" spans="2:2" x14ac:dyDescent="0.35">
      <c r="B2061"/>
    </row>
    <row r="2062" spans="2:2" x14ac:dyDescent="0.35">
      <c r="B2062"/>
    </row>
    <row r="2063" spans="2:2" x14ac:dyDescent="0.35">
      <c r="B2063"/>
    </row>
    <row r="2064" spans="2:2" x14ac:dyDescent="0.35">
      <c r="B2064"/>
    </row>
    <row r="2065" spans="2:2" x14ac:dyDescent="0.35">
      <c r="B2065"/>
    </row>
    <row r="2066" spans="2:2" x14ac:dyDescent="0.35">
      <c r="B2066"/>
    </row>
    <row r="2067" spans="2:2" x14ac:dyDescent="0.35">
      <c r="B2067"/>
    </row>
    <row r="2068" spans="2:2" x14ac:dyDescent="0.35">
      <c r="B2068"/>
    </row>
    <row r="2069" spans="2:2" x14ac:dyDescent="0.35">
      <c r="B2069"/>
    </row>
    <row r="2070" spans="2:2" x14ac:dyDescent="0.35">
      <c r="B2070"/>
    </row>
    <row r="2071" spans="2:2" x14ac:dyDescent="0.35">
      <c r="B2071"/>
    </row>
    <row r="2072" spans="2:2" x14ac:dyDescent="0.35">
      <c r="B2072"/>
    </row>
    <row r="2073" spans="2:2" x14ac:dyDescent="0.35">
      <c r="B2073"/>
    </row>
    <row r="2074" spans="2:2" x14ac:dyDescent="0.35">
      <c r="B2074"/>
    </row>
    <row r="2075" spans="2:2" x14ac:dyDescent="0.35">
      <c r="B2075"/>
    </row>
    <row r="2076" spans="2:2" x14ac:dyDescent="0.35">
      <c r="B2076"/>
    </row>
    <row r="2077" spans="2:2" x14ac:dyDescent="0.35">
      <c r="B2077"/>
    </row>
    <row r="2078" spans="2:2" x14ac:dyDescent="0.35">
      <c r="B2078"/>
    </row>
    <row r="2079" spans="2:2" x14ac:dyDescent="0.35">
      <c r="B2079"/>
    </row>
    <row r="2080" spans="2:2" x14ac:dyDescent="0.35">
      <c r="B2080"/>
    </row>
    <row r="2081" spans="2:2" x14ac:dyDescent="0.35">
      <c r="B2081"/>
    </row>
    <row r="2082" spans="2:2" x14ac:dyDescent="0.35">
      <c r="B2082"/>
    </row>
    <row r="2083" spans="2:2" x14ac:dyDescent="0.35">
      <c r="B2083"/>
    </row>
    <row r="2084" spans="2:2" x14ac:dyDescent="0.35">
      <c r="B2084"/>
    </row>
    <row r="2085" spans="2:2" x14ac:dyDescent="0.35">
      <c r="B2085"/>
    </row>
    <row r="2086" spans="2:2" x14ac:dyDescent="0.35">
      <c r="B2086"/>
    </row>
    <row r="2087" spans="2:2" x14ac:dyDescent="0.35">
      <c r="B2087"/>
    </row>
    <row r="2088" spans="2:2" x14ac:dyDescent="0.35">
      <c r="B2088"/>
    </row>
    <row r="2089" spans="2:2" x14ac:dyDescent="0.35">
      <c r="B2089"/>
    </row>
    <row r="2090" spans="2:2" x14ac:dyDescent="0.35">
      <c r="B2090"/>
    </row>
    <row r="2091" spans="2:2" x14ac:dyDescent="0.35">
      <c r="B2091"/>
    </row>
    <row r="2092" spans="2:2" x14ac:dyDescent="0.35">
      <c r="B2092"/>
    </row>
    <row r="2093" spans="2:2" x14ac:dyDescent="0.35">
      <c r="B2093"/>
    </row>
    <row r="2094" spans="2:2" x14ac:dyDescent="0.35">
      <c r="B2094"/>
    </row>
    <row r="2095" spans="2:2" x14ac:dyDescent="0.35">
      <c r="B2095"/>
    </row>
    <row r="2096" spans="2:2" x14ac:dyDescent="0.35">
      <c r="B2096"/>
    </row>
    <row r="2097" spans="2:2" x14ac:dyDescent="0.35">
      <c r="B2097"/>
    </row>
    <row r="2098" spans="2:2" x14ac:dyDescent="0.35">
      <c r="B2098"/>
    </row>
    <row r="2099" spans="2:2" x14ac:dyDescent="0.35">
      <c r="B2099"/>
    </row>
    <row r="2100" spans="2:2" x14ac:dyDescent="0.35">
      <c r="B2100"/>
    </row>
    <row r="2101" spans="2:2" x14ac:dyDescent="0.35">
      <c r="B2101"/>
    </row>
    <row r="2102" spans="2:2" x14ac:dyDescent="0.35">
      <c r="B2102"/>
    </row>
    <row r="2103" spans="2:2" x14ac:dyDescent="0.35">
      <c r="B2103"/>
    </row>
    <row r="2104" spans="2:2" x14ac:dyDescent="0.35">
      <c r="B2104"/>
    </row>
    <row r="2105" spans="2:2" x14ac:dyDescent="0.35">
      <c r="B2105"/>
    </row>
    <row r="2106" spans="2:2" x14ac:dyDescent="0.35">
      <c r="B2106"/>
    </row>
    <row r="2107" spans="2:2" x14ac:dyDescent="0.35">
      <c r="B2107"/>
    </row>
    <row r="2108" spans="2:2" x14ac:dyDescent="0.35">
      <c r="B2108"/>
    </row>
    <row r="2109" spans="2:2" x14ac:dyDescent="0.35">
      <c r="B2109"/>
    </row>
    <row r="2110" spans="2:2" x14ac:dyDescent="0.35">
      <c r="B2110"/>
    </row>
    <row r="2111" spans="2:2" x14ac:dyDescent="0.35">
      <c r="B2111"/>
    </row>
    <row r="2112" spans="2:2" x14ac:dyDescent="0.35">
      <c r="B2112"/>
    </row>
    <row r="2113" spans="2:2" x14ac:dyDescent="0.35">
      <c r="B2113"/>
    </row>
    <row r="2114" spans="2:2" x14ac:dyDescent="0.35">
      <c r="B2114"/>
    </row>
    <row r="2115" spans="2:2" x14ac:dyDescent="0.35">
      <c r="B2115"/>
    </row>
    <row r="2116" spans="2:2" x14ac:dyDescent="0.35">
      <c r="B2116"/>
    </row>
    <row r="2117" spans="2:2" x14ac:dyDescent="0.35">
      <c r="B2117"/>
    </row>
    <row r="2118" spans="2:2" x14ac:dyDescent="0.35">
      <c r="B2118"/>
    </row>
    <row r="2119" spans="2:2" x14ac:dyDescent="0.35">
      <c r="B2119"/>
    </row>
    <row r="2120" spans="2:2" x14ac:dyDescent="0.35">
      <c r="B2120"/>
    </row>
    <row r="2121" spans="2:2" x14ac:dyDescent="0.35">
      <c r="B2121"/>
    </row>
    <row r="2122" spans="2:2" x14ac:dyDescent="0.35">
      <c r="B2122"/>
    </row>
    <row r="2123" spans="2:2" x14ac:dyDescent="0.35">
      <c r="B2123"/>
    </row>
    <row r="2124" spans="2:2" x14ac:dyDescent="0.35">
      <c r="B2124"/>
    </row>
    <row r="2125" spans="2:2" x14ac:dyDescent="0.35">
      <c r="B2125"/>
    </row>
    <row r="2126" spans="2:2" x14ac:dyDescent="0.35">
      <c r="B2126"/>
    </row>
    <row r="2127" spans="2:2" x14ac:dyDescent="0.35">
      <c r="B2127"/>
    </row>
    <row r="2128" spans="2:2" x14ac:dyDescent="0.35">
      <c r="B2128"/>
    </row>
    <row r="2129" spans="2:2" x14ac:dyDescent="0.35">
      <c r="B2129"/>
    </row>
    <row r="2130" spans="2:2" x14ac:dyDescent="0.35">
      <c r="B2130"/>
    </row>
    <row r="2131" spans="2:2" x14ac:dyDescent="0.35">
      <c r="B2131"/>
    </row>
    <row r="2132" spans="2:2" x14ac:dyDescent="0.35">
      <c r="B2132"/>
    </row>
    <row r="2133" spans="2:2" x14ac:dyDescent="0.35">
      <c r="B2133"/>
    </row>
    <row r="2134" spans="2:2" x14ac:dyDescent="0.35">
      <c r="B2134"/>
    </row>
    <row r="2135" spans="2:2" x14ac:dyDescent="0.35">
      <c r="B2135"/>
    </row>
    <row r="2136" spans="2:2" x14ac:dyDescent="0.35">
      <c r="B2136"/>
    </row>
    <row r="2137" spans="2:2" x14ac:dyDescent="0.35">
      <c r="B2137"/>
    </row>
    <row r="2138" spans="2:2" x14ac:dyDescent="0.35">
      <c r="B2138"/>
    </row>
    <row r="2139" spans="2:2" x14ac:dyDescent="0.35">
      <c r="B2139"/>
    </row>
    <row r="2140" spans="2:2" x14ac:dyDescent="0.35">
      <c r="B2140"/>
    </row>
    <row r="2141" spans="2:2" x14ac:dyDescent="0.35">
      <c r="B2141"/>
    </row>
    <row r="2142" spans="2:2" x14ac:dyDescent="0.35">
      <c r="B2142"/>
    </row>
    <row r="2143" spans="2:2" x14ac:dyDescent="0.35">
      <c r="B2143"/>
    </row>
    <row r="2144" spans="2:2" x14ac:dyDescent="0.35">
      <c r="B2144"/>
    </row>
    <row r="2145" spans="2:2" x14ac:dyDescent="0.35">
      <c r="B2145"/>
    </row>
    <row r="2146" spans="2:2" x14ac:dyDescent="0.35">
      <c r="B2146"/>
    </row>
    <row r="2147" spans="2:2" x14ac:dyDescent="0.35">
      <c r="B2147"/>
    </row>
    <row r="2148" spans="2:2" x14ac:dyDescent="0.35">
      <c r="B2148"/>
    </row>
    <row r="2149" spans="2:2" x14ac:dyDescent="0.35">
      <c r="B2149"/>
    </row>
    <row r="2150" spans="2:2" x14ac:dyDescent="0.35">
      <c r="B2150"/>
    </row>
    <row r="2151" spans="2:2" x14ac:dyDescent="0.35">
      <c r="B2151"/>
    </row>
    <row r="2152" spans="2:2" x14ac:dyDescent="0.35">
      <c r="B2152"/>
    </row>
    <row r="2153" spans="2:2" x14ac:dyDescent="0.35">
      <c r="B2153"/>
    </row>
    <row r="2154" spans="2:2" x14ac:dyDescent="0.35">
      <c r="B2154"/>
    </row>
    <row r="2155" spans="2:2" x14ac:dyDescent="0.35">
      <c r="B2155"/>
    </row>
    <row r="2156" spans="2:2" x14ac:dyDescent="0.35">
      <c r="B2156"/>
    </row>
    <row r="2157" spans="2:2" x14ac:dyDescent="0.35">
      <c r="B2157"/>
    </row>
    <row r="2158" spans="2:2" x14ac:dyDescent="0.35">
      <c r="B2158"/>
    </row>
    <row r="2159" spans="2:2" x14ac:dyDescent="0.35">
      <c r="B2159"/>
    </row>
    <row r="2160" spans="2:2" x14ac:dyDescent="0.35">
      <c r="B2160"/>
    </row>
    <row r="2161" spans="2:2" x14ac:dyDescent="0.35">
      <c r="B2161"/>
    </row>
    <row r="2162" spans="2:2" x14ac:dyDescent="0.35">
      <c r="B2162"/>
    </row>
    <row r="2163" spans="2:2" x14ac:dyDescent="0.35">
      <c r="B2163"/>
    </row>
    <row r="2164" spans="2:2" x14ac:dyDescent="0.35">
      <c r="B2164"/>
    </row>
    <row r="2165" spans="2:2" x14ac:dyDescent="0.35">
      <c r="B2165"/>
    </row>
    <row r="2166" spans="2:2" x14ac:dyDescent="0.35">
      <c r="B2166"/>
    </row>
    <row r="2167" spans="2:2" x14ac:dyDescent="0.35">
      <c r="B2167"/>
    </row>
    <row r="2168" spans="2:2" x14ac:dyDescent="0.35">
      <c r="B2168"/>
    </row>
    <row r="2169" spans="2:2" x14ac:dyDescent="0.35">
      <c r="B2169"/>
    </row>
    <row r="2170" spans="2:2" x14ac:dyDescent="0.35">
      <c r="B2170"/>
    </row>
    <row r="2171" spans="2:2" x14ac:dyDescent="0.35">
      <c r="B2171"/>
    </row>
    <row r="2172" spans="2:2" x14ac:dyDescent="0.35">
      <c r="B2172"/>
    </row>
    <row r="2173" spans="2:2" x14ac:dyDescent="0.35">
      <c r="B2173"/>
    </row>
    <row r="2174" spans="2:2" x14ac:dyDescent="0.35">
      <c r="B2174"/>
    </row>
    <row r="2175" spans="2:2" x14ac:dyDescent="0.35">
      <c r="B2175"/>
    </row>
    <row r="2176" spans="2:2" x14ac:dyDescent="0.35">
      <c r="B2176"/>
    </row>
    <row r="2177" spans="2:2" x14ac:dyDescent="0.35">
      <c r="B2177"/>
    </row>
    <row r="2178" spans="2:2" x14ac:dyDescent="0.35">
      <c r="B2178"/>
    </row>
    <row r="2179" spans="2:2" x14ac:dyDescent="0.35">
      <c r="B2179"/>
    </row>
    <row r="2180" spans="2:2" x14ac:dyDescent="0.35">
      <c r="B2180"/>
    </row>
    <row r="2181" spans="2:2" x14ac:dyDescent="0.35">
      <c r="B2181"/>
    </row>
    <row r="2182" spans="2:2" x14ac:dyDescent="0.35">
      <c r="B2182"/>
    </row>
    <row r="2183" spans="2:2" x14ac:dyDescent="0.35">
      <c r="B2183"/>
    </row>
    <row r="2184" spans="2:2" x14ac:dyDescent="0.35">
      <c r="B2184"/>
    </row>
    <row r="2185" spans="2:2" x14ac:dyDescent="0.35">
      <c r="B2185"/>
    </row>
    <row r="2186" spans="2:2" x14ac:dyDescent="0.35">
      <c r="B2186"/>
    </row>
    <row r="2187" spans="2:2" x14ac:dyDescent="0.35">
      <c r="B2187"/>
    </row>
    <row r="2188" spans="2:2" x14ac:dyDescent="0.35">
      <c r="B2188"/>
    </row>
    <row r="2189" spans="2:2" x14ac:dyDescent="0.35">
      <c r="B2189"/>
    </row>
    <row r="2190" spans="2:2" x14ac:dyDescent="0.35">
      <c r="B2190"/>
    </row>
    <row r="2191" spans="2:2" x14ac:dyDescent="0.35">
      <c r="B2191"/>
    </row>
    <row r="2192" spans="2:2" x14ac:dyDescent="0.35">
      <c r="B2192"/>
    </row>
    <row r="2193" spans="2:2" x14ac:dyDescent="0.35">
      <c r="B2193"/>
    </row>
    <row r="2194" spans="2:2" x14ac:dyDescent="0.35">
      <c r="B2194"/>
    </row>
    <row r="2195" spans="2:2" x14ac:dyDescent="0.35">
      <c r="B2195"/>
    </row>
    <row r="2196" spans="2:2" x14ac:dyDescent="0.35">
      <c r="B2196"/>
    </row>
    <row r="2197" spans="2:2" x14ac:dyDescent="0.35">
      <c r="B2197"/>
    </row>
    <row r="2198" spans="2:2" x14ac:dyDescent="0.35">
      <c r="B2198"/>
    </row>
    <row r="2199" spans="2:2" x14ac:dyDescent="0.35">
      <c r="B2199"/>
    </row>
    <row r="2200" spans="2:2" x14ac:dyDescent="0.35">
      <c r="B2200"/>
    </row>
    <row r="2201" spans="2:2" x14ac:dyDescent="0.35">
      <c r="B2201"/>
    </row>
    <row r="2202" spans="2:2" x14ac:dyDescent="0.35">
      <c r="B2202"/>
    </row>
    <row r="2203" spans="2:2" x14ac:dyDescent="0.35">
      <c r="B2203"/>
    </row>
    <row r="2204" spans="2:2" x14ac:dyDescent="0.35">
      <c r="B2204"/>
    </row>
    <row r="2205" spans="2:2" x14ac:dyDescent="0.35">
      <c r="B2205"/>
    </row>
    <row r="2206" spans="2:2" x14ac:dyDescent="0.35">
      <c r="B2206"/>
    </row>
    <row r="2207" spans="2:2" x14ac:dyDescent="0.35">
      <c r="B2207"/>
    </row>
    <row r="2208" spans="2:2" x14ac:dyDescent="0.35">
      <c r="B2208"/>
    </row>
    <row r="2209" spans="2:2" x14ac:dyDescent="0.35">
      <c r="B2209"/>
    </row>
    <row r="2210" spans="2:2" x14ac:dyDescent="0.35">
      <c r="B2210"/>
    </row>
    <row r="2211" spans="2:2" x14ac:dyDescent="0.35">
      <c r="B2211"/>
    </row>
    <row r="2212" spans="2:2" x14ac:dyDescent="0.35">
      <c r="B2212"/>
    </row>
    <row r="2213" spans="2:2" x14ac:dyDescent="0.35">
      <c r="B2213"/>
    </row>
    <row r="2214" spans="2:2" x14ac:dyDescent="0.35">
      <c r="B2214"/>
    </row>
    <row r="2215" spans="2:2" x14ac:dyDescent="0.35">
      <c r="B2215"/>
    </row>
    <row r="2216" spans="2:2" x14ac:dyDescent="0.35">
      <c r="B2216"/>
    </row>
    <row r="2217" spans="2:2" x14ac:dyDescent="0.35">
      <c r="B2217"/>
    </row>
    <row r="2218" spans="2:2" x14ac:dyDescent="0.35">
      <c r="B2218"/>
    </row>
    <row r="2219" spans="2:2" x14ac:dyDescent="0.35">
      <c r="B2219"/>
    </row>
    <row r="2220" spans="2:2" x14ac:dyDescent="0.35">
      <c r="B2220"/>
    </row>
    <row r="2221" spans="2:2" x14ac:dyDescent="0.35">
      <c r="B2221"/>
    </row>
    <row r="2222" spans="2:2" x14ac:dyDescent="0.35">
      <c r="B2222"/>
    </row>
    <row r="2223" spans="2:2" x14ac:dyDescent="0.35">
      <c r="B2223"/>
    </row>
    <row r="2224" spans="2:2" x14ac:dyDescent="0.35">
      <c r="B2224"/>
    </row>
    <row r="2225" spans="2:2" x14ac:dyDescent="0.35">
      <c r="B2225"/>
    </row>
    <row r="2226" spans="2:2" x14ac:dyDescent="0.35">
      <c r="B2226"/>
    </row>
    <row r="2227" spans="2:2" x14ac:dyDescent="0.35">
      <c r="B2227"/>
    </row>
    <row r="2228" spans="2:2" x14ac:dyDescent="0.35">
      <c r="B2228"/>
    </row>
    <row r="2229" spans="2:2" x14ac:dyDescent="0.35">
      <c r="B2229"/>
    </row>
    <row r="2230" spans="2:2" x14ac:dyDescent="0.35">
      <c r="B2230"/>
    </row>
    <row r="2231" spans="2:2" x14ac:dyDescent="0.35">
      <c r="B2231"/>
    </row>
    <row r="2232" spans="2:2" x14ac:dyDescent="0.35">
      <c r="B2232"/>
    </row>
    <row r="2233" spans="2:2" x14ac:dyDescent="0.35">
      <c r="B2233"/>
    </row>
    <row r="2234" spans="2:2" x14ac:dyDescent="0.35">
      <c r="B2234"/>
    </row>
    <row r="2235" spans="2:2" x14ac:dyDescent="0.35">
      <c r="B2235"/>
    </row>
    <row r="2236" spans="2:2" x14ac:dyDescent="0.35">
      <c r="B2236"/>
    </row>
    <row r="2237" spans="2:2" x14ac:dyDescent="0.35">
      <c r="B2237"/>
    </row>
    <row r="2238" spans="2:2" x14ac:dyDescent="0.35">
      <c r="B2238"/>
    </row>
    <row r="2239" spans="2:2" x14ac:dyDescent="0.35">
      <c r="B2239"/>
    </row>
    <row r="2240" spans="2:2" x14ac:dyDescent="0.35">
      <c r="B2240"/>
    </row>
    <row r="2241" spans="2:2" x14ac:dyDescent="0.35">
      <c r="B2241"/>
    </row>
    <row r="2242" spans="2:2" x14ac:dyDescent="0.35">
      <c r="B2242"/>
    </row>
    <row r="2243" spans="2:2" x14ac:dyDescent="0.35">
      <c r="B2243"/>
    </row>
    <row r="2244" spans="2:2" x14ac:dyDescent="0.35">
      <c r="B2244"/>
    </row>
    <row r="2245" spans="2:2" x14ac:dyDescent="0.35">
      <c r="B2245"/>
    </row>
    <row r="2246" spans="2:2" x14ac:dyDescent="0.35">
      <c r="B2246"/>
    </row>
    <row r="2247" spans="2:2" x14ac:dyDescent="0.35">
      <c r="B2247"/>
    </row>
    <row r="2248" spans="2:2" x14ac:dyDescent="0.35">
      <c r="B2248"/>
    </row>
    <row r="2249" spans="2:2" x14ac:dyDescent="0.35">
      <c r="B2249"/>
    </row>
    <row r="2250" spans="2:2" x14ac:dyDescent="0.35">
      <c r="B2250"/>
    </row>
    <row r="2251" spans="2:2" x14ac:dyDescent="0.35">
      <c r="B2251"/>
    </row>
    <row r="2252" spans="2:2" x14ac:dyDescent="0.35">
      <c r="B2252"/>
    </row>
    <row r="2253" spans="2:2" x14ac:dyDescent="0.35">
      <c r="B2253"/>
    </row>
    <row r="2254" spans="2:2" x14ac:dyDescent="0.35">
      <c r="B2254"/>
    </row>
    <row r="2255" spans="2:2" x14ac:dyDescent="0.35">
      <c r="B2255"/>
    </row>
    <row r="2256" spans="2:2" x14ac:dyDescent="0.35">
      <c r="B2256"/>
    </row>
    <row r="2257" spans="2:2" x14ac:dyDescent="0.35">
      <c r="B2257"/>
    </row>
    <row r="2258" spans="2:2" x14ac:dyDescent="0.35">
      <c r="B2258"/>
    </row>
    <row r="2259" spans="2:2" x14ac:dyDescent="0.35">
      <c r="B2259"/>
    </row>
    <row r="2260" spans="2:2" x14ac:dyDescent="0.35">
      <c r="B2260"/>
    </row>
    <row r="2261" spans="2:2" x14ac:dyDescent="0.35">
      <c r="B2261"/>
    </row>
    <row r="2262" spans="2:2" x14ac:dyDescent="0.35">
      <c r="B2262"/>
    </row>
    <row r="2263" spans="2:2" x14ac:dyDescent="0.35">
      <c r="B2263"/>
    </row>
    <row r="2264" spans="2:2" x14ac:dyDescent="0.35">
      <c r="B2264"/>
    </row>
    <row r="2265" spans="2:2" x14ac:dyDescent="0.35">
      <c r="B2265"/>
    </row>
    <row r="2266" spans="2:2" x14ac:dyDescent="0.35">
      <c r="B2266"/>
    </row>
    <row r="2267" spans="2:2" x14ac:dyDescent="0.35">
      <c r="B2267"/>
    </row>
    <row r="2268" spans="2:2" x14ac:dyDescent="0.35">
      <c r="B2268"/>
    </row>
    <row r="2269" spans="2:2" x14ac:dyDescent="0.35">
      <c r="B2269"/>
    </row>
    <row r="2270" spans="2:2" x14ac:dyDescent="0.35">
      <c r="B2270"/>
    </row>
    <row r="2271" spans="2:2" x14ac:dyDescent="0.35">
      <c r="B2271"/>
    </row>
    <row r="2272" spans="2:2" x14ac:dyDescent="0.35">
      <c r="B2272"/>
    </row>
    <row r="2273" spans="2:2" x14ac:dyDescent="0.35">
      <c r="B2273"/>
    </row>
    <row r="2274" spans="2:2" x14ac:dyDescent="0.35">
      <c r="B2274"/>
    </row>
    <row r="2275" spans="2:2" x14ac:dyDescent="0.35">
      <c r="B2275"/>
    </row>
    <row r="2276" spans="2:2" x14ac:dyDescent="0.35">
      <c r="B2276"/>
    </row>
    <row r="2277" spans="2:2" x14ac:dyDescent="0.35">
      <c r="B2277"/>
    </row>
    <row r="2278" spans="2:2" x14ac:dyDescent="0.35">
      <c r="B2278"/>
    </row>
    <row r="2279" spans="2:2" x14ac:dyDescent="0.35">
      <c r="B2279"/>
    </row>
    <row r="2280" spans="2:2" x14ac:dyDescent="0.35">
      <c r="B2280"/>
    </row>
    <row r="2281" spans="2:2" x14ac:dyDescent="0.35">
      <c r="B2281"/>
    </row>
    <row r="2282" spans="2:2" x14ac:dyDescent="0.35">
      <c r="B2282"/>
    </row>
    <row r="2283" spans="2:2" x14ac:dyDescent="0.35">
      <c r="B2283"/>
    </row>
    <row r="2284" spans="2:2" x14ac:dyDescent="0.35">
      <c r="B2284"/>
    </row>
    <row r="2285" spans="2:2" x14ac:dyDescent="0.35">
      <c r="B2285"/>
    </row>
    <row r="2286" spans="2:2" x14ac:dyDescent="0.35">
      <c r="B2286"/>
    </row>
    <row r="2287" spans="2:2" x14ac:dyDescent="0.35">
      <c r="B2287"/>
    </row>
    <row r="2288" spans="2:2" x14ac:dyDescent="0.35">
      <c r="B2288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07780-1960-4070-B89C-A8E52907FF6F}">
  <dimension ref="A1"/>
  <sheetViews>
    <sheetView topLeftCell="A85" zoomScale="57" zoomScaleNormal="60" workbookViewId="0">
      <selection activeCell="K156" sqref="K156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E7F64-B41D-4A79-B76F-F3178AD47741}">
  <dimension ref="A1:BN43"/>
  <sheetViews>
    <sheetView workbookViewId="0"/>
  </sheetViews>
  <sheetFormatPr defaultRowHeight="14.5" x14ac:dyDescent="0.35"/>
  <sheetData>
    <row r="1" spans="1:66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42</v>
      </c>
      <c r="V1" t="s">
        <v>43</v>
      </c>
      <c r="W1" t="s">
        <v>44</v>
      </c>
      <c r="X1" t="s">
        <v>45</v>
      </c>
      <c r="Y1" t="s">
        <v>46</v>
      </c>
      <c r="Z1" t="s">
        <v>47</v>
      </c>
      <c r="AA1" t="s">
        <v>48</v>
      </c>
      <c r="AB1" t="s">
        <v>49</v>
      </c>
      <c r="AC1" t="s">
        <v>50</v>
      </c>
      <c r="AD1" t="s">
        <v>51</v>
      </c>
      <c r="AE1" t="s">
        <v>52</v>
      </c>
      <c r="AF1" t="s">
        <v>53</v>
      </c>
      <c r="AG1" t="s">
        <v>54</v>
      </c>
      <c r="AH1" t="s">
        <v>55</v>
      </c>
      <c r="AI1" t="s">
        <v>56</v>
      </c>
      <c r="AJ1" t="s">
        <v>57</v>
      </c>
      <c r="AK1" t="s">
        <v>58</v>
      </c>
      <c r="AL1" t="s">
        <v>59</v>
      </c>
      <c r="AM1" t="s">
        <v>60</v>
      </c>
      <c r="AN1" t="s">
        <v>61</v>
      </c>
      <c r="AO1" t="s">
        <v>62</v>
      </c>
      <c r="AP1" t="s">
        <v>63</v>
      </c>
      <c r="AQ1" t="s">
        <v>64</v>
      </c>
      <c r="AR1" t="s">
        <v>65</v>
      </c>
      <c r="AS1" t="s">
        <v>66</v>
      </c>
      <c r="AT1" t="s">
        <v>67</v>
      </c>
      <c r="AU1" t="s">
        <v>68</v>
      </c>
      <c r="AV1" t="s">
        <v>69</v>
      </c>
      <c r="AW1" t="s">
        <v>70</v>
      </c>
      <c r="AX1" t="s">
        <v>71</v>
      </c>
      <c r="AY1" t="s">
        <v>72</v>
      </c>
      <c r="AZ1" t="s">
        <v>73</v>
      </c>
      <c r="BA1" t="s">
        <v>74</v>
      </c>
      <c r="BB1" t="s">
        <v>75</v>
      </c>
      <c r="BC1" t="s">
        <v>76</v>
      </c>
      <c r="BD1" t="s">
        <v>77</v>
      </c>
      <c r="BE1" t="s">
        <v>78</v>
      </c>
      <c r="BF1" t="s">
        <v>79</v>
      </c>
      <c r="BG1" t="s">
        <v>80</v>
      </c>
      <c r="BH1" t="s">
        <v>81</v>
      </c>
      <c r="BI1" t="s">
        <v>82</v>
      </c>
      <c r="BJ1" t="s">
        <v>83</v>
      </c>
      <c r="BK1" t="s">
        <v>84</v>
      </c>
      <c r="BL1" t="s">
        <v>85</v>
      </c>
      <c r="BM1" t="s">
        <v>86</v>
      </c>
      <c r="BN1" t="s">
        <v>87</v>
      </c>
    </row>
    <row r="22" spans="1:26" x14ac:dyDescent="0.35">
      <c r="D22">
        <v>0</v>
      </c>
    </row>
    <row r="24" spans="1:26" x14ac:dyDescent="0.35">
      <c r="F24">
        <v>0</v>
      </c>
    </row>
    <row r="26" spans="1:26" x14ac:dyDescent="0.35">
      <c r="H26">
        <v>0</v>
      </c>
    </row>
    <row r="27" spans="1:26" x14ac:dyDescent="0.35">
      <c r="J27">
        <v>0</v>
      </c>
    </row>
    <row r="28" spans="1:26" x14ac:dyDescent="0.35">
      <c r="L28">
        <v>0</v>
      </c>
      <c r="N28">
        <v>0</v>
      </c>
    </row>
    <row r="29" spans="1:26" x14ac:dyDescent="0.35">
      <c r="A29">
        <v>1.3630635615071E-2</v>
      </c>
      <c r="C29">
        <v>2.0454293810469999E-2</v>
      </c>
      <c r="E29">
        <v>2.90612012948008E-2</v>
      </c>
      <c r="G29">
        <v>3.8705949019210699E-2</v>
      </c>
      <c r="P29">
        <v>0</v>
      </c>
    </row>
    <row r="30" spans="1:26" x14ac:dyDescent="0.35">
      <c r="I30">
        <v>5.0063177492946698E-2</v>
      </c>
      <c r="K30">
        <v>6.2191274444438401E-2</v>
      </c>
      <c r="M30">
        <v>7.6159202981273696E-2</v>
      </c>
      <c r="R30">
        <v>0</v>
      </c>
      <c r="T30">
        <v>0</v>
      </c>
    </row>
    <row r="31" spans="1:26" x14ac:dyDescent="0.35">
      <c r="O31">
        <v>9.1230602915104694E-2</v>
      </c>
      <c r="Q31">
        <v>0.107690939992556</v>
      </c>
      <c r="V31">
        <v>0</v>
      </c>
    </row>
    <row r="32" spans="1:26" x14ac:dyDescent="0.35">
      <c r="S32">
        <v>0.12562641037096101</v>
      </c>
      <c r="U32">
        <v>0.14441724745294099</v>
      </c>
      <c r="X32">
        <v>0</v>
      </c>
      <c r="Z32">
        <v>0</v>
      </c>
    </row>
    <row r="33" spans="23:65" x14ac:dyDescent="0.35">
      <c r="W33">
        <v>0.16499403320407799</v>
      </c>
      <c r="Y33">
        <v>0.18661710955458</v>
      </c>
      <c r="AB33">
        <v>0</v>
      </c>
      <c r="AD33">
        <v>0</v>
      </c>
    </row>
    <row r="34" spans="23:65" x14ac:dyDescent="0.35">
      <c r="AA34">
        <v>0.20985875714426899</v>
      </c>
      <c r="AC34">
        <v>0.23345263802284599</v>
      </c>
      <c r="AF34">
        <v>0</v>
      </c>
    </row>
    <row r="35" spans="23:65" x14ac:dyDescent="0.35">
      <c r="AE35">
        <v>0.25879854803567198</v>
      </c>
      <c r="AH35">
        <v>0</v>
      </c>
    </row>
    <row r="36" spans="23:65" x14ac:dyDescent="0.35">
      <c r="AG36">
        <v>0.28452599729814798</v>
      </c>
      <c r="AI36">
        <v>0.311939820842488</v>
      </c>
      <c r="AJ36">
        <v>0</v>
      </c>
      <c r="AL36">
        <v>0</v>
      </c>
    </row>
    <row r="37" spans="23:65" x14ac:dyDescent="0.35">
      <c r="AK37">
        <v>0.34044420722559599</v>
      </c>
      <c r="AN37">
        <v>0</v>
      </c>
    </row>
    <row r="38" spans="23:65" x14ac:dyDescent="0.35">
      <c r="AM38">
        <v>0.36994171366423101</v>
      </c>
      <c r="AO38">
        <v>0.40059066642139202</v>
      </c>
      <c r="AP38">
        <v>0</v>
      </c>
    </row>
    <row r="39" spans="23:65" x14ac:dyDescent="0.35">
      <c r="AQ39">
        <v>0.43132036763569698</v>
      </c>
      <c r="AR39">
        <v>0</v>
      </c>
      <c r="AT39">
        <v>0</v>
      </c>
    </row>
    <row r="40" spans="23:65" x14ac:dyDescent="0.35">
      <c r="AS40">
        <v>0.46350055564897102</v>
      </c>
      <c r="AV40">
        <v>0</v>
      </c>
    </row>
    <row r="41" spans="23:65" x14ac:dyDescent="0.35">
      <c r="AU41">
        <v>0.49645535823409298</v>
      </c>
      <c r="AX41">
        <v>0</v>
      </c>
    </row>
    <row r="42" spans="23:65" x14ac:dyDescent="0.35">
      <c r="AZ42">
        <v>0</v>
      </c>
    </row>
    <row r="43" spans="23:65" x14ac:dyDescent="0.35">
      <c r="AW43">
        <v>0.53129739102791695</v>
      </c>
      <c r="AY43">
        <v>0.56651710605897099</v>
      </c>
      <c r="BA43">
        <v>0.60051617754702102</v>
      </c>
      <c r="BC43">
        <v>0.63365137934904503</v>
      </c>
      <c r="BE43">
        <v>0.66535750611484601</v>
      </c>
      <c r="BG43">
        <v>0.69527357475157303</v>
      </c>
      <c r="BI43">
        <v>0.72463432923058402</v>
      </c>
      <c r="BK43">
        <v>0.75270077991929696</v>
      </c>
      <c r="BM43">
        <v>0.77756968355702205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1de7b9-cad9-43f2-8459-9b1b4f9894e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44375E58E94B4797547602088A153E" ma:contentTypeVersion="18" ma:contentTypeDescription="Create a new document." ma:contentTypeScope="" ma:versionID="c4513e3ccaf786399b0dae0051b71e96">
  <xsd:schema xmlns:xsd="http://www.w3.org/2001/XMLSchema" xmlns:xs="http://www.w3.org/2001/XMLSchema" xmlns:p="http://schemas.microsoft.com/office/2006/metadata/properties" xmlns:ns3="a21de7b9-cad9-43f2-8459-9b1b4f9894e2" xmlns:ns4="d0ad2d52-4869-465d-a93a-001fa21a593d" targetNamespace="http://schemas.microsoft.com/office/2006/metadata/properties" ma:root="true" ma:fieldsID="0b4e40db0f3acf50de997b99c03e42e5" ns3:_="" ns4:_="">
    <xsd:import namespace="a21de7b9-cad9-43f2-8459-9b1b4f9894e2"/>
    <xsd:import namespace="d0ad2d52-4869-465d-a93a-001fa21a593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de7b9-cad9-43f2-8459-9b1b4f9894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ad2d52-4869-465d-a93a-001fa21a593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CFA7FF-11B7-4E5B-B7D8-896866F8F3D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515681-37A0-4B7B-8138-2FB025CAB275}">
  <ds:schemaRefs>
    <ds:schemaRef ds:uri="http://purl.org/dc/elements/1.1/"/>
    <ds:schemaRef ds:uri="http://schemas.microsoft.com/office/2006/documentManagement/types"/>
    <ds:schemaRef ds:uri="http://www.w3.org/XML/1998/namespace"/>
    <ds:schemaRef ds:uri="d0ad2d52-4869-465d-a93a-001fa21a593d"/>
    <ds:schemaRef ds:uri="http://schemas.microsoft.com/office/2006/metadata/properties"/>
    <ds:schemaRef ds:uri="http://purl.org/dc/terms/"/>
    <ds:schemaRef ds:uri="http://purl.org/dc/dcmitype/"/>
    <ds:schemaRef ds:uri="a21de7b9-cad9-43f2-8459-9b1b4f9894e2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B179D4DF-2B34-48F7-9837-BA0CF51C5D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1de7b9-cad9-43f2-8459-9b1b4f9894e2"/>
    <ds:schemaRef ds:uri="d0ad2d52-4869-465d-a93a-001fa21a59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GRAPHS</vt:lpstr>
      <vt:lpstr>_markers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millar</dc:creator>
  <cp:lastModifiedBy>Chabod Masere</cp:lastModifiedBy>
  <dcterms:created xsi:type="dcterms:W3CDTF">2016-10-11T01:12:02Z</dcterms:created>
  <dcterms:modified xsi:type="dcterms:W3CDTF">2026-04-28T07:04:13Z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0x0101005144375E58E94B4797547602088A153E</vt:lpwstr>
  </property>
</Properties>
</file>