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SIMULATION4/"/>
    </mc:Choice>
  </mc:AlternateContent>
  <xr:revisionPtr revIDLastSave="0" documentId="8_{E0388BC3-721D-4490-9BE4-A6341E7DD428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Sheet1" sheetId="3" r:id="rId1"/>
    <sheet name="FD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5" l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T42" i="5"/>
  <c r="S42" i="5"/>
  <c r="T41" i="5"/>
  <c r="S41" i="5"/>
  <c r="T40" i="5"/>
  <c r="S40" i="5"/>
  <c r="T39" i="5"/>
  <c r="S39" i="5"/>
  <c r="T38" i="5"/>
  <c r="S38" i="5"/>
  <c r="T37" i="5"/>
  <c r="S37" i="5"/>
  <c r="T36" i="5"/>
  <c r="S36" i="5"/>
  <c r="T35" i="5"/>
  <c r="S35" i="5"/>
  <c r="T34" i="5"/>
  <c r="S34" i="5"/>
  <c r="T33" i="5"/>
  <c r="S33" i="5"/>
  <c r="T32" i="5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N2" i="5" l="1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G2" i="5"/>
  <c r="H2" i="5"/>
  <c r="I2" i="5"/>
  <c r="J2" i="5"/>
  <c r="K2" i="5" l="1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M2" i="5" l="1"/>
  <c r="L2" i="5" l="1"/>
</calcChain>
</file>

<file path=xl/sharedStrings.xml><?xml version="1.0" encoding="utf-8"?>
<sst xmlns="http://schemas.openxmlformats.org/spreadsheetml/2006/main" count="33" uniqueCount="33">
  <si>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</si>
  <si>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</si>
  <si>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</si>
  <si>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</si>
  <si>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</si>
  <si>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</si>
  <si>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</si>
  <si>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</si>
  <si>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</si>
  <si>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</si>
  <si>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</si>
  <si>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</si>
  <si>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</si>
  <si>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</si>
  <si>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</si>
  <si>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</si>
  <si>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#</t>
  </si>
  <si>
    <t>#"Run ID"</t>
  </si>
  <si>
    <t>S1,1 [Re]</t>
  </si>
  <si>
    <t>S1,1 [Im]</t>
  </si>
  <si>
    <t>#----------------------------------------------------------------</t>
  </si>
  <si>
    <t>CavFace_Int_e-field (f=9) (1)</t>
  </si>
  <si>
    <t>CavFace_Int_e-field (f=9) (1)_1</t>
  </si>
  <si>
    <t>RadFace_Int_e-field (f=9) (1)</t>
  </si>
  <si>
    <t>RadFace_Int_e-field (f=9) (1)_1</t>
  </si>
  <si>
    <t>S2,1 [Re]</t>
  </si>
  <si>
    <t>S2,1 [Im]</t>
  </si>
  <si>
    <t>Rself</t>
  </si>
  <si>
    <t>Xself</t>
  </si>
  <si>
    <t>Gself</t>
  </si>
  <si>
    <t>Bself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</si>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</sst>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4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0.6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FD!$B$2:$B$6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FD!$M$2:$M$6</c:f>
              <c:numCache>
                <c:formatCode>General</c:formatCode>
                <c:ptCount val="5"/>
                <c:pt idx="0">
                  <c:v>2.5942479287358699E-3</c:v>
                </c:pt>
                <c:pt idx="1">
                  <c:v>6.2282533492069104E-3</c:v>
                </c:pt>
                <c:pt idx="2">
                  <c:v>1.17819890604575E-2</c:v>
                </c:pt>
                <c:pt idx="3">
                  <c:v>1.29229985160671E-2</c:v>
                </c:pt>
                <c:pt idx="4">
                  <c:v>9.4053382221917902E-3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2C-4BDE-85CF-393A004A2986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FD!$B$2:$B$6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FD!$N$2:$N$6</c:f>
              <c:numCache>
                <c:formatCode>General</c:formatCode>
                <c:ptCount val="5"/>
                <c:pt idx="0">
                  <c:v>-2.4116546820142598E-3</c:v>
                </c:pt>
                <c:pt idx="1">
                  <c:v>-1.0204835138853501E-3</c:v>
                </c:pt>
                <c:pt idx="2">
                  <c:v>-3.50595231829545E-3</c:v>
                </c:pt>
                <c:pt idx="3">
                  <c:v>-1.0794077004487999E-2</c:v>
                </c:pt>
                <c:pt idx="4">
                  <c:v>-1.44410571343639E-2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2C-4BDE-85CF-393A004A2986}"/>
            </c:ext>
          </c:extLst>
        </c:ser>
        <c:ser>
          <c:idx val="3"/>
          <c:order val="2"/>
          <c:tx>
            <c:v>Bself = 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FD!$AJ$2:$AK$2</c:f>
              <c:numCache>
                <c:formatCode>General</c:formatCode>
                <c:ptCount val="2"/>
              </c:numCache>
            </c:numRef>
          </c:xVal>
          <c:yVal>
            <c:numRef>
              <c:f>FD!$AL$2:$AM$2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2C-4BDE-85CF-393A004A2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643807"/>
        <c:axId val="1902643327"/>
      </c:scatterChart>
      <c:valAx>
        <c:axId val="190264380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643327"/>
        <c:crosses val="autoZero"/>
        <c:crossBetween val="midCat"/>
      </c:valAx>
      <c:valAx>
        <c:axId val="190264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643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0.875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FD!$B$7:$B$11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FD!$M$7:$M$11</c:f>
              <c:numCache>
                <c:formatCode>General</c:formatCode>
                <c:ptCount val="5"/>
                <c:pt idx="0">
                  <c:v>5.9405845042913999E-3</c:v>
                </c:pt>
                <c:pt idx="1">
                  <c:v>1.29717119851944E-2</c:v>
                </c:pt>
                <c:pt idx="2">
                  <c:v>2.4954372368610998E-2</c:v>
                </c:pt>
                <c:pt idx="3">
                  <c:v>2.7899113678194101E-2</c:v>
                </c:pt>
                <c:pt idx="4">
                  <c:v>2.0519134867827402E-2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3-40CB-98A6-F7C31A823E5A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FD!$B$7:$B$11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FD!$N$7:$N$11</c:f>
              <c:numCache>
                <c:formatCode>General</c:formatCode>
                <c:ptCount val="5"/>
                <c:pt idx="0">
                  <c:v>4.0081569801419898E-3</c:v>
                </c:pt>
                <c:pt idx="1">
                  <c:v>6.6913030494006702E-3</c:v>
                </c:pt>
                <c:pt idx="2">
                  <c:v>2.1487332040009601E-3</c:v>
                </c:pt>
                <c:pt idx="3">
                  <c:v>-1.3507069369165001E-2</c:v>
                </c:pt>
                <c:pt idx="4">
                  <c:v>-2.1456226045227199E-2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3-40CB-98A6-F7C31A823E5A}"/>
            </c:ext>
          </c:extLst>
        </c:ser>
        <c:ser>
          <c:idx val="4"/>
          <c:order val="2"/>
          <c:tx>
            <c:v>Bself = 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FD!$AJ$2:$AK$2</c:f>
              <c:numCache>
                <c:formatCode>General</c:formatCode>
                <c:ptCount val="2"/>
              </c:numCache>
            </c:numRef>
          </c:xVal>
          <c:yVal>
            <c:numRef>
              <c:f>FD!$AL$2:$AM$2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C23-40CB-98A6-F7C31A823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29679"/>
        <c:axId val="1553430639"/>
      </c:scatterChart>
      <c:valAx>
        <c:axId val="1553429679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30639"/>
        <c:crosses val="autoZero"/>
        <c:crossBetween val="midCat"/>
      </c:valAx>
      <c:valAx>
        <c:axId val="155343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29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1.15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FD!$B$12:$B$16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FD!$M$12:$M$16</c:f>
              <c:numCache>
                <c:formatCode>General</c:formatCode>
                <c:ptCount val="5"/>
                <c:pt idx="0">
                  <c:v>1.0254837748573701E-2</c:v>
                </c:pt>
                <c:pt idx="1">
                  <c:v>2.1804993521590099E-2</c:v>
                </c:pt>
                <c:pt idx="2">
                  <c:v>4.2244318238257798E-2</c:v>
                </c:pt>
                <c:pt idx="3">
                  <c:v>4.8567406611091497E-2</c:v>
                </c:pt>
                <c:pt idx="4">
                  <c:v>3.6503342853122699E-2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84-41A9-8835-4407E66FBFDE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FD!$B$12:$B$16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FD!$N$12:$N$16</c:f>
              <c:numCache>
                <c:formatCode>General</c:formatCode>
                <c:ptCount val="5"/>
                <c:pt idx="0">
                  <c:v>1.25655328526517E-2</c:v>
                </c:pt>
                <c:pt idx="1">
                  <c:v>1.7084701724980701E-2</c:v>
                </c:pt>
                <c:pt idx="2">
                  <c:v>1.0520562503545799E-2</c:v>
                </c:pt>
                <c:pt idx="3">
                  <c:v>-1.60402201404422E-2</c:v>
                </c:pt>
                <c:pt idx="4">
                  <c:v>-3.0574938797596402E-2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84-41A9-8835-4407E66F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277631"/>
        <c:axId val="1595279071"/>
      </c:scatterChart>
      <c:valAx>
        <c:axId val="1595277631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279071"/>
        <c:crosses val="autoZero"/>
        <c:crossBetween val="midCat"/>
      </c:valAx>
      <c:valAx>
        <c:axId val="15952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27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1.425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FD!$B$17:$B$21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FD!$M$17:$M$21</c:f>
              <c:numCache>
                <c:formatCode>General</c:formatCode>
                <c:ptCount val="5"/>
                <c:pt idx="0">
                  <c:v>1.52002670613021E-2</c:v>
                </c:pt>
                <c:pt idx="1">
                  <c:v>3.18535542782847E-2</c:v>
                </c:pt>
                <c:pt idx="2">
                  <c:v>6.2513673114829804E-2</c:v>
                </c:pt>
                <c:pt idx="3">
                  <c:v>7.4768975080827998E-2</c:v>
                </c:pt>
                <c:pt idx="4">
                  <c:v>5.7412532738590899E-2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74-4386-9A38-908CD713D114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FD!$B$17:$B$21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FD!$N$17:$N$21</c:f>
              <c:numCache>
                <c:formatCode>General</c:formatCode>
                <c:ptCount val="5"/>
                <c:pt idx="0">
                  <c:v>2.28399667549977E-2</c:v>
                </c:pt>
                <c:pt idx="1">
                  <c:v>2.9789542686030599E-2</c:v>
                </c:pt>
                <c:pt idx="2">
                  <c:v>2.1378692533957199E-2</c:v>
                </c:pt>
                <c:pt idx="3">
                  <c:v>-1.7948916132284502E-2</c:v>
                </c:pt>
                <c:pt idx="4">
                  <c:v>-4.1895348819224798E-2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74-4386-9A38-908CD713D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669247"/>
        <c:axId val="1276670687"/>
      </c:scatterChart>
      <c:valAx>
        <c:axId val="127666924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70687"/>
        <c:crosses val="autoZero"/>
        <c:crossBetween val="midCat"/>
      </c:valAx>
      <c:valAx>
        <c:axId val="127667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69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1.7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FD!$B$22:$B$26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FD!$M$22:$M$26</c:f>
              <c:numCache>
                <c:formatCode>General</c:formatCode>
                <c:ptCount val="5"/>
                <c:pt idx="0">
                  <c:v>2.07821527567893E-2</c:v>
                </c:pt>
                <c:pt idx="1">
                  <c:v>4.3032561080979199E-2</c:v>
                </c:pt>
                <c:pt idx="2">
                  <c:v>8.49630228246539E-2</c:v>
                </c:pt>
                <c:pt idx="3">
                  <c:v>0.10698894365379601</c:v>
                </c:pt>
                <c:pt idx="4">
                  <c:v>8.4895325006488095E-2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76-46EA-8BB7-DFFD2972985E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FD!$B$22:$B$26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FD!$N$22:$N$26</c:f>
              <c:numCache>
                <c:formatCode>General</c:formatCode>
                <c:ptCount val="5"/>
                <c:pt idx="0">
                  <c:v>3.4704741979478801E-2</c:v>
                </c:pt>
                <c:pt idx="1">
                  <c:v>4.4904734331515803E-2</c:v>
                </c:pt>
                <c:pt idx="2">
                  <c:v>3.6174904472886397E-2</c:v>
                </c:pt>
                <c:pt idx="3">
                  <c:v>-1.7028379275391501E-2</c:v>
                </c:pt>
                <c:pt idx="4">
                  <c:v>-5.3734444456698602E-2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76-46EA-8BB7-DFFD2972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669727"/>
        <c:axId val="2031358191"/>
      </c:scatterChart>
      <c:valAx>
        <c:axId val="127666972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358191"/>
        <c:crosses val="autoZero"/>
        <c:crossBetween val="midCat"/>
      </c:valAx>
      <c:valAx>
        <c:axId val="203135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69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1.975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FD!$B$27:$B$31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FD!$M$27:$M$31</c:f>
              <c:numCache>
                <c:formatCode>General</c:formatCode>
                <c:ptCount val="5"/>
                <c:pt idx="0">
                  <c:v>2.6606243183704501E-2</c:v>
                </c:pt>
                <c:pt idx="1">
                  <c:v>5.5090935760595199E-2</c:v>
                </c:pt>
                <c:pt idx="2">
                  <c:v>0.109870434100048</c:v>
                </c:pt>
                <c:pt idx="3">
                  <c:v>0.14428216108359199</c:v>
                </c:pt>
                <c:pt idx="4">
                  <c:v>0.118219075378239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2D-41CE-A357-BCEDE03B0B43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FD!$B$27:$B$31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FD!$N$27:$N$31</c:f>
              <c:numCache>
                <c:formatCode>General</c:formatCode>
                <c:ptCount val="5"/>
                <c:pt idx="0">
                  <c:v>4.8329410854246302E-2</c:v>
                </c:pt>
                <c:pt idx="1">
                  <c:v>6.2428660130669202E-2</c:v>
                </c:pt>
                <c:pt idx="2">
                  <c:v>5.39589465656925E-2</c:v>
                </c:pt>
                <c:pt idx="3">
                  <c:v>-1.3791357884727099E-2</c:v>
                </c:pt>
                <c:pt idx="4">
                  <c:v>-6.6174987762038298E-2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2D-41CE-A357-BCEDE03B0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556767"/>
        <c:axId val="2096555327"/>
      </c:scatterChart>
      <c:valAx>
        <c:axId val="209655676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555327"/>
        <c:crosses val="autoZero"/>
        <c:crossBetween val="midCat"/>
      </c:valAx>
      <c:valAx>
        <c:axId val="209655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556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2.25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FD!$B$32:$B$36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FD!$M$32:$M$36</c:f>
              <c:numCache>
                <c:formatCode>General</c:formatCode>
                <c:ptCount val="5"/>
                <c:pt idx="0">
                  <c:v>3.2960147283365299E-2</c:v>
                </c:pt>
                <c:pt idx="1">
                  <c:v>6.7284395725621504E-2</c:v>
                </c:pt>
                <c:pt idx="2">
                  <c:v>0.134527470487009</c:v>
                </c:pt>
                <c:pt idx="3">
                  <c:v>0.186526085784194</c:v>
                </c:pt>
                <c:pt idx="4">
                  <c:v>0.15854335022003599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3A-4208-BEE2-74D576B747D8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FD!$B$32:$B$36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FD!$N$32:$N$36</c:f>
              <c:numCache>
                <c:formatCode>General</c:formatCode>
                <c:ptCount val="5"/>
                <c:pt idx="0">
                  <c:v>6.3241748498372302E-2</c:v>
                </c:pt>
                <c:pt idx="1">
                  <c:v>8.1723762694270105E-2</c:v>
                </c:pt>
                <c:pt idx="2">
                  <c:v>7.5601283366449307E-2</c:v>
                </c:pt>
                <c:pt idx="3">
                  <c:v>-4.5870389244321904E-3</c:v>
                </c:pt>
                <c:pt idx="4">
                  <c:v>-7.80496954009266E-2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3A-4208-BEE2-74D576B74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1322527"/>
        <c:axId val="1281322047"/>
      </c:scatterChart>
      <c:valAx>
        <c:axId val="128132252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322047"/>
        <c:crosses val="autoZero"/>
        <c:crossBetween val="midCat"/>
      </c:valAx>
      <c:valAx>
        <c:axId val="128132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322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2.525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FD!$B$37:$B$41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FD!$M$37:$M$41</c:f>
              <c:numCache>
                <c:formatCode>General</c:formatCode>
                <c:ptCount val="5"/>
                <c:pt idx="0">
                  <c:v>3.9504395355774803E-2</c:v>
                </c:pt>
                <c:pt idx="1">
                  <c:v>8.0004403468215093E-2</c:v>
                </c:pt>
                <c:pt idx="2">
                  <c:v>0.16058083310355301</c:v>
                </c:pt>
                <c:pt idx="3">
                  <c:v>0.23241455436788</c:v>
                </c:pt>
                <c:pt idx="4">
                  <c:v>0.20676370743886899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70-4A2C-AE4D-DAE41103281B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FD!$B$37:$B$41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FD!$N$37:$N$41</c:f>
              <c:numCache>
                <c:formatCode>General</c:formatCode>
                <c:ptCount val="5"/>
                <c:pt idx="0">
                  <c:v>7.9846216777491097E-2</c:v>
                </c:pt>
                <c:pt idx="1">
                  <c:v>0.102862017038632</c:v>
                </c:pt>
                <c:pt idx="2">
                  <c:v>0.100084702971748</c:v>
                </c:pt>
                <c:pt idx="3">
                  <c:v>8.2177641284920701E-3</c:v>
                </c:pt>
                <c:pt idx="4">
                  <c:v>-8.6442223995350495E-2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70-4A2C-AE4D-DAE411032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917087"/>
        <c:axId val="2125918527"/>
      </c:scatterChart>
      <c:valAx>
        <c:axId val="212591708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918527"/>
        <c:crosses val="autoZero"/>
        <c:crossBetween val="midCat"/>
      </c:valAx>
      <c:valAx>
        <c:axId val="212591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917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2.8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FD!$B$42:$B$46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FD!$M$42:$M$46</c:f>
              <c:numCache>
                <c:formatCode>General</c:formatCode>
                <c:ptCount val="5"/>
                <c:pt idx="0">
                  <c:v>4.5736256131991997E-2</c:v>
                </c:pt>
                <c:pt idx="1">
                  <c:v>9.11650223265313E-2</c:v>
                </c:pt>
                <c:pt idx="2">
                  <c:v>0.18296639102189199</c:v>
                </c:pt>
                <c:pt idx="3">
                  <c:v>0.27891103829113101</c:v>
                </c:pt>
                <c:pt idx="4">
                  <c:v>0.26208789438033098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4E-434F-874C-A8ADA03635DE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FD!$B$42:$B$46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FD!$N$42:$N$46</c:f>
              <c:numCache>
                <c:formatCode>General</c:formatCode>
                <c:ptCount val="5"/>
                <c:pt idx="0">
                  <c:v>9.6771255252943097E-2</c:v>
                </c:pt>
                <c:pt idx="1">
                  <c:v>0.12481527775774701</c:v>
                </c:pt>
                <c:pt idx="2">
                  <c:v>0.12808132704505701</c:v>
                </c:pt>
                <c:pt idx="3">
                  <c:v>3.1414149626076901E-2</c:v>
                </c:pt>
                <c:pt idx="4">
                  <c:v>-9.0740677251871696E-2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4E-434F-874C-A8ADA0363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42831"/>
        <c:axId val="1253616623"/>
      </c:scatterChart>
      <c:valAx>
        <c:axId val="1912142831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616623"/>
        <c:crosses val="autoZero"/>
        <c:crossBetween val="midCat"/>
      </c:valAx>
      <c:valAx>
        <c:axId val="125361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1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3.075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FD!$B$47:$B$51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FD!$M$47:$M$51</c:f>
              <c:numCache>
                <c:formatCode>General</c:formatCode>
                <c:ptCount val="5"/>
                <c:pt idx="0">
                  <c:v>5.21268178543677E-2</c:v>
                </c:pt>
                <c:pt idx="1">
                  <c:v>0.10259628869182399</c:v>
                </c:pt>
                <c:pt idx="2">
                  <c:v>0.20508122737728901</c:v>
                </c:pt>
                <c:pt idx="3">
                  <c:v>0.32594774539261401</c:v>
                </c:pt>
                <c:pt idx="4">
                  <c:v>0.323769694326907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AA-40E3-A1F6-EEE66C61CE2B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FD!$B$47:$B$51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FD!$N$47:$N$51</c:f>
              <c:numCache>
                <c:formatCode>General</c:formatCode>
                <c:ptCount val="5"/>
                <c:pt idx="0">
                  <c:v>0.114688415405474</c:v>
                </c:pt>
                <c:pt idx="1">
                  <c:v>0.14801424536352401</c:v>
                </c:pt>
                <c:pt idx="2">
                  <c:v>0.158051142394801</c:v>
                </c:pt>
                <c:pt idx="3">
                  <c:v>5.98982603091213E-2</c:v>
                </c:pt>
                <c:pt idx="4">
                  <c:v>-8.8299982976644598E-2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AA-40E3-A1F6-EEE66C61C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614831"/>
        <c:axId val="1296615311"/>
      </c:scatterChart>
      <c:valAx>
        <c:axId val="1296614831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615311"/>
        <c:crosses val="autoZero"/>
        <c:crossBetween val="midCat"/>
      </c:valAx>
      <c:valAx>
        <c:axId val="129661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61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3.35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FD!$B$52:$B$56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FD!$M$52:$M$56</c:f>
              <c:numCache>
                <c:formatCode>General</c:formatCode>
                <c:ptCount val="5"/>
                <c:pt idx="0">
                  <c:v>5.8303649058028699E-2</c:v>
                </c:pt>
                <c:pt idx="1">
                  <c:v>0.113314801816063</c:v>
                </c:pt>
                <c:pt idx="2">
                  <c:v>0.22559895382839501</c:v>
                </c:pt>
                <c:pt idx="3">
                  <c:v>0.37180304933881603</c:v>
                </c:pt>
                <c:pt idx="4">
                  <c:v>0.39064539115501801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3-4DF3-BD0B-1046EE982C86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FD!$B$52:$B$56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FD!$N$52:$N$56</c:f>
              <c:numCache>
                <c:formatCode>General</c:formatCode>
                <c:ptCount val="5"/>
                <c:pt idx="0">
                  <c:v>0.13345932248464801</c:v>
                </c:pt>
                <c:pt idx="1">
                  <c:v>0.172308329909061</c:v>
                </c:pt>
                <c:pt idx="2">
                  <c:v>0.19018596939052601</c:v>
                </c:pt>
                <c:pt idx="3">
                  <c:v>9.4824013246567501E-2</c:v>
                </c:pt>
                <c:pt idx="4">
                  <c:v>-7.8082979969016905E-2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3-4DF3-BD0B-1046EE982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894863"/>
        <c:axId val="1264622687"/>
      </c:scatterChart>
      <c:valAx>
        <c:axId val="1250894863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622687"/>
        <c:crosses val="autoZero"/>
        <c:crossBetween val="midCat"/>
      </c:valAx>
      <c:valAx>
        <c:axId val="126462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894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3.625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FD!$B$57:$B$61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FD!$M$57:$M$61</c:f>
              <c:numCache>
                <c:formatCode>General</c:formatCode>
                <c:ptCount val="5"/>
                <c:pt idx="0">
                  <c:v>6.4059420255536501E-2</c:v>
                </c:pt>
                <c:pt idx="1">
                  <c:v>0.123051777278299</c:v>
                </c:pt>
                <c:pt idx="2">
                  <c:v>0.24347869966648</c:v>
                </c:pt>
                <c:pt idx="3">
                  <c:v>0.41321509982767801</c:v>
                </c:pt>
                <c:pt idx="4">
                  <c:v>0.46011239683241301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9-4A5B-A759-74C3666428E8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FD!$B$57:$B$61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FD!$N$57:$N$61</c:f>
              <c:numCache>
                <c:formatCode>General</c:formatCode>
                <c:ptCount val="5"/>
                <c:pt idx="0">
                  <c:v>0.15235601278039099</c:v>
                </c:pt>
                <c:pt idx="1">
                  <c:v>0.19656513536828399</c:v>
                </c:pt>
                <c:pt idx="2">
                  <c:v>0.222787605133798</c:v>
                </c:pt>
                <c:pt idx="3">
                  <c:v>0.134930612892072</c:v>
                </c:pt>
                <c:pt idx="4">
                  <c:v>-6.0361222824464399E-2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9-4A5B-A759-74C366642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959391"/>
        <c:axId val="1472959871"/>
      </c:scatterChart>
      <c:valAx>
        <c:axId val="1472959391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959871"/>
        <c:crosses val="autoZero"/>
        <c:crossBetween val="midCat"/>
      </c:valAx>
      <c:valAx>
        <c:axId val="147295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959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3.9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FD!$B$62:$B$66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FD!$M$62:$M$66</c:f>
              <c:numCache>
                <c:formatCode>General</c:formatCode>
                <c:ptCount val="5"/>
                <c:pt idx="0">
                  <c:v>7.0054755900079396E-2</c:v>
                </c:pt>
                <c:pt idx="1">
                  <c:v>0.13272174297459799</c:v>
                </c:pt>
                <c:pt idx="2">
                  <c:v>0.26024513757614698</c:v>
                </c:pt>
                <c:pt idx="3">
                  <c:v>0.45125251369500702</c:v>
                </c:pt>
                <c:pt idx="4">
                  <c:v>0.53129739102791695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D-47F2-9BBC-D2F320B12126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FD!$B$62:$B$66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FD!$N$62:$N$66</c:f>
              <c:numCache>
                <c:formatCode>General</c:formatCode>
                <c:ptCount val="5"/>
                <c:pt idx="0">
                  <c:v>0.171585907961708</c:v>
                </c:pt>
                <c:pt idx="1">
                  <c:v>0.22117542171929799</c:v>
                </c:pt>
                <c:pt idx="2">
                  <c:v>0.25569552754658198</c:v>
                </c:pt>
                <c:pt idx="3">
                  <c:v>0.17807003396690099</c:v>
                </c:pt>
                <c:pt idx="4">
                  <c:v>-2.85786759044095E-2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BD-47F2-9BBC-D2F320B12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960351"/>
        <c:axId val="1472956511"/>
      </c:scatterChart>
      <c:valAx>
        <c:axId val="1472960351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956511"/>
        <c:crosses val="autoZero"/>
        <c:crossBetween val="midCat"/>
      </c:valAx>
      <c:valAx>
        <c:axId val="147295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96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4.175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FD!$B$67:$B$71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FD!$M$67:$M$71</c:f>
              <c:numCache>
                <c:formatCode>General</c:formatCode>
                <c:ptCount val="5"/>
                <c:pt idx="0">
                  <c:v>7.5213861563006204E-2</c:v>
                </c:pt>
                <c:pt idx="1">
                  <c:v>0.140534681745136</c:v>
                </c:pt>
                <c:pt idx="2">
                  <c:v>0.27274643070951898</c:v>
                </c:pt>
                <c:pt idx="3">
                  <c:v>0.48180511550961103</c:v>
                </c:pt>
                <c:pt idx="4">
                  <c:v>0.60051617754702102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E-479C-A9A3-9570C39172AC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FD!$B$67:$B$71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FD!$N$67:$N$71</c:f>
              <c:numCache>
                <c:formatCode>General</c:formatCode>
                <c:ptCount val="5"/>
                <c:pt idx="0">
                  <c:v>0.190541681198268</c:v>
                </c:pt>
                <c:pt idx="1">
                  <c:v>0.245268555989123</c:v>
                </c:pt>
                <c:pt idx="2">
                  <c:v>0.2887828092875</c:v>
                </c:pt>
                <c:pt idx="3">
                  <c:v>0.22687937013991699</c:v>
                </c:pt>
                <c:pt idx="4">
                  <c:v>1.1693394093808301E-2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E-479C-A9A3-9570C3917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397887"/>
        <c:axId val="1270397407"/>
      </c:scatterChart>
      <c:valAx>
        <c:axId val="127039788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397407"/>
        <c:crosses val="autoZero"/>
        <c:crossBetween val="midCat"/>
      </c:valAx>
      <c:valAx>
        <c:axId val="127039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39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4.45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FD!$B$72:$B$76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FD!$M$72:$M$76</c:f>
              <c:numCache>
                <c:formatCode>General</c:formatCode>
                <c:ptCount val="5"/>
                <c:pt idx="0">
                  <c:v>7.9614844569984106E-2</c:v>
                </c:pt>
                <c:pt idx="1">
                  <c:v>0.14727668256616699</c:v>
                </c:pt>
                <c:pt idx="2">
                  <c:v>0.28350429319174297</c:v>
                </c:pt>
                <c:pt idx="3">
                  <c:v>0.50807104206450804</c:v>
                </c:pt>
                <c:pt idx="4">
                  <c:v>0.66535750611484601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94-4C86-A80B-8C74F79D32BF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FD!$B$72:$B$76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FD!$N$72:$N$76</c:f>
              <c:numCache>
                <c:formatCode>General</c:formatCode>
                <c:ptCount val="5"/>
                <c:pt idx="0">
                  <c:v>0.20913264402423101</c:v>
                </c:pt>
                <c:pt idx="1">
                  <c:v>0.26913297745768999</c:v>
                </c:pt>
                <c:pt idx="2">
                  <c:v>0.32201042105356698</c:v>
                </c:pt>
                <c:pt idx="3">
                  <c:v>0.277151507782604</c:v>
                </c:pt>
                <c:pt idx="4">
                  <c:v>5.9533953741970701E-2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94-4C86-A80B-8C74F79D3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398367"/>
        <c:axId val="1472960351"/>
      </c:scatterChart>
      <c:valAx>
        <c:axId val="127039836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960351"/>
        <c:crosses val="autoZero"/>
        <c:crossBetween val="midCat"/>
      </c:valAx>
      <c:valAx>
        <c:axId val="147296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39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4.725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FD!$B$77:$B$81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FD!$M$77:$M$81</c:f>
              <c:numCache>
                <c:formatCode>General</c:formatCode>
                <c:ptCount val="5"/>
                <c:pt idx="0">
                  <c:v>8.4260248668475604E-2</c:v>
                </c:pt>
                <c:pt idx="1">
                  <c:v>0.15450531479263799</c:v>
                </c:pt>
                <c:pt idx="2">
                  <c:v>0.295356012630341</c:v>
                </c:pt>
                <c:pt idx="3">
                  <c:v>0.53369061279766195</c:v>
                </c:pt>
                <c:pt idx="4">
                  <c:v>0.72463432923058402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B7-4798-A392-3EEE82745340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FD!$B$77:$B$81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FD!$N$77:$N$81</c:f>
              <c:numCache>
                <c:formatCode>General</c:formatCode>
                <c:ptCount val="5"/>
                <c:pt idx="0">
                  <c:v>0.22793537818602999</c:v>
                </c:pt>
                <c:pt idx="1">
                  <c:v>0.29315621652725699</c:v>
                </c:pt>
                <c:pt idx="2">
                  <c:v>0.35437127453641398</c:v>
                </c:pt>
                <c:pt idx="3">
                  <c:v>0.32428543874142701</c:v>
                </c:pt>
                <c:pt idx="4">
                  <c:v>0.111591860501962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B7-4798-A392-3EEE82745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851935"/>
        <c:axId val="1886846175"/>
      </c:scatterChart>
      <c:valAx>
        <c:axId val="1886851935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846175"/>
        <c:crosses val="autoZero"/>
        <c:crossBetween val="midCat"/>
      </c:valAx>
      <c:valAx>
        <c:axId val="18868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851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Self-admittance for Offset = 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Gself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FD!$B$82:$B$86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FD!$M$82:$M$86</c:f>
              <c:numCache>
                <c:formatCode>General</c:formatCode>
                <c:ptCount val="5"/>
                <c:pt idx="0">
                  <c:v>8.7614637018759794E-2</c:v>
                </c:pt>
                <c:pt idx="1">
                  <c:v>0.15962668441838701</c:v>
                </c:pt>
                <c:pt idx="2">
                  <c:v>0.3033125513655</c:v>
                </c:pt>
                <c:pt idx="3">
                  <c:v>0.55160610201309601</c:v>
                </c:pt>
                <c:pt idx="4">
                  <c:v>0.77756968355702205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D-4582-B757-9E61D144ACB8}"/>
            </c:ext>
          </c:extLst>
        </c:ser>
        <c:ser>
          <c:idx val="1"/>
          <c:order val="1"/>
          <c:tx>
            <c:v>Bself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FD!$B$82:$B$86</c:f>
              <c:numCache>
                <c:formatCode>General</c:formatCode>
                <c:ptCount val="5"/>
                <c:pt idx="0">
                  <c:v>15</c:v>
                </c:pt>
                <c:pt idx="1">
                  <c:v>15.5</c:v>
                </c:pt>
                <c:pt idx="2">
                  <c:v>16</c:v>
                </c:pt>
                <c:pt idx="3">
                  <c:v>16.5</c:v>
                </c:pt>
                <c:pt idx="4">
                  <c:v>17</c:v>
                </c:pt>
              </c:numCache>
            </c:numRef>
          </c:xVal>
          <c:yVal>
            <c:numRef>
              <c:f>FD!$N$82:$N$86</c:f>
              <c:numCache>
                <c:formatCode>General</c:formatCode>
                <c:ptCount val="5"/>
                <c:pt idx="0">
                  <c:v>0.24517992587940701</c:v>
                </c:pt>
                <c:pt idx="1">
                  <c:v>0.31552476008289299</c:v>
                </c:pt>
                <c:pt idx="2">
                  <c:v>0.38528992595178801</c:v>
                </c:pt>
                <c:pt idx="3">
                  <c:v>0.37218696522831102</c:v>
                </c:pt>
                <c:pt idx="4">
                  <c:v>0.17131448490214499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2D-4582-B757-9E61D144A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270447"/>
        <c:axId val="1688272847"/>
      </c:scatterChart>
      <c:valAx>
        <c:axId val="1688270447"/>
        <c:scaling>
          <c:orientation val="minMax"/>
          <c:max val="17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272847"/>
        <c:crosses val="autoZero"/>
        <c:crossBetween val="midCat"/>
      </c:valAx>
      <c:valAx>
        <c:axId val="168827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270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127000</xdr:rowOff>
    </xdr:from>
    <xdr:to>
      <xdr:col>29</xdr:col>
      <xdr:colOff>533400</xdr:colOff>
      <xdr:row>14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AFAB55-5FD2-7F8B-8BCD-2BE8A45EA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50800</xdr:colOff>
      <xdr:row>0</xdr:row>
      <xdr:rowOff>127000</xdr:rowOff>
    </xdr:from>
    <xdr:to>
      <xdr:col>36</xdr:col>
      <xdr:colOff>584200</xdr:colOff>
      <xdr:row>14</xdr:row>
      <xdr:rowOff>127000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08DF4DF-49B4-6532-1248-FBDF91465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101600</xdr:colOff>
      <xdr:row>0</xdr:row>
      <xdr:rowOff>127000</xdr:rowOff>
    </xdr:from>
    <xdr:to>
      <xdr:col>43</xdr:col>
      <xdr:colOff>400050</xdr:colOff>
      <xdr:row>14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A89FEBD-9674-9E6B-6EB8-E809C33B5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527050</xdr:colOff>
      <xdr:row>0</xdr:row>
      <xdr:rowOff>127000</xdr:rowOff>
    </xdr:from>
    <xdr:to>
      <xdr:col>50</xdr:col>
      <xdr:colOff>450850</xdr:colOff>
      <xdr:row>14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A635500-D10A-7C97-BEFC-D844A52091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15</xdr:row>
      <xdr:rowOff>69850</xdr:rowOff>
    </xdr:from>
    <xdr:to>
      <xdr:col>29</xdr:col>
      <xdr:colOff>533400</xdr:colOff>
      <xdr:row>30</xdr:row>
      <xdr:rowOff>101600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4887210-5A19-F14F-9863-1B1DD065C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50800</xdr:colOff>
      <xdr:row>15</xdr:row>
      <xdr:rowOff>69850</xdr:rowOff>
    </xdr:from>
    <xdr:to>
      <xdr:col>36</xdr:col>
      <xdr:colOff>584200</xdr:colOff>
      <xdr:row>30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0AD2F6-CF95-F357-19BC-8AEE81289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101600</xdr:colOff>
      <xdr:row>15</xdr:row>
      <xdr:rowOff>69850</xdr:rowOff>
    </xdr:from>
    <xdr:to>
      <xdr:col>43</xdr:col>
      <xdr:colOff>400050</xdr:colOff>
      <xdr:row>30</xdr:row>
      <xdr:rowOff>101600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49F0C3-3C41-E336-0209-8A673160B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43</xdr:col>
      <xdr:colOff>527050</xdr:colOff>
      <xdr:row>15</xdr:row>
      <xdr:rowOff>69850</xdr:rowOff>
    </xdr:from>
    <xdr:to>
      <xdr:col>50</xdr:col>
      <xdr:colOff>450850</xdr:colOff>
      <xdr:row>30</xdr:row>
      <xdr:rowOff>101600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393334F-0A8B-CF4A-E17D-6984DF5C8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0</xdr:colOff>
      <xdr:row>31</xdr:row>
      <xdr:rowOff>44450</xdr:rowOff>
    </xdr:from>
    <xdr:to>
      <xdr:col>29</xdr:col>
      <xdr:colOff>533400</xdr:colOff>
      <xdr:row>46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25297CD-B92E-D359-89F2-0FF9F873AB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30</xdr:col>
      <xdr:colOff>50800</xdr:colOff>
      <xdr:row>31</xdr:row>
      <xdr:rowOff>44450</xdr:rowOff>
    </xdr:from>
    <xdr:to>
      <xdr:col>36</xdr:col>
      <xdr:colOff>584200</xdr:colOff>
      <xdr:row>46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1C29F01F-D8E7-1FEC-19D1-34821942F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37</xdr:col>
      <xdr:colOff>101600</xdr:colOff>
      <xdr:row>31</xdr:row>
      <xdr:rowOff>44450</xdr:rowOff>
    </xdr:from>
    <xdr:to>
      <xdr:col>43</xdr:col>
      <xdr:colOff>400050</xdr:colOff>
      <xdr:row>46</xdr:row>
      <xdr:rowOff>76200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EC1DBC7-8D46-14E2-CC20-77E9E7CD4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43</xdr:col>
      <xdr:colOff>527050</xdr:colOff>
      <xdr:row>31</xdr:row>
      <xdr:rowOff>44450</xdr:rowOff>
    </xdr:from>
    <xdr:to>
      <xdr:col>50</xdr:col>
      <xdr:colOff>450850</xdr:colOff>
      <xdr:row>46</xdr:row>
      <xdr:rowOff>76200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7232F9F0-0247-C82F-04A4-EDBF8F407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47</xdr:row>
      <xdr:rowOff>19050</xdr:rowOff>
    </xdr:from>
    <xdr:to>
      <xdr:col>29</xdr:col>
      <xdr:colOff>533400</xdr:colOff>
      <xdr:row>62</xdr:row>
      <xdr:rowOff>50800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A234DF01-26BD-BE07-3582-954B6ECB7A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50800</xdr:colOff>
      <xdr:row>47</xdr:row>
      <xdr:rowOff>19050</xdr:rowOff>
    </xdr:from>
    <xdr:to>
      <xdr:col>36</xdr:col>
      <xdr:colOff>584200</xdr:colOff>
      <xdr:row>62</xdr:row>
      <xdr:rowOff>50800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E5D15881-AB64-708E-093B-CE53F558C9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37</xdr:col>
      <xdr:colOff>101600</xdr:colOff>
      <xdr:row>47</xdr:row>
      <xdr:rowOff>19050</xdr:rowOff>
    </xdr:from>
    <xdr:to>
      <xdr:col>43</xdr:col>
      <xdr:colOff>400050</xdr:colOff>
      <xdr:row>62</xdr:row>
      <xdr:rowOff>50800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ED0632BE-56E8-0C56-FFF8-C946DFD0E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43</xdr:col>
      <xdr:colOff>527050</xdr:colOff>
      <xdr:row>47</xdr:row>
      <xdr:rowOff>19050</xdr:rowOff>
    </xdr:from>
    <xdr:to>
      <xdr:col>50</xdr:col>
      <xdr:colOff>450850</xdr:colOff>
      <xdr:row>62</xdr:row>
      <xdr:rowOff>50800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856830F3-3C9B-7FAF-DF99-ADEE716B7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23</xdr:col>
      <xdr:colOff>0</xdr:colOff>
      <xdr:row>62</xdr:row>
      <xdr:rowOff>177800</xdr:rowOff>
    </xdr:from>
    <xdr:to>
      <xdr:col>29</xdr:col>
      <xdr:colOff>533400</xdr:colOff>
      <xdr:row>78</xdr:row>
      <xdr:rowOff>25400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4A553ECD-22E5-69AF-DCFC-7548FB1B9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08"/>
  <sheetViews>
    <sheetView topLeftCell="A68" workbookViewId="0">
      <selection activeCell="G4" sqref="G4:J108"/>
    </sheetView>
  </sheetViews>
  <sheetFormatPr defaultRowHeight="14.5" x14ac:dyDescent="0.35"/>
  <sheetData>
    <row r="1" spans="1:10" x14ac:dyDescent="0.35">
      <c r="A1" t="s">
        <v>16</v>
      </c>
    </row>
    <row r="2" spans="1:10" x14ac:dyDescent="0.35">
      <c r="A2" t="s">
        <v>17</v>
      </c>
      <c r="B2" t="s">
        <v>18</v>
      </c>
      <c r="C2" t="s">
        <v>19</v>
      </c>
      <c r="D2" t="s">
        <v>25</v>
      </c>
      <c r="E2" t="s">
        <v>26</v>
      </c>
      <c r="G2" t="s">
        <v>21</v>
      </c>
      <c r="H2" t="s">
        <v>22</v>
      </c>
      <c r="I2" t="s">
        <v>23</v>
      </c>
      <c r="J2" t="s">
        <v>24</v>
      </c>
    </row>
    <row r="3" spans="1:10" x14ac:dyDescent="0.35">
      <c r="A3" t="s">
        <v>20</v>
      </c>
    </row>
    <row r="4" spans="1:10" x14ac:dyDescent="0.35">
      <c r="A4">
        <v>1</v>
      </c>
      <c r="B4">
        <v>-5.6924130983101999E-2</v>
      </c>
      <c r="C4">
        <v>-8.2814913458955003E-2</v>
      </c>
      <c r="D4">
        <v>0.94308876467057001</v>
      </c>
      <c r="E4">
        <v>-8.8360452673973994E-2</v>
      </c>
      <c r="G4">
        <v>7.9960876303146994E-2</v>
      </c>
      <c r="H4">
        <v>-5.3736285790637002E-2</v>
      </c>
      <c r="I4">
        <v>5.0187521164192998E-2</v>
      </c>
      <c r="J4">
        <v>-9.9909931608003003E-2</v>
      </c>
    </row>
    <row r="5" spans="1:10" x14ac:dyDescent="0.35">
      <c r="A5">
        <v>2</v>
      </c>
      <c r="B5">
        <v>-6.3500373881422004E-2</v>
      </c>
      <c r="C5">
        <v>-8.5397762986324996E-2</v>
      </c>
      <c r="D5">
        <v>0.93651705671727004</v>
      </c>
      <c r="E5">
        <v>-9.1048988729192995E-2</v>
      </c>
      <c r="G5">
        <v>8.2366638996601002E-2</v>
      </c>
      <c r="H5">
        <v>-5.9894686139174001E-2</v>
      </c>
      <c r="I5">
        <v>4.9054336111473001E-2</v>
      </c>
      <c r="J5">
        <v>-0.10738833198272001</v>
      </c>
    </row>
    <row r="6" spans="1:10" x14ac:dyDescent="0.35">
      <c r="A6">
        <v>3</v>
      </c>
      <c r="B6">
        <v>-7.0844790551311002E-2</v>
      </c>
      <c r="C6">
        <v>-8.7648714662728E-2</v>
      </c>
      <c r="D6">
        <v>0.92917327341994005</v>
      </c>
      <c r="E6">
        <v>-9.3405800206664003E-2</v>
      </c>
      <c r="G6">
        <v>8.4528546575373995E-2</v>
      </c>
      <c r="H6">
        <v>-6.6823246946560999E-2</v>
      </c>
      <c r="I6">
        <v>4.7200908293251999E-2</v>
      </c>
      <c r="J6">
        <v>-0.11539035860047001</v>
      </c>
    </row>
    <row r="7" spans="1:10" x14ac:dyDescent="0.35">
      <c r="A7">
        <v>4</v>
      </c>
      <c r="B7">
        <v>-7.8982790332580002E-2</v>
      </c>
      <c r="C7">
        <v>-8.9420626155248997E-2</v>
      </c>
      <c r="D7">
        <v>0.92103536022355004</v>
      </c>
      <c r="E7">
        <v>-9.5286044622759997E-2</v>
      </c>
      <c r="G7">
        <v>8.6250306423886994E-2</v>
      </c>
      <c r="H7">
        <v>-7.450955043568E-2</v>
      </c>
      <c r="I7">
        <v>4.4477760064744E-2</v>
      </c>
      <c r="J7">
        <v>-0.12386164517004999</v>
      </c>
    </row>
    <row r="8" spans="1:10" x14ac:dyDescent="0.35">
      <c r="A8">
        <v>5</v>
      </c>
      <c r="B8">
        <v>-8.7934532670223997E-2</v>
      </c>
      <c r="C8">
        <v>-9.0540773977270006E-2</v>
      </c>
      <c r="D8">
        <v>0.91208326472518997</v>
      </c>
      <c r="E8">
        <v>-9.6517212486250004E-2</v>
      </c>
      <c r="G8">
        <v>8.7361860028564997E-2</v>
      </c>
      <c r="H8">
        <v>-8.2968494494612993E-2</v>
      </c>
      <c r="I8">
        <v>4.0715175226299999E-2</v>
      </c>
      <c r="J8">
        <v>-0.13272637190761</v>
      </c>
    </row>
    <row r="9" spans="1:10" x14ac:dyDescent="0.35">
      <c r="A9">
        <v>6</v>
      </c>
      <c r="B9">
        <v>-9.7686499784507996E-2</v>
      </c>
      <c r="C9">
        <v>-9.0806758367780002E-2</v>
      </c>
      <c r="D9">
        <v>0.90233056665264999</v>
      </c>
      <c r="E9">
        <v>-9.6897036574672996E-2</v>
      </c>
      <c r="G9">
        <v>8.7671997576475993E-2</v>
      </c>
      <c r="H9">
        <v>-9.2188503735499999E-2</v>
      </c>
      <c r="I9">
        <v>3.5734584704022999E-2</v>
      </c>
      <c r="J9">
        <v>-0.14186175561320999</v>
      </c>
    </row>
    <row r="10" spans="1:10" x14ac:dyDescent="0.35">
      <c r="A10">
        <v>7</v>
      </c>
      <c r="B10">
        <v>-0.10817666574427</v>
      </c>
      <c r="C10">
        <v>-8.9990867400721999E-2</v>
      </c>
      <c r="D10">
        <v>0.89183937822686998</v>
      </c>
      <c r="E10">
        <v>-9.6197840462899004E-2</v>
      </c>
      <c r="G10">
        <v>8.6964008161965006E-2</v>
      </c>
      <c r="H10">
        <v>-0.10211085796008</v>
      </c>
      <c r="I10">
        <v>2.9360667125828001E-2</v>
      </c>
      <c r="J10">
        <v>-0.15108669473794001</v>
      </c>
    </row>
    <row r="11" spans="1:10" x14ac:dyDescent="0.35">
      <c r="A11">
        <v>8</v>
      </c>
      <c r="B11">
        <v>-0.11927887789445001</v>
      </c>
      <c r="C11">
        <v>-8.7850687750386E-2</v>
      </c>
      <c r="D11">
        <v>0.8807295280595</v>
      </c>
      <c r="E11">
        <v>-9.4171293464043002E-2</v>
      </c>
      <c r="G11">
        <v>8.5009935328464001E-2</v>
      </c>
      <c r="H11">
        <v>-0.11261963365516001</v>
      </c>
      <c r="I11">
        <v>2.1439976117861002E-2</v>
      </c>
      <c r="J11">
        <v>-0.16015368090796001</v>
      </c>
    </row>
    <row r="12" spans="1:10" x14ac:dyDescent="0.35">
      <c r="A12">
        <v>9</v>
      </c>
      <c r="B12">
        <v>-0.13078762350632001</v>
      </c>
      <c r="C12">
        <v>-8.4148293388929998E-2</v>
      </c>
      <c r="D12">
        <v>0.86921834673578002</v>
      </c>
      <c r="E12">
        <v>-9.0590258181088998E-2</v>
      </c>
      <c r="G12">
        <v>8.1582480132964999E-2</v>
      </c>
      <c r="H12">
        <v>-0.12352001825113</v>
      </c>
      <c r="I12">
        <v>1.186529028883E-2</v>
      </c>
      <c r="J12">
        <v>-0.16874358414328</v>
      </c>
    </row>
    <row r="13" spans="1:10" x14ac:dyDescent="0.35">
      <c r="A13">
        <v>10</v>
      </c>
      <c r="B13">
        <v>-0.14241039483696</v>
      </c>
      <c r="C13">
        <v>-7.8677876997154006E-2</v>
      </c>
      <c r="D13">
        <v>0.85759257104380004</v>
      </c>
      <c r="E13">
        <v>-8.5243468522291005E-2</v>
      </c>
      <c r="G13">
        <v>7.6486278382558004E-2</v>
      </c>
      <c r="H13">
        <v>-0.13453745722963001</v>
      </c>
      <c r="I13">
        <v>6.0739346943008E-4</v>
      </c>
      <c r="J13">
        <v>-0.17647617189293999</v>
      </c>
    </row>
    <row r="14" spans="1:10" x14ac:dyDescent="0.35">
      <c r="A14">
        <v>11</v>
      </c>
      <c r="B14">
        <v>-0.15376951324143001</v>
      </c>
      <c r="C14">
        <v>-7.1301289516986999E-2</v>
      </c>
      <c r="D14">
        <v>0.84622919981989997</v>
      </c>
      <c r="E14">
        <v>-7.7994190725525006E-2</v>
      </c>
      <c r="G14">
        <v>6.9588297904073004E-2</v>
      </c>
      <c r="H14">
        <v>-0.14531509683644001</v>
      </c>
      <c r="I14">
        <v>-1.2255164302901999E-2</v>
      </c>
      <c r="J14">
        <v>-0.18292950180053999</v>
      </c>
    </row>
    <row r="15" spans="1:10" x14ac:dyDescent="0.35">
      <c r="A15">
        <v>12</v>
      </c>
      <c r="B15">
        <v>-0.16442002389134999</v>
      </c>
      <c r="C15">
        <v>-6.1986040487881998E-2</v>
      </c>
      <c r="D15">
        <v>0.83557379773239004</v>
      </c>
      <c r="E15">
        <v>-6.8809387837934999E-2</v>
      </c>
      <c r="G15">
        <v>6.0856111871822001E-2</v>
      </c>
      <c r="H15">
        <v>-0.15543287349963</v>
      </c>
      <c r="I15">
        <v>-2.6508970605312002E-2</v>
      </c>
      <c r="J15">
        <v>-0.18767725149003001</v>
      </c>
    </row>
    <row r="16" spans="1:10" x14ac:dyDescent="0.35">
      <c r="A16">
        <v>13</v>
      </c>
      <c r="B16">
        <v>-0.17388858284818001</v>
      </c>
      <c r="C16">
        <v>-5.0836521487864002E-2</v>
      </c>
      <c r="D16">
        <v>0.82610038697095001</v>
      </c>
      <c r="E16">
        <v>-5.7791209505087003E-2</v>
      </c>
      <c r="G16">
        <v>5.0386311621343001E-2</v>
      </c>
      <c r="H16">
        <v>-0.16444409324395001</v>
      </c>
      <c r="I16">
        <v>-4.1800985097595E-2</v>
      </c>
      <c r="J16">
        <v>-0.19034188848118999</v>
      </c>
    </row>
    <row r="17" spans="1:10" x14ac:dyDescent="0.35">
      <c r="A17">
        <v>14</v>
      </c>
      <c r="B17">
        <v>-0.18172584115252999</v>
      </c>
      <c r="C17">
        <v>-3.8108950120469998E-2</v>
      </c>
      <c r="D17">
        <v>0.81825888648429002</v>
      </c>
      <c r="E17">
        <v>-4.5199058655667E-2</v>
      </c>
      <c r="G17">
        <v>3.8418061609900002E-2</v>
      </c>
      <c r="H17">
        <v>-0.1719202915487</v>
      </c>
      <c r="I17">
        <v>-5.7650714006796999E-2</v>
      </c>
      <c r="J17">
        <v>-0.19064995860091</v>
      </c>
    </row>
    <row r="18" spans="1:10" x14ac:dyDescent="0.35">
      <c r="A18">
        <v>15</v>
      </c>
      <c r="B18">
        <v>-0.18756721619757</v>
      </c>
      <c r="C18">
        <v>-2.4200666060164001E-2</v>
      </c>
      <c r="D18">
        <v>0.81241235074853002</v>
      </c>
      <c r="E18">
        <v>-3.1427039781265001E-2</v>
      </c>
      <c r="G18">
        <v>2.5325471535636E-2</v>
      </c>
      <c r="H18">
        <v>-0.17751758173078999</v>
      </c>
      <c r="I18">
        <v>-7.3495543436479002E-2</v>
      </c>
      <c r="J18">
        <v>-0.18848399366623</v>
      </c>
    </row>
    <row r="19" spans="1:10" x14ac:dyDescent="0.35">
      <c r="A19">
        <v>16</v>
      </c>
      <c r="B19">
        <v>-0.19118415775858999</v>
      </c>
      <c r="C19">
        <v>-9.6108876549946005E-3</v>
      </c>
      <c r="D19">
        <v>0.80879145016717002</v>
      </c>
      <c r="E19">
        <v>-1.6974359414857001E-2</v>
      </c>
      <c r="G19">
        <v>1.1579073151277E-2</v>
      </c>
      <c r="H19">
        <v>-0.18101659528698</v>
      </c>
      <c r="I19">
        <v>-8.8752500241754004E-2</v>
      </c>
      <c r="J19">
        <v>-0.18390542217253</v>
      </c>
    </row>
    <row r="20" spans="1:10" x14ac:dyDescent="0.35">
      <c r="A20">
        <v>17</v>
      </c>
      <c r="B20">
        <v>-0.19251455667674</v>
      </c>
      <c r="C20">
        <v>5.1176899517701999E-3</v>
      </c>
      <c r="D20">
        <v>0.80745458924593005</v>
      </c>
      <c r="E20">
        <v>-2.3925848841056998E-3</v>
      </c>
      <c r="G20">
        <v>-2.3088323548792998E-3</v>
      </c>
      <c r="H20">
        <v>-0.18235397216491001</v>
      </c>
      <c r="I20">
        <v>-0.10288936815231001</v>
      </c>
      <c r="J20">
        <v>-0.17715330073591001</v>
      </c>
    </row>
    <row r="21" spans="1:10" x14ac:dyDescent="0.35">
      <c r="A21">
        <v>18</v>
      </c>
      <c r="B21">
        <v>-0.19166270081461001</v>
      </c>
      <c r="C21">
        <v>1.9465720418053001E-2</v>
      </c>
      <c r="D21">
        <v>0.80830161033813996</v>
      </c>
      <c r="E21">
        <v>1.1811496888221E-2</v>
      </c>
      <c r="G21">
        <v>-1.5846556984548999E-2</v>
      </c>
      <c r="H21">
        <v>-0.18162815158918</v>
      </c>
      <c r="I21">
        <v>-0.11548584993159</v>
      </c>
      <c r="J21">
        <v>-0.16860611203268999</v>
      </c>
    </row>
    <row r="22" spans="1:10" x14ac:dyDescent="0.35">
      <c r="A22">
        <v>19</v>
      </c>
      <c r="B22">
        <v>-0.18887111896805001</v>
      </c>
      <c r="C22">
        <v>3.2993351688105001E-2</v>
      </c>
      <c r="D22">
        <v>0.81108912237649999</v>
      </c>
      <c r="E22">
        <v>2.5191894928164999E-2</v>
      </c>
      <c r="G22">
        <v>-2.8617221533099001E-2</v>
      </c>
      <c r="H22">
        <v>-0.17906470996408</v>
      </c>
      <c r="I22">
        <v>-0.12627061061346001</v>
      </c>
      <c r="J22">
        <v>-0.15872583177381</v>
      </c>
    </row>
    <row r="23" spans="1:10" x14ac:dyDescent="0.35">
      <c r="A23">
        <v>20</v>
      </c>
      <c r="B23">
        <v>-0.18447431537905001</v>
      </c>
      <c r="C23">
        <v>4.5375437614197003E-2</v>
      </c>
      <c r="D23">
        <v>0.81548469338859997</v>
      </c>
      <c r="E23">
        <v>3.7424943764882E-2</v>
      </c>
      <c r="G23">
        <v>-4.0311773904246E-2</v>
      </c>
      <c r="H23">
        <v>-0.17497858983900999</v>
      </c>
      <c r="I23">
        <v>-0.13512718923643999</v>
      </c>
      <c r="J23">
        <v>-0.14799657846063999</v>
      </c>
    </row>
    <row r="24" spans="1:10" x14ac:dyDescent="0.35">
      <c r="A24">
        <v>21</v>
      </c>
      <c r="B24">
        <v>-0.17884839877774</v>
      </c>
      <c r="C24">
        <v>5.6412510072410001E-2</v>
      </c>
      <c r="D24">
        <v>0.82110431744824997</v>
      </c>
      <c r="E24">
        <v>4.8307733907433002E-2</v>
      </c>
      <c r="G24">
        <v>-5.0739876317841999E-2</v>
      </c>
      <c r="H24">
        <v>-0.16972347965633999</v>
      </c>
      <c r="I24">
        <v>-0.14207741903928001</v>
      </c>
      <c r="J24">
        <v>-0.13687243394602999</v>
      </c>
    </row>
    <row r="25" spans="1:10" x14ac:dyDescent="0.35">
      <c r="A25">
        <v>22</v>
      </c>
      <c r="B25">
        <v>-6.0615509700407001E-2</v>
      </c>
      <c r="C25">
        <v>-8.8655421688765002E-2</v>
      </c>
      <c r="D25">
        <v>0.93937466906283995</v>
      </c>
      <c r="E25">
        <v>-9.4499301434954996E-2</v>
      </c>
      <c r="G25">
        <v>8.2025240480054995E-2</v>
      </c>
      <c r="H25">
        <v>-5.5054734748343E-2</v>
      </c>
      <c r="I25">
        <v>5.1450936922014003E-2</v>
      </c>
      <c r="J25">
        <v>-0.10218383331271</v>
      </c>
    </row>
    <row r="26" spans="1:10" x14ac:dyDescent="0.35">
      <c r="A26">
        <v>23</v>
      </c>
      <c r="B26">
        <v>-6.7542269009459005E-2</v>
      </c>
      <c r="C26">
        <v>-9.1389024607669997E-2</v>
      </c>
      <c r="D26">
        <v>0.93245615532919002</v>
      </c>
      <c r="E26">
        <v>-9.7347655565340002E-2</v>
      </c>
      <c r="G26">
        <v>8.4461195732519007E-2</v>
      </c>
      <c r="H26">
        <v>-6.1277884263156002E-2</v>
      </c>
      <c r="I26">
        <v>5.0326154370243001E-2</v>
      </c>
      <c r="J26">
        <v>-0.10974719763368</v>
      </c>
    </row>
    <row r="27" spans="1:10" x14ac:dyDescent="0.35">
      <c r="A27">
        <v>24</v>
      </c>
      <c r="B27">
        <v>-7.5247633456189997E-2</v>
      </c>
      <c r="C27">
        <v>-9.3771436311587006E-2</v>
      </c>
      <c r="D27">
        <v>0.92475203447524001</v>
      </c>
      <c r="E27">
        <v>-9.9848687663871005E-2</v>
      </c>
      <c r="G27">
        <v>8.6671817744335994E-2</v>
      </c>
      <c r="H27">
        <v>-6.8273231335929996E-2</v>
      </c>
      <c r="I27">
        <v>4.8485558683936003E-2</v>
      </c>
      <c r="J27">
        <v>-0.11781902442162</v>
      </c>
    </row>
    <row r="28" spans="1:10" x14ac:dyDescent="0.35">
      <c r="A28">
        <v>25</v>
      </c>
      <c r="B28">
        <v>-8.3770993060725996E-2</v>
      </c>
      <c r="C28">
        <v>-9.5661575085115996E-2</v>
      </c>
      <c r="D28">
        <v>0.91622899577385997</v>
      </c>
      <c r="E28">
        <v>-0.1018598293686</v>
      </c>
      <c r="G28">
        <v>8.8443744258630996E-2</v>
      </c>
      <c r="H28">
        <v>-7.6017350582956E-2</v>
      </c>
      <c r="I28">
        <v>4.5785906354544E-2</v>
      </c>
      <c r="J28">
        <v>-0.12635674532197</v>
      </c>
    </row>
    <row r="29" spans="1:10" x14ac:dyDescent="0.35">
      <c r="A29">
        <v>26</v>
      </c>
      <c r="B29">
        <v>-9.3134093137013998E-2</v>
      </c>
      <c r="C29">
        <v>-9.6885662956659999E-2</v>
      </c>
      <c r="D29">
        <v>0.90686580606200995</v>
      </c>
      <c r="E29">
        <v>-0.10320775440052</v>
      </c>
      <c r="G29">
        <v>8.9616975368488005E-2</v>
      </c>
      <c r="H29">
        <v>-8.4529504823348006E-2</v>
      </c>
      <c r="I29">
        <v>4.2062577464513001E-2</v>
      </c>
      <c r="J29">
        <v>-0.13528811621046999</v>
      </c>
    </row>
    <row r="30" spans="1:10" x14ac:dyDescent="0.35">
      <c r="A30">
        <v>27</v>
      </c>
      <c r="B30">
        <v>-0.1033248489369</v>
      </c>
      <c r="C30">
        <v>-9.7239837587187003E-2</v>
      </c>
      <c r="D30">
        <v>0.89667466421344</v>
      </c>
      <c r="E30">
        <v>-0.10368886026703</v>
      </c>
      <c r="G30">
        <v>9.0005162908669001E-2</v>
      </c>
      <c r="H30">
        <v>-9.3798996741004004E-2</v>
      </c>
      <c r="I30">
        <v>3.7142149907248997E-2</v>
      </c>
      <c r="J30">
        <v>-0.14449573297661</v>
      </c>
    </row>
    <row r="31" spans="1:10" x14ac:dyDescent="0.35">
      <c r="A31">
        <v>28</v>
      </c>
      <c r="B31">
        <v>-0.11428324686445</v>
      </c>
      <c r="C31">
        <v>-9.6494710468828002E-2</v>
      </c>
      <c r="D31">
        <v>0.88571550316919001</v>
      </c>
      <c r="E31">
        <v>-0.10307381548378999</v>
      </c>
      <c r="G31">
        <v>8.9399556611578002E-2</v>
      </c>
      <c r="H31">
        <v>-0.10377264943469</v>
      </c>
      <c r="I31">
        <v>3.0853779707111E-2</v>
      </c>
      <c r="J31">
        <v>-0.15380672306672</v>
      </c>
    </row>
    <row r="32" spans="1:10" x14ac:dyDescent="0.35">
      <c r="A32">
        <v>29</v>
      </c>
      <c r="B32">
        <v>-0.12588595802583999</v>
      </c>
      <c r="C32">
        <v>-9.4405467645443997E-2</v>
      </c>
      <c r="D32">
        <v>0.87411487081343997</v>
      </c>
      <c r="E32">
        <v>-0.10112292253691001</v>
      </c>
      <c r="G32">
        <v>8.7576194176102004E-2</v>
      </c>
      <c r="H32">
        <v>-0.11433878426089999</v>
      </c>
      <c r="I32">
        <v>2.3045851213876999E-2</v>
      </c>
      <c r="J32">
        <v>-0.16298336914016001</v>
      </c>
    </row>
    <row r="33" spans="1:10" x14ac:dyDescent="0.35">
      <c r="A33">
        <v>30</v>
      </c>
      <c r="B33">
        <v>-0.13793252230097</v>
      </c>
      <c r="C33">
        <v>-9.0730559558556995E-2</v>
      </c>
      <c r="D33">
        <v>0.86206474343626005</v>
      </c>
      <c r="E33">
        <v>-9.7582945234342994E-2</v>
      </c>
      <c r="G33">
        <v>8.4315669690955997E-2</v>
      </c>
      <c r="H33">
        <v>-0.1253178553007</v>
      </c>
      <c r="I33">
        <v>1.3610742116783E-2</v>
      </c>
      <c r="J33">
        <v>-0.17172551488023999</v>
      </c>
    </row>
    <row r="34" spans="1:10" x14ac:dyDescent="0.35">
      <c r="A34">
        <v>31</v>
      </c>
      <c r="B34">
        <v>-0.15013580793240999</v>
      </c>
      <c r="C34">
        <v>-8.5257861258685994E-2</v>
      </c>
      <c r="D34">
        <v>0.84985950283020995</v>
      </c>
      <c r="E34">
        <v>-9.2249969921859007E-2</v>
      </c>
      <c r="G34">
        <v>7.9421995434020995E-2</v>
      </c>
      <c r="H34">
        <v>-0.13644789694732001</v>
      </c>
      <c r="I34">
        <v>2.5112431442328E-3</v>
      </c>
      <c r="J34">
        <v>-0.17966675971494001</v>
      </c>
    </row>
    <row r="35" spans="1:10" x14ac:dyDescent="0.35">
      <c r="A35">
        <v>32</v>
      </c>
      <c r="B35">
        <v>-0.16212378470238001</v>
      </c>
      <c r="C35">
        <v>-7.7838288783819001E-2</v>
      </c>
      <c r="D35">
        <v>0.83786951667799003</v>
      </c>
      <c r="E35">
        <v>-8.4972323586971002E-2</v>
      </c>
      <c r="G35">
        <v>7.2759040195642999E-2</v>
      </c>
      <c r="H35">
        <v>-0.14739342775113001</v>
      </c>
      <c r="I35">
        <v>-1.0189816011247001E-2</v>
      </c>
      <c r="J35">
        <v>-0.18640201686328001</v>
      </c>
    </row>
    <row r="36" spans="1:10" x14ac:dyDescent="0.35">
      <c r="A36">
        <v>33</v>
      </c>
      <c r="B36">
        <v>-0.17345476108701999</v>
      </c>
      <c r="C36">
        <v>-6.8423269561655994E-2</v>
      </c>
      <c r="D36">
        <v>0.82653539715253999</v>
      </c>
      <c r="E36">
        <v>-7.5702987200321994E-2</v>
      </c>
      <c r="G36">
        <v>6.4279426270240997E-2</v>
      </c>
      <c r="H36">
        <v>-0.15775141858444999</v>
      </c>
      <c r="I36">
        <v>-2.4304011734538E-2</v>
      </c>
      <c r="J36">
        <v>-0.19151664187282999</v>
      </c>
    </row>
    <row r="37" spans="1:10" x14ac:dyDescent="0.35">
      <c r="A37">
        <v>34</v>
      </c>
      <c r="B37">
        <v>-0.18365302373223999</v>
      </c>
      <c r="C37">
        <v>-5.7096425153215002E-2</v>
      </c>
      <c r="D37">
        <v>0.81632986357590998</v>
      </c>
      <c r="E37">
        <v>-6.4523204890100994E-2</v>
      </c>
      <c r="G37">
        <v>5.4057545083531999E-2</v>
      </c>
      <c r="H37">
        <v>-0.16709074715767</v>
      </c>
      <c r="I37">
        <v>-3.9508659344627002E-2</v>
      </c>
      <c r="J37">
        <v>-0.19463531712615001</v>
      </c>
    </row>
    <row r="38" spans="1:10" x14ac:dyDescent="0.35">
      <c r="A38">
        <v>35</v>
      </c>
      <c r="B38">
        <v>-0.19225802960562</v>
      </c>
      <c r="C38">
        <v>-4.4090465709538999E-2</v>
      </c>
      <c r="D38">
        <v>0.80771990241891001</v>
      </c>
      <c r="E38">
        <v>-5.1669453035710002E-2</v>
      </c>
      <c r="G38">
        <v>4.2301720431180002E-2</v>
      </c>
      <c r="H38">
        <v>-0.17498963503459</v>
      </c>
      <c r="I38">
        <v>-5.5358946951129001E-2</v>
      </c>
      <c r="J38">
        <v>-0.19547295665516001</v>
      </c>
    </row>
    <row r="39" spans="1:10" x14ac:dyDescent="0.35">
      <c r="A39">
        <v>36</v>
      </c>
      <c r="B39">
        <v>-0.19888279867554001</v>
      </c>
      <c r="C39">
        <v>-2.9781436727616999E-2</v>
      </c>
      <c r="D39">
        <v>0.80108771287297997</v>
      </c>
      <c r="E39">
        <v>-3.7518354785841E-2</v>
      </c>
      <c r="G39">
        <v>2.9352602341065001E-2</v>
      </c>
      <c r="H39">
        <v>-0.18109529783354</v>
      </c>
      <c r="I39">
        <v>-7.1320233464269994E-2</v>
      </c>
      <c r="J39">
        <v>-0.19388532777403</v>
      </c>
    </row>
    <row r="40" spans="1:10" x14ac:dyDescent="0.35">
      <c r="A40">
        <v>37</v>
      </c>
      <c r="B40">
        <v>-0.20326709368088</v>
      </c>
      <c r="C40">
        <v>-1.4655475654170001E-2</v>
      </c>
      <c r="D40">
        <v>0.79669680005239996</v>
      </c>
      <c r="E40">
        <v>-2.2549639774428001E-2</v>
      </c>
      <c r="G40">
        <v>1.5650121892426001E-2</v>
      </c>
      <c r="H40">
        <v>-0.18516798390354</v>
      </c>
      <c r="I40">
        <v>-8.6829404560819001E-2</v>
      </c>
      <c r="J40">
        <v>-0.18989748261223999</v>
      </c>
    </row>
    <row r="41" spans="1:10" x14ac:dyDescent="0.35">
      <c r="A41">
        <v>38</v>
      </c>
      <c r="B41">
        <v>-0.20531054133422999</v>
      </c>
      <c r="C41">
        <v>7.4666396374165999E-4</v>
      </c>
      <c r="D41">
        <v>0.79464869290704998</v>
      </c>
      <c r="E41">
        <v>-7.3080592398723004E-3</v>
      </c>
      <c r="G41">
        <v>1.6858723725671999E-3</v>
      </c>
      <c r="H41">
        <v>-0.18711489687642999</v>
      </c>
      <c r="I41">
        <v>-0.10135709432659</v>
      </c>
      <c r="J41">
        <v>-0.18370258670417999</v>
      </c>
    </row>
    <row r="42" spans="1:10" x14ac:dyDescent="0.35">
      <c r="A42">
        <v>39</v>
      </c>
      <c r="B42">
        <v>-0.20507960479135001</v>
      </c>
      <c r="C42">
        <v>1.5891739376735999E-2</v>
      </c>
      <c r="D42">
        <v>0.79487319189991001</v>
      </c>
      <c r="E42">
        <v>7.6742129238553001E-3</v>
      </c>
      <c r="G42">
        <v>-1.2055235377885E-2</v>
      </c>
      <c r="H42">
        <v>-0.18699095338137001</v>
      </c>
      <c r="I42">
        <v>-0.11446749619011</v>
      </c>
      <c r="J42">
        <v>-0.17563878593957999</v>
      </c>
    </row>
    <row r="43" spans="1:10" x14ac:dyDescent="0.35">
      <c r="A43">
        <v>40</v>
      </c>
      <c r="B43">
        <v>-0.20278584669640001</v>
      </c>
      <c r="C43">
        <v>3.0313489343681999E-2</v>
      </c>
      <c r="D43">
        <v>0.79716037334365997</v>
      </c>
      <c r="E43">
        <v>2.1927119659208998E-2</v>
      </c>
      <c r="G43">
        <v>-2.5147909530691001E-2</v>
      </c>
      <c r="H43">
        <v>-0.18498627127004999</v>
      </c>
      <c r="I43">
        <v>-0.12586045518469</v>
      </c>
      <c r="J43">
        <v>-0.16613543993492999</v>
      </c>
    </row>
    <row r="44" spans="1:10" x14ac:dyDescent="0.35">
      <c r="A44">
        <v>41</v>
      </c>
      <c r="B44">
        <v>-0.19874408169527</v>
      </c>
      <c r="C44">
        <v>4.3651270701283003E-2</v>
      </c>
      <c r="D44">
        <v>0.80119583630656999</v>
      </c>
      <c r="E44">
        <v>3.5096524827821003E-2</v>
      </c>
      <c r="G44">
        <v>-3.7262346753310999E-2</v>
      </c>
      <c r="H44">
        <v>-0.18138718792469999</v>
      </c>
      <c r="I44">
        <v>-0.13538238373691</v>
      </c>
      <c r="J44">
        <v>-0.15565868107379999</v>
      </c>
    </row>
    <row r="45" spans="1:10" x14ac:dyDescent="0.35">
      <c r="A45">
        <v>42</v>
      </c>
      <c r="B45">
        <v>-0.19332391119112999</v>
      </c>
      <c r="C45">
        <v>5.5667852404196999E-2</v>
      </c>
      <c r="D45">
        <v>0.80660979586215997</v>
      </c>
      <c r="E45">
        <v>4.6944570904283001E-2</v>
      </c>
      <c r="G45">
        <v>-4.8181076449379003E-2</v>
      </c>
      <c r="H45">
        <v>-0.1765281560592</v>
      </c>
      <c r="I45">
        <v>-0.14301757695579001</v>
      </c>
      <c r="J45">
        <v>-0.14465821019384001</v>
      </c>
    </row>
    <row r="46" spans="1:10" x14ac:dyDescent="0.35">
      <c r="A46">
        <v>43</v>
      </c>
      <c r="B46">
        <v>-6.4281460217256003E-2</v>
      </c>
      <c r="C46">
        <v>-9.4398538496842002E-2</v>
      </c>
      <c r="D46">
        <v>0.9357176763717</v>
      </c>
      <c r="E46">
        <v>-0.10053654885648</v>
      </c>
      <c r="G46">
        <v>8.3688642172791997E-2</v>
      </c>
      <c r="H46">
        <v>-5.6103272809955002E-2</v>
      </c>
      <c r="I46">
        <v>5.2627001997105002E-2</v>
      </c>
      <c r="J46">
        <v>-0.10429226373637999</v>
      </c>
    </row>
    <row r="47" spans="1:10" x14ac:dyDescent="0.35">
      <c r="A47">
        <v>44</v>
      </c>
      <c r="B47">
        <v>-7.1551673476246996E-2</v>
      </c>
      <c r="C47">
        <v>-9.7279543659475998E-2</v>
      </c>
      <c r="D47">
        <v>0.92844670934811002</v>
      </c>
      <c r="E47">
        <v>-0.10354437989161</v>
      </c>
      <c r="G47">
        <v>8.6204218924236006E-2</v>
      </c>
      <c r="H47">
        <v>-6.2419857752652998E-2</v>
      </c>
      <c r="I47">
        <v>5.1506366217434998E-2</v>
      </c>
      <c r="J47">
        <v>-0.11194433655621</v>
      </c>
    </row>
    <row r="48" spans="1:10" x14ac:dyDescent="0.35">
      <c r="A48">
        <v>45</v>
      </c>
      <c r="B48">
        <v>-7.9640519225446002E-2</v>
      </c>
      <c r="C48">
        <v>-9.9795564711026005E-2</v>
      </c>
      <c r="D48">
        <v>0.92035868472669002</v>
      </c>
      <c r="E48">
        <v>-0.10618923679761</v>
      </c>
      <c r="G48">
        <v>8.8447440501312993E-2</v>
      </c>
      <c r="H48">
        <v>-6.9478869204740001E-2</v>
      </c>
      <c r="I48">
        <v>4.9666514929420001E-2</v>
      </c>
      <c r="J48">
        <v>-0.12011204631193</v>
      </c>
    </row>
    <row r="49" spans="1:10" x14ac:dyDescent="0.35">
      <c r="A49">
        <v>46</v>
      </c>
      <c r="B49">
        <v>-8.8573852625228003E-2</v>
      </c>
      <c r="C49">
        <v>-0.10180099764180001</v>
      </c>
      <c r="D49">
        <v>0.91142593474410005</v>
      </c>
      <c r="E49">
        <v>-0.10832633516494</v>
      </c>
      <c r="G49">
        <v>9.0259132580183005E-2</v>
      </c>
      <c r="H49">
        <v>-7.7285709257528007E-2</v>
      </c>
      <c r="I49">
        <v>4.6971126439894997E-2</v>
      </c>
      <c r="J49">
        <v>-0.12874160128312001</v>
      </c>
    </row>
    <row r="50" spans="1:10" x14ac:dyDescent="0.35">
      <c r="A50">
        <v>47</v>
      </c>
      <c r="B50">
        <v>-9.8374709746482006E-2</v>
      </c>
      <c r="C50">
        <v>-0.10311951955338</v>
      </c>
      <c r="D50">
        <v>0.90162534043346998</v>
      </c>
      <c r="E50">
        <v>-0.10977972577095001</v>
      </c>
      <c r="G50">
        <v>9.1476664562381002E-2</v>
      </c>
      <c r="H50">
        <v>-8.5855425828337995E-2</v>
      </c>
      <c r="I50">
        <v>4.3259066604797003E-2</v>
      </c>
      <c r="J50">
        <v>-0.13776376041821001</v>
      </c>
    </row>
    <row r="51" spans="1:10" x14ac:dyDescent="0.35">
      <c r="A51">
        <v>48</v>
      </c>
      <c r="B51">
        <v>-0.10903159781644001</v>
      </c>
      <c r="C51">
        <v>-0.1035441569017</v>
      </c>
      <c r="D51">
        <v>0.89096841900642998</v>
      </c>
      <c r="E51">
        <v>-0.11034261527571</v>
      </c>
      <c r="G51">
        <v>9.1920493690091004E-2</v>
      </c>
      <c r="H51">
        <v>-9.5180731980964994E-2</v>
      </c>
      <c r="I51">
        <v>3.8360326534337998E-2</v>
      </c>
      <c r="J51">
        <v>-0.14706461809512</v>
      </c>
    </row>
    <row r="52" spans="1:10" x14ac:dyDescent="0.35">
      <c r="A52">
        <v>49</v>
      </c>
      <c r="B52">
        <v>-0.12048479626402001</v>
      </c>
      <c r="C52">
        <v>-0.10284213976871</v>
      </c>
      <c r="D52">
        <v>0.87951505406503006</v>
      </c>
      <c r="E52">
        <v>-0.10978228783178</v>
      </c>
      <c r="G52">
        <v>9.1384165746591001E-2</v>
      </c>
      <c r="H52">
        <v>-0.10520833697354</v>
      </c>
      <c r="I52">
        <v>3.2107293066296998E-2</v>
      </c>
      <c r="J52">
        <v>-0.15647631778498</v>
      </c>
    </row>
    <row r="53" spans="1:10" x14ac:dyDescent="0.35">
      <c r="A53">
        <v>50</v>
      </c>
      <c r="B53">
        <v>-0.13261163577141</v>
      </c>
      <c r="C53">
        <v>-0.10076527111888001</v>
      </c>
      <c r="D53">
        <v>0.86738283344872003</v>
      </c>
      <c r="E53">
        <v>-0.10784899560779999</v>
      </c>
      <c r="G53">
        <v>8.9649656986192996E-2</v>
      </c>
      <c r="H53">
        <v>-0.11583184468271</v>
      </c>
      <c r="I53">
        <v>2.4351568720165001E-2</v>
      </c>
      <c r="J53">
        <v>-0.16577075871086999</v>
      </c>
    </row>
    <row r="54" spans="1:10" x14ac:dyDescent="0.35">
      <c r="A54">
        <v>51</v>
      </c>
      <c r="B54">
        <v>-0.14521152574474999</v>
      </c>
      <c r="C54">
        <v>-9.7067191863330002E-2</v>
      </c>
      <c r="D54">
        <v>0.85478130529999996</v>
      </c>
      <c r="E54">
        <v>-0.10429897022692</v>
      </c>
      <c r="G54">
        <v>8.6502497708873999E-2</v>
      </c>
      <c r="H54">
        <v>-0.12687956606492001</v>
      </c>
      <c r="I54">
        <v>1.4983739984654E-2</v>
      </c>
      <c r="J54">
        <v>-0.17465226232643999</v>
      </c>
    </row>
    <row r="55" spans="1:10" x14ac:dyDescent="0.35">
      <c r="A55">
        <v>52</v>
      </c>
      <c r="B55">
        <v>-0.1579986312777</v>
      </c>
      <c r="C55">
        <v>-9.1530049151458001E-2</v>
      </c>
      <c r="D55">
        <v>0.84199261201122</v>
      </c>
      <c r="E55">
        <v>-9.8912649742157993E-2</v>
      </c>
      <c r="G55">
        <v>8.1747915127490994E-2</v>
      </c>
      <c r="H55">
        <v>-0.13809916993325</v>
      </c>
      <c r="I55">
        <v>3.9626521572319997E-3</v>
      </c>
      <c r="J55">
        <v>-0.18276992066046999</v>
      </c>
    </row>
    <row r="56" spans="1:10" x14ac:dyDescent="0.35">
      <c r="A56">
        <v>53</v>
      </c>
      <c r="B56">
        <v>-0.17060038719126</v>
      </c>
      <c r="C56">
        <v>-8.3997401178714001E-2</v>
      </c>
      <c r="D56">
        <v>0.82938794132587002</v>
      </c>
      <c r="E56">
        <v>-9.1535712862405E-2</v>
      </c>
      <c r="G56">
        <v>7.5249694754304999E-2</v>
      </c>
      <c r="H56">
        <v>-0.1491695760799</v>
      </c>
      <c r="I56">
        <v>-8.6563559263242006E-3</v>
      </c>
      <c r="J56">
        <v>-0.18972803572902999</v>
      </c>
    </row>
    <row r="57" spans="1:10" x14ac:dyDescent="0.35">
      <c r="A57">
        <v>54</v>
      </c>
      <c r="B57">
        <v>-0.18257450660811</v>
      </c>
      <c r="C57">
        <v>-7.4410362489626E-2</v>
      </c>
      <c r="D57">
        <v>0.81741013839136001</v>
      </c>
      <c r="E57">
        <v>-8.2107738528622007E-2</v>
      </c>
      <c r="G57">
        <v>6.6952194598544998E-2</v>
      </c>
      <c r="H57">
        <v>-0.15970132074103999</v>
      </c>
      <c r="I57">
        <v>-2.2701403762858001E-2</v>
      </c>
      <c r="J57">
        <v>-0.19512182499788</v>
      </c>
    </row>
    <row r="58" spans="1:10" x14ac:dyDescent="0.35">
      <c r="A58">
        <v>55</v>
      </c>
      <c r="B58">
        <v>-0.19344027897320001</v>
      </c>
      <c r="C58">
        <v>-6.2839851123084003E-2</v>
      </c>
      <c r="D58">
        <v>0.80654116549960997</v>
      </c>
      <c r="E58">
        <v>-7.0700922376222997E-2</v>
      </c>
      <c r="G58">
        <v>5.6915160943808003E-2</v>
      </c>
      <c r="H58">
        <v>-0.16927291640509001</v>
      </c>
      <c r="I58">
        <v>-3.7870006566133999E-2</v>
      </c>
      <c r="J58">
        <v>-0.19857863328577</v>
      </c>
    </row>
    <row r="59" spans="1:10" x14ac:dyDescent="0.35">
      <c r="A59">
        <v>56</v>
      </c>
      <c r="B59">
        <v>-0.20272754512756</v>
      </c>
      <c r="C59">
        <v>-4.9504987793658001E-2</v>
      </c>
      <c r="D59">
        <v>0.79724939250516003</v>
      </c>
      <c r="E59">
        <v>-5.7533314988767001E-2</v>
      </c>
      <c r="G59">
        <v>4.532893346545E-2</v>
      </c>
      <c r="H59">
        <v>-0.17747619700003001</v>
      </c>
      <c r="I59">
        <v>-5.3740516822611002E-2</v>
      </c>
      <c r="J59">
        <v>-0.19981021218232001</v>
      </c>
    </row>
    <row r="60" spans="1:10" x14ac:dyDescent="0.35">
      <c r="A60">
        <v>57</v>
      </c>
      <c r="B60">
        <v>-0.21003279603835001</v>
      </c>
      <c r="C60">
        <v>-3.4769169201615997E-2</v>
      </c>
      <c r="D60">
        <v>0.78993892112830999</v>
      </c>
      <c r="E60">
        <v>-4.2964939107929999E-2</v>
      </c>
      <c r="G60">
        <v>3.2507337572418998E-2</v>
      </c>
      <c r="H60">
        <v>-0.18395075272665001</v>
      </c>
      <c r="I60">
        <v>-6.9802077635286994E-2</v>
      </c>
      <c r="J60">
        <v>-0.19865675008851</v>
      </c>
    </row>
    <row r="61" spans="1:10" x14ac:dyDescent="0.35">
      <c r="A61">
        <v>58</v>
      </c>
      <c r="B61">
        <v>-0.21507234818205001</v>
      </c>
      <c r="C61">
        <v>-1.911100647853E-2</v>
      </c>
      <c r="D61">
        <v>0.78489132100016001</v>
      </c>
      <c r="E61">
        <v>-2.7481806964802E-2</v>
      </c>
      <c r="G61">
        <v>1.8868925237232E-2</v>
      </c>
      <c r="H61">
        <v>-0.18845216268286</v>
      </c>
      <c r="I61">
        <v>-8.5504839352454995E-2</v>
      </c>
      <c r="J61">
        <v>-0.19511783880561001</v>
      </c>
    </row>
    <row r="62" spans="1:10" x14ac:dyDescent="0.35">
      <c r="A62">
        <v>59</v>
      </c>
      <c r="B62">
        <v>-0.21771915373275999</v>
      </c>
      <c r="C62">
        <v>-3.0721945212387001E-3</v>
      </c>
      <c r="D62">
        <v>0.78223914004785</v>
      </c>
      <c r="E62">
        <v>-1.1617972834486E-2</v>
      </c>
      <c r="G62">
        <v>4.8859612954588998E-3</v>
      </c>
      <c r="H62">
        <v>-0.19085704689176999</v>
      </c>
      <c r="I62">
        <v>-0.10032641065186</v>
      </c>
      <c r="J62">
        <v>-0.18935793565923001</v>
      </c>
    </row>
    <row r="63" spans="1:10" x14ac:dyDescent="0.35">
      <c r="A63">
        <v>60</v>
      </c>
      <c r="B63">
        <v>-0.21801262036023</v>
      </c>
      <c r="C63">
        <v>1.2803708370147E-2</v>
      </c>
      <c r="D63">
        <v>0.78194004890019997</v>
      </c>
      <c r="E63">
        <v>4.0802650359638998E-3</v>
      </c>
      <c r="G63">
        <v>-8.9650467743953993E-3</v>
      </c>
      <c r="H63">
        <v>-0.19120341948683001</v>
      </c>
      <c r="I63">
        <v>-0.11382483566124001</v>
      </c>
      <c r="J63">
        <v>-0.18168359253013999</v>
      </c>
    </row>
    <row r="64" spans="1:10" x14ac:dyDescent="0.35">
      <c r="A64">
        <v>61</v>
      </c>
      <c r="B64">
        <v>-0.21614170340722</v>
      </c>
      <c r="C64">
        <v>2.8030593716589999E-2</v>
      </c>
      <c r="D64">
        <v>0.78380654176817999</v>
      </c>
      <c r="E64">
        <v>1.9128152765937E-2</v>
      </c>
      <c r="G64">
        <v>-2.2257759825804E-2</v>
      </c>
      <c r="H64">
        <v>-0.18965326705168001</v>
      </c>
      <c r="I64">
        <v>-0.12568259158039</v>
      </c>
      <c r="J64">
        <v>-0.17249920061022</v>
      </c>
    </row>
    <row r="65" spans="1:10" x14ac:dyDescent="0.35">
      <c r="A65">
        <v>62</v>
      </c>
      <c r="B65">
        <v>-0.21240663848749</v>
      </c>
      <c r="C65">
        <v>4.2221105177282003E-2</v>
      </c>
      <c r="D65">
        <v>0.78753472764816002</v>
      </c>
      <c r="E65">
        <v>3.3136573079857998E-2</v>
      </c>
      <c r="G65">
        <v>-3.4652360295661003E-2</v>
      </c>
      <c r="H65">
        <v>-0.18646827419673001</v>
      </c>
      <c r="I65">
        <v>-0.13572123725608001</v>
      </c>
      <c r="J65">
        <v>-0.16225441418118</v>
      </c>
    </row>
    <row r="66" spans="1:10" x14ac:dyDescent="0.35">
      <c r="A66">
        <v>63</v>
      </c>
      <c r="B66">
        <v>-0.20717116603857</v>
      </c>
      <c r="C66">
        <v>5.5109058635900002E-2</v>
      </c>
      <c r="D66">
        <v>0.79276421728449997</v>
      </c>
      <c r="E66">
        <v>4.5835123351387001E-2</v>
      </c>
      <c r="G66">
        <v>-4.5913585776666002E-2</v>
      </c>
      <c r="H66">
        <v>-0.18196324205808001</v>
      </c>
      <c r="I66">
        <v>-0.14389710129550001</v>
      </c>
      <c r="J66">
        <v>-0.15139149085833001</v>
      </c>
    </row>
    <row r="67" spans="1:10" x14ac:dyDescent="0.35">
      <c r="A67">
        <v>64</v>
      </c>
      <c r="B67">
        <v>-6.7834974986562005E-2</v>
      </c>
      <c r="C67">
        <v>-0.10004896312228</v>
      </c>
      <c r="D67">
        <v>0.93217055340649002</v>
      </c>
      <c r="E67">
        <v>-0.10648648692469</v>
      </c>
      <c r="G67">
        <v>8.5413001293078994E-2</v>
      </c>
      <c r="H67">
        <v>-5.7164184187014001E-2</v>
      </c>
      <c r="I67">
        <v>5.3729160061688E-2</v>
      </c>
      <c r="J67">
        <v>-0.1061831918675</v>
      </c>
    </row>
    <row r="68" spans="1:10" x14ac:dyDescent="0.35">
      <c r="A68">
        <v>65</v>
      </c>
      <c r="B68">
        <v>-7.5400509468081994E-2</v>
      </c>
      <c r="C68">
        <v>-0.10306207369291</v>
      </c>
      <c r="D68">
        <v>0.92460191759059995</v>
      </c>
      <c r="E68">
        <v>-0.10963399523726999</v>
      </c>
      <c r="G68">
        <v>8.795811953563E-2</v>
      </c>
      <c r="H68">
        <v>-6.3513600061370995E-2</v>
      </c>
      <c r="I68">
        <v>5.2627311322241001E-2</v>
      </c>
      <c r="J68">
        <v>-0.11387963748351999</v>
      </c>
    </row>
    <row r="69" spans="1:10" x14ac:dyDescent="0.35">
      <c r="A69">
        <v>66</v>
      </c>
      <c r="B69">
        <v>-8.3825622230274996E-2</v>
      </c>
      <c r="C69">
        <v>-0.10570913974689999</v>
      </c>
      <c r="D69">
        <v>0.91617662932015997</v>
      </c>
      <c r="E69">
        <v>-0.11241929664153</v>
      </c>
      <c r="G69">
        <v>9.0255032550962996E-2</v>
      </c>
      <c r="H69">
        <v>-7.0626553113683002E-2</v>
      </c>
      <c r="I69">
        <v>5.0807462390264999E-2</v>
      </c>
      <c r="J69">
        <v>-0.12210186185784</v>
      </c>
    </row>
    <row r="70" spans="1:10" x14ac:dyDescent="0.35">
      <c r="A70">
        <v>67</v>
      </c>
      <c r="B70">
        <v>-9.3130985135827002E-2</v>
      </c>
      <c r="C70">
        <v>-0.10783702924598999</v>
      </c>
      <c r="D70">
        <v>0.90687051508857996</v>
      </c>
      <c r="E70">
        <v>-0.11468902846485</v>
      </c>
      <c r="G70">
        <v>9.2122139131619998E-2</v>
      </c>
      <c r="H70">
        <v>-7.8488905589370994E-2</v>
      </c>
      <c r="I70">
        <v>4.8138576755978997E-2</v>
      </c>
      <c r="J70">
        <v>-0.13079582976793</v>
      </c>
    </row>
    <row r="71" spans="1:10" x14ac:dyDescent="0.35">
      <c r="A71">
        <v>68</v>
      </c>
      <c r="B71">
        <v>-0.10333577798753001</v>
      </c>
      <c r="C71">
        <v>-0.10926383253292</v>
      </c>
      <c r="D71">
        <v>0.89666480883727995</v>
      </c>
      <c r="E71">
        <v>-0.11626130624912</v>
      </c>
      <c r="G71">
        <v>9.3402862572008E-2</v>
      </c>
      <c r="H71">
        <v>-8.7115649976348006E-2</v>
      </c>
      <c r="I71">
        <v>4.4462313011448998E-2</v>
      </c>
      <c r="J71">
        <v>-0.13988860628985</v>
      </c>
    </row>
    <row r="72" spans="1:10" x14ac:dyDescent="0.35">
      <c r="A72">
        <v>69</v>
      </c>
      <c r="B72">
        <v>-0.11442677658194</v>
      </c>
      <c r="C72">
        <v>-0.10977893589498</v>
      </c>
      <c r="D72">
        <v>0.88557120492758001</v>
      </c>
      <c r="E72">
        <v>-0.11692650422252</v>
      </c>
      <c r="G72">
        <v>9.3918267465790004E-2</v>
      </c>
      <c r="H72">
        <v>-9.6496166744621997E-2</v>
      </c>
      <c r="I72">
        <v>3.9613107329789003E-2</v>
      </c>
      <c r="J72">
        <v>-0.14926718328930999</v>
      </c>
    </row>
    <row r="73" spans="1:10" x14ac:dyDescent="0.35">
      <c r="A73">
        <v>70</v>
      </c>
      <c r="B73">
        <v>-0.12634550341028</v>
      </c>
      <c r="C73">
        <v>-0.10914604424665</v>
      </c>
      <c r="D73">
        <v>0.87365127125288999</v>
      </c>
      <c r="E73">
        <v>-0.11644672618109</v>
      </c>
      <c r="G73">
        <v>9.3468754888605995E-2</v>
      </c>
      <c r="H73">
        <v>-0.10658219221125</v>
      </c>
      <c r="I73">
        <v>3.3424129830906001E-2</v>
      </c>
      <c r="J73">
        <v>-0.15876889963567001</v>
      </c>
    </row>
    <row r="74" spans="1:10" x14ac:dyDescent="0.35">
      <c r="A74">
        <v>71</v>
      </c>
      <c r="B74">
        <v>-0.13896956494250001</v>
      </c>
      <c r="C74">
        <v>-0.10711317967634</v>
      </c>
      <c r="D74">
        <v>0.86102705360276</v>
      </c>
      <c r="E74">
        <v>-0.11456678193559</v>
      </c>
      <c r="G74">
        <v>9.1841155700076005E-2</v>
      </c>
      <c r="H74">
        <v>-0.11727229550276</v>
      </c>
      <c r="I74">
        <v>2.5748678348088999E-2</v>
      </c>
      <c r="J74">
        <v>-0.16817129799326</v>
      </c>
    </row>
    <row r="75" spans="1:10" x14ac:dyDescent="0.35">
      <c r="A75">
        <v>72</v>
      </c>
      <c r="B75">
        <v>-0.15210011190589001</v>
      </c>
      <c r="C75">
        <v>-0.10343046603257</v>
      </c>
      <c r="D75">
        <v>0.84789191916204998</v>
      </c>
      <c r="E75">
        <v>-0.11104207646104999</v>
      </c>
      <c r="G75">
        <v>8.8823205493811994E-2</v>
      </c>
      <c r="H75">
        <v>-0.12839994082848999</v>
      </c>
      <c r="I75">
        <v>1.6479331335051001E-2</v>
      </c>
      <c r="J75">
        <v>-0.17719101707462001</v>
      </c>
    </row>
    <row r="76" spans="1:10" x14ac:dyDescent="0.35">
      <c r="A76">
        <v>73</v>
      </c>
      <c r="B76">
        <v>-0.16545282107181</v>
      </c>
      <c r="C76">
        <v>-9.7873214378982998E-2</v>
      </c>
      <c r="D76">
        <v>0.83453646855818997</v>
      </c>
      <c r="E76">
        <v>-0.10564772554548001</v>
      </c>
      <c r="G76">
        <v>8.4223039035779004E-2</v>
      </c>
      <c r="H76">
        <v>-0.13972556916776999</v>
      </c>
      <c r="I76">
        <v>5.5688164509967997E-3</v>
      </c>
      <c r="J76">
        <v>-0.18548516488465999</v>
      </c>
    </row>
    <row r="77" spans="1:10" x14ac:dyDescent="0.35">
      <c r="A77">
        <v>74</v>
      </c>
      <c r="B77">
        <v>-0.17865697121735999</v>
      </c>
      <c r="C77">
        <v>-9.0276834409564993E-2</v>
      </c>
      <c r="D77">
        <v>0.82132706521940002</v>
      </c>
      <c r="E77">
        <v>-9.8219693139978997E-2</v>
      </c>
      <c r="G77">
        <v>7.7899802233880003E-2</v>
      </c>
      <c r="H77">
        <v>-0.15093724743140999</v>
      </c>
      <c r="I77">
        <v>-6.9369214186265002E-3</v>
      </c>
      <c r="J77">
        <v>-0.19267082204739999</v>
      </c>
    </row>
    <row r="78" spans="1:10" x14ac:dyDescent="0.35">
      <c r="A78">
        <v>75</v>
      </c>
      <c r="B78">
        <v>-0.19127068493117</v>
      </c>
      <c r="C78">
        <v>-8.0570959796293001E-2</v>
      </c>
      <c r="D78">
        <v>0.80870973192140005</v>
      </c>
      <c r="E78">
        <v>-8.868449453775E-2</v>
      </c>
      <c r="G78">
        <v>6.9791342468788001E-2</v>
      </c>
      <c r="H78">
        <v>-0.16166117187479001</v>
      </c>
      <c r="I78">
        <v>-2.0882927045857001E-2</v>
      </c>
      <c r="J78">
        <v>-0.19835193282981001</v>
      </c>
    </row>
    <row r="79" spans="1:10" x14ac:dyDescent="0.35">
      <c r="A79">
        <v>76</v>
      </c>
      <c r="B79">
        <v>-0.20280942469482999</v>
      </c>
      <c r="C79">
        <v>-6.8812442840880006E-2</v>
      </c>
      <c r="D79">
        <v>0.79716690411878</v>
      </c>
      <c r="E79">
        <v>-7.7100137413197004E-2</v>
      </c>
      <c r="G79">
        <v>5.9943287777694997E-2</v>
      </c>
      <c r="H79">
        <v>-0.17148793629167</v>
      </c>
      <c r="I79">
        <v>-3.5987203436314001E-2</v>
      </c>
      <c r="J79">
        <v>-0.20215914351052</v>
      </c>
    </row>
    <row r="80" spans="1:10" x14ac:dyDescent="0.35">
      <c r="A80">
        <v>77</v>
      </c>
      <c r="B80">
        <v>-0.21279332425639999</v>
      </c>
      <c r="C80">
        <v>-5.5205041365314997E-2</v>
      </c>
      <c r="D80">
        <v>0.78717589114898001</v>
      </c>
      <c r="E80">
        <v>-6.3672982939933995E-2</v>
      </c>
      <c r="G80">
        <v>4.8525183125097002E-2</v>
      </c>
      <c r="H80">
        <v>-0.18001098498264001</v>
      </c>
      <c r="I80">
        <v>-5.1850177558019003E-2</v>
      </c>
      <c r="J80">
        <v>-0.20379842187045999</v>
      </c>
    </row>
    <row r="81" spans="1:10" x14ac:dyDescent="0.35">
      <c r="A81">
        <v>78</v>
      </c>
      <c r="B81">
        <v>-0.22080279773354</v>
      </c>
      <c r="C81">
        <v>-4.0097396109163998E-2</v>
      </c>
      <c r="D81">
        <v>0.77916068974490005</v>
      </c>
      <c r="E81">
        <v>-4.8747017038220999E-2</v>
      </c>
      <c r="G81">
        <v>3.5829594093247999E-2</v>
      </c>
      <c r="H81">
        <v>-0.18687403208893999</v>
      </c>
      <c r="I81">
        <v>-6.7983260304507007E-2</v>
      </c>
      <c r="J81">
        <v>-0.20309429622961001</v>
      </c>
    </row>
    <row r="82" spans="1:10" x14ac:dyDescent="0.35">
      <c r="A82">
        <v>79</v>
      </c>
      <c r="B82">
        <v>-0.22653109969335999</v>
      </c>
      <c r="C82">
        <v>-2.3958119113163999E-2</v>
      </c>
      <c r="D82">
        <v>0.77343174787628999</v>
      </c>
      <c r="E82">
        <v>-3.2790297440136999E-2</v>
      </c>
      <c r="G82">
        <v>2.2250649495124002E-2</v>
      </c>
      <c r="H82">
        <v>-0.19181370444825999</v>
      </c>
      <c r="I82">
        <v>-8.3854193153825002E-2</v>
      </c>
      <c r="J82">
        <v>-0.20002184976498999</v>
      </c>
    </row>
    <row r="83" spans="1:10" x14ac:dyDescent="0.35">
      <c r="A83">
        <v>80</v>
      </c>
      <c r="B83">
        <v>-0.22982338237319</v>
      </c>
      <c r="C83">
        <v>-7.3286902216917003E-3</v>
      </c>
      <c r="D83">
        <v>0.77013479966526999</v>
      </c>
      <c r="E83">
        <v>-1.6348932839812001E-2</v>
      </c>
      <c r="G83">
        <v>8.2452739867800006E-3</v>
      </c>
      <c r="H83">
        <v>-0.19469600277516</v>
      </c>
      <c r="I83">
        <v>-9.8943768341458002E-2</v>
      </c>
      <c r="J83">
        <v>-0.19471814856024</v>
      </c>
    </row>
    <row r="84" spans="1:10" x14ac:dyDescent="0.35">
      <c r="A84">
        <v>81</v>
      </c>
      <c r="B84">
        <v>-0.23069085667483999</v>
      </c>
      <c r="C84">
        <v>9.2390988693296008E-3</v>
      </c>
      <c r="D84">
        <v>0.76926174560754002</v>
      </c>
      <c r="E84" s="4">
        <v>2.7546007860757001E-5</v>
      </c>
      <c r="G84">
        <v>-5.7198336619429004E-3</v>
      </c>
      <c r="H84">
        <v>-0.19552803746215999</v>
      </c>
      <c r="I84">
        <v>-0.11280565526727999</v>
      </c>
      <c r="J84">
        <v>-0.18745933273761001</v>
      </c>
    </row>
    <row r="85" spans="1:10" x14ac:dyDescent="0.35">
      <c r="A85">
        <v>82</v>
      </c>
      <c r="B85">
        <v>-0.22929769976305001</v>
      </c>
      <c r="C85">
        <v>2.5240693473923999E-2</v>
      </c>
      <c r="D85">
        <v>0.77064773021095001</v>
      </c>
      <c r="E85">
        <v>1.5838501580961999E-2</v>
      </c>
      <c r="G85">
        <v>-1.9217151955551001E-2</v>
      </c>
      <c r="H85">
        <v>-0.19444593212483999</v>
      </c>
      <c r="I85">
        <v>-0.12510659813749</v>
      </c>
      <c r="J85">
        <v>-0.17862386742451999</v>
      </c>
    </row>
    <row r="86" spans="1:10" x14ac:dyDescent="0.35">
      <c r="A86">
        <v>83</v>
      </c>
      <c r="B86">
        <v>-0.22592663431699</v>
      </c>
      <c r="C86">
        <v>4.0263474491286998E-2</v>
      </c>
      <c r="D86">
        <v>0.77401346904040003</v>
      </c>
      <c r="E86">
        <v>3.0663472046298001E-2</v>
      </c>
      <c r="G86">
        <v>-3.1896309162845998E-2</v>
      </c>
      <c r="H86">
        <v>-0.19168670179882999</v>
      </c>
      <c r="I86">
        <v>-0.13564474821365999</v>
      </c>
      <c r="J86">
        <v>-0.16864282130269001</v>
      </c>
    </row>
    <row r="87" spans="1:10" x14ac:dyDescent="0.35">
      <c r="A87">
        <v>84</v>
      </c>
      <c r="B87">
        <v>-0.22093438729699</v>
      </c>
      <c r="C87">
        <v>5.4012962240813998E-2</v>
      </c>
      <c r="D87">
        <v>0.77900222284426002</v>
      </c>
      <c r="E87">
        <v>4.4214080265974003E-2</v>
      </c>
      <c r="G87">
        <v>-4.3505317534244997E-2</v>
      </c>
      <c r="H87">
        <v>-0.18754584482041001</v>
      </c>
      <c r="I87">
        <v>-0.14435285107061999</v>
      </c>
      <c r="J87">
        <v>-0.15795126259058001</v>
      </c>
    </row>
    <row r="88" spans="1:10" x14ac:dyDescent="0.35">
      <c r="A88">
        <v>85</v>
      </c>
      <c r="B88">
        <v>-7.0970118311390995E-2</v>
      </c>
      <c r="C88">
        <v>-0.10540567492473001</v>
      </c>
      <c r="D88">
        <v>0.92901074234804004</v>
      </c>
      <c r="E88">
        <v>-0.11210970695212</v>
      </c>
      <c r="G88">
        <v>8.6562662262278003E-2</v>
      </c>
      <c r="H88">
        <v>-5.7669196776208999E-2</v>
      </c>
      <c r="I88">
        <v>5.4715299304876001E-2</v>
      </c>
      <c r="J88">
        <v>-0.10755719939074999</v>
      </c>
    </row>
    <row r="89" spans="1:10" x14ac:dyDescent="0.35">
      <c r="A89">
        <v>86</v>
      </c>
      <c r="B89">
        <v>-7.8896985427149999E-2</v>
      </c>
      <c r="C89">
        <v>-0.10859727384426</v>
      </c>
      <c r="D89">
        <v>0.92108393540987998</v>
      </c>
      <c r="E89">
        <v>-0.11544902245329999</v>
      </c>
      <c r="G89">
        <v>8.9156480277593E-2</v>
      </c>
      <c r="H89">
        <v>-6.4078003409914E-2</v>
      </c>
      <c r="I89">
        <v>5.3635225526836999E-2</v>
      </c>
      <c r="J89">
        <v>-0.1153587289029</v>
      </c>
    </row>
    <row r="90" spans="1:10" x14ac:dyDescent="0.35">
      <c r="A90">
        <v>87</v>
      </c>
      <c r="B90">
        <v>-8.7689859922145993E-2</v>
      </c>
      <c r="C90">
        <v>-0.11139778538181</v>
      </c>
      <c r="D90">
        <v>0.91229040860572996</v>
      </c>
      <c r="E90">
        <v>-0.11839820473415</v>
      </c>
      <c r="G90">
        <v>9.1504517806488994E-2</v>
      </c>
      <c r="H90">
        <v>-7.1238935933300995E-2</v>
      </c>
      <c r="I90">
        <v>5.1835090843352999E-2</v>
      </c>
      <c r="J90">
        <v>-0.1236720775131</v>
      </c>
    </row>
    <row r="91" spans="1:10" x14ac:dyDescent="0.35">
      <c r="A91">
        <v>88</v>
      </c>
      <c r="B91">
        <v>-9.7394161701781001E-2</v>
      </c>
      <c r="C91">
        <v>-0.11366251619577999</v>
      </c>
      <c r="D91">
        <v>0.90258552632892997</v>
      </c>
      <c r="E91">
        <v>-0.12081493917217</v>
      </c>
      <c r="G91">
        <v>9.3424025361072999E-2</v>
      </c>
      <c r="H91">
        <v>-7.9147315523539E-2</v>
      </c>
      <c r="I91">
        <v>4.9187246665395E-2</v>
      </c>
      <c r="J91">
        <v>-0.13245882731419001</v>
      </c>
    </row>
    <row r="92" spans="1:10" x14ac:dyDescent="0.35">
      <c r="A92">
        <v>89</v>
      </c>
      <c r="B92">
        <v>-0.10803355818649001</v>
      </c>
      <c r="C92">
        <v>-0.1152061894967</v>
      </c>
      <c r="D92">
        <v>0.89194708616338003</v>
      </c>
      <c r="E92">
        <v>-0.12251587785368</v>
      </c>
      <c r="G92">
        <v>9.4763086980373001E-2</v>
      </c>
      <c r="H92">
        <v>-8.7823229893380997E-2</v>
      </c>
      <c r="I92">
        <v>4.5533959782535001E-2</v>
      </c>
      <c r="J92">
        <v>-0.14165042455867</v>
      </c>
    </row>
    <row r="93" spans="1:10" x14ac:dyDescent="0.35">
      <c r="A93">
        <v>90</v>
      </c>
      <c r="B93">
        <v>-0.11959861801788001</v>
      </c>
      <c r="C93">
        <v>-0.11581222149023</v>
      </c>
      <c r="D93">
        <v>0.88038128577885999</v>
      </c>
      <c r="E93">
        <v>-0.12328150308788</v>
      </c>
      <c r="G93">
        <v>9.5343940206312996E-2</v>
      </c>
      <c r="H93">
        <v>-9.7259217128202999E-2</v>
      </c>
      <c r="I93">
        <v>4.0707113106013999E-2</v>
      </c>
      <c r="J93">
        <v>-0.15113820719907001</v>
      </c>
    </row>
    <row r="94" spans="1:10" x14ac:dyDescent="0.35">
      <c r="A94">
        <v>91</v>
      </c>
      <c r="B94">
        <v>-0.13202952027272999</v>
      </c>
      <c r="C94">
        <v>-0.11523767479843</v>
      </c>
      <c r="D94">
        <v>0.86794953345963999</v>
      </c>
      <c r="E94">
        <v>-0.12287037222202001</v>
      </c>
      <c r="G94">
        <v>9.4968903940548993E-2</v>
      </c>
      <c r="H94">
        <v>-0.10740884851220001</v>
      </c>
      <c r="I94">
        <v>3.4542566631625998E-2</v>
      </c>
      <c r="J94">
        <v>-0.16076060079407001</v>
      </c>
    </row>
    <row r="95" spans="1:10" x14ac:dyDescent="0.35">
      <c r="A95">
        <v>92</v>
      </c>
      <c r="B95">
        <v>-0.14520335260459</v>
      </c>
      <c r="C95">
        <v>-0.11322278838709</v>
      </c>
      <c r="D95">
        <v>0.85477474827305999</v>
      </c>
      <c r="E95">
        <v>-0.12102269029309</v>
      </c>
      <c r="G95">
        <v>9.3424606899959003E-2</v>
      </c>
      <c r="H95">
        <v>-0.11817258901461</v>
      </c>
      <c r="I95">
        <v>2.6892075554700998E-2</v>
      </c>
      <c r="J95">
        <v>-0.17029857371922</v>
      </c>
    </row>
    <row r="96" spans="1:10" x14ac:dyDescent="0.35">
      <c r="A96">
        <v>93</v>
      </c>
      <c r="B96">
        <v>-0.15891918140257</v>
      </c>
      <c r="C96">
        <v>-0.10950835117718</v>
      </c>
      <c r="D96">
        <v>0.84105788058150999</v>
      </c>
      <c r="E96">
        <v>-0.11747923898404999</v>
      </c>
      <c r="G96">
        <v>9.0498996871269999E-2</v>
      </c>
      <c r="H96">
        <v>-0.12938868614884</v>
      </c>
      <c r="I96">
        <v>1.7644377802344E-2</v>
      </c>
      <c r="J96">
        <v>-0.17947161522336999</v>
      </c>
    </row>
    <row r="97" spans="1:10" x14ac:dyDescent="0.35">
      <c r="A97">
        <v>94</v>
      </c>
      <c r="B97">
        <v>-0.17288824144393999</v>
      </c>
      <c r="C97">
        <v>-0.10386103168654</v>
      </c>
      <c r="D97">
        <v>0.82708751770315003</v>
      </c>
      <c r="E97">
        <v>-0.1120049749615</v>
      </c>
      <c r="G97">
        <v>8.6000203919312998E-2</v>
      </c>
      <c r="H97">
        <v>-0.14082331041568999</v>
      </c>
      <c r="I97">
        <v>6.7499446802008999E-3</v>
      </c>
      <c r="J97">
        <v>-0.18794201960852</v>
      </c>
    </row>
    <row r="98" spans="1:10" x14ac:dyDescent="0.35">
      <c r="A98">
        <v>95</v>
      </c>
      <c r="B98">
        <v>-0.18673420580639999</v>
      </c>
      <c r="C98">
        <v>-9.6106846729480999E-2</v>
      </c>
      <c r="D98">
        <v>0.81323831940637004</v>
      </c>
      <c r="E98">
        <v>-0.10442633907185001</v>
      </c>
      <c r="G98">
        <v>7.9783336512783007E-2</v>
      </c>
      <c r="H98">
        <v>-0.15216935330716999</v>
      </c>
      <c r="I98">
        <v>-5.7533749258125997E-3</v>
      </c>
      <c r="J98">
        <v>-0.19533070336853001</v>
      </c>
    </row>
    <row r="99" spans="1:10" x14ac:dyDescent="0.35">
      <c r="A99">
        <v>96</v>
      </c>
      <c r="B99">
        <v>-0.20000400839332</v>
      </c>
      <c r="C99">
        <v>-8.6165756052363998E-2</v>
      </c>
      <c r="D99">
        <v>0.79996680986321</v>
      </c>
      <c r="E99">
        <v>-9.4667397520416002E-2</v>
      </c>
      <c r="G99">
        <v>7.1780975553648999E-2</v>
      </c>
      <c r="H99">
        <v>-0.16305833177098999</v>
      </c>
      <c r="I99">
        <v>-1.9716239161163999E-2</v>
      </c>
      <c r="J99">
        <v>-0.20124002675241001</v>
      </c>
    </row>
    <row r="100" spans="1:10" x14ac:dyDescent="0.35">
      <c r="A100">
        <v>97</v>
      </c>
      <c r="B100">
        <v>-0.21220102617252001</v>
      </c>
      <c r="C100">
        <v>-7.4086793107391996E-2</v>
      </c>
      <c r="D100">
        <v>0.78776613796938</v>
      </c>
      <c r="E100">
        <v>-8.2777092830030999E-2</v>
      </c>
      <c r="G100">
        <v>6.2030407149689E-2</v>
      </c>
      <c r="H100">
        <v>-0.17308525424016999</v>
      </c>
      <c r="I100">
        <v>-3.4867252392969998E-2</v>
      </c>
      <c r="J100">
        <v>-0.20530042748112001</v>
      </c>
    </row>
    <row r="101" spans="1:10" x14ac:dyDescent="0.35">
      <c r="A101">
        <v>98</v>
      </c>
      <c r="B101">
        <v>-0.22282960353035999</v>
      </c>
      <c r="C101">
        <v>-6.0067780792297999E-2</v>
      </c>
      <c r="D101">
        <v>0.77713496285330996</v>
      </c>
      <c r="E101">
        <v>-6.8948629568099995E-2</v>
      </c>
      <c r="G101">
        <v>5.0689825643875003E-2</v>
      </c>
      <c r="H101">
        <v>-0.18184466819865999</v>
      </c>
      <c r="I101">
        <v>-5.0818607172904998E-2</v>
      </c>
      <c r="J101">
        <v>-0.20721187396679999</v>
      </c>
    </row>
    <row r="102" spans="1:10" x14ac:dyDescent="0.35">
      <c r="A102">
        <v>99</v>
      </c>
      <c r="B102">
        <v>-0.23145088741433001</v>
      </c>
      <c r="C102">
        <v>-4.4456686082511E-2</v>
      </c>
      <c r="D102">
        <v>0.76851041835685996</v>
      </c>
      <c r="E102">
        <v>-5.3531439459353E-2</v>
      </c>
      <c r="G102">
        <v>3.8040307851969997E-2</v>
      </c>
      <c r="H102">
        <v>-0.18897568941878001</v>
      </c>
      <c r="I102">
        <v>-6.7089021161196E-2</v>
      </c>
      <c r="J102">
        <v>-0.20678972435623999</v>
      </c>
    </row>
    <row r="103" spans="1:10" x14ac:dyDescent="0.35">
      <c r="A103">
        <v>100</v>
      </c>
      <c r="B103">
        <v>-0.23773796055193</v>
      </c>
      <c r="C103">
        <v>-2.7726542125460999E-2</v>
      </c>
      <c r="D103">
        <v>0.76221985390146996</v>
      </c>
      <c r="E103">
        <v>-3.6998459341889001E-2</v>
      </c>
      <c r="G103">
        <v>2.4466062161070001E-2</v>
      </c>
      <c r="H103">
        <v>-0.19421027972169999</v>
      </c>
      <c r="I103">
        <v>-8.3150892223921996E-2</v>
      </c>
      <c r="J103">
        <v>-0.20399640530777</v>
      </c>
    </row>
    <row r="104" spans="1:10" x14ac:dyDescent="0.35">
      <c r="A104">
        <v>101</v>
      </c>
      <c r="B104">
        <v>-0.24151645709871999</v>
      </c>
      <c r="C104">
        <v>-1.0426278122598E-2</v>
      </c>
      <c r="D104">
        <v>0.75843791714774</v>
      </c>
      <c r="E104">
        <v>-1.9899729743858001E-2</v>
      </c>
      <c r="G104">
        <v>1.0413674080357E-2</v>
      </c>
      <c r="H104">
        <v>-0.19740126282317</v>
      </c>
      <c r="I104">
        <v>-9.8487839004404998E-2</v>
      </c>
      <c r="J104">
        <v>-0.19895064289820999</v>
      </c>
    </row>
    <row r="105" spans="1:10" x14ac:dyDescent="0.35">
      <c r="A105">
        <v>102</v>
      </c>
      <c r="B105">
        <v>-0.24278001308870001</v>
      </c>
      <c r="C105">
        <v>6.8829035153985998E-3</v>
      </c>
      <c r="D105">
        <v>0.75717123697336997</v>
      </c>
      <c r="E105">
        <v>-2.7935114372236E-3</v>
      </c>
      <c r="G105">
        <v>-3.6587705678014998E-3</v>
      </c>
      <c r="H105">
        <v>-0.19853143923460001</v>
      </c>
      <c r="I105">
        <v>-0.11265377202121001</v>
      </c>
      <c r="J105">
        <v>-0.19191109682436999</v>
      </c>
    </row>
    <row r="106" spans="1:10" x14ac:dyDescent="0.35">
      <c r="A106">
        <v>103</v>
      </c>
      <c r="B106">
        <v>-0.24166813945876001</v>
      </c>
      <c r="C106">
        <v>2.3722915920214999E-2</v>
      </c>
      <c r="D106">
        <v>0.75827765935836</v>
      </c>
      <c r="E106">
        <v>1.3839301060022E-2</v>
      </c>
      <c r="G106">
        <v>-1.7359172773356E-2</v>
      </c>
      <c r="H106">
        <v>-0.19770864771718999</v>
      </c>
      <c r="I106">
        <v>-0.12533455745951999</v>
      </c>
      <c r="J106">
        <v>-0.18321071761120999</v>
      </c>
    </row>
    <row r="107" spans="1:10" x14ac:dyDescent="0.35">
      <c r="A107">
        <v>104</v>
      </c>
      <c r="B107">
        <v>-0.23847420899635</v>
      </c>
      <c r="C107">
        <v>3.9541594516268E-2</v>
      </c>
      <c r="D107">
        <v>0.76146859019473001</v>
      </c>
      <c r="E107">
        <v>2.9445801107196998E-2</v>
      </c>
      <c r="G107">
        <v>-3.0235552412462001E-2</v>
      </c>
      <c r="H107">
        <v>-0.19519471145490999</v>
      </c>
      <c r="I107">
        <v>-0.13622717557481001</v>
      </c>
      <c r="J107">
        <v>-0.17333794386307</v>
      </c>
    </row>
    <row r="108" spans="1:10" x14ac:dyDescent="0.35">
      <c r="A108">
        <v>105</v>
      </c>
      <c r="B108">
        <v>-0.23356115709815001</v>
      </c>
      <c r="C108">
        <v>5.4067654750977003E-2</v>
      </c>
      <c r="D108">
        <v>0.76637885351777002</v>
      </c>
      <c r="E108">
        <v>4.3755847276250003E-2</v>
      </c>
      <c r="G108">
        <v>-4.2064715142185002E-2</v>
      </c>
      <c r="H108">
        <v>-0.19127173860961999</v>
      </c>
      <c r="I108">
        <v>-0.14529003042404001</v>
      </c>
      <c r="J108">
        <v>-0.16271035405559001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V564"/>
  <sheetViews>
    <sheetView tabSelected="1" zoomScale="60" zoomScaleNormal="70" workbookViewId="0">
      <selection activeCell="AR75" sqref="AR75"/>
    </sheetView>
  </sheetViews>
  <sheetFormatPr defaultRowHeight="14.5" x14ac:dyDescent="0.35"/>
  <cols>
    <col min="2" max="2" width="9.1796875" style="5"/>
    <col min="3" max="14" width="9.1796875" customWidth="1"/>
    <col min="15" max="16" width="10.81640625" customWidth="1"/>
    <col min="17" max="18" width="11.1796875" customWidth="1"/>
    <col min="20" max="20" width="10.453125" customWidth="1"/>
    <col min="21" max="22" width="9.81640625" hidden="1" customWidth="1"/>
    <col min="39" max="39" width="9.90625" customWidth="1"/>
    <col min="40" max="40" width="10.90625" customWidth="1"/>
  </cols>
  <sheetData>
    <row r="1" spans="1:22" ht="28" customHeight="1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27</v>
      </c>
      <c r="L1" s="6" t="s">
        <v>28</v>
      </c>
      <c r="M1" s="6" t="s">
        <v>29</v>
      </c>
      <c r="N1" s="6" t="s">
        <v>30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31</v>
      </c>
      <c r="V1" s="8" t="s">
        <v>32</v>
      </c>
    </row>
    <row r="2" spans="1:22" x14ac:dyDescent="0.35">
      <c r="A2">
        <v>0.6</v>
      </c>
      <c r="B2" s="9">
        <v>15</v>
      </c>
      <c r="C2">
        <v>-1.4676396E-3</v>
      </c>
      <c r="D2">
        <v>1.9170632E-3</v>
      </c>
      <c r="E2">
        <v>0.99887386</v>
      </c>
      <c r="F2">
        <v>4.8834512000000001E-4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206.77541024590101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192.22262693606601</v>
      </c>
      <c r="I2">
        <f t="shared" ref="I2" si="2">IMREAL(IMDIV(IMPRODUCT(COMPLEX(2,0),COMPLEX(E2,F2)),IMSUB(IMPRODUCT(COMPLEX(1 - C2, - D2),COMPLEX(1 - C2, - D2)),IMPRODUCT(COMPLEX(E2,F2),COMPLEX(E2,F2)))))</f>
        <v>206.77558147659701</v>
      </c>
      <c r="J2">
        <f t="shared" ref="J2" si="3">IMAGINARY(IMDIV(IMPRODUCT(COMPLEX(2,0),COMPLEX(E2,F2)),IMSUB(IMPRODUCT(COMPLEX(1 - C2, - D2),COMPLEX(1 - C2, - D2)),IMPRODUCT(COMPLEX(E2,F2),COMPLEX(E2,F2)))))</f>
        <v>192.22191282128199</v>
      </c>
      <c r="K2" s="7">
        <f>IMREAL(IMSUB(COMPLEX(G2,H2),COMPLEX(I2,J2)))</f>
        <v>-1.7123069599733799E-4</v>
      </c>
      <c r="L2" s="7">
        <f>IMAGINARY(IMSUB(COMPLEX(G2,H2),COMPLEX(I2,J2)))</f>
        <v>7.1411478401728302E-4</v>
      </c>
      <c r="M2" s="7">
        <f t="shared" ref="M2" si="4">IMREAL(IMDIV(IMSUB(IMPRODUCT(COMPLEX(1 - C2, - D2),COMPLEX(1 - C2, - D2)),IMPRODUCT(COMPLEX(E2,F2),COMPLEX(E2,F2))),IMPRODUCT(COMPLEX(2,0),COMPLEX(E2,F2))))</f>
        <v>2.5942479287358699E-3</v>
      </c>
      <c r="N2" s="7">
        <f t="shared" ref="N2" si="5">IMAGINARY(IMDIV(IMSUB(IMPRODUCT(COMPLEX(1 - C2, - D2),COMPLEX(1 - C2, - D2)),IMPRODUCT(COMPLEX(E2,F2),COMPLEX(E2,F2))),IMPRODUCT(COMPLEX(2,0),COMPLEX(E2,F2))))</f>
        <v>-2.4116546820142598E-3</v>
      </c>
      <c r="O2">
        <v>1.6156024</v>
      </c>
      <c r="P2">
        <v>-0.87314649</v>
      </c>
      <c r="Q2">
        <v>1.1026838000000001</v>
      </c>
      <c r="R2">
        <v>-1.4009628999999999</v>
      </c>
      <c r="S2">
        <f>IMABS(COMPLEX(Q2,R2))/IMABS(COMPLEX(O2,P2))</f>
        <v>0.97082052327925061</v>
      </c>
      <c r="T2">
        <f>IMARGUMENT(IMDIV(COMPLEX(Q2,R2),COMPLEX(O2/B2,P2/B2)))/PI()*180</f>
        <v>-23.405227725349611</v>
      </c>
      <c r="U2" s="8"/>
      <c r="V2" s="8"/>
    </row>
    <row r="3" spans="1:22" x14ac:dyDescent="0.35">
      <c r="A3">
        <v>0.6</v>
      </c>
      <c r="B3" s="9">
        <v>15.5</v>
      </c>
      <c r="C3">
        <v>-3.1029393E-3</v>
      </c>
      <c r="D3">
        <v>1.2259928E-3</v>
      </c>
      <c r="E3">
        <v>0.99689351000000004</v>
      </c>
      <c r="F3">
        <v>-2.1182233E-4</v>
      </c>
      <c r="G3">
        <f t="shared" ref="G3:G66" si="6">IMREAL(IMDIV(IMSUM(IMPRODUCT(COMPLEX(1 + C3,D3),COMPLEX(1 - C3, - D3)),IMPRODUCT(COMPLEX(E3,F3),COMPLEX(E3,F3))),IMSUB(IMPRODUCT(COMPLEX(1 - C3, - D3),COMPLEX(1 - C3, - D3)),IMPRODUCT(COMPLEX(E3,F3),COMPLEX(E3,F3)))))</f>
        <v>156.36099350795601</v>
      </c>
      <c r="H3">
        <f t="shared" ref="H3:H66" si="7">IMAGINARY(IMDIV(IMSUM(IMPRODUCT(COMPLEX(1 + C3,D3),COMPLEX(1 - C3, - D3)),IMPRODUCT(COMPLEX(E3,F3),COMPLEX(E3,F3))),IMSUB(IMPRODUCT(COMPLEX(1 - C3, - D3),COMPLEX(1 - C3, - D3)),IMPRODUCT(COMPLEX(E3,F3),COMPLEX(E3,F3)))))</f>
        <v>25.620070894780401</v>
      </c>
      <c r="I3">
        <f t="shared" ref="I3:I66" si="8">IMREAL(IMDIV(IMPRODUCT(COMPLEX(2,0),COMPLEX(E3,F3)),IMSUB(IMPRODUCT(COMPLEX(1 - C3, - D3),COMPLEX(1 - C3, - D3)),IMPRODUCT(COMPLEX(E3,F3),COMPLEX(E3,F3)))))</f>
        <v>156.360992249433</v>
      </c>
      <c r="J3">
        <f t="shared" ref="J3:J66" si="9">IMAGINARY(IMDIV(IMPRODUCT(COMPLEX(2,0),COMPLEX(E3,F3)),IMSUB(IMPRODUCT(COMPLEX(1 - C3, - D3),COMPLEX(1 - C3, - D3)),IMPRODUCT(COMPLEX(E3,F3),COMPLEX(E3,F3)))))</f>
        <v>25.619351985034299</v>
      </c>
      <c r="K3" s="7">
        <f t="shared" ref="K3:K66" si="10">IMREAL(IMSUB(COMPLEX(G3,H3),COMPLEX(I3,J3)))</f>
        <v>1.25852301380291E-6</v>
      </c>
      <c r="L3" s="7">
        <f t="shared" ref="L3:L66" si="11">IMAGINARY(IMSUB(COMPLEX(G3,H3),COMPLEX(I3,J3)))</f>
        <v>7.18909746101559E-4</v>
      </c>
      <c r="M3" s="7">
        <f t="shared" ref="M3:M66" si="12">IMREAL(IMDIV(IMSUB(IMPRODUCT(COMPLEX(1 - C3, - D3),COMPLEX(1 - C3, - D3)),IMPRODUCT(COMPLEX(E3,F3),COMPLEX(E3,F3))),IMPRODUCT(COMPLEX(2,0),COMPLEX(E3,F3))))</f>
        <v>6.2282533492069104E-3</v>
      </c>
      <c r="N3" s="7">
        <f t="shared" ref="N3:N66" si="13">IMAGINARY(IMDIV(IMSUB(IMPRODUCT(COMPLEX(1 - C3, - D3),COMPLEX(1 - C3, - D3)),IMPRODUCT(COMPLEX(E3,F3),COMPLEX(E3,F3))),IMPRODUCT(COMPLEX(2,0),COMPLEX(E3,F3))))</f>
        <v>-1.0204835138853501E-3</v>
      </c>
      <c r="O3">
        <v>1.9078094000000001</v>
      </c>
      <c r="P3">
        <v>-1.808578</v>
      </c>
      <c r="Q3">
        <v>1.0144388</v>
      </c>
      <c r="R3">
        <v>-2.3851925999999999</v>
      </c>
      <c r="S3">
        <f t="shared" ref="S3:S66" si="14">IMABS(COMPLEX(Q3,R3))/IMABS(COMPLEX(O3,P3))</f>
        <v>0.98597678146573531</v>
      </c>
      <c r="T3">
        <f t="shared" ref="T3:T66" si="15">IMARGUMENT(IMDIV(COMPLEX(Q3,R3),COMPLEX(O3/B3,P3/B3)))/PI()*180</f>
        <v>-23.48911055882823</v>
      </c>
      <c r="U3" s="8"/>
      <c r="V3" s="8"/>
    </row>
    <row r="4" spans="1:22" ht="18" customHeight="1" x14ac:dyDescent="0.35">
      <c r="A4">
        <v>0.6</v>
      </c>
      <c r="B4" s="9">
        <v>16</v>
      </c>
      <c r="C4">
        <v>-5.9058403000000004E-3</v>
      </c>
      <c r="D4">
        <v>2.2008103999999998E-3</v>
      </c>
      <c r="E4">
        <v>0.99418682999999997</v>
      </c>
      <c r="F4">
        <v>1.2642177E-3</v>
      </c>
      <c r="G4">
        <f t="shared" si="6"/>
        <v>77.971136549617597</v>
      </c>
      <c r="H4">
        <f t="shared" si="7"/>
        <v>23.2022594575126</v>
      </c>
      <c r="I4">
        <f t="shared" si="8"/>
        <v>77.971183101891796</v>
      </c>
      <c r="J4">
        <f t="shared" si="9"/>
        <v>23.2017912046595</v>
      </c>
      <c r="K4" s="7">
        <f t="shared" si="10"/>
        <v>-4.65522741990299E-5</v>
      </c>
      <c r="L4" s="7">
        <f t="shared" si="11"/>
        <v>4.6825285309992599E-4</v>
      </c>
      <c r="M4" s="7">
        <f t="shared" si="12"/>
        <v>1.17819890604575E-2</v>
      </c>
      <c r="N4" s="7">
        <f t="shared" si="13"/>
        <v>-3.50595231829545E-3</v>
      </c>
      <c r="O4">
        <v>1.2270498000000001</v>
      </c>
      <c r="P4">
        <v>-3.3588977999999998</v>
      </c>
      <c r="Q4">
        <v>-0.2152512</v>
      </c>
      <c r="R4">
        <v>-3.5650257999999999</v>
      </c>
      <c r="S4">
        <f t="shared" si="14"/>
        <v>0.99874397205595378</v>
      </c>
      <c r="T4">
        <f t="shared" si="15"/>
        <v>-23.523160540591942</v>
      </c>
      <c r="U4" s="8"/>
      <c r="V4" s="8"/>
    </row>
    <row r="5" spans="1:22" x14ac:dyDescent="0.35">
      <c r="A5">
        <v>0.6</v>
      </c>
      <c r="B5" s="9">
        <v>16.5</v>
      </c>
      <c r="C5">
        <v>-6.4994500000000004E-3</v>
      </c>
      <c r="D5">
        <v>5.7177486999999997E-3</v>
      </c>
      <c r="E5">
        <v>0.99360232999999998</v>
      </c>
      <c r="F5">
        <v>4.9378877999999996E-3</v>
      </c>
      <c r="G5">
        <f t="shared" si="6"/>
        <v>45.581147257371398</v>
      </c>
      <c r="H5">
        <f t="shared" si="7"/>
        <v>38.072588363904003</v>
      </c>
      <c r="I5">
        <f t="shared" si="8"/>
        <v>45.581198296804203</v>
      </c>
      <c r="J5">
        <f t="shared" si="9"/>
        <v>38.072198473197297</v>
      </c>
      <c r="K5" s="7">
        <f t="shared" si="10"/>
        <v>-5.1039432804600397E-5</v>
      </c>
      <c r="L5" s="7">
        <f t="shared" si="11"/>
        <v>3.8989070670680798E-4</v>
      </c>
      <c r="M5" s="7">
        <f t="shared" si="12"/>
        <v>1.29229985160671E-2</v>
      </c>
      <c r="N5" s="7">
        <f t="shared" si="13"/>
        <v>-1.0794077004487999E-2</v>
      </c>
      <c r="O5">
        <v>-0.84571092000000003</v>
      </c>
      <c r="P5">
        <v>-3.5984219</v>
      </c>
      <c r="Q5">
        <v>-2.2370853999999998</v>
      </c>
      <c r="R5">
        <v>-2.9904601</v>
      </c>
      <c r="S5">
        <f t="shared" si="14"/>
        <v>1.010322104824771</v>
      </c>
      <c r="T5">
        <f t="shared" si="15"/>
        <v>-23.573421579518126</v>
      </c>
      <c r="U5" s="8"/>
      <c r="V5" s="8"/>
    </row>
    <row r="6" spans="1:22" x14ac:dyDescent="0.35">
      <c r="A6">
        <v>0.6</v>
      </c>
      <c r="B6" s="9">
        <v>17</v>
      </c>
      <c r="C6">
        <v>-4.6913737000000002E-3</v>
      </c>
      <c r="D6">
        <v>7.3972107999999998E-3</v>
      </c>
      <c r="E6">
        <v>0.99522728000000005</v>
      </c>
      <c r="F6">
        <v>6.9082170000000004E-3</v>
      </c>
      <c r="G6">
        <f t="shared" si="6"/>
        <v>31.6673643250632</v>
      </c>
      <c r="H6">
        <f t="shared" si="7"/>
        <v>48.622592824265098</v>
      </c>
      <c r="I6">
        <f t="shared" si="8"/>
        <v>31.667323710044801</v>
      </c>
      <c r="J6">
        <f t="shared" si="9"/>
        <v>48.622348307489503</v>
      </c>
      <c r="K6" s="7">
        <f t="shared" si="10"/>
        <v>4.0615018399137198E-5</v>
      </c>
      <c r="L6" s="7">
        <f t="shared" si="11"/>
        <v>2.4451677559511598E-4</v>
      </c>
      <c r="M6" s="7">
        <f t="shared" si="12"/>
        <v>9.4053382221917902E-3</v>
      </c>
      <c r="N6" s="7">
        <f t="shared" si="13"/>
        <v>-1.44410571343639E-2</v>
      </c>
      <c r="O6">
        <v>-1.8131546000000001</v>
      </c>
      <c r="P6">
        <v>-2.5359224999999999</v>
      </c>
      <c r="Q6">
        <v>-2.7160831000000001</v>
      </c>
      <c r="R6">
        <v>-1.6151803</v>
      </c>
      <c r="S6">
        <f t="shared" si="14"/>
        <v>1.0136681860191656</v>
      </c>
      <c r="T6">
        <f t="shared" si="15"/>
        <v>-23.696889188037677</v>
      </c>
      <c r="U6" s="8"/>
      <c r="V6" s="8"/>
    </row>
    <row r="7" spans="1:22" x14ac:dyDescent="0.35">
      <c r="A7">
        <v>0.875</v>
      </c>
      <c r="B7" s="9">
        <v>15</v>
      </c>
      <c r="C7">
        <v>-3.0212227999999999E-3</v>
      </c>
      <c r="D7">
        <v>-1.1757266E-3</v>
      </c>
      <c r="E7">
        <v>0.99709024999999996</v>
      </c>
      <c r="F7">
        <v>-2.8087028E-3</v>
      </c>
      <c r="G7">
        <f t="shared" si="6"/>
        <v>115.674839071815</v>
      </c>
      <c r="H7">
        <f t="shared" si="7"/>
        <v>-78.045904322088901</v>
      </c>
      <c r="I7">
        <f t="shared" si="8"/>
        <v>115.67489547164899</v>
      </c>
      <c r="J7">
        <f t="shared" si="9"/>
        <v>-78.046720718635797</v>
      </c>
      <c r="K7" s="7">
        <f t="shared" si="10"/>
        <v>-5.6399833994191802E-5</v>
      </c>
      <c r="L7" s="7">
        <f t="shared" si="11"/>
        <v>8.16396546895248E-4</v>
      </c>
      <c r="M7" s="7">
        <f t="shared" si="12"/>
        <v>5.9405845042913999E-3</v>
      </c>
      <c r="N7" s="7">
        <f t="shared" si="13"/>
        <v>4.0081569801419898E-3</v>
      </c>
      <c r="O7">
        <v>2.3252801000000001</v>
      </c>
      <c r="P7">
        <v>-1.2522237000000001</v>
      </c>
      <c r="Q7">
        <v>1.5986952000000001</v>
      </c>
      <c r="R7">
        <v>-2.0265200000000001</v>
      </c>
      <c r="S7">
        <f t="shared" si="14"/>
        <v>0.97735049234571103</v>
      </c>
      <c r="T7">
        <f t="shared" si="15"/>
        <v>-23.426934934235693</v>
      </c>
      <c r="U7" s="8"/>
      <c r="V7" s="8"/>
    </row>
    <row r="8" spans="1:22" x14ac:dyDescent="0.35">
      <c r="A8">
        <v>0.875</v>
      </c>
      <c r="B8" s="9">
        <v>15.5</v>
      </c>
      <c r="C8">
        <v>-6.4350416000000001E-3</v>
      </c>
      <c r="D8">
        <v>-2.5428814E-3</v>
      </c>
      <c r="E8">
        <v>0.99352490000000004</v>
      </c>
      <c r="F8">
        <v>-4.0623398000000002E-3</v>
      </c>
      <c r="G8">
        <f t="shared" si="6"/>
        <v>60.888970397886297</v>
      </c>
      <c r="H8">
        <f t="shared" si="7"/>
        <v>-31.408079999311699</v>
      </c>
      <c r="I8">
        <f t="shared" si="8"/>
        <v>60.888950945507901</v>
      </c>
      <c r="J8">
        <f t="shared" si="9"/>
        <v>-31.4088397585076</v>
      </c>
      <c r="K8" s="7">
        <f t="shared" si="10"/>
        <v>1.9452378396067599E-5</v>
      </c>
      <c r="L8" s="7">
        <f t="shared" si="11"/>
        <v>7.5975919590121099E-4</v>
      </c>
      <c r="M8" s="7">
        <f t="shared" si="12"/>
        <v>1.29717119851944E-2</v>
      </c>
      <c r="N8" s="7">
        <f t="shared" si="13"/>
        <v>6.6913030494006702E-3</v>
      </c>
      <c r="O8">
        <v>2.7550849999999998</v>
      </c>
      <c r="P8">
        <v>-2.5869361999999998</v>
      </c>
      <c r="Q8">
        <v>1.4813599</v>
      </c>
      <c r="R8">
        <v>-3.4398257999999999</v>
      </c>
      <c r="S8">
        <f t="shared" si="14"/>
        <v>0.99100101407911378</v>
      </c>
      <c r="T8">
        <f t="shared" si="15"/>
        <v>-23.503769599081643</v>
      </c>
      <c r="U8" s="8"/>
      <c r="V8" s="8"/>
    </row>
    <row r="9" spans="1:22" x14ac:dyDescent="0.35">
      <c r="A9">
        <v>0.875</v>
      </c>
      <c r="B9" s="9">
        <v>16</v>
      </c>
      <c r="C9">
        <v>-1.2319152999999999E-2</v>
      </c>
      <c r="D9">
        <v>-4.4313338999999997E-4</v>
      </c>
      <c r="E9">
        <v>0.98767004999999997</v>
      </c>
      <c r="F9">
        <v>-1.6527816000000001E-3</v>
      </c>
      <c r="G9">
        <f t="shared" si="6"/>
        <v>39.778214110550103</v>
      </c>
      <c r="H9">
        <f t="shared" si="7"/>
        <v>-3.4245567957207199</v>
      </c>
      <c r="I9">
        <f t="shared" si="8"/>
        <v>39.778209077838902</v>
      </c>
      <c r="J9">
        <f t="shared" si="9"/>
        <v>-3.4251616261348001</v>
      </c>
      <c r="K9" s="7">
        <f t="shared" si="10"/>
        <v>5.0327112006698397E-6</v>
      </c>
      <c r="L9" s="7">
        <f t="shared" si="11"/>
        <v>6.0483041408021499E-4</v>
      </c>
      <c r="M9" s="7">
        <f t="shared" si="12"/>
        <v>2.4954372368610998E-2</v>
      </c>
      <c r="N9" s="7">
        <f t="shared" si="13"/>
        <v>2.1487332040009601E-3</v>
      </c>
      <c r="O9">
        <v>1.805034</v>
      </c>
      <c r="P9">
        <v>-4.8013963999999998</v>
      </c>
      <c r="Q9">
        <v>-0.26482757000000001</v>
      </c>
      <c r="R9">
        <v>-5.1438812</v>
      </c>
      <c r="S9">
        <f t="shared" si="14"/>
        <v>1.0041358680544921</v>
      </c>
      <c r="T9">
        <f t="shared" si="15"/>
        <v>-23.550431325720723</v>
      </c>
      <c r="U9" s="8"/>
      <c r="V9" s="8"/>
    </row>
    <row r="10" spans="1:22" x14ac:dyDescent="0.35">
      <c r="A10">
        <v>0.875</v>
      </c>
      <c r="B10" s="9">
        <v>16.5</v>
      </c>
      <c r="C10">
        <v>-1.3739909E-2</v>
      </c>
      <c r="D10">
        <v>7.0479465E-3</v>
      </c>
      <c r="E10">
        <v>0.98613731000000004</v>
      </c>
      <c r="F10">
        <v>6.0895647000000002E-3</v>
      </c>
      <c r="G10">
        <f t="shared" si="6"/>
        <v>29.0373957620534</v>
      </c>
      <c r="H10">
        <f t="shared" si="7"/>
        <v>14.0586065875603</v>
      </c>
      <c r="I10">
        <f t="shared" si="8"/>
        <v>29.037334597450499</v>
      </c>
      <c r="J10">
        <f t="shared" si="9"/>
        <v>14.058127337929401</v>
      </c>
      <c r="K10" s="7">
        <f t="shared" si="10"/>
        <v>6.1164602900731806E-5</v>
      </c>
      <c r="L10" s="7">
        <f t="shared" si="11"/>
        <v>4.7924963089940298E-4</v>
      </c>
      <c r="M10" s="7">
        <f t="shared" si="12"/>
        <v>2.7899113678194101E-2</v>
      </c>
      <c r="N10" s="7">
        <f t="shared" si="13"/>
        <v>-1.3507069369165001E-2</v>
      </c>
      <c r="O10">
        <v>-1.1372466999999999</v>
      </c>
      <c r="P10">
        <v>-5.2050511999999998</v>
      </c>
      <c r="Q10">
        <v>-3.1733547999999998</v>
      </c>
      <c r="R10">
        <v>-4.3817551000000003</v>
      </c>
      <c r="S10">
        <f t="shared" si="14"/>
        <v>1.015452960478008</v>
      </c>
      <c r="T10">
        <f t="shared" si="15"/>
        <v>-23.587990651165416</v>
      </c>
      <c r="U10" s="8"/>
      <c r="V10" s="8"/>
    </row>
    <row r="11" spans="1:22" x14ac:dyDescent="0.35">
      <c r="A11">
        <v>0.875</v>
      </c>
      <c r="B11" s="9">
        <v>17</v>
      </c>
      <c r="C11">
        <v>-1.0219761000000001E-2</v>
      </c>
      <c r="D11">
        <v>1.090988E-2</v>
      </c>
      <c r="E11">
        <v>0.98968595999999998</v>
      </c>
      <c r="F11">
        <v>1.0110371999999999E-2</v>
      </c>
      <c r="G11">
        <f t="shared" si="6"/>
        <v>23.280089376586599</v>
      </c>
      <c r="H11">
        <f t="shared" si="7"/>
        <v>24.343621627267598</v>
      </c>
      <c r="I11">
        <f t="shared" si="8"/>
        <v>23.280042394690199</v>
      </c>
      <c r="J11">
        <f t="shared" si="9"/>
        <v>24.343221835640399</v>
      </c>
      <c r="K11" s="7">
        <f t="shared" si="10"/>
        <v>4.6981896399955799E-5</v>
      </c>
      <c r="L11" s="7">
        <f t="shared" si="11"/>
        <v>3.9979162719916401E-4</v>
      </c>
      <c r="M11" s="7">
        <f t="shared" si="12"/>
        <v>2.0519134867827402E-2</v>
      </c>
      <c r="N11" s="7">
        <f t="shared" si="13"/>
        <v>-2.1456226045227199E-2</v>
      </c>
      <c r="O11">
        <v>-2.5915056999999999</v>
      </c>
      <c r="P11">
        <v>-3.7986092</v>
      </c>
      <c r="Q11">
        <v>-3.9310673</v>
      </c>
      <c r="R11">
        <v>-2.4695714999999998</v>
      </c>
      <c r="S11">
        <f t="shared" si="14"/>
        <v>1.0095719108369605</v>
      </c>
      <c r="T11">
        <f t="shared" si="15"/>
        <v>-23.559396544946416</v>
      </c>
      <c r="U11" s="8"/>
      <c r="V11" s="8"/>
    </row>
    <row r="12" spans="1:22" x14ac:dyDescent="0.35">
      <c r="A12">
        <v>1.1499999999999999</v>
      </c>
      <c r="B12" s="9">
        <v>15</v>
      </c>
      <c r="C12">
        <v>-5.0722670000000001E-3</v>
      </c>
      <c r="D12">
        <v>-5.2099099000000003E-3</v>
      </c>
      <c r="E12">
        <v>0.99479187000000002</v>
      </c>
      <c r="F12">
        <v>-7.22728E-3</v>
      </c>
      <c r="G12">
        <f t="shared" si="6"/>
        <v>38.983794753674999</v>
      </c>
      <c r="H12">
        <f t="shared" si="7"/>
        <v>-47.766817920041802</v>
      </c>
      <c r="I12">
        <f t="shared" si="8"/>
        <v>38.983727835211802</v>
      </c>
      <c r="J12">
        <f t="shared" si="9"/>
        <v>-47.7678267411221</v>
      </c>
      <c r="K12" s="7">
        <f t="shared" si="10"/>
        <v>6.6918463197396195E-5</v>
      </c>
      <c r="L12" s="7">
        <f t="shared" si="11"/>
        <v>1.0088210802976501E-3</v>
      </c>
      <c r="M12" s="7">
        <f t="shared" si="12"/>
        <v>1.0254837748573701E-2</v>
      </c>
      <c r="N12" s="7">
        <f t="shared" si="13"/>
        <v>1.25655328526517E-2</v>
      </c>
      <c r="O12">
        <v>3.0277729999999998</v>
      </c>
      <c r="P12">
        <v>-1.6207593</v>
      </c>
      <c r="Q12">
        <v>2.0692309999999998</v>
      </c>
      <c r="R12">
        <v>-2.6063132000000002</v>
      </c>
      <c r="S12">
        <f t="shared" si="14"/>
        <v>0.96900987991356213</v>
      </c>
      <c r="T12">
        <f t="shared" si="15"/>
        <v>-23.392842884898176</v>
      </c>
      <c r="U12" s="8"/>
      <c r="V12" s="8"/>
    </row>
    <row r="13" spans="1:22" x14ac:dyDescent="0.35">
      <c r="A13">
        <v>1.1499999999999999</v>
      </c>
      <c r="B13" s="9">
        <v>15.5</v>
      </c>
      <c r="C13">
        <v>-1.0718063999999999E-2</v>
      </c>
      <c r="D13">
        <v>-7.4869248999999997E-3</v>
      </c>
      <c r="E13">
        <v>0.98900666999999998</v>
      </c>
      <c r="F13">
        <v>-9.2299228999999997E-3</v>
      </c>
      <c r="G13">
        <f t="shared" si="6"/>
        <v>28.416298984514501</v>
      </c>
      <c r="H13">
        <f t="shared" si="7"/>
        <v>-22.2638289155637</v>
      </c>
      <c r="I13">
        <f t="shared" si="8"/>
        <v>28.4161620923927</v>
      </c>
      <c r="J13">
        <f t="shared" si="9"/>
        <v>-22.264700653845001</v>
      </c>
      <c r="K13" s="7">
        <f t="shared" si="10"/>
        <v>1.3689212180167899E-4</v>
      </c>
      <c r="L13" s="7">
        <f t="shared" si="11"/>
        <v>8.7173828130104902E-4</v>
      </c>
      <c r="M13" s="7">
        <f t="shared" si="12"/>
        <v>2.1804993521590099E-2</v>
      </c>
      <c r="N13" s="7">
        <f t="shared" si="13"/>
        <v>1.7084701724980701E-2</v>
      </c>
      <c r="O13">
        <v>3.6002458000000002</v>
      </c>
      <c r="P13">
        <v>-3.3100049999999999</v>
      </c>
      <c r="Q13">
        <v>1.9510008000000001</v>
      </c>
      <c r="R13">
        <v>-4.3891935999999996</v>
      </c>
      <c r="S13">
        <f t="shared" si="14"/>
        <v>0.98214510473782479</v>
      </c>
      <c r="T13">
        <f t="shared" si="15"/>
        <v>-23.439900991399764</v>
      </c>
      <c r="U13" s="8"/>
      <c r="V13" s="8"/>
    </row>
    <row r="14" spans="1:22" x14ac:dyDescent="0.35">
      <c r="A14">
        <v>1.1499999999999999</v>
      </c>
      <c r="B14" s="9">
        <v>16</v>
      </c>
      <c r="C14">
        <v>-2.0586410999999999E-2</v>
      </c>
      <c r="D14">
        <v>-4.3003770999999998E-3</v>
      </c>
      <c r="E14">
        <v>0.97916373999999995</v>
      </c>
      <c r="F14">
        <v>-5.7885258000000004E-3</v>
      </c>
      <c r="G14">
        <f t="shared" si="6"/>
        <v>22.2895276323774</v>
      </c>
      <c r="H14">
        <f t="shared" si="7"/>
        <v>-5.5502285051450801</v>
      </c>
      <c r="I14">
        <f t="shared" si="8"/>
        <v>22.2894032461232</v>
      </c>
      <c r="J14">
        <f t="shared" si="9"/>
        <v>-5.5509727650240004</v>
      </c>
      <c r="K14" s="7">
        <f t="shared" si="10"/>
        <v>1.2438625419974899E-4</v>
      </c>
      <c r="L14" s="7">
        <f t="shared" si="11"/>
        <v>7.4425987892023904E-4</v>
      </c>
      <c r="M14" s="7">
        <f t="shared" si="12"/>
        <v>4.2244318238257798E-2</v>
      </c>
      <c r="N14" s="7">
        <f t="shared" si="13"/>
        <v>1.0520562503545799E-2</v>
      </c>
      <c r="O14">
        <v>2.5094835</v>
      </c>
      <c r="P14">
        <v>-6.1678788999999998</v>
      </c>
      <c r="Q14">
        <v>-0.15460678</v>
      </c>
      <c r="R14">
        <v>-6.6217068000000001</v>
      </c>
      <c r="S14">
        <f t="shared" si="14"/>
        <v>0.99469351141375006</v>
      </c>
      <c r="T14">
        <f t="shared" si="15"/>
        <v>-23.477129308750357</v>
      </c>
      <c r="U14" s="8"/>
      <c r="V14" s="8"/>
    </row>
    <row r="15" spans="1:22" x14ac:dyDescent="0.35">
      <c r="A15">
        <v>1.1499999999999999</v>
      </c>
      <c r="B15" s="9">
        <v>16.5</v>
      </c>
      <c r="C15">
        <v>-2.3782897000000001E-2</v>
      </c>
      <c r="D15">
        <v>8.2808120000000002E-3</v>
      </c>
      <c r="E15">
        <v>0.97624767000000001</v>
      </c>
      <c r="F15">
        <v>7.0075802000000003E-3</v>
      </c>
      <c r="G15">
        <f t="shared" si="6"/>
        <v>18.564927292240601</v>
      </c>
      <c r="H15">
        <f t="shared" si="7"/>
        <v>6.1320278539214996</v>
      </c>
      <c r="I15">
        <f t="shared" si="8"/>
        <v>18.564942980768102</v>
      </c>
      <c r="J15">
        <f t="shared" si="9"/>
        <v>6.1313912577384704</v>
      </c>
      <c r="K15" s="7">
        <f t="shared" si="10"/>
        <v>-1.5688527501112001E-5</v>
      </c>
      <c r="L15" s="7">
        <f t="shared" si="11"/>
        <v>6.3659618302924802E-4</v>
      </c>
      <c r="M15" s="7">
        <f t="shared" si="12"/>
        <v>4.8567406611091497E-2</v>
      </c>
      <c r="N15" s="7">
        <f t="shared" si="13"/>
        <v>-1.60402201404422E-2</v>
      </c>
      <c r="O15">
        <v>-1.2609018999999999</v>
      </c>
      <c r="P15">
        <v>-6.9358176</v>
      </c>
      <c r="Q15">
        <v>-3.9468602000000002</v>
      </c>
      <c r="R15">
        <v>-5.8905519999999996</v>
      </c>
      <c r="S15">
        <f t="shared" si="14"/>
        <v>1.0058273092444117</v>
      </c>
      <c r="T15">
        <f t="shared" si="15"/>
        <v>-23.519762874590544</v>
      </c>
      <c r="U15" s="8"/>
      <c r="V15" s="8"/>
    </row>
    <row r="16" spans="1:22" x14ac:dyDescent="0.35">
      <c r="A16">
        <v>1.1499999999999999</v>
      </c>
      <c r="B16" s="9">
        <v>17</v>
      </c>
      <c r="C16">
        <v>-1.8045889999999998E-2</v>
      </c>
      <c r="D16">
        <v>1.5341676E-2</v>
      </c>
      <c r="E16">
        <v>0.98175489000000005</v>
      </c>
      <c r="F16">
        <v>1.4140387000000001E-2</v>
      </c>
      <c r="G16">
        <f t="shared" si="6"/>
        <v>16.0998681537158</v>
      </c>
      <c r="H16">
        <f t="shared" si="7"/>
        <v>13.4856519986048</v>
      </c>
      <c r="I16">
        <f t="shared" si="8"/>
        <v>16.099768894674199</v>
      </c>
      <c r="J16">
        <f t="shared" si="9"/>
        <v>13.485051234643301</v>
      </c>
      <c r="K16" s="7">
        <f t="shared" si="10"/>
        <v>9.9259041601129598E-5</v>
      </c>
      <c r="L16" s="7">
        <f t="shared" si="11"/>
        <v>6.0076396149888499E-4</v>
      </c>
      <c r="M16" s="7">
        <f t="shared" si="12"/>
        <v>3.6503342853122699E-2</v>
      </c>
      <c r="N16" s="7">
        <f t="shared" si="13"/>
        <v>-3.0574938797596402E-2</v>
      </c>
      <c r="O16">
        <v>-3.2223970999999998</v>
      </c>
      <c r="P16">
        <v>-5.0795811999999998</v>
      </c>
      <c r="Q16">
        <v>-5.1002089000000002</v>
      </c>
      <c r="R16">
        <v>-3.4376989999999998</v>
      </c>
      <c r="S16">
        <f t="shared" si="14"/>
        <v>1.0224625450772911</v>
      </c>
      <c r="T16">
        <f t="shared" si="15"/>
        <v>-23.628483586589475</v>
      </c>
      <c r="U16" s="8"/>
      <c r="V16" s="8"/>
    </row>
    <row r="17" spans="1:22" x14ac:dyDescent="0.35">
      <c r="A17">
        <v>1.425</v>
      </c>
      <c r="B17" s="9">
        <v>15</v>
      </c>
      <c r="C17">
        <v>-7.6383470999999998E-3</v>
      </c>
      <c r="D17">
        <v>-1.0154366E-2</v>
      </c>
      <c r="E17">
        <v>0.99229741000000005</v>
      </c>
      <c r="F17">
        <v>-1.2339592999999999E-2</v>
      </c>
      <c r="G17">
        <f t="shared" si="6"/>
        <v>20.194026800021401</v>
      </c>
      <c r="H17">
        <f t="shared" si="7"/>
        <v>-30.342465920528198</v>
      </c>
      <c r="I17">
        <f t="shared" si="8"/>
        <v>20.193995871457499</v>
      </c>
      <c r="J17">
        <f t="shared" si="9"/>
        <v>-30.343558602919799</v>
      </c>
      <c r="K17" s="7">
        <f t="shared" si="10"/>
        <v>3.0928563901966299E-5</v>
      </c>
      <c r="L17" s="7">
        <f t="shared" si="11"/>
        <v>1.09268239160087E-3</v>
      </c>
      <c r="M17" s="7">
        <f t="shared" si="12"/>
        <v>1.52002670613021E-2</v>
      </c>
      <c r="N17" s="7">
        <f t="shared" si="13"/>
        <v>2.28399667549977E-2</v>
      </c>
      <c r="O17">
        <v>3.7226148000000001</v>
      </c>
      <c r="P17">
        <v>-1.9842065</v>
      </c>
      <c r="Q17">
        <v>2.5230386999999999</v>
      </c>
      <c r="R17">
        <v>-3.1684139</v>
      </c>
      <c r="S17">
        <f t="shared" si="14"/>
        <v>0.96013923691401593</v>
      </c>
      <c r="T17">
        <f t="shared" si="15"/>
        <v>-23.41110152710807</v>
      </c>
      <c r="U17" s="8"/>
      <c r="V17" s="8"/>
    </row>
    <row r="18" spans="1:22" x14ac:dyDescent="0.35">
      <c r="A18">
        <v>1.425</v>
      </c>
      <c r="B18" s="9">
        <v>15.5</v>
      </c>
      <c r="C18">
        <v>-1.5898962999999999E-2</v>
      </c>
      <c r="D18">
        <v>-1.3475042E-2</v>
      </c>
      <c r="E18">
        <v>0.98412082999999995</v>
      </c>
      <c r="F18">
        <v>-1.5381518E-2</v>
      </c>
      <c r="G18">
        <f t="shared" si="6"/>
        <v>16.746809794102901</v>
      </c>
      <c r="H18">
        <f t="shared" si="7"/>
        <v>-15.6607253101313</v>
      </c>
      <c r="I18">
        <f t="shared" si="8"/>
        <v>16.746820599139902</v>
      </c>
      <c r="J18">
        <f t="shared" si="9"/>
        <v>-15.661678528397999</v>
      </c>
      <c r="K18" s="7">
        <f t="shared" si="10"/>
        <v>-1.0805037000238799E-5</v>
      </c>
      <c r="L18" s="7">
        <f t="shared" si="11"/>
        <v>9.5321826669980702E-4</v>
      </c>
      <c r="M18" s="7">
        <f t="shared" si="12"/>
        <v>3.18535542782847E-2</v>
      </c>
      <c r="N18" s="7">
        <f t="shared" si="13"/>
        <v>2.9789542686030599E-2</v>
      </c>
      <c r="O18">
        <v>4.4202880999999996</v>
      </c>
      <c r="P18">
        <v>-4.0018944999999997</v>
      </c>
      <c r="Q18">
        <v>2.3964736000000002</v>
      </c>
      <c r="R18">
        <v>-5.2894620000000003</v>
      </c>
      <c r="S18">
        <f t="shared" si="14"/>
        <v>0.97388688892252362</v>
      </c>
      <c r="T18">
        <f t="shared" si="15"/>
        <v>-23.470329495344849</v>
      </c>
      <c r="U18" s="8"/>
      <c r="V18" s="8"/>
    </row>
    <row r="19" spans="1:22" x14ac:dyDescent="0.35">
      <c r="A19">
        <v>1.425</v>
      </c>
      <c r="B19" s="9">
        <v>16</v>
      </c>
      <c r="C19">
        <v>-3.0417138999999999E-2</v>
      </c>
      <c r="D19">
        <v>-9.1747336999999998E-3</v>
      </c>
      <c r="E19">
        <v>0.96958880000000003</v>
      </c>
      <c r="F19">
        <v>-1.0924049E-2</v>
      </c>
      <c r="G19">
        <f t="shared" si="6"/>
        <v>14.3215452023287</v>
      </c>
      <c r="H19">
        <f t="shared" si="7"/>
        <v>-4.8968697307631599</v>
      </c>
      <c r="I19">
        <f t="shared" si="8"/>
        <v>14.3215489368385</v>
      </c>
      <c r="J19">
        <f t="shared" si="9"/>
        <v>-4.89774438254946</v>
      </c>
      <c r="K19" s="7">
        <f t="shared" si="10"/>
        <v>-3.7345098000685101E-6</v>
      </c>
      <c r="L19" s="7">
        <f t="shared" si="11"/>
        <v>8.7465178630008499E-4</v>
      </c>
      <c r="M19" s="7">
        <f t="shared" si="12"/>
        <v>6.2513673114829804E-2</v>
      </c>
      <c r="N19" s="7">
        <f t="shared" si="13"/>
        <v>2.1378692533957199E-2</v>
      </c>
      <c r="O19">
        <v>3.2153982000000001</v>
      </c>
      <c r="P19">
        <v>-7.4395721999999997</v>
      </c>
      <c r="Q19">
        <v>-1.9569225999999999E-2</v>
      </c>
      <c r="R19">
        <v>-7.9949728000000002</v>
      </c>
      <c r="S19">
        <f t="shared" si="14"/>
        <v>0.98646530909667218</v>
      </c>
      <c r="T19">
        <f t="shared" si="15"/>
        <v>-23.514340774708675</v>
      </c>
      <c r="U19" s="8"/>
      <c r="V19" s="8"/>
    </row>
    <row r="20" spans="1:22" x14ac:dyDescent="0.35">
      <c r="A20">
        <v>1.425</v>
      </c>
      <c r="B20" s="9">
        <v>16.5</v>
      </c>
      <c r="C20">
        <v>-3.6140813000000001E-2</v>
      </c>
      <c r="D20">
        <v>9.1868556000000001E-3</v>
      </c>
      <c r="E20">
        <v>0.96392297000000005</v>
      </c>
      <c r="F20">
        <v>7.4925935000000003E-3</v>
      </c>
      <c r="G20">
        <f t="shared" si="6"/>
        <v>12.6457476121435</v>
      </c>
      <c r="H20">
        <f t="shared" si="7"/>
        <v>3.0365720994460101</v>
      </c>
      <c r="I20">
        <f t="shared" si="8"/>
        <v>12.6457802201883</v>
      </c>
      <c r="J20">
        <f t="shared" si="9"/>
        <v>3.0357250230338302</v>
      </c>
      <c r="K20" s="7">
        <f t="shared" si="10"/>
        <v>-3.2608044799431502E-5</v>
      </c>
      <c r="L20" s="7">
        <f t="shared" si="11"/>
        <v>8.4707641217995899E-4</v>
      </c>
      <c r="M20" s="7">
        <f t="shared" si="12"/>
        <v>7.4768975080827998E-2</v>
      </c>
      <c r="N20" s="7">
        <f t="shared" si="13"/>
        <v>-1.7948916132284502E-2</v>
      </c>
      <c r="O20">
        <v>-1.2733492</v>
      </c>
      <c r="P20">
        <v>-8.6065837999999992</v>
      </c>
      <c r="Q20">
        <v>-4.5940458</v>
      </c>
      <c r="R20">
        <v>-7.3615982999999998</v>
      </c>
      <c r="S20">
        <f t="shared" si="14"/>
        <v>0.99737870255905303</v>
      </c>
      <c r="T20">
        <f t="shared" si="15"/>
        <v>-23.550558432242727</v>
      </c>
      <c r="U20" s="8"/>
      <c r="V20" s="8"/>
    </row>
    <row r="21" spans="1:22" x14ac:dyDescent="0.35">
      <c r="A21">
        <v>1.425</v>
      </c>
      <c r="B21" s="9">
        <v>17</v>
      </c>
      <c r="C21">
        <v>-2.8232284E-2</v>
      </c>
      <c r="D21">
        <v>2.0530494999999999E-2</v>
      </c>
      <c r="E21">
        <v>0.97161774999999995</v>
      </c>
      <c r="F21">
        <v>1.9043313999999999E-2</v>
      </c>
      <c r="G21">
        <f t="shared" si="6"/>
        <v>11.3656987933071</v>
      </c>
      <c r="H21">
        <f t="shared" si="7"/>
        <v>8.2945216330578795</v>
      </c>
      <c r="I21">
        <f t="shared" si="8"/>
        <v>11.365624357735101</v>
      </c>
      <c r="J21">
        <f t="shared" si="9"/>
        <v>8.2937779314433104</v>
      </c>
      <c r="K21" s="7">
        <f t="shared" si="10"/>
        <v>7.4435571999487097E-5</v>
      </c>
      <c r="L21" s="7">
        <f t="shared" si="11"/>
        <v>7.4370161456904804E-4</v>
      </c>
      <c r="M21" s="7">
        <f t="shared" si="12"/>
        <v>5.7412532738590899E-2</v>
      </c>
      <c r="N21" s="7">
        <f t="shared" si="13"/>
        <v>-4.1895348819224798E-2</v>
      </c>
      <c r="O21">
        <v>-3.8898890000000002</v>
      </c>
      <c r="P21">
        <v>-6.5798259999999997</v>
      </c>
      <c r="Q21">
        <v>-6.2007452000000001</v>
      </c>
      <c r="R21">
        <v>-4.4867248000000002</v>
      </c>
      <c r="S21">
        <f t="shared" si="14"/>
        <v>1.0013221292092178</v>
      </c>
      <c r="T21">
        <f t="shared" si="15"/>
        <v>-23.52040872509604</v>
      </c>
      <c r="U21" s="8"/>
      <c r="V21" s="8"/>
    </row>
    <row r="22" spans="1:22" x14ac:dyDescent="0.35">
      <c r="A22">
        <v>1.7</v>
      </c>
      <c r="B22" s="9">
        <v>15</v>
      </c>
      <c r="C22">
        <v>-1.0472102E-2</v>
      </c>
      <c r="D22">
        <v>-1.5862061E-2</v>
      </c>
      <c r="E22">
        <v>0.98931917999999996</v>
      </c>
      <c r="F22">
        <v>-1.8122831999999998E-2</v>
      </c>
      <c r="G22">
        <f t="shared" si="6"/>
        <v>12.700669605192701</v>
      </c>
      <c r="H22">
        <f t="shared" si="7"/>
        <v>-21.207927411715101</v>
      </c>
      <c r="I22">
        <f t="shared" si="8"/>
        <v>12.7005665134706</v>
      </c>
      <c r="J22">
        <f t="shared" si="9"/>
        <v>-21.209058031738898</v>
      </c>
      <c r="K22" s="7">
        <f t="shared" si="10"/>
        <v>1.03091722101212E-4</v>
      </c>
      <c r="L22" s="7">
        <f t="shared" si="11"/>
        <v>1.13062002379749E-3</v>
      </c>
      <c r="M22" s="7">
        <f t="shared" si="12"/>
        <v>2.07821527567893E-2</v>
      </c>
      <c r="N22" s="7">
        <f t="shared" si="13"/>
        <v>3.4704741979478801E-2</v>
      </c>
      <c r="O22">
        <v>4.3096582000000003</v>
      </c>
      <c r="P22">
        <v>-2.2779254</v>
      </c>
      <c r="Q22">
        <v>2.9495038</v>
      </c>
      <c r="R22">
        <v>-3.6718609999999998</v>
      </c>
      <c r="S22">
        <f t="shared" si="14"/>
        <v>0.96618277321353108</v>
      </c>
      <c r="T22">
        <f t="shared" si="15"/>
        <v>-23.366787253439462</v>
      </c>
      <c r="U22" s="8"/>
      <c r="V22" s="8"/>
    </row>
    <row r="23" spans="1:22" x14ac:dyDescent="0.35">
      <c r="A23">
        <v>1.7</v>
      </c>
      <c r="B23" s="9">
        <v>15.5</v>
      </c>
      <c r="C23">
        <v>-2.1463019E-2</v>
      </c>
      <c r="D23">
        <v>-2.0463569000000001E-2</v>
      </c>
      <c r="E23">
        <v>0.97838954</v>
      </c>
      <c r="F23">
        <v>-2.2548506999999999E-2</v>
      </c>
      <c r="G23">
        <f t="shared" si="6"/>
        <v>11.1246668356521</v>
      </c>
      <c r="H23">
        <f t="shared" si="7"/>
        <v>-11.6075378207578</v>
      </c>
      <c r="I23">
        <f t="shared" si="8"/>
        <v>11.124594196697799</v>
      </c>
      <c r="J23">
        <f t="shared" si="9"/>
        <v>-11.6085804423442</v>
      </c>
      <c r="K23" s="7">
        <f t="shared" si="10"/>
        <v>7.2638954300430201E-5</v>
      </c>
      <c r="L23" s="7">
        <f t="shared" si="11"/>
        <v>1.04262158640012E-3</v>
      </c>
      <c r="M23" s="7">
        <f t="shared" si="12"/>
        <v>4.3032561080979199E-2</v>
      </c>
      <c r="N23" s="7">
        <f t="shared" si="13"/>
        <v>4.4904734331515803E-2</v>
      </c>
      <c r="O23">
        <v>5.1252997000000002</v>
      </c>
      <c r="P23">
        <v>-4.5191869000000002</v>
      </c>
      <c r="Q23">
        <v>2.8519793</v>
      </c>
      <c r="R23">
        <v>-6.0647181000000003</v>
      </c>
      <c r="S23">
        <f t="shared" si="14"/>
        <v>0.98078465939596426</v>
      </c>
      <c r="T23">
        <f t="shared" si="15"/>
        <v>-23.410445332676705</v>
      </c>
      <c r="U23" s="8"/>
      <c r="V23" s="8"/>
    </row>
    <row r="24" spans="1:22" x14ac:dyDescent="0.35">
      <c r="A24">
        <v>1.7</v>
      </c>
      <c r="B24" s="9">
        <v>16</v>
      </c>
      <c r="C24">
        <v>-4.1047628000000003E-2</v>
      </c>
      <c r="D24">
        <v>-1.5602928E-2</v>
      </c>
      <c r="E24">
        <v>0.95896667000000002</v>
      </c>
      <c r="F24">
        <v>-1.7670861E-2</v>
      </c>
      <c r="G24">
        <f t="shared" si="6"/>
        <v>9.9635951067756707</v>
      </c>
      <c r="H24">
        <f t="shared" si="7"/>
        <v>-4.2411926851309598</v>
      </c>
      <c r="I24">
        <f t="shared" si="8"/>
        <v>9.9636033247872398</v>
      </c>
      <c r="J24">
        <f t="shared" si="9"/>
        <v>-4.2422266357421003</v>
      </c>
      <c r="K24" s="7">
        <f t="shared" si="10"/>
        <v>-8.2180115690277893E-6</v>
      </c>
      <c r="L24" s="7">
        <f t="shared" si="11"/>
        <v>1.03395061114053E-3</v>
      </c>
      <c r="M24" s="7">
        <f t="shared" si="12"/>
        <v>8.49630228246539E-2</v>
      </c>
      <c r="N24" s="7">
        <f t="shared" si="13"/>
        <v>3.6174904472886397E-2</v>
      </c>
      <c r="O24">
        <v>3.9650275000000001</v>
      </c>
      <c r="P24">
        <v>-8.3954293</v>
      </c>
      <c r="Q24">
        <v>0.29246302000000002</v>
      </c>
      <c r="R24">
        <v>-9.2185366000000002</v>
      </c>
      <c r="S24">
        <f t="shared" si="14"/>
        <v>0.993379109589974</v>
      </c>
      <c r="T24">
        <f t="shared" si="15"/>
        <v>-23.463489693980375</v>
      </c>
      <c r="U24" s="8"/>
      <c r="V24" s="8"/>
    </row>
    <row r="25" spans="1:22" x14ac:dyDescent="0.35">
      <c r="A25">
        <v>1.7</v>
      </c>
      <c r="B25" s="9">
        <v>16.5</v>
      </c>
      <c r="C25">
        <v>-5.0866556E-2</v>
      </c>
      <c r="D25" s="4">
        <v>8.6692035999999997E-3</v>
      </c>
      <c r="E25">
        <v>0.94918773000000001</v>
      </c>
      <c r="F25">
        <v>6.6778150999999997E-3</v>
      </c>
      <c r="G25">
        <f t="shared" si="6"/>
        <v>9.1158099964416905</v>
      </c>
      <c r="H25">
        <f t="shared" si="7"/>
        <v>1.45187405515027</v>
      </c>
      <c r="I25">
        <f t="shared" si="8"/>
        <v>9.1158381300302995</v>
      </c>
      <c r="J25">
        <f t="shared" si="9"/>
        <v>1.45087841593736</v>
      </c>
      <c r="K25" s="7">
        <f t="shared" si="10"/>
        <v>-2.81335886089806E-5</v>
      </c>
      <c r="L25" s="7">
        <f t="shared" si="11"/>
        <v>9.9563921291001599E-4</v>
      </c>
      <c r="M25" s="7">
        <f t="shared" si="12"/>
        <v>0.10698894365379601</v>
      </c>
      <c r="N25" s="7">
        <f t="shared" si="13"/>
        <v>-1.7028379275391501E-2</v>
      </c>
      <c r="O25">
        <v>-0.99477179000000004</v>
      </c>
      <c r="P25">
        <v>-10.130231</v>
      </c>
      <c r="Q25">
        <v>-4.9725964999999999</v>
      </c>
      <c r="R25">
        <v>-8.9311641000000002</v>
      </c>
      <c r="S25">
        <f t="shared" si="14"/>
        <v>1.004243709082187</v>
      </c>
      <c r="T25">
        <f t="shared" si="15"/>
        <v>-23.499341250084136</v>
      </c>
      <c r="U25" s="8"/>
      <c r="V25" s="8"/>
    </row>
    <row r="26" spans="1:22" x14ac:dyDescent="0.35">
      <c r="A26">
        <v>1.7</v>
      </c>
      <c r="B26" s="9">
        <v>17</v>
      </c>
      <c r="C26">
        <v>-4.1311782999999998E-2</v>
      </c>
      <c r="D26" s="4">
        <v>2.5641232999999999E-2</v>
      </c>
      <c r="E26">
        <v>0.95860365999999997</v>
      </c>
      <c r="F26">
        <v>2.3775315000000002E-2</v>
      </c>
      <c r="G26">
        <f t="shared" si="6"/>
        <v>8.4100099489428395</v>
      </c>
      <c r="H26">
        <f t="shared" si="7"/>
        <v>5.3240175216091901</v>
      </c>
      <c r="I26">
        <f t="shared" si="8"/>
        <v>8.4099685391774308</v>
      </c>
      <c r="J26">
        <f t="shared" si="9"/>
        <v>5.3230844845281604</v>
      </c>
      <c r="K26" s="7">
        <f t="shared" si="10"/>
        <v>4.1409765408673097E-5</v>
      </c>
      <c r="L26" s="7">
        <f t="shared" si="11"/>
        <v>9.3303708102965299E-4</v>
      </c>
      <c r="M26" s="7">
        <f t="shared" si="12"/>
        <v>8.4895325006488095E-2</v>
      </c>
      <c r="N26" s="7">
        <f t="shared" si="13"/>
        <v>-5.3734444456698602E-2</v>
      </c>
      <c r="O26">
        <v>-4.3112174999999997</v>
      </c>
      <c r="P26">
        <v>-8.1479338000000006</v>
      </c>
      <c r="Q26">
        <v>-7.1970286000000003</v>
      </c>
      <c r="R26">
        <v>-5.7437633000000003</v>
      </c>
      <c r="S26">
        <f t="shared" si="14"/>
        <v>0.99889681369487604</v>
      </c>
      <c r="T26">
        <f t="shared" si="15"/>
        <v>-23.523415829327249</v>
      </c>
      <c r="U26" s="8"/>
      <c r="V26" s="8"/>
    </row>
    <row r="27" spans="1:22" x14ac:dyDescent="0.35">
      <c r="A27">
        <v>1.9750000000000001</v>
      </c>
      <c r="B27" s="9">
        <v>15</v>
      </c>
      <c r="C27">
        <v>-1.3637811999999999E-2</v>
      </c>
      <c r="D27" s="4">
        <v>-2.2257104999999999E-2</v>
      </c>
      <c r="E27">
        <v>0.98625737000000002</v>
      </c>
      <c r="F27">
        <v>-2.478576E-2</v>
      </c>
      <c r="G27">
        <f t="shared" si="6"/>
        <v>8.7416831724368596</v>
      </c>
      <c r="H27">
        <f t="shared" si="7"/>
        <v>-15.877638058220599</v>
      </c>
      <c r="I27">
        <f t="shared" si="8"/>
        <v>8.7416323594628604</v>
      </c>
      <c r="J27">
        <f t="shared" si="9"/>
        <v>-15.8789025162339</v>
      </c>
      <c r="K27" s="7">
        <f t="shared" si="10"/>
        <v>5.0812973999114802E-5</v>
      </c>
      <c r="L27" s="7">
        <f t="shared" si="11"/>
        <v>1.264458013301E-3</v>
      </c>
      <c r="M27" s="7">
        <f t="shared" si="12"/>
        <v>2.6606243183704501E-2</v>
      </c>
      <c r="N27" s="7">
        <f t="shared" si="13"/>
        <v>4.8329410854246302E-2</v>
      </c>
      <c r="O27">
        <v>4.8939463999999999</v>
      </c>
      <c r="P27">
        <v>-2.5678804</v>
      </c>
      <c r="Q27">
        <v>3.3551823999999999</v>
      </c>
      <c r="R27">
        <v>-4.1499585999999997</v>
      </c>
      <c r="S27">
        <f t="shared" si="14"/>
        <v>0.96560026472726457</v>
      </c>
      <c r="T27">
        <f t="shared" si="15"/>
        <v>-23.35871269247065</v>
      </c>
      <c r="U27" s="8"/>
      <c r="V27" s="8"/>
    </row>
    <row r="28" spans="1:22" x14ac:dyDescent="0.35">
      <c r="A28">
        <v>1.9750000000000001</v>
      </c>
      <c r="B28" s="9">
        <v>15.5</v>
      </c>
      <c r="C28">
        <v>-2.7630495000000001E-2</v>
      </c>
      <c r="D28">
        <v>-2.8299696999999999E-2</v>
      </c>
      <c r="E28">
        <v>0.97221785999999999</v>
      </c>
      <c r="F28">
        <v>-3.0772272999999999E-2</v>
      </c>
      <c r="G28">
        <f t="shared" si="6"/>
        <v>7.9470107969134203</v>
      </c>
      <c r="H28">
        <f t="shared" si="7"/>
        <v>-9.0041759563643406</v>
      </c>
      <c r="I28">
        <f t="shared" si="8"/>
        <v>7.9469364974173304</v>
      </c>
      <c r="J28">
        <f t="shared" si="9"/>
        <v>-9.0054124299724307</v>
      </c>
      <c r="K28" s="7">
        <f t="shared" si="10"/>
        <v>7.4299496089835797E-5</v>
      </c>
      <c r="L28" s="7">
        <f t="shared" si="11"/>
        <v>1.2364736080900901E-3</v>
      </c>
      <c r="M28" s="7">
        <f t="shared" si="12"/>
        <v>5.5090935760595199E-2</v>
      </c>
      <c r="N28" s="7">
        <f t="shared" si="13"/>
        <v>6.2428660130669202E-2</v>
      </c>
      <c r="O28">
        <v>5.8316965999999999</v>
      </c>
      <c r="P28">
        <v>-5.0375309000000001</v>
      </c>
      <c r="Q28">
        <v>3.2817718</v>
      </c>
      <c r="R28">
        <v>-6.7959817999999999</v>
      </c>
      <c r="S28">
        <f t="shared" si="14"/>
        <v>0.97932666574559946</v>
      </c>
      <c r="T28">
        <f t="shared" si="15"/>
        <v>-23.403076425419709</v>
      </c>
      <c r="U28" s="8"/>
      <c r="V28" s="8"/>
    </row>
    <row r="29" spans="1:22" x14ac:dyDescent="0.35">
      <c r="A29">
        <v>1.9750000000000001</v>
      </c>
      <c r="B29" s="9">
        <v>16</v>
      </c>
      <c r="C29">
        <v>-5.2601193999999997E-2</v>
      </c>
      <c r="D29">
        <v>-2.3038155000000001E-2</v>
      </c>
      <c r="E29">
        <v>0.94720738000000004</v>
      </c>
      <c r="F29">
        <v>-2.5409977E-2</v>
      </c>
      <c r="G29">
        <f t="shared" si="6"/>
        <v>7.3330614092902398</v>
      </c>
      <c r="H29">
        <f t="shared" si="7"/>
        <v>-3.60013921406351</v>
      </c>
      <c r="I29">
        <f t="shared" si="8"/>
        <v>7.3329670939152196</v>
      </c>
      <c r="J29">
        <f t="shared" si="9"/>
        <v>-3.6013253504418299</v>
      </c>
      <c r="K29" s="7">
        <f t="shared" si="10"/>
        <v>9.4315375020137497E-5</v>
      </c>
      <c r="L29" s="7">
        <f t="shared" si="11"/>
        <v>1.1861363783198799E-3</v>
      </c>
      <c r="M29" s="7">
        <f t="shared" si="12"/>
        <v>0.109870434100048</v>
      </c>
      <c r="N29" s="7">
        <f t="shared" si="13"/>
        <v>5.39589465656925E-2</v>
      </c>
      <c r="O29">
        <v>4.7172071999999998</v>
      </c>
      <c r="P29">
        <v>-9.3101041999999996</v>
      </c>
      <c r="Q29">
        <v>0.61827858999999996</v>
      </c>
      <c r="R29">
        <v>-10.34019</v>
      </c>
      <c r="S29">
        <f t="shared" si="14"/>
        <v>0.99249786154691422</v>
      </c>
      <c r="T29">
        <f t="shared" si="15"/>
        <v>-23.448388197289155</v>
      </c>
      <c r="U29" s="8"/>
      <c r="V29" s="8"/>
    </row>
    <row r="30" spans="1:22" x14ac:dyDescent="0.35">
      <c r="A30">
        <v>1.9750000000000001</v>
      </c>
      <c r="B30" s="9">
        <v>16.5</v>
      </c>
      <c r="C30">
        <v>-6.7365827000000003E-2</v>
      </c>
      <c r="D30">
        <v>7.1579753999999997E-3</v>
      </c>
      <c r="E30">
        <v>0.93271629</v>
      </c>
      <c r="F30">
        <v>4.8498174000000003E-3</v>
      </c>
      <c r="G30">
        <f t="shared" si="6"/>
        <v>6.8680695673614904</v>
      </c>
      <c r="H30">
        <f t="shared" si="7"/>
        <v>0.65764948612782603</v>
      </c>
      <c r="I30">
        <f t="shared" si="8"/>
        <v>6.8681119559082902</v>
      </c>
      <c r="J30">
        <f t="shared" si="9"/>
        <v>0.65649550342835705</v>
      </c>
      <c r="K30" s="7">
        <f t="shared" si="10"/>
        <v>-4.23885467997209E-5</v>
      </c>
      <c r="L30" s="7">
        <f t="shared" si="11"/>
        <v>1.1539826994689799E-3</v>
      </c>
      <c r="M30" s="7">
        <f t="shared" si="12"/>
        <v>0.14428216108359199</v>
      </c>
      <c r="N30" s="7">
        <f t="shared" si="13"/>
        <v>-1.3791357884727099E-2</v>
      </c>
      <c r="O30">
        <v>-0.62377680999999996</v>
      </c>
      <c r="P30">
        <v>-11.609885999999999</v>
      </c>
      <c r="Q30">
        <v>-5.2196407999999996</v>
      </c>
      <c r="R30">
        <v>-10.439469000000001</v>
      </c>
      <c r="S30">
        <f t="shared" si="14"/>
        <v>1.0038711278601979</v>
      </c>
      <c r="T30">
        <f t="shared" si="15"/>
        <v>-23.489204922827895</v>
      </c>
      <c r="U30" s="8"/>
      <c r="V30" s="8"/>
    </row>
    <row r="31" spans="1:22" x14ac:dyDescent="0.35">
      <c r="A31">
        <v>1.9750000000000001</v>
      </c>
      <c r="B31" s="9">
        <v>17</v>
      </c>
      <c r="C31">
        <v>-5.6687214E-2</v>
      </c>
      <c r="D31">
        <v>3.0578278E-2</v>
      </c>
      <c r="E31">
        <v>0.94323235999999999</v>
      </c>
      <c r="F31">
        <v>2.8363723E-2</v>
      </c>
      <c r="G31">
        <f t="shared" si="6"/>
        <v>6.4407829856771803</v>
      </c>
      <c r="H31">
        <f t="shared" si="7"/>
        <v>3.60641517051197</v>
      </c>
      <c r="I31">
        <f t="shared" si="8"/>
        <v>6.4407439972699203</v>
      </c>
      <c r="J31">
        <f t="shared" si="9"/>
        <v>3.6053078053105101</v>
      </c>
      <c r="K31" s="7">
        <f t="shared" si="10"/>
        <v>3.8988407260021097E-5</v>
      </c>
      <c r="L31" s="7">
        <f t="shared" si="11"/>
        <v>1.10736520145993E-3</v>
      </c>
      <c r="M31" s="7">
        <f t="shared" si="12"/>
        <v>0.118219075378239</v>
      </c>
      <c r="N31" s="7">
        <f t="shared" si="13"/>
        <v>-6.6174987762038298E-2</v>
      </c>
      <c r="O31">
        <v>-4.6729956000000001</v>
      </c>
      <c r="P31">
        <v>-9.8087166999999997</v>
      </c>
      <c r="Q31">
        <v>-8.0495248999999998</v>
      </c>
      <c r="R31">
        <v>-7.0173614000000004</v>
      </c>
      <c r="S31">
        <f t="shared" si="14"/>
        <v>0.98287034209093904</v>
      </c>
      <c r="T31">
        <f t="shared" si="15"/>
        <v>-23.445233542714877</v>
      </c>
      <c r="U31" s="8"/>
      <c r="V31" s="8"/>
    </row>
    <row r="32" spans="1:22" x14ac:dyDescent="0.35">
      <c r="A32">
        <v>2.25</v>
      </c>
      <c r="B32" s="9">
        <v>15</v>
      </c>
      <c r="C32">
        <v>-1.7153554000000001E-2</v>
      </c>
      <c r="D32">
        <v>-2.9188189E-2</v>
      </c>
      <c r="E32">
        <v>0.98282263999999997</v>
      </c>
      <c r="F32">
        <v>-3.1962101E-2</v>
      </c>
      <c r="G32">
        <f t="shared" si="6"/>
        <v>6.4807138249890697</v>
      </c>
      <c r="H32">
        <f t="shared" si="7"/>
        <v>-12.4333585009717</v>
      </c>
      <c r="I32">
        <f t="shared" si="8"/>
        <v>6.48070384555934</v>
      </c>
      <c r="J32">
        <f t="shared" si="9"/>
        <v>-12.4347454873221</v>
      </c>
      <c r="K32" s="7">
        <f t="shared" si="10"/>
        <v>9.9794297296895706E-6</v>
      </c>
      <c r="L32" s="7">
        <f t="shared" si="11"/>
        <v>1.3869863504005801E-3</v>
      </c>
      <c r="M32" s="7">
        <f t="shared" si="12"/>
        <v>3.2960147283365299E-2</v>
      </c>
      <c r="N32" s="7">
        <f t="shared" si="13"/>
        <v>6.3241748498372302E-2</v>
      </c>
      <c r="O32">
        <v>5.4111918000000001</v>
      </c>
      <c r="P32">
        <v>-2.8299878999999999</v>
      </c>
      <c r="Q32">
        <v>3.7212212999999998</v>
      </c>
      <c r="R32">
        <v>-4.5875266999999997</v>
      </c>
      <c r="S32">
        <f t="shared" si="14"/>
        <v>0.96732692056441549</v>
      </c>
      <c r="T32">
        <f t="shared" si="15"/>
        <v>-23.343370906779551</v>
      </c>
      <c r="U32" s="8"/>
      <c r="V32" s="8"/>
    </row>
    <row r="33" spans="1:22" x14ac:dyDescent="0.35">
      <c r="A33">
        <v>2.25</v>
      </c>
      <c r="B33" s="9">
        <v>15.5</v>
      </c>
      <c r="C33">
        <v>-3.4004850000000003E-2</v>
      </c>
      <c r="D33">
        <v>-3.6744159999999998E-2</v>
      </c>
      <c r="E33">
        <v>0.96588373999999999</v>
      </c>
      <c r="F33">
        <v>-3.9627638999999999E-2</v>
      </c>
      <c r="G33">
        <f t="shared" si="6"/>
        <v>6.0043920284356602</v>
      </c>
      <c r="H33">
        <f t="shared" si="7"/>
        <v>-7.29143962743417</v>
      </c>
      <c r="I33">
        <f t="shared" si="8"/>
        <v>6.0043383992883301</v>
      </c>
      <c r="J33">
        <f t="shared" si="9"/>
        <v>-7.2928815245743301</v>
      </c>
      <c r="K33" s="7">
        <f t="shared" si="10"/>
        <v>5.36291473300921E-5</v>
      </c>
      <c r="L33" s="7">
        <f t="shared" si="11"/>
        <v>1.44189714016019E-3</v>
      </c>
      <c r="M33" s="7">
        <f t="shared" si="12"/>
        <v>6.7284395725621504E-2</v>
      </c>
      <c r="N33" s="7">
        <f t="shared" si="13"/>
        <v>8.1723762694270105E-2</v>
      </c>
      <c r="O33">
        <v>6.4401035999999996</v>
      </c>
      <c r="P33">
        <v>-5.4366231999999997</v>
      </c>
      <c r="Q33">
        <v>3.6879526</v>
      </c>
      <c r="R33">
        <v>-7.4104653000000003</v>
      </c>
      <c r="S33">
        <f t="shared" si="14"/>
        <v>0.98213127447778403</v>
      </c>
      <c r="T33">
        <f t="shared" si="15"/>
        <v>-23.371458234886695</v>
      </c>
      <c r="U33" s="8"/>
      <c r="V33" s="8"/>
    </row>
    <row r="34" spans="1:22" x14ac:dyDescent="0.35">
      <c r="A34">
        <v>2.25</v>
      </c>
      <c r="B34" s="9">
        <v>16</v>
      </c>
      <c r="C34">
        <v>-6.4223008999999998E-2</v>
      </c>
      <c r="D34">
        <v>-3.1748423999999997E-2</v>
      </c>
      <c r="E34">
        <v>0.93581424999999996</v>
      </c>
      <c r="F34">
        <v>-3.4532293999999998E-2</v>
      </c>
      <c r="G34">
        <f t="shared" si="6"/>
        <v>5.6492622823179897</v>
      </c>
      <c r="H34">
        <f t="shared" si="7"/>
        <v>-3.1733725890473101</v>
      </c>
      <c r="I34">
        <f t="shared" si="8"/>
        <v>5.6492828488419402</v>
      </c>
      <c r="J34">
        <f t="shared" si="9"/>
        <v>-3.1747644694900101</v>
      </c>
      <c r="K34" s="7">
        <f t="shared" si="10"/>
        <v>-2.0566523950549301E-5</v>
      </c>
      <c r="L34" s="7">
        <f t="shared" si="11"/>
        <v>1.3918804427E-3</v>
      </c>
      <c r="M34" s="7">
        <f t="shared" si="12"/>
        <v>0.134527470487009</v>
      </c>
      <c r="N34" s="7">
        <f t="shared" si="13"/>
        <v>7.5601283366449307E-2</v>
      </c>
      <c r="O34">
        <v>5.4764283000000002</v>
      </c>
      <c r="P34">
        <v>-9.9839967000000005</v>
      </c>
      <c r="Q34">
        <v>1.0523686000000001</v>
      </c>
      <c r="R34">
        <v>-11.275161000000001</v>
      </c>
      <c r="S34">
        <f t="shared" si="14"/>
        <v>0.99445247062400577</v>
      </c>
      <c r="T34">
        <f t="shared" si="15"/>
        <v>-23.413416738584061</v>
      </c>
      <c r="U34" s="8"/>
      <c r="V34" s="8"/>
    </row>
    <row r="35" spans="1:22" x14ac:dyDescent="0.35">
      <c r="A35">
        <v>2.25</v>
      </c>
      <c r="B35" s="9">
        <v>16.5</v>
      </c>
      <c r="C35">
        <v>-8.5380218999999993E-2</v>
      </c>
      <c r="D35">
        <v>3.3994088999999999E-3</v>
      </c>
      <c r="E35">
        <v>0.91475799999999996</v>
      </c>
      <c r="F35">
        <v>4.5980813E-4</v>
      </c>
      <c r="G35">
        <f t="shared" si="6"/>
        <v>5.35786887360769</v>
      </c>
      <c r="H35">
        <f t="shared" si="7"/>
        <v>0.13323175412774799</v>
      </c>
      <c r="I35">
        <f t="shared" si="8"/>
        <v>5.35794013819255</v>
      </c>
      <c r="J35">
        <f t="shared" si="9"/>
        <v>0.131762160050374</v>
      </c>
      <c r="K35" s="7">
        <f t="shared" si="10"/>
        <v>-7.12645848599536E-5</v>
      </c>
      <c r="L35" s="7">
        <f t="shared" si="11"/>
        <v>1.4695940773739901E-3</v>
      </c>
      <c r="M35" s="7">
        <f t="shared" si="12"/>
        <v>0.186526085784194</v>
      </c>
      <c r="N35" s="7">
        <f t="shared" si="13"/>
        <v>-4.5870389244321904E-3</v>
      </c>
      <c r="O35">
        <v>3.0735541000000001E-3</v>
      </c>
      <c r="P35">
        <v>-12.928138000000001</v>
      </c>
      <c r="Q35">
        <v>-5.1725760000000003</v>
      </c>
      <c r="R35">
        <v>-11.932757000000001</v>
      </c>
      <c r="S35">
        <f t="shared" si="14"/>
        <v>1.0059934947900393</v>
      </c>
      <c r="T35">
        <f t="shared" si="15"/>
        <v>-23.449245377212222</v>
      </c>
      <c r="U35" s="8"/>
      <c r="V35" s="8"/>
    </row>
    <row r="36" spans="1:22" x14ac:dyDescent="0.35">
      <c r="A36">
        <v>2.25</v>
      </c>
      <c r="B36" s="9">
        <v>17</v>
      </c>
      <c r="C36">
        <v>-7.4659418000000005E-2</v>
      </c>
      <c r="D36">
        <v>3.4830693000000003E-2</v>
      </c>
      <c r="E36">
        <v>0.92535487000000005</v>
      </c>
      <c r="F36">
        <v>3.2099447000000003E-2</v>
      </c>
      <c r="G36">
        <f t="shared" si="6"/>
        <v>5.0769932104330904</v>
      </c>
      <c r="H36">
        <f t="shared" si="7"/>
        <v>2.5007354970203299</v>
      </c>
      <c r="I36">
        <f t="shared" si="8"/>
        <v>5.0770022192647897</v>
      </c>
      <c r="J36">
        <f t="shared" si="9"/>
        <v>2.49936989607885</v>
      </c>
      <c r="K36" s="7">
        <f t="shared" si="10"/>
        <v>-9.0088316992975592E-6</v>
      </c>
      <c r="L36" s="7">
        <f t="shared" si="11"/>
        <v>1.36560094147997E-3</v>
      </c>
      <c r="M36" s="7">
        <f t="shared" si="12"/>
        <v>0.15854335022003599</v>
      </c>
      <c r="N36" s="7">
        <f t="shared" si="13"/>
        <v>-7.80496954009266E-2</v>
      </c>
      <c r="O36">
        <v>-4.7131395999999999</v>
      </c>
      <c r="P36">
        <v>-11.171326000000001</v>
      </c>
      <c r="Q36">
        <v>-8.7843166000000004</v>
      </c>
      <c r="R36">
        <v>-8.4011636000000003</v>
      </c>
      <c r="S36">
        <f t="shared" si="14"/>
        <v>1.0024849998677303</v>
      </c>
      <c r="T36">
        <f t="shared" si="15"/>
        <v>-23.402512234782613</v>
      </c>
      <c r="U36" s="8"/>
      <c r="V36" s="8"/>
    </row>
    <row r="37" spans="1:22" x14ac:dyDescent="0.35">
      <c r="A37">
        <v>2.5249999999999999</v>
      </c>
      <c r="B37" s="9">
        <v>15</v>
      </c>
      <c r="C37">
        <v>-2.0887088000000002E-2</v>
      </c>
      <c r="D37">
        <v>-3.6815052000000001E-2</v>
      </c>
      <c r="E37">
        <v>0.97914161</v>
      </c>
      <c r="F37">
        <v>-3.9853631E-2</v>
      </c>
      <c r="G37">
        <f t="shared" si="6"/>
        <v>4.9778459653347298</v>
      </c>
      <c r="H37">
        <f t="shared" si="7"/>
        <v>-10.059728232637401</v>
      </c>
      <c r="I37">
        <f t="shared" si="8"/>
        <v>4.9778626222647304</v>
      </c>
      <c r="J37">
        <f t="shared" si="9"/>
        <v>-10.061247475031101</v>
      </c>
      <c r="K37" s="7">
        <f t="shared" si="10"/>
        <v>-1.6656930000635802E-5</v>
      </c>
      <c r="L37" s="7">
        <f t="shared" si="11"/>
        <v>1.51924239369983E-3</v>
      </c>
      <c r="M37" s="7">
        <f t="shared" si="12"/>
        <v>3.9504395355774803E-2</v>
      </c>
      <c r="N37" s="7">
        <f t="shared" si="13"/>
        <v>7.9846216777491097E-2</v>
      </c>
      <c r="O37">
        <v>5.9078416000000002</v>
      </c>
      <c r="P37">
        <v>-3.0786023999999999</v>
      </c>
      <c r="Q37">
        <v>4.0854838000000004</v>
      </c>
      <c r="R37">
        <v>-5.0103507</v>
      </c>
      <c r="S37">
        <f t="shared" si="14"/>
        <v>0.97043298765940245</v>
      </c>
      <c r="T37">
        <f t="shared" si="15"/>
        <v>-23.281677016068873</v>
      </c>
      <c r="U37" s="8"/>
      <c r="V37" s="8"/>
    </row>
    <row r="38" spans="1:22" x14ac:dyDescent="0.35">
      <c r="A38">
        <v>2.5249999999999999</v>
      </c>
      <c r="B38" s="9">
        <v>15.5</v>
      </c>
      <c r="C38">
        <v>-4.0798557999999999E-2</v>
      </c>
      <c r="D38">
        <v>-4.5890892000000003E-2</v>
      </c>
      <c r="E38">
        <v>0.95916787999999997</v>
      </c>
      <c r="F38">
        <v>-4.8980106000000002E-2</v>
      </c>
      <c r="G38">
        <f t="shared" si="6"/>
        <v>4.7113384752209599</v>
      </c>
      <c r="H38">
        <f t="shared" si="7"/>
        <v>-6.0558256490932898</v>
      </c>
      <c r="I38">
        <f t="shared" si="8"/>
        <v>4.7113240798645499</v>
      </c>
      <c r="J38">
        <f t="shared" si="9"/>
        <v>-6.0573703042493197</v>
      </c>
      <c r="K38" s="7">
        <f t="shared" si="10"/>
        <v>1.4395356410013001E-5</v>
      </c>
      <c r="L38" s="7">
        <f t="shared" si="11"/>
        <v>1.5446551560298601E-3</v>
      </c>
      <c r="M38" s="7">
        <f t="shared" si="12"/>
        <v>8.0004403468215093E-2</v>
      </c>
      <c r="N38" s="7">
        <f t="shared" si="13"/>
        <v>0.102862017038632</v>
      </c>
      <c r="O38">
        <v>7.0103702999999999</v>
      </c>
      <c r="P38">
        <v>-5.8204522000000001</v>
      </c>
      <c r="Q38">
        <v>4.0729126000000004</v>
      </c>
      <c r="R38">
        <v>-8.0021837999999992</v>
      </c>
      <c r="S38">
        <f t="shared" si="14"/>
        <v>0.98544388190783005</v>
      </c>
      <c r="T38">
        <f t="shared" si="15"/>
        <v>-23.323437761474278</v>
      </c>
      <c r="U38" s="8"/>
      <c r="V38" s="8"/>
    </row>
    <row r="39" spans="1:22" x14ac:dyDescent="0.35">
      <c r="A39">
        <v>2.5249999999999999</v>
      </c>
      <c r="B39" s="9">
        <v>16</v>
      </c>
      <c r="C39">
        <v>-7.6316292999999993E-2</v>
      </c>
      <c r="D39">
        <v>-4.1175842999999997E-2</v>
      </c>
      <c r="E39">
        <v>0.92368512999999997</v>
      </c>
      <c r="F39">
        <v>-4.4388113999999999E-2</v>
      </c>
      <c r="G39">
        <f t="shared" si="6"/>
        <v>4.48509998461543</v>
      </c>
      <c r="H39">
        <f t="shared" si="7"/>
        <v>-2.7938098647166898</v>
      </c>
      <c r="I39">
        <f t="shared" si="8"/>
        <v>4.4851032757740104</v>
      </c>
      <c r="J39">
        <f t="shared" si="9"/>
        <v>-2.7954159937878802</v>
      </c>
      <c r="K39" s="7">
        <f t="shared" si="10"/>
        <v>-3.2911585803319099E-6</v>
      </c>
      <c r="L39" s="7">
        <f t="shared" si="11"/>
        <v>1.6061290711903999E-3</v>
      </c>
      <c r="M39" s="7">
        <f t="shared" si="12"/>
        <v>0.16058083310355301</v>
      </c>
      <c r="N39" s="7">
        <f t="shared" si="13"/>
        <v>0.100084702971748</v>
      </c>
      <c r="O39">
        <v>6.1554742999999998</v>
      </c>
      <c r="P39">
        <v>-10.580747000000001</v>
      </c>
      <c r="Q39">
        <v>1.4520569000000001</v>
      </c>
      <c r="R39">
        <v>-12.137117</v>
      </c>
      <c r="S39">
        <f t="shared" si="14"/>
        <v>0.9985841994243817</v>
      </c>
      <c r="T39">
        <f t="shared" si="15"/>
        <v>-23.366899369447385</v>
      </c>
      <c r="U39" s="8"/>
      <c r="V39" s="8"/>
    </row>
    <row r="40" spans="1:22" x14ac:dyDescent="0.35">
      <c r="A40">
        <v>2.5249999999999999</v>
      </c>
      <c r="B40" s="9">
        <v>16.5</v>
      </c>
      <c r="C40">
        <v>-0.10410461</v>
      </c>
      <c r="D40">
        <v>-1.6049062E-3</v>
      </c>
      <c r="E40">
        <v>0.89586025999999996</v>
      </c>
      <c r="F40">
        <v>-4.9544525000000004E-3</v>
      </c>
      <c r="G40">
        <f t="shared" si="6"/>
        <v>4.2972988107805197</v>
      </c>
      <c r="H40">
        <f t="shared" si="7"/>
        <v>-0.150269472482218</v>
      </c>
      <c r="I40">
        <f t="shared" si="8"/>
        <v>4.29728405047703</v>
      </c>
      <c r="J40">
        <f t="shared" si="9"/>
        <v>-0.15194429977071899</v>
      </c>
      <c r="K40" s="7">
        <f t="shared" si="10"/>
        <v>1.4760303489680401E-5</v>
      </c>
      <c r="L40" s="7">
        <f t="shared" si="11"/>
        <v>1.6748272885009901E-3</v>
      </c>
      <c r="M40" s="7">
        <f t="shared" si="12"/>
        <v>0.23241455436788</v>
      </c>
      <c r="N40" s="7">
        <f t="shared" si="13"/>
        <v>8.2177641284920701E-3</v>
      </c>
      <c r="O40">
        <v>0.64861687000000001</v>
      </c>
      <c r="P40">
        <v>-14.06513</v>
      </c>
      <c r="Q40">
        <v>-5.0418386999999996</v>
      </c>
      <c r="R40">
        <v>-13.295273999999999</v>
      </c>
      <c r="S40">
        <f t="shared" si="14"/>
        <v>1.0098777984781719</v>
      </c>
      <c r="T40">
        <f t="shared" si="15"/>
        <v>-23.40808581145313</v>
      </c>
      <c r="U40" s="8"/>
      <c r="V40" s="8"/>
    </row>
    <row r="41" spans="1:22" x14ac:dyDescent="0.35">
      <c r="A41">
        <v>2.5249999999999999</v>
      </c>
      <c r="B41" s="9">
        <v>17</v>
      </c>
      <c r="C41">
        <v>-9.5062492999999998E-2</v>
      </c>
      <c r="D41">
        <v>3.7167013999999998E-2</v>
      </c>
      <c r="E41">
        <v>0.90491770999999999</v>
      </c>
      <c r="F41">
        <v>3.3753282000000003E-2</v>
      </c>
      <c r="G41">
        <f t="shared" si="6"/>
        <v>4.11687963508236</v>
      </c>
      <c r="H41">
        <f t="shared" si="7"/>
        <v>1.72285821375992</v>
      </c>
      <c r="I41">
        <f t="shared" si="8"/>
        <v>4.1168726499539599</v>
      </c>
      <c r="J41">
        <f t="shared" si="9"/>
        <v>1.7211513189415399</v>
      </c>
      <c r="K41" s="7">
        <f t="shared" si="10"/>
        <v>6.98512840013876E-6</v>
      </c>
      <c r="L41" s="7">
        <f t="shared" si="11"/>
        <v>1.70689481838004E-3</v>
      </c>
      <c r="M41" s="7">
        <f t="shared" si="12"/>
        <v>0.20676370743886899</v>
      </c>
      <c r="N41" s="7">
        <f t="shared" si="13"/>
        <v>-8.6442223995350495E-2</v>
      </c>
      <c r="O41">
        <v>-4.5873578000000004</v>
      </c>
      <c r="P41">
        <v>-12.89189</v>
      </c>
      <c r="Q41">
        <v>-9.2528486999999995</v>
      </c>
      <c r="R41">
        <v>-9.9401550000000007</v>
      </c>
      <c r="S41">
        <f t="shared" si="14"/>
        <v>0.99243367421141515</v>
      </c>
      <c r="T41">
        <f t="shared" si="15"/>
        <v>-23.361871416493049</v>
      </c>
      <c r="U41" s="8"/>
      <c r="V41" s="8"/>
    </row>
    <row r="42" spans="1:22" x14ac:dyDescent="0.35">
      <c r="A42">
        <v>2.8</v>
      </c>
      <c r="B42" s="9">
        <v>15</v>
      </c>
      <c r="C42">
        <v>-2.4577793000000001E-2</v>
      </c>
      <c r="D42">
        <v>-4.4445951999999997E-2</v>
      </c>
      <c r="E42">
        <v>0.97549098000000001</v>
      </c>
      <c r="F42">
        <v>-4.7845523000000001E-2</v>
      </c>
      <c r="G42">
        <f t="shared" si="6"/>
        <v>3.9921359121386701</v>
      </c>
      <c r="H42">
        <f t="shared" si="7"/>
        <v>-8.4451572308022893</v>
      </c>
      <c r="I42">
        <f t="shared" si="8"/>
        <v>3.99217318642062</v>
      </c>
      <c r="J42">
        <f t="shared" si="9"/>
        <v>-8.4468568944984899</v>
      </c>
      <c r="K42" s="7">
        <f t="shared" si="10"/>
        <v>-3.72742819498839E-5</v>
      </c>
      <c r="L42" s="7">
        <f t="shared" si="11"/>
        <v>1.69966369620056E-3</v>
      </c>
      <c r="M42" s="7">
        <f t="shared" si="12"/>
        <v>4.5736256131991997E-2</v>
      </c>
      <c r="N42" s="7">
        <f t="shared" si="13"/>
        <v>9.6771255252943097E-2</v>
      </c>
      <c r="O42">
        <v>6.3137156000000001</v>
      </c>
      <c r="P42">
        <v>-3.2659558</v>
      </c>
      <c r="Q42">
        <v>4.3963378000000004</v>
      </c>
      <c r="R42">
        <v>-5.3551541</v>
      </c>
      <c r="S42">
        <f t="shared" si="14"/>
        <v>0.97470444043040028</v>
      </c>
      <c r="T42">
        <f t="shared" si="15"/>
        <v>-23.263962250991788</v>
      </c>
      <c r="U42" s="8"/>
      <c r="V42" s="8"/>
    </row>
    <row r="43" spans="1:22" x14ac:dyDescent="0.35">
      <c r="A43">
        <v>2.8</v>
      </c>
      <c r="B43" s="9">
        <v>15.5</v>
      </c>
      <c r="C43">
        <v>-4.7011584000000002E-2</v>
      </c>
      <c r="D43">
        <v>-5.5126340000000003E-2</v>
      </c>
      <c r="E43">
        <v>0.95301190999999996</v>
      </c>
      <c r="F43">
        <v>-5.8641909999999998E-2</v>
      </c>
      <c r="G43">
        <f t="shared" si="6"/>
        <v>3.8160315106271798</v>
      </c>
      <c r="H43">
        <f t="shared" si="7"/>
        <v>-5.2228434585942196</v>
      </c>
      <c r="I43">
        <f t="shared" si="8"/>
        <v>3.8160463471788599</v>
      </c>
      <c r="J43">
        <f t="shared" si="9"/>
        <v>-5.2246011968665904</v>
      </c>
      <c r="K43" s="7">
        <f t="shared" si="10"/>
        <v>-1.48365516801086E-5</v>
      </c>
      <c r="L43" s="7">
        <f t="shared" si="11"/>
        <v>1.7577382723708E-3</v>
      </c>
      <c r="M43" s="7">
        <f t="shared" si="12"/>
        <v>9.11650223265313E-2</v>
      </c>
      <c r="N43" s="7">
        <f t="shared" si="13"/>
        <v>0.12481527775774701</v>
      </c>
      <c r="O43">
        <v>7.4970363999999998</v>
      </c>
      <c r="P43">
        <v>-6.0610311000000001</v>
      </c>
      <c r="Q43">
        <v>4.4380249999999997</v>
      </c>
      <c r="R43">
        <v>-8.4390025000000009</v>
      </c>
      <c r="S43">
        <f t="shared" si="14"/>
        <v>0.98902527586462541</v>
      </c>
      <c r="T43">
        <f t="shared" si="15"/>
        <v>-23.306317500077594</v>
      </c>
      <c r="U43" s="8"/>
      <c r="V43" s="8"/>
    </row>
    <row r="44" spans="1:22" x14ac:dyDescent="0.35">
      <c r="A44">
        <v>2.8</v>
      </c>
      <c r="B44" s="9">
        <v>16</v>
      </c>
      <c r="C44">
        <v>-8.6974916999999999E-2</v>
      </c>
      <c r="D44">
        <v>-5.1743875000000002E-2</v>
      </c>
      <c r="E44">
        <v>0.91302369000000005</v>
      </c>
      <c r="F44">
        <v>-5.5380968000000003E-2</v>
      </c>
      <c r="G44">
        <f t="shared" si="6"/>
        <v>3.66801646503338</v>
      </c>
      <c r="H44">
        <f t="shared" si="7"/>
        <v>-2.5658921070662002</v>
      </c>
      <c r="I44">
        <f t="shared" si="8"/>
        <v>3.66801907564024</v>
      </c>
      <c r="J44">
        <f t="shared" si="9"/>
        <v>-2.5677106500853002</v>
      </c>
      <c r="K44" s="7">
        <f t="shared" si="10"/>
        <v>-2.6106068600206798E-6</v>
      </c>
      <c r="L44" s="7">
        <f t="shared" si="11"/>
        <v>1.8185430191000099E-3</v>
      </c>
      <c r="M44" s="7">
        <f t="shared" si="12"/>
        <v>0.18296639102189199</v>
      </c>
      <c r="N44" s="7">
        <f t="shared" si="13"/>
        <v>0.12808132704505701</v>
      </c>
      <c r="O44">
        <v>6.8629933999999997</v>
      </c>
      <c r="P44">
        <v>-10.899050000000001</v>
      </c>
      <c r="Q44">
        <v>1.9854527</v>
      </c>
      <c r="R44">
        <v>-12.756004000000001</v>
      </c>
      <c r="S44">
        <f t="shared" si="14"/>
        <v>1.0023111856906395</v>
      </c>
      <c r="T44">
        <f t="shared" si="15"/>
        <v>-23.351087048349999</v>
      </c>
      <c r="U44" s="8"/>
      <c r="V44" s="8"/>
    </row>
    <row r="45" spans="1:22" x14ac:dyDescent="0.35">
      <c r="A45">
        <v>2.8</v>
      </c>
      <c r="B45" s="9">
        <v>16.5</v>
      </c>
      <c r="C45">
        <v>-0.12257358</v>
      </c>
      <c r="D45">
        <v>-1.0127140999999999E-2</v>
      </c>
      <c r="E45">
        <v>0.87745242000000001</v>
      </c>
      <c r="F45">
        <v>-1.4005943E-2</v>
      </c>
      <c r="G45">
        <f t="shared" si="6"/>
        <v>3.5404421651254698</v>
      </c>
      <c r="H45">
        <f t="shared" si="7"/>
        <v>-0.396827615279221</v>
      </c>
      <c r="I45">
        <f t="shared" si="8"/>
        <v>3.5404589260718899</v>
      </c>
      <c r="J45">
        <f t="shared" si="9"/>
        <v>-0.39876695856156302</v>
      </c>
      <c r="K45" s="7">
        <f t="shared" si="10"/>
        <v>-1.6760946420113498E-5</v>
      </c>
      <c r="L45" s="7">
        <f t="shared" si="11"/>
        <v>1.93934328234202E-3</v>
      </c>
      <c r="M45" s="7">
        <f t="shared" si="12"/>
        <v>0.27891103829113101</v>
      </c>
      <c r="N45" s="7">
        <f t="shared" si="13"/>
        <v>3.1414149626076901E-2</v>
      </c>
      <c r="O45">
        <v>1.6059106000000001</v>
      </c>
      <c r="P45">
        <v>-14.971819999999999</v>
      </c>
      <c r="Q45">
        <v>-4.5312878000000003</v>
      </c>
      <c r="R45">
        <v>-14.576715999999999</v>
      </c>
      <c r="S45">
        <f t="shared" si="14"/>
        <v>1.0137517709431878</v>
      </c>
      <c r="T45">
        <f t="shared" si="15"/>
        <v>-23.39053616044793</v>
      </c>
      <c r="U45" s="8"/>
      <c r="V45" s="8"/>
    </row>
    <row r="46" spans="1:22" x14ac:dyDescent="0.35">
      <c r="A46">
        <v>2.8</v>
      </c>
      <c r="B46" s="9">
        <v>17</v>
      </c>
      <c r="C46">
        <v>-0.11724703</v>
      </c>
      <c r="D46">
        <v>3.7427057E-2</v>
      </c>
      <c r="E46">
        <v>0.88271759999999999</v>
      </c>
      <c r="F46">
        <v>3.3440723999999998E-2</v>
      </c>
      <c r="G46">
        <f t="shared" si="6"/>
        <v>3.4071183380206498</v>
      </c>
      <c r="H46">
        <f t="shared" si="7"/>
        <v>1.1816088764477299</v>
      </c>
      <c r="I46">
        <f t="shared" si="8"/>
        <v>3.4071046256155699</v>
      </c>
      <c r="J46">
        <f t="shared" si="9"/>
        <v>1.1796156473663699</v>
      </c>
      <c r="K46" s="7">
        <f t="shared" si="10"/>
        <v>1.37124050798576E-5</v>
      </c>
      <c r="L46" s="7">
        <f t="shared" si="11"/>
        <v>1.9932290813600199E-3</v>
      </c>
      <c r="M46" s="7">
        <f t="shared" si="12"/>
        <v>0.26208789438033098</v>
      </c>
      <c r="N46" s="7">
        <f t="shared" si="13"/>
        <v>-9.0740677251871696E-2</v>
      </c>
      <c r="O46">
        <v>-4.2211125000000003</v>
      </c>
      <c r="P46">
        <v>-14.43468</v>
      </c>
      <c r="Q46">
        <v>-9.5102297</v>
      </c>
      <c r="R46">
        <v>-11.480608999999999</v>
      </c>
      <c r="S46">
        <f t="shared" si="14"/>
        <v>0.99127646921476198</v>
      </c>
      <c r="T46">
        <f t="shared" si="15"/>
        <v>-23.337015947440026</v>
      </c>
      <c r="U46" s="8"/>
      <c r="V46" s="8"/>
    </row>
    <row r="47" spans="1:22" x14ac:dyDescent="0.35">
      <c r="A47">
        <v>3.0750000000000002</v>
      </c>
      <c r="B47" s="9">
        <v>15</v>
      </c>
      <c r="C47">
        <v>-2.8489756000000001E-2</v>
      </c>
      <c r="D47">
        <v>-5.2399901999999998E-2</v>
      </c>
      <c r="E47">
        <v>0.97160628999999998</v>
      </c>
      <c r="F47">
        <v>-5.6205297000000001E-2</v>
      </c>
      <c r="G47">
        <f t="shared" si="6"/>
        <v>3.2844299674987401</v>
      </c>
      <c r="H47">
        <f t="shared" si="7"/>
        <v>-7.2245503343538102</v>
      </c>
      <c r="I47">
        <f t="shared" si="8"/>
        <v>3.2844816079157999</v>
      </c>
      <c r="J47">
        <f t="shared" si="9"/>
        <v>-7.2264528422335603</v>
      </c>
      <c r="K47" s="7">
        <f t="shared" si="10"/>
        <v>-5.1640417059850597E-5</v>
      </c>
      <c r="L47" s="7">
        <f t="shared" si="11"/>
        <v>1.9025078797500999E-3</v>
      </c>
      <c r="M47" s="7">
        <f t="shared" si="12"/>
        <v>5.21268178543677E-2</v>
      </c>
      <c r="N47" s="7">
        <f t="shared" si="13"/>
        <v>0.114688415405474</v>
      </c>
      <c r="O47">
        <v>6.7979602000000003</v>
      </c>
      <c r="P47">
        <v>-3.5023358999999998</v>
      </c>
      <c r="Q47">
        <v>4.6812554999999998</v>
      </c>
      <c r="R47">
        <v>-5.6724452000000003</v>
      </c>
      <c r="S47">
        <f t="shared" si="14"/>
        <v>0.9617519957806443</v>
      </c>
      <c r="T47">
        <f t="shared" si="15"/>
        <v>-23.21072336049123</v>
      </c>
      <c r="U47" s="8"/>
      <c r="V47" s="8"/>
    </row>
    <row r="48" spans="1:22" x14ac:dyDescent="0.35">
      <c r="A48">
        <v>3.0750000000000002</v>
      </c>
      <c r="B48" s="9">
        <v>15.5</v>
      </c>
      <c r="C48">
        <v>-5.3551934000000002E-2</v>
      </c>
      <c r="D48">
        <v>-6.4614052000000005E-2</v>
      </c>
      <c r="E48">
        <v>0.94655213999999999</v>
      </c>
      <c r="F48">
        <v>-6.8654672E-2</v>
      </c>
      <c r="G48">
        <f t="shared" si="6"/>
        <v>3.1631555669983298</v>
      </c>
      <c r="H48">
        <f t="shared" si="7"/>
        <v>-4.5615016113606304</v>
      </c>
      <c r="I48">
        <f t="shared" si="8"/>
        <v>3.1632116822893401</v>
      </c>
      <c r="J48">
        <f t="shared" si="9"/>
        <v>-4.5635217028708404</v>
      </c>
      <c r="K48" s="7">
        <f t="shared" si="10"/>
        <v>-5.6115291010350197E-5</v>
      </c>
      <c r="L48" s="7">
        <f t="shared" si="11"/>
        <v>2.02009151020999E-3</v>
      </c>
      <c r="M48" s="7">
        <f t="shared" si="12"/>
        <v>0.10259628869182399</v>
      </c>
      <c r="N48" s="7">
        <f t="shared" si="13"/>
        <v>0.14801424536352401</v>
      </c>
      <c r="O48">
        <v>8.0614977000000003</v>
      </c>
      <c r="P48">
        <v>-6.3925383</v>
      </c>
      <c r="Q48">
        <v>4.7645752999999997</v>
      </c>
      <c r="R48">
        <v>-8.8384070000000001</v>
      </c>
      <c r="S48">
        <f t="shared" si="14"/>
        <v>0.97593351965742992</v>
      </c>
      <c r="T48">
        <f t="shared" si="15"/>
        <v>-23.258531583556348</v>
      </c>
      <c r="U48" s="8"/>
      <c r="V48" s="8"/>
    </row>
    <row r="49" spans="1:22" x14ac:dyDescent="0.35">
      <c r="A49">
        <v>3.0750000000000002</v>
      </c>
      <c r="B49" s="9">
        <v>16</v>
      </c>
      <c r="C49">
        <v>-9.7728336999999998E-2</v>
      </c>
      <c r="D49">
        <v>-6.2498742000000003E-2</v>
      </c>
      <c r="E49">
        <v>0.90239338000000002</v>
      </c>
      <c r="F49">
        <v>-6.6834638000000002E-2</v>
      </c>
      <c r="G49">
        <f t="shared" si="6"/>
        <v>3.0590916265735499</v>
      </c>
      <c r="H49">
        <f t="shared" si="7"/>
        <v>-2.3554507844653698</v>
      </c>
      <c r="I49">
        <f t="shared" si="8"/>
        <v>3.0591571804884699</v>
      </c>
      <c r="J49">
        <f t="shared" si="9"/>
        <v>-2.3576184584264999</v>
      </c>
      <c r="K49" s="7">
        <f t="shared" si="10"/>
        <v>-6.5553914919913594E-5</v>
      </c>
      <c r="L49" s="7">
        <f t="shared" si="11"/>
        <v>2.1676739611300498E-3</v>
      </c>
      <c r="M49" s="7">
        <f t="shared" si="12"/>
        <v>0.20508122737728901</v>
      </c>
      <c r="N49" s="7">
        <f t="shared" si="13"/>
        <v>0.158051142394801</v>
      </c>
      <c r="O49">
        <v>7.6001687000000002</v>
      </c>
      <c r="P49">
        <v>-11.350863</v>
      </c>
      <c r="Q49">
        <v>2.4614364000000002</v>
      </c>
      <c r="R49">
        <v>-13.282719</v>
      </c>
      <c r="S49">
        <f t="shared" si="14"/>
        <v>0.98891156926406398</v>
      </c>
      <c r="T49">
        <f t="shared" si="15"/>
        <v>-23.306521206024364</v>
      </c>
      <c r="U49" s="8"/>
      <c r="V49" s="8"/>
    </row>
    <row r="50" spans="1:22" x14ac:dyDescent="0.35">
      <c r="A50">
        <v>3.0750000000000002</v>
      </c>
      <c r="B50" s="9">
        <v>16.5</v>
      </c>
      <c r="C50">
        <v>-0.14075947</v>
      </c>
      <c r="D50">
        <v>-1.9719687999999999E-2</v>
      </c>
      <c r="E50">
        <v>0.85931771999999995</v>
      </c>
      <c r="F50">
        <v>-2.4447026E-2</v>
      </c>
      <c r="G50">
        <f t="shared" si="6"/>
        <v>2.9677108405571899</v>
      </c>
      <c r="H50">
        <f t="shared" si="7"/>
        <v>-0.54301033350051697</v>
      </c>
      <c r="I50">
        <f t="shared" si="8"/>
        <v>2.9677550203207801</v>
      </c>
      <c r="J50">
        <f t="shared" si="9"/>
        <v>-0.54537380685592596</v>
      </c>
      <c r="K50" s="7">
        <f t="shared" si="10"/>
        <v>-4.4179763590168599E-5</v>
      </c>
      <c r="L50" s="7">
        <f t="shared" si="11"/>
        <v>2.3634733554089801E-3</v>
      </c>
      <c r="M50" s="7">
        <f t="shared" si="12"/>
        <v>0.32594774539261401</v>
      </c>
      <c r="N50" s="7">
        <f t="shared" si="13"/>
        <v>5.98982603091213E-2</v>
      </c>
      <c r="O50">
        <v>2.5726792999999999</v>
      </c>
      <c r="P50">
        <v>-15.962764</v>
      </c>
      <c r="Q50">
        <v>-3.9604539000000001</v>
      </c>
      <c r="R50">
        <v>-15.662281</v>
      </c>
      <c r="S50">
        <f t="shared" si="14"/>
        <v>0.99916525125230804</v>
      </c>
      <c r="T50">
        <f t="shared" si="15"/>
        <v>-23.346163951819946</v>
      </c>
      <c r="U50" s="8"/>
      <c r="V50" s="8"/>
    </row>
    <row r="51" spans="1:22" x14ac:dyDescent="0.35">
      <c r="A51">
        <v>3.0750000000000002</v>
      </c>
      <c r="B51" s="9">
        <v>17</v>
      </c>
      <c r="C51">
        <v>-0.14054398000000001</v>
      </c>
      <c r="D51">
        <v>3.5046857000000001E-2</v>
      </c>
      <c r="E51">
        <v>0.85944619</v>
      </c>
      <c r="F51">
        <v>3.0355071000000001E-2</v>
      </c>
      <c r="G51">
        <f t="shared" si="6"/>
        <v>2.8747912068916901</v>
      </c>
      <c r="H51">
        <f t="shared" si="7"/>
        <v>0.78637254622220298</v>
      </c>
      <c r="I51">
        <f t="shared" si="8"/>
        <v>2.8747917951323601</v>
      </c>
      <c r="J51">
        <f t="shared" si="9"/>
        <v>0.78402664307203895</v>
      </c>
      <c r="K51" s="7">
        <f t="shared" si="10"/>
        <v>-5.8824066995199999E-7</v>
      </c>
      <c r="L51" s="7">
        <f t="shared" si="11"/>
        <v>2.34590315016403E-3</v>
      </c>
      <c r="M51" s="7">
        <f t="shared" si="12"/>
        <v>0.323769694326907</v>
      </c>
      <c r="N51" s="7">
        <f t="shared" si="13"/>
        <v>-8.8299982976644598E-2</v>
      </c>
      <c r="O51">
        <v>-3.6615087000000002</v>
      </c>
      <c r="P51">
        <v>-16.078835000000002</v>
      </c>
      <c r="Q51">
        <v>-9.5012380000000007</v>
      </c>
      <c r="R51">
        <v>-13.016202</v>
      </c>
      <c r="S51">
        <f t="shared" si="14"/>
        <v>0.97723453866076593</v>
      </c>
      <c r="T51">
        <f t="shared" si="15"/>
        <v>-23.298996255474343</v>
      </c>
      <c r="U51" s="8"/>
      <c r="V51" s="8"/>
    </row>
    <row r="52" spans="1:22" x14ac:dyDescent="0.35">
      <c r="A52">
        <v>3.35</v>
      </c>
      <c r="B52" s="9">
        <v>15</v>
      </c>
      <c r="C52">
        <v>-3.2390138999999998E-2</v>
      </c>
      <c r="D52">
        <v>-6.0674989999999998E-2</v>
      </c>
      <c r="E52">
        <v>0.96758518999999998</v>
      </c>
      <c r="F52">
        <v>-6.4815017000000003E-2</v>
      </c>
      <c r="G52">
        <f t="shared" si="6"/>
        <v>2.7487920074215801</v>
      </c>
      <c r="H52">
        <f t="shared" si="7"/>
        <v>-6.2900034331278603</v>
      </c>
      <c r="I52">
        <f t="shared" si="8"/>
        <v>2.7487839568655099</v>
      </c>
      <c r="J52">
        <f t="shared" si="9"/>
        <v>-6.2920734888277901</v>
      </c>
      <c r="K52" s="7">
        <f t="shared" si="10"/>
        <v>8.0505560702270901E-6</v>
      </c>
      <c r="L52" s="7">
        <f t="shared" si="11"/>
        <v>2.0700556999298002E-3</v>
      </c>
      <c r="M52" s="7">
        <f t="shared" si="12"/>
        <v>5.8303649058028699E-2</v>
      </c>
      <c r="N52" s="7">
        <f t="shared" si="13"/>
        <v>0.13345932248464801</v>
      </c>
      <c r="O52">
        <v>7.1829105000000002</v>
      </c>
      <c r="P52">
        <v>-3.6797243000000002</v>
      </c>
      <c r="Q52">
        <v>4.9520904999999997</v>
      </c>
      <c r="R52">
        <v>-5.9675329000000001</v>
      </c>
      <c r="S52">
        <f t="shared" si="14"/>
        <v>0.96085222888829236</v>
      </c>
      <c r="T52">
        <f t="shared" si="15"/>
        <v>-23.187241831040538</v>
      </c>
      <c r="U52" s="8"/>
      <c r="V52" s="8"/>
    </row>
    <row r="53" spans="1:22" x14ac:dyDescent="0.35">
      <c r="A53">
        <v>3.35</v>
      </c>
      <c r="B53" s="9">
        <v>15.5</v>
      </c>
      <c r="C53">
        <v>-5.9895181999999998E-2</v>
      </c>
      <c r="D53">
        <v>-7.4448304000000007E-2</v>
      </c>
      <c r="E53">
        <v>0.94011595000000003</v>
      </c>
      <c r="F53">
        <v>-7.8868411999999999E-2</v>
      </c>
      <c r="G53">
        <f t="shared" si="6"/>
        <v>2.66431409999455</v>
      </c>
      <c r="H53">
        <f t="shared" si="7"/>
        <v>-4.0492052089087096</v>
      </c>
      <c r="I53">
        <f t="shared" si="8"/>
        <v>2.6643245501968398</v>
      </c>
      <c r="J53">
        <f t="shared" si="9"/>
        <v>-4.0514152275122397</v>
      </c>
      <c r="K53" s="7">
        <f t="shared" si="10"/>
        <v>-1.0450202289735699E-5</v>
      </c>
      <c r="L53" s="7">
        <f t="shared" si="11"/>
        <v>2.2100186035300998E-3</v>
      </c>
      <c r="M53" s="7">
        <f t="shared" si="12"/>
        <v>0.113314801816063</v>
      </c>
      <c r="N53" s="7">
        <f t="shared" si="13"/>
        <v>0.172308329909061</v>
      </c>
      <c r="O53">
        <v>8.5006207000000007</v>
      </c>
      <c r="P53">
        <v>-6.6079153000000002</v>
      </c>
      <c r="Q53">
        <v>5.0730737000000001</v>
      </c>
      <c r="R53">
        <v>-9.1868160000000003</v>
      </c>
      <c r="S53">
        <f t="shared" si="14"/>
        <v>0.97470077657535292</v>
      </c>
      <c r="T53">
        <f t="shared" si="15"/>
        <v>-23.232444143876062</v>
      </c>
      <c r="U53" s="8"/>
      <c r="V53" s="8"/>
    </row>
    <row r="54" spans="1:22" x14ac:dyDescent="0.35">
      <c r="A54">
        <v>3.35</v>
      </c>
      <c r="B54" s="9">
        <v>16</v>
      </c>
      <c r="C54">
        <v>-0.10792849</v>
      </c>
      <c r="D54">
        <v>-7.3848938000000003E-2</v>
      </c>
      <c r="E54">
        <v>0.8920901</v>
      </c>
      <c r="F54">
        <v>-7.8594021999999999E-2</v>
      </c>
      <c r="G54">
        <f t="shared" si="6"/>
        <v>2.5911229924665302</v>
      </c>
      <c r="H54">
        <f t="shared" si="7"/>
        <v>-2.1820262816957099</v>
      </c>
      <c r="I54">
        <f t="shared" si="8"/>
        <v>2.5911379161470398</v>
      </c>
      <c r="J54">
        <f t="shared" si="9"/>
        <v>-2.1843987662364102</v>
      </c>
      <c r="K54" s="7">
        <f t="shared" si="10"/>
        <v>-1.49236805095931E-5</v>
      </c>
      <c r="L54" s="7">
        <f t="shared" si="11"/>
        <v>2.3724845407002699E-3</v>
      </c>
      <c r="M54" s="7">
        <f t="shared" si="12"/>
        <v>0.22559895382839501</v>
      </c>
      <c r="N54" s="7">
        <f t="shared" si="13"/>
        <v>0.19018596939052601</v>
      </c>
      <c r="O54">
        <v>8.2151162000000006</v>
      </c>
      <c r="P54">
        <v>-11.588186</v>
      </c>
      <c r="Q54">
        <v>2.9302771999999999</v>
      </c>
      <c r="R54">
        <v>-13.717926</v>
      </c>
      <c r="S54">
        <f t="shared" si="14"/>
        <v>0.98751670424953775</v>
      </c>
      <c r="T54">
        <f t="shared" si="15"/>
        <v>-23.275953883497404</v>
      </c>
      <c r="U54" s="8"/>
      <c r="V54" s="8"/>
    </row>
    <row r="55" spans="1:22" x14ac:dyDescent="0.35">
      <c r="A55">
        <v>3.35</v>
      </c>
      <c r="B55" s="9">
        <v>16.5</v>
      </c>
      <c r="C55">
        <v>-0.15814371999999999</v>
      </c>
      <c r="D55">
        <v>-3.1000389999999999E-2</v>
      </c>
      <c r="E55">
        <v>0.84187701999999998</v>
      </c>
      <c r="F55">
        <v>-3.6193435000000003E-2</v>
      </c>
      <c r="G55">
        <f t="shared" si="6"/>
        <v>2.5253195701716198</v>
      </c>
      <c r="H55">
        <f t="shared" si="7"/>
        <v>-0.64146109326538303</v>
      </c>
      <c r="I55">
        <f t="shared" si="8"/>
        <v>2.5253366817379801</v>
      </c>
      <c r="J55">
        <f t="shared" si="9"/>
        <v>-0.64405754440961605</v>
      </c>
      <c r="K55" s="7">
        <f t="shared" si="10"/>
        <v>-1.7111566360306099E-5</v>
      </c>
      <c r="L55" s="7">
        <f t="shared" si="11"/>
        <v>2.5964511442330101E-3</v>
      </c>
      <c r="M55" s="7">
        <f t="shared" si="12"/>
        <v>0.37180304933881603</v>
      </c>
      <c r="N55" s="7">
        <f t="shared" si="13"/>
        <v>9.4824013246567501E-2</v>
      </c>
      <c r="O55">
        <v>3.5340012999999999</v>
      </c>
      <c r="P55">
        <v>-16.565107000000001</v>
      </c>
      <c r="Q55">
        <v>-3.3057644000000002</v>
      </c>
      <c r="R55">
        <v>-16.589396000000001</v>
      </c>
      <c r="S55">
        <f t="shared" si="14"/>
        <v>0.9986819154968386</v>
      </c>
      <c r="T55">
        <f t="shared" si="15"/>
        <v>-23.312639547817589</v>
      </c>
      <c r="U55" s="8"/>
      <c r="V55" s="8"/>
    </row>
    <row r="56" spans="1:22" x14ac:dyDescent="0.35">
      <c r="A56">
        <v>3.35</v>
      </c>
      <c r="B56" s="9">
        <v>17</v>
      </c>
      <c r="C56">
        <v>-0.16427167000000001</v>
      </c>
      <c r="D56">
        <v>3.0068704000000002E-2</v>
      </c>
      <c r="E56">
        <v>0.83572519000000001</v>
      </c>
      <c r="F56">
        <v>2.4664464000000001E-2</v>
      </c>
      <c r="G56">
        <f t="shared" si="6"/>
        <v>2.4615159285253601</v>
      </c>
      <c r="H56">
        <f t="shared" si="7"/>
        <v>0.494715967921527</v>
      </c>
      <c r="I56">
        <f t="shared" si="8"/>
        <v>2.4615216599564702</v>
      </c>
      <c r="J56">
        <f t="shared" si="9"/>
        <v>0.49201385916623003</v>
      </c>
      <c r="K56" s="7">
        <f t="shared" si="10"/>
        <v>-5.7314311101563897E-6</v>
      </c>
      <c r="L56" s="7">
        <f t="shared" si="11"/>
        <v>2.7021087552969699E-3</v>
      </c>
      <c r="M56" s="7">
        <f t="shared" si="12"/>
        <v>0.39064539115501801</v>
      </c>
      <c r="N56" s="7">
        <f t="shared" si="13"/>
        <v>-7.8082979969016905E-2</v>
      </c>
      <c r="O56">
        <v>-2.8478593000000001</v>
      </c>
      <c r="P56">
        <v>-17.205362999999998</v>
      </c>
      <c r="Q56">
        <v>-9.2884773999999997</v>
      </c>
      <c r="R56">
        <v>-14.484954999999999</v>
      </c>
      <c r="S56">
        <f t="shared" si="14"/>
        <v>0.98668517594963745</v>
      </c>
      <c r="T56">
        <f t="shared" si="15"/>
        <v>-23.271546449311799</v>
      </c>
      <c r="U56" s="8"/>
      <c r="V56" s="8"/>
    </row>
    <row r="57" spans="1:22" x14ac:dyDescent="0.35">
      <c r="A57">
        <v>3.625</v>
      </c>
      <c r="B57" s="9">
        <v>15</v>
      </c>
      <c r="C57">
        <v>-3.6262885000000002E-2</v>
      </c>
      <c r="D57">
        <v>-6.8888648999999996E-2</v>
      </c>
      <c r="E57">
        <v>0.96366653999999996</v>
      </c>
      <c r="F57">
        <v>-7.3398594999999997E-2</v>
      </c>
      <c r="G57">
        <f t="shared" si="6"/>
        <v>2.3451577764896401</v>
      </c>
      <c r="H57">
        <f t="shared" si="7"/>
        <v>-5.5752896819801396</v>
      </c>
      <c r="I57">
        <f t="shared" si="8"/>
        <v>2.3451275731600898</v>
      </c>
      <c r="J57">
        <f t="shared" si="9"/>
        <v>-5.5775448026654004</v>
      </c>
      <c r="K57" s="7">
        <f t="shared" si="10"/>
        <v>3.02033295502824E-5</v>
      </c>
      <c r="L57" s="7">
        <f t="shared" si="11"/>
        <v>2.2551206852607902E-3</v>
      </c>
      <c r="M57" s="7">
        <f t="shared" si="12"/>
        <v>6.4059420255536501E-2</v>
      </c>
      <c r="N57" s="7">
        <f t="shared" si="13"/>
        <v>0.15235601278039099</v>
      </c>
      <c r="O57">
        <v>7.5016609000000001</v>
      </c>
      <c r="P57">
        <v>-3.8293567999999998</v>
      </c>
      <c r="Q57">
        <v>5.1989122999999999</v>
      </c>
      <c r="R57">
        <v>-6.2336188000000003</v>
      </c>
      <c r="S57">
        <f t="shared" si="14"/>
        <v>0.96373284296960016</v>
      </c>
      <c r="T57">
        <f t="shared" si="15"/>
        <v>-23.12864047347345</v>
      </c>
      <c r="U57" s="8"/>
      <c r="V57" s="8"/>
    </row>
    <row r="58" spans="1:22" x14ac:dyDescent="0.35">
      <c r="A58">
        <v>3.625</v>
      </c>
      <c r="B58" s="9">
        <v>15.5</v>
      </c>
      <c r="C58">
        <v>-6.5957017000000007E-2</v>
      </c>
      <c r="D58">
        <v>-8.4055592999999998E-2</v>
      </c>
      <c r="E58">
        <v>0.93396820999999997</v>
      </c>
      <c r="F58">
        <v>-8.8915952000000006E-2</v>
      </c>
      <c r="G58">
        <f t="shared" si="6"/>
        <v>2.2881071611119301</v>
      </c>
      <c r="H58">
        <f t="shared" si="7"/>
        <v>-3.6525831413082299</v>
      </c>
      <c r="I58">
        <f t="shared" si="8"/>
        <v>2.2880756796140802</v>
      </c>
      <c r="J58">
        <f t="shared" si="9"/>
        <v>-3.6550134881760901</v>
      </c>
      <c r="K58" s="7">
        <f t="shared" si="10"/>
        <v>3.1481497849927799E-5</v>
      </c>
      <c r="L58" s="7">
        <f t="shared" si="11"/>
        <v>2.43034686786014E-3</v>
      </c>
      <c r="M58" s="7">
        <f t="shared" si="12"/>
        <v>0.123051777278299</v>
      </c>
      <c r="N58" s="7">
        <f t="shared" si="13"/>
        <v>0.19656513536828399</v>
      </c>
      <c r="O58">
        <v>8.8437713000000002</v>
      </c>
      <c r="P58">
        <v>-6.7575642</v>
      </c>
      <c r="Q58">
        <v>5.3518455999999999</v>
      </c>
      <c r="R58">
        <v>-9.4811189999999996</v>
      </c>
      <c r="S58">
        <f t="shared" si="14"/>
        <v>0.97819615629094747</v>
      </c>
      <c r="T58">
        <f t="shared" si="15"/>
        <v>-23.172796887265463</v>
      </c>
      <c r="U58" s="8"/>
      <c r="V58" s="8"/>
    </row>
    <row r="59" spans="1:22" x14ac:dyDescent="0.35">
      <c r="A59">
        <v>3.625</v>
      </c>
      <c r="B59" s="9">
        <v>16</v>
      </c>
      <c r="C59">
        <v>-0.11723084</v>
      </c>
      <c r="D59">
        <v>-8.5044325000000004E-2</v>
      </c>
      <c r="E59">
        <v>0.88265921000000003</v>
      </c>
      <c r="F59">
        <v>-9.0247728999999999E-2</v>
      </c>
      <c r="G59">
        <f t="shared" si="6"/>
        <v>2.2355165098652399</v>
      </c>
      <c r="H59">
        <f t="shared" si="7"/>
        <v>-2.0428937134901002</v>
      </c>
      <c r="I59">
        <f t="shared" si="8"/>
        <v>2.23546830176676</v>
      </c>
      <c r="J59">
        <f t="shared" si="9"/>
        <v>-2.0454956839565299</v>
      </c>
      <c r="K59" s="7">
        <f t="shared" si="10"/>
        <v>4.8208098479829397E-5</v>
      </c>
      <c r="L59" s="7">
        <f t="shared" si="11"/>
        <v>2.6019704664297402E-3</v>
      </c>
      <c r="M59" s="7">
        <f t="shared" si="12"/>
        <v>0.24347869966648</v>
      </c>
      <c r="N59" s="7">
        <f t="shared" si="13"/>
        <v>0.222787605133798</v>
      </c>
      <c r="O59">
        <v>8.7147953999999999</v>
      </c>
      <c r="P59">
        <v>-11.689401999999999</v>
      </c>
      <c r="Q59">
        <v>3.3698610000000002</v>
      </c>
      <c r="R59">
        <v>-14.048412000000001</v>
      </c>
      <c r="S59">
        <f t="shared" si="14"/>
        <v>0.99084207023420634</v>
      </c>
      <c r="T59">
        <f t="shared" si="15"/>
        <v>-23.216665665789339</v>
      </c>
      <c r="U59" s="8"/>
      <c r="V59" s="8"/>
    </row>
    <row r="60" spans="1:22" x14ac:dyDescent="0.35">
      <c r="A60">
        <v>3.625</v>
      </c>
      <c r="B60" s="9">
        <v>16.5</v>
      </c>
      <c r="C60">
        <v>-0.17382257000000001</v>
      </c>
      <c r="D60">
        <v>-4.3323836999999997E-2</v>
      </c>
      <c r="E60">
        <v>0.82610843</v>
      </c>
      <c r="F60">
        <v>-4.8907987E-2</v>
      </c>
      <c r="G60">
        <f t="shared" si="6"/>
        <v>2.18689393543371</v>
      </c>
      <c r="H60">
        <f t="shared" si="7"/>
        <v>-0.71130396179828503</v>
      </c>
      <c r="I60">
        <f t="shared" si="8"/>
        <v>2.18686723067235</v>
      </c>
      <c r="J60">
        <f t="shared" si="9"/>
        <v>-0.71409620769246496</v>
      </c>
      <c r="K60" s="7">
        <f t="shared" si="10"/>
        <v>2.6704761360019102E-5</v>
      </c>
      <c r="L60" s="7">
        <f t="shared" si="11"/>
        <v>2.7922458941799198E-3</v>
      </c>
      <c r="M60" s="7">
        <f t="shared" si="12"/>
        <v>0.41321509982767801</v>
      </c>
      <c r="N60" s="7">
        <f t="shared" si="13"/>
        <v>0.134930612892072</v>
      </c>
      <c r="O60">
        <v>4.4546207000000004</v>
      </c>
      <c r="P60">
        <v>-16.913450999999998</v>
      </c>
      <c r="Q60">
        <v>-2.5890715000000002</v>
      </c>
      <c r="R60">
        <v>-17.327172999999998</v>
      </c>
      <c r="S60">
        <f t="shared" si="14"/>
        <v>1.0016751524925087</v>
      </c>
      <c r="T60">
        <f t="shared" si="15"/>
        <v>-23.253733322875529</v>
      </c>
      <c r="U60" s="8"/>
      <c r="V60" s="8"/>
    </row>
    <row r="61" spans="1:22" x14ac:dyDescent="0.35">
      <c r="A61">
        <v>3.625</v>
      </c>
      <c r="B61" s="9">
        <v>17</v>
      </c>
      <c r="C61">
        <v>-0.18750700000000001</v>
      </c>
      <c r="D61">
        <v>2.3108645000000001E-2</v>
      </c>
      <c r="E61">
        <v>0.81251527000000001</v>
      </c>
      <c r="F61">
        <v>1.6974908E-2</v>
      </c>
      <c r="G61">
        <f t="shared" si="6"/>
        <v>2.13658977391996</v>
      </c>
      <c r="H61">
        <f t="shared" si="7"/>
        <v>0.28336439460099599</v>
      </c>
      <c r="I61">
        <f t="shared" si="8"/>
        <v>2.1366103140757202</v>
      </c>
      <c r="J61">
        <f t="shared" si="9"/>
        <v>0.28029762324345198</v>
      </c>
      <c r="K61" s="7">
        <f t="shared" si="10"/>
        <v>-2.05401557602514E-5</v>
      </c>
      <c r="L61" s="7">
        <f t="shared" si="11"/>
        <v>3.0667713575440198E-3</v>
      </c>
      <c r="M61" s="7">
        <f t="shared" si="12"/>
        <v>0.46011239683241301</v>
      </c>
      <c r="N61" s="7">
        <f t="shared" si="13"/>
        <v>-6.0361222824464399E-2</v>
      </c>
      <c r="O61">
        <v>-1.9785489999999999</v>
      </c>
      <c r="P61">
        <v>-18.206634999999999</v>
      </c>
      <c r="Q61">
        <v>-8.9173866000000004</v>
      </c>
      <c r="R61">
        <v>-15.796764</v>
      </c>
      <c r="S61">
        <f t="shared" si="14"/>
        <v>0.99050538970620894</v>
      </c>
      <c r="T61">
        <f t="shared" si="15"/>
        <v>-23.242938659185125</v>
      </c>
      <c r="U61" s="8"/>
      <c r="V61" s="8"/>
    </row>
    <row r="62" spans="1:22" x14ac:dyDescent="0.35">
      <c r="A62">
        <v>3.9</v>
      </c>
      <c r="B62" s="9">
        <v>15</v>
      </c>
      <c r="C62">
        <v>-4.0440664000000001E-2</v>
      </c>
      <c r="D62">
        <v>-7.7076183000000006E-2</v>
      </c>
      <c r="E62">
        <v>0.95953911000000003</v>
      </c>
      <c r="F62">
        <v>-8.2022821999999995E-2</v>
      </c>
      <c r="G62">
        <f t="shared" si="6"/>
        <v>2.0394798211404299</v>
      </c>
      <c r="H62">
        <f t="shared" si="7"/>
        <v>-4.9928379101639404</v>
      </c>
      <c r="I62">
        <f t="shared" si="8"/>
        <v>2.0394758254956802</v>
      </c>
      <c r="J62">
        <f t="shared" si="9"/>
        <v>-4.9953112645594704</v>
      </c>
      <c r="K62" s="7">
        <f t="shared" si="10"/>
        <v>3.9956447497324598E-6</v>
      </c>
      <c r="L62" s="7">
        <f t="shared" si="11"/>
        <v>2.47335439552998E-3</v>
      </c>
      <c r="M62" s="7">
        <f t="shared" si="12"/>
        <v>7.0054755900079396E-2</v>
      </c>
      <c r="N62" s="7">
        <f t="shared" si="13"/>
        <v>0.171585907961708</v>
      </c>
      <c r="O62">
        <v>7.7223563000000004</v>
      </c>
      <c r="P62">
        <v>-3.9472426999999999</v>
      </c>
      <c r="Q62">
        <v>5.4000655999999996</v>
      </c>
      <c r="R62">
        <v>-6.4806765999999998</v>
      </c>
      <c r="S62">
        <f t="shared" si="14"/>
        <v>0.97266634467240254</v>
      </c>
      <c r="T62">
        <f t="shared" si="15"/>
        <v>-23.123415416038693</v>
      </c>
      <c r="U62" s="8"/>
      <c r="V62" s="8"/>
    </row>
    <row r="63" spans="1:22" x14ac:dyDescent="0.35">
      <c r="A63">
        <v>3.9</v>
      </c>
      <c r="B63" s="9">
        <v>15.5</v>
      </c>
      <c r="C63">
        <v>-7.2227789000000001E-2</v>
      </c>
      <c r="D63">
        <v>-9.3544598000000007E-2</v>
      </c>
      <c r="E63">
        <v>0.92773424000000004</v>
      </c>
      <c r="F63">
        <v>-9.8911125000000003E-2</v>
      </c>
      <c r="G63">
        <f t="shared" si="6"/>
        <v>1.9948187201308201</v>
      </c>
      <c r="H63">
        <f t="shared" si="7"/>
        <v>-3.3215818052568</v>
      </c>
      <c r="I63">
        <f t="shared" si="8"/>
        <v>1.9948069345316299</v>
      </c>
      <c r="J63">
        <f t="shared" si="9"/>
        <v>-3.3242651513253398</v>
      </c>
      <c r="K63" s="7">
        <f t="shared" si="10"/>
        <v>1.17855991901283E-5</v>
      </c>
      <c r="L63" s="7">
        <f t="shared" si="11"/>
        <v>2.6833460685398202E-3</v>
      </c>
      <c r="M63" s="7">
        <f t="shared" si="12"/>
        <v>0.13272174297459799</v>
      </c>
      <c r="N63" s="7">
        <f t="shared" si="13"/>
        <v>0.22117542171929799</v>
      </c>
      <c r="O63">
        <v>9.0715793999999992</v>
      </c>
      <c r="P63">
        <v>-6.8497975000000002</v>
      </c>
      <c r="Q63">
        <v>5.5739904999999998</v>
      </c>
      <c r="R63">
        <v>-9.7415652000000001</v>
      </c>
      <c r="S63">
        <f t="shared" si="14"/>
        <v>0.98736020131535351</v>
      </c>
      <c r="T63">
        <f t="shared" si="15"/>
        <v>-23.166557980216108</v>
      </c>
      <c r="U63" s="8"/>
      <c r="V63" s="8"/>
    </row>
    <row r="64" spans="1:22" x14ac:dyDescent="0.35">
      <c r="A64">
        <v>3.9</v>
      </c>
      <c r="B64" s="9">
        <v>16</v>
      </c>
      <c r="C64">
        <v>-0.12639223999999999</v>
      </c>
      <c r="D64">
        <v>-9.5915790000000001E-2</v>
      </c>
      <c r="E64">
        <v>0.87360435999999997</v>
      </c>
      <c r="F64">
        <v>-0.10172243</v>
      </c>
      <c r="G64">
        <f t="shared" si="6"/>
        <v>1.9551398944540901</v>
      </c>
      <c r="H64">
        <f t="shared" si="7"/>
        <v>-1.9180634109502299</v>
      </c>
      <c r="I64">
        <f t="shared" si="8"/>
        <v>1.95514662369016</v>
      </c>
      <c r="J64">
        <f t="shared" si="9"/>
        <v>-1.9209667163487301</v>
      </c>
      <c r="K64" s="7">
        <f t="shared" si="10"/>
        <v>-6.7292360699244799E-6</v>
      </c>
      <c r="L64" s="7">
        <f t="shared" si="11"/>
        <v>2.9033053985001401E-3</v>
      </c>
      <c r="M64" s="7">
        <f t="shared" si="12"/>
        <v>0.26024513757614698</v>
      </c>
      <c r="N64" s="7">
        <f t="shared" si="13"/>
        <v>0.25569552754658198</v>
      </c>
      <c r="O64">
        <v>9.0709648000000005</v>
      </c>
      <c r="P64">
        <v>-11.681141999999999</v>
      </c>
      <c r="Q64">
        <v>3.7306827999999999</v>
      </c>
      <c r="R64">
        <v>-14.304166</v>
      </c>
      <c r="S64">
        <f t="shared" si="14"/>
        <v>0.99953283026734352</v>
      </c>
      <c r="T64">
        <f t="shared" si="15"/>
        <v>-23.213318363393796</v>
      </c>
      <c r="U64" s="8"/>
      <c r="V64" s="8"/>
    </row>
    <row r="65" spans="1:22" x14ac:dyDescent="0.35">
      <c r="A65">
        <v>3.9</v>
      </c>
      <c r="B65" s="9">
        <v>16.5</v>
      </c>
      <c r="C65">
        <v>-0.18846589999999999</v>
      </c>
      <c r="D65">
        <v>-5.5671736999999999E-2</v>
      </c>
      <c r="E65">
        <v>0.81157500999999999</v>
      </c>
      <c r="F65">
        <v>-6.2045866999999998E-2</v>
      </c>
      <c r="G65">
        <f t="shared" si="6"/>
        <v>1.9174368539848099</v>
      </c>
      <c r="H65">
        <f t="shared" si="7"/>
        <v>-0.75347037122649296</v>
      </c>
      <c r="I65">
        <f t="shared" si="8"/>
        <v>1.9174674652232799</v>
      </c>
      <c r="J65">
        <f t="shared" si="9"/>
        <v>-0.75665727347839895</v>
      </c>
      <c r="K65" s="7">
        <f t="shared" si="10"/>
        <v>-3.0611238470035198E-5</v>
      </c>
      <c r="L65" s="7">
        <f t="shared" si="11"/>
        <v>3.1869022519059901E-3</v>
      </c>
      <c r="M65" s="7">
        <f t="shared" si="12"/>
        <v>0.45125251369500702</v>
      </c>
      <c r="N65" s="7">
        <f t="shared" si="13"/>
        <v>0.17807003396690099</v>
      </c>
      <c r="O65">
        <v>5.2367701000000002</v>
      </c>
      <c r="P65">
        <v>-17.002569999999999</v>
      </c>
      <c r="Q65">
        <v>-1.9203760999999999</v>
      </c>
      <c r="R65">
        <v>-17.879559</v>
      </c>
      <c r="S65">
        <f t="shared" si="14"/>
        <v>1.0107715059188267</v>
      </c>
      <c r="T65">
        <f t="shared" si="15"/>
        <v>-23.249188558561741</v>
      </c>
      <c r="U65" s="8"/>
      <c r="V65" s="8"/>
    </row>
    <row r="66" spans="1:22" x14ac:dyDescent="0.35">
      <c r="A66">
        <v>3.9</v>
      </c>
      <c r="B66" s="9">
        <v>17</v>
      </c>
      <c r="C66">
        <v>-0.20997864999999999</v>
      </c>
      <c r="D66">
        <v>1.2541303E-2</v>
      </c>
      <c r="E66">
        <v>0.79001980000000005</v>
      </c>
      <c r="F66">
        <v>5.6027508000000004E-3</v>
      </c>
      <c r="G66">
        <f t="shared" si="6"/>
        <v>1.87674357004601</v>
      </c>
      <c r="H66">
        <f t="shared" si="7"/>
        <v>0.10442055054593399</v>
      </c>
      <c r="I66">
        <f t="shared" si="8"/>
        <v>1.87675483080519</v>
      </c>
      <c r="J66">
        <f t="shared" si="9"/>
        <v>0.100951310823956</v>
      </c>
      <c r="K66" s="7">
        <f t="shared" si="10"/>
        <v>-1.1260759180009601E-5</v>
      </c>
      <c r="L66" s="7">
        <f t="shared" si="11"/>
        <v>3.4692397219779898E-3</v>
      </c>
      <c r="M66" s="7">
        <f t="shared" si="12"/>
        <v>0.53129739102791695</v>
      </c>
      <c r="N66" s="7">
        <f t="shared" si="13"/>
        <v>-2.85786759044095E-2</v>
      </c>
      <c r="O66">
        <v>-0.91083694999999998</v>
      </c>
      <c r="P66">
        <v>-19.292672</v>
      </c>
      <c r="Q66">
        <v>-8.2973350999999997</v>
      </c>
      <c r="R66">
        <v>-17.070473</v>
      </c>
      <c r="S66">
        <f t="shared" si="14"/>
        <v>0.98270740487940644</v>
      </c>
      <c r="T66">
        <f t="shared" si="15"/>
        <v>-23.219682865511736</v>
      </c>
      <c r="U66" s="8"/>
      <c r="V66" s="8"/>
    </row>
    <row r="67" spans="1:22" x14ac:dyDescent="0.35">
      <c r="A67">
        <v>4.1749999999999998</v>
      </c>
      <c r="B67" s="9">
        <v>15</v>
      </c>
      <c r="C67">
        <v>-4.4298082000000003E-2</v>
      </c>
      <c r="D67">
        <v>-8.5068303999999997E-2</v>
      </c>
      <c r="E67">
        <v>0.95565403999999998</v>
      </c>
      <c r="F67">
        <v>-9.0462862000000005E-2</v>
      </c>
      <c r="G67">
        <f t="shared" ref="G67:G130" si="16">IMREAL(IMDIV(IMSUM(IMPRODUCT(COMPLEX(1 + C67,D67),COMPLEX(1 - C67, - D67)),IMPRODUCT(COMPLEX(E67,F67),COMPLEX(E67,F67))),IMSUB(IMPRODUCT(COMPLEX(1 - C67, - D67),COMPLEX(1 - C67, - D67)),IMPRODUCT(COMPLEX(E67,F67),COMPLEX(E67,F67)))))</f>
        <v>1.7923909097573201</v>
      </c>
      <c r="H67">
        <f t="shared" ref="H67:H130" si="17">IMAGINARY(IMDIV(IMSUM(IMPRODUCT(COMPLEX(1 + C67,D67),COMPLEX(1 - C67, - D67)),IMPRODUCT(COMPLEX(E67,F67),COMPLEX(E67,F67))),IMSUB(IMPRODUCT(COMPLEX(1 - C67, - D67),COMPLEX(1 - C67, - D67)),IMPRODUCT(COMPLEX(E67,F67),COMPLEX(E67,F67)))))</f>
        <v>-4.5379816175315497</v>
      </c>
      <c r="I67">
        <f t="shared" ref="I67:I130" si="18">IMREAL(IMDIV(IMPRODUCT(COMPLEX(2,0),COMPLEX(E67,F67)),IMSUB(IMPRODUCT(COMPLEX(1 - C67, - D67),COMPLEX(1 - C67, - D67)),IMPRODUCT(COMPLEX(E67,F67),COMPLEX(E67,F67)))))</f>
        <v>1.79237424596781</v>
      </c>
      <c r="J67">
        <f t="shared" ref="J67:J130" si="19">IMAGINARY(IMDIV(IMPRODUCT(COMPLEX(2,0),COMPLEX(E67,F67)),IMSUB(IMPRODUCT(COMPLEX(1 - C67, - D67),COMPLEX(1 - C67, - D67)),IMPRODUCT(COMPLEX(E67,F67),COMPLEX(E67,F67)))))</f>
        <v>-4.5406790060512199</v>
      </c>
      <c r="K67" s="7">
        <f t="shared" ref="K67:K130" si="20">IMREAL(IMSUB(COMPLEX(G67,H67),COMPLEX(I67,J67)))</f>
        <v>1.6663789510040799E-5</v>
      </c>
      <c r="L67" s="7">
        <f t="shared" ref="L67:L130" si="21">IMAGINARY(IMSUB(COMPLEX(G67,H67),COMPLEX(I67,J67)))</f>
        <v>2.69738851967016E-3</v>
      </c>
      <c r="M67" s="7">
        <f t="shared" ref="M67:M130" si="22">IMREAL(IMDIV(IMSUB(IMPRODUCT(COMPLEX(1 - C67, - D67),COMPLEX(1 - C67, - D67)),IMPRODUCT(COMPLEX(E67,F67),COMPLEX(E67,F67))),IMPRODUCT(COMPLEX(2,0),COMPLEX(E67,F67))))</f>
        <v>7.5213861563006204E-2</v>
      </c>
      <c r="N67" s="7">
        <f t="shared" ref="N67:N130" si="23">IMAGINARY(IMDIV(IMSUB(IMPRODUCT(COMPLEX(1 - C67, - D67),COMPLEX(1 - C67, - D67)),IMPRODUCT(COMPLEX(E67,F67),COMPLEX(E67,F67))),IMPRODUCT(COMPLEX(2,0),COMPLEX(E67,F67))))</f>
        <v>0.190541681198268</v>
      </c>
      <c r="O67">
        <v>8.1044742999999997</v>
      </c>
      <c r="P67">
        <v>-4.1340889000000001</v>
      </c>
      <c r="Q67">
        <v>5.5861217999999999</v>
      </c>
      <c r="R67">
        <v>-6.6822971999999998</v>
      </c>
      <c r="S67">
        <f t="shared" ref="S67:S130" si="24">IMABS(COMPLEX(Q67,R67))/IMABS(COMPLEX(O67,P67))</f>
        <v>0.95731621169347192</v>
      </c>
      <c r="T67">
        <f t="shared" ref="T67:T130" si="25">IMARGUMENT(IMDIV(COMPLEX(Q67,R67),COMPLEX(O67/B67,P67/B67)))/PI()*180</f>
        <v>-23.079674057688202</v>
      </c>
      <c r="U67" s="8"/>
      <c r="V67" s="8"/>
    </row>
    <row r="68" spans="1:22" x14ac:dyDescent="0.35">
      <c r="A68">
        <v>4.1749999999999998</v>
      </c>
      <c r="B68" s="9">
        <v>15.5</v>
      </c>
      <c r="C68">
        <v>-7.7776846999999996E-2</v>
      </c>
      <c r="D68">
        <v>-0.10273599</v>
      </c>
      <c r="E68">
        <v>0.92215497999999996</v>
      </c>
      <c r="F68">
        <v>-0.10863863</v>
      </c>
      <c r="G68">
        <f t="shared" si="16"/>
        <v>1.7587608737695699</v>
      </c>
      <c r="H68">
        <f t="shared" si="17"/>
        <v>-3.0664866703065599</v>
      </c>
      <c r="I68">
        <f t="shared" si="18"/>
        <v>1.75873549721228</v>
      </c>
      <c r="J68">
        <f t="shared" si="19"/>
        <v>-3.06943816580706</v>
      </c>
      <c r="K68" s="7">
        <f t="shared" si="20"/>
        <v>2.5376557289957798E-5</v>
      </c>
      <c r="L68" s="7">
        <f t="shared" si="21"/>
        <v>2.9514955005001098E-3</v>
      </c>
      <c r="M68" s="7">
        <f t="shared" si="22"/>
        <v>0.140534681745136</v>
      </c>
      <c r="N68" s="7">
        <f t="shared" si="23"/>
        <v>0.245268555989123</v>
      </c>
      <c r="O68">
        <v>9.4930062999999993</v>
      </c>
      <c r="P68">
        <v>-7.0564356999999998</v>
      </c>
      <c r="Q68">
        <v>5.7892669999999997</v>
      </c>
      <c r="R68">
        <v>-9.9243228000000006</v>
      </c>
      <c r="S68">
        <f t="shared" si="24"/>
        <v>0.97134767982383474</v>
      </c>
      <c r="T68">
        <f t="shared" si="25"/>
        <v>-23.118697106034599</v>
      </c>
      <c r="U68" s="8"/>
      <c r="V68" s="8"/>
    </row>
    <row r="69" spans="1:22" x14ac:dyDescent="0.35">
      <c r="A69">
        <v>4.1749999999999998</v>
      </c>
      <c r="B69" s="9">
        <v>16</v>
      </c>
      <c r="C69">
        <v>-0.1340787</v>
      </c>
      <c r="D69">
        <v>-0.10683179</v>
      </c>
      <c r="E69">
        <v>0.86591207999999997</v>
      </c>
      <c r="F69">
        <v>-0.11320766</v>
      </c>
      <c r="G69">
        <f t="shared" si="16"/>
        <v>1.7285775419321701</v>
      </c>
      <c r="H69">
        <f t="shared" si="17"/>
        <v>-1.82702880421451</v>
      </c>
      <c r="I69">
        <f t="shared" si="18"/>
        <v>1.7285830948777601</v>
      </c>
      <c r="J69">
        <f t="shared" si="19"/>
        <v>-1.83021673620846</v>
      </c>
      <c r="K69" s="7">
        <f t="shared" si="20"/>
        <v>-5.5529455900149597E-6</v>
      </c>
      <c r="L69" s="7">
        <f t="shared" si="21"/>
        <v>3.18793199395007E-3</v>
      </c>
      <c r="M69" s="7">
        <f t="shared" si="22"/>
        <v>0.27274643070951898</v>
      </c>
      <c r="N69" s="7">
        <f t="shared" si="23"/>
        <v>0.2887828092875</v>
      </c>
      <c r="O69">
        <v>9.6262857000000004</v>
      </c>
      <c r="P69">
        <v>-11.853414000000001</v>
      </c>
      <c r="Q69">
        <v>4.1200695999999999</v>
      </c>
      <c r="R69">
        <v>-14.444013</v>
      </c>
      <c r="S69">
        <f t="shared" si="24"/>
        <v>0.98364558264756718</v>
      </c>
      <c r="T69">
        <f t="shared" si="25"/>
        <v>-23.159937911460379</v>
      </c>
      <c r="U69" s="8"/>
      <c r="V69" s="8"/>
    </row>
    <row r="70" spans="1:22" x14ac:dyDescent="0.35">
      <c r="A70">
        <v>4.1749999999999998</v>
      </c>
      <c r="B70" s="9">
        <v>16.5</v>
      </c>
      <c r="C70">
        <v>-0.20093910000000001</v>
      </c>
      <c r="D70">
        <v>-6.9408910000000004E-2</v>
      </c>
      <c r="E70">
        <v>0.79910225000000001</v>
      </c>
      <c r="F70">
        <v>-7.6464500000000005E-2</v>
      </c>
      <c r="G70">
        <f t="shared" si="16"/>
        <v>1.6987941632880199</v>
      </c>
      <c r="H70">
        <f t="shared" si="17"/>
        <v>-0.79644078732363799</v>
      </c>
      <c r="I70">
        <f t="shared" si="18"/>
        <v>1.6988272822713699</v>
      </c>
      <c r="J70">
        <f t="shared" si="19"/>
        <v>-0.79996839255341601</v>
      </c>
      <c r="K70" s="7">
        <f t="shared" si="20"/>
        <v>-3.3118983350011198E-5</v>
      </c>
      <c r="L70" s="7">
        <f t="shared" si="21"/>
        <v>3.52760522977802E-3</v>
      </c>
      <c r="M70" s="7">
        <f t="shared" si="22"/>
        <v>0.48180511550961103</v>
      </c>
      <c r="N70" s="7">
        <f t="shared" si="23"/>
        <v>0.22687937013991699</v>
      </c>
      <c r="O70">
        <v>6.1864670000000004</v>
      </c>
      <c r="P70">
        <v>-17.350086999999998</v>
      </c>
      <c r="Q70">
        <v>-1.1415637999999999</v>
      </c>
      <c r="R70">
        <v>-18.282288000000001</v>
      </c>
      <c r="S70">
        <f t="shared" si="24"/>
        <v>0.99445457145781402</v>
      </c>
      <c r="T70">
        <f t="shared" si="25"/>
        <v>-23.19751796518085</v>
      </c>
      <c r="U70" s="8"/>
      <c r="V70" s="8"/>
    </row>
    <row r="71" spans="1:22" x14ac:dyDescent="0.35">
      <c r="A71">
        <v>4.1749999999999998</v>
      </c>
      <c r="B71" s="9">
        <v>17</v>
      </c>
      <c r="C71">
        <v>-0.23094163000000001</v>
      </c>
      <c r="D71">
        <v>6.0499508E-4</v>
      </c>
      <c r="E71">
        <v>0.76905341999999999</v>
      </c>
      <c r="F71">
        <v>-7.1099405000000001E-3</v>
      </c>
      <c r="G71">
        <f t="shared" si="16"/>
        <v>1.6645905034005</v>
      </c>
      <c r="H71">
        <f t="shared" si="17"/>
        <v>-2.8556114969631102E-2</v>
      </c>
      <c r="I71">
        <f t="shared" si="18"/>
        <v>1.6646029083411999</v>
      </c>
      <c r="J71">
        <f t="shared" si="19"/>
        <v>-3.2413544455110001E-2</v>
      </c>
      <c r="K71" s="7">
        <f t="shared" si="20"/>
        <v>-1.2404940699983801E-5</v>
      </c>
      <c r="L71" s="7">
        <f t="shared" si="21"/>
        <v>3.8574294854789E-3</v>
      </c>
      <c r="M71" s="7">
        <f t="shared" si="22"/>
        <v>0.60051617754702102</v>
      </c>
      <c r="N71" s="7">
        <f t="shared" si="23"/>
        <v>1.1693394093808301E-2</v>
      </c>
      <c r="O71">
        <v>0.16751492000000001</v>
      </c>
      <c r="P71">
        <v>-20.069853999999999</v>
      </c>
      <c r="Q71">
        <v>-7.5749814999999998</v>
      </c>
      <c r="R71">
        <v>-18.108522000000001</v>
      </c>
      <c r="S71">
        <f t="shared" si="24"/>
        <v>0.97800156998604082</v>
      </c>
      <c r="T71">
        <f t="shared" si="25"/>
        <v>-23.178274511518666</v>
      </c>
      <c r="U71" s="8"/>
      <c r="V71" s="8"/>
    </row>
    <row r="72" spans="1:22" x14ac:dyDescent="0.35">
      <c r="A72">
        <v>4.45</v>
      </c>
      <c r="B72" s="9">
        <v>15</v>
      </c>
      <c r="C72">
        <v>-4.7918835E-2</v>
      </c>
      <c r="D72">
        <v>-9.2893782999999994E-2</v>
      </c>
      <c r="E72">
        <v>0.95204222999999999</v>
      </c>
      <c r="F72">
        <v>-9.8635453999999997E-2</v>
      </c>
      <c r="G72">
        <f t="shared" si="16"/>
        <v>1.58992368499141</v>
      </c>
      <c r="H72">
        <f t="shared" si="17"/>
        <v>-4.1735185193335003</v>
      </c>
      <c r="I72">
        <f t="shared" si="18"/>
        <v>1.5899124592223099</v>
      </c>
      <c r="J72">
        <f t="shared" si="19"/>
        <v>-4.1763894429505504</v>
      </c>
      <c r="K72" s="7">
        <f t="shared" si="20"/>
        <v>1.1225769100065E-5</v>
      </c>
      <c r="L72" s="7">
        <f t="shared" si="21"/>
        <v>2.8709236170500999E-3</v>
      </c>
      <c r="M72" s="7">
        <f t="shared" si="22"/>
        <v>7.9614844569984106E-2</v>
      </c>
      <c r="N72" s="7">
        <f t="shared" si="23"/>
        <v>0.20913264402423101</v>
      </c>
      <c r="O72">
        <v>8.2536792000000005</v>
      </c>
      <c r="P72">
        <v>-4.1900211000000001</v>
      </c>
      <c r="Q72">
        <v>5.7393698999999998</v>
      </c>
      <c r="R72">
        <v>-6.8243998000000001</v>
      </c>
      <c r="S72">
        <f t="shared" si="24"/>
        <v>0.96334105172517137</v>
      </c>
      <c r="T72">
        <f t="shared" si="25"/>
        <v>-23.021067494183278</v>
      </c>
      <c r="U72" s="8"/>
      <c r="V72" s="8"/>
    </row>
    <row r="73" spans="1:22" x14ac:dyDescent="0.35">
      <c r="A73">
        <v>4.45</v>
      </c>
      <c r="B73" s="9">
        <v>15.5</v>
      </c>
      <c r="C73">
        <v>-8.3013466999999994E-2</v>
      </c>
      <c r="D73">
        <v>-0.11180200999999999</v>
      </c>
      <c r="E73">
        <v>0.91690629999999995</v>
      </c>
      <c r="F73">
        <v>-0.11810623000000001</v>
      </c>
      <c r="G73">
        <f t="shared" si="16"/>
        <v>1.56475625917246</v>
      </c>
      <c r="H73">
        <f t="shared" si="17"/>
        <v>-2.8562235107229701</v>
      </c>
      <c r="I73">
        <f t="shared" si="18"/>
        <v>1.56472607795763</v>
      </c>
      <c r="J73">
        <f t="shared" si="19"/>
        <v>-2.8593758423179798</v>
      </c>
      <c r="K73" s="7">
        <f t="shared" si="20"/>
        <v>3.0181214830005101E-5</v>
      </c>
      <c r="L73" s="7">
        <f t="shared" si="21"/>
        <v>3.1523315950097199E-3</v>
      </c>
      <c r="M73" s="7">
        <f t="shared" si="22"/>
        <v>0.14727668256616699</v>
      </c>
      <c r="N73" s="7">
        <f t="shared" si="23"/>
        <v>0.26913297745768999</v>
      </c>
      <c r="O73">
        <v>9.6639579999999992</v>
      </c>
      <c r="P73">
        <v>-7.0708241000000003</v>
      </c>
      <c r="Q73">
        <v>5.9742949999999997</v>
      </c>
      <c r="R73">
        <v>-10.041929</v>
      </c>
      <c r="S73">
        <f t="shared" si="24"/>
        <v>0.97579977505155613</v>
      </c>
      <c r="T73">
        <f t="shared" si="25"/>
        <v>-23.058306042541254</v>
      </c>
      <c r="U73" s="8"/>
      <c r="V73" s="8"/>
    </row>
    <row r="74" spans="1:22" x14ac:dyDescent="0.35">
      <c r="A74">
        <v>4.45</v>
      </c>
      <c r="B74" s="9">
        <v>16</v>
      </c>
      <c r="C74">
        <v>-0.14129712</v>
      </c>
      <c r="D74">
        <v>-0.1176098</v>
      </c>
      <c r="E74">
        <v>0.85859956000000004</v>
      </c>
      <c r="F74">
        <v>-0.12455109</v>
      </c>
      <c r="G74">
        <f t="shared" si="16"/>
        <v>1.5402764014297201</v>
      </c>
      <c r="H74">
        <f t="shared" si="17"/>
        <v>-1.7459639069020401</v>
      </c>
      <c r="I74">
        <f t="shared" si="18"/>
        <v>1.5402367858593999</v>
      </c>
      <c r="J74">
        <f t="shared" si="19"/>
        <v>-1.7494348687035099</v>
      </c>
      <c r="K74" s="7">
        <f t="shared" si="20"/>
        <v>3.9615570320172801E-5</v>
      </c>
      <c r="L74" s="7">
        <f t="shared" si="21"/>
        <v>3.4709618014698899E-3</v>
      </c>
      <c r="M74" s="7">
        <f t="shared" si="22"/>
        <v>0.28350429319174297</v>
      </c>
      <c r="N74" s="7">
        <f t="shared" si="23"/>
        <v>0.32201042105356698</v>
      </c>
      <c r="O74">
        <v>9.9169009999999993</v>
      </c>
      <c r="P74">
        <v>-11.729913</v>
      </c>
      <c r="Q74">
        <v>4.4668748999999996</v>
      </c>
      <c r="R74">
        <v>-14.509558</v>
      </c>
      <c r="S74">
        <f t="shared" si="24"/>
        <v>0.98837088918014859</v>
      </c>
      <c r="T74">
        <f t="shared" si="25"/>
        <v>-23.101040549887852</v>
      </c>
      <c r="U74" s="8"/>
      <c r="V74" s="8"/>
    </row>
    <row r="75" spans="1:22" x14ac:dyDescent="0.35">
      <c r="A75">
        <v>4.45</v>
      </c>
      <c r="B75" s="9">
        <v>16.5</v>
      </c>
      <c r="C75">
        <v>-0.21234095</v>
      </c>
      <c r="D75">
        <v>-8.3085715000000004E-2</v>
      </c>
      <c r="E75">
        <v>0.78766807999999999</v>
      </c>
      <c r="F75">
        <v>-9.0739855999999994E-2</v>
      </c>
      <c r="G75">
        <f t="shared" si="16"/>
        <v>1.51684109707402</v>
      </c>
      <c r="H75">
        <f t="shared" si="17"/>
        <v>-0.82361657194474303</v>
      </c>
      <c r="I75">
        <f t="shared" si="18"/>
        <v>1.51686025810935</v>
      </c>
      <c r="J75">
        <f t="shared" si="19"/>
        <v>-0.82744355183529406</v>
      </c>
      <c r="K75" s="7">
        <f t="shared" si="20"/>
        <v>-1.9161035329950901E-5</v>
      </c>
      <c r="L75" s="7">
        <f t="shared" si="21"/>
        <v>3.8269798905510299E-3</v>
      </c>
      <c r="M75" s="7">
        <f t="shared" si="22"/>
        <v>0.50807104206450804</v>
      </c>
      <c r="N75" s="7">
        <f t="shared" si="23"/>
        <v>0.277151507782604</v>
      </c>
      <c r="O75">
        <v>6.9074533000000002</v>
      </c>
      <c r="P75">
        <v>-17.224197</v>
      </c>
      <c r="Q75">
        <v>-0.41695336</v>
      </c>
      <c r="R75">
        <v>-18.535993000000001</v>
      </c>
      <c r="S75">
        <f t="shared" si="24"/>
        <v>0.99908638203134459</v>
      </c>
      <c r="T75">
        <f t="shared" si="25"/>
        <v>-23.140970913021061</v>
      </c>
      <c r="U75" s="8"/>
      <c r="V75" s="8"/>
    </row>
    <row r="76" spans="1:22" x14ac:dyDescent="0.35">
      <c r="A76">
        <v>4.45</v>
      </c>
      <c r="B76" s="9">
        <v>17</v>
      </c>
      <c r="C76">
        <v>-0.25004114999999999</v>
      </c>
      <c r="D76">
        <v>-1.2258823E-2</v>
      </c>
      <c r="E76">
        <v>0.74995712999999997</v>
      </c>
      <c r="F76">
        <v>-2.0718983E-2</v>
      </c>
      <c r="G76">
        <f t="shared" si="16"/>
        <v>1.49099721078422</v>
      </c>
      <c r="H76">
        <f t="shared" si="17"/>
        <v>-0.12918093248623799</v>
      </c>
      <c r="I76">
        <f t="shared" si="18"/>
        <v>1.4910142440862699</v>
      </c>
      <c r="J76">
        <f t="shared" si="19"/>
        <v>-0.133410944071818</v>
      </c>
      <c r="K76" s="7">
        <f t="shared" si="20"/>
        <v>-1.7033302049940199E-5</v>
      </c>
      <c r="L76" s="7">
        <f t="shared" si="21"/>
        <v>4.2300115855800104E-3</v>
      </c>
      <c r="M76" s="7">
        <f t="shared" si="22"/>
        <v>0.66535750611484601</v>
      </c>
      <c r="N76" s="7">
        <f t="shared" si="23"/>
        <v>5.9533953741970701E-2</v>
      </c>
      <c r="O76">
        <v>1.2108303</v>
      </c>
      <c r="P76">
        <v>-20.589967000000001</v>
      </c>
      <c r="Q76">
        <v>-6.8354758999999996</v>
      </c>
      <c r="R76">
        <v>-18.978964999999999</v>
      </c>
      <c r="S76">
        <f t="shared" si="24"/>
        <v>0.9780291518091897</v>
      </c>
      <c r="T76">
        <f t="shared" si="25"/>
        <v>-23.172529275376348</v>
      </c>
      <c r="U76" s="8"/>
      <c r="V76" s="8"/>
    </row>
    <row r="77" spans="1:22" x14ac:dyDescent="0.35">
      <c r="A77">
        <v>4.7249999999999996</v>
      </c>
      <c r="B77" s="9">
        <v>15</v>
      </c>
      <c r="C77">
        <v>-5.1764919999999999E-2</v>
      </c>
      <c r="D77">
        <v>-0.10068165</v>
      </c>
      <c r="E77">
        <v>0.94816416999999997</v>
      </c>
      <c r="F77">
        <v>-0.10676494</v>
      </c>
      <c r="G77">
        <f t="shared" si="16"/>
        <v>1.42685221607037</v>
      </c>
      <c r="H77">
        <f t="shared" si="17"/>
        <v>-3.8567156671278902</v>
      </c>
      <c r="I77">
        <f t="shared" si="18"/>
        <v>1.4268260123160801</v>
      </c>
      <c r="J77">
        <f t="shared" si="19"/>
        <v>-3.8597574996785702</v>
      </c>
      <c r="K77" s="7">
        <f t="shared" si="20"/>
        <v>2.6203754289966201E-5</v>
      </c>
      <c r="L77" s="7">
        <f t="shared" si="21"/>
        <v>3.0418325506800202E-3</v>
      </c>
      <c r="M77" s="7">
        <f t="shared" si="22"/>
        <v>8.4260248668475604E-2</v>
      </c>
      <c r="N77" s="7">
        <f t="shared" si="23"/>
        <v>0.22793537818602999</v>
      </c>
      <c r="O77">
        <v>8.3933783999999996</v>
      </c>
      <c r="P77">
        <v>-4.2629890000000001</v>
      </c>
      <c r="Q77">
        <v>5.9103281000000001</v>
      </c>
      <c r="R77">
        <v>-7.0271431</v>
      </c>
      <c r="S77">
        <f t="shared" si="24"/>
        <v>0.9753850077780325</v>
      </c>
      <c r="T77">
        <f t="shared" si="25"/>
        <v>-23.007800899756873</v>
      </c>
      <c r="U77" s="8"/>
      <c r="V77" s="8"/>
    </row>
    <row r="78" spans="1:22" x14ac:dyDescent="0.35">
      <c r="A78">
        <v>4.7249999999999996</v>
      </c>
      <c r="B78" s="9">
        <v>15.5</v>
      </c>
      <c r="C78">
        <v>-8.8642956999999994E-2</v>
      </c>
      <c r="D78">
        <v>-0.12065376999999999</v>
      </c>
      <c r="E78">
        <v>0.91132069000000004</v>
      </c>
      <c r="F78">
        <v>-0.12742271999999999</v>
      </c>
      <c r="G78">
        <f t="shared" si="16"/>
        <v>1.4069992922055099</v>
      </c>
      <c r="H78">
        <f t="shared" si="17"/>
        <v>-2.6662234035053101</v>
      </c>
      <c r="I78">
        <f t="shared" si="18"/>
        <v>1.4069925705395701</v>
      </c>
      <c r="J78">
        <f t="shared" si="19"/>
        <v>-2.6696079627740601</v>
      </c>
      <c r="K78" s="7">
        <f t="shared" si="20"/>
        <v>6.7216659398461298E-6</v>
      </c>
      <c r="L78" s="7">
        <f t="shared" si="21"/>
        <v>3.3845592687500301E-3</v>
      </c>
      <c r="M78" s="7">
        <f t="shared" si="22"/>
        <v>0.15450531479263799</v>
      </c>
      <c r="N78" s="7">
        <f t="shared" si="23"/>
        <v>0.29315621652725699</v>
      </c>
      <c r="O78">
        <v>9.7741156</v>
      </c>
      <c r="P78">
        <v>-7.0944003999999996</v>
      </c>
      <c r="Q78">
        <v>6.1551328999999999</v>
      </c>
      <c r="R78">
        <v>-10.254265999999999</v>
      </c>
      <c r="S78">
        <f t="shared" si="24"/>
        <v>0.99025781753530284</v>
      </c>
      <c r="T78">
        <f t="shared" si="25"/>
        <v>-23.052193993304176</v>
      </c>
      <c r="U78" s="8"/>
      <c r="V78" s="8"/>
    </row>
    <row r="79" spans="1:22" x14ac:dyDescent="0.35">
      <c r="A79">
        <v>4.7249999999999996</v>
      </c>
      <c r="B79" s="9">
        <v>16</v>
      </c>
      <c r="C79">
        <v>-0.14910487</v>
      </c>
      <c r="D79">
        <v>-0.12761905000000001</v>
      </c>
      <c r="E79">
        <v>0.85089075000000003</v>
      </c>
      <c r="F79">
        <v>-0.13512236</v>
      </c>
      <c r="G79">
        <f t="shared" si="16"/>
        <v>1.3878468583657499</v>
      </c>
      <c r="H79">
        <f t="shared" si="17"/>
        <v>-1.6614160118319099</v>
      </c>
      <c r="I79">
        <f t="shared" si="18"/>
        <v>1.38785874317056</v>
      </c>
      <c r="J79">
        <f t="shared" si="19"/>
        <v>-1.6651676304602701</v>
      </c>
      <c r="K79" s="7">
        <f t="shared" si="20"/>
        <v>-1.1884804810069499E-5</v>
      </c>
      <c r="L79" s="7">
        <f t="shared" si="21"/>
        <v>3.7516186283601499E-3</v>
      </c>
      <c r="M79" s="7">
        <f t="shared" si="22"/>
        <v>0.295356012630341</v>
      </c>
      <c r="N79" s="7">
        <f t="shared" si="23"/>
        <v>0.35437127453641398</v>
      </c>
      <c r="O79">
        <v>10.093182000000001</v>
      </c>
      <c r="P79">
        <v>-11.63552</v>
      </c>
      <c r="Q79">
        <v>4.731833</v>
      </c>
      <c r="R79">
        <v>-14.703263</v>
      </c>
      <c r="S79">
        <f t="shared" si="24"/>
        <v>1.0027748546753417</v>
      </c>
      <c r="T79">
        <f t="shared" si="25"/>
        <v>-23.100547960501199</v>
      </c>
      <c r="U79" s="8"/>
      <c r="V79" s="8"/>
    </row>
    <row r="80" spans="1:22" x14ac:dyDescent="0.35">
      <c r="A80">
        <v>4.7249999999999996</v>
      </c>
      <c r="B80" s="9">
        <v>16.5</v>
      </c>
      <c r="C80">
        <v>-0.22353534</v>
      </c>
      <c r="D80">
        <v>-9.5078331000000002E-2</v>
      </c>
      <c r="E80">
        <v>0.77644568999999997</v>
      </c>
      <c r="F80">
        <v>-0.10339255</v>
      </c>
      <c r="G80">
        <f t="shared" si="16"/>
        <v>1.3684762848346701</v>
      </c>
      <c r="H80">
        <f t="shared" si="17"/>
        <v>-0.82737233169972102</v>
      </c>
      <c r="I80">
        <f t="shared" si="18"/>
        <v>1.3684840814971899</v>
      </c>
      <c r="J80">
        <f t="shared" si="19"/>
        <v>-0.83152944821839303</v>
      </c>
      <c r="K80" s="7">
        <f t="shared" si="20"/>
        <v>-7.7966625198211403E-6</v>
      </c>
      <c r="L80" s="7">
        <f t="shared" si="21"/>
        <v>4.1571165186720096E-3</v>
      </c>
      <c r="M80" s="7">
        <f t="shared" si="22"/>
        <v>0.53369061279766195</v>
      </c>
      <c r="N80" s="7">
        <f t="shared" si="23"/>
        <v>0.32428543874142701</v>
      </c>
      <c r="O80">
        <v>7.4053827999999999</v>
      </c>
      <c r="P80">
        <v>-17.052714999999999</v>
      </c>
      <c r="Q80">
        <v>0.11087233000000001</v>
      </c>
      <c r="R80">
        <v>-18.841449999999998</v>
      </c>
      <c r="S80">
        <f t="shared" si="24"/>
        <v>1.0134751873135257</v>
      </c>
      <c r="T80">
        <f t="shared" si="25"/>
        <v>-23.136425574885411</v>
      </c>
      <c r="U80" s="8"/>
      <c r="V80" s="8"/>
    </row>
    <row r="81" spans="1:22" x14ac:dyDescent="0.35">
      <c r="A81">
        <v>4.7249999999999996</v>
      </c>
      <c r="B81" s="9">
        <v>17</v>
      </c>
      <c r="C81">
        <v>-0.26725717999999998</v>
      </c>
      <c r="D81">
        <v>-2.5110634E-2</v>
      </c>
      <c r="E81">
        <v>0.73273688999999997</v>
      </c>
      <c r="F81">
        <v>-3.4271187000000002E-2</v>
      </c>
      <c r="G81">
        <f t="shared" si="16"/>
        <v>1.3480193617307401</v>
      </c>
      <c r="H81">
        <f t="shared" si="17"/>
        <v>-0.203014150959717</v>
      </c>
      <c r="I81">
        <f t="shared" si="18"/>
        <v>1.34803737540127</v>
      </c>
      <c r="J81">
        <f t="shared" si="19"/>
        <v>-0.20759435853244099</v>
      </c>
      <c r="K81" s="7">
        <f t="shared" si="20"/>
        <v>-1.8013670529892802E-5</v>
      </c>
      <c r="L81" s="7">
        <f t="shared" si="21"/>
        <v>4.5802075727239804E-3</v>
      </c>
      <c r="M81" s="7">
        <f t="shared" si="22"/>
        <v>0.72463432923058402</v>
      </c>
      <c r="N81" s="7">
        <f t="shared" si="23"/>
        <v>0.111591860501962</v>
      </c>
      <c r="O81">
        <v>2.1285408000000001</v>
      </c>
      <c r="P81">
        <v>-20.730298999999999</v>
      </c>
      <c r="Q81">
        <v>-6.0982941000000004</v>
      </c>
      <c r="R81">
        <v>-19.607362999999999</v>
      </c>
      <c r="S81">
        <f t="shared" si="24"/>
        <v>0.9853417892817472</v>
      </c>
      <c r="T81">
        <f t="shared" si="25"/>
        <v>-23.139228961421271</v>
      </c>
      <c r="U81" s="8"/>
      <c r="V81" s="8"/>
    </row>
    <row r="82" spans="1:22" x14ac:dyDescent="0.35">
      <c r="A82">
        <v>5</v>
      </c>
      <c r="B82" s="9">
        <v>15</v>
      </c>
      <c r="C82">
        <v>-5.5038987999999997E-2</v>
      </c>
      <c r="D82">
        <v>-0.10774356</v>
      </c>
      <c r="E82">
        <v>0.94495231000000002</v>
      </c>
      <c r="F82">
        <v>-0.11428768</v>
      </c>
      <c r="G82">
        <f t="shared" si="16"/>
        <v>1.2924446923224699</v>
      </c>
      <c r="H82">
        <f t="shared" si="17"/>
        <v>-3.6135100603883901</v>
      </c>
      <c r="I82">
        <f t="shared" si="18"/>
        <v>1.2924510477053099</v>
      </c>
      <c r="J82">
        <f t="shared" si="19"/>
        <v>-3.6167821138299101</v>
      </c>
      <c r="K82" s="7">
        <f t="shared" si="20"/>
        <v>-6.3553828399953699E-6</v>
      </c>
      <c r="L82" s="7">
        <f t="shared" si="21"/>
        <v>3.2720534415200402E-3</v>
      </c>
      <c r="M82" s="7">
        <f t="shared" si="22"/>
        <v>8.7614637018759794E-2</v>
      </c>
      <c r="N82" s="7">
        <f t="shared" si="23"/>
        <v>0.24517992587940701</v>
      </c>
      <c r="O82">
        <v>8.6416996000000008</v>
      </c>
      <c r="P82">
        <v>-4.3696976999999997</v>
      </c>
      <c r="Q82">
        <v>6.0194840999999997</v>
      </c>
      <c r="R82">
        <v>-7.1331534999999997</v>
      </c>
      <c r="S82">
        <f t="shared" si="24"/>
        <v>0.96385053814343469</v>
      </c>
      <c r="T82">
        <f t="shared" si="25"/>
        <v>-23.016284171308047</v>
      </c>
      <c r="U82" s="8"/>
      <c r="V82" s="8"/>
    </row>
    <row r="83" spans="1:22" x14ac:dyDescent="0.35">
      <c r="A83">
        <v>5</v>
      </c>
      <c r="B83" s="9">
        <v>15.5</v>
      </c>
      <c r="C83">
        <v>-9.3325386999999996E-2</v>
      </c>
      <c r="D83">
        <v>-0.12887950000000001</v>
      </c>
      <c r="E83">
        <v>0.90660808000000004</v>
      </c>
      <c r="F83">
        <v>-0.13613331000000001</v>
      </c>
      <c r="G83">
        <f t="shared" si="16"/>
        <v>1.2766602711988799</v>
      </c>
      <c r="H83">
        <f t="shared" si="17"/>
        <v>-2.5198330697404598</v>
      </c>
      <c r="I83">
        <f t="shared" si="18"/>
        <v>1.2766401591718901</v>
      </c>
      <c r="J83">
        <f t="shared" si="19"/>
        <v>-2.5234601683457498</v>
      </c>
      <c r="K83" s="7">
        <f t="shared" si="20"/>
        <v>2.0112026989815801E-5</v>
      </c>
      <c r="L83" s="7">
        <f t="shared" si="21"/>
        <v>3.6270986052899801E-3</v>
      </c>
      <c r="M83" s="7">
        <f t="shared" si="22"/>
        <v>0.15962668441838701</v>
      </c>
      <c r="N83" s="7">
        <f t="shared" si="23"/>
        <v>0.31552476008289299</v>
      </c>
      <c r="O83">
        <v>10.050981999999999</v>
      </c>
      <c r="P83">
        <v>-7.2066451999999996</v>
      </c>
      <c r="Q83">
        <v>6.2885384000000002</v>
      </c>
      <c r="R83">
        <v>-10.344239999999999</v>
      </c>
      <c r="S83">
        <f t="shared" si="24"/>
        <v>0.97882576475954042</v>
      </c>
      <c r="T83">
        <f t="shared" si="25"/>
        <v>-23.062604045655743</v>
      </c>
      <c r="U83" s="8"/>
      <c r="V83" s="8"/>
    </row>
    <row r="84" spans="1:22" x14ac:dyDescent="0.35">
      <c r="A84">
        <v>5</v>
      </c>
      <c r="B84" s="9">
        <v>16</v>
      </c>
      <c r="C84">
        <v>-0.15547517999999999</v>
      </c>
      <c r="D84">
        <v>-0.13725983</v>
      </c>
      <c r="E84">
        <v>0.84448095999999995</v>
      </c>
      <c r="F84">
        <v>-0.14529589000000001</v>
      </c>
      <c r="G84">
        <f t="shared" si="16"/>
        <v>1.2614595139323399</v>
      </c>
      <c r="H84">
        <f t="shared" si="17"/>
        <v>-1.59837322549588</v>
      </c>
      <c r="I84">
        <f t="shared" si="18"/>
        <v>1.2614537288180001</v>
      </c>
      <c r="J84">
        <f t="shared" si="19"/>
        <v>-1.6023913668584799</v>
      </c>
      <c r="K84" s="7">
        <f t="shared" si="20"/>
        <v>5.7851143397957802E-6</v>
      </c>
      <c r="L84" s="7">
        <f t="shared" si="21"/>
        <v>4.0181413625999304E-3</v>
      </c>
      <c r="M84" s="7">
        <f t="shared" si="22"/>
        <v>0.3033125513655</v>
      </c>
      <c r="N84" s="7">
        <f t="shared" si="23"/>
        <v>0.38528992595178801</v>
      </c>
      <c r="O84">
        <v>10.463884</v>
      </c>
      <c r="P84">
        <v>-11.721532</v>
      </c>
      <c r="Q84">
        <v>4.9756134000000003</v>
      </c>
      <c r="R84">
        <v>-14.744958</v>
      </c>
      <c r="S84">
        <f t="shared" si="24"/>
        <v>0.99040166672108421</v>
      </c>
      <c r="T84">
        <f t="shared" si="25"/>
        <v>-23.108773054598071</v>
      </c>
      <c r="U84" s="8"/>
      <c r="V84" s="8"/>
    </row>
    <row r="85" spans="1:22" x14ac:dyDescent="0.35">
      <c r="A85">
        <v>5</v>
      </c>
      <c r="B85" s="9">
        <v>16.5</v>
      </c>
      <c r="C85">
        <v>-0.23272034999999999</v>
      </c>
      <c r="D85">
        <v>-0.10730579</v>
      </c>
      <c r="E85">
        <v>0.76723788000000004</v>
      </c>
      <c r="F85">
        <v>-0.11622141</v>
      </c>
      <c r="G85">
        <f t="shared" si="16"/>
        <v>1.24574521692422</v>
      </c>
      <c r="H85">
        <f t="shared" si="17"/>
        <v>-0.83608709940404902</v>
      </c>
      <c r="I85">
        <f t="shared" si="18"/>
        <v>1.2457442044082201</v>
      </c>
      <c r="J85">
        <f t="shared" si="19"/>
        <v>-0.84054500702105195</v>
      </c>
      <c r="K85" s="7">
        <f t="shared" si="20"/>
        <v>1.0125159999319101E-6</v>
      </c>
      <c r="L85" s="7">
        <f t="shared" si="21"/>
        <v>4.4579076170029302E-3</v>
      </c>
      <c r="M85" s="7">
        <f t="shared" si="22"/>
        <v>0.55160610201309601</v>
      </c>
      <c r="N85" s="7">
        <f t="shared" si="23"/>
        <v>0.37218696522831102</v>
      </c>
      <c r="O85">
        <v>8.0503411000000007</v>
      </c>
      <c r="P85">
        <v>-17.166352</v>
      </c>
      <c r="Q85">
        <v>0.65524589</v>
      </c>
      <c r="R85">
        <v>-18.959071000000002</v>
      </c>
      <c r="S85">
        <f t="shared" si="24"/>
        <v>1.0005340666837554</v>
      </c>
      <c r="T85">
        <f t="shared" si="25"/>
        <v>-23.145306485813556</v>
      </c>
      <c r="U85" s="8"/>
      <c r="V85" s="8"/>
    </row>
    <row r="86" spans="1:22" x14ac:dyDescent="0.35">
      <c r="A86">
        <v>5</v>
      </c>
      <c r="B86" s="9">
        <v>17</v>
      </c>
      <c r="C86">
        <v>-0.28278187999999999</v>
      </c>
      <c r="D86">
        <v>-3.8975533999999999E-2</v>
      </c>
      <c r="E86">
        <v>0.71718735</v>
      </c>
      <c r="F86">
        <v>-4.8748707000000002E-2</v>
      </c>
      <c r="G86">
        <f t="shared" si="16"/>
        <v>1.2265131766200199</v>
      </c>
      <c r="H86">
        <f t="shared" si="17"/>
        <v>-0.265341158340196</v>
      </c>
      <c r="I86">
        <f t="shared" si="18"/>
        <v>1.2265216706428801</v>
      </c>
      <c r="J86">
        <f t="shared" si="19"/>
        <v>-0.27022777851406998</v>
      </c>
      <c r="K86" s="7">
        <f t="shared" si="20"/>
        <v>-8.4940228601837492E-6</v>
      </c>
      <c r="L86" s="7">
        <f t="shared" si="21"/>
        <v>4.8866201738739798E-3</v>
      </c>
      <c r="M86" s="7">
        <f t="shared" si="22"/>
        <v>0.77756968355702205</v>
      </c>
      <c r="N86" s="7">
        <f t="shared" si="23"/>
        <v>0.17131448490214499</v>
      </c>
      <c r="O86">
        <v>3.0916448000000001</v>
      </c>
      <c r="P86">
        <v>-21.227277999999998</v>
      </c>
      <c r="Q86">
        <v>-5.3373517000000001</v>
      </c>
      <c r="R86">
        <v>-20.179765</v>
      </c>
      <c r="S86">
        <f t="shared" si="24"/>
        <v>0.97307547611343814</v>
      </c>
      <c r="T86">
        <f t="shared" si="25"/>
        <v>-23.101508285956861</v>
      </c>
      <c r="U86" s="8"/>
      <c r="V86" s="8"/>
    </row>
    <row r="87" spans="1:22" x14ac:dyDescent="0.35">
      <c r="B87" s="9"/>
      <c r="G87">
        <f t="shared" si="16"/>
        <v>1</v>
      </c>
      <c r="H87">
        <f t="shared" si="17"/>
        <v>0</v>
      </c>
      <c r="I87">
        <f t="shared" si="18"/>
        <v>0</v>
      </c>
      <c r="J87">
        <f t="shared" si="19"/>
        <v>0</v>
      </c>
      <c r="K87" s="7">
        <f t="shared" si="20"/>
        <v>1</v>
      </c>
      <c r="L87" s="7">
        <f t="shared" si="21"/>
        <v>0</v>
      </c>
      <c r="M87" s="7" t="e">
        <f t="shared" si="22"/>
        <v>#NUM!</v>
      </c>
      <c r="N87" s="7" t="e">
        <f t="shared" si="23"/>
        <v>#NUM!</v>
      </c>
      <c r="S87" t="e">
        <f t="shared" si="24"/>
        <v>#DIV/0!</v>
      </c>
      <c r="T87" t="e">
        <f t="shared" si="25"/>
        <v>#DIV/0!</v>
      </c>
      <c r="U87" s="8"/>
      <c r="V87" s="8"/>
    </row>
    <row r="88" spans="1:22" x14ac:dyDescent="0.35">
      <c r="B88" s="9"/>
      <c r="G88">
        <f t="shared" si="16"/>
        <v>1</v>
      </c>
      <c r="H88">
        <f t="shared" si="17"/>
        <v>0</v>
      </c>
      <c r="I88">
        <f t="shared" si="18"/>
        <v>0</v>
      </c>
      <c r="J88">
        <f t="shared" si="19"/>
        <v>0</v>
      </c>
      <c r="K88" s="7">
        <f t="shared" si="20"/>
        <v>1</v>
      </c>
      <c r="L88" s="7">
        <f t="shared" si="21"/>
        <v>0</v>
      </c>
      <c r="M88" s="7" t="e">
        <f t="shared" si="22"/>
        <v>#NUM!</v>
      </c>
      <c r="N88" s="7" t="e">
        <f t="shared" si="23"/>
        <v>#NUM!</v>
      </c>
      <c r="S88" t="e">
        <f t="shared" si="24"/>
        <v>#DIV/0!</v>
      </c>
      <c r="T88" t="e">
        <f t="shared" si="25"/>
        <v>#DIV/0!</v>
      </c>
      <c r="U88" s="8"/>
      <c r="V88" s="8"/>
    </row>
    <row r="89" spans="1:22" x14ac:dyDescent="0.35">
      <c r="B89" s="9"/>
      <c r="G89">
        <f t="shared" si="16"/>
        <v>1</v>
      </c>
      <c r="H89">
        <f t="shared" si="17"/>
        <v>0</v>
      </c>
      <c r="I89">
        <f t="shared" si="18"/>
        <v>0</v>
      </c>
      <c r="J89">
        <f t="shared" si="19"/>
        <v>0</v>
      </c>
      <c r="K89" s="7">
        <f t="shared" si="20"/>
        <v>1</v>
      </c>
      <c r="L89" s="7">
        <f t="shared" si="21"/>
        <v>0</v>
      </c>
      <c r="M89" s="7" t="e">
        <f t="shared" si="22"/>
        <v>#NUM!</v>
      </c>
      <c r="N89" s="7" t="e">
        <f t="shared" si="23"/>
        <v>#NUM!</v>
      </c>
      <c r="S89" t="e">
        <f t="shared" si="24"/>
        <v>#DIV/0!</v>
      </c>
      <c r="T89" t="e">
        <f t="shared" si="25"/>
        <v>#DIV/0!</v>
      </c>
      <c r="U89" s="8"/>
      <c r="V89" s="8"/>
    </row>
    <row r="90" spans="1:22" x14ac:dyDescent="0.35">
      <c r="B90" s="9"/>
      <c r="G90">
        <f t="shared" si="16"/>
        <v>1</v>
      </c>
      <c r="H90">
        <f t="shared" si="17"/>
        <v>0</v>
      </c>
      <c r="I90">
        <f t="shared" si="18"/>
        <v>0</v>
      </c>
      <c r="J90">
        <f t="shared" si="19"/>
        <v>0</v>
      </c>
      <c r="K90" s="7">
        <f t="shared" si="20"/>
        <v>1</v>
      </c>
      <c r="L90" s="7">
        <f t="shared" si="21"/>
        <v>0</v>
      </c>
      <c r="M90" s="7" t="e">
        <f t="shared" si="22"/>
        <v>#NUM!</v>
      </c>
      <c r="N90" s="7" t="e">
        <f t="shared" si="23"/>
        <v>#NUM!</v>
      </c>
      <c r="S90" t="e">
        <f t="shared" si="24"/>
        <v>#DIV/0!</v>
      </c>
      <c r="T90" t="e">
        <f t="shared" si="25"/>
        <v>#DIV/0!</v>
      </c>
      <c r="U90" s="8"/>
      <c r="V90" s="8"/>
    </row>
    <row r="91" spans="1:22" x14ac:dyDescent="0.35">
      <c r="B91" s="9"/>
      <c r="G91">
        <f t="shared" si="16"/>
        <v>1</v>
      </c>
      <c r="H91">
        <f t="shared" si="17"/>
        <v>0</v>
      </c>
      <c r="I91">
        <f t="shared" si="18"/>
        <v>0</v>
      </c>
      <c r="J91">
        <f t="shared" si="19"/>
        <v>0</v>
      </c>
      <c r="K91" s="7">
        <f t="shared" si="20"/>
        <v>1</v>
      </c>
      <c r="L91" s="7">
        <f t="shared" si="21"/>
        <v>0</v>
      </c>
      <c r="M91" s="7" t="e">
        <f t="shared" si="22"/>
        <v>#NUM!</v>
      </c>
      <c r="N91" s="7" t="e">
        <f t="shared" si="23"/>
        <v>#NUM!</v>
      </c>
      <c r="S91" t="e">
        <f t="shared" si="24"/>
        <v>#DIV/0!</v>
      </c>
      <c r="T91" t="e">
        <f t="shared" si="25"/>
        <v>#DIV/0!</v>
      </c>
      <c r="U91" s="8"/>
      <c r="V91" s="8"/>
    </row>
    <row r="92" spans="1:22" x14ac:dyDescent="0.35">
      <c r="B92" s="9"/>
      <c r="G92">
        <f t="shared" si="16"/>
        <v>1</v>
      </c>
      <c r="H92">
        <f t="shared" si="17"/>
        <v>0</v>
      </c>
      <c r="I92">
        <f t="shared" si="18"/>
        <v>0</v>
      </c>
      <c r="J92">
        <f t="shared" si="19"/>
        <v>0</v>
      </c>
      <c r="K92" s="7">
        <f t="shared" si="20"/>
        <v>1</v>
      </c>
      <c r="L92" s="7">
        <f t="shared" si="21"/>
        <v>0</v>
      </c>
      <c r="M92" s="7" t="e">
        <f t="shared" si="22"/>
        <v>#NUM!</v>
      </c>
      <c r="N92" s="7" t="e">
        <f t="shared" si="23"/>
        <v>#NUM!</v>
      </c>
      <c r="S92" t="e">
        <f t="shared" si="24"/>
        <v>#DIV/0!</v>
      </c>
      <c r="T92" t="e">
        <f t="shared" si="25"/>
        <v>#DIV/0!</v>
      </c>
      <c r="U92" s="8"/>
      <c r="V92" s="8"/>
    </row>
    <row r="93" spans="1:22" x14ac:dyDescent="0.35">
      <c r="B93" s="9"/>
      <c r="G93">
        <f t="shared" si="16"/>
        <v>1</v>
      </c>
      <c r="H93">
        <f t="shared" si="17"/>
        <v>0</v>
      </c>
      <c r="I93">
        <f t="shared" si="18"/>
        <v>0</v>
      </c>
      <c r="J93">
        <f t="shared" si="19"/>
        <v>0</v>
      </c>
      <c r="K93" s="7">
        <f t="shared" si="20"/>
        <v>1</v>
      </c>
      <c r="L93" s="7">
        <f t="shared" si="21"/>
        <v>0</v>
      </c>
      <c r="M93" s="7" t="e">
        <f t="shared" si="22"/>
        <v>#NUM!</v>
      </c>
      <c r="N93" s="7" t="e">
        <f t="shared" si="23"/>
        <v>#NUM!</v>
      </c>
      <c r="S93" t="e">
        <f t="shared" si="24"/>
        <v>#DIV/0!</v>
      </c>
      <c r="T93" t="e">
        <f t="shared" si="25"/>
        <v>#DIV/0!</v>
      </c>
      <c r="U93" s="8"/>
      <c r="V93" s="8"/>
    </row>
    <row r="94" spans="1:22" x14ac:dyDescent="0.35">
      <c r="B94" s="9"/>
      <c r="G94">
        <f t="shared" si="16"/>
        <v>1</v>
      </c>
      <c r="H94">
        <f t="shared" si="17"/>
        <v>0</v>
      </c>
      <c r="I94">
        <f t="shared" si="18"/>
        <v>0</v>
      </c>
      <c r="J94">
        <f t="shared" si="19"/>
        <v>0</v>
      </c>
      <c r="K94" s="7">
        <f t="shared" si="20"/>
        <v>1</v>
      </c>
      <c r="L94" s="7">
        <f t="shared" si="21"/>
        <v>0</v>
      </c>
      <c r="M94" s="7" t="e">
        <f t="shared" si="22"/>
        <v>#NUM!</v>
      </c>
      <c r="N94" s="7" t="e">
        <f t="shared" si="23"/>
        <v>#NUM!</v>
      </c>
      <c r="S94" t="e">
        <f t="shared" si="24"/>
        <v>#DIV/0!</v>
      </c>
      <c r="T94" t="e">
        <f t="shared" si="25"/>
        <v>#DIV/0!</v>
      </c>
      <c r="U94" s="8"/>
      <c r="V94" s="8"/>
    </row>
    <row r="95" spans="1:22" x14ac:dyDescent="0.35">
      <c r="B95" s="9"/>
      <c r="G95">
        <f t="shared" si="16"/>
        <v>1</v>
      </c>
      <c r="H95">
        <f t="shared" si="17"/>
        <v>0</v>
      </c>
      <c r="I95">
        <f t="shared" si="18"/>
        <v>0</v>
      </c>
      <c r="J95">
        <f t="shared" si="19"/>
        <v>0</v>
      </c>
      <c r="K95" s="7">
        <f t="shared" si="20"/>
        <v>1</v>
      </c>
      <c r="L95" s="7">
        <f t="shared" si="21"/>
        <v>0</v>
      </c>
      <c r="M95" s="7" t="e">
        <f t="shared" si="22"/>
        <v>#NUM!</v>
      </c>
      <c r="N95" s="7" t="e">
        <f t="shared" si="23"/>
        <v>#NUM!</v>
      </c>
      <c r="S95" t="e">
        <f t="shared" si="24"/>
        <v>#DIV/0!</v>
      </c>
      <c r="T95" t="e">
        <f t="shared" si="25"/>
        <v>#DIV/0!</v>
      </c>
      <c r="U95" s="8"/>
      <c r="V95" s="8"/>
    </row>
    <row r="96" spans="1:22" x14ac:dyDescent="0.35">
      <c r="B96" s="9"/>
      <c r="G96">
        <f t="shared" si="16"/>
        <v>1</v>
      </c>
      <c r="H96">
        <f t="shared" si="17"/>
        <v>0</v>
      </c>
      <c r="I96">
        <f t="shared" si="18"/>
        <v>0</v>
      </c>
      <c r="J96">
        <f t="shared" si="19"/>
        <v>0</v>
      </c>
      <c r="K96" s="7">
        <f t="shared" si="20"/>
        <v>1</v>
      </c>
      <c r="L96" s="7">
        <f t="shared" si="21"/>
        <v>0</v>
      </c>
      <c r="M96" s="7" t="e">
        <f t="shared" si="22"/>
        <v>#NUM!</v>
      </c>
      <c r="N96" s="7" t="e">
        <f t="shared" si="23"/>
        <v>#NUM!</v>
      </c>
      <c r="S96" t="e">
        <f t="shared" si="24"/>
        <v>#DIV/0!</v>
      </c>
      <c r="T96" t="e">
        <f t="shared" si="25"/>
        <v>#DIV/0!</v>
      </c>
      <c r="U96" s="8"/>
      <c r="V96" s="8"/>
    </row>
    <row r="97" spans="2:22" x14ac:dyDescent="0.35">
      <c r="B97" s="9"/>
      <c r="G97">
        <f t="shared" si="16"/>
        <v>1</v>
      </c>
      <c r="H97">
        <f t="shared" si="17"/>
        <v>0</v>
      </c>
      <c r="I97">
        <f t="shared" si="18"/>
        <v>0</v>
      </c>
      <c r="J97">
        <f t="shared" si="19"/>
        <v>0</v>
      </c>
      <c r="K97" s="7">
        <f t="shared" si="20"/>
        <v>1</v>
      </c>
      <c r="L97" s="7">
        <f t="shared" si="21"/>
        <v>0</v>
      </c>
      <c r="M97" s="7" t="e">
        <f t="shared" si="22"/>
        <v>#NUM!</v>
      </c>
      <c r="N97" s="7" t="e">
        <f t="shared" si="23"/>
        <v>#NUM!</v>
      </c>
      <c r="S97" t="e">
        <f t="shared" si="24"/>
        <v>#DIV/0!</v>
      </c>
      <c r="T97" t="e">
        <f t="shared" si="25"/>
        <v>#DIV/0!</v>
      </c>
      <c r="U97" s="8"/>
      <c r="V97" s="8"/>
    </row>
    <row r="98" spans="2:22" x14ac:dyDescent="0.35">
      <c r="B98" s="9"/>
      <c r="G98">
        <f t="shared" si="16"/>
        <v>1</v>
      </c>
      <c r="H98">
        <f t="shared" si="17"/>
        <v>0</v>
      </c>
      <c r="I98">
        <f t="shared" si="18"/>
        <v>0</v>
      </c>
      <c r="J98">
        <f t="shared" si="19"/>
        <v>0</v>
      </c>
      <c r="K98" s="7">
        <f t="shared" si="20"/>
        <v>1</v>
      </c>
      <c r="L98" s="7">
        <f t="shared" si="21"/>
        <v>0</v>
      </c>
      <c r="M98" s="7" t="e">
        <f t="shared" si="22"/>
        <v>#NUM!</v>
      </c>
      <c r="N98" s="7" t="e">
        <f t="shared" si="23"/>
        <v>#NUM!</v>
      </c>
      <c r="S98" t="e">
        <f t="shared" si="24"/>
        <v>#DIV/0!</v>
      </c>
      <c r="T98" t="e">
        <f t="shared" si="25"/>
        <v>#DIV/0!</v>
      </c>
      <c r="U98" s="8"/>
      <c r="V98" s="8"/>
    </row>
    <row r="99" spans="2:22" x14ac:dyDescent="0.35">
      <c r="B99" s="9"/>
      <c r="G99">
        <f t="shared" si="16"/>
        <v>1</v>
      </c>
      <c r="H99">
        <f t="shared" si="17"/>
        <v>0</v>
      </c>
      <c r="I99">
        <f t="shared" si="18"/>
        <v>0</v>
      </c>
      <c r="J99">
        <f t="shared" si="19"/>
        <v>0</v>
      </c>
      <c r="K99" s="7">
        <f t="shared" si="20"/>
        <v>1</v>
      </c>
      <c r="L99" s="7">
        <f t="shared" si="21"/>
        <v>0</v>
      </c>
      <c r="M99" s="7" t="e">
        <f t="shared" si="22"/>
        <v>#NUM!</v>
      </c>
      <c r="N99" s="7" t="e">
        <f t="shared" si="23"/>
        <v>#NUM!</v>
      </c>
      <c r="S99" t="e">
        <f t="shared" si="24"/>
        <v>#DIV/0!</v>
      </c>
      <c r="T99" t="e">
        <f t="shared" si="25"/>
        <v>#DIV/0!</v>
      </c>
      <c r="U99" s="8"/>
      <c r="V99" s="8"/>
    </row>
    <row r="100" spans="2:22" x14ac:dyDescent="0.35">
      <c r="B100" s="9"/>
      <c r="G100">
        <f t="shared" si="16"/>
        <v>1</v>
      </c>
      <c r="H100">
        <f t="shared" si="17"/>
        <v>0</v>
      </c>
      <c r="I100">
        <f t="shared" si="18"/>
        <v>0</v>
      </c>
      <c r="J100">
        <f t="shared" si="19"/>
        <v>0</v>
      </c>
      <c r="K100" s="7">
        <f t="shared" si="20"/>
        <v>1</v>
      </c>
      <c r="L100" s="7">
        <f t="shared" si="21"/>
        <v>0</v>
      </c>
      <c r="M100" s="7" t="e">
        <f t="shared" si="22"/>
        <v>#NUM!</v>
      </c>
      <c r="N100" s="7" t="e">
        <f t="shared" si="23"/>
        <v>#NUM!</v>
      </c>
      <c r="S100" t="e">
        <f t="shared" si="24"/>
        <v>#DIV/0!</v>
      </c>
      <c r="T100" t="e">
        <f t="shared" si="25"/>
        <v>#DIV/0!</v>
      </c>
      <c r="U100" s="8"/>
      <c r="V100" s="8"/>
    </row>
    <row r="101" spans="2:22" x14ac:dyDescent="0.35">
      <c r="B101" s="9"/>
      <c r="G101">
        <f t="shared" si="16"/>
        <v>1</v>
      </c>
      <c r="H101">
        <f t="shared" si="17"/>
        <v>0</v>
      </c>
      <c r="I101">
        <f t="shared" si="18"/>
        <v>0</v>
      </c>
      <c r="J101">
        <f t="shared" si="19"/>
        <v>0</v>
      </c>
      <c r="K101" s="7">
        <f t="shared" si="20"/>
        <v>1</v>
      </c>
      <c r="L101" s="7">
        <f t="shared" si="21"/>
        <v>0</v>
      </c>
      <c r="M101" s="7" t="e">
        <f t="shared" si="22"/>
        <v>#NUM!</v>
      </c>
      <c r="N101" s="7" t="e">
        <f t="shared" si="23"/>
        <v>#NUM!</v>
      </c>
      <c r="S101" t="e">
        <f t="shared" si="24"/>
        <v>#DIV/0!</v>
      </c>
      <c r="T101" t="e">
        <f t="shared" si="25"/>
        <v>#DIV/0!</v>
      </c>
      <c r="U101" s="8"/>
      <c r="V101" s="8"/>
    </row>
    <row r="102" spans="2:22" x14ac:dyDescent="0.35">
      <c r="B102" s="9"/>
      <c r="G102">
        <f t="shared" si="16"/>
        <v>1</v>
      </c>
      <c r="H102">
        <f t="shared" si="17"/>
        <v>0</v>
      </c>
      <c r="I102">
        <f t="shared" si="18"/>
        <v>0</v>
      </c>
      <c r="J102">
        <f t="shared" si="19"/>
        <v>0</v>
      </c>
      <c r="K102" s="7">
        <f t="shared" si="20"/>
        <v>1</v>
      </c>
      <c r="L102" s="7">
        <f t="shared" si="21"/>
        <v>0</v>
      </c>
      <c r="M102" s="7" t="e">
        <f t="shared" si="22"/>
        <v>#NUM!</v>
      </c>
      <c r="N102" s="7" t="e">
        <f t="shared" si="23"/>
        <v>#NUM!</v>
      </c>
      <c r="S102" t="e">
        <f t="shared" si="24"/>
        <v>#DIV/0!</v>
      </c>
      <c r="T102" t="e">
        <f t="shared" si="25"/>
        <v>#DIV/0!</v>
      </c>
      <c r="U102" s="8"/>
      <c r="V102" s="8"/>
    </row>
    <row r="103" spans="2:22" x14ac:dyDescent="0.35">
      <c r="B103" s="9"/>
      <c r="G103">
        <f t="shared" si="16"/>
        <v>1</v>
      </c>
      <c r="H103">
        <f t="shared" si="17"/>
        <v>0</v>
      </c>
      <c r="I103">
        <f t="shared" si="18"/>
        <v>0</v>
      </c>
      <c r="J103">
        <f t="shared" si="19"/>
        <v>0</v>
      </c>
      <c r="K103" s="7">
        <f t="shared" si="20"/>
        <v>1</v>
      </c>
      <c r="L103" s="7">
        <f t="shared" si="21"/>
        <v>0</v>
      </c>
      <c r="M103" s="7" t="e">
        <f t="shared" si="22"/>
        <v>#NUM!</v>
      </c>
      <c r="N103" s="7" t="e">
        <f t="shared" si="23"/>
        <v>#NUM!</v>
      </c>
      <c r="S103" t="e">
        <f t="shared" si="24"/>
        <v>#DIV/0!</v>
      </c>
      <c r="T103" t="e">
        <f t="shared" si="25"/>
        <v>#DIV/0!</v>
      </c>
      <c r="U103" s="8"/>
      <c r="V103" s="8"/>
    </row>
    <row r="104" spans="2:22" x14ac:dyDescent="0.35">
      <c r="B104" s="9"/>
      <c r="G104">
        <f t="shared" si="16"/>
        <v>1</v>
      </c>
      <c r="H104">
        <f t="shared" si="17"/>
        <v>0</v>
      </c>
      <c r="I104">
        <f t="shared" si="18"/>
        <v>0</v>
      </c>
      <c r="J104">
        <f t="shared" si="19"/>
        <v>0</v>
      </c>
      <c r="K104" s="7">
        <f t="shared" si="20"/>
        <v>1</v>
      </c>
      <c r="L104" s="7">
        <f t="shared" si="21"/>
        <v>0</v>
      </c>
      <c r="M104" s="7" t="e">
        <f t="shared" si="22"/>
        <v>#NUM!</v>
      </c>
      <c r="N104" s="7" t="e">
        <f t="shared" si="23"/>
        <v>#NUM!</v>
      </c>
      <c r="S104" t="e">
        <f t="shared" si="24"/>
        <v>#DIV/0!</v>
      </c>
      <c r="T104" t="e">
        <f t="shared" si="25"/>
        <v>#DIV/0!</v>
      </c>
      <c r="U104" s="8"/>
      <c r="V104" s="8"/>
    </row>
    <row r="105" spans="2:22" x14ac:dyDescent="0.35">
      <c r="B105" s="9"/>
      <c r="G105">
        <f t="shared" si="16"/>
        <v>1</v>
      </c>
      <c r="H105">
        <f t="shared" si="17"/>
        <v>0</v>
      </c>
      <c r="I105">
        <f t="shared" si="18"/>
        <v>0</v>
      </c>
      <c r="J105">
        <f t="shared" si="19"/>
        <v>0</v>
      </c>
      <c r="K105" s="7">
        <f t="shared" si="20"/>
        <v>1</v>
      </c>
      <c r="L105" s="7">
        <f t="shared" si="21"/>
        <v>0</v>
      </c>
      <c r="M105" s="7" t="e">
        <f t="shared" si="22"/>
        <v>#NUM!</v>
      </c>
      <c r="N105" s="7" t="e">
        <f t="shared" si="23"/>
        <v>#NUM!</v>
      </c>
      <c r="S105" t="e">
        <f t="shared" si="24"/>
        <v>#DIV/0!</v>
      </c>
      <c r="T105" t="e">
        <f t="shared" si="25"/>
        <v>#DIV/0!</v>
      </c>
      <c r="U105" s="8"/>
      <c r="V105" s="8"/>
    </row>
    <row r="106" spans="2:22" x14ac:dyDescent="0.35">
      <c r="B106" s="9"/>
      <c r="G106">
        <f t="shared" si="16"/>
        <v>1</v>
      </c>
      <c r="H106">
        <f t="shared" si="17"/>
        <v>0</v>
      </c>
      <c r="I106">
        <f t="shared" si="18"/>
        <v>0</v>
      </c>
      <c r="J106">
        <f t="shared" si="19"/>
        <v>0</v>
      </c>
      <c r="K106" s="7">
        <f t="shared" si="20"/>
        <v>1</v>
      </c>
      <c r="L106" s="7">
        <f t="shared" si="21"/>
        <v>0</v>
      </c>
      <c r="M106" s="7" t="e">
        <f t="shared" si="22"/>
        <v>#NUM!</v>
      </c>
      <c r="N106" s="7" t="e">
        <f t="shared" si="23"/>
        <v>#NUM!</v>
      </c>
      <c r="S106" t="e">
        <f t="shared" si="24"/>
        <v>#DIV/0!</v>
      </c>
      <c r="T106" t="e">
        <f t="shared" si="25"/>
        <v>#DIV/0!</v>
      </c>
      <c r="U106" s="8"/>
      <c r="V106" s="8"/>
    </row>
    <row r="107" spans="2:22" x14ac:dyDescent="0.35">
      <c r="B107" s="9"/>
      <c r="G107">
        <f t="shared" si="16"/>
        <v>1</v>
      </c>
      <c r="H107">
        <f t="shared" si="17"/>
        <v>0</v>
      </c>
      <c r="I107">
        <f t="shared" si="18"/>
        <v>0</v>
      </c>
      <c r="J107">
        <f t="shared" si="19"/>
        <v>0</v>
      </c>
      <c r="K107" s="7">
        <f t="shared" si="20"/>
        <v>1</v>
      </c>
      <c r="L107" s="7">
        <f t="shared" si="21"/>
        <v>0</v>
      </c>
      <c r="M107" s="7" t="e">
        <f t="shared" si="22"/>
        <v>#NUM!</v>
      </c>
      <c r="N107" s="7" t="e">
        <f t="shared" si="23"/>
        <v>#NUM!</v>
      </c>
      <c r="S107" t="e">
        <f t="shared" si="24"/>
        <v>#DIV/0!</v>
      </c>
      <c r="T107" t="e">
        <f t="shared" si="25"/>
        <v>#DIV/0!</v>
      </c>
      <c r="U107" s="8"/>
      <c r="V107" s="8"/>
    </row>
    <row r="108" spans="2:22" x14ac:dyDescent="0.35">
      <c r="B108" s="9"/>
      <c r="G108">
        <f t="shared" si="16"/>
        <v>1</v>
      </c>
      <c r="H108">
        <f t="shared" si="17"/>
        <v>0</v>
      </c>
      <c r="I108">
        <f t="shared" si="18"/>
        <v>0</v>
      </c>
      <c r="J108">
        <f t="shared" si="19"/>
        <v>0</v>
      </c>
      <c r="K108" s="7">
        <f t="shared" si="20"/>
        <v>1</v>
      </c>
      <c r="L108" s="7">
        <f t="shared" si="21"/>
        <v>0</v>
      </c>
      <c r="M108" s="7" t="e">
        <f t="shared" si="22"/>
        <v>#NUM!</v>
      </c>
      <c r="N108" s="7" t="e">
        <f t="shared" si="23"/>
        <v>#NUM!</v>
      </c>
      <c r="S108" t="e">
        <f t="shared" si="24"/>
        <v>#DIV/0!</v>
      </c>
      <c r="T108" t="e">
        <f t="shared" si="25"/>
        <v>#DIV/0!</v>
      </c>
      <c r="U108" s="8"/>
      <c r="V108" s="8"/>
    </row>
    <row r="109" spans="2:22" x14ac:dyDescent="0.35">
      <c r="B109" s="9"/>
      <c r="G109">
        <f t="shared" si="16"/>
        <v>1</v>
      </c>
      <c r="H109">
        <f t="shared" si="17"/>
        <v>0</v>
      </c>
      <c r="I109">
        <f t="shared" si="18"/>
        <v>0</v>
      </c>
      <c r="J109">
        <f t="shared" si="19"/>
        <v>0</v>
      </c>
      <c r="K109" s="7">
        <f t="shared" si="20"/>
        <v>1</v>
      </c>
      <c r="L109" s="7">
        <f t="shared" si="21"/>
        <v>0</v>
      </c>
      <c r="M109" s="7" t="e">
        <f t="shared" si="22"/>
        <v>#NUM!</v>
      </c>
      <c r="N109" s="7" t="e">
        <f t="shared" si="23"/>
        <v>#NUM!</v>
      </c>
      <c r="S109" t="e">
        <f t="shared" si="24"/>
        <v>#DIV/0!</v>
      </c>
      <c r="T109" t="e">
        <f t="shared" si="25"/>
        <v>#DIV/0!</v>
      </c>
      <c r="U109" s="8"/>
      <c r="V109" s="8"/>
    </row>
    <row r="110" spans="2:22" x14ac:dyDescent="0.35">
      <c r="B110" s="9"/>
      <c r="G110">
        <f t="shared" si="16"/>
        <v>1</v>
      </c>
      <c r="H110">
        <f t="shared" si="17"/>
        <v>0</v>
      </c>
      <c r="I110">
        <f t="shared" si="18"/>
        <v>0</v>
      </c>
      <c r="J110">
        <f t="shared" si="19"/>
        <v>0</v>
      </c>
      <c r="K110" s="7">
        <f t="shared" si="20"/>
        <v>1</v>
      </c>
      <c r="L110" s="7">
        <f t="shared" si="21"/>
        <v>0</v>
      </c>
      <c r="M110" s="7" t="e">
        <f t="shared" si="22"/>
        <v>#NUM!</v>
      </c>
      <c r="N110" s="7" t="e">
        <f t="shared" si="23"/>
        <v>#NUM!</v>
      </c>
      <c r="S110" t="e">
        <f t="shared" si="24"/>
        <v>#DIV/0!</v>
      </c>
      <c r="T110" t="e">
        <f t="shared" si="25"/>
        <v>#DIV/0!</v>
      </c>
      <c r="U110" s="8"/>
      <c r="V110" s="8"/>
    </row>
    <row r="111" spans="2:22" x14ac:dyDescent="0.35">
      <c r="B111" s="9"/>
      <c r="G111">
        <f t="shared" si="16"/>
        <v>1</v>
      </c>
      <c r="H111">
        <f t="shared" si="17"/>
        <v>0</v>
      </c>
      <c r="I111">
        <f t="shared" si="18"/>
        <v>0</v>
      </c>
      <c r="J111">
        <f t="shared" si="19"/>
        <v>0</v>
      </c>
      <c r="K111" s="7">
        <f t="shared" si="20"/>
        <v>1</v>
      </c>
      <c r="L111" s="7">
        <f t="shared" si="21"/>
        <v>0</v>
      </c>
      <c r="M111" s="7" t="e">
        <f t="shared" si="22"/>
        <v>#NUM!</v>
      </c>
      <c r="N111" s="7" t="e">
        <f t="shared" si="23"/>
        <v>#NUM!</v>
      </c>
      <c r="S111" t="e">
        <f t="shared" si="24"/>
        <v>#DIV/0!</v>
      </c>
      <c r="T111" t="e">
        <f t="shared" si="25"/>
        <v>#DIV/0!</v>
      </c>
      <c r="U111" s="8"/>
      <c r="V111" s="8"/>
    </row>
    <row r="112" spans="2:22" x14ac:dyDescent="0.35">
      <c r="B112" s="9"/>
      <c r="G112">
        <f t="shared" si="16"/>
        <v>1</v>
      </c>
      <c r="H112">
        <f t="shared" si="17"/>
        <v>0</v>
      </c>
      <c r="I112">
        <f t="shared" si="18"/>
        <v>0</v>
      </c>
      <c r="J112">
        <f t="shared" si="19"/>
        <v>0</v>
      </c>
      <c r="K112" s="7">
        <f t="shared" si="20"/>
        <v>1</v>
      </c>
      <c r="L112" s="7">
        <f t="shared" si="21"/>
        <v>0</v>
      </c>
      <c r="M112" s="7" t="e">
        <f t="shared" si="22"/>
        <v>#NUM!</v>
      </c>
      <c r="N112" s="7" t="e">
        <f t="shared" si="23"/>
        <v>#NUM!</v>
      </c>
      <c r="S112" t="e">
        <f t="shared" si="24"/>
        <v>#DIV/0!</v>
      </c>
      <c r="T112" t="e">
        <f t="shared" si="25"/>
        <v>#DIV/0!</v>
      </c>
      <c r="U112" s="8"/>
      <c r="V112" s="8"/>
    </row>
    <row r="113" spans="2:22" x14ac:dyDescent="0.35">
      <c r="B113" s="9"/>
      <c r="G113">
        <f t="shared" si="16"/>
        <v>1</v>
      </c>
      <c r="H113">
        <f t="shared" si="17"/>
        <v>0</v>
      </c>
      <c r="I113">
        <f t="shared" si="18"/>
        <v>0</v>
      </c>
      <c r="J113">
        <f t="shared" si="19"/>
        <v>0</v>
      </c>
      <c r="K113" s="7">
        <f t="shared" si="20"/>
        <v>1</v>
      </c>
      <c r="L113" s="7">
        <f t="shared" si="21"/>
        <v>0</v>
      </c>
      <c r="M113" s="7" t="e">
        <f t="shared" si="22"/>
        <v>#NUM!</v>
      </c>
      <c r="N113" s="7" t="e">
        <f t="shared" si="23"/>
        <v>#NUM!</v>
      </c>
      <c r="S113" t="e">
        <f t="shared" si="24"/>
        <v>#DIV/0!</v>
      </c>
      <c r="T113" t="e">
        <f t="shared" si="25"/>
        <v>#DIV/0!</v>
      </c>
      <c r="U113" s="8"/>
      <c r="V113" s="8"/>
    </row>
    <row r="114" spans="2:22" x14ac:dyDescent="0.35">
      <c r="B114" s="9"/>
      <c r="G114">
        <f t="shared" si="16"/>
        <v>1</v>
      </c>
      <c r="H114">
        <f t="shared" si="17"/>
        <v>0</v>
      </c>
      <c r="I114">
        <f t="shared" si="18"/>
        <v>0</v>
      </c>
      <c r="J114">
        <f t="shared" si="19"/>
        <v>0</v>
      </c>
      <c r="K114" s="7">
        <f t="shared" si="20"/>
        <v>1</v>
      </c>
      <c r="L114" s="7">
        <f t="shared" si="21"/>
        <v>0</v>
      </c>
      <c r="M114" s="7" t="e">
        <f t="shared" si="22"/>
        <v>#NUM!</v>
      </c>
      <c r="N114" s="7" t="e">
        <f t="shared" si="23"/>
        <v>#NUM!</v>
      </c>
      <c r="S114" t="e">
        <f t="shared" si="24"/>
        <v>#DIV/0!</v>
      </c>
      <c r="T114" t="e">
        <f t="shared" si="25"/>
        <v>#DIV/0!</v>
      </c>
      <c r="U114" s="8"/>
      <c r="V114" s="8"/>
    </row>
    <row r="115" spans="2:22" x14ac:dyDescent="0.35">
      <c r="B115" s="9"/>
      <c r="G115">
        <f t="shared" si="16"/>
        <v>1</v>
      </c>
      <c r="H115">
        <f t="shared" si="17"/>
        <v>0</v>
      </c>
      <c r="I115">
        <f t="shared" si="18"/>
        <v>0</v>
      </c>
      <c r="J115">
        <f t="shared" si="19"/>
        <v>0</v>
      </c>
      <c r="K115" s="7">
        <f t="shared" si="20"/>
        <v>1</v>
      </c>
      <c r="L115" s="7">
        <f t="shared" si="21"/>
        <v>0</v>
      </c>
      <c r="M115" s="7" t="e">
        <f t="shared" si="22"/>
        <v>#NUM!</v>
      </c>
      <c r="N115" s="7" t="e">
        <f t="shared" si="23"/>
        <v>#NUM!</v>
      </c>
      <c r="S115" t="e">
        <f t="shared" si="24"/>
        <v>#DIV/0!</v>
      </c>
      <c r="T115" t="e">
        <f t="shared" si="25"/>
        <v>#DIV/0!</v>
      </c>
      <c r="U115" s="8"/>
      <c r="V115" s="8"/>
    </row>
    <row r="116" spans="2:22" x14ac:dyDescent="0.35">
      <c r="B116" s="9"/>
      <c r="G116">
        <f t="shared" si="16"/>
        <v>1</v>
      </c>
      <c r="H116">
        <f t="shared" si="17"/>
        <v>0</v>
      </c>
      <c r="I116">
        <f t="shared" si="18"/>
        <v>0</v>
      </c>
      <c r="J116">
        <f t="shared" si="19"/>
        <v>0</v>
      </c>
      <c r="K116" s="7">
        <f t="shared" si="20"/>
        <v>1</v>
      </c>
      <c r="L116" s="7">
        <f t="shared" si="21"/>
        <v>0</v>
      </c>
      <c r="M116" s="7" t="e">
        <f t="shared" si="22"/>
        <v>#NUM!</v>
      </c>
      <c r="N116" s="7" t="e">
        <f t="shared" si="23"/>
        <v>#NUM!</v>
      </c>
      <c r="S116" t="e">
        <f t="shared" si="24"/>
        <v>#DIV/0!</v>
      </c>
      <c r="T116" t="e">
        <f t="shared" si="25"/>
        <v>#DIV/0!</v>
      </c>
      <c r="U116" s="8"/>
      <c r="V116" s="8"/>
    </row>
    <row r="117" spans="2:22" x14ac:dyDescent="0.35">
      <c r="B117" s="9"/>
      <c r="G117">
        <f t="shared" si="16"/>
        <v>1</v>
      </c>
      <c r="H117">
        <f t="shared" si="17"/>
        <v>0</v>
      </c>
      <c r="I117">
        <f t="shared" si="18"/>
        <v>0</v>
      </c>
      <c r="J117">
        <f t="shared" si="19"/>
        <v>0</v>
      </c>
      <c r="K117" s="7">
        <f t="shared" si="20"/>
        <v>1</v>
      </c>
      <c r="L117" s="7">
        <f t="shared" si="21"/>
        <v>0</v>
      </c>
      <c r="M117" s="7" t="e">
        <f t="shared" si="22"/>
        <v>#NUM!</v>
      </c>
      <c r="N117" s="7" t="e">
        <f t="shared" si="23"/>
        <v>#NUM!</v>
      </c>
      <c r="S117" t="e">
        <f t="shared" si="24"/>
        <v>#DIV/0!</v>
      </c>
      <c r="T117" t="e">
        <f t="shared" si="25"/>
        <v>#DIV/0!</v>
      </c>
      <c r="U117" s="8"/>
      <c r="V117" s="8"/>
    </row>
    <row r="118" spans="2:22" x14ac:dyDescent="0.35">
      <c r="B118" s="9"/>
      <c r="G118">
        <f t="shared" si="16"/>
        <v>1</v>
      </c>
      <c r="H118">
        <f t="shared" si="17"/>
        <v>0</v>
      </c>
      <c r="I118">
        <f t="shared" si="18"/>
        <v>0</v>
      </c>
      <c r="J118">
        <f t="shared" si="19"/>
        <v>0</v>
      </c>
      <c r="K118" s="7">
        <f t="shared" si="20"/>
        <v>1</v>
      </c>
      <c r="L118" s="7">
        <f t="shared" si="21"/>
        <v>0</v>
      </c>
      <c r="M118" s="7" t="e">
        <f t="shared" si="22"/>
        <v>#NUM!</v>
      </c>
      <c r="N118" s="7" t="e">
        <f t="shared" si="23"/>
        <v>#NUM!</v>
      </c>
      <c r="S118" t="e">
        <f t="shared" si="24"/>
        <v>#DIV/0!</v>
      </c>
      <c r="T118" t="e">
        <f t="shared" si="25"/>
        <v>#DIV/0!</v>
      </c>
      <c r="U118" s="8"/>
      <c r="V118" s="8"/>
    </row>
    <row r="119" spans="2:22" x14ac:dyDescent="0.35">
      <c r="B119" s="9"/>
      <c r="G119">
        <f t="shared" si="16"/>
        <v>1</v>
      </c>
      <c r="H119">
        <f t="shared" si="17"/>
        <v>0</v>
      </c>
      <c r="I119">
        <f t="shared" si="18"/>
        <v>0</v>
      </c>
      <c r="J119">
        <f t="shared" si="19"/>
        <v>0</v>
      </c>
      <c r="K119" s="7">
        <f t="shared" si="20"/>
        <v>1</v>
      </c>
      <c r="L119" s="7">
        <f t="shared" si="21"/>
        <v>0</v>
      </c>
      <c r="M119" s="7" t="e">
        <f t="shared" si="22"/>
        <v>#NUM!</v>
      </c>
      <c r="N119" s="7" t="e">
        <f t="shared" si="23"/>
        <v>#NUM!</v>
      </c>
      <c r="S119" t="e">
        <f t="shared" si="24"/>
        <v>#DIV/0!</v>
      </c>
      <c r="T119" t="e">
        <f t="shared" si="25"/>
        <v>#DIV/0!</v>
      </c>
      <c r="U119" s="8"/>
      <c r="V119" s="8"/>
    </row>
    <row r="120" spans="2:22" x14ac:dyDescent="0.35">
      <c r="B120" s="9"/>
      <c r="G120">
        <f t="shared" si="16"/>
        <v>1</v>
      </c>
      <c r="H120">
        <f t="shared" si="17"/>
        <v>0</v>
      </c>
      <c r="I120">
        <f t="shared" si="18"/>
        <v>0</v>
      </c>
      <c r="J120">
        <f t="shared" si="19"/>
        <v>0</v>
      </c>
      <c r="K120" s="7">
        <f t="shared" si="20"/>
        <v>1</v>
      </c>
      <c r="L120" s="7">
        <f t="shared" si="21"/>
        <v>0</v>
      </c>
      <c r="M120" s="7" t="e">
        <f t="shared" si="22"/>
        <v>#NUM!</v>
      </c>
      <c r="N120" s="7" t="e">
        <f t="shared" si="23"/>
        <v>#NUM!</v>
      </c>
      <c r="S120" t="e">
        <f t="shared" si="24"/>
        <v>#DIV/0!</v>
      </c>
      <c r="T120" t="e">
        <f t="shared" si="25"/>
        <v>#DIV/0!</v>
      </c>
      <c r="U120" s="8"/>
      <c r="V120" s="8"/>
    </row>
    <row r="121" spans="2:22" x14ac:dyDescent="0.35">
      <c r="B121" s="9"/>
      <c r="G121">
        <f t="shared" si="16"/>
        <v>1</v>
      </c>
      <c r="H121">
        <f t="shared" si="17"/>
        <v>0</v>
      </c>
      <c r="I121">
        <f t="shared" si="18"/>
        <v>0</v>
      </c>
      <c r="J121">
        <f t="shared" si="19"/>
        <v>0</v>
      </c>
      <c r="K121" s="7">
        <f t="shared" si="20"/>
        <v>1</v>
      </c>
      <c r="L121" s="7">
        <f t="shared" si="21"/>
        <v>0</v>
      </c>
      <c r="M121" s="7" t="e">
        <f t="shared" si="22"/>
        <v>#NUM!</v>
      </c>
      <c r="N121" s="7" t="e">
        <f t="shared" si="23"/>
        <v>#NUM!</v>
      </c>
      <c r="S121" t="e">
        <f t="shared" si="24"/>
        <v>#DIV/0!</v>
      </c>
      <c r="T121" t="e">
        <f t="shared" si="25"/>
        <v>#DIV/0!</v>
      </c>
      <c r="U121" s="8"/>
      <c r="V121" s="8"/>
    </row>
    <row r="122" spans="2:22" x14ac:dyDescent="0.35">
      <c r="B122" s="9"/>
      <c r="G122">
        <f t="shared" si="16"/>
        <v>1</v>
      </c>
      <c r="H122">
        <f t="shared" si="17"/>
        <v>0</v>
      </c>
      <c r="I122">
        <f t="shared" si="18"/>
        <v>0</v>
      </c>
      <c r="J122">
        <f t="shared" si="19"/>
        <v>0</v>
      </c>
      <c r="K122" s="7">
        <f t="shared" si="20"/>
        <v>1</v>
      </c>
      <c r="L122" s="7">
        <f t="shared" si="21"/>
        <v>0</v>
      </c>
      <c r="M122" s="7" t="e">
        <f t="shared" si="22"/>
        <v>#NUM!</v>
      </c>
      <c r="N122" s="7" t="e">
        <f t="shared" si="23"/>
        <v>#NUM!</v>
      </c>
      <c r="S122" t="e">
        <f t="shared" si="24"/>
        <v>#DIV/0!</v>
      </c>
      <c r="T122" t="e">
        <f t="shared" si="25"/>
        <v>#DIV/0!</v>
      </c>
      <c r="U122" s="8"/>
      <c r="V122" s="8"/>
    </row>
    <row r="123" spans="2:22" x14ac:dyDescent="0.35">
      <c r="B123" s="9"/>
      <c r="G123">
        <f t="shared" si="16"/>
        <v>1</v>
      </c>
      <c r="H123">
        <f t="shared" si="17"/>
        <v>0</v>
      </c>
      <c r="I123">
        <f t="shared" si="18"/>
        <v>0</v>
      </c>
      <c r="J123">
        <f t="shared" si="19"/>
        <v>0</v>
      </c>
      <c r="K123" s="7">
        <f t="shared" si="20"/>
        <v>1</v>
      </c>
      <c r="L123" s="7">
        <f t="shared" si="21"/>
        <v>0</v>
      </c>
      <c r="M123" s="7" t="e">
        <f t="shared" si="22"/>
        <v>#NUM!</v>
      </c>
      <c r="N123" s="7" t="e">
        <f t="shared" si="23"/>
        <v>#NUM!</v>
      </c>
      <c r="S123" t="e">
        <f t="shared" si="24"/>
        <v>#DIV/0!</v>
      </c>
      <c r="T123" t="e">
        <f t="shared" si="25"/>
        <v>#DIV/0!</v>
      </c>
      <c r="U123" s="8"/>
      <c r="V123" s="8"/>
    </row>
    <row r="124" spans="2:22" x14ac:dyDescent="0.35">
      <c r="B124" s="9"/>
      <c r="G124">
        <f t="shared" si="16"/>
        <v>1</v>
      </c>
      <c r="H124">
        <f t="shared" si="17"/>
        <v>0</v>
      </c>
      <c r="I124">
        <f t="shared" si="18"/>
        <v>0</v>
      </c>
      <c r="J124">
        <f t="shared" si="19"/>
        <v>0</v>
      </c>
      <c r="K124" s="7">
        <f t="shared" si="20"/>
        <v>1</v>
      </c>
      <c r="L124" s="7">
        <f t="shared" si="21"/>
        <v>0</v>
      </c>
      <c r="M124" s="7" t="e">
        <f t="shared" si="22"/>
        <v>#NUM!</v>
      </c>
      <c r="N124" s="7" t="e">
        <f t="shared" si="23"/>
        <v>#NUM!</v>
      </c>
      <c r="S124" t="e">
        <f t="shared" si="24"/>
        <v>#DIV/0!</v>
      </c>
      <c r="T124" t="e">
        <f t="shared" si="25"/>
        <v>#DIV/0!</v>
      </c>
      <c r="U124" s="8"/>
      <c r="V124" s="8"/>
    </row>
    <row r="125" spans="2:22" x14ac:dyDescent="0.35">
      <c r="B125" s="9"/>
      <c r="G125">
        <f t="shared" si="16"/>
        <v>1</v>
      </c>
      <c r="H125">
        <f t="shared" si="17"/>
        <v>0</v>
      </c>
      <c r="I125">
        <f t="shared" si="18"/>
        <v>0</v>
      </c>
      <c r="J125">
        <f t="shared" si="19"/>
        <v>0</v>
      </c>
      <c r="K125" s="7">
        <f t="shared" si="20"/>
        <v>1</v>
      </c>
      <c r="L125" s="7">
        <f t="shared" si="21"/>
        <v>0</v>
      </c>
      <c r="M125" s="7" t="e">
        <f t="shared" si="22"/>
        <v>#NUM!</v>
      </c>
      <c r="N125" s="7" t="e">
        <f t="shared" si="23"/>
        <v>#NUM!</v>
      </c>
      <c r="S125" t="e">
        <f t="shared" si="24"/>
        <v>#DIV/0!</v>
      </c>
      <c r="T125" t="e">
        <f t="shared" si="25"/>
        <v>#DIV/0!</v>
      </c>
      <c r="U125" s="8"/>
      <c r="V125" s="8"/>
    </row>
    <row r="126" spans="2:22" x14ac:dyDescent="0.35">
      <c r="B126" s="9"/>
      <c r="G126">
        <f t="shared" si="16"/>
        <v>1</v>
      </c>
      <c r="H126">
        <f t="shared" si="17"/>
        <v>0</v>
      </c>
      <c r="I126">
        <f t="shared" si="18"/>
        <v>0</v>
      </c>
      <c r="J126">
        <f t="shared" si="19"/>
        <v>0</v>
      </c>
      <c r="K126" s="7">
        <f t="shared" si="20"/>
        <v>1</v>
      </c>
      <c r="L126" s="7">
        <f t="shared" si="21"/>
        <v>0</v>
      </c>
      <c r="M126" s="7" t="e">
        <f t="shared" si="22"/>
        <v>#NUM!</v>
      </c>
      <c r="N126" s="7" t="e">
        <f t="shared" si="23"/>
        <v>#NUM!</v>
      </c>
      <c r="S126" t="e">
        <f t="shared" si="24"/>
        <v>#DIV/0!</v>
      </c>
      <c r="T126" t="e">
        <f t="shared" si="25"/>
        <v>#DIV/0!</v>
      </c>
      <c r="U126" s="8"/>
      <c r="V126" s="8"/>
    </row>
    <row r="127" spans="2:22" x14ac:dyDescent="0.35">
      <c r="B127" s="9"/>
      <c r="G127">
        <f t="shared" si="16"/>
        <v>1</v>
      </c>
      <c r="H127">
        <f t="shared" si="17"/>
        <v>0</v>
      </c>
      <c r="I127">
        <f t="shared" si="18"/>
        <v>0</v>
      </c>
      <c r="J127">
        <f t="shared" si="19"/>
        <v>0</v>
      </c>
      <c r="K127" s="7">
        <f t="shared" si="20"/>
        <v>1</v>
      </c>
      <c r="L127" s="7">
        <f t="shared" si="21"/>
        <v>0</v>
      </c>
      <c r="M127" s="7" t="e">
        <f t="shared" si="22"/>
        <v>#NUM!</v>
      </c>
      <c r="N127" s="7" t="e">
        <f t="shared" si="23"/>
        <v>#NUM!</v>
      </c>
      <c r="S127" t="e">
        <f t="shared" si="24"/>
        <v>#DIV/0!</v>
      </c>
      <c r="T127" t="e">
        <f t="shared" si="25"/>
        <v>#DIV/0!</v>
      </c>
      <c r="U127" s="8"/>
      <c r="V127" s="8"/>
    </row>
    <row r="128" spans="2:22" x14ac:dyDescent="0.35">
      <c r="B128" s="9"/>
      <c r="G128">
        <f t="shared" si="16"/>
        <v>1</v>
      </c>
      <c r="H128">
        <f t="shared" si="17"/>
        <v>0</v>
      </c>
      <c r="I128">
        <f t="shared" si="18"/>
        <v>0</v>
      </c>
      <c r="J128">
        <f t="shared" si="19"/>
        <v>0</v>
      </c>
      <c r="K128" s="7">
        <f t="shared" si="20"/>
        <v>1</v>
      </c>
      <c r="L128" s="7">
        <f t="shared" si="21"/>
        <v>0</v>
      </c>
      <c r="M128" s="7" t="e">
        <f t="shared" si="22"/>
        <v>#NUM!</v>
      </c>
      <c r="N128" s="7" t="e">
        <f t="shared" si="23"/>
        <v>#NUM!</v>
      </c>
      <c r="S128" t="e">
        <f t="shared" si="24"/>
        <v>#DIV/0!</v>
      </c>
      <c r="T128" t="e">
        <f t="shared" si="25"/>
        <v>#DIV/0!</v>
      </c>
      <c r="U128" s="8"/>
      <c r="V128" s="8"/>
    </row>
    <row r="129" spans="2:22" x14ac:dyDescent="0.35">
      <c r="B129" s="9"/>
      <c r="G129">
        <f t="shared" si="16"/>
        <v>1</v>
      </c>
      <c r="H129">
        <f t="shared" si="17"/>
        <v>0</v>
      </c>
      <c r="I129">
        <f t="shared" si="18"/>
        <v>0</v>
      </c>
      <c r="J129">
        <f t="shared" si="19"/>
        <v>0</v>
      </c>
      <c r="K129" s="7">
        <f t="shared" si="20"/>
        <v>1</v>
      </c>
      <c r="L129" s="7">
        <f t="shared" si="21"/>
        <v>0</v>
      </c>
      <c r="M129" s="7" t="e">
        <f t="shared" si="22"/>
        <v>#NUM!</v>
      </c>
      <c r="N129" s="7" t="e">
        <f t="shared" si="23"/>
        <v>#NUM!</v>
      </c>
      <c r="S129" t="e">
        <f t="shared" si="24"/>
        <v>#DIV/0!</v>
      </c>
      <c r="T129" t="e">
        <f t="shared" si="25"/>
        <v>#DIV/0!</v>
      </c>
      <c r="U129" s="8"/>
      <c r="V129" s="8"/>
    </row>
    <row r="130" spans="2:22" x14ac:dyDescent="0.35">
      <c r="B130" s="9"/>
      <c r="G130">
        <f t="shared" si="16"/>
        <v>1</v>
      </c>
      <c r="H130">
        <f t="shared" si="17"/>
        <v>0</v>
      </c>
      <c r="I130">
        <f t="shared" si="18"/>
        <v>0</v>
      </c>
      <c r="J130">
        <f t="shared" si="19"/>
        <v>0</v>
      </c>
      <c r="K130" s="7">
        <f t="shared" si="20"/>
        <v>1</v>
      </c>
      <c r="L130" s="7">
        <f t="shared" si="21"/>
        <v>0</v>
      </c>
      <c r="M130" s="7" t="e">
        <f t="shared" si="22"/>
        <v>#NUM!</v>
      </c>
      <c r="N130" s="7" t="e">
        <f t="shared" si="23"/>
        <v>#NUM!</v>
      </c>
      <c r="S130" t="e">
        <f t="shared" si="24"/>
        <v>#DIV/0!</v>
      </c>
      <c r="T130" t="e">
        <f t="shared" si="25"/>
        <v>#DIV/0!</v>
      </c>
      <c r="U130" s="8"/>
      <c r="V130" s="8"/>
    </row>
    <row r="131" spans="2:22" x14ac:dyDescent="0.35">
      <c r="B131" s="9"/>
      <c r="G131">
        <f t="shared" ref="G131:G178" si="26">IMREAL(IMDIV(IMSUM(IMPRODUCT(COMPLEX(1 + C131,D131),COMPLEX(1 - C131, - D131)),IMPRODUCT(COMPLEX(E131,F131),COMPLEX(E131,F131))),IMSUB(IMPRODUCT(COMPLEX(1 - C131, - D131),COMPLEX(1 - C131, - D131)),IMPRODUCT(COMPLEX(E131,F131),COMPLEX(E131,F131)))))</f>
        <v>1</v>
      </c>
      <c r="H131">
        <f t="shared" ref="H131:H178" si="27">IMAGINARY(IMDIV(IMSUM(IMPRODUCT(COMPLEX(1 + C131,D131),COMPLEX(1 - C131, - D131)),IMPRODUCT(COMPLEX(E131,F131),COMPLEX(E131,F131))),IMSUB(IMPRODUCT(COMPLEX(1 - C131, - D131),COMPLEX(1 - C131, - D131)),IMPRODUCT(COMPLEX(E131,F131),COMPLEX(E131,F131)))))</f>
        <v>0</v>
      </c>
      <c r="I131">
        <f t="shared" ref="I131:I178" si="28">IMREAL(IMDIV(IMPRODUCT(COMPLEX(2,0),COMPLEX(E131,F131)),IMSUB(IMPRODUCT(COMPLEX(1 - C131, - D131),COMPLEX(1 - C131, - D131)),IMPRODUCT(COMPLEX(E131,F131),COMPLEX(E131,F131)))))</f>
        <v>0</v>
      </c>
      <c r="J131">
        <f t="shared" ref="J131:J178" si="29">IMAGINARY(IMDIV(IMPRODUCT(COMPLEX(2,0),COMPLEX(E131,F131)),IMSUB(IMPRODUCT(COMPLEX(1 - C131, - D131),COMPLEX(1 - C131, - D131)),IMPRODUCT(COMPLEX(E131,F131),COMPLEX(E131,F131)))))</f>
        <v>0</v>
      </c>
      <c r="K131" s="7">
        <f t="shared" ref="K131:K178" si="30">IMREAL(IMSUB(COMPLEX(G131,H131),COMPLEX(I131,J131)))</f>
        <v>1</v>
      </c>
      <c r="L131" s="7">
        <f t="shared" ref="L131:L178" si="31">IMAGINARY(IMSUB(COMPLEX(G131,H131),COMPLEX(I131,J131)))</f>
        <v>0</v>
      </c>
      <c r="M131" s="7" t="e">
        <f t="shared" ref="M131:M178" si="32">IMREAL(IMDIV(IMSUB(IMPRODUCT(COMPLEX(1 - C131, - D131),COMPLEX(1 - C131, - D131)),IMPRODUCT(COMPLEX(E131,F131),COMPLEX(E131,F131))),IMPRODUCT(COMPLEX(2,0),COMPLEX(E131,F131))))</f>
        <v>#NUM!</v>
      </c>
      <c r="N131" s="7" t="e">
        <f t="shared" ref="N131:N178" si="33">IMAGINARY(IMDIV(IMSUB(IMPRODUCT(COMPLEX(1 - C131, - D131),COMPLEX(1 - C131, - D131)),IMPRODUCT(COMPLEX(E131,F131),COMPLEX(E131,F131))),IMPRODUCT(COMPLEX(2,0),COMPLEX(E131,F131))))</f>
        <v>#NUM!</v>
      </c>
      <c r="S131" t="e">
        <f t="shared" ref="S131:S178" si="34">IMABS(COMPLEX(Q131,R131))/IMABS(COMPLEX(O131,P131))</f>
        <v>#DIV/0!</v>
      </c>
      <c r="T131" t="e">
        <f t="shared" ref="T131:T178" si="35">IMARGUMENT(IMDIV(COMPLEX(Q131,R131),COMPLEX(O131/B131,P131/B131)))/PI()*180</f>
        <v>#DIV/0!</v>
      </c>
      <c r="U131" s="8"/>
      <c r="V131" s="8"/>
    </row>
    <row r="132" spans="2:22" x14ac:dyDescent="0.35">
      <c r="B132" s="9"/>
      <c r="G132">
        <f t="shared" si="26"/>
        <v>1</v>
      </c>
      <c r="H132">
        <f t="shared" si="27"/>
        <v>0</v>
      </c>
      <c r="I132">
        <f t="shared" si="28"/>
        <v>0</v>
      </c>
      <c r="J132">
        <f t="shared" si="29"/>
        <v>0</v>
      </c>
      <c r="K132" s="7">
        <f t="shared" si="30"/>
        <v>1</v>
      </c>
      <c r="L132" s="7">
        <f t="shared" si="31"/>
        <v>0</v>
      </c>
      <c r="M132" s="7" t="e">
        <f t="shared" si="32"/>
        <v>#NUM!</v>
      </c>
      <c r="N132" s="7" t="e">
        <f t="shared" si="33"/>
        <v>#NUM!</v>
      </c>
      <c r="S132" t="e">
        <f t="shared" si="34"/>
        <v>#DIV/0!</v>
      </c>
      <c r="T132" t="e">
        <f t="shared" si="35"/>
        <v>#DIV/0!</v>
      </c>
      <c r="U132" s="8"/>
      <c r="V132" s="8"/>
    </row>
    <row r="133" spans="2:22" x14ac:dyDescent="0.35">
      <c r="B133" s="9"/>
      <c r="G133">
        <f t="shared" si="26"/>
        <v>1</v>
      </c>
      <c r="H133">
        <f t="shared" si="27"/>
        <v>0</v>
      </c>
      <c r="I133">
        <f t="shared" si="28"/>
        <v>0</v>
      </c>
      <c r="J133">
        <f t="shared" si="29"/>
        <v>0</v>
      </c>
      <c r="K133" s="7">
        <f t="shared" si="30"/>
        <v>1</v>
      </c>
      <c r="L133" s="7">
        <f t="shared" si="31"/>
        <v>0</v>
      </c>
      <c r="M133" s="7" t="e">
        <f t="shared" si="32"/>
        <v>#NUM!</v>
      </c>
      <c r="N133" s="7" t="e">
        <f t="shared" si="33"/>
        <v>#NUM!</v>
      </c>
      <c r="S133" t="e">
        <f t="shared" si="34"/>
        <v>#DIV/0!</v>
      </c>
      <c r="T133" t="e">
        <f t="shared" si="35"/>
        <v>#DIV/0!</v>
      </c>
      <c r="U133" s="8"/>
      <c r="V133" s="8"/>
    </row>
    <row r="134" spans="2:22" x14ac:dyDescent="0.35">
      <c r="B134" s="9"/>
      <c r="G134">
        <f t="shared" si="26"/>
        <v>1</v>
      </c>
      <c r="H134">
        <f t="shared" si="27"/>
        <v>0</v>
      </c>
      <c r="I134">
        <f t="shared" si="28"/>
        <v>0</v>
      </c>
      <c r="J134">
        <f t="shared" si="29"/>
        <v>0</v>
      </c>
      <c r="K134" s="7">
        <f t="shared" si="30"/>
        <v>1</v>
      </c>
      <c r="L134" s="7">
        <f t="shared" si="31"/>
        <v>0</v>
      </c>
      <c r="M134" s="7" t="e">
        <f t="shared" si="32"/>
        <v>#NUM!</v>
      </c>
      <c r="N134" s="7" t="e">
        <f t="shared" si="33"/>
        <v>#NUM!</v>
      </c>
      <c r="S134" t="e">
        <f t="shared" si="34"/>
        <v>#DIV/0!</v>
      </c>
      <c r="T134" t="e">
        <f t="shared" si="35"/>
        <v>#DIV/0!</v>
      </c>
      <c r="U134" s="8"/>
      <c r="V134" s="8"/>
    </row>
    <row r="135" spans="2:22" x14ac:dyDescent="0.35">
      <c r="B135" s="9"/>
      <c r="G135">
        <f t="shared" si="26"/>
        <v>1</v>
      </c>
      <c r="H135">
        <f t="shared" si="27"/>
        <v>0</v>
      </c>
      <c r="I135">
        <f t="shared" si="28"/>
        <v>0</v>
      </c>
      <c r="J135">
        <f t="shared" si="29"/>
        <v>0</v>
      </c>
      <c r="K135" s="7">
        <f t="shared" si="30"/>
        <v>1</v>
      </c>
      <c r="L135" s="7">
        <f t="shared" si="31"/>
        <v>0</v>
      </c>
      <c r="M135" s="7" t="e">
        <f t="shared" si="32"/>
        <v>#NUM!</v>
      </c>
      <c r="N135" s="7" t="e">
        <f t="shared" si="33"/>
        <v>#NUM!</v>
      </c>
      <c r="S135" t="e">
        <f t="shared" si="34"/>
        <v>#DIV/0!</v>
      </c>
      <c r="T135" t="e">
        <f t="shared" si="35"/>
        <v>#DIV/0!</v>
      </c>
      <c r="U135" s="8"/>
      <c r="V135" s="8"/>
    </row>
    <row r="136" spans="2:22" x14ac:dyDescent="0.35">
      <c r="B136" s="9"/>
      <c r="G136">
        <f t="shared" si="26"/>
        <v>1</v>
      </c>
      <c r="H136">
        <f t="shared" si="27"/>
        <v>0</v>
      </c>
      <c r="I136">
        <f t="shared" si="28"/>
        <v>0</v>
      </c>
      <c r="J136">
        <f t="shared" si="29"/>
        <v>0</v>
      </c>
      <c r="K136" s="7">
        <f t="shared" si="30"/>
        <v>1</v>
      </c>
      <c r="L136" s="7">
        <f t="shared" si="31"/>
        <v>0</v>
      </c>
      <c r="M136" s="7" t="e">
        <f t="shared" si="32"/>
        <v>#NUM!</v>
      </c>
      <c r="N136" s="7" t="e">
        <f t="shared" si="33"/>
        <v>#NUM!</v>
      </c>
      <c r="S136" t="e">
        <f t="shared" si="34"/>
        <v>#DIV/0!</v>
      </c>
      <c r="T136" t="e">
        <f t="shared" si="35"/>
        <v>#DIV/0!</v>
      </c>
      <c r="U136" s="8"/>
      <c r="V136" s="8"/>
    </row>
    <row r="137" spans="2:22" x14ac:dyDescent="0.35">
      <c r="B137" s="9"/>
      <c r="G137">
        <f t="shared" si="26"/>
        <v>1</v>
      </c>
      <c r="H137">
        <f t="shared" si="27"/>
        <v>0</v>
      </c>
      <c r="I137">
        <f t="shared" si="28"/>
        <v>0</v>
      </c>
      <c r="J137">
        <f t="shared" si="29"/>
        <v>0</v>
      </c>
      <c r="K137" s="7">
        <f t="shared" si="30"/>
        <v>1</v>
      </c>
      <c r="L137" s="7">
        <f t="shared" si="31"/>
        <v>0</v>
      </c>
      <c r="M137" s="7" t="e">
        <f t="shared" si="32"/>
        <v>#NUM!</v>
      </c>
      <c r="N137" s="7" t="e">
        <f t="shared" si="33"/>
        <v>#NUM!</v>
      </c>
      <c r="S137" t="e">
        <f t="shared" si="34"/>
        <v>#DIV/0!</v>
      </c>
      <c r="T137" t="e">
        <f t="shared" si="35"/>
        <v>#DIV/0!</v>
      </c>
      <c r="U137" s="8"/>
      <c r="V137" s="8"/>
    </row>
    <row r="138" spans="2:22" x14ac:dyDescent="0.35">
      <c r="B138" s="9"/>
      <c r="G138">
        <f t="shared" si="26"/>
        <v>1</v>
      </c>
      <c r="H138">
        <f t="shared" si="27"/>
        <v>0</v>
      </c>
      <c r="I138">
        <f t="shared" si="28"/>
        <v>0</v>
      </c>
      <c r="J138">
        <f t="shared" si="29"/>
        <v>0</v>
      </c>
      <c r="K138" s="7">
        <f t="shared" si="30"/>
        <v>1</v>
      </c>
      <c r="L138" s="7">
        <f t="shared" si="31"/>
        <v>0</v>
      </c>
      <c r="M138" s="7" t="e">
        <f t="shared" si="32"/>
        <v>#NUM!</v>
      </c>
      <c r="N138" s="7" t="e">
        <f t="shared" si="33"/>
        <v>#NUM!</v>
      </c>
      <c r="S138" t="e">
        <f t="shared" si="34"/>
        <v>#DIV/0!</v>
      </c>
      <c r="T138" t="e">
        <f t="shared" si="35"/>
        <v>#DIV/0!</v>
      </c>
      <c r="U138" s="8"/>
      <c r="V138" s="8"/>
    </row>
    <row r="139" spans="2:22" x14ac:dyDescent="0.35">
      <c r="B139" s="9"/>
      <c r="G139">
        <f t="shared" si="26"/>
        <v>1</v>
      </c>
      <c r="H139">
        <f t="shared" si="27"/>
        <v>0</v>
      </c>
      <c r="I139">
        <f t="shared" si="28"/>
        <v>0</v>
      </c>
      <c r="J139">
        <f t="shared" si="29"/>
        <v>0</v>
      </c>
      <c r="K139" s="7">
        <f t="shared" si="30"/>
        <v>1</v>
      </c>
      <c r="L139" s="7">
        <f t="shared" si="31"/>
        <v>0</v>
      </c>
      <c r="M139" s="7" t="e">
        <f t="shared" si="32"/>
        <v>#NUM!</v>
      </c>
      <c r="N139" s="7" t="e">
        <f t="shared" si="33"/>
        <v>#NUM!</v>
      </c>
      <c r="S139" t="e">
        <f t="shared" si="34"/>
        <v>#DIV/0!</v>
      </c>
      <c r="T139" t="e">
        <f t="shared" si="35"/>
        <v>#DIV/0!</v>
      </c>
      <c r="U139" s="8"/>
      <c r="V139" s="8"/>
    </row>
    <row r="140" spans="2:22" x14ac:dyDescent="0.35">
      <c r="B140" s="9"/>
      <c r="G140">
        <f t="shared" si="26"/>
        <v>1</v>
      </c>
      <c r="H140">
        <f t="shared" si="27"/>
        <v>0</v>
      </c>
      <c r="I140">
        <f t="shared" si="28"/>
        <v>0</v>
      </c>
      <c r="J140">
        <f t="shared" si="29"/>
        <v>0</v>
      </c>
      <c r="K140" s="7">
        <f t="shared" si="30"/>
        <v>1</v>
      </c>
      <c r="L140" s="7">
        <f t="shared" si="31"/>
        <v>0</v>
      </c>
      <c r="M140" s="7" t="e">
        <f t="shared" si="32"/>
        <v>#NUM!</v>
      </c>
      <c r="N140" s="7" t="e">
        <f t="shared" si="33"/>
        <v>#NUM!</v>
      </c>
      <c r="S140" t="e">
        <f t="shared" si="34"/>
        <v>#DIV/0!</v>
      </c>
      <c r="T140" t="e">
        <f t="shared" si="35"/>
        <v>#DIV/0!</v>
      </c>
      <c r="U140" s="8"/>
      <c r="V140" s="8"/>
    </row>
    <row r="141" spans="2:22" x14ac:dyDescent="0.35">
      <c r="B141" s="9"/>
      <c r="G141">
        <f t="shared" si="26"/>
        <v>1</v>
      </c>
      <c r="H141">
        <f t="shared" si="27"/>
        <v>0</v>
      </c>
      <c r="I141">
        <f t="shared" si="28"/>
        <v>0</v>
      </c>
      <c r="J141">
        <f t="shared" si="29"/>
        <v>0</v>
      </c>
      <c r="K141" s="7">
        <f t="shared" si="30"/>
        <v>1</v>
      </c>
      <c r="L141" s="7">
        <f t="shared" si="31"/>
        <v>0</v>
      </c>
      <c r="M141" s="7" t="e">
        <f t="shared" si="32"/>
        <v>#NUM!</v>
      </c>
      <c r="N141" s="7" t="e">
        <f t="shared" si="33"/>
        <v>#NUM!</v>
      </c>
      <c r="S141" t="e">
        <f t="shared" si="34"/>
        <v>#DIV/0!</v>
      </c>
      <c r="T141" t="e">
        <f t="shared" si="35"/>
        <v>#DIV/0!</v>
      </c>
      <c r="U141" s="8"/>
      <c r="V141" s="8"/>
    </row>
    <row r="142" spans="2:22" x14ac:dyDescent="0.35">
      <c r="B142" s="9"/>
      <c r="G142">
        <f t="shared" si="26"/>
        <v>1</v>
      </c>
      <c r="H142">
        <f t="shared" si="27"/>
        <v>0</v>
      </c>
      <c r="I142">
        <f t="shared" si="28"/>
        <v>0</v>
      </c>
      <c r="J142">
        <f t="shared" si="29"/>
        <v>0</v>
      </c>
      <c r="K142" s="7">
        <f t="shared" si="30"/>
        <v>1</v>
      </c>
      <c r="L142" s="7">
        <f t="shared" si="31"/>
        <v>0</v>
      </c>
      <c r="M142" s="7" t="e">
        <f t="shared" si="32"/>
        <v>#NUM!</v>
      </c>
      <c r="N142" s="7" t="e">
        <f t="shared" si="33"/>
        <v>#NUM!</v>
      </c>
      <c r="S142" t="e">
        <f t="shared" si="34"/>
        <v>#DIV/0!</v>
      </c>
      <c r="T142" t="e">
        <f t="shared" si="35"/>
        <v>#DIV/0!</v>
      </c>
      <c r="U142" s="8"/>
      <c r="V142" s="8"/>
    </row>
    <row r="143" spans="2:22" x14ac:dyDescent="0.35">
      <c r="B143" s="9"/>
      <c r="G143">
        <f t="shared" si="26"/>
        <v>1</v>
      </c>
      <c r="H143">
        <f t="shared" si="27"/>
        <v>0</v>
      </c>
      <c r="I143">
        <f t="shared" si="28"/>
        <v>0</v>
      </c>
      <c r="J143">
        <f t="shared" si="29"/>
        <v>0</v>
      </c>
      <c r="K143" s="7">
        <f t="shared" si="30"/>
        <v>1</v>
      </c>
      <c r="L143" s="7">
        <f t="shared" si="31"/>
        <v>0</v>
      </c>
      <c r="M143" s="7" t="e">
        <f t="shared" si="32"/>
        <v>#NUM!</v>
      </c>
      <c r="N143" s="7" t="e">
        <f t="shared" si="33"/>
        <v>#NUM!</v>
      </c>
      <c r="S143" t="e">
        <f t="shared" si="34"/>
        <v>#DIV/0!</v>
      </c>
      <c r="T143" t="e">
        <f t="shared" si="35"/>
        <v>#DIV/0!</v>
      </c>
      <c r="U143" s="8"/>
      <c r="V143" s="8"/>
    </row>
    <row r="144" spans="2:22" x14ac:dyDescent="0.35">
      <c r="B144" s="9"/>
      <c r="G144">
        <f t="shared" si="26"/>
        <v>1</v>
      </c>
      <c r="H144">
        <f t="shared" si="27"/>
        <v>0</v>
      </c>
      <c r="I144">
        <f t="shared" si="28"/>
        <v>0</v>
      </c>
      <c r="J144">
        <f t="shared" si="29"/>
        <v>0</v>
      </c>
      <c r="K144" s="7">
        <f t="shared" si="30"/>
        <v>1</v>
      </c>
      <c r="L144" s="7">
        <f t="shared" si="31"/>
        <v>0</v>
      </c>
      <c r="M144" s="7" t="e">
        <f t="shared" si="32"/>
        <v>#NUM!</v>
      </c>
      <c r="N144" s="7" t="e">
        <f t="shared" si="33"/>
        <v>#NUM!</v>
      </c>
      <c r="S144" t="e">
        <f t="shared" si="34"/>
        <v>#DIV/0!</v>
      </c>
      <c r="T144" t="e">
        <f t="shared" si="35"/>
        <v>#DIV/0!</v>
      </c>
      <c r="U144" s="8"/>
      <c r="V144" s="8"/>
    </row>
    <row r="145" spans="2:22" x14ac:dyDescent="0.35">
      <c r="B145" s="9"/>
      <c r="G145">
        <f t="shared" si="26"/>
        <v>1</v>
      </c>
      <c r="H145">
        <f t="shared" si="27"/>
        <v>0</v>
      </c>
      <c r="I145">
        <f t="shared" si="28"/>
        <v>0</v>
      </c>
      <c r="J145">
        <f t="shared" si="29"/>
        <v>0</v>
      </c>
      <c r="K145" s="7">
        <f t="shared" si="30"/>
        <v>1</v>
      </c>
      <c r="L145" s="7">
        <f t="shared" si="31"/>
        <v>0</v>
      </c>
      <c r="M145" s="7" t="e">
        <f t="shared" si="32"/>
        <v>#NUM!</v>
      </c>
      <c r="N145" s="7" t="e">
        <f t="shared" si="33"/>
        <v>#NUM!</v>
      </c>
      <c r="S145" t="e">
        <f t="shared" si="34"/>
        <v>#DIV/0!</v>
      </c>
      <c r="T145" t="e">
        <f t="shared" si="35"/>
        <v>#DIV/0!</v>
      </c>
      <c r="U145" s="8"/>
      <c r="V145" s="8"/>
    </row>
    <row r="146" spans="2:22" x14ac:dyDescent="0.35">
      <c r="B146" s="9"/>
      <c r="G146">
        <f t="shared" si="26"/>
        <v>1</v>
      </c>
      <c r="H146">
        <f t="shared" si="27"/>
        <v>0</v>
      </c>
      <c r="I146">
        <f t="shared" si="28"/>
        <v>0</v>
      </c>
      <c r="J146">
        <f t="shared" si="29"/>
        <v>0</v>
      </c>
      <c r="K146" s="7">
        <f t="shared" si="30"/>
        <v>1</v>
      </c>
      <c r="L146" s="7">
        <f t="shared" si="31"/>
        <v>0</v>
      </c>
      <c r="M146" s="7" t="e">
        <f t="shared" si="32"/>
        <v>#NUM!</v>
      </c>
      <c r="N146" s="7" t="e">
        <f t="shared" si="33"/>
        <v>#NUM!</v>
      </c>
      <c r="S146" t="e">
        <f t="shared" si="34"/>
        <v>#DIV/0!</v>
      </c>
      <c r="T146" t="e">
        <f t="shared" si="35"/>
        <v>#DIV/0!</v>
      </c>
      <c r="U146" s="8"/>
      <c r="V146" s="8"/>
    </row>
    <row r="147" spans="2:22" x14ac:dyDescent="0.35">
      <c r="B147" s="9"/>
      <c r="G147">
        <f t="shared" si="26"/>
        <v>1</v>
      </c>
      <c r="H147">
        <f t="shared" si="27"/>
        <v>0</v>
      </c>
      <c r="I147">
        <f t="shared" si="28"/>
        <v>0</v>
      </c>
      <c r="J147">
        <f t="shared" si="29"/>
        <v>0</v>
      </c>
      <c r="K147" s="7">
        <f t="shared" si="30"/>
        <v>1</v>
      </c>
      <c r="L147" s="7">
        <f t="shared" si="31"/>
        <v>0</v>
      </c>
      <c r="M147" s="7" t="e">
        <f t="shared" si="32"/>
        <v>#NUM!</v>
      </c>
      <c r="N147" s="7" t="e">
        <f t="shared" si="33"/>
        <v>#NUM!</v>
      </c>
      <c r="S147" t="e">
        <f t="shared" si="34"/>
        <v>#DIV/0!</v>
      </c>
      <c r="T147" t="e">
        <f t="shared" si="35"/>
        <v>#DIV/0!</v>
      </c>
      <c r="U147" s="8"/>
      <c r="V147" s="8"/>
    </row>
    <row r="148" spans="2:22" x14ac:dyDescent="0.35">
      <c r="B148" s="9"/>
      <c r="G148">
        <f t="shared" si="26"/>
        <v>1</v>
      </c>
      <c r="H148">
        <f t="shared" si="27"/>
        <v>0</v>
      </c>
      <c r="I148">
        <f t="shared" si="28"/>
        <v>0</v>
      </c>
      <c r="J148">
        <f t="shared" si="29"/>
        <v>0</v>
      </c>
      <c r="K148" s="7">
        <f t="shared" si="30"/>
        <v>1</v>
      </c>
      <c r="L148" s="7">
        <f t="shared" si="31"/>
        <v>0</v>
      </c>
      <c r="M148" s="7" t="e">
        <f t="shared" si="32"/>
        <v>#NUM!</v>
      </c>
      <c r="N148" s="7" t="e">
        <f t="shared" si="33"/>
        <v>#NUM!</v>
      </c>
      <c r="S148" t="e">
        <f t="shared" si="34"/>
        <v>#DIV/0!</v>
      </c>
      <c r="T148" t="e">
        <f t="shared" si="35"/>
        <v>#DIV/0!</v>
      </c>
      <c r="U148" s="8"/>
      <c r="V148" s="8"/>
    </row>
    <row r="149" spans="2:22" x14ac:dyDescent="0.35">
      <c r="B149" s="9"/>
      <c r="G149">
        <f t="shared" si="26"/>
        <v>1</v>
      </c>
      <c r="H149">
        <f t="shared" si="27"/>
        <v>0</v>
      </c>
      <c r="I149">
        <f t="shared" si="28"/>
        <v>0</v>
      </c>
      <c r="J149">
        <f t="shared" si="29"/>
        <v>0</v>
      </c>
      <c r="K149" s="7">
        <f t="shared" si="30"/>
        <v>1</v>
      </c>
      <c r="L149" s="7">
        <f t="shared" si="31"/>
        <v>0</v>
      </c>
      <c r="M149" s="7" t="e">
        <f t="shared" si="32"/>
        <v>#NUM!</v>
      </c>
      <c r="N149" s="7" t="e">
        <f t="shared" si="33"/>
        <v>#NUM!</v>
      </c>
      <c r="S149" t="e">
        <f t="shared" si="34"/>
        <v>#DIV/0!</v>
      </c>
      <c r="T149" t="e">
        <f t="shared" si="35"/>
        <v>#DIV/0!</v>
      </c>
      <c r="U149" s="8"/>
      <c r="V149" s="8"/>
    </row>
    <row r="150" spans="2:22" x14ac:dyDescent="0.35">
      <c r="B150" s="9"/>
      <c r="G150">
        <f t="shared" si="26"/>
        <v>1</v>
      </c>
      <c r="H150">
        <f t="shared" si="27"/>
        <v>0</v>
      </c>
      <c r="I150">
        <f t="shared" si="28"/>
        <v>0</v>
      </c>
      <c r="J150">
        <f t="shared" si="29"/>
        <v>0</v>
      </c>
      <c r="K150" s="7">
        <f t="shared" si="30"/>
        <v>1</v>
      </c>
      <c r="L150" s="7">
        <f t="shared" si="31"/>
        <v>0</v>
      </c>
      <c r="M150" s="7" t="e">
        <f t="shared" si="32"/>
        <v>#NUM!</v>
      </c>
      <c r="N150" s="7" t="e">
        <f t="shared" si="33"/>
        <v>#NUM!</v>
      </c>
      <c r="S150" t="e">
        <f t="shared" si="34"/>
        <v>#DIV/0!</v>
      </c>
      <c r="T150" t="e">
        <f t="shared" si="35"/>
        <v>#DIV/0!</v>
      </c>
      <c r="U150" s="8"/>
      <c r="V150" s="8"/>
    </row>
    <row r="151" spans="2:22" x14ac:dyDescent="0.35">
      <c r="B151" s="9"/>
      <c r="G151">
        <f t="shared" si="26"/>
        <v>1</v>
      </c>
      <c r="H151">
        <f t="shared" si="27"/>
        <v>0</v>
      </c>
      <c r="I151">
        <f t="shared" si="28"/>
        <v>0</v>
      </c>
      <c r="J151">
        <f t="shared" si="29"/>
        <v>0</v>
      </c>
      <c r="K151" s="7">
        <f t="shared" si="30"/>
        <v>1</v>
      </c>
      <c r="L151" s="7">
        <f t="shared" si="31"/>
        <v>0</v>
      </c>
      <c r="M151" s="7" t="e">
        <f t="shared" si="32"/>
        <v>#NUM!</v>
      </c>
      <c r="N151" s="7" t="e">
        <f t="shared" si="33"/>
        <v>#NUM!</v>
      </c>
      <c r="S151" t="e">
        <f t="shared" si="34"/>
        <v>#DIV/0!</v>
      </c>
      <c r="T151" t="e">
        <f t="shared" si="35"/>
        <v>#DIV/0!</v>
      </c>
      <c r="U151" s="8"/>
      <c r="V151" s="8"/>
    </row>
    <row r="152" spans="2:22" x14ac:dyDescent="0.35">
      <c r="B152" s="9"/>
      <c r="G152">
        <f t="shared" si="26"/>
        <v>1</v>
      </c>
      <c r="H152">
        <f t="shared" si="27"/>
        <v>0</v>
      </c>
      <c r="I152">
        <f t="shared" si="28"/>
        <v>0</v>
      </c>
      <c r="J152">
        <f t="shared" si="29"/>
        <v>0</v>
      </c>
      <c r="K152" s="7">
        <f t="shared" si="30"/>
        <v>1</v>
      </c>
      <c r="L152" s="7">
        <f t="shared" si="31"/>
        <v>0</v>
      </c>
      <c r="M152" s="7" t="e">
        <f t="shared" si="32"/>
        <v>#NUM!</v>
      </c>
      <c r="N152" s="7" t="e">
        <f t="shared" si="33"/>
        <v>#NUM!</v>
      </c>
      <c r="S152" t="e">
        <f t="shared" si="34"/>
        <v>#DIV/0!</v>
      </c>
      <c r="T152" t="e">
        <f t="shared" si="35"/>
        <v>#DIV/0!</v>
      </c>
      <c r="U152" s="8"/>
      <c r="V152" s="8"/>
    </row>
    <row r="153" spans="2:22" x14ac:dyDescent="0.35">
      <c r="B153" s="9"/>
      <c r="G153">
        <f t="shared" si="26"/>
        <v>1</v>
      </c>
      <c r="H153">
        <f t="shared" si="27"/>
        <v>0</v>
      </c>
      <c r="I153">
        <f t="shared" si="28"/>
        <v>0</v>
      </c>
      <c r="J153">
        <f t="shared" si="29"/>
        <v>0</v>
      </c>
      <c r="K153" s="7">
        <f t="shared" si="30"/>
        <v>1</v>
      </c>
      <c r="L153" s="7">
        <f t="shared" si="31"/>
        <v>0</v>
      </c>
      <c r="M153" s="7" t="e">
        <f t="shared" si="32"/>
        <v>#NUM!</v>
      </c>
      <c r="N153" s="7" t="e">
        <f t="shared" si="33"/>
        <v>#NUM!</v>
      </c>
      <c r="S153" t="e">
        <f t="shared" si="34"/>
        <v>#DIV/0!</v>
      </c>
      <c r="T153" t="e">
        <f t="shared" si="35"/>
        <v>#DIV/0!</v>
      </c>
      <c r="U153" s="8"/>
      <c r="V153" s="8"/>
    </row>
    <row r="154" spans="2:22" x14ac:dyDescent="0.35">
      <c r="B154" s="9"/>
      <c r="G154">
        <f t="shared" si="26"/>
        <v>1</v>
      </c>
      <c r="H154">
        <f t="shared" si="27"/>
        <v>0</v>
      </c>
      <c r="I154">
        <f t="shared" si="28"/>
        <v>0</v>
      </c>
      <c r="J154">
        <f t="shared" si="29"/>
        <v>0</v>
      </c>
      <c r="K154" s="7">
        <f t="shared" si="30"/>
        <v>1</v>
      </c>
      <c r="L154" s="7">
        <f t="shared" si="31"/>
        <v>0</v>
      </c>
      <c r="M154" s="7" t="e">
        <f t="shared" si="32"/>
        <v>#NUM!</v>
      </c>
      <c r="N154" s="7" t="e">
        <f t="shared" si="33"/>
        <v>#NUM!</v>
      </c>
      <c r="S154" t="e">
        <f t="shared" si="34"/>
        <v>#DIV/0!</v>
      </c>
      <c r="T154" t="e">
        <f t="shared" si="35"/>
        <v>#DIV/0!</v>
      </c>
      <c r="U154" s="8"/>
      <c r="V154" s="8"/>
    </row>
    <row r="155" spans="2:22" x14ac:dyDescent="0.35">
      <c r="B155" s="9"/>
      <c r="G155">
        <f t="shared" si="26"/>
        <v>1</v>
      </c>
      <c r="H155">
        <f t="shared" si="27"/>
        <v>0</v>
      </c>
      <c r="I155">
        <f t="shared" si="28"/>
        <v>0</v>
      </c>
      <c r="J155">
        <f t="shared" si="29"/>
        <v>0</v>
      </c>
      <c r="K155" s="7">
        <f t="shared" si="30"/>
        <v>1</v>
      </c>
      <c r="L155" s="7">
        <f t="shared" si="31"/>
        <v>0</v>
      </c>
      <c r="M155" s="7" t="e">
        <f t="shared" si="32"/>
        <v>#NUM!</v>
      </c>
      <c r="N155" s="7" t="e">
        <f t="shared" si="33"/>
        <v>#NUM!</v>
      </c>
      <c r="S155" t="e">
        <f t="shared" si="34"/>
        <v>#DIV/0!</v>
      </c>
      <c r="T155" t="e">
        <f t="shared" si="35"/>
        <v>#DIV/0!</v>
      </c>
      <c r="U155" s="8"/>
      <c r="V155" s="8"/>
    </row>
    <row r="156" spans="2:22" x14ac:dyDescent="0.35">
      <c r="B156" s="9"/>
      <c r="G156">
        <f t="shared" si="26"/>
        <v>1</v>
      </c>
      <c r="H156">
        <f t="shared" si="27"/>
        <v>0</v>
      </c>
      <c r="I156">
        <f t="shared" si="28"/>
        <v>0</v>
      </c>
      <c r="J156">
        <f t="shared" si="29"/>
        <v>0</v>
      </c>
      <c r="K156" s="7">
        <f t="shared" si="30"/>
        <v>1</v>
      </c>
      <c r="L156" s="7">
        <f t="shared" si="31"/>
        <v>0</v>
      </c>
      <c r="M156" s="7" t="e">
        <f t="shared" si="32"/>
        <v>#NUM!</v>
      </c>
      <c r="N156" s="7" t="e">
        <f t="shared" si="33"/>
        <v>#NUM!</v>
      </c>
      <c r="S156" t="e">
        <f t="shared" si="34"/>
        <v>#DIV/0!</v>
      </c>
      <c r="T156" t="e">
        <f t="shared" si="35"/>
        <v>#DIV/0!</v>
      </c>
      <c r="U156" s="8"/>
      <c r="V156" s="8"/>
    </row>
    <row r="157" spans="2:22" x14ac:dyDescent="0.35">
      <c r="B157" s="9"/>
      <c r="G157">
        <f t="shared" si="26"/>
        <v>1</v>
      </c>
      <c r="H157">
        <f t="shared" si="27"/>
        <v>0</v>
      </c>
      <c r="I157">
        <f t="shared" si="28"/>
        <v>0</v>
      </c>
      <c r="J157">
        <f t="shared" si="29"/>
        <v>0</v>
      </c>
      <c r="K157" s="7">
        <f t="shared" si="30"/>
        <v>1</v>
      </c>
      <c r="L157" s="7">
        <f t="shared" si="31"/>
        <v>0</v>
      </c>
      <c r="M157" s="7" t="e">
        <f t="shared" si="32"/>
        <v>#NUM!</v>
      </c>
      <c r="N157" s="7" t="e">
        <f t="shared" si="33"/>
        <v>#NUM!</v>
      </c>
      <c r="S157" t="e">
        <f t="shared" si="34"/>
        <v>#DIV/0!</v>
      </c>
      <c r="T157" t="e">
        <f t="shared" si="35"/>
        <v>#DIV/0!</v>
      </c>
      <c r="U157" s="8"/>
      <c r="V157" s="8"/>
    </row>
    <row r="158" spans="2:22" x14ac:dyDescent="0.35">
      <c r="B158" s="9"/>
      <c r="G158">
        <f t="shared" si="26"/>
        <v>1</v>
      </c>
      <c r="H158">
        <f t="shared" si="27"/>
        <v>0</v>
      </c>
      <c r="I158">
        <f t="shared" si="28"/>
        <v>0</v>
      </c>
      <c r="J158">
        <f t="shared" si="29"/>
        <v>0</v>
      </c>
      <c r="K158" s="7">
        <f t="shared" si="30"/>
        <v>1</v>
      </c>
      <c r="L158" s="7">
        <f t="shared" si="31"/>
        <v>0</v>
      </c>
      <c r="M158" s="7" t="e">
        <f t="shared" si="32"/>
        <v>#NUM!</v>
      </c>
      <c r="N158" s="7" t="e">
        <f t="shared" si="33"/>
        <v>#NUM!</v>
      </c>
      <c r="S158" t="e">
        <f t="shared" si="34"/>
        <v>#DIV/0!</v>
      </c>
      <c r="T158" t="e">
        <f t="shared" si="35"/>
        <v>#DIV/0!</v>
      </c>
      <c r="U158" s="8"/>
      <c r="V158" s="8"/>
    </row>
    <row r="159" spans="2:22" x14ac:dyDescent="0.35">
      <c r="B159" s="9"/>
      <c r="G159">
        <f t="shared" si="26"/>
        <v>1</v>
      </c>
      <c r="H159">
        <f t="shared" si="27"/>
        <v>0</v>
      </c>
      <c r="I159">
        <f t="shared" si="28"/>
        <v>0</v>
      </c>
      <c r="J159">
        <f t="shared" si="29"/>
        <v>0</v>
      </c>
      <c r="K159" s="7">
        <f t="shared" si="30"/>
        <v>1</v>
      </c>
      <c r="L159" s="7">
        <f t="shared" si="31"/>
        <v>0</v>
      </c>
      <c r="M159" s="7" t="e">
        <f t="shared" si="32"/>
        <v>#NUM!</v>
      </c>
      <c r="N159" s="7" t="e">
        <f t="shared" si="33"/>
        <v>#NUM!</v>
      </c>
      <c r="S159" t="e">
        <f t="shared" si="34"/>
        <v>#DIV/0!</v>
      </c>
      <c r="T159" t="e">
        <f t="shared" si="35"/>
        <v>#DIV/0!</v>
      </c>
      <c r="U159" s="8"/>
      <c r="V159" s="8"/>
    </row>
    <row r="160" spans="2:22" x14ac:dyDescent="0.35">
      <c r="B160" s="9"/>
      <c r="G160">
        <f t="shared" si="26"/>
        <v>1</v>
      </c>
      <c r="H160">
        <f t="shared" si="27"/>
        <v>0</v>
      </c>
      <c r="I160">
        <f t="shared" si="28"/>
        <v>0</v>
      </c>
      <c r="J160">
        <f t="shared" si="29"/>
        <v>0</v>
      </c>
      <c r="K160" s="7">
        <f t="shared" si="30"/>
        <v>1</v>
      </c>
      <c r="L160" s="7">
        <f t="shared" si="31"/>
        <v>0</v>
      </c>
      <c r="M160" s="7" t="e">
        <f t="shared" si="32"/>
        <v>#NUM!</v>
      </c>
      <c r="N160" s="7" t="e">
        <f t="shared" si="33"/>
        <v>#NUM!</v>
      </c>
      <c r="S160" t="e">
        <f t="shared" si="34"/>
        <v>#DIV/0!</v>
      </c>
      <c r="T160" t="e">
        <f t="shared" si="35"/>
        <v>#DIV/0!</v>
      </c>
      <c r="U160" s="8"/>
      <c r="V160" s="8"/>
    </row>
    <row r="161" spans="2:22" x14ac:dyDescent="0.35">
      <c r="B161" s="9"/>
      <c r="G161">
        <f t="shared" si="26"/>
        <v>1</v>
      </c>
      <c r="H161">
        <f t="shared" si="27"/>
        <v>0</v>
      </c>
      <c r="I161">
        <f t="shared" si="28"/>
        <v>0</v>
      </c>
      <c r="J161">
        <f t="shared" si="29"/>
        <v>0</v>
      </c>
      <c r="K161" s="7">
        <f t="shared" si="30"/>
        <v>1</v>
      </c>
      <c r="L161" s="7">
        <f t="shared" si="31"/>
        <v>0</v>
      </c>
      <c r="M161" s="7" t="e">
        <f t="shared" si="32"/>
        <v>#NUM!</v>
      </c>
      <c r="N161" s="7" t="e">
        <f t="shared" si="33"/>
        <v>#NUM!</v>
      </c>
      <c r="S161" t="e">
        <f t="shared" si="34"/>
        <v>#DIV/0!</v>
      </c>
      <c r="T161" t="e">
        <f t="shared" si="35"/>
        <v>#DIV/0!</v>
      </c>
      <c r="U161" s="8"/>
      <c r="V161" s="8"/>
    </row>
    <row r="162" spans="2:22" x14ac:dyDescent="0.35">
      <c r="B162" s="9"/>
      <c r="G162">
        <f t="shared" si="26"/>
        <v>1</v>
      </c>
      <c r="H162">
        <f t="shared" si="27"/>
        <v>0</v>
      </c>
      <c r="I162">
        <f t="shared" si="28"/>
        <v>0</v>
      </c>
      <c r="J162">
        <f t="shared" si="29"/>
        <v>0</v>
      </c>
      <c r="K162" s="7">
        <f t="shared" si="30"/>
        <v>1</v>
      </c>
      <c r="L162" s="7">
        <f t="shared" si="31"/>
        <v>0</v>
      </c>
      <c r="M162" s="7" t="e">
        <f t="shared" si="32"/>
        <v>#NUM!</v>
      </c>
      <c r="N162" s="7" t="e">
        <f t="shared" si="33"/>
        <v>#NUM!</v>
      </c>
      <c r="S162" t="e">
        <f t="shared" si="34"/>
        <v>#DIV/0!</v>
      </c>
      <c r="T162" t="e">
        <f t="shared" si="35"/>
        <v>#DIV/0!</v>
      </c>
      <c r="U162" s="8"/>
      <c r="V162" s="8"/>
    </row>
    <row r="163" spans="2:22" x14ac:dyDescent="0.35">
      <c r="B163" s="9"/>
      <c r="G163">
        <f t="shared" si="26"/>
        <v>1</v>
      </c>
      <c r="H163">
        <f t="shared" si="27"/>
        <v>0</v>
      </c>
      <c r="I163">
        <f t="shared" si="28"/>
        <v>0</v>
      </c>
      <c r="J163">
        <f t="shared" si="29"/>
        <v>0</v>
      </c>
      <c r="K163" s="7">
        <f t="shared" si="30"/>
        <v>1</v>
      </c>
      <c r="L163" s="7">
        <f t="shared" si="31"/>
        <v>0</v>
      </c>
      <c r="M163" s="7" t="e">
        <f t="shared" si="32"/>
        <v>#NUM!</v>
      </c>
      <c r="N163" s="7" t="e">
        <f t="shared" si="33"/>
        <v>#NUM!</v>
      </c>
      <c r="S163" t="e">
        <f t="shared" si="34"/>
        <v>#DIV/0!</v>
      </c>
      <c r="T163" t="e">
        <f t="shared" si="35"/>
        <v>#DIV/0!</v>
      </c>
      <c r="U163" s="8"/>
      <c r="V163" s="8"/>
    </row>
    <row r="164" spans="2:22" x14ac:dyDescent="0.35">
      <c r="B164" s="9"/>
      <c r="G164">
        <f t="shared" si="26"/>
        <v>1</v>
      </c>
      <c r="H164">
        <f t="shared" si="27"/>
        <v>0</v>
      </c>
      <c r="I164">
        <f t="shared" si="28"/>
        <v>0</v>
      </c>
      <c r="J164">
        <f t="shared" si="29"/>
        <v>0</v>
      </c>
      <c r="K164" s="7">
        <f t="shared" si="30"/>
        <v>1</v>
      </c>
      <c r="L164" s="7">
        <f t="shared" si="31"/>
        <v>0</v>
      </c>
      <c r="M164" s="7" t="e">
        <f t="shared" si="32"/>
        <v>#NUM!</v>
      </c>
      <c r="N164" s="7" t="e">
        <f t="shared" si="33"/>
        <v>#NUM!</v>
      </c>
      <c r="S164" t="e">
        <f t="shared" si="34"/>
        <v>#DIV/0!</v>
      </c>
      <c r="T164" t="e">
        <f t="shared" si="35"/>
        <v>#DIV/0!</v>
      </c>
      <c r="U164" s="8"/>
      <c r="V164" s="8"/>
    </row>
    <row r="165" spans="2:22" x14ac:dyDescent="0.35">
      <c r="B165" s="9"/>
      <c r="G165">
        <f t="shared" si="26"/>
        <v>1</v>
      </c>
      <c r="H165">
        <f t="shared" si="27"/>
        <v>0</v>
      </c>
      <c r="I165">
        <f t="shared" si="28"/>
        <v>0</v>
      </c>
      <c r="J165">
        <f t="shared" si="29"/>
        <v>0</v>
      </c>
      <c r="K165" s="7">
        <f t="shared" si="30"/>
        <v>1</v>
      </c>
      <c r="L165" s="7">
        <f t="shared" si="31"/>
        <v>0</v>
      </c>
      <c r="M165" s="7" t="e">
        <f t="shared" si="32"/>
        <v>#NUM!</v>
      </c>
      <c r="N165" s="7" t="e">
        <f t="shared" si="33"/>
        <v>#NUM!</v>
      </c>
      <c r="S165" t="e">
        <f t="shared" si="34"/>
        <v>#DIV/0!</v>
      </c>
      <c r="T165" t="e">
        <f t="shared" si="35"/>
        <v>#DIV/0!</v>
      </c>
      <c r="U165" s="8"/>
      <c r="V165" s="8"/>
    </row>
    <row r="166" spans="2:22" x14ac:dyDescent="0.35">
      <c r="B166" s="9"/>
      <c r="G166">
        <f t="shared" si="26"/>
        <v>1</v>
      </c>
      <c r="H166">
        <f t="shared" si="27"/>
        <v>0</v>
      </c>
      <c r="I166">
        <f t="shared" si="28"/>
        <v>0</v>
      </c>
      <c r="J166">
        <f t="shared" si="29"/>
        <v>0</v>
      </c>
      <c r="K166" s="7">
        <f t="shared" si="30"/>
        <v>1</v>
      </c>
      <c r="L166" s="7">
        <f t="shared" si="31"/>
        <v>0</v>
      </c>
      <c r="M166" s="7" t="e">
        <f t="shared" si="32"/>
        <v>#NUM!</v>
      </c>
      <c r="N166" s="7" t="e">
        <f t="shared" si="33"/>
        <v>#NUM!</v>
      </c>
      <c r="S166" t="e">
        <f t="shared" si="34"/>
        <v>#DIV/0!</v>
      </c>
      <c r="T166" t="e">
        <f t="shared" si="35"/>
        <v>#DIV/0!</v>
      </c>
      <c r="U166" s="8"/>
      <c r="V166" s="8"/>
    </row>
    <row r="167" spans="2:22" x14ac:dyDescent="0.35">
      <c r="B167" s="9"/>
      <c r="G167">
        <f t="shared" si="26"/>
        <v>1</v>
      </c>
      <c r="H167">
        <f t="shared" si="27"/>
        <v>0</v>
      </c>
      <c r="I167">
        <f t="shared" si="28"/>
        <v>0</v>
      </c>
      <c r="J167">
        <f t="shared" si="29"/>
        <v>0</v>
      </c>
      <c r="K167" s="7">
        <f t="shared" si="30"/>
        <v>1</v>
      </c>
      <c r="L167" s="7">
        <f t="shared" si="31"/>
        <v>0</v>
      </c>
      <c r="M167" s="7" t="e">
        <f t="shared" si="32"/>
        <v>#NUM!</v>
      </c>
      <c r="N167" s="7" t="e">
        <f t="shared" si="33"/>
        <v>#NUM!</v>
      </c>
      <c r="S167" t="e">
        <f t="shared" si="34"/>
        <v>#DIV/0!</v>
      </c>
      <c r="T167" t="e">
        <f t="shared" si="35"/>
        <v>#DIV/0!</v>
      </c>
      <c r="U167" s="8"/>
      <c r="V167" s="8"/>
    </row>
    <row r="168" spans="2:22" x14ac:dyDescent="0.35">
      <c r="B168" s="9"/>
      <c r="G168">
        <f t="shared" si="26"/>
        <v>1</v>
      </c>
      <c r="H168">
        <f t="shared" si="27"/>
        <v>0</v>
      </c>
      <c r="I168">
        <f t="shared" si="28"/>
        <v>0</v>
      </c>
      <c r="J168">
        <f t="shared" si="29"/>
        <v>0</v>
      </c>
      <c r="K168" s="7">
        <f t="shared" si="30"/>
        <v>1</v>
      </c>
      <c r="L168" s="7">
        <f t="shared" si="31"/>
        <v>0</v>
      </c>
      <c r="M168" s="7" t="e">
        <f t="shared" si="32"/>
        <v>#NUM!</v>
      </c>
      <c r="N168" s="7" t="e">
        <f t="shared" si="33"/>
        <v>#NUM!</v>
      </c>
      <c r="S168" t="e">
        <f t="shared" si="34"/>
        <v>#DIV/0!</v>
      </c>
      <c r="T168" t="e">
        <f t="shared" si="35"/>
        <v>#DIV/0!</v>
      </c>
      <c r="U168" s="8"/>
      <c r="V168" s="8"/>
    </row>
    <row r="169" spans="2:22" x14ac:dyDescent="0.35">
      <c r="B169" s="9"/>
      <c r="G169">
        <f t="shared" si="26"/>
        <v>1</v>
      </c>
      <c r="H169">
        <f t="shared" si="27"/>
        <v>0</v>
      </c>
      <c r="I169">
        <f t="shared" si="28"/>
        <v>0</v>
      </c>
      <c r="J169">
        <f t="shared" si="29"/>
        <v>0</v>
      </c>
      <c r="K169" s="7">
        <f t="shared" si="30"/>
        <v>1</v>
      </c>
      <c r="L169" s="7">
        <f t="shared" si="31"/>
        <v>0</v>
      </c>
      <c r="M169" s="7" t="e">
        <f t="shared" si="32"/>
        <v>#NUM!</v>
      </c>
      <c r="N169" s="7" t="e">
        <f t="shared" si="33"/>
        <v>#NUM!</v>
      </c>
      <c r="S169" t="e">
        <f t="shared" si="34"/>
        <v>#DIV/0!</v>
      </c>
      <c r="T169" t="e">
        <f t="shared" si="35"/>
        <v>#DIV/0!</v>
      </c>
      <c r="U169" s="8"/>
      <c r="V169" s="8"/>
    </row>
    <row r="170" spans="2:22" x14ac:dyDescent="0.35">
      <c r="B170" s="9"/>
      <c r="G170">
        <f t="shared" si="26"/>
        <v>1</v>
      </c>
      <c r="H170">
        <f t="shared" si="27"/>
        <v>0</v>
      </c>
      <c r="I170">
        <f t="shared" si="28"/>
        <v>0</v>
      </c>
      <c r="J170">
        <f t="shared" si="29"/>
        <v>0</v>
      </c>
      <c r="K170" s="7">
        <f t="shared" si="30"/>
        <v>1</v>
      </c>
      <c r="L170" s="7">
        <f t="shared" si="31"/>
        <v>0</v>
      </c>
      <c r="M170" s="7" t="e">
        <f t="shared" si="32"/>
        <v>#NUM!</v>
      </c>
      <c r="N170" s="7" t="e">
        <f t="shared" si="33"/>
        <v>#NUM!</v>
      </c>
      <c r="S170" t="e">
        <f t="shared" si="34"/>
        <v>#DIV/0!</v>
      </c>
      <c r="T170" t="e">
        <f t="shared" si="35"/>
        <v>#DIV/0!</v>
      </c>
      <c r="U170" s="8"/>
      <c r="V170" s="8"/>
    </row>
    <row r="171" spans="2:22" x14ac:dyDescent="0.35">
      <c r="B171" s="9"/>
      <c r="G171">
        <f t="shared" si="26"/>
        <v>1</v>
      </c>
      <c r="H171">
        <f t="shared" si="27"/>
        <v>0</v>
      </c>
      <c r="I171">
        <f t="shared" si="28"/>
        <v>0</v>
      </c>
      <c r="J171">
        <f t="shared" si="29"/>
        <v>0</v>
      </c>
      <c r="K171" s="7">
        <f t="shared" si="30"/>
        <v>1</v>
      </c>
      <c r="L171" s="7">
        <f t="shared" si="31"/>
        <v>0</v>
      </c>
      <c r="M171" s="7" t="e">
        <f t="shared" si="32"/>
        <v>#NUM!</v>
      </c>
      <c r="N171" s="7" t="e">
        <f t="shared" si="33"/>
        <v>#NUM!</v>
      </c>
      <c r="S171" t="e">
        <f t="shared" si="34"/>
        <v>#DIV/0!</v>
      </c>
      <c r="T171" t="e">
        <f t="shared" si="35"/>
        <v>#DIV/0!</v>
      </c>
      <c r="U171" s="8"/>
      <c r="V171" s="8"/>
    </row>
    <row r="172" spans="2:22" x14ac:dyDescent="0.35">
      <c r="B172" s="9"/>
      <c r="G172">
        <f t="shared" si="26"/>
        <v>1</v>
      </c>
      <c r="H172">
        <f t="shared" si="27"/>
        <v>0</v>
      </c>
      <c r="I172">
        <f t="shared" si="28"/>
        <v>0</v>
      </c>
      <c r="J172">
        <f t="shared" si="29"/>
        <v>0</v>
      </c>
      <c r="K172" s="7">
        <f t="shared" si="30"/>
        <v>1</v>
      </c>
      <c r="L172" s="7">
        <f t="shared" si="31"/>
        <v>0</v>
      </c>
      <c r="M172" s="7" t="e">
        <f t="shared" si="32"/>
        <v>#NUM!</v>
      </c>
      <c r="N172" s="7" t="e">
        <f t="shared" si="33"/>
        <v>#NUM!</v>
      </c>
      <c r="S172" t="e">
        <f t="shared" si="34"/>
        <v>#DIV/0!</v>
      </c>
      <c r="T172" t="e">
        <f t="shared" si="35"/>
        <v>#DIV/0!</v>
      </c>
      <c r="U172" s="8"/>
      <c r="V172" s="8"/>
    </row>
    <row r="173" spans="2:22" x14ac:dyDescent="0.35">
      <c r="B173" s="9"/>
      <c r="G173">
        <f t="shared" si="26"/>
        <v>1</v>
      </c>
      <c r="H173">
        <f t="shared" si="27"/>
        <v>0</v>
      </c>
      <c r="I173">
        <f t="shared" si="28"/>
        <v>0</v>
      </c>
      <c r="J173">
        <f t="shared" si="29"/>
        <v>0</v>
      </c>
      <c r="K173" s="7">
        <f t="shared" si="30"/>
        <v>1</v>
      </c>
      <c r="L173" s="7">
        <f t="shared" si="31"/>
        <v>0</v>
      </c>
      <c r="M173" s="7" t="e">
        <f t="shared" si="32"/>
        <v>#NUM!</v>
      </c>
      <c r="N173" s="7" t="e">
        <f t="shared" si="33"/>
        <v>#NUM!</v>
      </c>
      <c r="S173" t="e">
        <f t="shared" si="34"/>
        <v>#DIV/0!</v>
      </c>
      <c r="T173" t="e">
        <f t="shared" si="35"/>
        <v>#DIV/0!</v>
      </c>
      <c r="U173" s="8"/>
      <c r="V173" s="8"/>
    </row>
    <row r="174" spans="2:22" x14ac:dyDescent="0.35">
      <c r="B174" s="9"/>
      <c r="G174">
        <f t="shared" si="26"/>
        <v>1</v>
      </c>
      <c r="H174">
        <f t="shared" si="27"/>
        <v>0</v>
      </c>
      <c r="I174">
        <f t="shared" si="28"/>
        <v>0</v>
      </c>
      <c r="J174">
        <f t="shared" si="29"/>
        <v>0</v>
      </c>
      <c r="K174" s="7">
        <f t="shared" si="30"/>
        <v>1</v>
      </c>
      <c r="L174" s="7">
        <f t="shared" si="31"/>
        <v>0</v>
      </c>
      <c r="M174" s="7" t="e">
        <f t="shared" si="32"/>
        <v>#NUM!</v>
      </c>
      <c r="N174" s="7" t="e">
        <f t="shared" si="33"/>
        <v>#NUM!</v>
      </c>
      <c r="S174" t="e">
        <f t="shared" si="34"/>
        <v>#DIV/0!</v>
      </c>
      <c r="T174" t="e">
        <f t="shared" si="35"/>
        <v>#DIV/0!</v>
      </c>
      <c r="U174" s="8"/>
      <c r="V174" s="8"/>
    </row>
    <row r="175" spans="2:22" x14ac:dyDescent="0.35">
      <c r="B175" s="9"/>
      <c r="G175">
        <f t="shared" si="26"/>
        <v>1</v>
      </c>
      <c r="H175">
        <f t="shared" si="27"/>
        <v>0</v>
      </c>
      <c r="I175">
        <f t="shared" si="28"/>
        <v>0</v>
      </c>
      <c r="J175">
        <f t="shared" si="29"/>
        <v>0</v>
      </c>
      <c r="K175" s="7">
        <f t="shared" si="30"/>
        <v>1</v>
      </c>
      <c r="L175" s="7">
        <f t="shared" si="31"/>
        <v>0</v>
      </c>
      <c r="M175" s="7" t="e">
        <f t="shared" si="32"/>
        <v>#NUM!</v>
      </c>
      <c r="N175" s="7" t="e">
        <f t="shared" si="33"/>
        <v>#NUM!</v>
      </c>
      <c r="S175" t="e">
        <f t="shared" si="34"/>
        <v>#DIV/0!</v>
      </c>
      <c r="T175" t="e">
        <f t="shared" si="35"/>
        <v>#DIV/0!</v>
      </c>
      <c r="U175" s="8"/>
      <c r="V175" s="8"/>
    </row>
    <row r="176" spans="2:22" x14ac:dyDescent="0.35">
      <c r="B176" s="9"/>
      <c r="G176">
        <f t="shared" si="26"/>
        <v>1</v>
      </c>
      <c r="H176">
        <f t="shared" si="27"/>
        <v>0</v>
      </c>
      <c r="I176">
        <f t="shared" si="28"/>
        <v>0</v>
      </c>
      <c r="J176">
        <f t="shared" si="29"/>
        <v>0</v>
      </c>
      <c r="K176" s="7">
        <f t="shared" si="30"/>
        <v>1</v>
      </c>
      <c r="L176" s="7">
        <f t="shared" si="31"/>
        <v>0</v>
      </c>
      <c r="M176" s="7" t="e">
        <f t="shared" si="32"/>
        <v>#NUM!</v>
      </c>
      <c r="N176" s="7" t="e">
        <f t="shared" si="33"/>
        <v>#NUM!</v>
      </c>
      <c r="S176" t="e">
        <f t="shared" si="34"/>
        <v>#DIV/0!</v>
      </c>
      <c r="T176" t="e">
        <f t="shared" si="35"/>
        <v>#DIV/0!</v>
      </c>
      <c r="U176" s="8"/>
      <c r="V176" s="8"/>
    </row>
    <row r="177" spans="1:22" x14ac:dyDescent="0.35">
      <c r="B177" s="9"/>
      <c r="G177">
        <f t="shared" si="26"/>
        <v>1</v>
      </c>
      <c r="H177">
        <f t="shared" si="27"/>
        <v>0</v>
      </c>
      <c r="I177">
        <f t="shared" si="28"/>
        <v>0</v>
      </c>
      <c r="J177">
        <f t="shared" si="29"/>
        <v>0</v>
      </c>
      <c r="K177" s="7">
        <f t="shared" si="30"/>
        <v>1</v>
      </c>
      <c r="L177" s="7">
        <f t="shared" si="31"/>
        <v>0</v>
      </c>
      <c r="M177" s="7" t="e">
        <f t="shared" si="32"/>
        <v>#NUM!</v>
      </c>
      <c r="N177" s="7" t="e">
        <f t="shared" si="33"/>
        <v>#NUM!</v>
      </c>
      <c r="S177" t="e">
        <f t="shared" si="34"/>
        <v>#DIV/0!</v>
      </c>
      <c r="T177" t="e">
        <f t="shared" si="35"/>
        <v>#DIV/0!</v>
      </c>
      <c r="U177" s="8"/>
      <c r="V177" s="8"/>
    </row>
    <row r="178" spans="1:22" x14ac:dyDescent="0.35">
      <c r="B178" s="9"/>
      <c r="G178">
        <f t="shared" si="26"/>
        <v>1</v>
      </c>
      <c r="H178">
        <f t="shared" si="27"/>
        <v>0</v>
      </c>
      <c r="I178">
        <f t="shared" si="28"/>
        <v>0</v>
      </c>
      <c r="J178">
        <f t="shared" si="29"/>
        <v>0</v>
      </c>
      <c r="K178" s="7">
        <f t="shared" si="30"/>
        <v>1</v>
      </c>
      <c r="L178" s="7">
        <f t="shared" si="31"/>
        <v>0</v>
      </c>
      <c r="M178" s="7" t="e">
        <f t="shared" si="32"/>
        <v>#NUM!</v>
      </c>
      <c r="N178" s="7" t="e">
        <f t="shared" si="33"/>
        <v>#NUM!</v>
      </c>
      <c r="S178" t="e">
        <f t="shared" si="34"/>
        <v>#DIV/0!</v>
      </c>
      <c r="T178" t="e">
        <f t="shared" si="35"/>
        <v>#DIV/0!</v>
      </c>
      <c r="U178" s="8"/>
      <c r="V178" s="8"/>
    </row>
    <row r="179" spans="1:22" x14ac:dyDescent="0.35">
      <c r="A179" s="10"/>
      <c r="B179" s="11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</row>
    <row r="180" spans="1:22" x14ac:dyDescent="0.35">
      <c r="A180" s="12"/>
      <c r="B180" s="13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</row>
    <row r="181" spans="1:22" x14ac:dyDescent="0.35">
      <c r="A181" s="10"/>
      <c r="B181" s="11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</row>
    <row r="182" spans="1:22" x14ac:dyDescent="0.35">
      <c r="A182" s="12"/>
      <c r="B182" s="13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</row>
    <row r="183" spans="1:22" x14ac:dyDescent="0.35">
      <c r="A183" s="10"/>
      <c r="B183" s="11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</row>
    <row r="184" spans="1:22" x14ac:dyDescent="0.35">
      <c r="A184" s="12"/>
      <c r="B184" s="13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</row>
    <row r="185" spans="1:22" x14ac:dyDescent="0.35">
      <c r="A185" s="10"/>
      <c r="B185" s="11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</row>
    <row r="186" spans="1:22" x14ac:dyDescent="0.35">
      <c r="A186" s="12"/>
      <c r="B186" s="13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</row>
    <row r="187" spans="1:22" x14ac:dyDescent="0.35">
      <c r="A187" s="10"/>
      <c r="B187" s="11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</row>
    <row r="188" spans="1:22" x14ac:dyDescent="0.35">
      <c r="A188" s="12"/>
      <c r="B188" s="13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</row>
    <row r="189" spans="1:22" x14ac:dyDescent="0.35">
      <c r="B189"/>
    </row>
    <row r="190" spans="1:22" x14ac:dyDescent="0.35">
      <c r="B190"/>
    </row>
    <row r="191" spans="1:22" x14ac:dyDescent="0.35">
      <c r="B191"/>
    </row>
    <row r="192" spans="1:2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2" x14ac:dyDescent="0.35">
      <c r="B481"/>
    </row>
    <row r="482" spans="2:22" x14ac:dyDescent="0.35">
      <c r="B482"/>
    </row>
    <row r="483" spans="2:22" x14ac:dyDescent="0.35">
      <c r="B483"/>
    </row>
    <row r="484" spans="2:22" x14ac:dyDescent="0.35">
      <c r="B484"/>
    </row>
    <row r="485" spans="2:22" x14ac:dyDescent="0.35">
      <c r="B485"/>
    </row>
    <row r="486" spans="2:22" x14ac:dyDescent="0.35">
      <c r="B486"/>
      <c r="K486" s="7"/>
      <c r="L486" s="7"/>
      <c r="M486" s="7"/>
      <c r="N486" s="7"/>
      <c r="U486" s="8"/>
      <c r="V486" s="8"/>
    </row>
    <row r="487" spans="2:22" x14ac:dyDescent="0.35">
      <c r="B487"/>
      <c r="K487" s="7"/>
      <c r="L487" s="7"/>
      <c r="M487" s="7"/>
      <c r="N487" s="7"/>
      <c r="U487" s="8"/>
      <c r="V487" s="8"/>
    </row>
    <row r="488" spans="2:22" x14ac:dyDescent="0.35">
      <c r="B488"/>
      <c r="K488" s="7"/>
      <c r="L488" s="7"/>
      <c r="M488" s="7"/>
      <c r="N488" s="7"/>
      <c r="U488" s="8"/>
      <c r="V488" s="8"/>
    </row>
    <row r="489" spans="2:22" x14ac:dyDescent="0.35">
      <c r="B489"/>
      <c r="K489" s="7"/>
      <c r="L489" s="7"/>
      <c r="M489" s="7"/>
      <c r="N489" s="7"/>
      <c r="U489" s="8"/>
      <c r="V489" s="8"/>
    </row>
    <row r="490" spans="2:22" x14ac:dyDescent="0.35">
      <c r="B490"/>
      <c r="K490" s="7"/>
      <c r="L490" s="7"/>
      <c r="M490" s="7"/>
      <c r="N490" s="7"/>
      <c r="U490" s="8"/>
      <c r="V490" s="8"/>
    </row>
    <row r="491" spans="2:22" x14ac:dyDescent="0.35">
      <c r="B491"/>
      <c r="K491" s="7"/>
      <c r="L491" s="7"/>
      <c r="M491" s="7"/>
      <c r="N491" s="7"/>
      <c r="U491" s="8"/>
      <c r="V491" s="8"/>
    </row>
    <row r="492" spans="2:22" x14ac:dyDescent="0.35">
      <c r="B492"/>
      <c r="K492" s="7"/>
      <c r="L492" s="7"/>
      <c r="M492" s="7"/>
      <c r="N492" s="7"/>
      <c r="U492" s="8"/>
      <c r="V492" s="8"/>
    </row>
    <row r="493" spans="2:22" x14ac:dyDescent="0.35">
      <c r="B493"/>
      <c r="K493" s="7"/>
      <c r="L493" s="7"/>
      <c r="M493" s="7"/>
      <c r="N493" s="7"/>
      <c r="U493" s="8"/>
      <c r="V493" s="8"/>
    </row>
    <row r="494" spans="2:22" x14ac:dyDescent="0.35">
      <c r="B494"/>
      <c r="K494" s="7"/>
      <c r="L494" s="7"/>
      <c r="M494" s="7"/>
      <c r="N494" s="7"/>
      <c r="U494" s="8"/>
      <c r="V494" s="8"/>
    </row>
    <row r="495" spans="2:22" x14ac:dyDescent="0.35">
      <c r="B495"/>
      <c r="K495" s="7"/>
      <c r="L495" s="7"/>
      <c r="M495" s="7"/>
      <c r="N495" s="7"/>
      <c r="U495" s="8"/>
      <c r="V495" s="8"/>
    </row>
    <row r="496" spans="2:22" x14ac:dyDescent="0.35">
      <c r="B496"/>
      <c r="K496" s="7"/>
      <c r="L496" s="7"/>
      <c r="M496" s="7"/>
      <c r="N496" s="7"/>
      <c r="U496" s="8"/>
      <c r="V496" s="8"/>
    </row>
    <row r="497" spans="2:22" x14ac:dyDescent="0.35">
      <c r="B497"/>
      <c r="K497" s="7"/>
      <c r="L497" s="7"/>
      <c r="M497" s="7"/>
      <c r="N497" s="7"/>
      <c r="U497" s="8"/>
      <c r="V497" s="8"/>
    </row>
    <row r="498" spans="2:22" x14ac:dyDescent="0.35">
      <c r="B498"/>
      <c r="K498" s="7"/>
      <c r="L498" s="7"/>
      <c r="M498" s="7"/>
      <c r="N498" s="7"/>
      <c r="U498" s="8"/>
      <c r="V498" s="8"/>
    </row>
    <row r="499" spans="2:22" x14ac:dyDescent="0.35">
      <c r="B499"/>
      <c r="K499" s="7"/>
      <c r="L499" s="7"/>
      <c r="M499" s="7"/>
      <c r="N499" s="7"/>
      <c r="U499" s="8"/>
      <c r="V499" s="8"/>
    </row>
    <row r="500" spans="2:22" x14ac:dyDescent="0.35">
      <c r="B500"/>
      <c r="K500" s="7"/>
      <c r="L500" s="7"/>
      <c r="M500" s="7"/>
      <c r="N500" s="7"/>
      <c r="U500" s="8"/>
      <c r="V500" s="8"/>
    </row>
    <row r="501" spans="2:22" x14ac:dyDescent="0.35">
      <c r="B501"/>
      <c r="K501" s="7"/>
      <c r="L501" s="7"/>
      <c r="M501" s="7"/>
      <c r="N501" s="7"/>
      <c r="U501" s="8"/>
      <c r="V501" s="8"/>
    </row>
    <row r="502" spans="2:22" x14ac:dyDescent="0.35">
      <c r="B502"/>
      <c r="K502" s="7"/>
      <c r="L502" s="7"/>
      <c r="M502" s="7"/>
      <c r="N502" s="7"/>
      <c r="U502" s="8"/>
      <c r="V502" s="8"/>
    </row>
    <row r="503" spans="2:22" x14ac:dyDescent="0.35">
      <c r="B503"/>
      <c r="K503" s="7"/>
      <c r="L503" s="7"/>
      <c r="M503" s="7"/>
      <c r="N503" s="7"/>
      <c r="U503" s="8"/>
      <c r="V503" s="8"/>
    </row>
    <row r="504" spans="2:22" x14ac:dyDescent="0.35">
      <c r="B504"/>
      <c r="K504" s="7"/>
      <c r="L504" s="7"/>
      <c r="M504" s="7"/>
      <c r="N504" s="7"/>
      <c r="U504" s="8"/>
      <c r="V504" s="8"/>
    </row>
    <row r="505" spans="2:22" x14ac:dyDescent="0.35">
      <c r="B505"/>
      <c r="K505" s="7"/>
      <c r="L505" s="7"/>
      <c r="M505" s="7"/>
      <c r="N505" s="7"/>
      <c r="U505" s="8"/>
      <c r="V505" s="8"/>
    </row>
    <row r="506" spans="2:22" x14ac:dyDescent="0.35">
      <c r="B506"/>
      <c r="K506" s="7"/>
      <c r="L506" s="7"/>
      <c r="M506" s="7"/>
      <c r="N506" s="7"/>
      <c r="U506" s="8"/>
      <c r="V506" s="8"/>
    </row>
    <row r="507" spans="2:22" x14ac:dyDescent="0.35">
      <c r="B507"/>
      <c r="K507" s="7"/>
      <c r="L507" s="7"/>
      <c r="M507" s="7"/>
      <c r="N507" s="7"/>
      <c r="U507" s="8"/>
      <c r="V507" s="8"/>
    </row>
    <row r="508" spans="2:22" x14ac:dyDescent="0.35">
      <c r="B508"/>
      <c r="K508" s="7"/>
      <c r="L508" s="7"/>
      <c r="M508" s="7"/>
      <c r="N508" s="7"/>
      <c r="U508" s="8"/>
      <c r="V508" s="8"/>
    </row>
    <row r="509" spans="2:22" x14ac:dyDescent="0.35">
      <c r="B509"/>
      <c r="K509" s="7"/>
      <c r="L509" s="7"/>
      <c r="M509" s="7"/>
      <c r="N509" s="7"/>
      <c r="U509" s="8"/>
      <c r="V509" s="8"/>
    </row>
    <row r="510" spans="2:22" x14ac:dyDescent="0.35">
      <c r="B510"/>
      <c r="K510" s="7"/>
      <c r="L510" s="7"/>
      <c r="M510" s="7"/>
      <c r="N510" s="7"/>
      <c r="U510" s="8"/>
      <c r="V510" s="8"/>
    </row>
    <row r="511" spans="2:22" x14ac:dyDescent="0.35">
      <c r="B511"/>
      <c r="K511" s="7"/>
      <c r="L511" s="7"/>
      <c r="M511" s="7"/>
      <c r="N511" s="7"/>
      <c r="U511" s="8"/>
      <c r="V511" s="8"/>
    </row>
    <row r="512" spans="2:22" x14ac:dyDescent="0.35">
      <c r="B512"/>
      <c r="K512" s="7"/>
      <c r="L512" s="7"/>
      <c r="M512" s="7"/>
      <c r="N512" s="7"/>
      <c r="U512" s="8"/>
      <c r="V512" s="8"/>
    </row>
    <row r="513" spans="2:22" x14ac:dyDescent="0.35">
      <c r="B513"/>
      <c r="K513" s="7"/>
      <c r="L513" s="7"/>
      <c r="M513" s="7"/>
      <c r="N513" s="7"/>
      <c r="U513" s="8"/>
      <c r="V513" s="8"/>
    </row>
    <row r="514" spans="2:22" x14ac:dyDescent="0.35">
      <c r="B514"/>
      <c r="K514" s="7"/>
      <c r="L514" s="7"/>
      <c r="M514" s="7"/>
      <c r="N514" s="7"/>
      <c r="U514" s="8"/>
      <c r="V514" s="8"/>
    </row>
    <row r="515" spans="2:22" x14ac:dyDescent="0.35">
      <c r="B515"/>
      <c r="K515" s="7"/>
      <c r="L515" s="7"/>
      <c r="M515" s="7"/>
      <c r="N515" s="7"/>
      <c r="U515" s="8"/>
      <c r="V515" s="8"/>
    </row>
    <row r="516" spans="2:22" x14ac:dyDescent="0.35">
      <c r="B516"/>
      <c r="K516" s="7"/>
      <c r="L516" s="7"/>
      <c r="M516" s="7"/>
      <c r="N516" s="7"/>
      <c r="U516" s="8"/>
      <c r="V516" s="8"/>
    </row>
    <row r="517" spans="2:22" x14ac:dyDescent="0.35">
      <c r="B517"/>
      <c r="K517" s="7"/>
      <c r="L517" s="7"/>
      <c r="M517" s="7"/>
      <c r="N517" s="7"/>
      <c r="U517" s="8"/>
      <c r="V517" s="8"/>
    </row>
    <row r="518" spans="2:22" x14ac:dyDescent="0.35">
      <c r="B518"/>
      <c r="K518" s="7"/>
      <c r="L518" s="7"/>
      <c r="M518" s="7"/>
      <c r="N518" s="7"/>
      <c r="U518" s="8"/>
      <c r="V518" s="8"/>
    </row>
    <row r="519" spans="2:22" x14ac:dyDescent="0.35">
      <c r="B519"/>
      <c r="K519" s="7"/>
      <c r="L519" s="7"/>
      <c r="M519" s="7"/>
      <c r="N519" s="7"/>
      <c r="U519" s="8"/>
      <c r="V519" s="8"/>
    </row>
    <row r="520" spans="2:22" x14ac:dyDescent="0.35">
      <c r="B520"/>
      <c r="K520" s="7"/>
      <c r="L520" s="7"/>
      <c r="M520" s="7"/>
      <c r="N520" s="7"/>
      <c r="U520" s="8"/>
      <c r="V520" s="8"/>
    </row>
    <row r="521" spans="2:22" x14ac:dyDescent="0.35">
      <c r="B521"/>
      <c r="K521" s="7"/>
      <c r="L521" s="7"/>
      <c r="M521" s="7"/>
      <c r="N521" s="7"/>
      <c r="U521" s="8"/>
      <c r="V521" s="8"/>
    </row>
    <row r="522" spans="2:22" x14ac:dyDescent="0.35">
      <c r="B522"/>
      <c r="K522" s="7"/>
      <c r="L522" s="7"/>
      <c r="M522" s="7"/>
      <c r="N522" s="7"/>
      <c r="U522" s="8"/>
      <c r="V522" s="8"/>
    </row>
    <row r="523" spans="2:22" x14ac:dyDescent="0.35">
      <c r="B523"/>
      <c r="K523" s="7"/>
      <c r="L523" s="7"/>
      <c r="M523" s="7"/>
      <c r="N523" s="7"/>
      <c r="U523" s="8"/>
      <c r="V523" s="8"/>
    </row>
    <row r="524" spans="2:22" x14ac:dyDescent="0.35">
      <c r="B524"/>
      <c r="K524" s="7"/>
      <c r="L524" s="7"/>
      <c r="M524" s="7"/>
      <c r="N524" s="7"/>
      <c r="U524" s="8"/>
      <c r="V524" s="8"/>
    </row>
    <row r="525" spans="2:22" x14ac:dyDescent="0.35">
      <c r="B525"/>
      <c r="K525" s="7"/>
      <c r="L525" s="7"/>
      <c r="M525" s="7"/>
      <c r="N525" s="7"/>
      <c r="U525" s="8"/>
      <c r="V525" s="8"/>
    </row>
    <row r="526" spans="2:22" x14ac:dyDescent="0.35">
      <c r="B526"/>
      <c r="K526" s="7"/>
      <c r="L526" s="7"/>
      <c r="M526" s="7"/>
      <c r="N526" s="7"/>
      <c r="U526" s="8"/>
      <c r="V526" s="8"/>
    </row>
    <row r="527" spans="2:22" x14ac:dyDescent="0.35">
      <c r="B527"/>
      <c r="K527" s="7"/>
      <c r="L527" s="7"/>
      <c r="M527" s="7"/>
      <c r="N527" s="7"/>
      <c r="U527" s="8"/>
      <c r="V527" s="8"/>
    </row>
    <row r="528" spans="2:22" x14ac:dyDescent="0.35">
      <c r="B528"/>
      <c r="K528" s="7"/>
      <c r="L528" s="7"/>
      <c r="M528" s="7"/>
      <c r="N528" s="7"/>
      <c r="U528" s="8"/>
      <c r="V528" s="8"/>
    </row>
    <row r="529" spans="2:22" x14ac:dyDescent="0.35">
      <c r="B529"/>
      <c r="K529" s="7"/>
      <c r="L529" s="7"/>
      <c r="M529" s="7"/>
      <c r="N529" s="7"/>
      <c r="U529" s="8"/>
      <c r="V529" s="8"/>
    </row>
    <row r="530" spans="2:22" x14ac:dyDescent="0.35">
      <c r="B530"/>
      <c r="K530" s="7"/>
      <c r="L530" s="7"/>
      <c r="M530" s="7"/>
      <c r="N530" s="7"/>
      <c r="U530" s="8"/>
      <c r="V530" s="8"/>
    </row>
    <row r="531" spans="2:22" x14ac:dyDescent="0.35">
      <c r="B531"/>
      <c r="K531" s="7"/>
      <c r="L531" s="7"/>
      <c r="M531" s="7"/>
      <c r="N531" s="7"/>
      <c r="U531" s="8"/>
      <c r="V531" s="8"/>
    </row>
    <row r="532" spans="2:22" x14ac:dyDescent="0.35">
      <c r="B532"/>
      <c r="K532" s="7"/>
      <c r="L532" s="7"/>
      <c r="M532" s="7"/>
      <c r="N532" s="7"/>
      <c r="U532" s="8"/>
      <c r="V532" s="8"/>
    </row>
    <row r="533" spans="2:22" x14ac:dyDescent="0.35">
      <c r="B533"/>
      <c r="K533" s="7"/>
      <c r="L533" s="7"/>
      <c r="M533" s="7"/>
      <c r="N533" s="7"/>
      <c r="U533" s="8"/>
      <c r="V533" s="8"/>
    </row>
    <row r="534" spans="2:22" x14ac:dyDescent="0.35">
      <c r="B534"/>
      <c r="K534" s="7"/>
      <c r="L534" s="7"/>
      <c r="M534" s="7"/>
      <c r="N534" s="7"/>
      <c r="U534" s="8"/>
      <c r="V534" s="8"/>
    </row>
    <row r="535" spans="2:22" x14ac:dyDescent="0.35">
      <c r="B535"/>
      <c r="K535" s="7"/>
      <c r="L535" s="7"/>
      <c r="M535" s="7"/>
      <c r="N535" s="7"/>
      <c r="U535" s="8"/>
      <c r="V535" s="8"/>
    </row>
    <row r="536" spans="2:22" x14ac:dyDescent="0.35">
      <c r="B536"/>
      <c r="K536" s="7"/>
      <c r="L536" s="7"/>
      <c r="M536" s="7"/>
      <c r="N536" s="7"/>
      <c r="U536" s="8"/>
      <c r="V536" s="8"/>
    </row>
    <row r="537" spans="2:22" x14ac:dyDescent="0.35">
      <c r="B537"/>
      <c r="K537" s="7"/>
      <c r="L537" s="7"/>
      <c r="M537" s="7"/>
      <c r="N537" s="7"/>
      <c r="U537" s="8"/>
      <c r="V537" s="8"/>
    </row>
    <row r="538" spans="2:22" x14ac:dyDescent="0.35">
      <c r="B538"/>
      <c r="K538" s="7"/>
      <c r="L538" s="7"/>
      <c r="M538" s="7"/>
      <c r="N538" s="7"/>
      <c r="U538" s="8"/>
      <c r="V538" s="8"/>
    </row>
    <row r="539" spans="2:22" x14ac:dyDescent="0.35">
      <c r="B539"/>
      <c r="K539" s="7"/>
      <c r="L539" s="7"/>
      <c r="M539" s="7"/>
      <c r="N539" s="7"/>
      <c r="U539" s="8"/>
      <c r="V539" s="8"/>
    </row>
    <row r="540" spans="2:22" x14ac:dyDescent="0.35">
      <c r="B540"/>
      <c r="K540" s="7"/>
      <c r="L540" s="7"/>
      <c r="M540" s="7"/>
      <c r="N540" s="7"/>
      <c r="U540" s="8"/>
      <c r="V540" s="8"/>
    </row>
    <row r="541" spans="2:22" x14ac:dyDescent="0.35">
      <c r="B541"/>
      <c r="K541" s="7"/>
      <c r="L541" s="7"/>
      <c r="M541" s="7"/>
      <c r="N541" s="7"/>
      <c r="U541" s="8"/>
      <c r="V541" s="8"/>
    </row>
    <row r="542" spans="2:22" x14ac:dyDescent="0.35">
      <c r="B542"/>
      <c r="K542" s="7"/>
      <c r="L542" s="7"/>
      <c r="M542" s="7"/>
      <c r="N542" s="7"/>
      <c r="U542" s="8"/>
      <c r="V542" s="8"/>
    </row>
    <row r="543" spans="2:22" x14ac:dyDescent="0.35">
      <c r="B543"/>
      <c r="K543" s="7"/>
      <c r="L543" s="7"/>
      <c r="M543" s="7"/>
      <c r="N543" s="7"/>
      <c r="U543" s="8"/>
      <c r="V543" s="8"/>
    </row>
    <row r="544" spans="2:22" x14ac:dyDescent="0.35">
      <c r="B544"/>
      <c r="K544" s="7"/>
      <c r="L544" s="7"/>
      <c r="M544" s="7"/>
      <c r="N544" s="7"/>
      <c r="U544" s="8"/>
      <c r="V544" s="8"/>
    </row>
    <row r="545" spans="2:22" x14ac:dyDescent="0.35">
      <c r="B545"/>
      <c r="K545" s="7"/>
      <c r="L545" s="7"/>
      <c r="M545" s="7"/>
      <c r="N545" s="7"/>
      <c r="U545" s="8"/>
      <c r="V545" s="8"/>
    </row>
    <row r="546" spans="2:22" x14ac:dyDescent="0.35">
      <c r="B546"/>
      <c r="K546" s="7"/>
      <c r="L546" s="7"/>
      <c r="M546" s="7"/>
      <c r="N546" s="7"/>
      <c r="U546" s="8"/>
      <c r="V546" s="8"/>
    </row>
    <row r="547" spans="2:22" x14ac:dyDescent="0.35">
      <c r="B547"/>
      <c r="K547" s="7"/>
      <c r="L547" s="7"/>
      <c r="M547" s="7"/>
      <c r="N547" s="7"/>
      <c r="U547" s="8"/>
      <c r="V547" s="8"/>
    </row>
    <row r="548" spans="2:22" x14ac:dyDescent="0.35">
      <c r="B548"/>
      <c r="K548" s="7"/>
      <c r="L548" s="7"/>
      <c r="M548" s="7"/>
      <c r="N548" s="7"/>
      <c r="U548" s="8"/>
      <c r="V548" s="8"/>
    </row>
    <row r="549" spans="2:22" x14ac:dyDescent="0.35">
      <c r="B549"/>
      <c r="K549" s="7"/>
      <c r="L549" s="7"/>
      <c r="M549" s="7"/>
      <c r="N549" s="7"/>
      <c r="U549" s="8"/>
      <c r="V549" s="8"/>
    </row>
    <row r="550" spans="2:22" x14ac:dyDescent="0.35">
      <c r="B550"/>
      <c r="K550" s="7"/>
      <c r="L550" s="7"/>
      <c r="M550" s="7"/>
      <c r="N550" s="7"/>
      <c r="U550" s="8"/>
      <c r="V550" s="8"/>
    </row>
    <row r="551" spans="2:22" x14ac:dyDescent="0.35">
      <c r="B551"/>
      <c r="K551" s="7"/>
      <c r="L551" s="7"/>
      <c r="M551" s="7"/>
      <c r="N551" s="7"/>
      <c r="U551" s="8"/>
      <c r="V551" s="8"/>
    </row>
    <row r="552" spans="2:22" x14ac:dyDescent="0.35">
      <c r="B552"/>
      <c r="K552" s="7"/>
      <c r="L552" s="7"/>
      <c r="M552" s="7"/>
      <c r="N552" s="7"/>
      <c r="U552" s="8"/>
      <c r="V552" s="8"/>
    </row>
    <row r="553" spans="2:22" x14ac:dyDescent="0.35">
      <c r="B553"/>
      <c r="K553" s="7"/>
      <c r="L553" s="7"/>
      <c r="M553" s="7"/>
      <c r="N553" s="7"/>
      <c r="U553" s="8"/>
      <c r="V553" s="8"/>
    </row>
    <row r="554" spans="2:22" x14ac:dyDescent="0.35">
      <c r="B554"/>
      <c r="K554" s="7"/>
      <c r="L554" s="7"/>
      <c r="M554" s="7"/>
      <c r="N554" s="7"/>
      <c r="U554" s="8"/>
      <c r="V554" s="8"/>
    </row>
    <row r="555" spans="2:22" x14ac:dyDescent="0.35">
      <c r="B555"/>
      <c r="K555" s="7"/>
      <c r="L555" s="7"/>
      <c r="M555" s="7"/>
      <c r="N555" s="7"/>
      <c r="U555" s="8"/>
      <c r="V555" s="8"/>
    </row>
    <row r="556" spans="2:22" x14ac:dyDescent="0.35">
      <c r="B556"/>
      <c r="K556" s="7"/>
      <c r="L556" s="7"/>
      <c r="M556" s="7"/>
      <c r="N556" s="7"/>
      <c r="U556" s="8"/>
      <c r="V556" s="8"/>
    </row>
    <row r="557" spans="2:22" x14ac:dyDescent="0.35">
      <c r="B557"/>
      <c r="K557" s="7"/>
      <c r="L557" s="7"/>
      <c r="M557" s="7"/>
      <c r="N557" s="7"/>
      <c r="U557" s="8"/>
      <c r="V557" s="8"/>
    </row>
    <row r="558" spans="2:22" x14ac:dyDescent="0.35">
      <c r="B558"/>
      <c r="K558" s="7"/>
      <c r="L558" s="7"/>
      <c r="M558" s="7"/>
      <c r="N558" s="7"/>
      <c r="U558" s="8"/>
      <c r="V558" s="8"/>
    </row>
    <row r="559" spans="2:22" x14ac:dyDescent="0.35">
      <c r="B559"/>
      <c r="K559" s="7"/>
      <c r="L559" s="7"/>
      <c r="M559" s="7"/>
      <c r="N559" s="7"/>
      <c r="U559" s="8"/>
      <c r="V559" s="8"/>
    </row>
    <row r="560" spans="2:22" x14ac:dyDescent="0.35">
      <c r="B560"/>
      <c r="K560" s="7"/>
      <c r="L560" s="7"/>
      <c r="M560" s="7"/>
      <c r="N560" s="7"/>
      <c r="U560" s="8"/>
      <c r="V560" s="8"/>
    </row>
    <row r="561" spans="2:22" x14ac:dyDescent="0.35">
      <c r="B561"/>
      <c r="K561" s="7"/>
      <c r="L561" s="7"/>
      <c r="M561" s="7"/>
      <c r="N561" s="7"/>
      <c r="U561" s="8"/>
      <c r="V561" s="8"/>
    </row>
    <row r="562" spans="2:22" x14ac:dyDescent="0.35">
      <c r="B562"/>
      <c r="K562" s="7"/>
      <c r="L562" s="7"/>
      <c r="M562" s="7"/>
      <c r="N562" s="7"/>
      <c r="U562" s="8"/>
      <c r="V562" s="8"/>
    </row>
    <row r="563" spans="2:22" x14ac:dyDescent="0.35">
      <c r="B563"/>
      <c r="K563" s="7"/>
      <c r="L563" s="7"/>
      <c r="M563" s="7"/>
      <c r="N563" s="7"/>
      <c r="U563" s="8"/>
      <c r="V563" s="8"/>
    </row>
    <row r="564" spans="2:22" x14ac:dyDescent="0.35">
      <c r="B564"/>
      <c r="K564" s="7"/>
      <c r="L564" s="7"/>
      <c r="M564" s="7"/>
      <c r="N564" s="7"/>
      <c r="U564" s="8"/>
      <c r="V564" s="8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2026-04-22T22:17:53Z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